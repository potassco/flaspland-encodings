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<sst xmlns="http://schemas.openxmlformats.org/spreadsheetml/2006/main" count="65" uniqueCount="17">
  <si>
    <t>./Level_0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</si>
  <si>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</si>
  <si>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</si>
  <si>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</si>
  <si>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</si>
  <si>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</si>
  <si>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</si>
  <si>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</si>
  <si>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</si>
  <si>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clingo-latest/base</t>
  </si>
  <si>
    <t>time</t>
  </si>
  <si>
    <t>timeout</t>
  </si>
  <si>
    <t>min</t>
  </si>
  <si>
    <t>median</t>
  </si>
  <si>
    <t>max</t>
  </si>
  <si>
    <t>Merge criteria:</t>
  </si>
  <si>
    <t>.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</si>
</sst>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9" width="11.42578125" customWidth="1"/>
  </cols>
  <sheetData>
    <row r="1" spans="1:9">
      <c r="A1" s="1"/>
      <c r="B1" s="1" t="s">
        <v>9</v>
      </c>
      <c r="C1" s="2"/>
      <c r="D1" s="1" t="s">
        <v>12</v>
      </c>
      <c r="E1" s="1"/>
      <c r="F1" s="1" t="s">
        <v>13</v>
      </c>
      <c r="G1" s="1"/>
      <c r="H1" s="1" t="s">
        <v>14</v>
      </c>
      <c r="I1" s="1"/>
    </row>
    <row r="2" spans="1:9">
      <c r="A2" s="1"/>
      <c r="B2" s="1" t="s">
        <v>10</v>
      </c>
      <c r="C2" s="2" t="s">
        <v>11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10</v>
      </c>
      <c r="I2" s="1" t="s">
        <v>11</v>
      </c>
    </row>
    <row r="3" spans="1:9">
      <c r="A3" s="1" t="s">
        <v>0</v>
      </c>
      <c r="B3" s="1">
        <v>0.22</v>
      </c>
      <c r="C3" s="2">
        <v>0</v>
      </c>
      <c r="D3" s="1">
        <f>MIN($B3)</f>
        <v>0</v>
      </c>
      <c r="E3" s="1">
        <f>MIN($C3)</f>
        <v>0</v>
      </c>
      <c r="F3" s="1">
        <f>MEDIAN($B3)</f>
        <v>0</v>
      </c>
      <c r="G3" s="1">
        <f>MEDIAN($C3)</f>
        <v>0</v>
      </c>
      <c r="H3" s="1">
        <f>MAX($B3)</f>
        <v>0</v>
      </c>
      <c r="I3" s="1">
        <f>MAX($C3)</f>
        <v>0</v>
      </c>
    </row>
    <row r="4" spans="1:9">
      <c r="A4" s="1"/>
      <c r="B4" s="1"/>
      <c r="C4" s="2"/>
      <c r="D4" s="1"/>
      <c r="E4" s="1"/>
      <c r="F4" s="1"/>
      <c r="G4" s="1"/>
      <c r="H4" s="1"/>
      <c r="I4" s="1"/>
    </row>
    <row r="5" spans="1:9">
      <c r="A5" s="1" t="s">
        <v>1</v>
      </c>
      <c r="B5" s="1">
        <f>SUM(B$3:B$3)</f>
        <v>0</v>
      </c>
      <c r="C5" s="1">
        <f>SUM(C$3:C$3)</f>
        <v>0</v>
      </c>
      <c r="D5" s="1">
        <f>SUM(D$3:D$3)</f>
        <v>0</v>
      </c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</row>
    <row r="6" spans="1:9">
      <c r="A6" s="1" t="s">
        <v>2</v>
      </c>
      <c r="B6" s="1">
        <f>AVERAGE(B$3:B$3)</f>
        <v>0</v>
      </c>
      <c r="C6" s="1">
        <f>AVERAGE(C$3:C$3)</f>
        <v>0</v>
      </c>
      <c r="D6" s="1">
        <f>AVERAGE(D$3:D$3)</f>
        <v>0</v>
      </c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</row>
    <row r="7" spans="1:9">
      <c r="A7" s="1" t="s">
        <v>3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</row>
    <row r="8" spans="1:9">
      <c r="A8" s="1" t="s">
        <v>4</v>
      </c>
      <c r="B8" s="1">
        <f>SUMPRODUCT(--(B$3:B$3-$D$3:$D$3)^2)^0.5</f>
        <v>0</v>
      </c>
      <c r="C8" s="1">
        <f>SUMPRODUCT(--(C$3:C$3-$E$3:$E$3)^2)^0.5</f>
        <v>0</v>
      </c>
      <c r="D8" s="1"/>
      <c r="E8" s="1"/>
      <c r="F8" s="1"/>
      <c r="G8" s="1"/>
      <c r="H8" s="1"/>
      <c r="I8" s="1"/>
    </row>
    <row r="9" spans="1:9">
      <c r="A9" s="1" t="s">
        <v>5</v>
      </c>
      <c r="B9" s="1">
        <f>SUMPRODUCT(NOT(ISBLANK(B$3:B$3))*(B$3:B$3=$D$3:$D$3))</f>
        <v>0</v>
      </c>
      <c r="C9" s="1">
        <f>SUMPRODUCT(NOT(ISBLANK(C$3:C$3))*(C$3:C$3=$E$3:$E$3))</f>
        <v>0</v>
      </c>
      <c r="D9" s="1"/>
      <c r="E9" s="1"/>
      <c r="F9" s="1"/>
      <c r="G9" s="1"/>
      <c r="H9" s="1"/>
      <c r="I9" s="1"/>
    </row>
    <row r="10" spans="1:9">
      <c r="A10" s="1" t="s">
        <v>6</v>
      </c>
      <c r="B10" s="1">
        <f>SUMPRODUCT(NOT(ISBLANK(B$3:B$3))*(B$3:B$3&lt;$F$3:$F$3))</f>
        <v>0</v>
      </c>
      <c r="C10" s="1">
        <f>SUMPRODUCT(NOT(ISBLANK(C$3:C$3))*(C$3:C$3&lt;$G$3:$G$3))</f>
        <v>0</v>
      </c>
      <c r="D10" s="1"/>
      <c r="E10" s="1"/>
      <c r="F10" s="1"/>
      <c r="G10" s="1"/>
      <c r="H10" s="1"/>
      <c r="I10" s="1"/>
    </row>
    <row r="11" spans="1:9">
      <c r="A11" s="1" t="s">
        <v>7</v>
      </c>
      <c r="B11" s="1">
        <f>SUMPRODUCT((NOT(ISBLANK(B$3:B$3))*(B$3:B$3&gt;$F$3:$F$3))+ISBLANK(B$3:B$3))</f>
        <v>0</v>
      </c>
      <c r="C11" s="1">
        <f>SUMPRODUCT((NOT(ISBLANK(C$3:C$3))*(C$3:C$3&gt;$G$3:$G$3))+ISBLANK(C$3:C$3))</f>
        <v>0</v>
      </c>
      <c r="D11" s="1"/>
      <c r="E11" s="1"/>
      <c r="F11" s="1"/>
      <c r="G11" s="1"/>
      <c r="H11" s="1"/>
      <c r="I11" s="1"/>
    </row>
    <row r="12" spans="1:9">
      <c r="A12" s="1" t="s">
        <v>8</v>
      </c>
      <c r="B12" s="1">
        <f>SUMPRODUCT((NOT(ISBLANK(B$3:B$3))*(B$3:B$3=$H$3:$H$3))+ISBLANK(B$3:B$3))</f>
        <v>0</v>
      </c>
      <c r="C12" s="1">
        <f>SUMPRODUCT((NOT(ISBLANK(C$3:C$3))*(C$3:C$3=$I$3:$I$3))+ISBLANK(C$3:C$3))</f>
        <v>0</v>
      </c>
      <c r="D12" s="1"/>
      <c r="E12" s="1"/>
      <c r="F12" s="1"/>
      <c r="G12" s="1"/>
      <c r="H12" s="1"/>
      <c r="I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9" width="11.42578125" customWidth="1"/>
  </cols>
  <sheetData>
    <row r="1" spans="1:9">
      <c r="A1" s="1" t="s">
        <v>15</v>
      </c>
      <c r="B1" s="1" t="s">
        <v>9</v>
      </c>
      <c r="C1" s="2"/>
      <c r="D1" s="1" t="s">
        <v>12</v>
      </c>
      <c r="E1" s="1"/>
      <c r="F1" s="1" t="s">
        <v>13</v>
      </c>
      <c r="G1" s="1"/>
      <c r="H1" s="1" t="s">
        <v>14</v>
      </c>
      <c r="I1" s="1"/>
    </row>
    <row r="2" spans="1:9">
      <c r="A2" s="3" t="s">
        <v>13</v>
      </c>
      <c r="B2" s="1" t="s">
        <v>10</v>
      </c>
      <c r="C2" s="2" t="s">
        <v>11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10</v>
      </c>
      <c r="I2" s="1" t="s">
        <v>11</v>
      </c>
    </row>
    <row r="3" spans="1:9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>
        <f>MIN($B3)</f>
        <v>0</v>
      </c>
      <c r="E3" s="1">
        <f>MIN($C3)</f>
        <v>0</v>
      </c>
      <c r="F3" s="1">
        <f>MEDIAN($B3)</f>
        <v>0</v>
      </c>
      <c r="G3" s="1">
        <f>MEDIAN($C3)</f>
        <v>0</v>
      </c>
      <c r="H3" s="1">
        <f>MAX($B3)</f>
        <v>0</v>
      </c>
      <c r="I3" s="1">
        <f>MAX($C3)</f>
        <v>0</v>
      </c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 t="s">
        <v>1</v>
      </c>
      <c r="B5" s="1">
        <f>SUM(B$3:B$3)</f>
        <v>0</v>
      </c>
      <c r="C5" s="1">
        <f>SUM(C$3:C$3)</f>
        <v>0</v>
      </c>
      <c r="D5" s="1">
        <f>SUM(D$3:D$3)</f>
        <v>0</v>
      </c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</row>
    <row r="6" spans="1:9">
      <c r="A6" s="1" t="s">
        <v>2</v>
      </c>
      <c r="B6" s="1">
        <f>AVERAGE(B$3:B$3)</f>
        <v>0</v>
      </c>
      <c r="C6" s="1">
        <f>AVERAGE(C$3:C$3)</f>
        <v>0</v>
      </c>
      <c r="D6" s="1">
        <f>AVERAGE(D$3:D$3)</f>
        <v>0</v>
      </c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</row>
    <row r="7" spans="1:9">
      <c r="A7" s="1" t="s">
        <v>3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</row>
    <row r="8" spans="1:9">
      <c r="A8" s="1" t="s">
        <v>4</v>
      </c>
      <c r="B8" s="1">
        <f>SUMPRODUCT(--(B$3:B$3-$D$3:$D$3)^2)^0.5</f>
        <v>0</v>
      </c>
      <c r="C8" s="1">
        <f>SUMPRODUCT(--(C$3:C$3-$E$3:$E$3)^2)^0.5</f>
        <v>0</v>
      </c>
      <c r="D8" s="1"/>
      <c r="E8" s="1"/>
      <c r="F8" s="1"/>
      <c r="G8" s="1"/>
      <c r="H8" s="1"/>
      <c r="I8" s="1"/>
    </row>
    <row r="9" spans="1:9">
      <c r="A9" s="1" t="s">
        <v>5</v>
      </c>
      <c r="B9" s="1">
        <f>SUMPRODUCT(NOT(ISBLANK(B$3:B$3))*(B$3:B$3=$D$3:$D$3))</f>
        <v>0</v>
      </c>
      <c r="C9" s="1">
        <f>SUMPRODUCT(NOT(ISBLANK(C$3:C$3))*(C$3:C$3=$E$3:$E$3))</f>
        <v>0</v>
      </c>
      <c r="D9" s="1"/>
      <c r="E9" s="1"/>
      <c r="F9" s="1"/>
      <c r="G9" s="1"/>
      <c r="H9" s="1"/>
      <c r="I9" s="1"/>
    </row>
    <row r="10" spans="1:9">
      <c r="A10" s="1" t="s">
        <v>6</v>
      </c>
      <c r="B10" s="1">
        <f>SUMPRODUCT(NOT(ISBLANK(B$3:B$3))*(B$3:B$3&lt;$F$3:$F$3))</f>
        <v>0</v>
      </c>
      <c r="C10" s="1">
        <f>SUMPRODUCT(NOT(ISBLANK(C$3:C$3))*(C$3:C$3&lt;$G$3:$G$3))</f>
        <v>0</v>
      </c>
      <c r="D10" s="1"/>
      <c r="E10" s="1"/>
      <c r="F10" s="1"/>
      <c r="G10" s="1"/>
      <c r="H10" s="1"/>
      <c r="I10" s="1"/>
    </row>
    <row r="11" spans="1:9">
      <c r="A11" s="1" t="s">
        <v>7</v>
      </c>
      <c r="B11" s="1">
        <f>SUMPRODUCT((NOT(ISBLANK(B$3:B$3))*(B$3:B$3&gt;$F$3:$F$3))+ISBLANK(B$3:B$3))</f>
        <v>0</v>
      </c>
      <c r="C11" s="1">
        <f>SUMPRODUCT((NOT(ISBLANK(C$3:C$3))*(C$3:C$3&gt;$G$3:$G$3))+ISBLANK(C$3:C$3))</f>
        <v>0</v>
      </c>
      <c r="D11" s="1"/>
      <c r="E11" s="1"/>
      <c r="F11" s="1"/>
      <c r="G11" s="1"/>
      <c r="H11" s="1"/>
      <c r="I11" s="1"/>
    </row>
    <row r="12" spans="1:9">
      <c r="A12" s="1" t="s">
        <v>8</v>
      </c>
      <c r="B12" s="1">
        <f>SUMPRODUCT((NOT(ISBLANK(B$3:B$3))*(B$3:B$3=$H$3:$H$3))+ISBLANK(B$3:B$3))</f>
        <v>0</v>
      </c>
      <c r="C12" s="1">
        <f>SUMPRODUCT((NOT(ISBLANK(C$3:C$3))*(C$3:C$3=$I$3:$I$3))+ISBLANK(C$3:C$3))</f>
        <v>0</v>
      </c>
      <c r="D12" s="1"/>
      <c r="E12" s="1"/>
      <c r="F12" s="1"/>
      <c r="G12" s="1"/>
      <c r="H12" s="1"/>
      <c r="I12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9" width="11.42578125" customWidth="1"/>
  </cols>
  <sheetData>
    <row r="1" spans="1:9">
      <c r="A1" s="1"/>
      <c r="B1" s="1" t="s">
        <v>9</v>
      </c>
      <c r="C1" s="2"/>
      <c r="D1" s="1" t="s">
        <v>12</v>
      </c>
      <c r="E1" s="1"/>
      <c r="F1" s="1" t="s">
        <v>13</v>
      </c>
      <c r="G1" s="1"/>
      <c r="H1" s="1" t="s">
        <v>14</v>
      </c>
      <c r="I1" s="1"/>
    </row>
    <row r="2" spans="1:9">
      <c r="A2" s="1"/>
      <c r="B2" s="1" t="s">
        <v>10</v>
      </c>
      <c r="C2" s="2" t="s">
        <v>11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10</v>
      </c>
      <c r="I2" s="1" t="s">
        <v>11</v>
      </c>
    </row>
    <row r="3" spans="1:9">
      <c r="A3" s="1" t="s">
        <v>16</v>
      </c>
      <c r="B3" s="1">
        <f>AVERAGE(Instances!B3:Instances!B3)</f>
        <v>0</v>
      </c>
      <c r="C3" s="1">
        <f>SUM(Instances!C3:Instances!C3)</f>
        <v>0</v>
      </c>
      <c r="D3" s="1">
        <f>MIN($B3)</f>
        <v>0</v>
      </c>
      <c r="E3" s="1">
        <f>MIN($C3)</f>
        <v>0</v>
      </c>
      <c r="F3" s="1">
        <f>MEDIAN($B3)</f>
        <v>0</v>
      </c>
      <c r="G3" s="1">
        <f>MEDIAN($C3)</f>
        <v>0</v>
      </c>
      <c r="H3" s="1">
        <f>MAX($B3)</f>
        <v>0</v>
      </c>
      <c r="I3" s="1">
        <f>MAX($C3)</f>
        <v>0</v>
      </c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 t="s">
        <v>1</v>
      </c>
      <c r="B5" s="1">
        <f>SUM(B$3:B$3)</f>
        <v>0</v>
      </c>
      <c r="C5" s="1">
        <f>SUM(C$3:C$3)</f>
        <v>0</v>
      </c>
      <c r="D5" s="1">
        <f>SUM(D$3:D$3)</f>
        <v>0</v>
      </c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</row>
    <row r="6" spans="1:9">
      <c r="A6" s="1" t="s">
        <v>2</v>
      </c>
      <c r="B6" s="1">
        <f>AVERAGE(B$3:B$3)</f>
        <v>0</v>
      </c>
      <c r="C6" s="1">
        <f>AVERAGE(C$3:C$3)</f>
        <v>0</v>
      </c>
      <c r="D6" s="1">
        <f>AVERAGE(D$3:D$3)</f>
        <v>0</v>
      </c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</row>
    <row r="7" spans="1:9">
      <c r="A7" s="1" t="s">
        <v>3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</row>
    <row r="8" spans="1:9">
      <c r="A8" s="1" t="s">
        <v>4</v>
      </c>
      <c r="B8" s="1">
        <f>SUMPRODUCT(--(B$3:B$3-$D$3:$D$3)^2)^0.5</f>
        <v>0</v>
      </c>
      <c r="C8" s="1">
        <f>SUMPRODUCT(--(C$3:C$3-$E$3:$E$3)^2)^0.5</f>
        <v>0</v>
      </c>
      <c r="D8" s="1"/>
      <c r="E8" s="1"/>
      <c r="F8" s="1"/>
      <c r="G8" s="1"/>
      <c r="H8" s="1"/>
      <c r="I8" s="1"/>
    </row>
    <row r="9" spans="1:9">
      <c r="A9" s="1" t="s">
        <v>5</v>
      </c>
      <c r="B9" s="1">
        <f>SUMPRODUCT(NOT(ISBLANK(B$3:B$3))*(B$3:B$3=$D$3:$D$3))</f>
        <v>0</v>
      </c>
      <c r="C9" s="1">
        <f>SUMPRODUCT(NOT(ISBLANK(C$3:C$3))*(C$3:C$3=$E$3:$E$3))</f>
        <v>0</v>
      </c>
      <c r="D9" s="1"/>
      <c r="E9" s="1"/>
      <c r="F9" s="1"/>
      <c r="G9" s="1"/>
      <c r="H9" s="1"/>
      <c r="I9" s="1"/>
    </row>
    <row r="10" spans="1:9">
      <c r="A10" s="1" t="s">
        <v>6</v>
      </c>
      <c r="B10" s="1">
        <f>SUMPRODUCT(NOT(ISBLANK(B$3:B$3))*(B$3:B$3&lt;$F$3:$F$3))</f>
        <v>0</v>
      </c>
      <c r="C10" s="1">
        <f>SUMPRODUCT(NOT(ISBLANK(C$3:C$3))*(C$3:C$3&lt;$G$3:$G$3))</f>
        <v>0</v>
      </c>
      <c r="D10" s="1"/>
      <c r="E10" s="1"/>
      <c r="F10" s="1"/>
      <c r="G10" s="1"/>
      <c r="H10" s="1"/>
      <c r="I10" s="1"/>
    </row>
    <row r="11" spans="1:9">
      <c r="A11" s="1" t="s">
        <v>7</v>
      </c>
      <c r="B11" s="1">
        <f>SUMPRODUCT((NOT(ISBLANK(B$3:B$3))*(B$3:B$3&gt;$F$3:$F$3))+ISBLANK(B$3:B$3))</f>
        <v>0</v>
      </c>
      <c r="C11" s="1">
        <f>SUMPRODUCT((NOT(ISBLANK(C$3:C$3))*(C$3:C$3&gt;$G$3:$G$3))+ISBLANK(C$3:C$3))</f>
        <v>0</v>
      </c>
      <c r="D11" s="1"/>
      <c r="E11" s="1"/>
      <c r="F11" s="1"/>
      <c r="G11" s="1"/>
      <c r="H11" s="1"/>
      <c r="I11" s="1"/>
    </row>
    <row r="12" spans="1:9">
      <c r="A12" s="1" t="s">
        <v>8</v>
      </c>
      <c r="B12" s="1">
        <f>SUMPRODUCT((NOT(ISBLANK(B$3:B$3))*(B$3:B$3=$H$3:$H$3))+ISBLANK(B$3:B$3))</f>
        <v>0</v>
      </c>
      <c r="C12" s="1">
        <f>SUMPRODUCT((NOT(ISBLANK(C$3:C$3))*(C$3:C$3=$I$3:$I$3))+ISBLANK(C$3:C$3))</f>
        <v>0</v>
      </c>
      <c r="D12" s="1"/>
      <c r="E12" s="1"/>
      <c r="F12" s="1"/>
      <c r="G12" s="1"/>
      <c r="H12" s="1"/>
      <c r="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2026-03-30T14:15:05Z</dcterms:created>
  <dcterms:modified xsi:type="dcterms:W3CDTF">2026-03-30T14:15:05Z</dcterms:modified>
</cp:coreProperties>
</file>