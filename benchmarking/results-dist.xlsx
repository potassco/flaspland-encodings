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stances" sheetId="1" r:id="rId1"/>
    <sheet name="Merged Runs" sheetId="2" r:id="rId2"/>
    <sheet name="Classes" sheetId="3" r:id="rId3"/>
    <sheet name="Helper" sheetId="4" state="hidden" r:id="rId4"/>
    <sheet name="Charts" sheetId="5" r:id="rId5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<sst xmlns="http://schemas.openxmlformats.org/spreadsheetml/2006/main" count="317" uniqueCount="52">
  <si>
    <t>Level_0/2-0000101</t>
  </si>
  <si>
    <t>Level_0/2-0000110</t>
  </si>
  <si>
    <t>Level_0/2-0001001</t>
  </si>
  <si>
    <t>Level_0/2-0001010</t>
  </si>
  <si>
    <t>Level_0/2-0001100</t>
  </si>
  <si>
    <t>Level_0/2-0100001</t>
  </si>
  <si>
    <t>Level_0/2-0100100</t>
  </si>
  <si>
    <t>SUM</t>
  </si>
  <si>
    <t>AVG</t>
  </si>
  <si>
    <t>DEV</t>
  </si>
  <si>
    <t>DST</t>
  </si>
  <si>
    <t>BEST</t>
  </si>
  <si>
    <t>BETTER</t>
  </si>
  <si>
    <t>WORSE</t>
  </si>
  <si>
    <t>WORST</t>
  </si>
  <si>
    <t>clingo-5.8.0/one-as</t>
  </si>
  <si>
    <t>choices</t>
  </si>
  <si>
    <t>conflicts</t>
  </si>
  <si>
    <t>constraints</t>
  </si>
  <si>
    <t>error</t>
  </si>
  <si>
    <t>mem</t>
  </si>
  <si>
    <t>memout</t>
  </si>
  <si>
    <t>models</t>
  </si>
  <si>
    <t>overall-time</t>
  </si>
  <si>
    <t>par2</t>
  </si>
  <si>
    <t>restarts</t>
  </si>
  <si>
    <t>rstatus</t>
  </si>
  <si>
    <t>ok</t>
  </si>
  <si>
    <t>rules</t>
  </si>
  <si>
    <t>solving-time</t>
  </si>
  <si>
    <t>status</t>
  </si>
  <si>
    <t>SATISFIABLE</t>
  </si>
  <si>
    <t>time</t>
  </si>
  <si>
    <t>timeout</t>
  </si>
  <si>
    <t>variables</t>
  </si>
  <si>
    <t>min</t>
  </si>
  <si>
    <t>median</t>
  </si>
  <si>
    <t>max</t>
  </si>
  <si>
    <t>Merge criteria:</t>
  </si>
  <si>
    <t>Level_0</t>
  </si>
  <si>
    <t>data</t>
  </si>
  <si>
    <t>index</t>
  </si>
  <si>
    <t>step</t>
  </si>
  <si>
    <t>sort</t>
  </si>
  <si>
    <t>clean</t>
  </si>
  <si>
    <t>values</t>
  </si>
  <si>
    <t>sorted</t>
  </si>
  <si>
    <t>aggregated</t>
  </si>
  <si>
    <t>plot</t>
  </si>
  <si>
    <t>Select merge criteria:</t>
  </si>
  <si>
    <t>none</t>
  </si>
  <si>
    <t>Select measure:</t>
  </si>
</sst>
</file>

<file path=xl/styles.xml><?xml version="1.0" encoding="utf-8"?>
<styleSheet xmlns="http://schemas.openxmlformats.org/spreadsheetml/2006/main">
  <numFmts count="1">
    <numFmt numFmtId="164" formatCode="0.00"/>
  </numFmts>
  <fonts count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Survivor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(Helper!T5:T19)</c:f>
            </c:numRef>
          </c:xVal>
          <c:yVal>
            <c:numRef>
              <c:f>(Helper!S5:S19)</c:f>
              <c:numCache>
                <c:formatCode>General</c:formatCode>
                <c:ptCount val="0"/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</c:scaling>
        <c:axPos val="b"/>
        <c:title>
          <c:tx>
            <c:strRef>
              <c:f>Charts!$F$3</c:f>
              <c:strCache>
                <c:ptCount val="1"/>
                <c:pt idx="0">
                  <c:v>choices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Cactus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(Helper!Q5:Q19)</c:f>
            </c:numRef>
          </c:xVal>
          <c:yVal>
            <c:numRef>
              <c:f>(Helper!R5:R19)</c:f>
              <c:numCache>
                <c:formatCode>General</c:formatCode>
                <c:ptCount val="0"/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strRef>
              <c:f>Charts!$F$3</c:f>
              <c:strCache>
                <c:ptCount val="1"/>
                <c:pt idx="0">
                  <c:v>choices</c:v>
                </c:pt>
              </c:strCache>
            </c:strRef>
          </c:tx>
          <c:layout/>
          <c:txPr>
            <a:bodyPr rot="-5400000" vert="horz"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CDF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(Helper!R5:R19)</c:f>
            </c:numRef>
          </c:xVal>
          <c:yVal>
            <c:numRef>
              <c:f>(Helper!Q5:Q19)</c:f>
              <c:numCache>
                <c:formatCode>General</c:formatCode>
                <c:ptCount val="0"/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strRef>
              <c:f>Charts!$F$3</c:f>
              <c:strCache>
                <c:ptCount val="1"/>
                <c:pt idx="0">
                  <c:v>choices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</xdr:row>
      <xdr:rowOff>0</xdr:rowOff>
    </xdr:from>
    <xdr:to>
      <xdr:col>8</xdr:col>
      <xdr:colOff>304800</xdr:colOff>
      <xdr:row>18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4</xdr:row>
      <xdr:rowOff>0</xdr:rowOff>
    </xdr:from>
    <xdr:to>
      <xdr:col>17</xdr:col>
      <xdr:colOff>304800</xdr:colOff>
      <xdr:row>18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4</xdr:row>
      <xdr:rowOff>0</xdr:rowOff>
    </xdr:from>
    <xdr:to>
      <xdr:col>26</xdr:col>
      <xdr:colOff>304800</xdr:colOff>
      <xdr:row>18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K18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7.28515625" customWidth="1"/>
    <col min="2" max="8" width="11.42578125" customWidth="1"/>
    <col min="9" max="9" width="12" customWidth="1"/>
    <col min="10" max="13" width="11.42578125" customWidth="1"/>
    <col min="14" max="14" width="12.140625" customWidth="1"/>
    <col min="15" max="15" width="11.7109375" customWidth="1"/>
    <col min="16" max="25" width="11.42578125" customWidth="1"/>
    <col min="26" max="26" width="12" customWidth="1"/>
    <col min="27" max="29" width="11.42578125" customWidth="1"/>
    <col min="30" max="30" width="12.140625" customWidth="1"/>
    <col min="31" max="40" width="11.42578125" customWidth="1"/>
    <col min="41" max="41" width="12" customWidth="1"/>
    <col min="42" max="44" width="11.42578125" customWidth="1"/>
    <col min="45" max="45" width="12.140625" customWidth="1"/>
    <col min="46" max="55" width="11.42578125" customWidth="1"/>
    <col min="56" max="56" width="12" customWidth="1"/>
    <col min="57" max="59" width="11.42578125" customWidth="1"/>
    <col min="60" max="60" width="12.140625" customWidth="1"/>
    <col min="61" max="63" width="11.42578125" customWidth="1"/>
  </cols>
  <sheetData>
    <row r="1" spans="1:63">
      <c r="A1" s="1"/>
      <c r="B1" s="1" t="s">
        <v>15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 t="s">
        <v>35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 t="s">
        <v>36</v>
      </c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 t="s">
        <v>37</v>
      </c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</row>
    <row r="2" spans="1:63">
      <c r="A2" s="1"/>
      <c r="B2" s="1" t="s">
        <v>16</v>
      </c>
      <c r="C2" s="1" t="s">
        <v>17</v>
      </c>
      <c r="D2" s="1" t="s">
        <v>18</v>
      </c>
      <c r="E2" s="1" t="s">
        <v>19</v>
      </c>
      <c r="F2" s="1" t="s">
        <v>20</v>
      </c>
      <c r="G2" s="1" t="s">
        <v>21</v>
      </c>
      <c r="H2" s="1" t="s">
        <v>22</v>
      </c>
      <c r="I2" s="1" t="s">
        <v>23</v>
      </c>
      <c r="J2" s="1" t="s">
        <v>24</v>
      </c>
      <c r="K2" s="1" t="s">
        <v>25</v>
      </c>
      <c r="L2" s="1" t="s">
        <v>26</v>
      </c>
      <c r="M2" s="1" t="s">
        <v>28</v>
      </c>
      <c r="N2" s="1" t="s">
        <v>29</v>
      </c>
      <c r="O2" s="1" t="s">
        <v>30</v>
      </c>
      <c r="P2" s="1" t="s">
        <v>32</v>
      </c>
      <c r="Q2" s="1" t="s">
        <v>33</v>
      </c>
      <c r="R2" s="1" t="s">
        <v>34</v>
      </c>
      <c r="S2" s="1" t="s">
        <v>16</v>
      </c>
      <c r="T2" s="1" t="s">
        <v>17</v>
      </c>
      <c r="U2" s="1" t="s">
        <v>18</v>
      </c>
      <c r="V2" s="1" t="s">
        <v>19</v>
      </c>
      <c r="W2" s="1" t="s">
        <v>20</v>
      </c>
      <c r="X2" s="1" t="s">
        <v>21</v>
      </c>
      <c r="Y2" s="1" t="s">
        <v>22</v>
      </c>
      <c r="Z2" s="1" t="s">
        <v>23</v>
      </c>
      <c r="AA2" s="1" t="s">
        <v>24</v>
      </c>
      <c r="AB2" s="1" t="s">
        <v>25</v>
      </c>
      <c r="AC2" s="1" t="s">
        <v>28</v>
      </c>
      <c r="AD2" s="1" t="s">
        <v>29</v>
      </c>
      <c r="AE2" s="1" t="s">
        <v>32</v>
      </c>
      <c r="AF2" s="1" t="s">
        <v>33</v>
      </c>
      <c r="AG2" s="1" t="s">
        <v>34</v>
      </c>
      <c r="AH2" s="1" t="s">
        <v>16</v>
      </c>
      <c r="AI2" s="1" t="s">
        <v>17</v>
      </c>
      <c r="AJ2" s="1" t="s">
        <v>18</v>
      </c>
      <c r="AK2" s="1" t="s">
        <v>19</v>
      </c>
      <c r="AL2" s="1" t="s">
        <v>20</v>
      </c>
      <c r="AM2" s="1" t="s">
        <v>21</v>
      </c>
      <c r="AN2" s="1" t="s">
        <v>22</v>
      </c>
      <c r="AO2" s="1" t="s">
        <v>23</v>
      </c>
      <c r="AP2" s="1" t="s">
        <v>24</v>
      </c>
      <c r="AQ2" s="1" t="s">
        <v>25</v>
      </c>
      <c r="AR2" s="1" t="s">
        <v>28</v>
      </c>
      <c r="AS2" s="1" t="s">
        <v>29</v>
      </c>
      <c r="AT2" s="1" t="s">
        <v>32</v>
      </c>
      <c r="AU2" s="1" t="s">
        <v>33</v>
      </c>
      <c r="AV2" s="1" t="s">
        <v>34</v>
      </c>
      <c r="AW2" s="1" t="s">
        <v>16</v>
      </c>
      <c r="AX2" s="1" t="s">
        <v>17</v>
      </c>
      <c r="AY2" s="1" t="s">
        <v>18</v>
      </c>
      <c r="AZ2" s="1" t="s">
        <v>19</v>
      </c>
      <c r="BA2" s="1" t="s">
        <v>20</v>
      </c>
      <c r="BB2" s="1" t="s">
        <v>21</v>
      </c>
      <c r="BC2" s="1" t="s">
        <v>22</v>
      </c>
      <c r="BD2" s="1" t="s">
        <v>23</v>
      </c>
      <c r="BE2" s="1" t="s">
        <v>24</v>
      </c>
      <c r="BF2" s="1" t="s">
        <v>25</v>
      </c>
      <c r="BG2" s="1" t="s">
        <v>28</v>
      </c>
      <c r="BH2" s="1" t="s">
        <v>29</v>
      </c>
      <c r="BI2" s="1" t="s">
        <v>32</v>
      </c>
      <c r="BJ2" s="1" t="s">
        <v>33</v>
      </c>
      <c r="BK2" s="1" t="s">
        <v>34</v>
      </c>
    </row>
    <row r="3" spans="1:63">
      <c r="A3" s="1" t="s">
        <v>0</v>
      </c>
      <c r="B3" s="1">
        <v>55152</v>
      </c>
      <c r="C3" s="1">
        <v>4159</v>
      </c>
      <c r="D3" s="1">
        <v>488421</v>
      </c>
      <c r="E3" s="1">
        <v>0</v>
      </c>
      <c r="F3" s="1">
        <v>150</v>
      </c>
      <c r="G3" s="1">
        <v>0</v>
      </c>
      <c r="H3" s="1">
        <v>1</v>
      </c>
      <c r="I3" s="1">
        <v>3.658</v>
      </c>
      <c r="J3" s="1">
        <v>3.78</v>
      </c>
      <c r="K3" s="1">
        <v>20</v>
      </c>
      <c r="L3" s="1" t="s">
        <v>27</v>
      </c>
      <c r="M3" s="1">
        <v>392676</v>
      </c>
      <c r="N3" s="1">
        <v>1.93</v>
      </c>
      <c r="O3" s="1" t="s">
        <v>31</v>
      </c>
      <c r="P3" s="1">
        <v>3.78</v>
      </c>
      <c r="Q3" s="1">
        <v>0</v>
      </c>
      <c r="R3" s="1">
        <v>193697</v>
      </c>
      <c r="S3" s="1">
        <f>MIN($B3)</f>
        <v>0</v>
      </c>
      <c r="T3" s="1">
        <f>MIN($C3)</f>
        <v>0</v>
      </c>
      <c r="U3" s="1">
        <f>MIN($D3)</f>
        <v>0</v>
      </c>
      <c r="V3" s="1">
        <f>MIN($E3)</f>
        <v>0</v>
      </c>
      <c r="W3" s="1">
        <f>MIN($F3)</f>
        <v>0</v>
      </c>
      <c r="X3" s="1">
        <f>MIN($G3)</f>
        <v>0</v>
      </c>
      <c r="Y3" s="1">
        <f>MIN($H3)</f>
        <v>0</v>
      </c>
      <c r="Z3" s="1">
        <f>MIN($I3)</f>
        <v>0</v>
      </c>
      <c r="AA3" s="1">
        <f>MIN($J3)</f>
        <v>0</v>
      </c>
      <c r="AB3" s="1">
        <f>MIN($K3)</f>
        <v>0</v>
      </c>
      <c r="AC3" s="1">
        <f>MIN($M3)</f>
        <v>0</v>
      </c>
      <c r="AD3" s="1">
        <f>MIN($N3)</f>
        <v>0</v>
      </c>
      <c r="AE3" s="1">
        <f>MIN($P3)</f>
        <v>0</v>
      </c>
      <c r="AF3" s="1">
        <f>MIN($Q3)</f>
        <v>0</v>
      </c>
      <c r="AG3" s="1">
        <f>MIN($R3)</f>
        <v>0</v>
      </c>
      <c r="AH3" s="1">
        <f>MEDIAN($B3)</f>
        <v>0</v>
      </c>
      <c r="AI3" s="1">
        <f>MEDIAN($C3)</f>
        <v>0</v>
      </c>
      <c r="AJ3" s="1">
        <f>MEDIAN($D3)</f>
        <v>0</v>
      </c>
      <c r="AK3" s="1">
        <f>MEDIAN($E3)</f>
        <v>0</v>
      </c>
      <c r="AL3" s="1">
        <f>MEDIAN($F3)</f>
        <v>0</v>
      </c>
      <c r="AM3" s="1">
        <f>MEDIAN($G3)</f>
        <v>0</v>
      </c>
      <c r="AN3" s="1">
        <f>MEDIAN($H3)</f>
        <v>0</v>
      </c>
      <c r="AO3" s="1">
        <f>MEDIAN($I3)</f>
        <v>0</v>
      </c>
      <c r="AP3" s="1">
        <f>MEDIAN($J3)</f>
        <v>0</v>
      </c>
      <c r="AQ3" s="1">
        <f>MEDIAN($K3)</f>
        <v>0</v>
      </c>
      <c r="AR3" s="1">
        <f>MEDIAN($M3)</f>
        <v>0</v>
      </c>
      <c r="AS3" s="1">
        <f>MEDIAN($N3)</f>
        <v>0</v>
      </c>
      <c r="AT3" s="1">
        <f>MEDIAN($P3)</f>
        <v>0</v>
      </c>
      <c r="AU3" s="1">
        <f>MEDIAN($Q3)</f>
        <v>0</v>
      </c>
      <c r="AV3" s="1">
        <f>MEDIAN($R3)</f>
        <v>0</v>
      </c>
      <c r="AW3" s="1">
        <f>MAX($B3)</f>
        <v>0</v>
      </c>
      <c r="AX3" s="1">
        <f>MAX($C3)</f>
        <v>0</v>
      </c>
      <c r="AY3" s="1">
        <f>MAX($D3)</f>
        <v>0</v>
      </c>
      <c r="AZ3" s="1">
        <f>MAX($E3)</f>
        <v>0</v>
      </c>
      <c r="BA3" s="1">
        <f>MAX($F3)</f>
        <v>0</v>
      </c>
      <c r="BB3" s="1">
        <f>MAX($G3)</f>
        <v>0</v>
      </c>
      <c r="BC3" s="1">
        <f>MAX($H3)</f>
        <v>0</v>
      </c>
      <c r="BD3" s="1">
        <f>MAX($I3)</f>
        <v>0</v>
      </c>
      <c r="BE3" s="1">
        <f>MAX($J3)</f>
        <v>0</v>
      </c>
      <c r="BF3" s="1">
        <f>MAX($K3)</f>
        <v>0</v>
      </c>
      <c r="BG3" s="1">
        <f>MAX($M3)</f>
        <v>0</v>
      </c>
      <c r="BH3" s="1">
        <f>MAX($N3)</f>
        <v>0</v>
      </c>
      <c r="BI3" s="1">
        <f>MAX($P3)</f>
        <v>0</v>
      </c>
      <c r="BJ3" s="1">
        <f>MAX($Q3)</f>
        <v>0</v>
      </c>
      <c r="BK3" s="1">
        <f>MAX($R3)</f>
        <v>0</v>
      </c>
    </row>
    <row r="4" spans="1:63">
      <c r="A4" s="1" t="s">
        <v>1</v>
      </c>
      <c r="B4" s="1">
        <v>122505</v>
      </c>
      <c r="C4" s="1">
        <v>7330</v>
      </c>
      <c r="D4" s="1">
        <v>609188</v>
      </c>
      <c r="E4" s="1">
        <v>0</v>
      </c>
      <c r="F4" s="1">
        <v>178</v>
      </c>
      <c r="G4" s="1">
        <v>0</v>
      </c>
      <c r="H4" s="1">
        <v>1</v>
      </c>
      <c r="I4" s="1">
        <v>5.096</v>
      </c>
      <c r="J4" s="1">
        <v>5.17</v>
      </c>
      <c r="K4" s="1">
        <v>33</v>
      </c>
      <c r="L4" s="1" t="s">
        <v>27</v>
      </c>
      <c r="M4" s="1">
        <v>470352</v>
      </c>
      <c r="N4" s="1">
        <v>3.09</v>
      </c>
      <c r="O4" s="1" t="s">
        <v>31</v>
      </c>
      <c r="P4" s="1">
        <v>5.17</v>
      </c>
      <c r="Q4" s="1">
        <v>0</v>
      </c>
      <c r="R4" s="1">
        <v>233500</v>
      </c>
      <c r="S4" s="1">
        <f>MIN($B4)</f>
        <v>0</v>
      </c>
      <c r="T4" s="1">
        <f>MIN($C4)</f>
        <v>0</v>
      </c>
      <c r="U4" s="1">
        <f>MIN($D4)</f>
        <v>0</v>
      </c>
      <c r="V4" s="1">
        <f>MIN($E4)</f>
        <v>0</v>
      </c>
      <c r="W4" s="1">
        <f>MIN($F4)</f>
        <v>0</v>
      </c>
      <c r="X4" s="1">
        <f>MIN($G4)</f>
        <v>0</v>
      </c>
      <c r="Y4" s="1">
        <f>MIN($H4)</f>
        <v>0</v>
      </c>
      <c r="Z4" s="1">
        <f>MIN($I4)</f>
        <v>0</v>
      </c>
      <c r="AA4" s="1">
        <f>MIN($J4)</f>
        <v>0</v>
      </c>
      <c r="AB4" s="1">
        <f>MIN($K4)</f>
        <v>0</v>
      </c>
      <c r="AC4" s="1">
        <f>MIN($M4)</f>
        <v>0</v>
      </c>
      <c r="AD4" s="1">
        <f>MIN($N4)</f>
        <v>0</v>
      </c>
      <c r="AE4" s="1">
        <f>MIN($P4)</f>
        <v>0</v>
      </c>
      <c r="AF4" s="1">
        <f>MIN($Q4)</f>
        <v>0</v>
      </c>
      <c r="AG4" s="1">
        <f>MIN($R4)</f>
        <v>0</v>
      </c>
      <c r="AH4" s="1">
        <f>MEDIAN($B4)</f>
        <v>0</v>
      </c>
      <c r="AI4" s="1">
        <f>MEDIAN($C4)</f>
        <v>0</v>
      </c>
      <c r="AJ4" s="1">
        <f>MEDIAN($D4)</f>
        <v>0</v>
      </c>
      <c r="AK4" s="1">
        <f>MEDIAN($E4)</f>
        <v>0</v>
      </c>
      <c r="AL4" s="1">
        <f>MEDIAN($F4)</f>
        <v>0</v>
      </c>
      <c r="AM4" s="1">
        <f>MEDIAN($G4)</f>
        <v>0</v>
      </c>
      <c r="AN4" s="1">
        <f>MEDIAN($H4)</f>
        <v>0</v>
      </c>
      <c r="AO4" s="1">
        <f>MEDIAN($I4)</f>
        <v>0</v>
      </c>
      <c r="AP4" s="1">
        <f>MEDIAN($J4)</f>
        <v>0</v>
      </c>
      <c r="AQ4" s="1">
        <f>MEDIAN($K4)</f>
        <v>0</v>
      </c>
      <c r="AR4" s="1">
        <f>MEDIAN($M4)</f>
        <v>0</v>
      </c>
      <c r="AS4" s="1">
        <f>MEDIAN($N4)</f>
        <v>0</v>
      </c>
      <c r="AT4" s="1">
        <f>MEDIAN($P4)</f>
        <v>0</v>
      </c>
      <c r="AU4" s="1">
        <f>MEDIAN($Q4)</f>
        <v>0</v>
      </c>
      <c r="AV4" s="1">
        <f>MEDIAN($R4)</f>
        <v>0</v>
      </c>
      <c r="AW4" s="1">
        <f>MAX($B4)</f>
        <v>0</v>
      </c>
      <c r="AX4" s="1">
        <f>MAX($C4)</f>
        <v>0</v>
      </c>
      <c r="AY4" s="1">
        <f>MAX($D4)</f>
        <v>0</v>
      </c>
      <c r="AZ4" s="1">
        <f>MAX($E4)</f>
        <v>0</v>
      </c>
      <c r="BA4" s="1">
        <f>MAX($F4)</f>
        <v>0</v>
      </c>
      <c r="BB4" s="1">
        <f>MAX($G4)</f>
        <v>0</v>
      </c>
      <c r="BC4" s="1">
        <f>MAX($H4)</f>
        <v>0</v>
      </c>
      <c r="BD4" s="1">
        <f>MAX($I4)</f>
        <v>0</v>
      </c>
      <c r="BE4" s="1">
        <f>MAX($J4)</f>
        <v>0</v>
      </c>
      <c r="BF4" s="1">
        <f>MAX($K4)</f>
        <v>0</v>
      </c>
      <c r="BG4" s="1">
        <f>MAX($M4)</f>
        <v>0</v>
      </c>
      <c r="BH4" s="1">
        <f>MAX($N4)</f>
        <v>0</v>
      </c>
      <c r="BI4" s="1">
        <f>MAX($P4)</f>
        <v>0</v>
      </c>
      <c r="BJ4" s="1">
        <f>MAX($Q4)</f>
        <v>0</v>
      </c>
      <c r="BK4" s="1">
        <f>MAX($R4)</f>
        <v>0</v>
      </c>
    </row>
    <row r="5" spans="1:63">
      <c r="A5" s="1" t="s">
        <v>2</v>
      </c>
      <c r="B5" s="1">
        <v>387831</v>
      </c>
      <c r="C5" s="1">
        <v>26282</v>
      </c>
      <c r="D5" s="1">
        <v>495284</v>
      </c>
      <c r="E5" s="1">
        <v>0</v>
      </c>
      <c r="F5" s="1">
        <v>149</v>
      </c>
      <c r="G5" s="1">
        <v>0</v>
      </c>
      <c r="H5" s="1">
        <v>1</v>
      </c>
      <c r="I5" s="1">
        <v>11.698</v>
      </c>
      <c r="J5" s="1">
        <v>11.83</v>
      </c>
      <c r="K5" s="1">
        <v>97</v>
      </c>
      <c r="L5" s="1" t="s">
        <v>27</v>
      </c>
      <c r="M5" s="1">
        <v>401088</v>
      </c>
      <c r="N5" s="1">
        <v>9.94</v>
      </c>
      <c r="O5" s="1" t="s">
        <v>31</v>
      </c>
      <c r="P5" s="1">
        <v>11.83</v>
      </c>
      <c r="Q5" s="1">
        <v>0</v>
      </c>
      <c r="R5" s="1">
        <v>196341</v>
      </c>
      <c r="S5" s="1">
        <f>MIN($B5)</f>
        <v>0</v>
      </c>
      <c r="T5" s="1">
        <f>MIN($C5)</f>
        <v>0</v>
      </c>
      <c r="U5" s="1">
        <f>MIN($D5)</f>
        <v>0</v>
      </c>
      <c r="V5" s="1">
        <f>MIN($E5)</f>
        <v>0</v>
      </c>
      <c r="W5" s="1">
        <f>MIN($F5)</f>
        <v>0</v>
      </c>
      <c r="X5" s="1">
        <f>MIN($G5)</f>
        <v>0</v>
      </c>
      <c r="Y5" s="1">
        <f>MIN($H5)</f>
        <v>0</v>
      </c>
      <c r="Z5" s="1">
        <f>MIN($I5)</f>
        <v>0</v>
      </c>
      <c r="AA5" s="1">
        <f>MIN($J5)</f>
        <v>0</v>
      </c>
      <c r="AB5" s="1">
        <f>MIN($K5)</f>
        <v>0</v>
      </c>
      <c r="AC5" s="1">
        <f>MIN($M5)</f>
        <v>0</v>
      </c>
      <c r="AD5" s="1">
        <f>MIN($N5)</f>
        <v>0</v>
      </c>
      <c r="AE5" s="1">
        <f>MIN($P5)</f>
        <v>0</v>
      </c>
      <c r="AF5" s="1">
        <f>MIN($Q5)</f>
        <v>0</v>
      </c>
      <c r="AG5" s="1">
        <f>MIN($R5)</f>
        <v>0</v>
      </c>
      <c r="AH5" s="1">
        <f>MEDIAN($B5)</f>
        <v>0</v>
      </c>
      <c r="AI5" s="1">
        <f>MEDIAN($C5)</f>
        <v>0</v>
      </c>
      <c r="AJ5" s="1">
        <f>MEDIAN($D5)</f>
        <v>0</v>
      </c>
      <c r="AK5" s="1">
        <f>MEDIAN($E5)</f>
        <v>0</v>
      </c>
      <c r="AL5" s="1">
        <f>MEDIAN($F5)</f>
        <v>0</v>
      </c>
      <c r="AM5" s="1">
        <f>MEDIAN($G5)</f>
        <v>0</v>
      </c>
      <c r="AN5" s="1">
        <f>MEDIAN($H5)</f>
        <v>0</v>
      </c>
      <c r="AO5" s="1">
        <f>MEDIAN($I5)</f>
        <v>0</v>
      </c>
      <c r="AP5" s="1">
        <f>MEDIAN($J5)</f>
        <v>0</v>
      </c>
      <c r="AQ5" s="1">
        <f>MEDIAN($K5)</f>
        <v>0</v>
      </c>
      <c r="AR5" s="1">
        <f>MEDIAN($M5)</f>
        <v>0</v>
      </c>
      <c r="AS5" s="1">
        <f>MEDIAN($N5)</f>
        <v>0</v>
      </c>
      <c r="AT5" s="1">
        <f>MEDIAN($P5)</f>
        <v>0</v>
      </c>
      <c r="AU5" s="1">
        <f>MEDIAN($Q5)</f>
        <v>0</v>
      </c>
      <c r="AV5" s="1">
        <f>MEDIAN($R5)</f>
        <v>0</v>
      </c>
      <c r="AW5" s="1">
        <f>MAX($B5)</f>
        <v>0</v>
      </c>
      <c r="AX5" s="1">
        <f>MAX($C5)</f>
        <v>0</v>
      </c>
      <c r="AY5" s="1">
        <f>MAX($D5)</f>
        <v>0</v>
      </c>
      <c r="AZ5" s="1">
        <f>MAX($E5)</f>
        <v>0</v>
      </c>
      <c r="BA5" s="1">
        <f>MAX($F5)</f>
        <v>0</v>
      </c>
      <c r="BB5" s="1">
        <f>MAX($G5)</f>
        <v>0</v>
      </c>
      <c r="BC5" s="1">
        <f>MAX($H5)</f>
        <v>0</v>
      </c>
      <c r="BD5" s="1">
        <f>MAX($I5)</f>
        <v>0</v>
      </c>
      <c r="BE5" s="1">
        <f>MAX($J5)</f>
        <v>0</v>
      </c>
      <c r="BF5" s="1">
        <f>MAX($K5)</f>
        <v>0</v>
      </c>
      <c r="BG5" s="1">
        <f>MAX($M5)</f>
        <v>0</v>
      </c>
      <c r="BH5" s="1">
        <f>MAX($N5)</f>
        <v>0</v>
      </c>
      <c r="BI5" s="1">
        <f>MAX($P5)</f>
        <v>0</v>
      </c>
      <c r="BJ5" s="1">
        <f>MAX($Q5)</f>
        <v>0</v>
      </c>
      <c r="BK5" s="1">
        <f>MAX($R5)</f>
        <v>0</v>
      </c>
    </row>
    <row r="6" spans="1:63">
      <c r="A6" s="1" t="s">
        <v>3</v>
      </c>
      <c r="B6" s="1">
        <v>270422</v>
      </c>
      <c r="C6" s="1">
        <v>12444</v>
      </c>
      <c r="D6" s="1">
        <v>852324</v>
      </c>
      <c r="E6" s="1">
        <v>0</v>
      </c>
      <c r="F6" s="1">
        <v>233</v>
      </c>
      <c r="G6" s="1">
        <v>0</v>
      </c>
      <c r="H6" s="1">
        <v>1</v>
      </c>
      <c r="I6" s="1">
        <v>7.552</v>
      </c>
      <c r="J6" s="1">
        <v>7.64</v>
      </c>
      <c r="K6" s="1">
        <v>46</v>
      </c>
      <c r="L6" s="1" t="s">
        <v>27</v>
      </c>
      <c r="M6" s="1">
        <v>632700</v>
      </c>
      <c r="N6" s="1">
        <v>5.32</v>
      </c>
      <c r="O6" s="1" t="s">
        <v>31</v>
      </c>
      <c r="P6" s="1">
        <v>7.64</v>
      </c>
      <c r="Q6" s="1">
        <v>0</v>
      </c>
      <c r="R6" s="1">
        <v>313241</v>
      </c>
      <c r="S6" s="1">
        <f>MIN($B6)</f>
        <v>0</v>
      </c>
      <c r="T6" s="1">
        <f>MIN($C6)</f>
        <v>0</v>
      </c>
      <c r="U6" s="1">
        <f>MIN($D6)</f>
        <v>0</v>
      </c>
      <c r="V6" s="1">
        <f>MIN($E6)</f>
        <v>0</v>
      </c>
      <c r="W6" s="1">
        <f>MIN($F6)</f>
        <v>0</v>
      </c>
      <c r="X6" s="1">
        <f>MIN($G6)</f>
        <v>0</v>
      </c>
      <c r="Y6" s="1">
        <f>MIN($H6)</f>
        <v>0</v>
      </c>
      <c r="Z6" s="1">
        <f>MIN($I6)</f>
        <v>0</v>
      </c>
      <c r="AA6" s="1">
        <f>MIN($J6)</f>
        <v>0</v>
      </c>
      <c r="AB6" s="1">
        <f>MIN($K6)</f>
        <v>0</v>
      </c>
      <c r="AC6" s="1">
        <f>MIN($M6)</f>
        <v>0</v>
      </c>
      <c r="AD6" s="1">
        <f>MIN($N6)</f>
        <v>0</v>
      </c>
      <c r="AE6" s="1">
        <f>MIN($P6)</f>
        <v>0</v>
      </c>
      <c r="AF6" s="1">
        <f>MIN($Q6)</f>
        <v>0</v>
      </c>
      <c r="AG6" s="1">
        <f>MIN($R6)</f>
        <v>0</v>
      </c>
      <c r="AH6" s="1">
        <f>MEDIAN($B6)</f>
        <v>0</v>
      </c>
      <c r="AI6" s="1">
        <f>MEDIAN($C6)</f>
        <v>0</v>
      </c>
      <c r="AJ6" s="1">
        <f>MEDIAN($D6)</f>
        <v>0</v>
      </c>
      <c r="AK6" s="1">
        <f>MEDIAN($E6)</f>
        <v>0</v>
      </c>
      <c r="AL6" s="1">
        <f>MEDIAN($F6)</f>
        <v>0</v>
      </c>
      <c r="AM6" s="1">
        <f>MEDIAN($G6)</f>
        <v>0</v>
      </c>
      <c r="AN6" s="1">
        <f>MEDIAN($H6)</f>
        <v>0</v>
      </c>
      <c r="AO6" s="1">
        <f>MEDIAN($I6)</f>
        <v>0</v>
      </c>
      <c r="AP6" s="1">
        <f>MEDIAN($J6)</f>
        <v>0</v>
      </c>
      <c r="AQ6" s="1">
        <f>MEDIAN($K6)</f>
        <v>0</v>
      </c>
      <c r="AR6" s="1">
        <f>MEDIAN($M6)</f>
        <v>0</v>
      </c>
      <c r="AS6" s="1">
        <f>MEDIAN($N6)</f>
        <v>0</v>
      </c>
      <c r="AT6" s="1">
        <f>MEDIAN($P6)</f>
        <v>0</v>
      </c>
      <c r="AU6" s="1">
        <f>MEDIAN($Q6)</f>
        <v>0</v>
      </c>
      <c r="AV6" s="1">
        <f>MEDIAN($R6)</f>
        <v>0</v>
      </c>
      <c r="AW6" s="1">
        <f>MAX($B6)</f>
        <v>0</v>
      </c>
      <c r="AX6" s="1">
        <f>MAX($C6)</f>
        <v>0</v>
      </c>
      <c r="AY6" s="1">
        <f>MAX($D6)</f>
        <v>0</v>
      </c>
      <c r="AZ6" s="1">
        <f>MAX($E6)</f>
        <v>0</v>
      </c>
      <c r="BA6" s="1">
        <f>MAX($F6)</f>
        <v>0</v>
      </c>
      <c r="BB6" s="1">
        <f>MAX($G6)</f>
        <v>0</v>
      </c>
      <c r="BC6" s="1">
        <f>MAX($H6)</f>
        <v>0</v>
      </c>
      <c r="BD6" s="1">
        <f>MAX($I6)</f>
        <v>0</v>
      </c>
      <c r="BE6" s="1">
        <f>MAX($J6)</f>
        <v>0</v>
      </c>
      <c r="BF6" s="1">
        <f>MAX($K6)</f>
        <v>0</v>
      </c>
      <c r="BG6" s="1">
        <f>MAX($M6)</f>
        <v>0</v>
      </c>
      <c r="BH6" s="1">
        <f>MAX($N6)</f>
        <v>0</v>
      </c>
      <c r="BI6" s="1">
        <f>MAX($P6)</f>
        <v>0</v>
      </c>
      <c r="BJ6" s="1">
        <f>MAX($Q6)</f>
        <v>0</v>
      </c>
      <c r="BK6" s="1">
        <f>MAX($R6)</f>
        <v>0</v>
      </c>
    </row>
    <row r="7" spans="1:63">
      <c r="A7" s="1" t="s">
        <v>4</v>
      </c>
      <c r="B7" s="1">
        <v>36275</v>
      </c>
      <c r="C7" s="1">
        <v>1563</v>
      </c>
      <c r="D7" s="1">
        <v>559605</v>
      </c>
      <c r="E7" s="1">
        <v>0</v>
      </c>
      <c r="F7" s="1">
        <v>167</v>
      </c>
      <c r="G7" s="1">
        <v>0</v>
      </c>
      <c r="H7" s="1">
        <v>1</v>
      </c>
      <c r="I7" s="1">
        <v>2.922</v>
      </c>
      <c r="J7" s="1">
        <v>2.98</v>
      </c>
      <c r="K7" s="1">
        <v>9</v>
      </c>
      <c r="L7" s="1" t="s">
        <v>27</v>
      </c>
      <c r="M7" s="1">
        <v>438420</v>
      </c>
      <c r="N7" s="1">
        <v>1.01</v>
      </c>
      <c r="O7" s="1" t="s">
        <v>31</v>
      </c>
      <c r="P7" s="1">
        <v>2.98</v>
      </c>
      <c r="Q7" s="1">
        <v>0</v>
      </c>
      <c r="R7" s="1">
        <v>217457</v>
      </c>
      <c r="S7" s="1">
        <f>MIN($B7)</f>
        <v>0</v>
      </c>
      <c r="T7" s="1">
        <f>MIN($C7)</f>
        <v>0</v>
      </c>
      <c r="U7" s="1">
        <f>MIN($D7)</f>
        <v>0</v>
      </c>
      <c r="V7" s="1">
        <f>MIN($E7)</f>
        <v>0</v>
      </c>
      <c r="W7" s="1">
        <f>MIN($F7)</f>
        <v>0</v>
      </c>
      <c r="X7" s="1">
        <f>MIN($G7)</f>
        <v>0</v>
      </c>
      <c r="Y7" s="1">
        <f>MIN($H7)</f>
        <v>0</v>
      </c>
      <c r="Z7" s="1">
        <f>MIN($I7)</f>
        <v>0</v>
      </c>
      <c r="AA7" s="1">
        <f>MIN($J7)</f>
        <v>0</v>
      </c>
      <c r="AB7" s="1">
        <f>MIN($K7)</f>
        <v>0</v>
      </c>
      <c r="AC7" s="1">
        <f>MIN($M7)</f>
        <v>0</v>
      </c>
      <c r="AD7" s="1">
        <f>MIN($N7)</f>
        <v>0</v>
      </c>
      <c r="AE7" s="1">
        <f>MIN($P7)</f>
        <v>0</v>
      </c>
      <c r="AF7" s="1">
        <f>MIN($Q7)</f>
        <v>0</v>
      </c>
      <c r="AG7" s="1">
        <f>MIN($R7)</f>
        <v>0</v>
      </c>
      <c r="AH7" s="1">
        <f>MEDIAN($B7)</f>
        <v>0</v>
      </c>
      <c r="AI7" s="1">
        <f>MEDIAN($C7)</f>
        <v>0</v>
      </c>
      <c r="AJ7" s="1">
        <f>MEDIAN($D7)</f>
        <v>0</v>
      </c>
      <c r="AK7" s="1">
        <f>MEDIAN($E7)</f>
        <v>0</v>
      </c>
      <c r="AL7" s="1">
        <f>MEDIAN($F7)</f>
        <v>0</v>
      </c>
      <c r="AM7" s="1">
        <f>MEDIAN($G7)</f>
        <v>0</v>
      </c>
      <c r="AN7" s="1">
        <f>MEDIAN($H7)</f>
        <v>0</v>
      </c>
      <c r="AO7" s="1">
        <f>MEDIAN($I7)</f>
        <v>0</v>
      </c>
      <c r="AP7" s="1">
        <f>MEDIAN($J7)</f>
        <v>0</v>
      </c>
      <c r="AQ7" s="1">
        <f>MEDIAN($K7)</f>
        <v>0</v>
      </c>
      <c r="AR7" s="1">
        <f>MEDIAN($M7)</f>
        <v>0</v>
      </c>
      <c r="AS7" s="1">
        <f>MEDIAN($N7)</f>
        <v>0</v>
      </c>
      <c r="AT7" s="1">
        <f>MEDIAN($P7)</f>
        <v>0</v>
      </c>
      <c r="AU7" s="1">
        <f>MEDIAN($Q7)</f>
        <v>0</v>
      </c>
      <c r="AV7" s="1">
        <f>MEDIAN($R7)</f>
        <v>0</v>
      </c>
      <c r="AW7" s="1">
        <f>MAX($B7)</f>
        <v>0</v>
      </c>
      <c r="AX7" s="1">
        <f>MAX($C7)</f>
        <v>0</v>
      </c>
      <c r="AY7" s="1">
        <f>MAX($D7)</f>
        <v>0</v>
      </c>
      <c r="AZ7" s="1">
        <f>MAX($E7)</f>
        <v>0</v>
      </c>
      <c r="BA7" s="1">
        <f>MAX($F7)</f>
        <v>0</v>
      </c>
      <c r="BB7" s="1">
        <f>MAX($G7)</f>
        <v>0</v>
      </c>
      <c r="BC7" s="1">
        <f>MAX($H7)</f>
        <v>0</v>
      </c>
      <c r="BD7" s="1">
        <f>MAX($I7)</f>
        <v>0</v>
      </c>
      <c r="BE7" s="1">
        <f>MAX($J7)</f>
        <v>0</v>
      </c>
      <c r="BF7" s="1">
        <f>MAX($K7)</f>
        <v>0</v>
      </c>
      <c r="BG7" s="1">
        <f>MAX($M7)</f>
        <v>0</v>
      </c>
      <c r="BH7" s="1">
        <f>MAX($N7)</f>
        <v>0</v>
      </c>
      <c r="BI7" s="1">
        <f>MAX($P7)</f>
        <v>0</v>
      </c>
      <c r="BJ7" s="1">
        <f>MAX($Q7)</f>
        <v>0</v>
      </c>
      <c r="BK7" s="1">
        <f>MAX($R7)</f>
        <v>0</v>
      </c>
    </row>
    <row r="8" spans="1:63">
      <c r="A8" s="1" t="s">
        <v>5</v>
      </c>
      <c r="B8" s="1">
        <v>75981</v>
      </c>
      <c r="C8" s="1">
        <v>5204</v>
      </c>
      <c r="D8" s="1">
        <v>354236</v>
      </c>
      <c r="E8" s="1">
        <v>0</v>
      </c>
      <c r="F8" s="1">
        <v>116</v>
      </c>
      <c r="G8" s="1">
        <v>0</v>
      </c>
      <c r="H8" s="1">
        <v>1</v>
      </c>
      <c r="I8" s="1">
        <v>3.74</v>
      </c>
      <c r="J8" s="1">
        <v>3.83</v>
      </c>
      <c r="K8" s="1">
        <v>24</v>
      </c>
      <c r="L8" s="1" t="s">
        <v>27</v>
      </c>
      <c r="M8" s="1">
        <v>307864</v>
      </c>
      <c r="N8" s="1">
        <v>2.4</v>
      </c>
      <c r="O8" s="1" t="s">
        <v>31</v>
      </c>
      <c r="P8" s="1">
        <v>3.83</v>
      </c>
      <c r="Q8" s="1">
        <v>0</v>
      </c>
      <c r="R8" s="1">
        <v>149393</v>
      </c>
      <c r="S8" s="1">
        <f>MIN($B8)</f>
        <v>0</v>
      </c>
      <c r="T8" s="1">
        <f>MIN($C8)</f>
        <v>0</v>
      </c>
      <c r="U8" s="1">
        <f>MIN($D8)</f>
        <v>0</v>
      </c>
      <c r="V8" s="1">
        <f>MIN($E8)</f>
        <v>0</v>
      </c>
      <c r="W8" s="1">
        <f>MIN($F8)</f>
        <v>0</v>
      </c>
      <c r="X8" s="1">
        <f>MIN($G8)</f>
        <v>0</v>
      </c>
      <c r="Y8" s="1">
        <f>MIN($H8)</f>
        <v>0</v>
      </c>
      <c r="Z8" s="1">
        <f>MIN($I8)</f>
        <v>0</v>
      </c>
      <c r="AA8" s="1">
        <f>MIN($J8)</f>
        <v>0</v>
      </c>
      <c r="AB8" s="1">
        <f>MIN($K8)</f>
        <v>0</v>
      </c>
      <c r="AC8" s="1">
        <f>MIN($M8)</f>
        <v>0</v>
      </c>
      <c r="AD8" s="1">
        <f>MIN($N8)</f>
        <v>0</v>
      </c>
      <c r="AE8" s="1">
        <f>MIN($P8)</f>
        <v>0</v>
      </c>
      <c r="AF8" s="1">
        <f>MIN($Q8)</f>
        <v>0</v>
      </c>
      <c r="AG8" s="1">
        <f>MIN($R8)</f>
        <v>0</v>
      </c>
      <c r="AH8" s="1">
        <f>MEDIAN($B8)</f>
        <v>0</v>
      </c>
      <c r="AI8" s="1">
        <f>MEDIAN($C8)</f>
        <v>0</v>
      </c>
      <c r="AJ8" s="1">
        <f>MEDIAN($D8)</f>
        <v>0</v>
      </c>
      <c r="AK8" s="1">
        <f>MEDIAN($E8)</f>
        <v>0</v>
      </c>
      <c r="AL8" s="1">
        <f>MEDIAN($F8)</f>
        <v>0</v>
      </c>
      <c r="AM8" s="1">
        <f>MEDIAN($G8)</f>
        <v>0</v>
      </c>
      <c r="AN8" s="1">
        <f>MEDIAN($H8)</f>
        <v>0</v>
      </c>
      <c r="AO8" s="1">
        <f>MEDIAN($I8)</f>
        <v>0</v>
      </c>
      <c r="AP8" s="1">
        <f>MEDIAN($J8)</f>
        <v>0</v>
      </c>
      <c r="AQ8" s="1">
        <f>MEDIAN($K8)</f>
        <v>0</v>
      </c>
      <c r="AR8" s="1">
        <f>MEDIAN($M8)</f>
        <v>0</v>
      </c>
      <c r="AS8" s="1">
        <f>MEDIAN($N8)</f>
        <v>0</v>
      </c>
      <c r="AT8" s="1">
        <f>MEDIAN($P8)</f>
        <v>0</v>
      </c>
      <c r="AU8" s="1">
        <f>MEDIAN($Q8)</f>
        <v>0</v>
      </c>
      <c r="AV8" s="1">
        <f>MEDIAN($R8)</f>
        <v>0</v>
      </c>
      <c r="AW8" s="1">
        <f>MAX($B8)</f>
        <v>0</v>
      </c>
      <c r="AX8" s="1">
        <f>MAX($C8)</f>
        <v>0</v>
      </c>
      <c r="AY8" s="1">
        <f>MAX($D8)</f>
        <v>0</v>
      </c>
      <c r="AZ8" s="1">
        <f>MAX($E8)</f>
        <v>0</v>
      </c>
      <c r="BA8" s="1">
        <f>MAX($F8)</f>
        <v>0</v>
      </c>
      <c r="BB8" s="1">
        <f>MAX($G8)</f>
        <v>0</v>
      </c>
      <c r="BC8" s="1">
        <f>MAX($H8)</f>
        <v>0</v>
      </c>
      <c r="BD8" s="1">
        <f>MAX($I8)</f>
        <v>0</v>
      </c>
      <c r="BE8" s="1">
        <f>MAX($J8)</f>
        <v>0</v>
      </c>
      <c r="BF8" s="1">
        <f>MAX($K8)</f>
        <v>0</v>
      </c>
      <c r="BG8" s="1">
        <f>MAX($M8)</f>
        <v>0</v>
      </c>
      <c r="BH8" s="1">
        <f>MAX($N8)</f>
        <v>0</v>
      </c>
      <c r="BI8" s="1">
        <f>MAX($P8)</f>
        <v>0</v>
      </c>
      <c r="BJ8" s="1">
        <f>MAX($Q8)</f>
        <v>0</v>
      </c>
      <c r="BK8" s="1">
        <f>MAX($R8)</f>
        <v>0</v>
      </c>
    </row>
    <row r="9" spans="1:63">
      <c r="A9" s="1" t="s">
        <v>6</v>
      </c>
      <c r="B9" s="1">
        <v>2022</v>
      </c>
      <c r="C9" s="1">
        <v>5</v>
      </c>
      <c r="D9" s="1">
        <v>381776</v>
      </c>
      <c r="E9" s="1">
        <v>0</v>
      </c>
      <c r="F9" s="1">
        <v>122</v>
      </c>
      <c r="G9" s="1">
        <v>0</v>
      </c>
      <c r="H9" s="1">
        <v>1</v>
      </c>
      <c r="I9" s="1">
        <v>1.237</v>
      </c>
      <c r="J9" s="1">
        <v>1.31</v>
      </c>
      <c r="K9" s="1">
        <v>0</v>
      </c>
      <c r="L9" s="1" t="s">
        <v>27</v>
      </c>
      <c r="M9" s="1">
        <v>327214</v>
      </c>
      <c r="N9" s="1">
        <v>0.03</v>
      </c>
      <c r="O9" s="1" t="s">
        <v>31</v>
      </c>
      <c r="P9" s="1">
        <v>1.31</v>
      </c>
      <c r="Q9" s="1">
        <v>0</v>
      </c>
      <c r="R9" s="1">
        <v>159671</v>
      </c>
      <c r="S9" s="1">
        <f>MIN($B9)</f>
        <v>0</v>
      </c>
      <c r="T9" s="1">
        <f>MIN($C9)</f>
        <v>0</v>
      </c>
      <c r="U9" s="1">
        <f>MIN($D9)</f>
        <v>0</v>
      </c>
      <c r="V9" s="1">
        <f>MIN($E9)</f>
        <v>0</v>
      </c>
      <c r="W9" s="1">
        <f>MIN($F9)</f>
        <v>0</v>
      </c>
      <c r="X9" s="1">
        <f>MIN($G9)</f>
        <v>0</v>
      </c>
      <c r="Y9" s="1">
        <f>MIN($H9)</f>
        <v>0</v>
      </c>
      <c r="Z9" s="1">
        <f>MIN($I9)</f>
        <v>0</v>
      </c>
      <c r="AA9" s="1">
        <f>MIN($J9)</f>
        <v>0</v>
      </c>
      <c r="AB9" s="1">
        <f>MIN($K9)</f>
        <v>0</v>
      </c>
      <c r="AC9" s="1">
        <f>MIN($M9)</f>
        <v>0</v>
      </c>
      <c r="AD9" s="1">
        <f>MIN($N9)</f>
        <v>0</v>
      </c>
      <c r="AE9" s="1">
        <f>MIN($P9)</f>
        <v>0</v>
      </c>
      <c r="AF9" s="1">
        <f>MIN($Q9)</f>
        <v>0</v>
      </c>
      <c r="AG9" s="1">
        <f>MIN($R9)</f>
        <v>0</v>
      </c>
      <c r="AH9" s="1">
        <f>MEDIAN($B9)</f>
        <v>0</v>
      </c>
      <c r="AI9" s="1">
        <f>MEDIAN($C9)</f>
        <v>0</v>
      </c>
      <c r="AJ9" s="1">
        <f>MEDIAN($D9)</f>
        <v>0</v>
      </c>
      <c r="AK9" s="1">
        <f>MEDIAN($E9)</f>
        <v>0</v>
      </c>
      <c r="AL9" s="1">
        <f>MEDIAN($F9)</f>
        <v>0</v>
      </c>
      <c r="AM9" s="1">
        <f>MEDIAN($G9)</f>
        <v>0</v>
      </c>
      <c r="AN9" s="1">
        <f>MEDIAN($H9)</f>
        <v>0</v>
      </c>
      <c r="AO9" s="1">
        <f>MEDIAN($I9)</f>
        <v>0</v>
      </c>
      <c r="AP9" s="1">
        <f>MEDIAN($J9)</f>
        <v>0</v>
      </c>
      <c r="AQ9" s="1">
        <f>MEDIAN($K9)</f>
        <v>0</v>
      </c>
      <c r="AR9" s="1">
        <f>MEDIAN($M9)</f>
        <v>0</v>
      </c>
      <c r="AS9" s="1">
        <f>MEDIAN($N9)</f>
        <v>0</v>
      </c>
      <c r="AT9" s="1">
        <f>MEDIAN($P9)</f>
        <v>0</v>
      </c>
      <c r="AU9" s="1">
        <f>MEDIAN($Q9)</f>
        <v>0</v>
      </c>
      <c r="AV9" s="1">
        <f>MEDIAN($R9)</f>
        <v>0</v>
      </c>
      <c r="AW9" s="1">
        <f>MAX($B9)</f>
        <v>0</v>
      </c>
      <c r="AX9" s="1">
        <f>MAX($C9)</f>
        <v>0</v>
      </c>
      <c r="AY9" s="1">
        <f>MAX($D9)</f>
        <v>0</v>
      </c>
      <c r="AZ9" s="1">
        <f>MAX($E9)</f>
        <v>0</v>
      </c>
      <c r="BA9" s="1">
        <f>MAX($F9)</f>
        <v>0</v>
      </c>
      <c r="BB9" s="1">
        <f>MAX($G9)</f>
        <v>0</v>
      </c>
      <c r="BC9" s="1">
        <f>MAX($H9)</f>
        <v>0</v>
      </c>
      <c r="BD9" s="1">
        <f>MAX($I9)</f>
        <v>0</v>
      </c>
      <c r="BE9" s="1">
        <f>MAX($J9)</f>
        <v>0</v>
      </c>
      <c r="BF9" s="1">
        <f>MAX($K9)</f>
        <v>0</v>
      </c>
      <c r="BG9" s="1">
        <f>MAX($M9)</f>
        <v>0</v>
      </c>
      <c r="BH9" s="1">
        <f>MAX($N9)</f>
        <v>0</v>
      </c>
      <c r="BI9" s="1">
        <f>MAX($P9)</f>
        <v>0</v>
      </c>
      <c r="BJ9" s="1">
        <f>MAX($Q9)</f>
        <v>0</v>
      </c>
      <c r="BK9" s="1">
        <f>MAX($R9)</f>
        <v>0</v>
      </c>
    </row>
    <row r="10" spans="1:6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</row>
    <row r="11" spans="1:63">
      <c r="A11" s="1" t="s">
        <v>7</v>
      </c>
      <c r="B11" s="1">
        <f>SUM(B$3:B$9)</f>
        <v>0</v>
      </c>
      <c r="C11" s="1">
        <f>SUM(C$3:C$9)</f>
        <v>0</v>
      </c>
      <c r="D11" s="1">
        <f>SUM(D$3:D$9)</f>
        <v>0</v>
      </c>
      <c r="E11" s="1">
        <f>SUM(E$3:E$9)</f>
        <v>0</v>
      </c>
      <c r="F11" s="1">
        <f>SUM(F$3:F$9)</f>
        <v>0</v>
      </c>
      <c r="G11" s="1">
        <f>SUM(G$3:G$9)</f>
        <v>0</v>
      </c>
      <c r="H11" s="1">
        <f>SUM(H$3:H$9)</f>
        <v>0</v>
      </c>
      <c r="I11" s="1">
        <f>SUM(I$3:I$9)</f>
        <v>0</v>
      </c>
      <c r="J11" s="1">
        <f>SUM(J$3:J$9)</f>
        <v>0</v>
      </c>
      <c r="K11" s="1">
        <f>SUM(K$3:K$9)</f>
        <v>0</v>
      </c>
      <c r="L11" s="1"/>
      <c r="M11" s="1">
        <f>SUM(M$3:M$9)</f>
        <v>0</v>
      </c>
      <c r="N11" s="1">
        <f>SUM(N$3:N$9)</f>
        <v>0</v>
      </c>
      <c r="O11" s="1"/>
      <c r="P11" s="1">
        <f>SUM(P$3:P$9)</f>
        <v>0</v>
      </c>
      <c r="Q11" s="1">
        <f>SUM(Q$3:Q$9)</f>
        <v>0</v>
      </c>
      <c r="R11" s="1">
        <f>SUM(R$3:R$9)</f>
        <v>0</v>
      </c>
      <c r="S11" s="1">
        <f>SUM(S$3:S$9)</f>
        <v>0</v>
      </c>
      <c r="T11" s="1">
        <f>SUM(T$3:T$9)</f>
        <v>0</v>
      </c>
      <c r="U11" s="1">
        <f>SUM(U$3:U$9)</f>
        <v>0</v>
      </c>
      <c r="V11" s="1">
        <f>SUM(V$3:V$9)</f>
        <v>0</v>
      </c>
      <c r="W11" s="1">
        <f>SUM(W$3:W$9)</f>
        <v>0</v>
      </c>
      <c r="X11" s="1">
        <f>SUM(X$3:X$9)</f>
        <v>0</v>
      </c>
      <c r="Y11" s="1">
        <f>SUM(Y$3:Y$9)</f>
        <v>0</v>
      </c>
      <c r="Z11" s="1">
        <f>SUM(Z$3:Z$9)</f>
        <v>0</v>
      </c>
      <c r="AA11" s="1">
        <f>SUM(AA$3:AA$9)</f>
        <v>0</v>
      </c>
      <c r="AB11" s="1">
        <f>SUM(AB$3:AB$9)</f>
        <v>0</v>
      </c>
      <c r="AC11" s="1">
        <f>SUM(AC$3:AC$9)</f>
        <v>0</v>
      </c>
      <c r="AD11" s="1">
        <f>SUM(AD$3:AD$9)</f>
        <v>0</v>
      </c>
      <c r="AE11" s="1">
        <f>SUM(AE$3:AE$9)</f>
        <v>0</v>
      </c>
      <c r="AF11" s="1">
        <f>SUM(AF$3:AF$9)</f>
        <v>0</v>
      </c>
      <c r="AG11" s="1">
        <f>SUM(AG$3:AG$9)</f>
        <v>0</v>
      </c>
      <c r="AH11" s="1">
        <f>SUM(AH$3:AH$9)</f>
        <v>0</v>
      </c>
      <c r="AI11" s="1">
        <f>SUM(AI$3:AI$9)</f>
        <v>0</v>
      </c>
      <c r="AJ11" s="1">
        <f>SUM(AJ$3:AJ$9)</f>
        <v>0</v>
      </c>
      <c r="AK11" s="1">
        <f>SUM(AK$3:AK$9)</f>
        <v>0</v>
      </c>
      <c r="AL11" s="1">
        <f>SUM(AL$3:AL$9)</f>
        <v>0</v>
      </c>
      <c r="AM11" s="1">
        <f>SUM(AM$3:AM$9)</f>
        <v>0</v>
      </c>
      <c r="AN11" s="1">
        <f>SUM(AN$3:AN$9)</f>
        <v>0</v>
      </c>
      <c r="AO11" s="1">
        <f>SUM(AO$3:AO$9)</f>
        <v>0</v>
      </c>
      <c r="AP11" s="1">
        <f>SUM(AP$3:AP$9)</f>
        <v>0</v>
      </c>
      <c r="AQ11" s="1">
        <f>SUM(AQ$3:AQ$9)</f>
        <v>0</v>
      </c>
      <c r="AR11" s="1">
        <f>SUM(AR$3:AR$9)</f>
        <v>0</v>
      </c>
      <c r="AS11" s="1">
        <f>SUM(AS$3:AS$9)</f>
        <v>0</v>
      </c>
      <c r="AT11" s="1">
        <f>SUM(AT$3:AT$9)</f>
        <v>0</v>
      </c>
      <c r="AU11" s="1">
        <f>SUM(AU$3:AU$9)</f>
        <v>0</v>
      </c>
      <c r="AV11" s="1">
        <f>SUM(AV$3:AV$9)</f>
        <v>0</v>
      </c>
      <c r="AW11" s="1">
        <f>SUM(AW$3:AW$9)</f>
        <v>0</v>
      </c>
      <c r="AX11" s="1">
        <f>SUM(AX$3:AX$9)</f>
        <v>0</v>
      </c>
      <c r="AY11" s="1">
        <f>SUM(AY$3:AY$9)</f>
        <v>0</v>
      </c>
      <c r="AZ11" s="1">
        <f>SUM(AZ$3:AZ$9)</f>
        <v>0</v>
      </c>
      <c r="BA11" s="1">
        <f>SUM(BA$3:BA$9)</f>
        <v>0</v>
      </c>
      <c r="BB11" s="1">
        <f>SUM(BB$3:BB$9)</f>
        <v>0</v>
      </c>
      <c r="BC11" s="1">
        <f>SUM(BC$3:BC$9)</f>
        <v>0</v>
      </c>
      <c r="BD11" s="1">
        <f>SUM(BD$3:BD$9)</f>
        <v>0</v>
      </c>
      <c r="BE11" s="1">
        <f>SUM(BE$3:BE$9)</f>
        <v>0</v>
      </c>
      <c r="BF11" s="1">
        <f>SUM(BF$3:BF$9)</f>
        <v>0</v>
      </c>
      <c r="BG11" s="1">
        <f>SUM(BG$3:BG$9)</f>
        <v>0</v>
      </c>
      <c r="BH11" s="1">
        <f>SUM(BH$3:BH$9)</f>
        <v>0</v>
      </c>
      <c r="BI11" s="1">
        <f>SUM(BI$3:BI$9)</f>
        <v>0</v>
      </c>
      <c r="BJ11" s="1">
        <f>SUM(BJ$3:BJ$9)</f>
        <v>0</v>
      </c>
      <c r="BK11" s="1">
        <f>SUM(BK$3:BK$9)</f>
        <v>0</v>
      </c>
    </row>
    <row r="12" spans="1:63">
      <c r="A12" s="1" t="s">
        <v>8</v>
      </c>
      <c r="B12" s="1">
        <f>AVERAGE(B$3:B$9)</f>
        <v>0</v>
      </c>
      <c r="C12" s="1">
        <f>AVERAGE(C$3:C$9)</f>
        <v>0</v>
      </c>
      <c r="D12" s="1">
        <f>AVERAGE(D$3:D$9)</f>
        <v>0</v>
      </c>
      <c r="E12" s="1">
        <f>AVERAGE(E$3:E$9)</f>
        <v>0</v>
      </c>
      <c r="F12" s="1">
        <f>AVERAGE(F$3:F$9)</f>
        <v>0</v>
      </c>
      <c r="G12" s="1">
        <f>AVERAGE(G$3:G$9)</f>
        <v>0</v>
      </c>
      <c r="H12" s="1">
        <f>AVERAGE(H$3:H$9)</f>
        <v>0</v>
      </c>
      <c r="I12" s="1">
        <f>AVERAGE(I$3:I$9)</f>
        <v>0</v>
      </c>
      <c r="J12" s="1">
        <f>AVERAGE(J$3:J$9)</f>
        <v>0</v>
      </c>
      <c r="K12" s="1">
        <f>AVERAGE(K$3:K$9)</f>
        <v>0</v>
      </c>
      <c r="L12" s="1"/>
      <c r="M12" s="1">
        <f>AVERAGE(M$3:M$9)</f>
        <v>0</v>
      </c>
      <c r="N12" s="1">
        <f>AVERAGE(N$3:N$9)</f>
        <v>0</v>
      </c>
      <c r="O12" s="1"/>
      <c r="P12" s="1">
        <f>AVERAGE(P$3:P$9)</f>
        <v>0</v>
      </c>
      <c r="Q12" s="1">
        <f>AVERAGE(Q$3:Q$9)</f>
        <v>0</v>
      </c>
      <c r="R12" s="1">
        <f>AVERAGE(R$3:R$9)</f>
        <v>0</v>
      </c>
      <c r="S12" s="1">
        <f>AVERAGE(S$3:S$9)</f>
        <v>0</v>
      </c>
      <c r="T12" s="1">
        <f>AVERAGE(T$3:T$9)</f>
        <v>0</v>
      </c>
      <c r="U12" s="1">
        <f>AVERAGE(U$3:U$9)</f>
        <v>0</v>
      </c>
      <c r="V12" s="1">
        <f>AVERAGE(V$3:V$9)</f>
        <v>0</v>
      </c>
      <c r="W12" s="1">
        <f>AVERAGE(W$3:W$9)</f>
        <v>0</v>
      </c>
      <c r="X12" s="1">
        <f>AVERAGE(X$3:X$9)</f>
        <v>0</v>
      </c>
      <c r="Y12" s="1">
        <f>AVERAGE(Y$3:Y$9)</f>
        <v>0</v>
      </c>
      <c r="Z12" s="1">
        <f>AVERAGE(Z$3:Z$9)</f>
        <v>0</v>
      </c>
      <c r="AA12" s="1">
        <f>AVERAGE(AA$3:AA$9)</f>
        <v>0</v>
      </c>
      <c r="AB12" s="1">
        <f>AVERAGE(AB$3:AB$9)</f>
        <v>0</v>
      </c>
      <c r="AC12" s="1">
        <f>AVERAGE(AC$3:AC$9)</f>
        <v>0</v>
      </c>
      <c r="AD12" s="1">
        <f>AVERAGE(AD$3:AD$9)</f>
        <v>0</v>
      </c>
      <c r="AE12" s="1">
        <f>AVERAGE(AE$3:AE$9)</f>
        <v>0</v>
      </c>
      <c r="AF12" s="1">
        <f>AVERAGE(AF$3:AF$9)</f>
        <v>0</v>
      </c>
      <c r="AG12" s="1">
        <f>AVERAGE(AG$3:AG$9)</f>
        <v>0</v>
      </c>
      <c r="AH12" s="1">
        <f>AVERAGE(AH$3:AH$9)</f>
        <v>0</v>
      </c>
      <c r="AI12" s="1">
        <f>AVERAGE(AI$3:AI$9)</f>
        <v>0</v>
      </c>
      <c r="AJ12" s="1">
        <f>AVERAGE(AJ$3:AJ$9)</f>
        <v>0</v>
      </c>
      <c r="AK12" s="1">
        <f>AVERAGE(AK$3:AK$9)</f>
        <v>0</v>
      </c>
      <c r="AL12" s="1">
        <f>AVERAGE(AL$3:AL$9)</f>
        <v>0</v>
      </c>
      <c r="AM12" s="1">
        <f>AVERAGE(AM$3:AM$9)</f>
        <v>0</v>
      </c>
      <c r="AN12" s="1">
        <f>AVERAGE(AN$3:AN$9)</f>
        <v>0</v>
      </c>
      <c r="AO12" s="1">
        <f>AVERAGE(AO$3:AO$9)</f>
        <v>0</v>
      </c>
      <c r="AP12" s="1">
        <f>AVERAGE(AP$3:AP$9)</f>
        <v>0</v>
      </c>
      <c r="AQ12" s="1">
        <f>AVERAGE(AQ$3:AQ$9)</f>
        <v>0</v>
      </c>
      <c r="AR12" s="1">
        <f>AVERAGE(AR$3:AR$9)</f>
        <v>0</v>
      </c>
      <c r="AS12" s="1">
        <f>AVERAGE(AS$3:AS$9)</f>
        <v>0</v>
      </c>
      <c r="AT12" s="1">
        <f>AVERAGE(AT$3:AT$9)</f>
        <v>0</v>
      </c>
      <c r="AU12" s="1">
        <f>AVERAGE(AU$3:AU$9)</f>
        <v>0</v>
      </c>
      <c r="AV12" s="1">
        <f>AVERAGE(AV$3:AV$9)</f>
        <v>0</v>
      </c>
      <c r="AW12" s="1">
        <f>AVERAGE(AW$3:AW$9)</f>
        <v>0</v>
      </c>
      <c r="AX12" s="1">
        <f>AVERAGE(AX$3:AX$9)</f>
        <v>0</v>
      </c>
      <c r="AY12" s="1">
        <f>AVERAGE(AY$3:AY$9)</f>
        <v>0</v>
      </c>
      <c r="AZ12" s="1">
        <f>AVERAGE(AZ$3:AZ$9)</f>
        <v>0</v>
      </c>
      <c r="BA12" s="1">
        <f>AVERAGE(BA$3:BA$9)</f>
        <v>0</v>
      </c>
      <c r="BB12" s="1">
        <f>AVERAGE(BB$3:BB$9)</f>
        <v>0</v>
      </c>
      <c r="BC12" s="1">
        <f>AVERAGE(BC$3:BC$9)</f>
        <v>0</v>
      </c>
      <c r="BD12" s="1">
        <f>AVERAGE(BD$3:BD$9)</f>
        <v>0</v>
      </c>
      <c r="BE12" s="1">
        <f>AVERAGE(BE$3:BE$9)</f>
        <v>0</v>
      </c>
      <c r="BF12" s="1">
        <f>AVERAGE(BF$3:BF$9)</f>
        <v>0</v>
      </c>
      <c r="BG12" s="1">
        <f>AVERAGE(BG$3:BG$9)</f>
        <v>0</v>
      </c>
      <c r="BH12" s="1">
        <f>AVERAGE(BH$3:BH$9)</f>
        <v>0</v>
      </c>
      <c r="BI12" s="1">
        <f>AVERAGE(BI$3:BI$9)</f>
        <v>0</v>
      </c>
      <c r="BJ12" s="1">
        <f>AVERAGE(BJ$3:BJ$9)</f>
        <v>0</v>
      </c>
      <c r="BK12" s="1">
        <f>AVERAGE(BK$3:BK$9)</f>
        <v>0</v>
      </c>
    </row>
    <row r="13" spans="1:63">
      <c r="A13" s="1" t="s">
        <v>9</v>
      </c>
      <c r="B13" s="1">
        <f>STDEV(B$3:B$9)</f>
        <v>0</v>
      </c>
      <c r="C13" s="1">
        <f>STDEV(C$3:C$9)</f>
        <v>0</v>
      </c>
      <c r="D13" s="1">
        <f>STDEV(D$3:D$9)</f>
        <v>0</v>
      </c>
      <c r="E13" s="1">
        <f>STDEV(E$3:E$9)</f>
        <v>0</v>
      </c>
      <c r="F13" s="1">
        <f>STDEV(F$3:F$9)</f>
        <v>0</v>
      </c>
      <c r="G13" s="1">
        <f>STDEV(G$3:G$9)</f>
        <v>0</v>
      </c>
      <c r="H13" s="1">
        <f>STDEV(H$3:H$9)</f>
        <v>0</v>
      </c>
      <c r="I13" s="1">
        <f>STDEV(I$3:I$9)</f>
        <v>0</v>
      </c>
      <c r="J13" s="1">
        <f>STDEV(J$3:J$9)</f>
        <v>0</v>
      </c>
      <c r="K13" s="1">
        <f>STDEV(K$3:K$9)</f>
        <v>0</v>
      </c>
      <c r="L13" s="1"/>
      <c r="M13" s="1">
        <f>STDEV(M$3:M$9)</f>
        <v>0</v>
      </c>
      <c r="N13" s="1">
        <f>STDEV(N$3:N$9)</f>
        <v>0</v>
      </c>
      <c r="O13" s="1"/>
      <c r="P13" s="1">
        <f>STDEV(P$3:P$9)</f>
        <v>0</v>
      </c>
      <c r="Q13" s="1">
        <f>STDEV(Q$3:Q$9)</f>
        <v>0</v>
      </c>
      <c r="R13" s="1">
        <f>STDEV(R$3:R$9)</f>
        <v>0</v>
      </c>
      <c r="S13" s="1">
        <f>STDEV(S$3:S$9)</f>
        <v>0</v>
      </c>
      <c r="T13" s="1">
        <f>STDEV(T$3:T$9)</f>
        <v>0</v>
      </c>
      <c r="U13" s="1">
        <f>STDEV(U$3:U$9)</f>
        <v>0</v>
      </c>
      <c r="V13" s="1">
        <f>STDEV(V$3:V$9)</f>
        <v>0</v>
      </c>
      <c r="W13" s="1">
        <f>STDEV(W$3:W$9)</f>
        <v>0</v>
      </c>
      <c r="X13" s="1">
        <f>STDEV(X$3:X$9)</f>
        <v>0</v>
      </c>
      <c r="Y13" s="1">
        <f>STDEV(Y$3:Y$9)</f>
        <v>0</v>
      </c>
      <c r="Z13" s="1">
        <f>STDEV(Z$3:Z$9)</f>
        <v>0</v>
      </c>
      <c r="AA13" s="1">
        <f>STDEV(AA$3:AA$9)</f>
        <v>0</v>
      </c>
      <c r="AB13" s="1">
        <f>STDEV(AB$3:AB$9)</f>
        <v>0</v>
      </c>
      <c r="AC13" s="1">
        <f>STDEV(AC$3:AC$9)</f>
        <v>0</v>
      </c>
      <c r="AD13" s="1">
        <f>STDEV(AD$3:AD$9)</f>
        <v>0</v>
      </c>
      <c r="AE13" s="1">
        <f>STDEV(AE$3:AE$9)</f>
        <v>0</v>
      </c>
      <c r="AF13" s="1">
        <f>STDEV(AF$3:AF$9)</f>
        <v>0</v>
      </c>
      <c r="AG13" s="1">
        <f>STDEV(AG$3:AG$9)</f>
        <v>0</v>
      </c>
      <c r="AH13" s="1">
        <f>STDEV(AH$3:AH$9)</f>
        <v>0</v>
      </c>
      <c r="AI13" s="1">
        <f>STDEV(AI$3:AI$9)</f>
        <v>0</v>
      </c>
      <c r="AJ13" s="1">
        <f>STDEV(AJ$3:AJ$9)</f>
        <v>0</v>
      </c>
      <c r="AK13" s="1">
        <f>STDEV(AK$3:AK$9)</f>
        <v>0</v>
      </c>
      <c r="AL13" s="1">
        <f>STDEV(AL$3:AL$9)</f>
        <v>0</v>
      </c>
      <c r="AM13" s="1">
        <f>STDEV(AM$3:AM$9)</f>
        <v>0</v>
      </c>
      <c r="AN13" s="1">
        <f>STDEV(AN$3:AN$9)</f>
        <v>0</v>
      </c>
      <c r="AO13" s="1">
        <f>STDEV(AO$3:AO$9)</f>
        <v>0</v>
      </c>
      <c r="AP13" s="1">
        <f>STDEV(AP$3:AP$9)</f>
        <v>0</v>
      </c>
      <c r="AQ13" s="1">
        <f>STDEV(AQ$3:AQ$9)</f>
        <v>0</v>
      </c>
      <c r="AR13" s="1">
        <f>STDEV(AR$3:AR$9)</f>
        <v>0</v>
      </c>
      <c r="AS13" s="1">
        <f>STDEV(AS$3:AS$9)</f>
        <v>0</v>
      </c>
      <c r="AT13" s="1">
        <f>STDEV(AT$3:AT$9)</f>
        <v>0</v>
      </c>
      <c r="AU13" s="1">
        <f>STDEV(AU$3:AU$9)</f>
        <v>0</v>
      </c>
      <c r="AV13" s="1">
        <f>STDEV(AV$3:AV$9)</f>
        <v>0</v>
      </c>
      <c r="AW13" s="1">
        <f>STDEV(AW$3:AW$9)</f>
        <v>0</v>
      </c>
      <c r="AX13" s="1">
        <f>STDEV(AX$3:AX$9)</f>
        <v>0</v>
      </c>
      <c r="AY13" s="1">
        <f>STDEV(AY$3:AY$9)</f>
        <v>0</v>
      </c>
      <c r="AZ13" s="1">
        <f>STDEV(AZ$3:AZ$9)</f>
        <v>0</v>
      </c>
      <c r="BA13" s="1">
        <f>STDEV(BA$3:BA$9)</f>
        <v>0</v>
      </c>
      <c r="BB13" s="1">
        <f>STDEV(BB$3:BB$9)</f>
        <v>0</v>
      </c>
      <c r="BC13" s="1">
        <f>STDEV(BC$3:BC$9)</f>
        <v>0</v>
      </c>
      <c r="BD13" s="1">
        <f>STDEV(BD$3:BD$9)</f>
        <v>0</v>
      </c>
      <c r="BE13" s="1">
        <f>STDEV(BE$3:BE$9)</f>
        <v>0</v>
      </c>
      <c r="BF13" s="1">
        <f>STDEV(BF$3:BF$9)</f>
        <v>0</v>
      </c>
      <c r="BG13" s="1">
        <f>STDEV(BG$3:BG$9)</f>
        <v>0</v>
      </c>
      <c r="BH13" s="1">
        <f>STDEV(BH$3:BH$9)</f>
        <v>0</v>
      </c>
      <c r="BI13" s="1">
        <f>STDEV(BI$3:BI$9)</f>
        <v>0</v>
      </c>
      <c r="BJ13" s="1">
        <f>STDEV(BJ$3:BJ$9)</f>
        <v>0</v>
      </c>
      <c r="BK13" s="1">
        <f>STDEV(BK$3:BK$9)</f>
        <v>0</v>
      </c>
    </row>
    <row r="14" spans="1:63">
      <c r="A14" s="1" t="s">
        <v>10</v>
      </c>
      <c r="B14" s="1">
        <f>SUMPRODUCT(--(B$3:B$9-$S$3:$S$9)^2)^0.5</f>
        <v>0</v>
      </c>
      <c r="C14" s="1">
        <f>SUMPRODUCT(--(C$3:C$9-$T$3:$T$9)^2)^0.5</f>
        <v>0</v>
      </c>
      <c r="D14" s="1">
        <f>SUMPRODUCT(--(D$3:D$9-$U$3:$U$9)^2)^0.5</f>
        <v>0</v>
      </c>
      <c r="E14" s="1">
        <f>SUMPRODUCT(--(E$3:E$9-$V$3:$V$9)^2)^0.5</f>
        <v>0</v>
      </c>
      <c r="F14" s="1">
        <f>SUMPRODUCT(--(F$3:F$9-$W$3:$W$9)^2)^0.5</f>
        <v>0</v>
      </c>
      <c r="G14" s="1">
        <f>SUMPRODUCT(--(G$3:G$9-$X$3:$X$9)^2)^0.5</f>
        <v>0</v>
      </c>
      <c r="H14" s="1">
        <f>SUMPRODUCT(--(H$3:H$9-$Y$3:$Y$9)^2)^0.5</f>
        <v>0</v>
      </c>
      <c r="I14" s="1">
        <f>SUMPRODUCT(--(I$3:I$9-$Z$3:$Z$9)^2)^0.5</f>
        <v>0</v>
      </c>
      <c r="J14" s="1">
        <f>SUMPRODUCT(--(J$3:J$9-$AA$3:$AA$9)^2)^0.5</f>
        <v>0</v>
      </c>
      <c r="K14" s="1">
        <f>SUMPRODUCT(--(K$3:K$9-$AB$3:$AB$9)^2)^0.5</f>
        <v>0</v>
      </c>
      <c r="L14" s="1"/>
      <c r="M14" s="1">
        <f>SUMPRODUCT(--(M$3:M$9-$AC$3:$AC$9)^2)^0.5</f>
        <v>0</v>
      </c>
      <c r="N14" s="1">
        <f>SUMPRODUCT(--(N$3:N$9-$AD$3:$AD$9)^2)^0.5</f>
        <v>0</v>
      </c>
      <c r="O14" s="1"/>
      <c r="P14" s="1">
        <f>SUMPRODUCT(--(P$3:P$9-$AE$3:$AE$9)^2)^0.5</f>
        <v>0</v>
      </c>
      <c r="Q14" s="1">
        <f>SUMPRODUCT(--(Q$3:Q$9-$AF$3:$AF$9)^2)^0.5</f>
        <v>0</v>
      </c>
      <c r="R14" s="1">
        <f>SUMPRODUCT(--(R$3:R$9-$AG$3:$AG$9)^2)^0.5</f>
        <v>0</v>
      </c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</row>
    <row r="15" spans="1:63">
      <c r="A15" s="1" t="s">
        <v>11</v>
      </c>
      <c r="B15" s="1">
        <f>SUMPRODUCT(NOT(ISBLANK(B$3:B$9))*(B$3:B$9=$S$3:$S$9))</f>
        <v>0</v>
      </c>
      <c r="C15" s="1">
        <f>SUMPRODUCT(NOT(ISBLANK(C$3:C$9))*(C$3:C$9=$T$3:$T$9))</f>
        <v>0</v>
      </c>
      <c r="D15" s="1">
        <f>SUMPRODUCT(NOT(ISBLANK(D$3:D$9))*(D$3:D$9=$U$3:$U$9))</f>
        <v>0</v>
      </c>
      <c r="E15" s="1">
        <f>SUMPRODUCT(NOT(ISBLANK(E$3:E$9))*(E$3:E$9=$V$3:$V$9))</f>
        <v>0</v>
      </c>
      <c r="F15" s="1">
        <f>SUMPRODUCT(NOT(ISBLANK(F$3:F$9))*(F$3:F$9=$W$3:$W$9))</f>
        <v>0</v>
      </c>
      <c r="G15" s="1">
        <f>SUMPRODUCT(NOT(ISBLANK(G$3:G$9))*(G$3:G$9=$X$3:$X$9))</f>
        <v>0</v>
      </c>
      <c r="H15" s="1">
        <f>SUMPRODUCT(NOT(ISBLANK(H$3:H$9))*(H$3:H$9=$Y$3:$Y$9))</f>
        <v>0</v>
      </c>
      <c r="I15" s="1">
        <f>SUMPRODUCT(NOT(ISBLANK(I$3:I$9))*(I$3:I$9=$Z$3:$Z$9))</f>
        <v>0</v>
      </c>
      <c r="J15" s="1">
        <f>SUMPRODUCT(NOT(ISBLANK(J$3:J$9))*(J$3:J$9=$AA$3:$AA$9))</f>
        <v>0</v>
      </c>
      <c r="K15" s="1">
        <f>SUMPRODUCT(NOT(ISBLANK(K$3:K$9))*(K$3:K$9=$AB$3:$AB$9))</f>
        <v>0</v>
      </c>
      <c r="L15" s="1"/>
      <c r="M15" s="1">
        <f>SUMPRODUCT(NOT(ISBLANK(M$3:M$9))*(M$3:M$9=$AC$3:$AC$9))</f>
        <v>0</v>
      </c>
      <c r="N15" s="1">
        <f>SUMPRODUCT(NOT(ISBLANK(N$3:N$9))*(N$3:N$9=$AD$3:$AD$9))</f>
        <v>0</v>
      </c>
      <c r="O15" s="1"/>
      <c r="P15" s="1">
        <f>SUMPRODUCT(NOT(ISBLANK(P$3:P$9))*(P$3:P$9=$AE$3:$AE$9))</f>
        <v>0</v>
      </c>
      <c r="Q15" s="1">
        <f>SUMPRODUCT(NOT(ISBLANK(Q$3:Q$9))*(Q$3:Q$9=$AF$3:$AF$9))</f>
        <v>0</v>
      </c>
      <c r="R15" s="1">
        <f>SUMPRODUCT(NOT(ISBLANK(R$3:R$9))*(R$3:R$9=$AG$3:$AG$9))</f>
        <v>0</v>
      </c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</row>
    <row r="16" spans="1:63">
      <c r="A16" s="1" t="s">
        <v>12</v>
      </c>
      <c r="B16" s="1">
        <f>SUMPRODUCT(NOT(ISBLANK(B$3:B$9))*(B$3:B$9&lt;$AH$3:$AH$9))</f>
        <v>0</v>
      </c>
      <c r="C16" s="1">
        <f>SUMPRODUCT(NOT(ISBLANK(C$3:C$9))*(C$3:C$9&lt;$AI$3:$AI$9))</f>
        <v>0</v>
      </c>
      <c r="D16" s="1">
        <f>SUMPRODUCT(NOT(ISBLANK(D$3:D$9))*(D$3:D$9&lt;$AJ$3:$AJ$9))</f>
        <v>0</v>
      </c>
      <c r="E16" s="1">
        <f>SUMPRODUCT(NOT(ISBLANK(E$3:E$9))*(E$3:E$9&lt;$AK$3:$AK$9))</f>
        <v>0</v>
      </c>
      <c r="F16" s="1">
        <f>SUMPRODUCT(NOT(ISBLANK(F$3:F$9))*(F$3:F$9&lt;$AL$3:$AL$9))</f>
        <v>0</v>
      </c>
      <c r="G16" s="1">
        <f>SUMPRODUCT(NOT(ISBLANK(G$3:G$9))*(G$3:G$9&lt;$AM$3:$AM$9))</f>
        <v>0</v>
      </c>
      <c r="H16" s="1">
        <f>SUMPRODUCT(NOT(ISBLANK(H$3:H$9))*(H$3:H$9&lt;$AN$3:$AN$9))</f>
        <v>0</v>
      </c>
      <c r="I16" s="1">
        <f>SUMPRODUCT(NOT(ISBLANK(I$3:I$9))*(I$3:I$9&lt;$AO$3:$AO$9))</f>
        <v>0</v>
      </c>
      <c r="J16" s="1">
        <f>SUMPRODUCT(NOT(ISBLANK(J$3:J$9))*(J$3:J$9&lt;$AP$3:$AP$9))</f>
        <v>0</v>
      </c>
      <c r="K16" s="1">
        <f>SUMPRODUCT(NOT(ISBLANK(K$3:K$9))*(K$3:K$9&lt;$AQ$3:$AQ$9))</f>
        <v>0</v>
      </c>
      <c r="L16" s="1"/>
      <c r="M16" s="1">
        <f>SUMPRODUCT(NOT(ISBLANK(M$3:M$9))*(M$3:M$9&lt;$AR$3:$AR$9))</f>
        <v>0</v>
      </c>
      <c r="N16" s="1">
        <f>SUMPRODUCT(NOT(ISBLANK(N$3:N$9))*(N$3:N$9&lt;$AS$3:$AS$9))</f>
        <v>0</v>
      </c>
      <c r="O16" s="1"/>
      <c r="P16" s="1">
        <f>SUMPRODUCT(NOT(ISBLANK(P$3:P$9))*(P$3:P$9&lt;$AT$3:$AT$9))</f>
        <v>0</v>
      </c>
      <c r="Q16" s="1">
        <f>SUMPRODUCT(NOT(ISBLANK(Q$3:Q$9))*(Q$3:Q$9&lt;$AU$3:$AU$9))</f>
        <v>0</v>
      </c>
      <c r="R16" s="1">
        <f>SUMPRODUCT(NOT(ISBLANK(R$3:R$9))*(R$3:R$9&lt;$AV$3:$AV$9))</f>
        <v>0</v>
      </c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</row>
    <row r="17" spans="1:63">
      <c r="A17" s="1" t="s">
        <v>13</v>
      </c>
      <c r="B17" s="1">
        <f>SUMPRODUCT((NOT(ISBLANK(B$3:B$9))*(B$3:B$9&gt;$AH$3:$AH$9))+ISBLANK(B$3:B$9))</f>
        <v>0</v>
      </c>
      <c r="C17" s="1">
        <f>SUMPRODUCT((NOT(ISBLANK(C$3:C$9))*(C$3:C$9&gt;$AI$3:$AI$9))+ISBLANK(C$3:C$9))</f>
        <v>0</v>
      </c>
      <c r="D17" s="1">
        <f>SUMPRODUCT((NOT(ISBLANK(D$3:D$9))*(D$3:D$9&gt;$AJ$3:$AJ$9))+ISBLANK(D$3:D$9))</f>
        <v>0</v>
      </c>
      <c r="E17" s="1">
        <f>SUMPRODUCT((NOT(ISBLANK(E$3:E$9))*(E$3:E$9&gt;$AK$3:$AK$9))+ISBLANK(E$3:E$9))</f>
        <v>0</v>
      </c>
      <c r="F17" s="1">
        <f>SUMPRODUCT((NOT(ISBLANK(F$3:F$9))*(F$3:F$9&gt;$AL$3:$AL$9))+ISBLANK(F$3:F$9))</f>
        <v>0</v>
      </c>
      <c r="G17" s="1">
        <f>SUMPRODUCT((NOT(ISBLANK(G$3:G$9))*(G$3:G$9&gt;$AM$3:$AM$9))+ISBLANK(G$3:G$9))</f>
        <v>0</v>
      </c>
      <c r="H17" s="1">
        <f>SUMPRODUCT((NOT(ISBLANK(H$3:H$9))*(H$3:H$9&gt;$AN$3:$AN$9))+ISBLANK(H$3:H$9))</f>
        <v>0</v>
      </c>
      <c r="I17" s="1">
        <f>SUMPRODUCT((NOT(ISBLANK(I$3:I$9))*(I$3:I$9&gt;$AO$3:$AO$9))+ISBLANK(I$3:I$9))</f>
        <v>0</v>
      </c>
      <c r="J17" s="1">
        <f>SUMPRODUCT((NOT(ISBLANK(J$3:J$9))*(J$3:J$9&gt;$AP$3:$AP$9))+ISBLANK(J$3:J$9))</f>
        <v>0</v>
      </c>
      <c r="K17" s="1">
        <f>SUMPRODUCT((NOT(ISBLANK(K$3:K$9))*(K$3:K$9&gt;$AQ$3:$AQ$9))+ISBLANK(K$3:K$9))</f>
        <v>0</v>
      </c>
      <c r="L17" s="1"/>
      <c r="M17" s="1">
        <f>SUMPRODUCT((NOT(ISBLANK(M$3:M$9))*(M$3:M$9&gt;$AR$3:$AR$9))+ISBLANK(M$3:M$9))</f>
        <v>0</v>
      </c>
      <c r="N17" s="1">
        <f>SUMPRODUCT((NOT(ISBLANK(N$3:N$9))*(N$3:N$9&gt;$AS$3:$AS$9))+ISBLANK(N$3:N$9))</f>
        <v>0</v>
      </c>
      <c r="O17" s="1"/>
      <c r="P17" s="1">
        <f>SUMPRODUCT((NOT(ISBLANK(P$3:P$9))*(P$3:P$9&gt;$AT$3:$AT$9))+ISBLANK(P$3:P$9))</f>
        <v>0</v>
      </c>
      <c r="Q17" s="1">
        <f>SUMPRODUCT((NOT(ISBLANK(Q$3:Q$9))*(Q$3:Q$9&gt;$AU$3:$AU$9))+ISBLANK(Q$3:Q$9))</f>
        <v>0</v>
      </c>
      <c r="R17" s="1">
        <f>SUMPRODUCT((NOT(ISBLANK(R$3:R$9))*(R$3:R$9&gt;$AV$3:$AV$9))+ISBLANK(R$3:R$9))</f>
        <v>0</v>
      </c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</row>
    <row r="18" spans="1:63">
      <c r="A18" s="1" t="s">
        <v>14</v>
      </c>
      <c r="B18" s="1">
        <f>SUMPRODUCT((NOT(ISBLANK(B$3:B$9))*(B$3:B$9=$AW$3:$AW$9))+ISBLANK(B$3:B$9))</f>
        <v>0</v>
      </c>
      <c r="C18" s="1">
        <f>SUMPRODUCT((NOT(ISBLANK(C$3:C$9))*(C$3:C$9=$AX$3:$AX$9))+ISBLANK(C$3:C$9))</f>
        <v>0</v>
      </c>
      <c r="D18" s="1">
        <f>SUMPRODUCT((NOT(ISBLANK(D$3:D$9))*(D$3:D$9=$AY$3:$AY$9))+ISBLANK(D$3:D$9))</f>
        <v>0</v>
      </c>
      <c r="E18" s="1">
        <f>SUMPRODUCT((NOT(ISBLANK(E$3:E$9))*(E$3:E$9=$AZ$3:$AZ$9))+ISBLANK(E$3:E$9))</f>
        <v>0</v>
      </c>
      <c r="F18" s="1">
        <f>SUMPRODUCT((NOT(ISBLANK(F$3:F$9))*(F$3:F$9=$BA$3:$BA$9))+ISBLANK(F$3:F$9))</f>
        <v>0</v>
      </c>
      <c r="G18" s="1">
        <f>SUMPRODUCT((NOT(ISBLANK(G$3:G$9))*(G$3:G$9=$BB$3:$BB$9))+ISBLANK(G$3:G$9))</f>
        <v>0</v>
      </c>
      <c r="H18" s="1">
        <f>SUMPRODUCT((NOT(ISBLANK(H$3:H$9))*(H$3:H$9=$BC$3:$BC$9))+ISBLANK(H$3:H$9))</f>
        <v>0</v>
      </c>
      <c r="I18" s="1">
        <f>SUMPRODUCT((NOT(ISBLANK(I$3:I$9))*(I$3:I$9=$BD$3:$BD$9))+ISBLANK(I$3:I$9))</f>
        <v>0</v>
      </c>
      <c r="J18" s="1">
        <f>SUMPRODUCT((NOT(ISBLANK(J$3:J$9))*(J$3:J$9=$BE$3:$BE$9))+ISBLANK(J$3:J$9))</f>
        <v>0</v>
      </c>
      <c r="K18" s="1">
        <f>SUMPRODUCT((NOT(ISBLANK(K$3:K$9))*(K$3:K$9=$BF$3:$BF$9))+ISBLANK(K$3:K$9))</f>
        <v>0</v>
      </c>
      <c r="L18" s="1"/>
      <c r="M18" s="1">
        <f>SUMPRODUCT((NOT(ISBLANK(M$3:M$9))*(M$3:M$9=$BG$3:$BG$9))+ISBLANK(M$3:M$9))</f>
        <v>0</v>
      </c>
      <c r="N18" s="1">
        <f>SUMPRODUCT((NOT(ISBLANK(N$3:N$9))*(N$3:N$9=$BH$3:$BH$9))+ISBLANK(N$3:N$9))</f>
        <v>0</v>
      </c>
      <c r="O18" s="1"/>
      <c r="P18" s="1">
        <f>SUMPRODUCT((NOT(ISBLANK(P$3:P$9))*(P$3:P$9=$BI$3:$BI$9))+ISBLANK(P$3:P$9))</f>
        <v>0</v>
      </c>
      <c r="Q18" s="1">
        <f>SUMPRODUCT((NOT(ISBLANK(Q$3:Q$9))*(Q$3:Q$9=$BJ$3:$BJ$9))+ISBLANK(Q$3:Q$9))</f>
        <v>0</v>
      </c>
      <c r="R18" s="1">
        <f>SUMPRODUCT((NOT(ISBLANK(R$3:R$9))*(R$3:R$9=$BK$3:$BK$9))+ISBLANK(R$3:R$9))</f>
        <v>0</v>
      </c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K1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7.28515625" customWidth="1"/>
    <col min="2" max="8" width="11.42578125" customWidth="1"/>
    <col min="9" max="9" width="12" customWidth="1"/>
    <col min="10" max="13" width="11.42578125" customWidth="1"/>
    <col min="14" max="14" width="12.140625" customWidth="1"/>
    <col min="15" max="25" width="11.42578125" customWidth="1"/>
    <col min="26" max="26" width="12" customWidth="1"/>
    <col min="27" max="29" width="11.42578125" customWidth="1"/>
    <col min="30" max="30" width="12.140625" customWidth="1"/>
    <col min="31" max="40" width="11.42578125" customWidth="1"/>
    <col min="41" max="41" width="12" customWidth="1"/>
    <col min="42" max="44" width="11.42578125" customWidth="1"/>
    <col min="45" max="45" width="12.140625" customWidth="1"/>
    <col min="46" max="55" width="11.42578125" customWidth="1"/>
    <col min="56" max="56" width="12" customWidth="1"/>
    <col min="57" max="59" width="11.42578125" customWidth="1"/>
    <col min="60" max="60" width="12.140625" customWidth="1"/>
    <col min="61" max="63" width="11.42578125" customWidth="1"/>
  </cols>
  <sheetData>
    <row r="1" spans="1:63">
      <c r="A1" s="1" t="s">
        <v>38</v>
      </c>
      <c r="B1" s="1" t="s">
        <v>15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 t="s">
        <v>35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 t="s">
        <v>36</v>
      </c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 t="s">
        <v>37</v>
      </c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</row>
    <row r="2" spans="1:63">
      <c r="A2" s="2" t="s">
        <v>36</v>
      </c>
      <c r="B2" s="1" t="s">
        <v>16</v>
      </c>
      <c r="C2" s="1" t="s">
        <v>17</v>
      </c>
      <c r="D2" s="1" t="s">
        <v>18</v>
      </c>
      <c r="E2" s="1" t="s">
        <v>19</v>
      </c>
      <c r="F2" s="1" t="s">
        <v>20</v>
      </c>
      <c r="G2" s="1" t="s">
        <v>21</v>
      </c>
      <c r="H2" s="1" t="s">
        <v>22</v>
      </c>
      <c r="I2" s="1" t="s">
        <v>23</v>
      </c>
      <c r="J2" s="1" t="s">
        <v>24</v>
      </c>
      <c r="K2" s="1" t="s">
        <v>25</v>
      </c>
      <c r="L2" s="1" t="s">
        <v>26</v>
      </c>
      <c r="M2" s="1" t="s">
        <v>28</v>
      </c>
      <c r="N2" s="1" t="s">
        <v>29</v>
      </c>
      <c r="O2" s="1" t="s">
        <v>30</v>
      </c>
      <c r="P2" s="1" t="s">
        <v>32</v>
      </c>
      <c r="Q2" s="1" t="s">
        <v>33</v>
      </c>
      <c r="R2" s="1" t="s">
        <v>34</v>
      </c>
      <c r="S2" s="1" t="s">
        <v>16</v>
      </c>
      <c r="T2" s="1" t="s">
        <v>17</v>
      </c>
      <c r="U2" s="1" t="s">
        <v>18</v>
      </c>
      <c r="V2" s="1" t="s">
        <v>19</v>
      </c>
      <c r="W2" s="1" t="s">
        <v>20</v>
      </c>
      <c r="X2" s="1" t="s">
        <v>21</v>
      </c>
      <c r="Y2" s="1" t="s">
        <v>22</v>
      </c>
      <c r="Z2" s="1" t="s">
        <v>23</v>
      </c>
      <c r="AA2" s="1" t="s">
        <v>24</v>
      </c>
      <c r="AB2" s="1" t="s">
        <v>25</v>
      </c>
      <c r="AC2" s="1" t="s">
        <v>28</v>
      </c>
      <c r="AD2" s="1" t="s">
        <v>29</v>
      </c>
      <c r="AE2" s="1" t="s">
        <v>32</v>
      </c>
      <c r="AF2" s="1" t="s">
        <v>33</v>
      </c>
      <c r="AG2" s="1" t="s">
        <v>34</v>
      </c>
      <c r="AH2" s="1" t="s">
        <v>16</v>
      </c>
      <c r="AI2" s="1" t="s">
        <v>17</v>
      </c>
      <c r="AJ2" s="1" t="s">
        <v>18</v>
      </c>
      <c r="AK2" s="1" t="s">
        <v>19</v>
      </c>
      <c r="AL2" s="1" t="s">
        <v>20</v>
      </c>
      <c r="AM2" s="1" t="s">
        <v>21</v>
      </c>
      <c r="AN2" s="1" t="s">
        <v>22</v>
      </c>
      <c r="AO2" s="1" t="s">
        <v>23</v>
      </c>
      <c r="AP2" s="1" t="s">
        <v>24</v>
      </c>
      <c r="AQ2" s="1" t="s">
        <v>25</v>
      </c>
      <c r="AR2" s="1" t="s">
        <v>28</v>
      </c>
      <c r="AS2" s="1" t="s">
        <v>29</v>
      </c>
      <c r="AT2" s="1" t="s">
        <v>32</v>
      </c>
      <c r="AU2" s="1" t="s">
        <v>33</v>
      </c>
      <c r="AV2" s="1" t="s">
        <v>34</v>
      </c>
      <c r="AW2" s="1" t="s">
        <v>16</v>
      </c>
      <c r="AX2" s="1" t="s">
        <v>17</v>
      </c>
      <c r="AY2" s="1" t="s">
        <v>18</v>
      </c>
      <c r="AZ2" s="1" t="s">
        <v>19</v>
      </c>
      <c r="BA2" s="1" t="s">
        <v>20</v>
      </c>
      <c r="BB2" s="1" t="s">
        <v>21</v>
      </c>
      <c r="BC2" s="1" t="s">
        <v>22</v>
      </c>
      <c r="BD2" s="1" t="s">
        <v>23</v>
      </c>
      <c r="BE2" s="1" t="s">
        <v>24</v>
      </c>
      <c r="BF2" s="1" t="s">
        <v>25</v>
      </c>
      <c r="BG2" s="1" t="s">
        <v>28</v>
      </c>
      <c r="BH2" s="1" t="s">
        <v>29</v>
      </c>
      <c r="BI2" s="1" t="s">
        <v>32</v>
      </c>
      <c r="BJ2" s="1" t="s">
        <v>33</v>
      </c>
      <c r="BK2" s="1" t="s">
        <v>34</v>
      </c>
    </row>
    <row r="3" spans="1:63">
      <c r="A3" s="1" t="s">
        <v>0</v>
      </c>
      <c r="B3" s="1" cm="1">
        <f t="array" ref="B3">_xlfn.SWITCH($A$2,"average", AVERAGE(Instances!B3:Instances!B3),"median", MEDIAN(Instances!B3:Instances!B3),"min", MIN(Instances!B3:Instances!B3),"max", MAX(Instances!B3:Instances!B3),"diff", MAX(Instances!B3:Instances!B3)-MIN(Instances!B3:Instances!B3))</f>
        <v>0</v>
      </c>
      <c r="C3" s="1" cm="1">
        <f t="array" ref="C3">_xlfn.SWITCH($A$2,"average", AVERAGE(Instances!C3:Instances!C3),"median", MEDIAN(Instances!C3:Instances!C3),"min", MIN(Instances!C3:Instances!C3),"max", MAX(Instances!C3:Instances!C3),"diff", MAX(Instances!C3:Instances!C3)-MIN(Instances!C3:Instances!C3))</f>
        <v>0</v>
      </c>
      <c r="D3" s="1" cm="1">
        <f t="array" ref="D3">_xlfn.SWITCH($A$2,"average", AVERAGE(Instances!D3:Instances!D3),"median", MEDIAN(Instances!D3:Instances!D3),"min", MIN(Instances!D3:Instances!D3),"max", MAX(Instances!D3:Instances!D3),"diff", MAX(Instances!D3:Instances!D3)-MIN(Instances!D3:Instances!D3))</f>
        <v>0</v>
      </c>
      <c r="E3" s="1" cm="1">
        <f t="array" ref="E3">_xlfn.SWITCH($A$2,"average", AVERAGE(Instances!E3:Instances!E3),"median", MEDIAN(Instances!E3:Instances!E3),"min", MIN(Instances!E3:Instances!E3),"max", MAX(Instances!E3:Instances!E3),"diff", MAX(Instances!E3:Instances!E3)-MIN(Instances!E3:Instances!E3))</f>
        <v>0</v>
      </c>
      <c r="F3" s="1" cm="1">
        <f t="array" ref="F3">_xlfn.SWITCH($A$2,"average", AVERAGE(Instances!F3:Instances!F3),"median", MEDIAN(Instances!F3:Instances!F3),"min", MIN(Instances!F3:Instances!F3),"max", MAX(Instances!F3:Instances!F3),"diff", MAX(Instances!F3:Instances!F3)-MIN(Instances!F3:Instances!F3))</f>
        <v>0</v>
      </c>
      <c r="G3" s="1" cm="1">
        <f t="array" ref="G3">_xlfn.SWITCH($A$2,"average", AVERAGE(Instances!G3:Instances!G3),"median", MEDIAN(Instances!G3:Instances!G3),"min", MIN(Instances!G3:Instances!G3),"max", MAX(Instances!G3:Instances!G3),"diff", MAX(Instances!G3:Instances!G3)-MIN(Instances!G3:Instances!G3))</f>
        <v>0</v>
      </c>
      <c r="H3" s="1" cm="1">
        <f t="array" ref="H3">_xlfn.SWITCH($A$2,"average", AVERAGE(Instances!H3:Instances!H3),"median", MEDIAN(Instances!H3:Instances!H3),"min", MIN(Instances!H3:Instances!H3),"max", MAX(Instances!H3:Instances!H3),"diff", MAX(Instances!H3:Instances!H3)-MIN(Instances!H3:Instances!H3))</f>
        <v>0</v>
      </c>
      <c r="I3" s="1" cm="1">
        <f t="array" ref="I3">_xlfn.SWITCH($A$2,"average", AVERAGE(Instances!I3:Instances!I3),"median", MEDIAN(Instances!I3:Instances!I3),"min", MIN(Instances!I3:Instances!I3),"max", MAX(Instances!I3:Instances!I3),"diff", MAX(Instances!I3:Instances!I3)-MIN(Instances!I3:Instances!I3))</f>
        <v>0</v>
      </c>
      <c r="J3" s="1" cm="1">
        <f t="array" ref="J3">_xlfn.SWITCH($A$2,"average", AVERAGE(Instances!J3:Instances!J3),"median", MEDIAN(Instances!J3:Instances!J3),"min", MIN(Instances!J3:Instances!J3),"max", MAX(Instances!J3:Instances!J3),"diff", MAX(Instances!J3:Instances!J3)-MIN(Instances!J3:Instances!J3))</f>
        <v>0</v>
      </c>
      <c r="K3" s="1" cm="1">
        <f t="array" ref="K3">_xlfn.SWITCH($A$2,"average", AVERAGE(Instances!K3:Instances!K3),"median", MEDIAN(Instances!K3:Instances!K3),"min", MIN(Instances!K3:Instances!K3),"max", MAX(Instances!K3:Instances!K3),"diff", MAX(Instances!K3:Instances!K3)-MIN(Instances!K3:Instances!K3))</f>
        <v>0</v>
      </c>
      <c r="L3" s="1"/>
      <c r="M3" s="1" cm="1">
        <f t="array" ref="M3">_xlfn.SWITCH($A$2,"average", AVERAGE(Instances!M3:Instances!M3),"median", MEDIAN(Instances!M3:Instances!M3),"min", MIN(Instances!M3:Instances!M3),"max", MAX(Instances!M3:Instances!M3),"diff", MAX(Instances!M3:Instances!M3)-MIN(Instances!M3:Instances!M3))</f>
        <v>0</v>
      </c>
      <c r="N3" s="1" cm="1">
        <f t="array" ref="N3">_xlfn.SWITCH($A$2,"average", AVERAGE(Instances!N3:Instances!N3),"median", MEDIAN(Instances!N3:Instances!N3),"min", MIN(Instances!N3:Instances!N3),"max", MAX(Instances!N3:Instances!N3),"diff", MAX(Instances!N3:Instances!N3)-MIN(Instances!N3:Instances!N3))</f>
        <v>0</v>
      </c>
      <c r="O3" s="1"/>
      <c r="P3" s="1" cm="1">
        <f t="array" ref="P3">_xlfn.SWITCH($A$2,"average", AVERAGE(Instances!P3:Instances!P3),"median", MEDIAN(Instances!P3:Instances!P3),"min", MIN(Instances!P3:Instances!P3),"max", MAX(Instances!P3:Instances!P3),"diff", MAX(Instances!P3:Instances!P3)-MIN(Instances!P3:Instances!P3))</f>
        <v>0</v>
      </c>
      <c r="Q3" s="1" cm="1">
        <f t="array" ref="Q3">_xlfn.SWITCH($A$2,"average", AVERAGE(Instances!Q3:Instances!Q3),"median", MEDIAN(Instances!Q3:Instances!Q3),"min", MIN(Instances!Q3:Instances!Q3),"max", MAX(Instances!Q3:Instances!Q3),"diff", MAX(Instances!Q3:Instances!Q3)-MIN(Instances!Q3:Instances!Q3))</f>
        <v>0</v>
      </c>
      <c r="R3" s="1" cm="1">
        <f t="array" ref="R3">_xlfn.SWITCH($A$2,"average", AVERAGE(Instances!R3:Instances!R3),"median", MEDIAN(Instances!R3:Instances!R3),"min", MIN(Instances!R3:Instances!R3),"max", MAX(Instances!R3:Instances!R3),"diff", MAX(Instances!R3:Instances!R3)-MIN(Instances!R3:Instances!R3))</f>
        <v>0</v>
      </c>
      <c r="S3" s="1">
        <f>MIN($B3)</f>
        <v>0</v>
      </c>
      <c r="T3" s="1">
        <f>MIN($C3)</f>
        <v>0</v>
      </c>
      <c r="U3" s="1">
        <f>MIN($D3)</f>
        <v>0</v>
      </c>
      <c r="V3" s="1">
        <f>MIN($E3)</f>
        <v>0</v>
      </c>
      <c r="W3" s="1">
        <f>MIN($F3)</f>
        <v>0</v>
      </c>
      <c r="X3" s="1">
        <f>MIN($G3)</f>
        <v>0</v>
      </c>
      <c r="Y3" s="1">
        <f>MIN($H3)</f>
        <v>0</v>
      </c>
      <c r="Z3" s="1">
        <f>MIN($I3)</f>
        <v>0</v>
      </c>
      <c r="AA3" s="1">
        <f>MIN($J3)</f>
        <v>0</v>
      </c>
      <c r="AB3" s="1">
        <f>MIN($K3)</f>
        <v>0</v>
      </c>
      <c r="AC3" s="1">
        <f>MIN($M3)</f>
        <v>0</v>
      </c>
      <c r="AD3" s="1">
        <f>MIN($N3)</f>
        <v>0</v>
      </c>
      <c r="AE3" s="1">
        <f>MIN($P3)</f>
        <v>0</v>
      </c>
      <c r="AF3" s="1">
        <f>MIN($Q3)</f>
        <v>0</v>
      </c>
      <c r="AG3" s="1">
        <f>MIN($R3)</f>
        <v>0</v>
      </c>
      <c r="AH3" s="1">
        <f>MEDIAN($B3)</f>
        <v>0</v>
      </c>
      <c r="AI3" s="1">
        <f>MEDIAN($C3)</f>
        <v>0</v>
      </c>
      <c r="AJ3" s="1">
        <f>MEDIAN($D3)</f>
        <v>0</v>
      </c>
      <c r="AK3" s="1">
        <f>MEDIAN($E3)</f>
        <v>0</v>
      </c>
      <c r="AL3" s="1">
        <f>MEDIAN($F3)</f>
        <v>0</v>
      </c>
      <c r="AM3" s="1">
        <f>MEDIAN($G3)</f>
        <v>0</v>
      </c>
      <c r="AN3" s="1">
        <f>MEDIAN($H3)</f>
        <v>0</v>
      </c>
      <c r="AO3" s="1">
        <f>MEDIAN($I3)</f>
        <v>0</v>
      </c>
      <c r="AP3" s="1">
        <f>MEDIAN($J3)</f>
        <v>0</v>
      </c>
      <c r="AQ3" s="1">
        <f>MEDIAN($K3)</f>
        <v>0</v>
      </c>
      <c r="AR3" s="1">
        <f>MEDIAN($M3)</f>
        <v>0</v>
      </c>
      <c r="AS3" s="1">
        <f>MEDIAN($N3)</f>
        <v>0</v>
      </c>
      <c r="AT3" s="1">
        <f>MEDIAN($P3)</f>
        <v>0</v>
      </c>
      <c r="AU3" s="1">
        <f>MEDIAN($Q3)</f>
        <v>0</v>
      </c>
      <c r="AV3" s="1">
        <f>MEDIAN($R3)</f>
        <v>0</v>
      </c>
      <c r="AW3" s="1">
        <f>MAX($B3)</f>
        <v>0</v>
      </c>
      <c r="AX3" s="1">
        <f>MAX($C3)</f>
        <v>0</v>
      </c>
      <c r="AY3" s="1">
        <f>MAX($D3)</f>
        <v>0</v>
      </c>
      <c r="AZ3" s="1">
        <f>MAX($E3)</f>
        <v>0</v>
      </c>
      <c r="BA3" s="1">
        <f>MAX($F3)</f>
        <v>0</v>
      </c>
      <c r="BB3" s="1">
        <f>MAX($G3)</f>
        <v>0</v>
      </c>
      <c r="BC3" s="1">
        <f>MAX($H3)</f>
        <v>0</v>
      </c>
      <c r="BD3" s="1">
        <f>MAX($I3)</f>
        <v>0</v>
      </c>
      <c r="BE3" s="1">
        <f>MAX($J3)</f>
        <v>0</v>
      </c>
      <c r="BF3" s="1">
        <f>MAX($K3)</f>
        <v>0</v>
      </c>
      <c r="BG3" s="1">
        <f>MAX($M3)</f>
        <v>0</v>
      </c>
      <c r="BH3" s="1">
        <f>MAX($N3)</f>
        <v>0</v>
      </c>
      <c r="BI3" s="1">
        <f>MAX($P3)</f>
        <v>0</v>
      </c>
      <c r="BJ3" s="1">
        <f>MAX($Q3)</f>
        <v>0</v>
      </c>
      <c r="BK3" s="1">
        <f>MAX($R3)</f>
        <v>0</v>
      </c>
    </row>
    <row r="4" spans="1:63">
      <c r="A4" s="1" t="s">
        <v>1</v>
      </c>
      <c r="B4" s="1" cm="1">
        <f t="array" ref="B4">_xlfn.SWITCH($A$2,"average", AVERAGE(Instances!B4:Instances!B4),"median", MEDIAN(Instances!B4:Instances!B4),"min", MIN(Instances!B4:Instances!B4),"max", MAX(Instances!B4:Instances!B4),"diff", MAX(Instances!B4:Instances!B4)-MIN(Instances!B4:Instances!B4))</f>
        <v>0</v>
      </c>
      <c r="C4" s="1" cm="1">
        <f t="array" ref="C4">_xlfn.SWITCH($A$2,"average", AVERAGE(Instances!C4:Instances!C4),"median", MEDIAN(Instances!C4:Instances!C4),"min", MIN(Instances!C4:Instances!C4),"max", MAX(Instances!C4:Instances!C4),"diff", MAX(Instances!C4:Instances!C4)-MIN(Instances!C4:Instances!C4))</f>
        <v>0</v>
      </c>
      <c r="D4" s="1" cm="1">
        <f t="array" ref="D4">_xlfn.SWITCH($A$2,"average", AVERAGE(Instances!D4:Instances!D4),"median", MEDIAN(Instances!D4:Instances!D4),"min", MIN(Instances!D4:Instances!D4),"max", MAX(Instances!D4:Instances!D4),"diff", MAX(Instances!D4:Instances!D4)-MIN(Instances!D4:Instances!D4))</f>
        <v>0</v>
      </c>
      <c r="E4" s="1" cm="1">
        <f t="array" ref="E4">_xlfn.SWITCH($A$2,"average", AVERAGE(Instances!E4:Instances!E4),"median", MEDIAN(Instances!E4:Instances!E4),"min", MIN(Instances!E4:Instances!E4),"max", MAX(Instances!E4:Instances!E4),"diff", MAX(Instances!E4:Instances!E4)-MIN(Instances!E4:Instances!E4))</f>
        <v>0</v>
      </c>
      <c r="F4" s="1" cm="1">
        <f t="array" ref="F4">_xlfn.SWITCH($A$2,"average", AVERAGE(Instances!F4:Instances!F4),"median", MEDIAN(Instances!F4:Instances!F4),"min", MIN(Instances!F4:Instances!F4),"max", MAX(Instances!F4:Instances!F4),"diff", MAX(Instances!F4:Instances!F4)-MIN(Instances!F4:Instances!F4))</f>
        <v>0</v>
      </c>
      <c r="G4" s="1" cm="1">
        <f t="array" ref="G4">_xlfn.SWITCH($A$2,"average", AVERAGE(Instances!G4:Instances!G4),"median", MEDIAN(Instances!G4:Instances!G4),"min", MIN(Instances!G4:Instances!G4),"max", MAX(Instances!G4:Instances!G4),"diff", MAX(Instances!G4:Instances!G4)-MIN(Instances!G4:Instances!G4))</f>
        <v>0</v>
      </c>
      <c r="H4" s="1" cm="1">
        <f t="array" ref="H4">_xlfn.SWITCH($A$2,"average", AVERAGE(Instances!H4:Instances!H4),"median", MEDIAN(Instances!H4:Instances!H4),"min", MIN(Instances!H4:Instances!H4),"max", MAX(Instances!H4:Instances!H4),"diff", MAX(Instances!H4:Instances!H4)-MIN(Instances!H4:Instances!H4))</f>
        <v>0</v>
      </c>
      <c r="I4" s="1" cm="1">
        <f t="array" ref="I4">_xlfn.SWITCH($A$2,"average", AVERAGE(Instances!I4:Instances!I4),"median", MEDIAN(Instances!I4:Instances!I4),"min", MIN(Instances!I4:Instances!I4),"max", MAX(Instances!I4:Instances!I4),"diff", MAX(Instances!I4:Instances!I4)-MIN(Instances!I4:Instances!I4))</f>
        <v>0</v>
      </c>
      <c r="J4" s="1" cm="1">
        <f t="array" ref="J4">_xlfn.SWITCH($A$2,"average", AVERAGE(Instances!J4:Instances!J4),"median", MEDIAN(Instances!J4:Instances!J4),"min", MIN(Instances!J4:Instances!J4),"max", MAX(Instances!J4:Instances!J4),"diff", MAX(Instances!J4:Instances!J4)-MIN(Instances!J4:Instances!J4))</f>
        <v>0</v>
      </c>
      <c r="K4" s="1" cm="1">
        <f t="array" ref="K4">_xlfn.SWITCH($A$2,"average", AVERAGE(Instances!K4:Instances!K4),"median", MEDIAN(Instances!K4:Instances!K4),"min", MIN(Instances!K4:Instances!K4),"max", MAX(Instances!K4:Instances!K4),"diff", MAX(Instances!K4:Instances!K4)-MIN(Instances!K4:Instances!K4))</f>
        <v>0</v>
      </c>
      <c r="L4" s="1"/>
      <c r="M4" s="1" cm="1">
        <f t="array" ref="M4">_xlfn.SWITCH($A$2,"average", AVERAGE(Instances!M4:Instances!M4),"median", MEDIAN(Instances!M4:Instances!M4),"min", MIN(Instances!M4:Instances!M4),"max", MAX(Instances!M4:Instances!M4),"diff", MAX(Instances!M4:Instances!M4)-MIN(Instances!M4:Instances!M4))</f>
        <v>0</v>
      </c>
      <c r="N4" s="1" cm="1">
        <f t="array" ref="N4">_xlfn.SWITCH($A$2,"average", AVERAGE(Instances!N4:Instances!N4),"median", MEDIAN(Instances!N4:Instances!N4),"min", MIN(Instances!N4:Instances!N4),"max", MAX(Instances!N4:Instances!N4),"diff", MAX(Instances!N4:Instances!N4)-MIN(Instances!N4:Instances!N4))</f>
        <v>0</v>
      </c>
      <c r="O4" s="1"/>
      <c r="P4" s="1" cm="1">
        <f t="array" ref="P4">_xlfn.SWITCH($A$2,"average", AVERAGE(Instances!P4:Instances!P4),"median", MEDIAN(Instances!P4:Instances!P4),"min", MIN(Instances!P4:Instances!P4),"max", MAX(Instances!P4:Instances!P4),"diff", MAX(Instances!P4:Instances!P4)-MIN(Instances!P4:Instances!P4))</f>
        <v>0</v>
      </c>
      <c r="Q4" s="1" cm="1">
        <f t="array" ref="Q4">_xlfn.SWITCH($A$2,"average", AVERAGE(Instances!Q4:Instances!Q4),"median", MEDIAN(Instances!Q4:Instances!Q4),"min", MIN(Instances!Q4:Instances!Q4),"max", MAX(Instances!Q4:Instances!Q4),"diff", MAX(Instances!Q4:Instances!Q4)-MIN(Instances!Q4:Instances!Q4))</f>
        <v>0</v>
      </c>
      <c r="R4" s="1" cm="1">
        <f t="array" ref="R4">_xlfn.SWITCH($A$2,"average", AVERAGE(Instances!R4:Instances!R4),"median", MEDIAN(Instances!R4:Instances!R4),"min", MIN(Instances!R4:Instances!R4),"max", MAX(Instances!R4:Instances!R4),"diff", MAX(Instances!R4:Instances!R4)-MIN(Instances!R4:Instances!R4))</f>
        <v>0</v>
      </c>
      <c r="S4" s="1">
        <f>MIN($B4)</f>
        <v>0</v>
      </c>
      <c r="T4" s="1">
        <f>MIN($C4)</f>
        <v>0</v>
      </c>
      <c r="U4" s="1">
        <f>MIN($D4)</f>
        <v>0</v>
      </c>
      <c r="V4" s="1">
        <f>MIN($E4)</f>
        <v>0</v>
      </c>
      <c r="W4" s="1">
        <f>MIN($F4)</f>
        <v>0</v>
      </c>
      <c r="X4" s="1">
        <f>MIN($G4)</f>
        <v>0</v>
      </c>
      <c r="Y4" s="1">
        <f>MIN($H4)</f>
        <v>0</v>
      </c>
      <c r="Z4" s="1">
        <f>MIN($I4)</f>
        <v>0</v>
      </c>
      <c r="AA4" s="1">
        <f>MIN($J4)</f>
        <v>0</v>
      </c>
      <c r="AB4" s="1">
        <f>MIN($K4)</f>
        <v>0</v>
      </c>
      <c r="AC4" s="1">
        <f>MIN($M4)</f>
        <v>0</v>
      </c>
      <c r="AD4" s="1">
        <f>MIN($N4)</f>
        <v>0</v>
      </c>
      <c r="AE4" s="1">
        <f>MIN($P4)</f>
        <v>0</v>
      </c>
      <c r="AF4" s="1">
        <f>MIN($Q4)</f>
        <v>0</v>
      </c>
      <c r="AG4" s="1">
        <f>MIN($R4)</f>
        <v>0</v>
      </c>
      <c r="AH4" s="1">
        <f>MEDIAN($B4)</f>
        <v>0</v>
      </c>
      <c r="AI4" s="1">
        <f>MEDIAN($C4)</f>
        <v>0</v>
      </c>
      <c r="AJ4" s="1">
        <f>MEDIAN($D4)</f>
        <v>0</v>
      </c>
      <c r="AK4" s="1">
        <f>MEDIAN($E4)</f>
        <v>0</v>
      </c>
      <c r="AL4" s="1">
        <f>MEDIAN($F4)</f>
        <v>0</v>
      </c>
      <c r="AM4" s="1">
        <f>MEDIAN($G4)</f>
        <v>0</v>
      </c>
      <c r="AN4" s="1">
        <f>MEDIAN($H4)</f>
        <v>0</v>
      </c>
      <c r="AO4" s="1">
        <f>MEDIAN($I4)</f>
        <v>0</v>
      </c>
      <c r="AP4" s="1">
        <f>MEDIAN($J4)</f>
        <v>0</v>
      </c>
      <c r="AQ4" s="1">
        <f>MEDIAN($K4)</f>
        <v>0</v>
      </c>
      <c r="AR4" s="1">
        <f>MEDIAN($M4)</f>
        <v>0</v>
      </c>
      <c r="AS4" s="1">
        <f>MEDIAN($N4)</f>
        <v>0</v>
      </c>
      <c r="AT4" s="1">
        <f>MEDIAN($P4)</f>
        <v>0</v>
      </c>
      <c r="AU4" s="1">
        <f>MEDIAN($Q4)</f>
        <v>0</v>
      </c>
      <c r="AV4" s="1">
        <f>MEDIAN($R4)</f>
        <v>0</v>
      </c>
      <c r="AW4" s="1">
        <f>MAX($B4)</f>
        <v>0</v>
      </c>
      <c r="AX4" s="1">
        <f>MAX($C4)</f>
        <v>0</v>
      </c>
      <c r="AY4" s="1">
        <f>MAX($D4)</f>
        <v>0</v>
      </c>
      <c r="AZ4" s="1">
        <f>MAX($E4)</f>
        <v>0</v>
      </c>
      <c r="BA4" s="1">
        <f>MAX($F4)</f>
        <v>0</v>
      </c>
      <c r="BB4" s="1">
        <f>MAX($G4)</f>
        <v>0</v>
      </c>
      <c r="BC4" s="1">
        <f>MAX($H4)</f>
        <v>0</v>
      </c>
      <c r="BD4" s="1">
        <f>MAX($I4)</f>
        <v>0</v>
      </c>
      <c r="BE4" s="1">
        <f>MAX($J4)</f>
        <v>0</v>
      </c>
      <c r="BF4" s="1">
        <f>MAX($K4)</f>
        <v>0</v>
      </c>
      <c r="BG4" s="1">
        <f>MAX($M4)</f>
        <v>0</v>
      </c>
      <c r="BH4" s="1">
        <f>MAX($N4)</f>
        <v>0</v>
      </c>
      <c r="BI4" s="1">
        <f>MAX($P4)</f>
        <v>0</v>
      </c>
      <c r="BJ4" s="1">
        <f>MAX($Q4)</f>
        <v>0</v>
      </c>
      <c r="BK4" s="1">
        <f>MAX($R4)</f>
        <v>0</v>
      </c>
    </row>
    <row r="5" spans="1:63">
      <c r="A5" s="1" t="s">
        <v>2</v>
      </c>
      <c r="B5" s="1" cm="1">
        <f t="array" ref="B5">_xlfn.SWITCH($A$2,"average", AVERAGE(Instances!B5:Instances!B5),"median", MEDIAN(Instances!B5:Instances!B5),"min", MIN(Instances!B5:Instances!B5),"max", MAX(Instances!B5:Instances!B5),"diff", MAX(Instances!B5:Instances!B5)-MIN(Instances!B5:Instances!B5))</f>
        <v>0</v>
      </c>
      <c r="C5" s="1" cm="1">
        <f t="array" ref="C5">_xlfn.SWITCH($A$2,"average", AVERAGE(Instances!C5:Instances!C5),"median", MEDIAN(Instances!C5:Instances!C5),"min", MIN(Instances!C5:Instances!C5),"max", MAX(Instances!C5:Instances!C5),"diff", MAX(Instances!C5:Instances!C5)-MIN(Instances!C5:Instances!C5))</f>
        <v>0</v>
      </c>
      <c r="D5" s="1" cm="1">
        <f t="array" ref="D5">_xlfn.SWITCH($A$2,"average", AVERAGE(Instances!D5:Instances!D5),"median", MEDIAN(Instances!D5:Instances!D5),"min", MIN(Instances!D5:Instances!D5),"max", MAX(Instances!D5:Instances!D5),"diff", MAX(Instances!D5:Instances!D5)-MIN(Instances!D5:Instances!D5))</f>
        <v>0</v>
      </c>
      <c r="E5" s="1" cm="1">
        <f t="array" ref="E5">_xlfn.SWITCH($A$2,"average", AVERAGE(Instances!E5:Instances!E5),"median", MEDIAN(Instances!E5:Instances!E5),"min", MIN(Instances!E5:Instances!E5),"max", MAX(Instances!E5:Instances!E5),"diff", MAX(Instances!E5:Instances!E5)-MIN(Instances!E5:Instances!E5))</f>
        <v>0</v>
      </c>
      <c r="F5" s="1" cm="1">
        <f t="array" ref="F5">_xlfn.SWITCH($A$2,"average", AVERAGE(Instances!F5:Instances!F5),"median", MEDIAN(Instances!F5:Instances!F5),"min", MIN(Instances!F5:Instances!F5),"max", MAX(Instances!F5:Instances!F5),"diff", MAX(Instances!F5:Instances!F5)-MIN(Instances!F5:Instances!F5))</f>
        <v>0</v>
      </c>
      <c r="G5" s="1" cm="1">
        <f t="array" ref="G5">_xlfn.SWITCH($A$2,"average", AVERAGE(Instances!G5:Instances!G5),"median", MEDIAN(Instances!G5:Instances!G5),"min", MIN(Instances!G5:Instances!G5),"max", MAX(Instances!G5:Instances!G5),"diff", MAX(Instances!G5:Instances!G5)-MIN(Instances!G5:Instances!G5))</f>
        <v>0</v>
      </c>
      <c r="H5" s="1" cm="1">
        <f t="array" ref="H5">_xlfn.SWITCH($A$2,"average", AVERAGE(Instances!H5:Instances!H5),"median", MEDIAN(Instances!H5:Instances!H5),"min", MIN(Instances!H5:Instances!H5),"max", MAX(Instances!H5:Instances!H5),"diff", MAX(Instances!H5:Instances!H5)-MIN(Instances!H5:Instances!H5))</f>
        <v>0</v>
      </c>
      <c r="I5" s="1" cm="1">
        <f t="array" ref="I5">_xlfn.SWITCH($A$2,"average", AVERAGE(Instances!I5:Instances!I5),"median", MEDIAN(Instances!I5:Instances!I5),"min", MIN(Instances!I5:Instances!I5),"max", MAX(Instances!I5:Instances!I5),"diff", MAX(Instances!I5:Instances!I5)-MIN(Instances!I5:Instances!I5))</f>
        <v>0</v>
      </c>
      <c r="J5" s="1" cm="1">
        <f t="array" ref="J5">_xlfn.SWITCH($A$2,"average", AVERAGE(Instances!J5:Instances!J5),"median", MEDIAN(Instances!J5:Instances!J5),"min", MIN(Instances!J5:Instances!J5),"max", MAX(Instances!J5:Instances!J5),"diff", MAX(Instances!J5:Instances!J5)-MIN(Instances!J5:Instances!J5))</f>
        <v>0</v>
      </c>
      <c r="K5" s="1" cm="1">
        <f t="array" ref="K5">_xlfn.SWITCH($A$2,"average", AVERAGE(Instances!K5:Instances!K5),"median", MEDIAN(Instances!K5:Instances!K5),"min", MIN(Instances!K5:Instances!K5),"max", MAX(Instances!K5:Instances!K5),"diff", MAX(Instances!K5:Instances!K5)-MIN(Instances!K5:Instances!K5))</f>
        <v>0</v>
      </c>
      <c r="L5" s="1"/>
      <c r="M5" s="1" cm="1">
        <f t="array" ref="M5">_xlfn.SWITCH($A$2,"average", AVERAGE(Instances!M5:Instances!M5),"median", MEDIAN(Instances!M5:Instances!M5),"min", MIN(Instances!M5:Instances!M5),"max", MAX(Instances!M5:Instances!M5),"diff", MAX(Instances!M5:Instances!M5)-MIN(Instances!M5:Instances!M5))</f>
        <v>0</v>
      </c>
      <c r="N5" s="1" cm="1">
        <f t="array" ref="N5">_xlfn.SWITCH($A$2,"average", AVERAGE(Instances!N5:Instances!N5),"median", MEDIAN(Instances!N5:Instances!N5),"min", MIN(Instances!N5:Instances!N5),"max", MAX(Instances!N5:Instances!N5),"diff", MAX(Instances!N5:Instances!N5)-MIN(Instances!N5:Instances!N5))</f>
        <v>0</v>
      </c>
      <c r="O5" s="1"/>
      <c r="P5" s="1" cm="1">
        <f t="array" ref="P5">_xlfn.SWITCH($A$2,"average", AVERAGE(Instances!P5:Instances!P5),"median", MEDIAN(Instances!P5:Instances!P5),"min", MIN(Instances!P5:Instances!P5),"max", MAX(Instances!P5:Instances!P5),"diff", MAX(Instances!P5:Instances!P5)-MIN(Instances!P5:Instances!P5))</f>
        <v>0</v>
      </c>
      <c r="Q5" s="1" cm="1">
        <f t="array" ref="Q5">_xlfn.SWITCH($A$2,"average", AVERAGE(Instances!Q5:Instances!Q5),"median", MEDIAN(Instances!Q5:Instances!Q5),"min", MIN(Instances!Q5:Instances!Q5),"max", MAX(Instances!Q5:Instances!Q5),"diff", MAX(Instances!Q5:Instances!Q5)-MIN(Instances!Q5:Instances!Q5))</f>
        <v>0</v>
      </c>
      <c r="R5" s="1" cm="1">
        <f t="array" ref="R5">_xlfn.SWITCH($A$2,"average", AVERAGE(Instances!R5:Instances!R5),"median", MEDIAN(Instances!R5:Instances!R5),"min", MIN(Instances!R5:Instances!R5),"max", MAX(Instances!R5:Instances!R5),"diff", MAX(Instances!R5:Instances!R5)-MIN(Instances!R5:Instances!R5))</f>
        <v>0</v>
      </c>
      <c r="S5" s="1">
        <f>MIN($B5)</f>
        <v>0</v>
      </c>
      <c r="T5" s="1">
        <f>MIN($C5)</f>
        <v>0</v>
      </c>
      <c r="U5" s="1">
        <f>MIN($D5)</f>
        <v>0</v>
      </c>
      <c r="V5" s="1">
        <f>MIN($E5)</f>
        <v>0</v>
      </c>
      <c r="W5" s="1">
        <f>MIN($F5)</f>
        <v>0</v>
      </c>
      <c r="X5" s="1">
        <f>MIN($G5)</f>
        <v>0</v>
      </c>
      <c r="Y5" s="1">
        <f>MIN($H5)</f>
        <v>0</v>
      </c>
      <c r="Z5" s="1">
        <f>MIN($I5)</f>
        <v>0</v>
      </c>
      <c r="AA5" s="1">
        <f>MIN($J5)</f>
        <v>0</v>
      </c>
      <c r="AB5" s="1">
        <f>MIN($K5)</f>
        <v>0</v>
      </c>
      <c r="AC5" s="1">
        <f>MIN($M5)</f>
        <v>0</v>
      </c>
      <c r="AD5" s="1">
        <f>MIN($N5)</f>
        <v>0</v>
      </c>
      <c r="AE5" s="1">
        <f>MIN($P5)</f>
        <v>0</v>
      </c>
      <c r="AF5" s="1">
        <f>MIN($Q5)</f>
        <v>0</v>
      </c>
      <c r="AG5" s="1">
        <f>MIN($R5)</f>
        <v>0</v>
      </c>
      <c r="AH5" s="1">
        <f>MEDIAN($B5)</f>
        <v>0</v>
      </c>
      <c r="AI5" s="1">
        <f>MEDIAN($C5)</f>
        <v>0</v>
      </c>
      <c r="AJ5" s="1">
        <f>MEDIAN($D5)</f>
        <v>0</v>
      </c>
      <c r="AK5" s="1">
        <f>MEDIAN($E5)</f>
        <v>0</v>
      </c>
      <c r="AL5" s="1">
        <f>MEDIAN($F5)</f>
        <v>0</v>
      </c>
      <c r="AM5" s="1">
        <f>MEDIAN($G5)</f>
        <v>0</v>
      </c>
      <c r="AN5" s="1">
        <f>MEDIAN($H5)</f>
        <v>0</v>
      </c>
      <c r="AO5" s="1">
        <f>MEDIAN($I5)</f>
        <v>0</v>
      </c>
      <c r="AP5" s="1">
        <f>MEDIAN($J5)</f>
        <v>0</v>
      </c>
      <c r="AQ5" s="1">
        <f>MEDIAN($K5)</f>
        <v>0</v>
      </c>
      <c r="AR5" s="1">
        <f>MEDIAN($M5)</f>
        <v>0</v>
      </c>
      <c r="AS5" s="1">
        <f>MEDIAN($N5)</f>
        <v>0</v>
      </c>
      <c r="AT5" s="1">
        <f>MEDIAN($P5)</f>
        <v>0</v>
      </c>
      <c r="AU5" s="1">
        <f>MEDIAN($Q5)</f>
        <v>0</v>
      </c>
      <c r="AV5" s="1">
        <f>MEDIAN($R5)</f>
        <v>0</v>
      </c>
      <c r="AW5" s="1">
        <f>MAX($B5)</f>
        <v>0</v>
      </c>
      <c r="AX5" s="1">
        <f>MAX($C5)</f>
        <v>0</v>
      </c>
      <c r="AY5" s="1">
        <f>MAX($D5)</f>
        <v>0</v>
      </c>
      <c r="AZ5" s="1">
        <f>MAX($E5)</f>
        <v>0</v>
      </c>
      <c r="BA5" s="1">
        <f>MAX($F5)</f>
        <v>0</v>
      </c>
      <c r="BB5" s="1">
        <f>MAX($G5)</f>
        <v>0</v>
      </c>
      <c r="BC5" s="1">
        <f>MAX($H5)</f>
        <v>0</v>
      </c>
      <c r="BD5" s="1">
        <f>MAX($I5)</f>
        <v>0</v>
      </c>
      <c r="BE5" s="1">
        <f>MAX($J5)</f>
        <v>0</v>
      </c>
      <c r="BF5" s="1">
        <f>MAX($K5)</f>
        <v>0</v>
      </c>
      <c r="BG5" s="1">
        <f>MAX($M5)</f>
        <v>0</v>
      </c>
      <c r="BH5" s="1">
        <f>MAX($N5)</f>
        <v>0</v>
      </c>
      <c r="BI5" s="1">
        <f>MAX($P5)</f>
        <v>0</v>
      </c>
      <c r="BJ5" s="1">
        <f>MAX($Q5)</f>
        <v>0</v>
      </c>
      <c r="BK5" s="1">
        <f>MAX($R5)</f>
        <v>0</v>
      </c>
    </row>
    <row r="6" spans="1:63">
      <c r="A6" s="1" t="s">
        <v>3</v>
      </c>
      <c r="B6" s="1" cm="1">
        <f t="array" ref="B6">_xlfn.SWITCH($A$2,"average", AVERAGE(Instances!B6:Instances!B6),"median", MEDIAN(Instances!B6:Instances!B6),"min", MIN(Instances!B6:Instances!B6),"max", MAX(Instances!B6:Instances!B6),"diff", MAX(Instances!B6:Instances!B6)-MIN(Instances!B6:Instances!B6))</f>
        <v>0</v>
      </c>
      <c r="C6" s="1" cm="1">
        <f t="array" ref="C6">_xlfn.SWITCH($A$2,"average", AVERAGE(Instances!C6:Instances!C6),"median", MEDIAN(Instances!C6:Instances!C6),"min", MIN(Instances!C6:Instances!C6),"max", MAX(Instances!C6:Instances!C6),"diff", MAX(Instances!C6:Instances!C6)-MIN(Instances!C6:Instances!C6))</f>
        <v>0</v>
      </c>
      <c r="D6" s="1" cm="1">
        <f t="array" ref="D6">_xlfn.SWITCH($A$2,"average", AVERAGE(Instances!D6:Instances!D6),"median", MEDIAN(Instances!D6:Instances!D6),"min", MIN(Instances!D6:Instances!D6),"max", MAX(Instances!D6:Instances!D6),"diff", MAX(Instances!D6:Instances!D6)-MIN(Instances!D6:Instances!D6))</f>
        <v>0</v>
      </c>
      <c r="E6" s="1" cm="1">
        <f t="array" ref="E6">_xlfn.SWITCH($A$2,"average", AVERAGE(Instances!E6:Instances!E6),"median", MEDIAN(Instances!E6:Instances!E6),"min", MIN(Instances!E6:Instances!E6),"max", MAX(Instances!E6:Instances!E6),"diff", MAX(Instances!E6:Instances!E6)-MIN(Instances!E6:Instances!E6))</f>
        <v>0</v>
      </c>
      <c r="F6" s="1" cm="1">
        <f t="array" ref="F6">_xlfn.SWITCH($A$2,"average", AVERAGE(Instances!F6:Instances!F6),"median", MEDIAN(Instances!F6:Instances!F6),"min", MIN(Instances!F6:Instances!F6),"max", MAX(Instances!F6:Instances!F6),"diff", MAX(Instances!F6:Instances!F6)-MIN(Instances!F6:Instances!F6))</f>
        <v>0</v>
      </c>
      <c r="G6" s="1" cm="1">
        <f t="array" ref="G6">_xlfn.SWITCH($A$2,"average", AVERAGE(Instances!G6:Instances!G6),"median", MEDIAN(Instances!G6:Instances!G6),"min", MIN(Instances!G6:Instances!G6),"max", MAX(Instances!G6:Instances!G6),"diff", MAX(Instances!G6:Instances!G6)-MIN(Instances!G6:Instances!G6))</f>
        <v>0</v>
      </c>
      <c r="H6" s="1" cm="1">
        <f t="array" ref="H6">_xlfn.SWITCH($A$2,"average", AVERAGE(Instances!H6:Instances!H6),"median", MEDIAN(Instances!H6:Instances!H6),"min", MIN(Instances!H6:Instances!H6),"max", MAX(Instances!H6:Instances!H6),"diff", MAX(Instances!H6:Instances!H6)-MIN(Instances!H6:Instances!H6))</f>
        <v>0</v>
      </c>
      <c r="I6" s="1" cm="1">
        <f t="array" ref="I6">_xlfn.SWITCH($A$2,"average", AVERAGE(Instances!I6:Instances!I6),"median", MEDIAN(Instances!I6:Instances!I6),"min", MIN(Instances!I6:Instances!I6),"max", MAX(Instances!I6:Instances!I6),"diff", MAX(Instances!I6:Instances!I6)-MIN(Instances!I6:Instances!I6))</f>
        <v>0</v>
      </c>
      <c r="J6" s="1" cm="1">
        <f t="array" ref="J6">_xlfn.SWITCH($A$2,"average", AVERAGE(Instances!J6:Instances!J6),"median", MEDIAN(Instances!J6:Instances!J6),"min", MIN(Instances!J6:Instances!J6),"max", MAX(Instances!J6:Instances!J6),"diff", MAX(Instances!J6:Instances!J6)-MIN(Instances!J6:Instances!J6))</f>
        <v>0</v>
      </c>
      <c r="K6" s="1" cm="1">
        <f t="array" ref="K6">_xlfn.SWITCH($A$2,"average", AVERAGE(Instances!K6:Instances!K6),"median", MEDIAN(Instances!K6:Instances!K6),"min", MIN(Instances!K6:Instances!K6),"max", MAX(Instances!K6:Instances!K6),"diff", MAX(Instances!K6:Instances!K6)-MIN(Instances!K6:Instances!K6))</f>
        <v>0</v>
      </c>
      <c r="L6" s="1"/>
      <c r="M6" s="1" cm="1">
        <f t="array" ref="M6">_xlfn.SWITCH($A$2,"average", AVERAGE(Instances!M6:Instances!M6),"median", MEDIAN(Instances!M6:Instances!M6),"min", MIN(Instances!M6:Instances!M6),"max", MAX(Instances!M6:Instances!M6),"diff", MAX(Instances!M6:Instances!M6)-MIN(Instances!M6:Instances!M6))</f>
        <v>0</v>
      </c>
      <c r="N6" s="1" cm="1">
        <f t="array" ref="N6">_xlfn.SWITCH($A$2,"average", AVERAGE(Instances!N6:Instances!N6),"median", MEDIAN(Instances!N6:Instances!N6),"min", MIN(Instances!N6:Instances!N6),"max", MAX(Instances!N6:Instances!N6),"diff", MAX(Instances!N6:Instances!N6)-MIN(Instances!N6:Instances!N6))</f>
        <v>0</v>
      </c>
      <c r="O6" s="1"/>
      <c r="P6" s="1" cm="1">
        <f t="array" ref="P6">_xlfn.SWITCH($A$2,"average", AVERAGE(Instances!P6:Instances!P6),"median", MEDIAN(Instances!P6:Instances!P6),"min", MIN(Instances!P6:Instances!P6),"max", MAX(Instances!P6:Instances!P6),"diff", MAX(Instances!P6:Instances!P6)-MIN(Instances!P6:Instances!P6))</f>
        <v>0</v>
      </c>
      <c r="Q6" s="1" cm="1">
        <f t="array" ref="Q6">_xlfn.SWITCH($A$2,"average", AVERAGE(Instances!Q6:Instances!Q6),"median", MEDIAN(Instances!Q6:Instances!Q6),"min", MIN(Instances!Q6:Instances!Q6),"max", MAX(Instances!Q6:Instances!Q6),"diff", MAX(Instances!Q6:Instances!Q6)-MIN(Instances!Q6:Instances!Q6))</f>
        <v>0</v>
      </c>
      <c r="R6" s="1" cm="1">
        <f t="array" ref="R6">_xlfn.SWITCH($A$2,"average", AVERAGE(Instances!R6:Instances!R6),"median", MEDIAN(Instances!R6:Instances!R6),"min", MIN(Instances!R6:Instances!R6),"max", MAX(Instances!R6:Instances!R6),"diff", MAX(Instances!R6:Instances!R6)-MIN(Instances!R6:Instances!R6))</f>
        <v>0</v>
      </c>
      <c r="S6" s="1">
        <f>MIN($B6)</f>
        <v>0</v>
      </c>
      <c r="T6" s="1">
        <f>MIN($C6)</f>
        <v>0</v>
      </c>
      <c r="U6" s="1">
        <f>MIN($D6)</f>
        <v>0</v>
      </c>
      <c r="V6" s="1">
        <f>MIN($E6)</f>
        <v>0</v>
      </c>
      <c r="W6" s="1">
        <f>MIN($F6)</f>
        <v>0</v>
      </c>
      <c r="X6" s="1">
        <f>MIN($G6)</f>
        <v>0</v>
      </c>
      <c r="Y6" s="1">
        <f>MIN($H6)</f>
        <v>0</v>
      </c>
      <c r="Z6" s="1">
        <f>MIN($I6)</f>
        <v>0</v>
      </c>
      <c r="AA6" s="1">
        <f>MIN($J6)</f>
        <v>0</v>
      </c>
      <c r="AB6" s="1">
        <f>MIN($K6)</f>
        <v>0</v>
      </c>
      <c r="AC6" s="1">
        <f>MIN($M6)</f>
        <v>0</v>
      </c>
      <c r="AD6" s="1">
        <f>MIN($N6)</f>
        <v>0</v>
      </c>
      <c r="AE6" s="1">
        <f>MIN($P6)</f>
        <v>0</v>
      </c>
      <c r="AF6" s="1">
        <f>MIN($Q6)</f>
        <v>0</v>
      </c>
      <c r="AG6" s="1">
        <f>MIN($R6)</f>
        <v>0</v>
      </c>
      <c r="AH6" s="1">
        <f>MEDIAN($B6)</f>
        <v>0</v>
      </c>
      <c r="AI6" s="1">
        <f>MEDIAN($C6)</f>
        <v>0</v>
      </c>
      <c r="AJ6" s="1">
        <f>MEDIAN($D6)</f>
        <v>0</v>
      </c>
      <c r="AK6" s="1">
        <f>MEDIAN($E6)</f>
        <v>0</v>
      </c>
      <c r="AL6" s="1">
        <f>MEDIAN($F6)</f>
        <v>0</v>
      </c>
      <c r="AM6" s="1">
        <f>MEDIAN($G6)</f>
        <v>0</v>
      </c>
      <c r="AN6" s="1">
        <f>MEDIAN($H6)</f>
        <v>0</v>
      </c>
      <c r="AO6" s="1">
        <f>MEDIAN($I6)</f>
        <v>0</v>
      </c>
      <c r="AP6" s="1">
        <f>MEDIAN($J6)</f>
        <v>0</v>
      </c>
      <c r="AQ6" s="1">
        <f>MEDIAN($K6)</f>
        <v>0</v>
      </c>
      <c r="AR6" s="1">
        <f>MEDIAN($M6)</f>
        <v>0</v>
      </c>
      <c r="AS6" s="1">
        <f>MEDIAN($N6)</f>
        <v>0</v>
      </c>
      <c r="AT6" s="1">
        <f>MEDIAN($P6)</f>
        <v>0</v>
      </c>
      <c r="AU6" s="1">
        <f>MEDIAN($Q6)</f>
        <v>0</v>
      </c>
      <c r="AV6" s="1">
        <f>MEDIAN($R6)</f>
        <v>0</v>
      </c>
      <c r="AW6" s="1">
        <f>MAX($B6)</f>
        <v>0</v>
      </c>
      <c r="AX6" s="1">
        <f>MAX($C6)</f>
        <v>0</v>
      </c>
      <c r="AY6" s="1">
        <f>MAX($D6)</f>
        <v>0</v>
      </c>
      <c r="AZ6" s="1">
        <f>MAX($E6)</f>
        <v>0</v>
      </c>
      <c r="BA6" s="1">
        <f>MAX($F6)</f>
        <v>0</v>
      </c>
      <c r="BB6" s="1">
        <f>MAX($G6)</f>
        <v>0</v>
      </c>
      <c r="BC6" s="1">
        <f>MAX($H6)</f>
        <v>0</v>
      </c>
      <c r="BD6" s="1">
        <f>MAX($I6)</f>
        <v>0</v>
      </c>
      <c r="BE6" s="1">
        <f>MAX($J6)</f>
        <v>0</v>
      </c>
      <c r="BF6" s="1">
        <f>MAX($K6)</f>
        <v>0</v>
      </c>
      <c r="BG6" s="1">
        <f>MAX($M6)</f>
        <v>0</v>
      </c>
      <c r="BH6" s="1">
        <f>MAX($N6)</f>
        <v>0</v>
      </c>
      <c r="BI6" s="1">
        <f>MAX($P6)</f>
        <v>0</v>
      </c>
      <c r="BJ6" s="1">
        <f>MAX($Q6)</f>
        <v>0</v>
      </c>
      <c r="BK6" s="1">
        <f>MAX($R6)</f>
        <v>0</v>
      </c>
    </row>
    <row r="7" spans="1:63">
      <c r="A7" s="1" t="s">
        <v>4</v>
      </c>
      <c r="B7" s="1" cm="1">
        <f t="array" ref="B7">_xlfn.SWITCH($A$2,"average", AVERAGE(Instances!B7:Instances!B7),"median", MEDIAN(Instances!B7:Instances!B7),"min", MIN(Instances!B7:Instances!B7),"max", MAX(Instances!B7:Instances!B7),"diff", MAX(Instances!B7:Instances!B7)-MIN(Instances!B7:Instances!B7))</f>
        <v>0</v>
      </c>
      <c r="C7" s="1" cm="1">
        <f t="array" ref="C7">_xlfn.SWITCH($A$2,"average", AVERAGE(Instances!C7:Instances!C7),"median", MEDIAN(Instances!C7:Instances!C7),"min", MIN(Instances!C7:Instances!C7),"max", MAX(Instances!C7:Instances!C7),"diff", MAX(Instances!C7:Instances!C7)-MIN(Instances!C7:Instances!C7))</f>
        <v>0</v>
      </c>
      <c r="D7" s="1" cm="1">
        <f t="array" ref="D7">_xlfn.SWITCH($A$2,"average", AVERAGE(Instances!D7:Instances!D7),"median", MEDIAN(Instances!D7:Instances!D7),"min", MIN(Instances!D7:Instances!D7),"max", MAX(Instances!D7:Instances!D7),"diff", MAX(Instances!D7:Instances!D7)-MIN(Instances!D7:Instances!D7))</f>
        <v>0</v>
      </c>
      <c r="E7" s="1" cm="1">
        <f t="array" ref="E7">_xlfn.SWITCH($A$2,"average", AVERAGE(Instances!E7:Instances!E7),"median", MEDIAN(Instances!E7:Instances!E7),"min", MIN(Instances!E7:Instances!E7),"max", MAX(Instances!E7:Instances!E7),"diff", MAX(Instances!E7:Instances!E7)-MIN(Instances!E7:Instances!E7))</f>
        <v>0</v>
      </c>
      <c r="F7" s="1" cm="1">
        <f t="array" ref="F7">_xlfn.SWITCH($A$2,"average", AVERAGE(Instances!F7:Instances!F7),"median", MEDIAN(Instances!F7:Instances!F7),"min", MIN(Instances!F7:Instances!F7),"max", MAX(Instances!F7:Instances!F7),"diff", MAX(Instances!F7:Instances!F7)-MIN(Instances!F7:Instances!F7))</f>
        <v>0</v>
      </c>
      <c r="G7" s="1" cm="1">
        <f t="array" ref="G7">_xlfn.SWITCH($A$2,"average", AVERAGE(Instances!G7:Instances!G7),"median", MEDIAN(Instances!G7:Instances!G7),"min", MIN(Instances!G7:Instances!G7),"max", MAX(Instances!G7:Instances!G7),"diff", MAX(Instances!G7:Instances!G7)-MIN(Instances!G7:Instances!G7))</f>
        <v>0</v>
      </c>
      <c r="H7" s="1" cm="1">
        <f t="array" ref="H7">_xlfn.SWITCH($A$2,"average", AVERAGE(Instances!H7:Instances!H7),"median", MEDIAN(Instances!H7:Instances!H7),"min", MIN(Instances!H7:Instances!H7),"max", MAX(Instances!H7:Instances!H7),"diff", MAX(Instances!H7:Instances!H7)-MIN(Instances!H7:Instances!H7))</f>
        <v>0</v>
      </c>
      <c r="I7" s="1" cm="1">
        <f t="array" ref="I7">_xlfn.SWITCH($A$2,"average", AVERAGE(Instances!I7:Instances!I7),"median", MEDIAN(Instances!I7:Instances!I7),"min", MIN(Instances!I7:Instances!I7),"max", MAX(Instances!I7:Instances!I7),"diff", MAX(Instances!I7:Instances!I7)-MIN(Instances!I7:Instances!I7))</f>
        <v>0</v>
      </c>
      <c r="J7" s="1" cm="1">
        <f t="array" ref="J7">_xlfn.SWITCH($A$2,"average", AVERAGE(Instances!J7:Instances!J7),"median", MEDIAN(Instances!J7:Instances!J7),"min", MIN(Instances!J7:Instances!J7),"max", MAX(Instances!J7:Instances!J7),"diff", MAX(Instances!J7:Instances!J7)-MIN(Instances!J7:Instances!J7))</f>
        <v>0</v>
      </c>
      <c r="K7" s="1" cm="1">
        <f t="array" ref="K7">_xlfn.SWITCH($A$2,"average", AVERAGE(Instances!K7:Instances!K7),"median", MEDIAN(Instances!K7:Instances!K7),"min", MIN(Instances!K7:Instances!K7),"max", MAX(Instances!K7:Instances!K7),"diff", MAX(Instances!K7:Instances!K7)-MIN(Instances!K7:Instances!K7))</f>
        <v>0</v>
      </c>
      <c r="L7" s="1"/>
      <c r="M7" s="1" cm="1">
        <f t="array" ref="M7">_xlfn.SWITCH($A$2,"average", AVERAGE(Instances!M7:Instances!M7),"median", MEDIAN(Instances!M7:Instances!M7),"min", MIN(Instances!M7:Instances!M7),"max", MAX(Instances!M7:Instances!M7),"diff", MAX(Instances!M7:Instances!M7)-MIN(Instances!M7:Instances!M7))</f>
        <v>0</v>
      </c>
      <c r="N7" s="1" cm="1">
        <f t="array" ref="N7">_xlfn.SWITCH($A$2,"average", AVERAGE(Instances!N7:Instances!N7),"median", MEDIAN(Instances!N7:Instances!N7),"min", MIN(Instances!N7:Instances!N7),"max", MAX(Instances!N7:Instances!N7),"diff", MAX(Instances!N7:Instances!N7)-MIN(Instances!N7:Instances!N7))</f>
        <v>0</v>
      </c>
      <c r="O7" s="1"/>
      <c r="P7" s="1" cm="1">
        <f t="array" ref="P7">_xlfn.SWITCH($A$2,"average", AVERAGE(Instances!P7:Instances!P7),"median", MEDIAN(Instances!P7:Instances!P7),"min", MIN(Instances!P7:Instances!P7),"max", MAX(Instances!P7:Instances!P7),"diff", MAX(Instances!P7:Instances!P7)-MIN(Instances!P7:Instances!P7))</f>
        <v>0</v>
      </c>
      <c r="Q7" s="1" cm="1">
        <f t="array" ref="Q7">_xlfn.SWITCH($A$2,"average", AVERAGE(Instances!Q7:Instances!Q7),"median", MEDIAN(Instances!Q7:Instances!Q7),"min", MIN(Instances!Q7:Instances!Q7),"max", MAX(Instances!Q7:Instances!Q7),"diff", MAX(Instances!Q7:Instances!Q7)-MIN(Instances!Q7:Instances!Q7))</f>
        <v>0</v>
      </c>
      <c r="R7" s="1" cm="1">
        <f t="array" ref="R7">_xlfn.SWITCH($A$2,"average", AVERAGE(Instances!R7:Instances!R7),"median", MEDIAN(Instances!R7:Instances!R7),"min", MIN(Instances!R7:Instances!R7),"max", MAX(Instances!R7:Instances!R7),"diff", MAX(Instances!R7:Instances!R7)-MIN(Instances!R7:Instances!R7))</f>
        <v>0</v>
      </c>
      <c r="S7" s="1">
        <f>MIN($B7)</f>
        <v>0</v>
      </c>
      <c r="T7" s="1">
        <f>MIN($C7)</f>
        <v>0</v>
      </c>
      <c r="U7" s="1">
        <f>MIN($D7)</f>
        <v>0</v>
      </c>
      <c r="V7" s="1">
        <f>MIN($E7)</f>
        <v>0</v>
      </c>
      <c r="W7" s="1">
        <f>MIN($F7)</f>
        <v>0</v>
      </c>
      <c r="X7" s="1">
        <f>MIN($G7)</f>
        <v>0</v>
      </c>
      <c r="Y7" s="1">
        <f>MIN($H7)</f>
        <v>0</v>
      </c>
      <c r="Z7" s="1">
        <f>MIN($I7)</f>
        <v>0</v>
      </c>
      <c r="AA7" s="1">
        <f>MIN($J7)</f>
        <v>0</v>
      </c>
      <c r="AB7" s="1">
        <f>MIN($K7)</f>
        <v>0</v>
      </c>
      <c r="AC7" s="1">
        <f>MIN($M7)</f>
        <v>0</v>
      </c>
      <c r="AD7" s="1">
        <f>MIN($N7)</f>
        <v>0</v>
      </c>
      <c r="AE7" s="1">
        <f>MIN($P7)</f>
        <v>0</v>
      </c>
      <c r="AF7" s="1">
        <f>MIN($Q7)</f>
        <v>0</v>
      </c>
      <c r="AG7" s="1">
        <f>MIN($R7)</f>
        <v>0</v>
      </c>
      <c r="AH7" s="1">
        <f>MEDIAN($B7)</f>
        <v>0</v>
      </c>
      <c r="AI7" s="1">
        <f>MEDIAN($C7)</f>
        <v>0</v>
      </c>
      <c r="AJ7" s="1">
        <f>MEDIAN($D7)</f>
        <v>0</v>
      </c>
      <c r="AK7" s="1">
        <f>MEDIAN($E7)</f>
        <v>0</v>
      </c>
      <c r="AL7" s="1">
        <f>MEDIAN($F7)</f>
        <v>0</v>
      </c>
      <c r="AM7" s="1">
        <f>MEDIAN($G7)</f>
        <v>0</v>
      </c>
      <c r="AN7" s="1">
        <f>MEDIAN($H7)</f>
        <v>0</v>
      </c>
      <c r="AO7" s="1">
        <f>MEDIAN($I7)</f>
        <v>0</v>
      </c>
      <c r="AP7" s="1">
        <f>MEDIAN($J7)</f>
        <v>0</v>
      </c>
      <c r="AQ7" s="1">
        <f>MEDIAN($K7)</f>
        <v>0</v>
      </c>
      <c r="AR7" s="1">
        <f>MEDIAN($M7)</f>
        <v>0</v>
      </c>
      <c r="AS7" s="1">
        <f>MEDIAN($N7)</f>
        <v>0</v>
      </c>
      <c r="AT7" s="1">
        <f>MEDIAN($P7)</f>
        <v>0</v>
      </c>
      <c r="AU7" s="1">
        <f>MEDIAN($Q7)</f>
        <v>0</v>
      </c>
      <c r="AV7" s="1">
        <f>MEDIAN($R7)</f>
        <v>0</v>
      </c>
      <c r="AW7" s="1">
        <f>MAX($B7)</f>
        <v>0</v>
      </c>
      <c r="AX7" s="1">
        <f>MAX($C7)</f>
        <v>0</v>
      </c>
      <c r="AY7" s="1">
        <f>MAX($D7)</f>
        <v>0</v>
      </c>
      <c r="AZ7" s="1">
        <f>MAX($E7)</f>
        <v>0</v>
      </c>
      <c r="BA7" s="1">
        <f>MAX($F7)</f>
        <v>0</v>
      </c>
      <c r="BB7" s="1">
        <f>MAX($G7)</f>
        <v>0</v>
      </c>
      <c r="BC7" s="1">
        <f>MAX($H7)</f>
        <v>0</v>
      </c>
      <c r="BD7" s="1">
        <f>MAX($I7)</f>
        <v>0</v>
      </c>
      <c r="BE7" s="1">
        <f>MAX($J7)</f>
        <v>0</v>
      </c>
      <c r="BF7" s="1">
        <f>MAX($K7)</f>
        <v>0</v>
      </c>
      <c r="BG7" s="1">
        <f>MAX($M7)</f>
        <v>0</v>
      </c>
      <c r="BH7" s="1">
        <f>MAX($N7)</f>
        <v>0</v>
      </c>
      <c r="BI7" s="1">
        <f>MAX($P7)</f>
        <v>0</v>
      </c>
      <c r="BJ7" s="1">
        <f>MAX($Q7)</f>
        <v>0</v>
      </c>
      <c r="BK7" s="1">
        <f>MAX($R7)</f>
        <v>0</v>
      </c>
    </row>
    <row r="8" spans="1:63">
      <c r="A8" s="1" t="s">
        <v>5</v>
      </c>
      <c r="B8" s="1" cm="1">
        <f t="array" ref="B8">_xlfn.SWITCH($A$2,"average", AVERAGE(Instances!B8:Instances!B8),"median", MEDIAN(Instances!B8:Instances!B8),"min", MIN(Instances!B8:Instances!B8),"max", MAX(Instances!B8:Instances!B8),"diff", MAX(Instances!B8:Instances!B8)-MIN(Instances!B8:Instances!B8))</f>
        <v>0</v>
      </c>
      <c r="C8" s="1" cm="1">
        <f t="array" ref="C8">_xlfn.SWITCH($A$2,"average", AVERAGE(Instances!C8:Instances!C8),"median", MEDIAN(Instances!C8:Instances!C8),"min", MIN(Instances!C8:Instances!C8),"max", MAX(Instances!C8:Instances!C8),"diff", MAX(Instances!C8:Instances!C8)-MIN(Instances!C8:Instances!C8))</f>
        <v>0</v>
      </c>
      <c r="D8" s="1" cm="1">
        <f t="array" ref="D8">_xlfn.SWITCH($A$2,"average", AVERAGE(Instances!D8:Instances!D8),"median", MEDIAN(Instances!D8:Instances!D8),"min", MIN(Instances!D8:Instances!D8),"max", MAX(Instances!D8:Instances!D8),"diff", MAX(Instances!D8:Instances!D8)-MIN(Instances!D8:Instances!D8))</f>
        <v>0</v>
      </c>
      <c r="E8" s="1" cm="1">
        <f t="array" ref="E8">_xlfn.SWITCH($A$2,"average", AVERAGE(Instances!E8:Instances!E8),"median", MEDIAN(Instances!E8:Instances!E8),"min", MIN(Instances!E8:Instances!E8),"max", MAX(Instances!E8:Instances!E8),"diff", MAX(Instances!E8:Instances!E8)-MIN(Instances!E8:Instances!E8))</f>
        <v>0</v>
      </c>
      <c r="F8" s="1" cm="1">
        <f t="array" ref="F8">_xlfn.SWITCH($A$2,"average", AVERAGE(Instances!F8:Instances!F8),"median", MEDIAN(Instances!F8:Instances!F8),"min", MIN(Instances!F8:Instances!F8),"max", MAX(Instances!F8:Instances!F8),"diff", MAX(Instances!F8:Instances!F8)-MIN(Instances!F8:Instances!F8))</f>
        <v>0</v>
      </c>
      <c r="G8" s="1" cm="1">
        <f t="array" ref="G8">_xlfn.SWITCH($A$2,"average", AVERAGE(Instances!G8:Instances!G8),"median", MEDIAN(Instances!G8:Instances!G8),"min", MIN(Instances!G8:Instances!G8),"max", MAX(Instances!G8:Instances!G8),"diff", MAX(Instances!G8:Instances!G8)-MIN(Instances!G8:Instances!G8))</f>
        <v>0</v>
      </c>
      <c r="H8" s="1" cm="1">
        <f t="array" ref="H8">_xlfn.SWITCH($A$2,"average", AVERAGE(Instances!H8:Instances!H8),"median", MEDIAN(Instances!H8:Instances!H8),"min", MIN(Instances!H8:Instances!H8),"max", MAX(Instances!H8:Instances!H8),"diff", MAX(Instances!H8:Instances!H8)-MIN(Instances!H8:Instances!H8))</f>
        <v>0</v>
      </c>
      <c r="I8" s="1" cm="1">
        <f t="array" ref="I8">_xlfn.SWITCH($A$2,"average", AVERAGE(Instances!I8:Instances!I8),"median", MEDIAN(Instances!I8:Instances!I8),"min", MIN(Instances!I8:Instances!I8),"max", MAX(Instances!I8:Instances!I8),"diff", MAX(Instances!I8:Instances!I8)-MIN(Instances!I8:Instances!I8))</f>
        <v>0</v>
      </c>
      <c r="J8" s="1" cm="1">
        <f t="array" ref="J8">_xlfn.SWITCH($A$2,"average", AVERAGE(Instances!J8:Instances!J8),"median", MEDIAN(Instances!J8:Instances!J8),"min", MIN(Instances!J8:Instances!J8),"max", MAX(Instances!J8:Instances!J8),"diff", MAX(Instances!J8:Instances!J8)-MIN(Instances!J8:Instances!J8))</f>
        <v>0</v>
      </c>
      <c r="K8" s="1" cm="1">
        <f t="array" ref="K8">_xlfn.SWITCH($A$2,"average", AVERAGE(Instances!K8:Instances!K8),"median", MEDIAN(Instances!K8:Instances!K8),"min", MIN(Instances!K8:Instances!K8),"max", MAX(Instances!K8:Instances!K8),"diff", MAX(Instances!K8:Instances!K8)-MIN(Instances!K8:Instances!K8))</f>
        <v>0</v>
      </c>
      <c r="L8" s="1"/>
      <c r="M8" s="1" cm="1">
        <f t="array" ref="M8">_xlfn.SWITCH($A$2,"average", AVERAGE(Instances!M8:Instances!M8),"median", MEDIAN(Instances!M8:Instances!M8),"min", MIN(Instances!M8:Instances!M8),"max", MAX(Instances!M8:Instances!M8),"diff", MAX(Instances!M8:Instances!M8)-MIN(Instances!M8:Instances!M8))</f>
        <v>0</v>
      </c>
      <c r="N8" s="1" cm="1">
        <f t="array" ref="N8">_xlfn.SWITCH($A$2,"average", AVERAGE(Instances!N8:Instances!N8),"median", MEDIAN(Instances!N8:Instances!N8),"min", MIN(Instances!N8:Instances!N8),"max", MAX(Instances!N8:Instances!N8),"diff", MAX(Instances!N8:Instances!N8)-MIN(Instances!N8:Instances!N8))</f>
        <v>0</v>
      </c>
      <c r="O8" s="1"/>
      <c r="P8" s="1" cm="1">
        <f t="array" ref="P8">_xlfn.SWITCH($A$2,"average", AVERAGE(Instances!P8:Instances!P8),"median", MEDIAN(Instances!P8:Instances!P8),"min", MIN(Instances!P8:Instances!P8),"max", MAX(Instances!P8:Instances!P8),"diff", MAX(Instances!P8:Instances!P8)-MIN(Instances!P8:Instances!P8))</f>
        <v>0</v>
      </c>
      <c r="Q8" s="1" cm="1">
        <f t="array" ref="Q8">_xlfn.SWITCH($A$2,"average", AVERAGE(Instances!Q8:Instances!Q8),"median", MEDIAN(Instances!Q8:Instances!Q8),"min", MIN(Instances!Q8:Instances!Q8),"max", MAX(Instances!Q8:Instances!Q8),"diff", MAX(Instances!Q8:Instances!Q8)-MIN(Instances!Q8:Instances!Q8))</f>
        <v>0</v>
      </c>
      <c r="R8" s="1" cm="1">
        <f t="array" ref="R8">_xlfn.SWITCH($A$2,"average", AVERAGE(Instances!R8:Instances!R8),"median", MEDIAN(Instances!R8:Instances!R8),"min", MIN(Instances!R8:Instances!R8),"max", MAX(Instances!R8:Instances!R8),"diff", MAX(Instances!R8:Instances!R8)-MIN(Instances!R8:Instances!R8))</f>
        <v>0</v>
      </c>
      <c r="S8" s="1">
        <f>MIN($B8)</f>
        <v>0</v>
      </c>
      <c r="T8" s="1">
        <f>MIN($C8)</f>
        <v>0</v>
      </c>
      <c r="U8" s="1">
        <f>MIN($D8)</f>
        <v>0</v>
      </c>
      <c r="V8" s="1">
        <f>MIN($E8)</f>
        <v>0</v>
      </c>
      <c r="W8" s="1">
        <f>MIN($F8)</f>
        <v>0</v>
      </c>
      <c r="X8" s="1">
        <f>MIN($G8)</f>
        <v>0</v>
      </c>
      <c r="Y8" s="1">
        <f>MIN($H8)</f>
        <v>0</v>
      </c>
      <c r="Z8" s="1">
        <f>MIN($I8)</f>
        <v>0</v>
      </c>
      <c r="AA8" s="1">
        <f>MIN($J8)</f>
        <v>0</v>
      </c>
      <c r="AB8" s="1">
        <f>MIN($K8)</f>
        <v>0</v>
      </c>
      <c r="AC8" s="1">
        <f>MIN($M8)</f>
        <v>0</v>
      </c>
      <c r="AD8" s="1">
        <f>MIN($N8)</f>
        <v>0</v>
      </c>
      <c r="AE8" s="1">
        <f>MIN($P8)</f>
        <v>0</v>
      </c>
      <c r="AF8" s="1">
        <f>MIN($Q8)</f>
        <v>0</v>
      </c>
      <c r="AG8" s="1">
        <f>MIN($R8)</f>
        <v>0</v>
      </c>
      <c r="AH8" s="1">
        <f>MEDIAN($B8)</f>
        <v>0</v>
      </c>
      <c r="AI8" s="1">
        <f>MEDIAN($C8)</f>
        <v>0</v>
      </c>
      <c r="AJ8" s="1">
        <f>MEDIAN($D8)</f>
        <v>0</v>
      </c>
      <c r="AK8" s="1">
        <f>MEDIAN($E8)</f>
        <v>0</v>
      </c>
      <c r="AL8" s="1">
        <f>MEDIAN($F8)</f>
        <v>0</v>
      </c>
      <c r="AM8" s="1">
        <f>MEDIAN($G8)</f>
        <v>0</v>
      </c>
      <c r="AN8" s="1">
        <f>MEDIAN($H8)</f>
        <v>0</v>
      </c>
      <c r="AO8" s="1">
        <f>MEDIAN($I8)</f>
        <v>0</v>
      </c>
      <c r="AP8" s="1">
        <f>MEDIAN($J8)</f>
        <v>0</v>
      </c>
      <c r="AQ8" s="1">
        <f>MEDIAN($K8)</f>
        <v>0</v>
      </c>
      <c r="AR8" s="1">
        <f>MEDIAN($M8)</f>
        <v>0</v>
      </c>
      <c r="AS8" s="1">
        <f>MEDIAN($N8)</f>
        <v>0</v>
      </c>
      <c r="AT8" s="1">
        <f>MEDIAN($P8)</f>
        <v>0</v>
      </c>
      <c r="AU8" s="1">
        <f>MEDIAN($Q8)</f>
        <v>0</v>
      </c>
      <c r="AV8" s="1">
        <f>MEDIAN($R8)</f>
        <v>0</v>
      </c>
      <c r="AW8" s="1">
        <f>MAX($B8)</f>
        <v>0</v>
      </c>
      <c r="AX8" s="1">
        <f>MAX($C8)</f>
        <v>0</v>
      </c>
      <c r="AY8" s="1">
        <f>MAX($D8)</f>
        <v>0</v>
      </c>
      <c r="AZ8" s="1">
        <f>MAX($E8)</f>
        <v>0</v>
      </c>
      <c r="BA8" s="1">
        <f>MAX($F8)</f>
        <v>0</v>
      </c>
      <c r="BB8" s="1">
        <f>MAX($G8)</f>
        <v>0</v>
      </c>
      <c r="BC8" s="1">
        <f>MAX($H8)</f>
        <v>0</v>
      </c>
      <c r="BD8" s="1">
        <f>MAX($I8)</f>
        <v>0</v>
      </c>
      <c r="BE8" s="1">
        <f>MAX($J8)</f>
        <v>0</v>
      </c>
      <c r="BF8" s="1">
        <f>MAX($K8)</f>
        <v>0</v>
      </c>
      <c r="BG8" s="1">
        <f>MAX($M8)</f>
        <v>0</v>
      </c>
      <c r="BH8" s="1">
        <f>MAX($N8)</f>
        <v>0</v>
      </c>
      <c r="BI8" s="1">
        <f>MAX($P8)</f>
        <v>0</v>
      </c>
      <c r="BJ8" s="1">
        <f>MAX($Q8)</f>
        <v>0</v>
      </c>
      <c r="BK8" s="1">
        <f>MAX($R8)</f>
        <v>0</v>
      </c>
    </row>
    <row r="9" spans="1:63">
      <c r="A9" s="1" t="s">
        <v>6</v>
      </c>
      <c r="B9" s="1" cm="1">
        <f t="array" ref="B9">_xlfn.SWITCH($A$2,"average", AVERAGE(Instances!B9:Instances!B9),"median", MEDIAN(Instances!B9:Instances!B9),"min", MIN(Instances!B9:Instances!B9),"max", MAX(Instances!B9:Instances!B9),"diff", MAX(Instances!B9:Instances!B9)-MIN(Instances!B9:Instances!B9))</f>
        <v>0</v>
      </c>
      <c r="C9" s="1" cm="1">
        <f t="array" ref="C9">_xlfn.SWITCH($A$2,"average", AVERAGE(Instances!C9:Instances!C9),"median", MEDIAN(Instances!C9:Instances!C9),"min", MIN(Instances!C9:Instances!C9),"max", MAX(Instances!C9:Instances!C9),"diff", MAX(Instances!C9:Instances!C9)-MIN(Instances!C9:Instances!C9))</f>
        <v>0</v>
      </c>
      <c r="D9" s="1" cm="1">
        <f t="array" ref="D9">_xlfn.SWITCH($A$2,"average", AVERAGE(Instances!D9:Instances!D9),"median", MEDIAN(Instances!D9:Instances!D9),"min", MIN(Instances!D9:Instances!D9),"max", MAX(Instances!D9:Instances!D9),"diff", MAX(Instances!D9:Instances!D9)-MIN(Instances!D9:Instances!D9))</f>
        <v>0</v>
      </c>
      <c r="E9" s="1" cm="1">
        <f t="array" ref="E9">_xlfn.SWITCH($A$2,"average", AVERAGE(Instances!E9:Instances!E9),"median", MEDIAN(Instances!E9:Instances!E9),"min", MIN(Instances!E9:Instances!E9),"max", MAX(Instances!E9:Instances!E9),"diff", MAX(Instances!E9:Instances!E9)-MIN(Instances!E9:Instances!E9))</f>
        <v>0</v>
      </c>
      <c r="F9" s="1" cm="1">
        <f t="array" ref="F9">_xlfn.SWITCH($A$2,"average", AVERAGE(Instances!F9:Instances!F9),"median", MEDIAN(Instances!F9:Instances!F9),"min", MIN(Instances!F9:Instances!F9),"max", MAX(Instances!F9:Instances!F9),"diff", MAX(Instances!F9:Instances!F9)-MIN(Instances!F9:Instances!F9))</f>
        <v>0</v>
      </c>
      <c r="G9" s="1" cm="1">
        <f t="array" ref="G9">_xlfn.SWITCH($A$2,"average", AVERAGE(Instances!G9:Instances!G9),"median", MEDIAN(Instances!G9:Instances!G9),"min", MIN(Instances!G9:Instances!G9),"max", MAX(Instances!G9:Instances!G9),"diff", MAX(Instances!G9:Instances!G9)-MIN(Instances!G9:Instances!G9))</f>
        <v>0</v>
      </c>
      <c r="H9" s="1" cm="1">
        <f t="array" ref="H9">_xlfn.SWITCH($A$2,"average", AVERAGE(Instances!H9:Instances!H9),"median", MEDIAN(Instances!H9:Instances!H9),"min", MIN(Instances!H9:Instances!H9),"max", MAX(Instances!H9:Instances!H9),"diff", MAX(Instances!H9:Instances!H9)-MIN(Instances!H9:Instances!H9))</f>
        <v>0</v>
      </c>
      <c r="I9" s="1" cm="1">
        <f t="array" ref="I9">_xlfn.SWITCH($A$2,"average", AVERAGE(Instances!I9:Instances!I9),"median", MEDIAN(Instances!I9:Instances!I9),"min", MIN(Instances!I9:Instances!I9),"max", MAX(Instances!I9:Instances!I9),"diff", MAX(Instances!I9:Instances!I9)-MIN(Instances!I9:Instances!I9))</f>
        <v>0</v>
      </c>
      <c r="J9" s="1" cm="1">
        <f t="array" ref="J9">_xlfn.SWITCH($A$2,"average", AVERAGE(Instances!J9:Instances!J9),"median", MEDIAN(Instances!J9:Instances!J9),"min", MIN(Instances!J9:Instances!J9),"max", MAX(Instances!J9:Instances!J9),"diff", MAX(Instances!J9:Instances!J9)-MIN(Instances!J9:Instances!J9))</f>
        <v>0</v>
      </c>
      <c r="K9" s="1" cm="1">
        <f t="array" ref="K9">_xlfn.SWITCH($A$2,"average", AVERAGE(Instances!K9:Instances!K9),"median", MEDIAN(Instances!K9:Instances!K9),"min", MIN(Instances!K9:Instances!K9),"max", MAX(Instances!K9:Instances!K9),"diff", MAX(Instances!K9:Instances!K9)-MIN(Instances!K9:Instances!K9))</f>
        <v>0</v>
      </c>
      <c r="L9" s="1"/>
      <c r="M9" s="1" cm="1">
        <f t="array" ref="M9">_xlfn.SWITCH($A$2,"average", AVERAGE(Instances!M9:Instances!M9),"median", MEDIAN(Instances!M9:Instances!M9),"min", MIN(Instances!M9:Instances!M9),"max", MAX(Instances!M9:Instances!M9),"diff", MAX(Instances!M9:Instances!M9)-MIN(Instances!M9:Instances!M9))</f>
        <v>0</v>
      </c>
      <c r="N9" s="1" cm="1">
        <f t="array" ref="N9">_xlfn.SWITCH($A$2,"average", AVERAGE(Instances!N9:Instances!N9),"median", MEDIAN(Instances!N9:Instances!N9),"min", MIN(Instances!N9:Instances!N9),"max", MAX(Instances!N9:Instances!N9),"diff", MAX(Instances!N9:Instances!N9)-MIN(Instances!N9:Instances!N9))</f>
        <v>0</v>
      </c>
      <c r="O9" s="1"/>
      <c r="P9" s="1" cm="1">
        <f t="array" ref="P9">_xlfn.SWITCH($A$2,"average", AVERAGE(Instances!P9:Instances!P9),"median", MEDIAN(Instances!P9:Instances!P9),"min", MIN(Instances!P9:Instances!P9),"max", MAX(Instances!P9:Instances!P9),"diff", MAX(Instances!P9:Instances!P9)-MIN(Instances!P9:Instances!P9))</f>
        <v>0</v>
      </c>
      <c r="Q9" s="1" cm="1">
        <f t="array" ref="Q9">_xlfn.SWITCH($A$2,"average", AVERAGE(Instances!Q9:Instances!Q9),"median", MEDIAN(Instances!Q9:Instances!Q9),"min", MIN(Instances!Q9:Instances!Q9),"max", MAX(Instances!Q9:Instances!Q9),"diff", MAX(Instances!Q9:Instances!Q9)-MIN(Instances!Q9:Instances!Q9))</f>
        <v>0</v>
      </c>
      <c r="R9" s="1" cm="1">
        <f t="array" ref="R9">_xlfn.SWITCH($A$2,"average", AVERAGE(Instances!R9:Instances!R9),"median", MEDIAN(Instances!R9:Instances!R9),"min", MIN(Instances!R9:Instances!R9),"max", MAX(Instances!R9:Instances!R9),"diff", MAX(Instances!R9:Instances!R9)-MIN(Instances!R9:Instances!R9))</f>
        <v>0</v>
      </c>
      <c r="S9" s="1">
        <f>MIN($B9)</f>
        <v>0</v>
      </c>
      <c r="T9" s="1">
        <f>MIN($C9)</f>
        <v>0</v>
      </c>
      <c r="U9" s="1">
        <f>MIN($D9)</f>
        <v>0</v>
      </c>
      <c r="V9" s="1">
        <f>MIN($E9)</f>
        <v>0</v>
      </c>
      <c r="W9" s="1">
        <f>MIN($F9)</f>
        <v>0</v>
      </c>
      <c r="X9" s="1">
        <f>MIN($G9)</f>
        <v>0</v>
      </c>
      <c r="Y9" s="1">
        <f>MIN($H9)</f>
        <v>0</v>
      </c>
      <c r="Z9" s="1">
        <f>MIN($I9)</f>
        <v>0</v>
      </c>
      <c r="AA9" s="1">
        <f>MIN($J9)</f>
        <v>0</v>
      </c>
      <c r="AB9" s="1">
        <f>MIN($K9)</f>
        <v>0</v>
      </c>
      <c r="AC9" s="1">
        <f>MIN($M9)</f>
        <v>0</v>
      </c>
      <c r="AD9" s="1">
        <f>MIN($N9)</f>
        <v>0</v>
      </c>
      <c r="AE9" s="1">
        <f>MIN($P9)</f>
        <v>0</v>
      </c>
      <c r="AF9" s="1">
        <f>MIN($Q9)</f>
        <v>0</v>
      </c>
      <c r="AG9" s="1">
        <f>MIN($R9)</f>
        <v>0</v>
      </c>
      <c r="AH9" s="1">
        <f>MEDIAN($B9)</f>
        <v>0</v>
      </c>
      <c r="AI9" s="1">
        <f>MEDIAN($C9)</f>
        <v>0</v>
      </c>
      <c r="AJ9" s="1">
        <f>MEDIAN($D9)</f>
        <v>0</v>
      </c>
      <c r="AK9" s="1">
        <f>MEDIAN($E9)</f>
        <v>0</v>
      </c>
      <c r="AL9" s="1">
        <f>MEDIAN($F9)</f>
        <v>0</v>
      </c>
      <c r="AM9" s="1">
        <f>MEDIAN($G9)</f>
        <v>0</v>
      </c>
      <c r="AN9" s="1">
        <f>MEDIAN($H9)</f>
        <v>0</v>
      </c>
      <c r="AO9" s="1">
        <f>MEDIAN($I9)</f>
        <v>0</v>
      </c>
      <c r="AP9" s="1">
        <f>MEDIAN($J9)</f>
        <v>0</v>
      </c>
      <c r="AQ9" s="1">
        <f>MEDIAN($K9)</f>
        <v>0</v>
      </c>
      <c r="AR9" s="1">
        <f>MEDIAN($M9)</f>
        <v>0</v>
      </c>
      <c r="AS9" s="1">
        <f>MEDIAN($N9)</f>
        <v>0</v>
      </c>
      <c r="AT9" s="1">
        <f>MEDIAN($P9)</f>
        <v>0</v>
      </c>
      <c r="AU9" s="1">
        <f>MEDIAN($Q9)</f>
        <v>0</v>
      </c>
      <c r="AV9" s="1">
        <f>MEDIAN($R9)</f>
        <v>0</v>
      </c>
      <c r="AW9" s="1">
        <f>MAX($B9)</f>
        <v>0</v>
      </c>
      <c r="AX9" s="1">
        <f>MAX($C9)</f>
        <v>0</v>
      </c>
      <c r="AY9" s="1">
        <f>MAX($D9)</f>
        <v>0</v>
      </c>
      <c r="AZ9" s="1">
        <f>MAX($E9)</f>
        <v>0</v>
      </c>
      <c r="BA9" s="1">
        <f>MAX($F9)</f>
        <v>0</v>
      </c>
      <c r="BB9" s="1">
        <f>MAX($G9)</f>
        <v>0</v>
      </c>
      <c r="BC9" s="1">
        <f>MAX($H9)</f>
        <v>0</v>
      </c>
      <c r="BD9" s="1">
        <f>MAX($I9)</f>
        <v>0</v>
      </c>
      <c r="BE9" s="1">
        <f>MAX($J9)</f>
        <v>0</v>
      </c>
      <c r="BF9" s="1">
        <f>MAX($K9)</f>
        <v>0</v>
      </c>
      <c r="BG9" s="1">
        <f>MAX($M9)</f>
        <v>0</v>
      </c>
      <c r="BH9" s="1">
        <f>MAX($N9)</f>
        <v>0</v>
      </c>
      <c r="BI9" s="1">
        <f>MAX($P9)</f>
        <v>0</v>
      </c>
      <c r="BJ9" s="1">
        <f>MAX($Q9)</f>
        <v>0</v>
      </c>
      <c r="BK9" s="1">
        <f>MAX($R9)</f>
        <v>0</v>
      </c>
    </row>
    <row r="10" spans="1:6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</row>
    <row r="11" spans="1:63">
      <c r="A11" s="1" t="s">
        <v>7</v>
      </c>
      <c r="B11" s="1">
        <f>SUM(B$3:B$9)</f>
        <v>0</v>
      </c>
      <c r="C11" s="1">
        <f>SUM(C$3:C$9)</f>
        <v>0</v>
      </c>
      <c r="D11" s="1">
        <f>SUM(D$3:D$9)</f>
        <v>0</v>
      </c>
      <c r="E11" s="1">
        <f>SUM(E$3:E$9)</f>
        <v>0</v>
      </c>
      <c r="F11" s="1">
        <f>SUM(F$3:F$9)</f>
        <v>0</v>
      </c>
      <c r="G11" s="1">
        <f>SUM(G$3:G$9)</f>
        <v>0</v>
      </c>
      <c r="H11" s="1">
        <f>SUM(H$3:H$9)</f>
        <v>0</v>
      </c>
      <c r="I11" s="1">
        <f>SUM(I$3:I$9)</f>
        <v>0</v>
      </c>
      <c r="J11" s="1">
        <f>SUM(J$3:J$9)</f>
        <v>0</v>
      </c>
      <c r="K11" s="1">
        <f>SUM(K$3:K$9)</f>
        <v>0</v>
      </c>
      <c r="L11" s="1"/>
      <c r="M11" s="1">
        <f>SUM(M$3:M$9)</f>
        <v>0</v>
      </c>
      <c r="N11" s="1">
        <f>SUM(N$3:N$9)</f>
        <v>0</v>
      </c>
      <c r="O11" s="1"/>
      <c r="P11" s="1">
        <f>SUM(P$3:P$9)</f>
        <v>0</v>
      </c>
      <c r="Q11" s="1">
        <f>SUM(Q$3:Q$9)</f>
        <v>0</v>
      </c>
      <c r="R11" s="1">
        <f>SUM(R$3:R$9)</f>
        <v>0</v>
      </c>
      <c r="S11" s="1">
        <f>SUM(S$3:S$9)</f>
        <v>0</v>
      </c>
      <c r="T11" s="1">
        <f>SUM(T$3:T$9)</f>
        <v>0</v>
      </c>
      <c r="U11" s="1">
        <f>SUM(U$3:U$9)</f>
        <v>0</v>
      </c>
      <c r="V11" s="1">
        <f>SUM(V$3:V$9)</f>
        <v>0</v>
      </c>
      <c r="W11" s="1">
        <f>SUM(W$3:W$9)</f>
        <v>0</v>
      </c>
      <c r="X11" s="1">
        <f>SUM(X$3:X$9)</f>
        <v>0</v>
      </c>
      <c r="Y11" s="1">
        <f>SUM(Y$3:Y$9)</f>
        <v>0</v>
      </c>
      <c r="Z11" s="1">
        <f>SUM(Z$3:Z$9)</f>
        <v>0</v>
      </c>
      <c r="AA11" s="1">
        <f>SUM(AA$3:AA$9)</f>
        <v>0</v>
      </c>
      <c r="AB11" s="1">
        <f>SUM(AB$3:AB$9)</f>
        <v>0</v>
      </c>
      <c r="AC11" s="1">
        <f>SUM(AC$3:AC$9)</f>
        <v>0</v>
      </c>
      <c r="AD11" s="1">
        <f>SUM(AD$3:AD$9)</f>
        <v>0</v>
      </c>
      <c r="AE11" s="1">
        <f>SUM(AE$3:AE$9)</f>
        <v>0</v>
      </c>
      <c r="AF11" s="1">
        <f>SUM(AF$3:AF$9)</f>
        <v>0</v>
      </c>
      <c r="AG11" s="1">
        <f>SUM(AG$3:AG$9)</f>
        <v>0</v>
      </c>
      <c r="AH11" s="1">
        <f>SUM(AH$3:AH$9)</f>
        <v>0</v>
      </c>
      <c r="AI11" s="1">
        <f>SUM(AI$3:AI$9)</f>
        <v>0</v>
      </c>
      <c r="AJ11" s="1">
        <f>SUM(AJ$3:AJ$9)</f>
        <v>0</v>
      </c>
      <c r="AK11" s="1">
        <f>SUM(AK$3:AK$9)</f>
        <v>0</v>
      </c>
      <c r="AL11" s="1">
        <f>SUM(AL$3:AL$9)</f>
        <v>0</v>
      </c>
      <c r="AM11" s="1">
        <f>SUM(AM$3:AM$9)</f>
        <v>0</v>
      </c>
      <c r="AN11" s="1">
        <f>SUM(AN$3:AN$9)</f>
        <v>0</v>
      </c>
      <c r="AO11" s="1">
        <f>SUM(AO$3:AO$9)</f>
        <v>0</v>
      </c>
      <c r="AP11" s="1">
        <f>SUM(AP$3:AP$9)</f>
        <v>0</v>
      </c>
      <c r="AQ11" s="1">
        <f>SUM(AQ$3:AQ$9)</f>
        <v>0</v>
      </c>
      <c r="AR11" s="1">
        <f>SUM(AR$3:AR$9)</f>
        <v>0</v>
      </c>
      <c r="AS11" s="1">
        <f>SUM(AS$3:AS$9)</f>
        <v>0</v>
      </c>
      <c r="AT11" s="1">
        <f>SUM(AT$3:AT$9)</f>
        <v>0</v>
      </c>
      <c r="AU11" s="1">
        <f>SUM(AU$3:AU$9)</f>
        <v>0</v>
      </c>
      <c r="AV11" s="1">
        <f>SUM(AV$3:AV$9)</f>
        <v>0</v>
      </c>
      <c r="AW11" s="1">
        <f>SUM(AW$3:AW$9)</f>
        <v>0</v>
      </c>
      <c r="AX11" s="1">
        <f>SUM(AX$3:AX$9)</f>
        <v>0</v>
      </c>
      <c r="AY11" s="1">
        <f>SUM(AY$3:AY$9)</f>
        <v>0</v>
      </c>
      <c r="AZ11" s="1">
        <f>SUM(AZ$3:AZ$9)</f>
        <v>0</v>
      </c>
      <c r="BA11" s="1">
        <f>SUM(BA$3:BA$9)</f>
        <v>0</v>
      </c>
      <c r="BB11" s="1">
        <f>SUM(BB$3:BB$9)</f>
        <v>0</v>
      </c>
      <c r="BC11" s="1">
        <f>SUM(BC$3:BC$9)</f>
        <v>0</v>
      </c>
      <c r="BD11" s="1">
        <f>SUM(BD$3:BD$9)</f>
        <v>0</v>
      </c>
      <c r="BE11" s="1">
        <f>SUM(BE$3:BE$9)</f>
        <v>0</v>
      </c>
      <c r="BF11" s="1">
        <f>SUM(BF$3:BF$9)</f>
        <v>0</v>
      </c>
      <c r="BG11" s="1">
        <f>SUM(BG$3:BG$9)</f>
        <v>0</v>
      </c>
      <c r="BH11" s="1">
        <f>SUM(BH$3:BH$9)</f>
        <v>0</v>
      </c>
      <c r="BI11" s="1">
        <f>SUM(BI$3:BI$9)</f>
        <v>0</v>
      </c>
      <c r="BJ11" s="1">
        <f>SUM(BJ$3:BJ$9)</f>
        <v>0</v>
      </c>
      <c r="BK11" s="1">
        <f>SUM(BK$3:BK$9)</f>
        <v>0</v>
      </c>
    </row>
    <row r="12" spans="1:63">
      <c r="A12" s="1" t="s">
        <v>8</v>
      </c>
      <c r="B12" s="1">
        <f>AVERAGE(B$3:B$9)</f>
        <v>0</v>
      </c>
      <c r="C12" s="1">
        <f>AVERAGE(C$3:C$9)</f>
        <v>0</v>
      </c>
      <c r="D12" s="1">
        <f>AVERAGE(D$3:D$9)</f>
        <v>0</v>
      </c>
      <c r="E12" s="1">
        <f>AVERAGE(E$3:E$9)</f>
        <v>0</v>
      </c>
      <c r="F12" s="1">
        <f>AVERAGE(F$3:F$9)</f>
        <v>0</v>
      </c>
      <c r="G12" s="1">
        <f>AVERAGE(G$3:G$9)</f>
        <v>0</v>
      </c>
      <c r="H12" s="1">
        <f>AVERAGE(H$3:H$9)</f>
        <v>0</v>
      </c>
      <c r="I12" s="1">
        <f>AVERAGE(I$3:I$9)</f>
        <v>0</v>
      </c>
      <c r="J12" s="1">
        <f>AVERAGE(J$3:J$9)</f>
        <v>0</v>
      </c>
      <c r="K12" s="1">
        <f>AVERAGE(K$3:K$9)</f>
        <v>0</v>
      </c>
      <c r="L12" s="1"/>
      <c r="M12" s="1">
        <f>AVERAGE(M$3:M$9)</f>
        <v>0</v>
      </c>
      <c r="N12" s="1">
        <f>AVERAGE(N$3:N$9)</f>
        <v>0</v>
      </c>
      <c r="O12" s="1"/>
      <c r="P12" s="1">
        <f>AVERAGE(P$3:P$9)</f>
        <v>0</v>
      </c>
      <c r="Q12" s="1">
        <f>AVERAGE(Q$3:Q$9)</f>
        <v>0</v>
      </c>
      <c r="R12" s="1">
        <f>AVERAGE(R$3:R$9)</f>
        <v>0</v>
      </c>
      <c r="S12" s="1">
        <f>AVERAGE(S$3:S$9)</f>
        <v>0</v>
      </c>
      <c r="T12" s="1">
        <f>AVERAGE(T$3:T$9)</f>
        <v>0</v>
      </c>
      <c r="U12" s="1">
        <f>AVERAGE(U$3:U$9)</f>
        <v>0</v>
      </c>
      <c r="V12" s="1">
        <f>AVERAGE(V$3:V$9)</f>
        <v>0</v>
      </c>
      <c r="W12" s="1">
        <f>AVERAGE(W$3:W$9)</f>
        <v>0</v>
      </c>
      <c r="X12" s="1">
        <f>AVERAGE(X$3:X$9)</f>
        <v>0</v>
      </c>
      <c r="Y12" s="1">
        <f>AVERAGE(Y$3:Y$9)</f>
        <v>0</v>
      </c>
      <c r="Z12" s="1">
        <f>AVERAGE(Z$3:Z$9)</f>
        <v>0</v>
      </c>
      <c r="AA12" s="1">
        <f>AVERAGE(AA$3:AA$9)</f>
        <v>0</v>
      </c>
      <c r="AB12" s="1">
        <f>AVERAGE(AB$3:AB$9)</f>
        <v>0</v>
      </c>
      <c r="AC12" s="1">
        <f>AVERAGE(AC$3:AC$9)</f>
        <v>0</v>
      </c>
      <c r="AD12" s="1">
        <f>AVERAGE(AD$3:AD$9)</f>
        <v>0</v>
      </c>
      <c r="AE12" s="1">
        <f>AVERAGE(AE$3:AE$9)</f>
        <v>0</v>
      </c>
      <c r="AF12" s="1">
        <f>AVERAGE(AF$3:AF$9)</f>
        <v>0</v>
      </c>
      <c r="AG12" s="1">
        <f>AVERAGE(AG$3:AG$9)</f>
        <v>0</v>
      </c>
      <c r="AH12" s="1">
        <f>AVERAGE(AH$3:AH$9)</f>
        <v>0</v>
      </c>
      <c r="AI12" s="1">
        <f>AVERAGE(AI$3:AI$9)</f>
        <v>0</v>
      </c>
      <c r="AJ12" s="1">
        <f>AVERAGE(AJ$3:AJ$9)</f>
        <v>0</v>
      </c>
      <c r="AK12" s="1">
        <f>AVERAGE(AK$3:AK$9)</f>
        <v>0</v>
      </c>
      <c r="AL12" s="1">
        <f>AVERAGE(AL$3:AL$9)</f>
        <v>0</v>
      </c>
      <c r="AM12" s="1">
        <f>AVERAGE(AM$3:AM$9)</f>
        <v>0</v>
      </c>
      <c r="AN12" s="1">
        <f>AVERAGE(AN$3:AN$9)</f>
        <v>0</v>
      </c>
      <c r="AO12" s="1">
        <f>AVERAGE(AO$3:AO$9)</f>
        <v>0</v>
      </c>
      <c r="AP12" s="1">
        <f>AVERAGE(AP$3:AP$9)</f>
        <v>0</v>
      </c>
      <c r="AQ12" s="1">
        <f>AVERAGE(AQ$3:AQ$9)</f>
        <v>0</v>
      </c>
      <c r="AR12" s="1">
        <f>AVERAGE(AR$3:AR$9)</f>
        <v>0</v>
      </c>
      <c r="AS12" s="1">
        <f>AVERAGE(AS$3:AS$9)</f>
        <v>0</v>
      </c>
      <c r="AT12" s="1">
        <f>AVERAGE(AT$3:AT$9)</f>
        <v>0</v>
      </c>
      <c r="AU12" s="1">
        <f>AVERAGE(AU$3:AU$9)</f>
        <v>0</v>
      </c>
      <c r="AV12" s="1">
        <f>AVERAGE(AV$3:AV$9)</f>
        <v>0</v>
      </c>
      <c r="AW12" s="1">
        <f>AVERAGE(AW$3:AW$9)</f>
        <v>0</v>
      </c>
      <c r="AX12" s="1">
        <f>AVERAGE(AX$3:AX$9)</f>
        <v>0</v>
      </c>
      <c r="AY12" s="1">
        <f>AVERAGE(AY$3:AY$9)</f>
        <v>0</v>
      </c>
      <c r="AZ12" s="1">
        <f>AVERAGE(AZ$3:AZ$9)</f>
        <v>0</v>
      </c>
      <c r="BA12" s="1">
        <f>AVERAGE(BA$3:BA$9)</f>
        <v>0</v>
      </c>
      <c r="BB12" s="1">
        <f>AVERAGE(BB$3:BB$9)</f>
        <v>0</v>
      </c>
      <c r="BC12" s="1">
        <f>AVERAGE(BC$3:BC$9)</f>
        <v>0</v>
      </c>
      <c r="BD12" s="1">
        <f>AVERAGE(BD$3:BD$9)</f>
        <v>0</v>
      </c>
      <c r="BE12" s="1">
        <f>AVERAGE(BE$3:BE$9)</f>
        <v>0</v>
      </c>
      <c r="BF12" s="1">
        <f>AVERAGE(BF$3:BF$9)</f>
        <v>0</v>
      </c>
      <c r="BG12" s="1">
        <f>AVERAGE(BG$3:BG$9)</f>
        <v>0</v>
      </c>
      <c r="BH12" s="1">
        <f>AVERAGE(BH$3:BH$9)</f>
        <v>0</v>
      </c>
      <c r="BI12" s="1">
        <f>AVERAGE(BI$3:BI$9)</f>
        <v>0</v>
      </c>
      <c r="BJ12" s="1">
        <f>AVERAGE(BJ$3:BJ$9)</f>
        <v>0</v>
      </c>
      <c r="BK12" s="1">
        <f>AVERAGE(BK$3:BK$9)</f>
        <v>0</v>
      </c>
    </row>
    <row r="13" spans="1:63">
      <c r="A13" s="1" t="s">
        <v>9</v>
      </c>
      <c r="B13" s="1">
        <f>STDEV(B$3:B$9)</f>
        <v>0</v>
      </c>
      <c r="C13" s="1">
        <f>STDEV(C$3:C$9)</f>
        <v>0</v>
      </c>
      <c r="D13" s="1">
        <f>STDEV(D$3:D$9)</f>
        <v>0</v>
      </c>
      <c r="E13" s="1">
        <f>STDEV(E$3:E$9)</f>
        <v>0</v>
      </c>
      <c r="F13" s="1">
        <f>STDEV(F$3:F$9)</f>
        <v>0</v>
      </c>
      <c r="G13" s="1">
        <f>STDEV(G$3:G$9)</f>
        <v>0</v>
      </c>
      <c r="H13" s="1">
        <f>STDEV(H$3:H$9)</f>
        <v>0</v>
      </c>
      <c r="I13" s="1">
        <f>STDEV(I$3:I$9)</f>
        <v>0</v>
      </c>
      <c r="J13" s="1">
        <f>STDEV(J$3:J$9)</f>
        <v>0</v>
      </c>
      <c r="K13" s="1">
        <f>STDEV(K$3:K$9)</f>
        <v>0</v>
      </c>
      <c r="L13" s="1"/>
      <c r="M13" s="1">
        <f>STDEV(M$3:M$9)</f>
        <v>0</v>
      </c>
      <c r="N13" s="1">
        <f>STDEV(N$3:N$9)</f>
        <v>0</v>
      </c>
      <c r="O13" s="1"/>
      <c r="P13" s="1">
        <f>STDEV(P$3:P$9)</f>
        <v>0</v>
      </c>
      <c r="Q13" s="1">
        <f>STDEV(Q$3:Q$9)</f>
        <v>0</v>
      </c>
      <c r="R13" s="1">
        <f>STDEV(R$3:R$9)</f>
        <v>0</v>
      </c>
      <c r="S13" s="1">
        <f>STDEV(S$3:S$9)</f>
        <v>0</v>
      </c>
      <c r="T13" s="1">
        <f>STDEV(T$3:T$9)</f>
        <v>0</v>
      </c>
      <c r="U13" s="1">
        <f>STDEV(U$3:U$9)</f>
        <v>0</v>
      </c>
      <c r="V13" s="1">
        <f>STDEV(V$3:V$9)</f>
        <v>0</v>
      </c>
      <c r="W13" s="1">
        <f>STDEV(W$3:W$9)</f>
        <v>0</v>
      </c>
      <c r="X13" s="1">
        <f>STDEV(X$3:X$9)</f>
        <v>0</v>
      </c>
      <c r="Y13" s="1">
        <f>STDEV(Y$3:Y$9)</f>
        <v>0</v>
      </c>
      <c r="Z13" s="1">
        <f>STDEV(Z$3:Z$9)</f>
        <v>0</v>
      </c>
      <c r="AA13" s="1">
        <f>STDEV(AA$3:AA$9)</f>
        <v>0</v>
      </c>
      <c r="AB13" s="1">
        <f>STDEV(AB$3:AB$9)</f>
        <v>0</v>
      </c>
      <c r="AC13" s="1">
        <f>STDEV(AC$3:AC$9)</f>
        <v>0</v>
      </c>
      <c r="AD13" s="1">
        <f>STDEV(AD$3:AD$9)</f>
        <v>0</v>
      </c>
      <c r="AE13" s="1">
        <f>STDEV(AE$3:AE$9)</f>
        <v>0</v>
      </c>
      <c r="AF13" s="1">
        <f>STDEV(AF$3:AF$9)</f>
        <v>0</v>
      </c>
      <c r="AG13" s="1">
        <f>STDEV(AG$3:AG$9)</f>
        <v>0</v>
      </c>
      <c r="AH13" s="1">
        <f>STDEV(AH$3:AH$9)</f>
        <v>0</v>
      </c>
      <c r="AI13" s="1">
        <f>STDEV(AI$3:AI$9)</f>
        <v>0</v>
      </c>
      <c r="AJ13" s="1">
        <f>STDEV(AJ$3:AJ$9)</f>
        <v>0</v>
      </c>
      <c r="AK13" s="1">
        <f>STDEV(AK$3:AK$9)</f>
        <v>0</v>
      </c>
      <c r="AL13" s="1">
        <f>STDEV(AL$3:AL$9)</f>
        <v>0</v>
      </c>
      <c r="AM13" s="1">
        <f>STDEV(AM$3:AM$9)</f>
        <v>0</v>
      </c>
      <c r="AN13" s="1">
        <f>STDEV(AN$3:AN$9)</f>
        <v>0</v>
      </c>
      <c r="AO13" s="1">
        <f>STDEV(AO$3:AO$9)</f>
        <v>0</v>
      </c>
      <c r="AP13" s="1">
        <f>STDEV(AP$3:AP$9)</f>
        <v>0</v>
      </c>
      <c r="AQ13" s="1">
        <f>STDEV(AQ$3:AQ$9)</f>
        <v>0</v>
      </c>
      <c r="AR13" s="1">
        <f>STDEV(AR$3:AR$9)</f>
        <v>0</v>
      </c>
      <c r="AS13" s="1">
        <f>STDEV(AS$3:AS$9)</f>
        <v>0</v>
      </c>
      <c r="AT13" s="1">
        <f>STDEV(AT$3:AT$9)</f>
        <v>0</v>
      </c>
      <c r="AU13" s="1">
        <f>STDEV(AU$3:AU$9)</f>
        <v>0</v>
      </c>
      <c r="AV13" s="1">
        <f>STDEV(AV$3:AV$9)</f>
        <v>0</v>
      </c>
      <c r="AW13" s="1">
        <f>STDEV(AW$3:AW$9)</f>
        <v>0</v>
      </c>
      <c r="AX13" s="1">
        <f>STDEV(AX$3:AX$9)</f>
        <v>0</v>
      </c>
      <c r="AY13" s="1">
        <f>STDEV(AY$3:AY$9)</f>
        <v>0</v>
      </c>
      <c r="AZ13" s="1">
        <f>STDEV(AZ$3:AZ$9)</f>
        <v>0</v>
      </c>
      <c r="BA13" s="1">
        <f>STDEV(BA$3:BA$9)</f>
        <v>0</v>
      </c>
      <c r="BB13" s="1">
        <f>STDEV(BB$3:BB$9)</f>
        <v>0</v>
      </c>
      <c r="BC13" s="1">
        <f>STDEV(BC$3:BC$9)</f>
        <v>0</v>
      </c>
      <c r="BD13" s="1">
        <f>STDEV(BD$3:BD$9)</f>
        <v>0</v>
      </c>
      <c r="BE13" s="1">
        <f>STDEV(BE$3:BE$9)</f>
        <v>0</v>
      </c>
      <c r="BF13" s="1">
        <f>STDEV(BF$3:BF$9)</f>
        <v>0</v>
      </c>
      <c r="BG13" s="1">
        <f>STDEV(BG$3:BG$9)</f>
        <v>0</v>
      </c>
      <c r="BH13" s="1">
        <f>STDEV(BH$3:BH$9)</f>
        <v>0</v>
      </c>
      <c r="BI13" s="1">
        <f>STDEV(BI$3:BI$9)</f>
        <v>0</v>
      </c>
      <c r="BJ13" s="1">
        <f>STDEV(BJ$3:BJ$9)</f>
        <v>0</v>
      </c>
      <c r="BK13" s="1">
        <f>STDEV(BK$3:BK$9)</f>
        <v>0</v>
      </c>
    </row>
    <row r="14" spans="1:63">
      <c r="A14" s="1" t="s">
        <v>10</v>
      </c>
      <c r="B14" s="1">
        <f>SUMPRODUCT(--(B$3:B$9-$S$3:$S$9)^2)^0.5</f>
        <v>0</v>
      </c>
      <c r="C14" s="1">
        <f>SUMPRODUCT(--(C$3:C$9-$T$3:$T$9)^2)^0.5</f>
        <v>0</v>
      </c>
      <c r="D14" s="1">
        <f>SUMPRODUCT(--(D$3:D$9-$U$3:$U$9)^2)^0.5</f>
        <v>0</v>
      </c>
      <c r="E14" s="1">
        <f>SUMPRODUCT(--(E$3:E$9-$V$3:$V$9)^2)^0.5</f>
        <v>0</v>
      </c>
      <c r="F14" s="1">
        <f>SUMPRODUCT(--(F$3:F$9-$W$3:$W$9)^2)^0.5</f>
        <v>0</v>
      </c>
      <c r="G14" s="1">
        <f>SUMPRODUCT(--(G$3:G$9-$X$3:$X$9)^2)^0.5</f>
        <v>0</v>
      </c>
      <c r="H14" s="1">
        <f>SUMPRODUCT(--(H$3:H$9-$Y$3:$Y$9)^2)^0.5</f>
        <v>0</v>
      </c>
      <c r="I14" s="1">
        <f>SUMPRODUCT(--(I$3:I$9-$Z$3:$Z$9)^2)^0.5</f>
        <v>0</v>
      </c>
      <c r="J14" s="1">
        <f>SUMPRODUCT(--(J$3:J$9-$AA$3:$AA$9)^2)^0.5</f>
        <v>0</v>
      </c>
      <c r="K14" s="1">
        <f>SUMPRODUCT(--(K$3:K$9-$AB$3:$AB$9)^2)^0.5</f>
        <v>0</v>
      </c>
      <c r="L14" s="1"/>
      <c r="M14" s="1">
        <f>SUMPRODUCT(--(M$3:M$9-$AC$3:$AC$9)^2)^0.5</f>
        <v>0</v>
      </c>
      <c r="N14" s="1">
        <f>SUMPRODUCT(--(N$3:N$9-$AD$3:$AD$9)^2)^0.5</f>
        <v>0</v>
      </c>
      <c r="O14" s="1"/>
      <c r="P14" s="1">
        <f>SUMPRODUCT(--(P$3:P$9-$AE$3:$AE$9)^2)^0.5</f>
        <v>0</v>
      </c>
      <c r="Q14" s="1">
        <f>SUMPRODUCT(--(Q$3:Q$9-$AF$3:$AF$9)^2)^0.5</f>
        <v>0</v>
      </c>
      <c r="R14" s="1">
        <f>SUMPRODUCT(--(R$3:R$9-$AG$3:$AG$9)^2)^0.5</f>
        <v>0</v>
      </c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</row>
    <row r="15" spans="1:63">
      <c r="A15" s="1" t="s">
        <v>11</v>
      </c>
      <c r="B15" s="1">
        <f>SUMPRODUCT(NOT(ISBLANK(B$3:B$9))*(B$3:B$9=$S$3:$S$9))</f>
        <v>0</v>
      </c>
      <c r="C15" s="1">
        <f>SUMPRODUCT(NOT(ISBLANK(C$3:C$9))*(C$3:C$9=$T$3:$T$9))</f>
        <v>0</v>
      </c>
      <c r="D15" s="1">
        <f>SUMPRODUCT(NOT(ISBLANK(D$3:D$9))*(D$3:D$9=$U$3:$U$9))</f>
        <v>0</v>
      </c>
      <c r="E15" s="1">
        <f>SUMPRODUCT(NOT(ISBLANK(E$3:E$9))*(E$3:E$9=$V$3:$V$9))</f>
        <v>0</v>
      </c>
      <c r="F15" s="1">
        <f>SUMPRODUCT(NOT(ISBLANK(F$3:F$9))*(F$3:F$9=$W$3:$W$9))</f>
        <v>0</v>
      </c>
      <c r="G15" s="1">
        <f>SUMPRODUCT(NOT(ISBLANK(G$3:G$9))*(G$3:G$9=$X$3:$X$9))</f>
        <v>0</v>
      </c>
      <c r="H15" s="1">
        <f>SUMPRODUCT(NOT(ISBLANK(H$3:H$9))*(H$3:H$9=$Y$3:$Y$9))</f>
        <v>0</v>
      </c>
      <c r="I15" s="1">
        <f>SUMPRODUCT(NOT(ISBLANK(I$3:I$9))*(I$3:I$9=$Z$3:$Z$9))</f>
        <v>0</v>
      </c>
      <c r="J15" s="1">
        <f>SUMPRODUCT(NOT(ISBLANK(J$3:J$9))*(J$3:J$9=$AA$3:$AA$9))</f>
        <v>0</v>
      </c>
      <c r="K15" s="1">
        <f>SUMPRODUCT(NOT(ISBLANK(K$3:K$9))*(K$3:K$9=$AB$3:$AB$9))</f>
        <v>0</v>
      </c>
      <c r="L15" s="1"/>
      <c r="M15" s="1">
        <f>SUMPRODUCT(NOT(ISBLANK(M$3:M$9))*(M$3:M$9=$AC$3:$AC$9))</f>
        <v>0</v>
      </c>
      <c r="N15" s="1">
        <f>SUMPRODUCT(NOT(ISBLANK(N$3:N$9))*(N$3:N$9=$AD$3:$AD$9))</f>
        <v>0</v>
      </c>
      <c r="O15" s="1"/>
      <c r="P15" s="1">
        <f>SUMPRODUCT(NOT(ISBLANK(P$3:P$9))*(P$3:P$9=$AE$3:$AE$9))</f>
        <v>0</v>
      </c>
      <c r="Q15" s="1">
        <f>SUMPRODUCT(NOT(ISBLANK(Q$3:Q$9))*(Q$3:Q$9=$AF$3:$AF$9))</f>
        <v>0</v>
      </c>
      <c r="R15" s="1">
        <f>SUMPRODUCT(NOT(ISBLANK(R$3:R$9))*(R$3:R$9=$AG$3:$AG$9))</f>
        <v>0</v>
      </c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</row>
    <row r="16" spans="1:63">
      <c r="A16" s="1" t="s">
        <v>12</v>
      </c>
      <c r="B16" s="1">
        <f>SUMPRODUCT(NOT(ISBLANK(B$3:B$9))*(B$3:B$9&lt;$AH$3:$AH$9))</f>
        <v>0</v>
      </c>
      <c r="C16" s="1">
        <f>SUMPRODUCT(NOT(ISBLANK(C$3:C$9))*(C$3:C$9&lt;$AI$3:$AI$9))</f>
        <v>0</v>
      </c>
      <c r="D16" s="1">
        <f>SUMPRODUCT(NOT(ISBLANK(D$3:D$9))*(D$3:D$9&lt;$AJ$3:$AJ$9))</f>
        <v>0</v>
      </c>
      <c r="E16" s="1">
        <f>SUMPRODUCT(NOT(ISBLANK(E$3:E$9))*(E$3:E$9&lt;$AK$3:$AK$9))</f>
        <v>0</v>
      </c>
      <c r="F16" s="1">
        <f>SUMPRODUCT(NOT(ISBLANK(F$3:F$9))*(F$3:F$9&lt;$AL$3:$AL$9))</f>
        <v>0</v>
      </c>
      <c r="G16" s="1">
        <f>SUMPRODUCT(NOT(ISBLANK(G$3:G$9))*(G$3:G$9&lt;$AM$3:$AM$9))</f>
        <v>0</v>
      </c>
      <c r="H16" s="1">
        <f>SUMPRODUCT(NOT(ISBLANK(H$3:H$9))*(H$3:H$9&lt;$AN$3:$AN$9))</f>
        <v>0</v>
      </c>
      <c r="I16" s="1">
        <f>SUMPRODUCT(NOT(ISBLANK(I$3:I$9))*(I$3:I$9&lt;$AO$3:$AO$9))</f>
        <v>0</v>
      </c>
      <c r="J16" s="1">
        <f>SUMPRODUCT(NOT(ISBLANK(J$3:J$9))*(J$3:J$9&lt;$AP$3:$AP$9))</f>
        <v>0</v>
      </c>
      <c r="K16" s="1">
        <f>SUMPRODUCT(NOT(ISBLANK(K$3:K$9))*(K$3:K$9&lt;$AQ$3:$AQ$9))</f>
        <v>0</v>
      </c>
      <c r="L16" s="1"/>
      <c r="M16" s="1">
        <f>SUMPRODUCT(NOT(ISBLANK(M$3:M$9))*(M$3:M$9&lt;$AR$3:$AR$9))</f>
        <v>0</v>
      </c>
      <c r="N16" s="1">
        <f>SUMPRODUCT(NOT(ISBLANK(N$3:N$9))*(N$3:N$9&lt;$AS$3:$AS$9))</f>
        <v>0</v>
      </c>
      <c r="O16" s="1"/>
      <c r="P16" s="1">
        <f>SUMPRODUCT(NOT(ISBLANK(P$3:P$9))*(P$3:P$9&lt;$AT$3:$AT$9))</f>
        <v>0</v>
      </c>
      <c r="Q16" s="1">
        <f>SUMPRODUCT(NOT(ISBLANK(Q$3:Q$9))*(Q$3:Q$9&lt;$AU$3:$AU$9))</f>
        <v>0</v>
      </c>
      <c r="R16" s="1">
        <f>SUMPRODUCT(NOT(ISBLANK(R$3:R$9))*(R$3:R$9&lt;$AV$3:$AV$9))</f>
        <v>0</v>
      </c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</row>
    <row r="17" spans="1:63">
      <c r="A17" s="1" t="s">
        <v>13</v>
      </c>
      <c r="B17" s="1">
        <f>SUMPRODUCT((NOT(ISBLANK(B$3:B$9))*(B$3:B$9&gt;$AH$3:$AH$9))+ISBLANK(B$3:B$9))</f>
        <v>0</v>
      </c>
      <c r="C17" s="1">
        <f>SUMPRODUCT((NOT(ISBLANK(C$3:C$9))*(C$3:C$9&gt;$AI$3:$AI$9))+ISBLANK(C$3:C$9))</f>
        <v>0</v>
      </c>
      <c r="D17" s="1">
        <f>SUMPRODUCT((NOT(ISBLANK(D$3:D$9))*(D$3:D$9&gt;$AJ$3:$AJ$9))+ISBLANK(D$3:D$9))</f>
        <v>0</v>
      </c>
      <c r="E17" s="1">
        <f>SUMPRODUCT((NOT(ISBLANK(E$3:E$9))*(E$3:E$9&gt;$AK$3:$AK$9))+ISBLANK(E$3:E$9))</f>
        <v>0</v>
      </c>
      <c r="F17" s="1">
        <f>SUMPRODUCT((NOT(ISBLANK(F$3:F$9))*(F$3:F$9&gt;$AL$3:$AL$9))+ISBLANK(F$3:F$9))</f>
        <v>0</v>
      </c>
      <c r="G17" s="1">
        <f>SUMPRODUCT((NOT(ISBLANK(G$3:G$9))*(G$3:G$9&gt;$AM$3:$AM$9))+ISBLANK(G$3:G$9))</f>
        <v>0</v>
      </c>
      <c r="H17" s="1">
        <f>SUMPRODUCT((NOT(ISBLANK(H$3:H$9))*(H$3:H$9&gt;$AN$3:$AN$9))+ISBLANK(H$3:H$9))</f>
        <v>0</v>
      </c>
      <c r="I17" s="1">
        <f>SUMPRODUCT((NOT(ISBLANK(I$3:I$9))*(I$3:I$9&gt;$AO$3:$AO$9))+ISBLANK(I$3:I$9))</f>
        <v>0</v>
      </c>
      <c r="J17" s="1">
        <f>SUMPRODUCT((NOT(ISBLANK(J$3:J$9))*(J$3:J$9&gt;$AP$3:$AP$9))+ISBLANK(J$3:J$9))</f>
        <v>0</v>
      </c>
      <c r="K17" s="1">
        <f>SUMPRODUCT((NOT(ISBLANK(K$3:K$9))*(K$3:K$9&gt;$AQ$3:$AQ$9))+ISBLANK(K$3:K$9))</f>
        <v>0</v>
      </c>
      <c r="L17" s="1"/>
      <c r="M17" s="1">
        <f>SUMPRODUCT((NOT(ISBLANK(M$3:M$9))*(M$3:M$9&gt;$AR$3:$AR$9))+ISBLANK(M$3:M$9))</f>
        <v>0</v>
      </c>
      <c r="N17" s="1">
        <f>SUMPRODUCT((NOT(ISBLANK(N$3:N$9))*(N$3:N$9&gt;$AS$3:$AS$9))+ISBLANK(N$3:N$9))</f>
        <v>0</v>
      </c>
      <c r="O17" s="1"/>
      <c r="P17" s="1">
        <f>SUMPRODUCT((NOT(ISBLANK(P$3:P$9))*(P$3:P$9&gt;$AT$3:$AT$9))+ISBLANK(P$3:P$9))</f>
        <v>0</v>
      </c>
      <c r="Q17" s="1">
        <f>SUMPRODUCT((NOT(ISBLANK(Q$3:Q$9))*(Q$3:Q$9&gt;$AU$3:$AU$9))+ISBLANK(Q$3:Q$9))</f>
        <v>0</v>
      </c>
      <c r="R17" s="1">
        <f>SUMPRODUCT((NOT(ISBLANK(R$3:R$9))*(R$3:R$9&gt;$AV$3:$AV$9))+ISBLANK(R$3:R$9))</f>
        <v>0</v>
      </c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</row>
    <row r="18" spans="1:63">
      <c r="A18" s="1" t="s">
        <v>14</v>
      </c>
      <c r="B18" s="1">
        <f>SUMPRODUCT((NOT(ISBLANK(B$3:B$9))*(B$3:B$9=$AW$3:$AW$9))+ISBLANK(B$3:B$9))</f>
        <v>0</v>
      </c>
      <c r="C18" s="1">
        <f>SUMPRODUCT((NOT(ISBLANK(C$3:C$9))*(C$3:C$9=$AX$3:$AX$9))+ISBLANK(C$3:C$9))</f>
        <v>0</v>
      </c>
      <c r="D18" s="1">
        <f>SUMPRODUCT((NOT(ISBLANK(D$3:D$9))*(D$3:D$9=$AY$3:$AY$9))+ISBLANK(D$3:D$9))</f>
        <v>0</v>
      </c>
      <c r="E18" s="1">
        <f>SUMPRODUCT((NOT(ISBLANK(E$3:E$9))*(E$3:E$9=$AZ$3:$AZ$9))+ISBLANK(E$3:E$9))</f>
        <v>0</v>
      </c>
      <c r="F18" s="1">
        <f>SUMPRODUCT((NOT(ISBLANK(F$3:F$9))*(F$3:F$9=$BA$3:$BA$9))+ISBLANK(F$3:F$9))</f>
        <v>0</v>
      </c>
      <c r="G18" s="1">
        <f>SUMPRODUCT((NOT(ISBLANK(G$3:G$9))*(G$3:G$9=$BB$3:$BB$9))+ISBLANK(G$3:G$9))</f>
        <v>0</v>
      </c>
      <c r="H18" s="1">
        <f>SUMPRODUCT((NOT(ISBLANK(H$3:H$9))*(H$3:H$9=$BC$3:$BC$9))+ISBLANK(H$3:H$9))</f>
        <v>0</v>
      </c>
      <c r="I18" s="1">
        <f>SUMPRODUCT((NOT(ISBLANK(I$3:I$9))*(I$3:I$9=$BD$3:$BD$9))+ISBLANK(I$3:I$9))</f>
        <v>0</v>
      </c>
      <c r="J18" s="1">
        <f>SUMPRODUCT((NOT(ISBLANK(J$3:J$9))*(J$3:J$9=$BE$3:$BE$9))+ISBLANK(J$3:J$9))</f>
        <v>0</v>
      </c>
      <c r="K18" s="1">
        <f>SUMPRODUCT((NOT(ISBLANK(K$3:K$9))*(K$3:K$9=$BF$3:$BF$9))+ISBLANK(K$3:K$9))</f>
        <v>0</v>
      </c>
      <c r="L18" s="1"/>
      <c r="M18" s="1">
        <f>SUMPRODUCT((NOT(ISBLANK(M$3:M$9))*(M$3:M$9=$BG$3:$BG$9))+ISBLANK(M$3:M$9))</f>
        <v>0</v>
      </c>
      <c r="N18" s="1">
        <f>SUMPRODUCT((NOT(ISBLANK(N$3:N$9))*(N$3:N$9=$BH$3:$BH$9))+ISBLANK(N$3:N$9))</f>
        <v>0</v>
      </c>
      <c r="O18" s="1"/>
      <c r="P18" s="1">
        <f>SUMPRODUCT((NOT(ISBLANK(P$3:P$9))*(P$3:P$9=$BI$3:$BI$9))+ISBLANK(P$3:P$9))</f>
        <v>0</v>
      </c>
      <c r="Q18" s="1">
        <f>SUMPRODUCT((NOT(ISBLANK(Q$3:Q$9))*(Q$3:Q$9=$BJ$3:$BJ$9))+ISBLANK(Q$3:Q$9))</f>
        <v>0</v>
      </c>
      <c r="R18" s="1">
        <f>SUMPRODUCT((NOT(ISBLANK(R$3:R$9))*(R$3:R$9=$BK$3:$BK$9))+ISBLANK(R$3:R$9))</f>
        <v>0</v>
      </c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</row>
  </sheetData>
  <dataValidations count="1">
    <dataValidation type="list" allowBlank="1" showInputMessage="1" showErrorMessage="1" prompt="Select merge criteria" sqref="A2">
      <formula1>"average,median,min,max,diff"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K12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8" width="11.42578125" customWidth="1"/>
    <col min="9" max="9" width="12" customWidth="1"/>
    <col min="10" max="13" width="11.42578125" customWidth="1"/>
    <col min="14" max="14" width="12.140625" customWidth="1"/>
    <col min="15" max="25" width="11.42578125" customWidth="1"/>
    <col min="26" max="26" width="12" customWidth="1"/>
    <col min="27" max="29" width="11.42578125" customWidth="1"/>
    <col min="30" max="30" width="12.140625" customWidth="1"/>
    <col min="31" max="40" width="11.42578125" customWidth="1"/>
    <col min="41" max="41" width="12" customWidth="1"/>
    <col min="42" max="44" width="11.42578125" customWidth="1"/>
    <col min="45" max="45" width="12.140625" customWidth="1"/>
    <col min="46" max="55" width="11.42578125" customWidth="1"/>
    <col min="56" max="56" width="12" customWidth="1"/>
    <col min="57" max="59" width="11.42578125" customWidth="1"/>
    <col min="60" max="60" width="12.140625" customWidth="1"/>
    <col min="61" max="63" width="11.42578125" customWidth="1"/>
  </cols>
  <sheetData>
    <row r="1" spans="1:63">
      <c r="A1" s="1"/>
      <c r="B1" s="1" t="s">
        <v>15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 t="s">
        <v>35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 t="s">
        <v>36</v>
      </c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 t="s">
        <v>37</v>
      </c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</row>
    <row r="2" spans="1:63">
      <c r="A2" s="1"/>
      <c r="B2" s="1" t="s">
        <v>16</v>
      </c>
      <c r="C2" s="1" t="s">
        <v>17</v>
      </c>
      <c r="D2" s="1" t="s">
        <v>18</v>
      </c>
      <c r="E2" s="1" t="s">
        <v>19</v>
      </c>
      <c r="F2" s="1" t="s">
        <v>20</v>
      </c>
      <c r="G2" s="1" t="s">
        <v>21</v>
      </c>
      <c r="H2" s="1" t="s">
        <v>22</v>
      </c>
      <c r="I2" s="1" t="s">
        <v>23</v>
      </c>
      <c r="J2" s="1" t="s">
        <v>24</v>
      </c>
      <c r="K2" s="1" t="s">
        <v>25</v>
      </c>
      <c r="L2" s="1" t="s">
        <v>26</v>
      </c>
      <c r="M2" s="1" t="s">
        <v>28</v>
      </c>
      <c r="N2" s="1" t="s">
        <v>29</v>
      </c>
      <c r="O2" s="1" t="s">
        <v>30</v>
      </c>
      <c r="P2" s="1" t="s">
        <v>32</v>
      </c>
      <c r="Q2" s="1" t="s">
        <v>33</v>
      </c>
      <c r="R2" s="1" t="s">
        <v>34</v>
      </c>
      <c r="S2" s="1" t="s">
        <v>16</v>
      </c>
      <c r="T2" s="1" t="s">
        <v>17</v>
      </c>
      <c r="U2" s="1" t="s">
        <v>18</v>
      </c>
      <c r="V2" s="1" t="s">
        <v>19</v>
      </c>
      <c r="W2" s="1" t="s">
        <v>20</v>
      </c>
      <c r="X2" s="1" t="s">
        <v>21</v>
      </c>
      <c r="Y2" s="1" t="s">
        <v>22</v>
      </c>
      <c r="Z2" s="1" t="s">
        <v>23</v>
      </c>
      <c r="AA2" s="1" t="s">
        <v>24</v>
      </c>
      <c r="AB2" s="1" t="s">
        <v>25</v>
      </c>
      <c r="AC2" s="1" t="s">
        <v>28</v>
      </c>
      <c r="AD2" s="1" t="s">
        <v>29</v>
      </c>
      <c r="AE2" s="1" t="s">
        <v>32</v>
      </c>
      <c r="AF2" s="1" t="s">
        <v>33</v>
      </c>
      <c r="AG2" s="1" t="s">
        <v>34</v>
      </c>
      <c r="AH2" s="1" t="s">
        <v>16</v>
      </c>
      <c r="AI2" s="1" t="s">
        <v>17</v>
      </c>
      <c r="AJ2" s="1" t="s">
        <v>18</v>
      </c>
      <c r="AK2" s="1" t="s">
        <v>19</v>
      </c>
      <c r="AL2" s="1" t="s">
        <v>20</v>
      </c>
      <c r="AM2" s="1" t="s">
        <v>21</v>
      </c>
      <c r="AN2" s="1" t="s">
        <v>22</v>
      </c>
      <c r="AO2" s="1" t="s">
        <v>23</v>
      </c>
      <c r="AP2" s="1" t="s">
        <v>24</v>
      </c>
      <c r="AQ2" s="1" t="s">
        <v>25</v>
      </c>
      <c r="AR2" s="1" t="s">
        <v>28</v>
      </c>
      <c r="AS2" s="1" t="s">
        <v>29</v>
      </c>
      <c r="AT2" s="1" t="s">
        <v>32</v>
      </c>
      <c r="AU2" s="1" t="s">
        <v>33</v>
      </c>
      <c r="AV2" s="1" t="s">
        <v>34</v>
      </c>
      <c r="AW2" s="1" t="s">
        <v>16</v>
      </c>
      <c r="AX2" s="1" t="s">
        <v>17</v>
      </c>
      <c r="AY2" s="1" t="s">
        <v>18</v>
      </c>
      <c r="AZ2" s="1" t="s">
        <v>19</v>
      </c>
      <c r="BA2" s="1" t="s">
        <v>20</v>
      </c>
      <c r="BB2" s="1" t="s">
        <v>21</v>
      </c>
      <c r="BC2" s="1" t="s">
        <v>22</v>
      </c>
      <c r="BD2" s="1" t="s">
        <v>23</v>
      </c>
      <c r="BE2" s="1" t="s">
        <v>24</v>
      </c>
      <c r="BF2" s="1" t="s">
        <v>25</v>
      </c>
      <c r="BG2" s="1" t="s">
        <v>28</v>
      </c>
      <c r="BH2" s="1" t="s">
        <v>29</v>
      </c>
      <c r="BI2" s="1" t="s">
        <v>32</v>
      </c>
      <c r="BJ2" s="1" t="s">
        <v>33</v>
      </c>
      <c r="BK2" s="1" t="s">
        <v>34</v>
      </c>
    </row>
    <row r="3" spans="1:63">
      <c r="A3" s="1" t="s">
        <v>39</v>
      </c>
      <c r="B3" s="1">
        <f>AVERAGE(Instances!B3:Instances!B9)</f>
        <v>0</v>
      </c>
      <c r="C3" s="1">
        <f>AVERAGE(Instances!C3:Instances!C9)</f>
        <v>0</v>
      </c>
      <c r="D3" s="1">
        <f>AVERAGE(Instances!D3:Instances!D9)</f>
        <v>0</v>
      </c>
      <c r="E3" s="1">
        <f>AVERAGE(Instances!E3:Instances!E9)</f>
        <v>0</v>
      </c>
      <c r="F3" s="1">
        <f>AVERAGE(Instances!F3:Instances!F9)</f>
        <v>0</v>
      </c>
      <c r="G3" s="1">
        <f>AVERAGE(Instances!G3:Instances!G9)</f>
        <v>0</v>
      </c>
      <c r="H3" s="1">
        <f>AVERAGE(Instances!H3:Instances!H9)</f>
        <v>0</v>
      </c>
      <c r="I3" s="1">
        <f>AVERAGE(Instances!I3:Instances!I9)</f>
        <v>0</v>
      </c>
      <c r="J3" s="1">
        <f>AVERAGE(Instances!J3:Instances!J9)</f>
        <v>0</v>
      </c>
      <c r="K3" s="1">
        <f>AVERAGE(Instances!K3:Instances!K9)</f>
        <v>0</v>
      </c>
      <c r="L3" s="1"/>
      <c r="M3" s="1">
        <f>AVERAGE(Instances!M3:Instances!M9)</f>
        <v>0</v>
      </c>
      <c r="N3" s="1">
        <f>AVERAGE(Instances!N3:Instances!N9)</f>
        <v>0</v>
      </c>
      <c r="O3" s="1"/>
      <c r="P3" s="1">
        <f>AVERAGE(Instances!P3:Instances!P9)</f>
        <v>0</v>
      </c>
      <c r="Q3" s="1">
        <f>SUM(Instances!Q3:Instances!Q9)</f>
        <v>0</v>
      </c>
      <c r="R3" s="1">
        <f>AVERAGE(Instances!R3:Instances!R9)</f>
        <v>0</v>
      </c>
      <c r="S3" s="1">
        <f>MIN($B3)</f>
        <v>0</v>
      </c>
      <c r="T3" s="1">
        <f>MIN($C3)</f>
        <v>0</v>
      </c>
      <c r="U3" s="1">
        <f>MIN($D3)</f>
        <v>0</v>
      </c>
      <c r="V3" s="1">
        <f>MIN($E3)</f>
        <v>0</v>
      </c>
      <c r="W3" s="1">
        <f>MIN($F3)</f>
        <v>0</v>
      </c>
      <c r="X3" s="1">
        <f>MIN($G3)</f>
        <v>0</v>
      </c>
      <c r="Y3" s="1">
        <f>MIN($H3)</f>
        <v>0</v>
      </c>
      <c r="Z3" s="1">
        <f>MIN($I3)</f>
        <v>0</v>
      </c>
      <c r="AA3" s="1">
        <f>MIN($J3)</f>
        <v>0</v>
      </c>
      <c r="AB3" s="1">
        <f>MIN($K3)</f>
        <v>0</v>
      </c>
      <c r="AC3" s="1">
        <f>MIN($M3)</f>
        <v>0</v>
      </c>
      <c r="AD3" s="1">
        <f>MIN($N3)</f>
        <v>0</v>
      </c>
      <c r="AE3" s="1">
        <f>MIN($P3)</f>
        <v>0</v>
      </c>
      <c r="AF3" s="1">
        <f>MIN($Q3)</f>
        <v>0</v>
      </c>
      <c r="AG3" s="1">
        <f>MIN($R3)</f>
        <v>0</v>
      </c>
      <c r="AH3" s="1">
        <f>MEDIAN($B3)</f>
        <v>0</v>
      </c>
      <c r="AI3" s="1">
        <f>MEDIAN($C3)</f>
        <v>0</v>
      </c>
      <c r="AJ3" s="1">
        <f>MEDIAN($D3)</f>
        <v>0</v>
      </c>
      <c r="AK3" s="1">
        <f>MEDIAN($E3)</f>
        <v>0</v>
      </c>
      <c r="AL3" s="1">
        <f>MEDIAN($F3)</f>
        <v>0</v>
      </c>
      <c r="AM3" s="1">
        <f>MEDIAN($G3)</f>
        <v>0</v>
      </c>
      <c r="AN3" s="1">
        <f>MEDIAN($H3)</f>
        <v>0</v>
      </c>
      <c r="AO3" s="1">
        <f>MEDIAN($I3)</f>
        <v>0</v>
      </c>
      <c r="AP3" s="1">
        <f>MEDIAN($J3)</f>
        <v>0</v>
      </c>
      <c r="AQ3" s="1">
        <f>MEDIAN($K3)</f>
        <v>0</v>
      </c>
      <c r="AR3" s="1">
        <f>MEDIAN($M3)</f>
        <v>0</v>
      </c>
      <c r="AS3" s="1">
        <f>MEDIAN($N3)</f>
        <v>0</v>
      </c>
      <c r="AT3" s="1">
        <f>MEDIAN($P3)</f>
        <v>0</v>
      </c>
      <c r="AU3" s="1">
        <f>MEDIAN($Q3)</f>
        <v>0</v>
      </c>
      <c r="AV3" s="1">
        <f>MEDIAN($R3)</f>
        <v>0</v>
      </c>
      <c r="AW3" s="1">
        <f>MAX($B3)</f>
        <v>0</v>
      </c>
      <c r="AX3" s="1">
        <f>MAX($C3)</f>
        <v>0</v>
      </c>
      <c r="AY3" s="1">
        <f>MAX($D3)</f>
        <v>0</v>
      </c>
      <c r="AZ3" s="1">
        <f>MAX($E3)</f>
        <v>0</v>
      </c>
      <c r="BA3" s="1">
        <f>MAX($F3)</f>
        <v>0</v>
      </c>
      <c r="BB3" s="1">
        <f>MAX($G3)</f>
        <v>0</v>
      </c>
      <c r="BC3" s="1">
        <f>MAX($H3)</f>
        <v>0</v>
      </c>
      <c r="BD3" s="1">
        <f>MAX($I3)</f>
        <v>0</v>
      </c>
      <c r="BE3" s="1">
        <f>MAX($J3)</f>
        <v>0</v>
      </c>
      <c r="BF3" s="1">
        <f>MAX($K3)</f>
        <v>0</v>
      </c>
      <c r="BG3" s="1">
        <f>MAX($M3)</f>
        <v>0</v>
      </c>
      <c r="BH3" s="1">
        <f>MAX($N3)</f>
        <v>0</v>
      </c>
      <c r="BI3" s="1">
        <f>MAX($P3)</f>
        <v>0</v>
      </c>
      <c r="BJ3" s="1">
        <f>MAX($Q3)</f>
        <v>0</v>
      </c>
      <c r="BK3" s="1">
        <f>MAX($R3)</f>
        <v>0</v>
      </c>
    </row>
    <row r="4" spans="1:6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</row>
    <row r="5" spans="1:63">
      <c r="A5" s="1" t="s">
        <v>7</v>
      </c>
      <c r="B5" s="1">
        <f>SUM(B$3:B$3)</f>
        <v>0</v>
      </c>
      <c r="C5" s="1">
        <f>SUM(C$3:C$3)</f>
        <v>0</v>
      </c>
      <c r="D5" s="1">
        <f>SUM(D$3:D$3)</f>
        <v>0</v>
      </c>
      <c r="E5" s="1">
        <f>SUM(E$3:E$3)</f>
        <v>0</v>
      </c>
      <c r="F5" s="1">
        <f>SUM(F$3:F$3)</f>
        <v>0</v>
      </c>
      <c r="G5" s="1">
        <f>SUM(G$3:G$3)</f>
        <v>0</v>
      </c>
      <c r="H5" s="1">
        <f>SUM(H$3:H$3)</f>
        <v>0</v>
      </c>
      <c r="I5" s="1">
        <f>SUM(I$3:I$3)</f>
        <v>0</v>
      </c>
      <c r="J5" s="1">
        <f>SUM(J$3:J$3)</f>
        <v>0</v>
      </c>
      <c r="K5" s="1">
        <f>SUM(K$3:K$3)</f>
        <v>0</v>
      </c>
      <c r="L5" s="1"/>
      <c r="M5" s="1">
        <f>SUM(M$3:M$3)</f>
        <v>0</v>
      </c>
      <c r="N5" s="1">
        <f>SUM(N$3:N$3)</f>
        <v>0</v>
      </c>
      <c r="O5" s="1"/>
      <c r="P5" s="1">
        <f>SUM(P$3:P$3)</f>
        <v>0</v>
      </c>
      <c r="Q5" s="1">
        <f>SUM(Q$3:Q$3)</f>
        <v>0</v>
      </c>
      <c r="R5" s="1">
        <f>SUM(R$3:R$3)</f>
        <v>0</v>
      </c>
      <c r="S5" s="1">
        <f>SUM(S$3:S$3)</f>
        <v>0</v>
      </c>
      <c r="T5" s="1">
        <f>SUM(T$3:T$3)</f>
        <v>0</v>
      </c>
      <c r="U5" s="1">
        <f>SUM(U$3:U$3)</f>
        <v>0</v>
      </c>
      <c r="V5" s="1">
        <f>SUM(V$3:V$3)</f>
        <v>0</v>
      </c>
      <c r="W5" s="1">
        <f>SUM(W$3:W$3)</f>
        <v>0</v>
      </c>
      <c r="X5" s="1">
        <f>SUM(X$3:X$3)</f>
        <v>0</v>
      </c>
      <c r="Y5" s="1">
        <f>SUM(Y$3:Y$3)</f>
        <v>0</v>
      </c>
      <c r="Z5" s="1">
        <f>SUM(Z$3:Z$3)</f>
        <v>0</v>
      </c>
      <c r="AA5" s="1">
        <f>SUM(AA$3:AA$3)</f>
        <v>0</v>
      </c>
      <c r="AB5" s="1">
        <f>SUM(AB$3:AB$3)</f>
        <v>0</v>
      </c>
      <c r="AC5" s="1">
        <f>SUM(AC$3:AC$3)</f>
        <v>0</v>
      </c>
      <c r="AD5" s="1">
        <f>SUM(AD$3:AD$3)</f>
        <v>0</v>
      </c>
      <c r="AE5" s="1">
        <f>SUM(AE$3:AE$3)</f>
        <v>0</v>
      </c>
      <c r="AF5" s="1">
        <f>SUM(AF$3:AF$3)</f>
        <v>0</v>
      </c>
      <c r="AG5" s="1">
        <f>SUM(AG$3:AG$3)</f>
        <v>0</v>
      </c>
      <c r="AH5" s="1">
        <f>SUM(AH$3:AH$3)</f>
        <v>0</v>
      </c>
      <c r="AI5" s="1">
        <f>SUM(AI$3:AI$3)</f>
        <v>0</v>
      </c>
      <c r="AJ5" s="1">
        <f>SUM(AJ$3:AJ$3)</f>
        <v>0</v>
      </c>
      <c r="AK5" s="1">
        <f>SUM(AK$3:AK$3)</f>
        <v>0</v>
      </c>
      <c r="AL5" s="1">
        <f>SUM(AL$3:AL$3)</f>
        <v>0</v>
      </c>
      <c r="AM5" s="1">
        <f>SUM(AM$3:AM$3)</f>
        <v>0</v>
      </c>
      <c r="AN5" s="1">
        <f>SUM(AN$3:AN$3)</f>
        <v>0</v>
      </c>
      <c r="AO5" s="1">
        <f>SUM(AO$3:AO$3)</f>
        <v>0</v>
      </c>
      <c r="AP5" s="1">
        <f>SUM(AP$3:AP$3)</f>
        <v>0</v>
      </c>
      <c r="AQ5" s="1">
        <f>SUM(AQ$3:AQ$3)</f>
        <v>0</v>
      </c>
      <c r="AR5" s="1">
        <f>SUM(AR$3:AR$3)</f>
        <v>0</v>
      </c>
      <c r="AS5" s="1">
        <f>SUM(AS$3:AS$3)</f>
        <v>0</v>
      </c>
      <c r="AT5" s="1">
        <f>SUM(AT$3:AT$3)</f>
        <v>0</v>
      </c>
      <c r="AU5" s="1">
        <f>SUM(AU$3:AU$3)</f>
        <v>0</v>
      </c>
      <c r="AV5" s="1">
        <f>SUM(AV$3:AV$3)</f>
        <v>0</v>
      </c>
      <c r="AW5" s="1">
        <f>SUM(AW$3:AW$3)</f>
        <v>0</v>
      </c>
      <c r="AX5" s="1">
        <f>SUM(AX$3:AX$3)</f>
        <v>0</v>
      </c>
      <c r="AY5" s="1">
        <f>SUM(AY$3:AY$3)</f>
        <v>0</v>
      </c>
      <c r="AZ5" s="1">
        <f>SUM(AZ$3:AZ$3)</f>
        <v>0</v>
      </c>
      <c r="BA5" s="1">
        <f>SUM(BA$3:BA$3)</f>
        <v>0</v>
      </c>
      <c r="BB5" s="1">
        <f>SUM(BB$3:BB$3)</f>
        <v>0</v>
      </c>
      <c r="BC5" s="1">
        <f>SUM(BC$3:BC$3)</f>
        <v>0</v>
      </c>
      <c r="BD5" s="1">
        <f>SUM(BD$3:BD$3)</f>
        <v>0</v>
      </c>
      <c r="BE5" s="1">
        <f>SUM(BE$3:BE$3)</f>
        <v>0</v>
      </c>
      <c r="BF5" s="1">
        <f>SUM(BF$3:BF$3)</f>
        <v>0</v>
      </c>
      <c r="BG5" s="1">
        <f>SUM(BG$3:BG$3)</f>
        <v>0</v>
      </c>
      <c r="BH5" s="1">
        <f>SUM(BH$3:BH$3)</f>
        <v>0</v>
      </c>
      <c r="BI5" s="1">
        <f>SUM(BI$3:BI$3)</f>
        <v>0</v>
      </c>
      <c r="BJ5" s="1">
        <f>SUM(BJ$3:BJ$3)</f>
        <v>0</v>
      </c>
      <c r="BK5" s="1">
        <f>SUM(BK$3:BK$3)</f>
        <v>0</v>
      </c>
    </row>
    <row r="6" spans="1:63">
      <c r="A6" s="1" t="s">
        <v>8</v>
      </c>
      <c r="B6" s="1">
        <f>AVERAGE(B$3:B$3)</f>
        <v>0</v>
      </c>
      <c r="C6" s="1">
        <f>AVERAGE(C$3:C$3)</f>
        <v>0</v>
      </c>
      <c r="D6" s="1">
        <f>AVERAGE(D$3:D$3)</f>
        <v>0</v>
      </c>
      <c r="E6" s="1">
        <f>AVERAGE(E$3:E$3)</f>
        <v>0</v>
      </c>
      <c r="F6" s="1">
        <f>AVERAGE(F$3:F$3)</f>
        <v>0</v>
      </c>
      <c r="G6" s="1">
        <f>AVERAGE(G$3:G$3)</f>
        <v>0</v>
      </c>
      <c r="H6" s="1">
        <f>AVERAGE(H$3:H$3)</f>
        <v>0</v>
      </c>
      <c r="I6" s="1">
        <f>AVERAGE(I$3:I$3)</f>
        <v>0</v>
      </c>
      <c r="J6" s="1">
        <f>AVERAGE(J$3:J$3)</f>
        <v>0</v>
      </c>
      <c r="K6" s="1">
        <f>AVERAGE(K$3:K$3)</f>
        <v>0</v>
      </c>
      <c r="L6" s="1"/>
      <c r="M6" s="1">
        <f>AVERAGE(M$3:M$3)</f>
        <v>0</v>
      </c>
      <c r="N6" s="1">
        <f>AVERAGE(N$3:N$3)</f>
        <v>0</v>
      </c>
      <c r="O6" s="1"/>
      <c r="P6" s="1">
        <f>AVERAGE(P$3:P$3)</f>
        <v>0</v>
      </c>
      <c r="Q6" s="1">
        <f>AVERAGE(Q$3:Q$3)</f>
        <v>0</v>
      </c>
      <c r="R6" s="1">
        <f>AVERAGE(R$3:R$3)</f>
        <v>0</v>
      </c>
      <c r="S6" s="1">
        <f>AVERAGE(S$3:S$3)</f>
        <v>0</v>
      </c>
      <c r="T6" s="1">
        <f>AVERAGE(T$3:T$3)</f>
        <v>0</v>
      </c>
      <c r="U6" s="1">
        <f>AVERAGE(U$3:U$3)</f>
        <v>0</v>
      </c>
      <c r="V6" s="1">
        <f>AVERAGE(V$3:V$3)</f>
        <v>0</v>
      </c>
      <c r="W6" s="1">
        <f>AVERAGE(W$3:W$3)</f>
        <v>0</v>
      </c>
      <c r="X6" s="1">
        <f>AVERAGE(X$3:X$3)</f>
        <v>0</v>
      </c>
      <c r="Y6" s="1">
        <f>AVERAGE(Y$3:Y$3)</f>
        <v>0</v>
      </c>
      <c r="Z6" s="1">
        <f>AVERAGE(Z$3:Z$3)</f>
        <v>0</v>
      </c>
      <c r="AA6" s="1">
        <f>AVERAGE(AA$3:AA$3)</f>
        <v>0</v>
      </c>
      <c r="AB6" s="1">
        <f>AVERAGE(AB$3:AB$3)</f>
        <v>0</v>
      </c>
      <c r="AC6" s="1">
        <f>AVERAGE(AC$3:AC$3)</f>
        <v>0</v>
      </c>
      <c r="AD6" s="1">
        <f>AVERAGE(AD$3:AD$3)</f>
        <v>0</v>
      </c>
      <c r="AE6" s="1">
        <f>AVERAGE(AE$3:AE$3)</f>
        <v>0</v>
      </c>
      <c r="AF6" s="1">
        <f>AVERAGE(AF$3:AF$3)</f>
        <v>0</v>
      </c>
      <c r="AG6" s="1">
        <f>AVERAGE(AG$3:AG$3)</f>
        <v>0</v>
      </c>
      <c r="AH6" s="1">
        <f>AVERAGE(AH$3:AH$3)</f>
        <v>0</v>
      </c>
      <c r="AI6" s="1">
        <f>AVERAGE(AI$3:AI$3)</f>
        <v>0</v>
      </c>
      <c r="AJ6" s="1">
        <f>AVERAGE(AJ$3:AJ$3)</f>
        <v>0</v>
      </c>
      <c r="AK6" s="1">
        <f>AVERAGE(AK$3:AK$3)</f>
        <v>0</v>
      </c>
      <c r="AL6" s="1">
        <f>AVERAGE(AL$3:AL$3)</f>
        <v>0</v>
      </c>
      <c r="AM6" s="1">
        <f>AVERAGE(AM$3:AM$3)</f>
        <v>0</v>
      </c>
      <c r="AN6" s="1">
        <f>AVERAGE(AN$3:AN$3)</f>
        <v>0</v>
      </c>
      <c r="AO6" s="1">
        <f>AVERAGE(AO$3:AO$3)</f>
        <v>0</v>
      </c>
      <c r="AP6" s="1">
        <f>AVERAGE(AP$3:AP$3)</f>
        <v>0</v>
      </c>
      <c r="AQ6" s="1">
        <f>AVERAGE(AQ$3:AQ$3)</f>
        <v>0</v>
      </c>
      <c r="AR6" s="1">
        <f>AVERAGE(AR$3:AR$3)</f>
        <v>0</v>
      </c>
      <c r="AS6" s="1">
        <f>AVERAGE(AS$3:AS$3)</f>
        <v>0</v>
      </c>
      <c r="AT6" s="1">
        <f>AVERAGE(AT$3:AT$3)</f>
        <v>0</v>
      </c>
      <c r="AU6" s="1">
        <f>AVERAGE(AU$3:AU$3)</f>
        <v>0</v>
      </c>
      <c r="AV6" s="1">
        <f>AVERAGE(AV$3:AV$3)</f>
        <v>0</v>
      </c>
      <c r="AW6" s="1">
        <f>AVERAGE(AW$3:AW$3)</f>
        <v>0</v>
      </c>
      <c r="AX6" s="1">
        <f>AVERAGE(AX$3:AX$3)</f>
        <v>0</v>
      </c>
      <c r="AY6" s="1">
        <f>AVERAGE(AY$3:AY$3)</f>
        <v>0</v>
      </c>
      <c r="AZ6" s="1">
        <f>AVERAGE(AZ$3:AZ$3)</f>
        <v>0</v>
      </c>
      <c r="BA6" s="1">
        <f>AVERAGE(BA$3:BA$3)</f>
        <v>0</v>
      </c>
      <c r="BB6" s="1">
        <f>AVERAGE(BB$3:BB$3)</f>
        <v>0</v>
      </c>
      <c r="BC6" s="1">
        <f>AVERAGE(BC$3:BC$3)</f>
        <v>0</v>
      </c>
      <c r="BD6" s="1">
        <f>AVERAGE(BD$3:BD$3)</f>
        <v>0</v>
      </c>
      <c r="BE6" s="1">
        <f>AVERAGE(BE$3:BE$3)</f>
        <v>0</v>
      </c>
      <c r="BF6" s="1">
        <f>AVERAGE(BF$3:BF$3)</f>
        <v>0</v>
      </c>
      <c r="BG6" s="1">
        <f>AVERAGE(BG$3:BG$3)</f>
        <v>0</v>
      </c>
      <c r="BH6" s="1">
        <f>AVERAGE(BH$3:BH$3)</f>
        <v>0</v>
      </c>
      <c r="BI6" s="1">
        <f>AVERAGE(BI$3:BI$3)</f>
        <v>0</v>
      </c>
      <c r="BJ6" s="1">
        <f>AVERAGE(BJ$3:BJ$3)</f>
        <v>0</v>
      </c>
      <c r="BK6" s="1">
        <f>AVERAGE(BK$3:BK$3)</f>
        <v>0</v>
      </c>
    </row>
    <row r="7" spans="1:63">
      <c r="A7" s="1" t="s">
        <v>9</v>
      </c>
      <c r="B7" s="1">
        <f>STDEV(B$3:B$3)</f>
        <v>0</v>
      </c>
      <c r="C7" s="1">
        <f>STDEV(C$3:C$3)</f>
        <v>0</v>
      </c>
      <c r="D7" s="1">
        <f>STDEV(D$3:D$3)</f>
        <v>0</v>
      </c>
      <c r="E7" s="1">
        <f>STDEV(E$3:E$3)</f>
        <v>0</v>
      </c>
      <c r="F7" s="1">
        <f>STDEV(F$3:F$3)</f>
        <v>0</v>
      </c>
      <c r="G7" s="1">
        <f>STDEV(G$3:G$3)</f>
        <v>0</v>
      </c>
      <c r="H7" s="1">
        <f>STDEV(H$3:H$3)</f>
        <v>0</v>
      </c>
      <c r="I7" s="1">
        <f>STDEV(I$3:I$3)</f>
        <v>0</v>
      </c>
      <c r="J7" s="1">
        <f>STDEV(J$3:J$3)</f>
        <v>0</v>
      </c>
      <c r="K7" s="1">
        <f>STDEV(K$3:K$3)</f>
        <v>0</v>
      </c>
      <c r="L7" s="1"/>
      <c r="M7" s="1">
        <f>STDEV(M$3:M$3)</f>
        <v>0</v>
      </c>
      <c r="N7" s="1">
        <f>STDEV(N$3:N$3)</f>
        <v>0</v>
      </c>
      <c r="O7" s="1"/>
      <c r="P7" s="1">
        <f>STDEV(P$3:P$3)</f>
        <v>0</v>
      </c>
      <c r="Q7" s="1">
        <f>STDEV(Q$3:Q$3)</f>
        <v>0</v>
      </c>
      <c r="R7" s="1">
        <f>STDEV(R$3:R$3)</f>
        <v>0</v>
      </c>
      <c r="S7" s="1">
        <f>STDEV(S$3:S$3)</f>
        <v>0</v>
      </c>
      <c r="T7" s="1">
        <f>STDEV(T$3:T$3)</f>
        <v>0</v>
      </c>
      <c r="U7" s="1">
        <f>STDEV(U$3:U$3)</f>
        <v>0</v>
      </c>
      <c r="V7" s="1">
        <f>STDEV(V$3:V$3)</f>
        <v>0</v>
      </c>
      <c r="W7" s="1">
        <f>STDEV(W$3:W$3)</f>
        <v>0</v>
      </c>
      <c r="X7" s="1">
        <f>STDEV(X$3:X$3)</f>
        <v>0</v>
      </c>
      <c r="Y7" s="1">
        <f>STDEV(Y$3:Y$3)</f>
        <v>0</v>
      </c>
      <c r="Z7" s="1">
        <f>STDEV(Z$3:Z$3)</f>
        <v>0</v>
      </c>
      <c r="AA7" s="1">
        <f>STDEV(AA$3:AA$3)</f>
        <v>0</v>
      </c>
      <c r="AB7" s="1">
        <f>STDEV(AB$3:AB$3)</f>
        <v>0</v>
      </c>
      <c r="AC7" s="1">
        <f>STDEV(AC$3:AC$3)</f>
        <v>0</v>
      </c>
      <c r="AD7" s="1">
        <f>STDEV(AD$3:AD$3)</f>
        <v>0</v>
      </c>
      <c r="AE7" s="1">
        <f>STDEV(AE$3:AE$3)</f>
        <v>0</v>
      </c>
      <c r="AF7" s="1">
        <f>STDEV(AF$3:AF$3)</f>
        <v>0</v>
      </c>
      <c r="AG7" s="1">
        <f>STDEV(AG$3:AG$3)</f>
        <v>0</v>
      </c>
      <c r="AH7" s="1">
        <f>STDEV(AH$3:AH$3)</f>
        <v>0</v>
      </c>
      <c r="AI7" s="1">
        <f>STDEV(AI$3:AI$3)</f>
        <v>0</v>
      </c>
      <c r="AJ7" s="1">
        <f>STDEV(AJ$3:AJ$3)</f>
        <v>0</v>
      </c>
      <c r="AK7" s="1">
        <f>STDEV(AK$3:AK$3)</f>
        <v>0</v>
      </c>
      <c r="AL7" s="1">
        <f>STDEV(AL$3:AL$3)</f>
        <v>0</v>
      </c>
      <c r="AM7" s="1">
        <f>STDEV(AM$3:AM$3)</f>
        <v>0</v>
      </c>
      <c r="AN7" s="1">
        <f>STDEV(AN$3:AN$3)</f>
        <v>0</v>
      </c>
      <c r="AO7" s="1">
        <f>STDEV(AO$3:AO$3)</f>
        <v>0</v>
      </c>
      <c r="AP7" s="1">
        <f>STDEV(AP$3:AP$3)</f>
        <v>0</v>
      </c>
      <c r="AQ7" s="1">
        <f>STDEV(AQ$3:AQ$3)</f>
        <v>0</v>
      </c>
      <c r="AR7" s="1">
        <f>STDEV(AR$3:AR$3)</f>
        <v>0</v>
      </c>
      <c r="AS7" s="1">
        <f>STDEV(AS$3:AS$3)</f>
        <v>0</v>
      </c>
      <c r="AT7" s="1">
        <f>STDEV(AT$3:AT$3)</f>
        <v>0</v>
      </c>
      <c r="AU7" s="1">
        <f>STDEV(AU$3:AU$3)</f>
        <v>0</v>
      </c>
      <c r="AV7" s="1">
        <f>STDEV(AV$3:AV$3)</f>
        <v>0</v>
      </c>
      <c r="AW7" s="1">
        <f>STDEV(AW$3:AW$3)</f>
        <v>0</v>
      </c>
      <c r="AX7" s="1">
        <f>STDEV(AX$3:AX$3)</f>
        <v>0</v>
      </c>
      <c r="AY7" s="1">
        <f>STDEV(AY$3:AY$3)</f>
        <v>0</v>
      </c>
      <c r="AZ7" s="1">
        <f>STDEV(AZ$3:AZ$3)</f>
        <v>0</v>
      </c>
      <c r="BA7" s="1">
        <f>STDEV(BA$3:BA$3)</f>
        <v>0</v>
      </c>
      <c r="BB7" s="1">
        <f>STDEV(BB$3:BB$3)</f>
        <v>0</v>
      </c>
      <c r="BC7" s="1">
        <f>STDEV(BC$3:BC$3)</f>
        <v>0</v>
      </c>
      <c r="BD7" s="1">
        <f>STDEV(BD$3:BD$3)</f>
        <v>0</v>
      </c>
      <c r="BE7" s="1">
        <f>STDEV(BE$3:BE$3)</f>
        <v>0</v>
      </c>
      <c r="BF7" s="1">
        <f>STDEV(BF$3:BF$3)</f>
        <v>0</v>
      </c>
      <c r="BG7" s="1">
        <f>STDEV(BG$3:BG$3)</f>
        <v>0</v>
      </c>
      <c r="BH7" s="1">
        <f>STDEV(BH$3:BH$3)</f>
        <v>0</v>
      </c>
      <c r="BI7" s="1">
        <f>STDEV(BI$3:BI$3)</f>
        <v>0</v>
      </c>
      <c r="BJ7" s="1">
        <f>STDEV(BJ$3:BJ$3)</f>
        <v>0</v>
      </c>
      <c r="BK7" s="1">
        <f>STDEV(BK$3:BK$3)</f>
        <v>0</v>
      </c>
    </row>
    <row r="8" spans="1:63">
      <c r="A8" s="1" t="s">
        <v>10</v>
      </c>
      <c r="B8" s="1">
        <f>SUMPRODUCT(--(B$3:B$3-$S$3:$S$3)^2)^0.5</f>
        <v>0</v>
      </c>
      <c r="C8" s="1">
        <f>SUMPRODUCT(--(C$3:C$3-$T$3:$T$3)^2)^0.5</f>
        <v>0</v>
      </c>
      <c r="D8" s="1">
        <f>SUMPRODUCT(--(D$3:D$3-$U$3:$U$3)^2)^0.5</f>
        <v>0</v>
      </c>
      <c r="E8" s="1">
        <f>SUMPRODUCT(--(E$3:E$3-$V$3:$V$3)^2)^0.5</f>
        <v>0</v>
      </c>
      <c r="F8" s="1">
        <f>SUMPRODUCT(--(F$3:F$3-$W$3:$W$3)^2)^0.5</f>
        <v>0</v>
      </c>
      <c r="G8" s="1">
        <f>SUMPRODUCT(--(G$3:G$3-$X$3:$X$3)^2)^0.5</f>
        <v>0</v>
      </c>
      <c r="H8" s="1">
        <f>SUMPRODUCT(--(H$3:H$3-$Y$3:$Y$3)^2)^0.5</f>
        <v>0</v>
      </c>
      <c r="I8" s="1">
        <f>SUMPRODUCT(--(I$3:I$3-$Z$3:$Z$3)^2)^0.5</f>
        <v>0</v>
      </c>
      <c r="J8" s="1">
        <f>SUMPRODUCT(--(J$3:J$3-$AA$3:$AA$3)^2)^0.5</f>
        <v>0</v>
      </c>
      <c r="K8" s="1">
        <f>SUMPRODUCT(--(K$3:K$3-$AB$3:$AB$3)^2)^0.5</f>
        <v>0</v>
      </c>
      <c r="L8" s="1"/>
      <c r="M8" s="1">
        <f>SUMPRODUCT(--(M$3:M$3-$AC$3:$AC$3)^2)^0.5</f>
        <v>0</v>
      </c>
      <c r="N8" s="1">
        <f>SUMPRODUCT(--(N$3:N$3-$AD$3:$AD$3)^2)^0.5</f>
        <v>0</v>
      </c>
      <c r="O8" s="1"/>
      <c r="P8" s="1">
        <f>SUMPRODUCT(--(P$3:P$3-$AE$3:$AE$3)^2)^0.5</f>
        <v>0</v>
      </c>
      <c r="Q8" s="1">
        <f>SUMPRODUCT(--(Q$3:Q$3-$AF$3:$AF$3)^2)^0.5</f>
        <v>0</v>
      </c>
      <c r="R8" s="1">
        <f>SUMPRODUCT(--(R$3:R$3-$AG$3:$AG$3)^2)^0.5</f>
        <v>0</v>
      </c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</row>
    <row r="9" spans="1:63">
      <c r="A9" s="1" t="s">
        <v>11</v>
      </c>
      <c r="B9" s="1">
        <f>SUMPRODUCT(NOT(ISBLANK(B$3:B$3))*(B$3:B$3=$S$3:$S$3))</f>
        <v>0</v>
      </c>
      <c r="C9" s="1">
        <f>SUMPRODUCT(NOT(ISBLANK(C$3:C$3))*(C$3:C$3=$T$3:$T$3))</f>
        <v>0</v>
      </c>
      <c r="D9" s="1">
        <f>SUMPRODUCT(NOT(ISBLANK(D$3:D$3))*(D$3:D$3=$U$3:$U$3))</f>
        <v>0</v>
      </c>
      <c r="E9" s="1">
        <f>SUMPRODUCT(NOT(ISBLANK(E$3:E$3))*(E$3:E$3=$V$3:$V$3))</f>
        <v>0</v>
      </c>
      <c r="F9" s="1">
        <f>SUMPRODUCT(NOT(ISBLANK(F$3:F$3))*(F$3:F$3=$W$3:$W$3))</f>
        <v>0</v>
      </c>
      <c r="G9" s="1">
        <f>SUMPRODUCT(NOT(ISBLANK(G$3:G$3))*(G$3:G$3=$X$3:$X$3))</f>
        <v>0</v>
      </c>
      <c r="H9" s="1">
        <f>SUMPRODUCT(NOT(ISBLANK(H$3:H$3))*(H$3:H$3=$Y$3:$Y$3))</f>
        <v>0</v>
      </c>
      <c r="I9" s="1">
        <f>SUMPRODUCT(NOT(ISBLANK(I$3:I$3))*(I$3:I$3=$Z$3:$Z$3))</f>
        <v>0</v>
      </c>
      <c r="J9" s="1">
        <f>SUMPRODUCT(NOT(ISBLANK(J$3:J$3))*(J$3:J$3=$AA$3:$AA$3))</f>
        <v>0</v>
      </c>
      <c r="K9" s="1">
        <f>SUMPRODUCT(NOT(ISBLANK(K$3:K$3))*(K$3:K$3=$AB$3:$AB$3))</f>
        <v>0</v>
      </c>
      <c r="L9" s="1"/>
      <c r="M9" s="1">
        <f>SUMPRODUCT(NOT(ISBLANK(M$3:M$3))*(M$3:M$3=$AC$3:$AC$3))</f>
        <v>0</v>
      </c>
      <c r="N9" s="1">
        <f>SUMPRODUCT(NOT(ISBLANK(N$3:N$3))*(N$3:N$3=$AD$3:$AD$3))</f>
        <v>0</v>
      </c>
      <c r="O9" s="1"/>
      <c r="P9" s="1">
        <f>SUMPRODUCT(NOT(ISBLANK(P$3:P$3))*(P$3:P$3=$AE$3:$AE$3))</f>
        <v>0</v>
      </c>
      <c r="Q9" s="1">
        <f>SUMPRODUCT(NOT(ISBLANK(Q$3:Q$3))*(Q$3:Q$3=$AF$3:$AF$3))</f>
        <v>0</v>
      </c>
      <c r="R9" s="1">
        <f>SUMPRODUCT(NOT(ISBLANK(R$3:R$3))*(R$3:R$3=$AG$3:$AG$3))</f>
        <v>0</v>
      </c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</row>
    <row r="10" spans="1:63">
      <c r="A10" s="1" t="s">
        <v>12</v>
      </c>
      <c r="B10" s="1">
        <f>SUMPRODUCT(NOT(ISBLANK(B$3:B$3))*(B$3:B$3&lt;$AH$3:$AH$3))</f>
        <v>0</v>
      </c>
      <c r="C10" s="1">
        <f>SUMPRODUCT(NOT(ISBLANK(C$3:C$3))*(C$3:C$3&lt;$AI$3:$AI$3))</f>
        <v>0</v>
      </c>
      <c r="D10" s="1">
        <f>SUMPRODUCT(NOT(ISBLANK(D$3:D$3))*(D$3:D$3&lt;$AJ$3:$AJ$3))</f>
        <v>0</v>
      </c>
      <c r="E10" s="1">
        <f>SUMPRODUCT(NOT(ISBLANK(E$3:E$3))*(E$3:E$3&lt;$AK$3:$AK$3))</f>
        <v>0</v>
      </c>
      <c r="F10" s="1">
        <f>SUMPRODUCT(NOT(ISBLANK(F$3:F$3))*(F$3:F$3&lt;$AL$3:$AL$3))</f>
        <v>0</v>
      </c>
      <c r="G10" s="1">
        <f>SUMPRODUCT(NOT(ISBLANK(G$3:G$3))*(G$3:G$3&lt;$AM$3:$AM$3))</f>
        <v>0</v>
      </c>
      <c r="H10" s="1">
        <f>SUMPRODUCT(NOT(ISBLANK(H$3:H$3))*(H$3:H$3&lt;$AN$3:$AN$3))</f>
        <v>0</v>
      </c>
      <c r="I10" s="1">
        <f>SUMPRODUCT(NOT(ISBLANK(I$3:I$3))*(I$3:I$3&lt;$AO$3:$AO$3))</f>
        <v>0</v>
      </c>
      <c r="J10" s="1">
        <f>SUMPRODUCT(NOT(ISBLANK(J$3:J$3))*(J$3:J$3&lt;$AP$3:$AP$3))</f>
        <v>0</v>
      </c>
      <c r="K10" s="1">
        <f>SUMPRODUCT(NOT(ISBLANK(K$3:K$3))*(K$3:K$3&lt;$AQ$3:$AQ$3))</f>
        <v>0</v>
      </c>
      <c r="L10" s="1"/>
      <c r="M10" s="1">
        <f>SUMPRODUCT(NOT(ISBLANK(M$3:M$3))*(M$3:M$3&lt;$AR$3:$AR$3))</f>
        <v>0</v>
      </c>
      <c r="N10" s="1">
        <f>SUMPRODUCT(NOT(ISBLANK(N$3:N$3))*(N$3:N$3&lt;$AS$3:$AS$3))</f>
        <v>0</v>
      </c>
      <c r="O10" s="1"/>
      <c r="P10" s="1">
        <f>SUMPRODUCT(NOT(ISBLANK(P$3:P$3))*(P$3:P$3&lt;$AT$3:$AT$3))</f>
        <v>0</v>
      </c>
      <c r="Q10" s="1">
        <f>SUMPRODUCT(NOT(ISBLANK(Q$3:Q$3))*(Q$3:Q$3&lt;$AU$3:$AU$3))</f>
        <v>0</v>
      </c>
      <c r="R10" s="1">
        <f>SUMPRODUCT(NOT(ISBLANK(R$3:R$3))*(R$3:R$3&lt;$AV$3:$AV$3))</f>
        <v>0</v>
      </c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</row>
    <row r="11" spans="1:63">
      <c r="A11" s="1" t="s">
        <v>13</v>
      </c>
      <c r="B11" s="1">
        <f>SUMPRODUCT((NOT(ISBLANK(B$3:B$3))*(B$3:B$3&gt;$AH$3:$AH$3))+ISBLANK(B$3:B$3))</f>
        <v>0</v>
      </c>
      <c r="C11" s="1">
        <f>SUMPRODUCT((NOT(ISBLANK(C$3:C$3))*(C$3:C$3&gt;$AI$3:$AI$3))+ISBLANK(C$3:C$3))</f>
        <v>0</v>
      </c>
      <c r="D11" s="1">
        <f>SUMPRODUCT((NOT(ISBLANK(D$3:D$3))*(D$3:D$3&gt;$AJ$3:$AJ$3))+ISBLANK(D$3:D$3))</f>
        <v>0</v>
      </c>
      <c r="E11" s="1">
        <f>SUMPRODUCT((NOT(ISBLANK(E$3:E$3))*(E$3:E$3&gt;$AK$3:$AK$3))+ISBLANK(E$3:E$3))</f>
        <v>0</v>
      </c>
      <c r="F11" s="1">
        <f>SUMPRODUCT((NOT(ISBLANK(F$3:F$3))*(F$3:F$3&gt;$AL$3:$AL$3))+ISBLANK(F$3:F$3))</f>
        <v>0</v>
      </c>
      <c r="G11" s="1">
        <f>SUMPRODUCT((NOT(ISBLANK(G$3:G$3))*(G$3:G$3&gt;$AM$3:$AM$3))+ISBLANK(G$3:G$3))</f>
        <v>0</v>
      </c>
      <c r="H11" s="1">
        <f>SUMPRODUCT((NOT(ISBLANK(H$3:H$3))*(H$3:H$3&gt;$AN$3:$AN$3))+ISBLANK(H$3:H$3))</f>
        <v>0</v>
      </c>
      <c r="I11" s="1">
        <f>SUMPRODUCT((NOT(ISBLANK(I$3:I$3))*(I$3:I$3&gt;$AO$3:$AO$3))+ISBLANK(I$3:I$3))</f>
        <v>0</v>
      </c>
      <c r="J11" s="1">
        <f>SUMPRODUCT((NOT(ISBLANK(J$3:J$3))*(J$3:J$3&gt;$AP$3:$AP$3))+ISBLANK(J$3:J$3))</f>
        <v>0</v>
      </c>
      <c r="K11" s="1">
        <f>SUMPRODUCT((NOT(ISBLANK(K$3:K$3))*(K$3:K$3&gt;$AQ$3:$AQ$3))+ISBLANK(K$3:K$3))</f>
        <v>0</v>
      </c>
      <c r="L11" s="1"/>
      <c r="M11" s="1">
        <f>SUMPRODUCT((NOT(ISBLANK(M$3:M$3))*(M$3:M$3&gt;$AR$3:$AR$3))+ISBLANK(M$3:M$3))</f>
        <v>0</v>
      </c>
      <c r="N11" s="1">
        <f>SUMPRODUCT((NOT(ISBLANK(N$3:N$3))*(N$3:N$3&gt;$AS$3:$AS$3))+ISBLANK(N$3:N$3))</f>
        <v>0</v>
      </c>
      <c r="O11" s="1"/>
      <c r="P11" s="1">
        <f>SUMPRODUCT((NOT(ISBLANK(P$3:P$3))*(P$3:P$3&gt;$AT$3:$AT$3))+ISBLANK(P$3:P$3))</f>
        <v>0</v>
      </c>
      <c r="Q11" s="1">
        <f>SUMPRODUCT((NOT(ISBLANK(Q$3:Q$3))*(Q$3:Q$3&gt;$AU$3:$AU$3))+ISBLANK(Q$3:Q$3))</f>
        <v>0</v>
      </c>
      <c r="R11" s="1">
        <f>SUMPRODUCT((NOT(ISBLANK(R$3:R$3))*(R$3:R$3&gt;$AV$3:$AV$3))+ISBLANK(R$3:R$3))</f>
        <v>0</v>
      </c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</row>
    <row r="12" spans="1:63">
      <c r="A12" s="1" t="s">
        <v>14</v>
      </c>
      <c r="B12" s="1">
        <f>SUMPRODUCT((NOT(ISBLANK(B$3:B$3))*(B$3:B$3=$AW$3:$AW$3))+ISBLANK(B$3:B$3))</f>
        <v>0</v>
      </c>
      <c r="C12" s="1">
        <f>SUMPRODUCT((NOT(ISBLANK(C$3:C$3))*(C$3:C$3=$AX$3:$AX$3))+ISBLANK(C$3:C$3))</f>
        <v>0</v>
      </c>
      <c r="D12" s="1">
        <f>SUMPRODUCT((NOT(ISBLANK(D$3:D$3))*(D$3:D$3=$AY$3:$AY$3))+ISBLANK(D$3:D$3))</f>
        <v>0</v>
      </c>
      <c r="E12" s="1">
        <f>SUMPRODUCT((NOT(ISBLANK(E$3:E$3))*(E$3:E$3=$AZ$3:$AZ$3))+ISBLANK(E$3:E$3))</f>
        <v>0</v>
      </c>
      <c r="F12" s="1">
        <f>SUMPRODUCT((NOT(ISBLANK(F$3:F$3))*(F$3:F$3=$BA$3:$BA$3))+ISBLANK(F$3:F$3))</f>
        <v>0</v>
      </c>
      <c r="G12" s="1">
        <f>SUMPRODUCT((NOT(ISBLANK(G$3:G$3))*(G$3:G$3=$BB$3:$BB$3))+ISBLANK(G$3:G$3))</f>
        <v>0</v>
      </c>
      <c r="H12" s="1">
        <f>SUMPRODUCT((NOT(ISBLANK(H$3:H$3))*(H$3:H$3=$BC$3:$BC$3))+ISBLANK(H$3:H$3))</f>
        <v>0</v>
      </c>
      <c r="I12" s="1">
        <f>SUMPRODUCT((NOT(ISBLANK(I$3:I$3))*(I$3:I$3=$BD$3:$BD$3))+ISBLANK(I$3:I$3))</f>
        <v>0</v>
      </c>
      <c r="J12" s="1">
        <f>SUMPRODUCT((NOT(ISBLANK(J$3:J$3))*(J$3:J$3=$BE$3:$BE$3))+ISBLANK(J$3:J$3))</f>
        <v>0</v>
      </c>
      <c r="K12" s="1">
        <f>SUMPRODUCT((NOT(ISBLANK(K$3:K$3))*(K$3:K$3=$BF$3:$BF$3))+ISBLANK(K$3:K$3))</f>
        <v>0</v>
      </c>
      <c r="L12" s="1"/>
      <c r="M12" s="1">
        <f>SUMPRODUCT((NOT(ISBLANK(M$3:M$3))*(M$3:M$3=$BG$3:$BG$3))+ISBLANK(M$3:M$3))</f>
        <v>0</v>
      </c>
      <c r="N12" s="1">
        <f>SUMPRODUCT((NOT(ISBLANK(N$3:N$3))*(N$3:N$3=$BH$3:$BH$3))+ISBLANK(N$3:N$3))</f>
        <v>0</v>
      </c>
      <c r="O12" s="1"/>
      <c r="P12" s="1">
        <f>SUMPRODUCT((NOT(ISBLANK(P$3:P$3))*(P$3:P$3=$BI$3:$BI$3))+ISBLANK(P$3:P$3))</f>
        <v>0</v>
      </c>
      <c r="Q12" s="1">
        <f>SUMPRODUCT((NOT(ISBLANK(Q$3:Q$3))*(Q$3:Q$3=$BJ$3:$BJ$3))+ISBLANK(Q$3:Q$3))</f>
        <v>0</v>
      </c>
      <c r="R12" s="1">
        <f>SUMPRODUCT((NOT(ISBLANK(R$3:R$3))*(R$3:R$3=$BK$3:$BK$3))+ISBLANK(R$3:R$3))</f>
        <v>0</v>
      </c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2:T60"/>
  <sheetViews>
    <sheetView workbookViewId="0"/>
  </sheetViews>
  <sheetFormatPr defaultRowHeight="15"/>
  <sheetData>
    <row r="2" spans="1:20">
      <c r="A2" t="s">
        <v>16</v>
      </c>
      <c r="B2">
        <v>1</v>
      </c>
      <c r="E2">
        <f>VLOOKUP(Charts!$F$3,A2:B16,2,FALSE)</f>
        <v>0</v>
      </c>
      <c r="K2">
        <f>E2</f>
        <v>0</v>
      </c>
      <c r="Q2">
        <f>VLOOKUP(Charts!$F$3,A2:B16,2,FALSE)</f>
        <v>0</v>
      </c>
    </row>
    <row r="3" spans="1:20">
      <c r="A3" t="s">
        <v>17</v>
      </c>
      <c r="B3">
        <v>2</v>
      </c>
      <c r="D3" t="s">
        <v>40</v>
      </c>
      <c r="E3">
        <f>Instances!B1</f>
        <v>0</v>
      </c>
      <c r="J3" t="s">
        <v>40</v>
      </c>
      <c r="K3">
        <f>E3</f>
        <v>0</v>
      </c>
      <c r="Q3">
        <f>Instances!B1</f>
        <v>0</v>
      </c>
    </row>
    <row r="4" spans="1:20">
      <c r="A4" t="s">
        <v>18</v>
      </c>
      <c r="B4">
        <v>3</v>
      </c>
      <c r="D4" t="s">
        <v>41</v>
      </c>
      <c r="E4" t="s">
        <v>45</v>
      </c>
      <c r="F4" t="s">
        <v>46</v>
      </c>
      <c r="H4" t="s">
        <v>47</v>
      </c>
      <c r="J4" t="s">
        <v>41</v>
      </c>
      <c r="K4" t="s">
        <v>45</v>
      </c>
      <c r="L4" t="s">
        <v>46</v>
      </c>
      <c r="N4" t="s">
        <v>47</v>
      </c>
      <c r="P4" t="s">
        <v>48</v>
      </c>
      <c r="Q4" t="s">
        <v>41</v>
      </c>
      <c r="R4" t="s">
        <v>46</v>
      </c>
      <c r="S4" t="s">
        <v>41</v>
      </c>
      <c r="T4" t="s">
        <v>47</v>
      </c>
    </row>
    <row r="5" spans="1:20">
      <c r="A5" t="s">
        <v>19</v>
      </c>
      <c r="B5">
        <v>4</v>
      </c>
      <c r="D5">
        <v>1</v>
      </c>
      <c r="E5">
        <f>IF(INDIRECT(ADDRESS($D5+2,E$2+1,,,"Instances"))="","",INDIRECT(ADDRESS($D5+2,E$2+1,,,"Instances")))</f>
        <v>0</v>
      </c>
      <c r="F5">
        <f>IFERROR(SMALL(E5:E11,ROW()-ROW($F$5)+1),"")</f>
        <v>0</v>
      </c>
      <c r="H5">
        <f>IFERROR(SUM(F5:F5),"")</f>
        <v>0</v>
      </c>
      <c r="J5">
        <v>1</v>
      </c>
      <c r="K5" cm="1">
        <f t="array" ref="K5">_xlfn.SWITCH(Charts!$B$3,"average", AVERAGE(INDIRECT(ADDRESS(0+3,K$2+1,,,"Instances") &amp; ":" &amp; ADDRESS(0+3,K$2+1))),"median", MEDIAN(INDIRECT(ADDRESS(0+3,K$2+1,,,"Instances") &amp; ":" &amp; ADDRESS(0+3,K$2+1))),"min", MIN(INDIRECT(ADDRESS(0+3,K$2+1,,,"Instances") &amp; ":" &amp; ADDRESS(0+3,K$2+1))),"max", MAX(INDIRECT(ADDRESS(0+3,K$2+1,,,"Instances") &amp; ":" &amp; ADDRESS(0+3,K$2+1))),"diff", MAX(INDIRECT(ADDRESS(0+3,K$2+1,,,"Instances") &amp; ":" &amp; ADDRESS(0+3,K$2+1)))-MIN(INDIRECT(ADDRESS(0+3,K$2+1,,,"Instances") &amp; ":" &amp; ADDRESS(0+3,K$2+1))))</f>
        <v>0</v>
      </c>
      <c r="L5">
        <f>IFERROR(SMALL(K5:K11,ROW()-ROW($L$5)+1),"")</f>
        <v>0</v>
      </c>
      <c r="N5">
        <f>IFERROR(SUM(L5:L5),"")</f>
        <v>0</v>
      </c>
      <c r="Q5">
        <f>IF(Charts!$B$3="none",E47,IF(K47="",NA(),K47))</f>
        <v>0</v>
      </c>
      <c r="R5">
        <f>IF(Charts!$B$3="none",F47,IF(L47="",NA(),L47))</f>
        <v>0</v>
      </c>
      <c r="S5">
        <f>IF(Charts!$B$3="none",G47,IF(M47="",NA(),M47))</f>
        <v>0</v>
      </c>
      <c r="T5">
        <f>IF(Charts!$B$3="none",H47,IF(N47="",NA(),N47))</f>
        <v>0</v>
      </c>
    </row>
    <row r="6" spans="1:20">
      <c r="A6" t="s">
        <v>20</v>
      </c>
      <c r="B6">
        <v>5</v>
      </c>
      <c r="D6">
        <v>2</v>
      </c>
      <c r="E6">
        <f>IF(INDIRECT(ADDRESS($D6+2,E$2+1,,,"Instances"))="","",INDIRECT(ADDRESS($D6+2,E$2+1,,,"Instances")))</f>
        <v>0</v>
      </c>
      <c r="F6">
        <f>IFERROR(SMALL(E5:E11,ROW()-ROW($F$5)+1),"")</f>
        <v>0</v>
      </c>
      <c r="H6">
        <f>IFERROR(SUM(F5:F6),"")</f>
        <v>0</v>
      </c>
      <c r="J6">
        <v>2</v>
      </c>
      <c r="K6" cm="1">
        <f t="array" ref="K6">_xlfn.SWITCH(Charts!$B$3,"average", AVERAGE(INDIRECT(ADDRESS(1+3,K$2+1,,,"Instances") &amp; ":" &amp; ADDRESS(1+3,K$2+1))),"median", MEDIAN(INDIRECT(ADDRESS(1+3,K$2+1,,,"Instances") &amp; ":" &amp; ADDRESS(1+3,K$2+1))),"min", MIN(INDIRECT(ADDRESS(1+3,K$2+1,,,"Instances") &amp; ":" &amp; ADDRESS(1+3,K$2+1))),"max", MAX(INDIRECT(ADDRESS(1+3,K$2+1,,,"Instances") &amp; ":" &amp; ADDRESS(1+3,K$2+1))),"diff", MAX(INDIRECT(ADDRESS(1+3,K$2+1,,,"Instances") &amp; ":" &amp; ADDRESS(1+3,K$2+1)))-MIN(INDIRECT(ADDRESS(1+3,K$2+1,,,"Instances") &amp; ":" &amp; ADDRESS(1+3,K$2+1))))</f>
        <v>0</v>
      </c>
      <c r="L6">
        <f>IFERROR(SMALL(K5:K11,ROW()-ROW($L$5)+1),"")</f>
        <v>0</v>
      </c>
      <c r="N6">
        <f>IFERROR(SUM(L5:L6),"")</f>
        <v>0</v>
      </c>
      <c r="Q6">
        <f>IF(Charts!$B$3="none",E48,IF(K48="",NA(),K48))</f>
        <v>0</v>
      </c>
      <c r="R6">
        <f>IF(Charts!$B$3="none",F48,IF(L48="",NA(),L48))</f>
        <v>0</v>
      </c>
      <c r="S6">
        <f>IF(Charts!$B$3="none",G48,IF(M48="",NA(),M48))</f>
        <v>0</v>
      </c>
      <c r="T6">
        <f>IF(Charts!$B$3="none",H48,IF(N48="",NA(),N48))</f>
        <v>0</v>
      </c>
    </row>
    <row r="7" spans="1:20">
      <c r="A7" t="s">
        <v>21</v>
      </c>
      <c r="B7">
        <v>6</v>
      </c>
      <c r="D7">
        <v>3</v>
      </c>
      <c r="E7">
        <f>IF(INDIRECT(ADDRESS($D7+2,E$2+1,,,"Instances"))="","",INDIRECT(ADDRESS($D7+2,E$2+1,,,"Instances")))</f>
        <v>0</v>
      </c>
      <c r="F7">
        <f>IFERROR(SMALL(E5:E11,ROW()-ROW($F$5)+1),"")</f>
        <v>0</v>
      </c>
      <c r="H7">
        <f>IFERROR(SUM(F5:F7),"")</f>
        <v>0</v>
      </c>
      <c r="J7">
        <v>3</v>
      </c>
      <c r="K7" cm="1">
        <f t="array" ref="K7">_xlfn.SWITCH(Charts!$B$3,"average", AVERAGE(INDIRECT(ADDRESS(2+3,K$2+1,,,"Instances") &amp; ":" &amp; ADDRESS(2+3,K$2+1))),"median", MEDIAN(INDIRECT(ADDRESS(2+3,K$2+1,,,"Instances") &amp; ":" &amp; ADDRESS(2+3,K$2+1))),"min", MIN(INDIRECT(ADDRESS(2+3,K$2+1,,,"Instances") &amp; ":" &amp; ADDRESS(2+3,K$2+1))),"max", MAX(INDIRECT(ADDRESS(2+3,K$2+1,,,"Instances") &amp; ":" &amp; ADDRESS(2+3,K$2+1))),"diff", MAX(INDIRECT(ADDRESS(2+3,K$2+1,,,"Instances") &amp; ":" &amp; ADDRESS(2+3,K$2+1)))-MIN(INDIRECT(ADDRESS(2+3,K$2+1,,,"Instances") &amp; ":" &amp; ADDRESS(2+3,K$2+1))))</f>
        <v>0</v>
      </c>
      <c r="L7">
        <f>IFERROR(SMALL(K5:K11,ROW()-ROW($L$5)+1),"")</f>
        <v>0</v>
      </c>
      <c r="N7">
        <f>IFERROR(SUM(L5:L7),"")</f>
        <v>0</v>
      </c>
      <c r="Q7">
        <f>IF(Charts!$B$3="none",E49,IF(K49="",NA(),K49))</f>
        <v>0</v>
      </c>
      <c r="R7">
        <f>IF(Charts!$B$3="none",F49,IF(L49="",NA(),L49))</f>
        <v>0</v>
      </c>
      <c r="S7">
        <f>IF(Charts!$B$3="none",G49,IF(M49="",NA(),M49))</f>
        <v>0</v>
      </c>
      <c r="T7">
        <f>IF(Charts!$B$3="none",H49,IF(N49="",NA(),N49))</f>
        <v>0</v>
      </c>
    </row>
    <row r="8" spans="1:20">
      <c r="A8" t="s">
        <v>22</v>
      </c>
      <c r="B8">
        <v>7</v>
      </c>
      <c r="D8">
        <v>4</v>
      </c>
      <c r="E8">
        <f>IF(INDIRECT(ADDRESS($D8+2,E$2+1,,,"Instances"))="","",INDIRECT(ADDRESS($D8+2,E$2+1,,,"Instances")))</f>
        <v>0</v>
      </c>
      <c r="F8">
        <f>IFERROR(SMALL(E5:E11,ROW()-ROW($F$5)+1),"")</f>
        <v>0</v>
      </c>
      <c r="H8">
        <f>IFERROR(SUM(F5:F8),"")</f>
        <v>0</v>
      </c>
      <c r="J8">
        <v>4</v>
      </c>
      <c r="K8" cm="1">
        <f t="array" ref="K8">_xlfn.SWITCH(Charts!$B$3,"average", AVERAGE(INDIRECT(ADDRESS(3+3,K$2+1,,,"Instances") &amp; ":" &amp; ADDRESS(3+3,K$2+1))),"median", MEDIAN(INDIRECT(ADDRESS(3+3,K$2+1,,,"Instances") &amp; ":" &amp; ADDRESS(3+3,K$2+1))),"min", MIN(INDIRECT(ADDRESS(3+3,K$2+1,,,"Instances") &amp; ":" &amp; ADDRESS(3+3,K$2+1))),"max", MAX(INDIRECT(ADDRESS(3+3,K$2+1,,,"Instances") &amp; ":" &amp; ADDRESS(3+3,K$2+1))),"diff", MAX(INDIRECT(ADDRESS(3+3,K$2+1,,,"Instances") &amp; ":" &amp; ADDRESS(3+3,K$2+1)))-MIN(INDIRECT(ADDRESS(3+3,K$2+1,,,"Instances") &amp; ":" &amp; ADDRESS(3+3,K$2+1))))</f>
        <v>0</v>
      </c>
      <c r="L8">
        <f>IFERROR(SMALL(K5:K11,ROW()-ROW($L$5)+1),"")</f>
        <v>0</v>
      </c>
      <c r="N8">
        <f>IFERROR(SUM(L5:L8),"")</f>
        <v>0</v>
      </c>
      <c r="Q8">
        <f>IF(Charts!$B$3="none",E50,IF(K50="",NA(),K50))</f>
        <v>0</v>
      </c>
      <c r="R8">
        <f>IF(Charts!$B$3="none",F50,IF(L50="",NA(),L50))</f>
        <v>0</v>
      </c>
      <c r="S8">
        <f>IF(Charts!$B$3="none",G50,IF(M50="",NA(),M50))</f>
        <v>0</v>
      </c>
      <c r="T8">
        <f>IF(Charts!$B$3="none",H50,IF(N50="",NA(),N50))</f>
        <v>0</v>
      </c>
    </row>
    <row r="9" spans="1:20">
      <c r="A9" t="s">
        <v>23</v>
      </c>
      <c r="B9">
        <v>8</v>
      </c>
      <c r="D9">
        <v>5</v>
      </c>
      <c r="E9">
        <f>IF(INDIRECT(ADDRESS($D9+2,E$2+1,,,"Instances"))="","",INDIRECT(ADDRESS($D9+2,E$2+1,,,"Instances")))</f>
        <v>0</v>
      </c>
      <c r="F9">
        <f>IFERROR(SMALL(E5:E11,ROW()-ROW($F$5)+1),"")</f>
        <v>0</v>
      </c>
      <c r="H9">
        <f>IFERROR(SUM(F5:F9),"")</f>
        <v>0</v>
      </c>
      <c r="J9">
        <v>5</v>
      </c>
      <c r="K9" cm="1">
        <f t="array" ref="K9">_xlfn.SWITCH(Charts!$B$3,"average", AVERAGE(INDIRECT(ADDRESS(4+3,K$2+1,,,"Instances") &amp; ":" &amp; ADDRESS(4+3,K$2+1))),"median", MEDIAN(INDIRECT(ADDRESS(4+3,K$2+1,,,"Instances") &amp; ":" &amp; ADDRESS(4+3,K$2+1))),"min", MIN(INDIRECT(ADDRESS(4+3,K$2+1,,,"Instances") &amp; ":" &amp; ADDRESS(4+3,K$2+1))),"max", MAX(INDIRECT(ADDRESS(4+3,K$2+1,,,"Instances") &amp; ":" &amp; ADDRESS(4+3,K$2+1))),"diff", MAX(INDIRECT(ADDRESS(4+3,K$2+1,,,"Instances") &amp; ":" &amp; ADDRESS(4+3,K$2+1)))-MIN(INDIRECT(ADDRESS(4+3,K$2+1,,,"Instances") &amp; ":" &amp; ADDRESS(4+3,K$2+1))))</f>
        <v>0</v>
      </c>
      <c r="L9">
        <f>IFERROR(SMALL(K5:K11,ROW()-ROW($L$5)+1),"")</f>
        <v>0</v>
      </c>
      <c r="N9">
        <f>IFERROR(SUM(L5:L9),"")</f>
        <v>0</v>
      </c>
      <c r="Q9">
        <f>IF(Charts!$B$3="none",E51,IF(K51="",NA(),K51))</f>
        <v>0</v>
      </c>
      <c r="R9">
        <f>IF(Charts!$B$3="none",F51,IF(L51="",NA(),L51))</f>
        <v>0</v>
      </c>
      <c r="S9">
        <f>IF(Charts!$B$3="none",G51,IF(M51="",NA(),M51))</f>
        <v>0</v>
      </c>
      <c r="T9">
        <f>IF(Charts!$B$3="none",H51,IF(N51="",NA(),N51))</f>
        <v>0</v>
      </c>
    </row>
    <row r="10" spans="1:20">
      <c r="A10" t="s">
        <v>24</v>
      </c>
      <c r="B10">
        <v>9</v>
      </c>
      <c r="D10">
        <v>6</v>
      </c>
      <c r="E10">
        <f>IF(INDIRECT(ADDRESS($D10+2,E$2+1,,,"Instances"))="","",INDIRECT(ADDRESS($D10+2,E$2+1,,,"Instances")))</f>
        <v>0</v>
      </c>
      <c r="F10">
        <f>IFERROR(SMALL(E5:E11,ROW()-ROW($F$5)+1),"")</f>
        <v>0</v>
      </c>
      <c r="H10">
        <f>IFERROR(SUM(F5:F10),"")</f>
        <v>0</v>
      </c>
      <c r="J10">
        <v>6</v>
      </c>
      <c r="K10" cm="1">
        <f t="array" ref="K10">_xlfn.SWITCH(Charts!$B$3,"average", AVERAGE(INDIRECT(ADDRESS(5+3,K$2+1,,,"Instances") &amp; ":" &amp; ADDRESS(5+3,K$2+1))),"median", MEDIAN(INDIRECT(ADDRESS(5+3,K$2+1,,,"Instances") &amp; ":" &amp; ADDRESS(5+3,K$2+1))),"min", MIN(INDIRECT(ADDRESS(5+3,K$2+1,,,"Instances") &amp; ":" &amp; ADDRESS(5+3,K$2+1))),"max", MAX(INDIRECT(ADDRESS(5+3,K$2+1,,,"Instances") &amp; ":" &amp; ADDRESS(5+3,K$2+1))),"diff", MAX(INDIRECT(ADDRESS(5+3,K$2+1,,,"Instances") &amp; ":" &amp; ADDRESS(5+3,K$2+1)))-MIN(INDIRECT(ADDRESS(5+3,K$2+1,,,"Instances") &amp; ":" &amp; ADDRESS(5+3,K$2+1))))</f>
        <v>0</v>
      </c>
      <c r="L10">
        <f>IFERROR(SMALL(K5:K11,ROW()-ROW($L$5)+1),"")</f>
        <v>0</v>
      </c>
      <c r="N10">
        <f>IFERROR(SUM(L5:L10),"")</f>
        <v>0</v>
      </c>
      <c r="Q10">
        <f>IF(Charts!$B$3="none",E52,IF(K52="",NA(),K52))</f>
        <v>0</v>
      </c>
      <c r="R10">
        <f>IF(Charts!$B$3="none",F52,IF(L52="",NA(),L52))</f>
        <v>0</v>
      </c>
      <c r="S10">
        <f>IF(Charts!$B$3="none",G52,IF(M52="",NA(),M52))</f>
        <v>0</v>
      </c>
      <c r="T10">
        <f>IF(Charts!$B$3="none",H52,IF(N52="",NA(),N52))</f>
        <v>0</v>
      </c>
    </row>
    <row r="11" spans="1:20">
      <c r="A11" t="s">
        <v>25</v>
      </c>
      <c r="B11">
        <v>10</v>
      </c>
      <c r="D11">
        <v>7</v>
      </c>
      <c r="E11">
        <f>IF(INDIRECT(ADDRESS($D11+2,E$2+1,,,"Instances"))="","",INDIRECT(ADDRESS($D11+2,E$2+1,,,"Instances")))</f>
        <v>0</v>
      </c>
      <c r="F11">
        <f>IFERROR(SMALL(E5:E11,ROW()-ROW($F$5)+1),"")</f>
        <v>0</v>
      </c>
      <c r="H11">
        <f>IFERROR(SUM(F5:F11),"")</f>
        <v>0</v>
      </c>
      <c r="J11">
        <v>7</v>
      </c>
      <c r="K11" cm="1">
        <f t="array" ref="K11">_xlfn.SWITCH(Charts!$B$3,"average", AVERAGE(INDIRECT(ADDRESS(6+3,K$2+1,,,"Instances") &amp; ":" &amp; ADDRESS(6+3,K$2+1))),"median", MEDIAN(INDIRECT(ADDRESS(6+3,K$2+1,,,"Instances") &amp; ":" &amp; ADDRESS(6+3,K$2+1))),"min", MIN(INDIRECT(ADDRESS(6+3,K$2+1,,,"Instances") &amp; ":" &amp; ADDRESS(6+3,K$2+1))),"max", MAX(INDIRECT(ADDRESS(6+3,K$2+1,,,"Instances") &amp; ":" &amp; ADDRESS(6+3,K$2+1))),"diff", MAX(INDIRECT(ADDRESS(6+3,K$2+1,,,"Instances") &amp; ":" &amp; ADDRESS(6+3,K$2+1)))-MIN(INDIRECT(ADDRESS(6+3,K$2+1,,,"Instances") &amp; ":" &amp; ADDRESS(6+3,K$2+1))))</f>
        <v>0</v>
      </c>
      <c r="L11">
        <f>IFERROR(SMALL(K5:K11,ROW()-ROW($L$5)+1),"")</f>
        <v>0</v>
      </c>
      <c r="N11">
        <f>IFERROR(SUM(L5:L11),"")</f>
        <v>0</v>
      </c>
      <c r="Q11">
        <f>IF(Charts!$B$3="none",E53,IF(K53="",NA(),K53))</f>
        <v>0</v>
      </c>
      <c r="R11">
        <f>IF(Charts!$B$3="none",F53,IF(L53="",NA(),L53))</f>
        <v>0</v>
      </c>
      <c r="S11">
        <f>IF(Charts!$B$3="none",G53,IF(M53="",NA(),M53))</f>
        <v>0</v>
      </c>
      <c r="T11">
        <f>IF(Charts!$B$3="none",H53,IF(N53="",NA(),N53))</f>
        <v>0</v>
      </c>
    </row>
    <row r="12" spans="1:20">
      <c r="A12" t="s">
        <v>28</v>
      </c>
      <c r="B12">
        <v>12</v>
      </c>
      <c r="Q12">
        <f>IF(Charts!$B$3="none",E54,IF(K54="",NA(),K54))</f>
        <v>0</v>
      </c>
      <c r="R12">
        <f>IF(Charts!$B$3="none",F54,IF(L54="",NA(),L54))</f>
        <v>0</v>
      </c>
      <c r="S12">
        <f>IF(Charts!$B$3="none",G54,IF(M54="",NA(),M54))</f>
        <v>0</v>
      </c>
      <c r="T12">
        <f>IF(Charts!$B$3="none",H54,IF(N54="",NA(),N54))</f>
        <v>0</v>
      </c>
    </row>
    <row r="13" spans="1:20">
      <c r="A13" t="s">
        <v>29</v>
      </c>
      <c r="B13">
        <v>13</v>
      </c>
      <c r="D13" t="s">
        <v>42</v>
      </c>
      <c r="E13" t="s">
        <v>41</v>
      </c>
      <c r="F13" t="s">
        <v>46</v>
      </c>
      <c r="G13" t="s">
        <v>41</v>
      </c>
      <c r="H13" t="s">
        <v>47</v>
      </c>
      <c r="J13" t="s">
        <v>42</v>
      </c>
      <c r="K13" t="s">
        <v>41</v>
      </c>
      <c r="L13" t="s">
        <v>46</v>
      </c>
      <c r="M13" t="s">
        <v>41</v>
      </c>
      <c r="N13" t="s">
        <v>47</v>
      </c>
      <c r="Q13">
        <f>IF(Charts!$B$3="none",E55,IF(K55="",NA(),K55))</f>
        <v>0</v>
      </c>
      <c r="R13">
        <f>IF(Charts!$B$3="none",F55,IF(L55="",NA(),L55))</f>
        <v>0</v>
      </c>
      <c r="S13">
        <f>IF(Charts!$B$3="none",G55,IF(M55="",NA(),M55))</f>
        <v>0</v>
      </c>
      <c r="T13">
        <f>IF(Charts!$B$3="none",H55,IF(N55="",NA(),N55))</f>
        <v>0</v>
      </c>
    </row>
    <row r="14" spans="1:20">
      <c r="A14" t="s">
        <v>32</v>
      </c>
      <c r="B14">
        <v>15</v>
      </c>
      <c r="E14">
        <v>1</v>
      </c>
      <c r="F14">
        <f>F5</f>
        <v>0</v>
      </c>
      <c r="G14">
        <v>1</v>
      </c>
      <c r="H14">
        <f>H5</f>
        <v>0</v>
      </c>
      <c r="K14">
        <v>1</v>
      </c>
      <c r="L14">
        <f>L5</f>
        <v>0</v>
      </c>
      <c r="M14">
        <v>1</v>
      </c>
      <c r="N14">
        <f>N5</f>
        <v>0</v>
      </c>
      <c r="Q14">
        <f>IF(Charts!$B$3="none",E56,IF(K56="",NA(),K56))</f>
        <v>0</v>
      </c>
      <c r="R14">
        <f>IF(Charts!$B$3="none",F56,IF(L56="",NA(),L56))</f>
        <v>0</v>
      </c>
      <c r="S14">
        <f>IF(Charts!$B$3="none",G56,IF(M56="",NA(),M56))</f>
        <v>0</v>
      </c>
      <c r="T14">
        <f>IF(Charts!$B$3="none",H56,IF(N56="",NA(),N56))</f>
        <v>0</v>
      </c>
    </row>
    <row r="15" spans="1:20">
      <c r="A15" t="s">
        <v>33</v>
      </c>
      <c r="B15">
        <v>16</v>
      </c>
      <c r="E15">
        <v>2</v>
      </c>
      <c r="F15">
        <f>F6</f>
        <v>0</v>
      </c>
      <c r="G15">
        <v>2</v>
      </c>
      <c r="H15">
        <f>H6</f>
        <v>0</v>
      </c>
      <c r="K15">
        <v>2</v>
      </c>
      <c r="L15">
        <f>L6</f>
        <v>0</v>
      </c>
      <c r="M15">
        <v>2</v>
      </c>
      <c r="N15">
        <f>N6</f>
        <v>0</v>
      </c>
      <c r="Q15">
        <f>IF(Charts!$B$3="none",E57,IF(K57="",NA(),K57))</f>
        <v>0</v>
      </c>
      <c r="R15">
        <f>IF(Charts!$B$3="none",F57,IF(L57="",NA(),L57))</f>
        <v>0</v>
      </c>
      <c r="S15">
        <f>IF(Charts!$B$3="none",G57,IF(M57="",NA(),M57))</f>
        <v>0</v>
      </c>
      <c r="T15">
        <f>IF(Charts!$B$3="none",H57,IF(N57="",NA(),N57))</f>
        <v>0</v>
      </c>
    </row>
    <row r="16" spans="1:20">
      <c r="A16" t="s">
        <v>34</v>
      </c>
      <c r="B16">
        <v>17</v>
      </c>
      <c r="E16">
        <v>3</v>
      </c>
      <c r="F16">
        <f>F7</f>
        <v>0</v>
      </c>
      <c r="G16">
        <v>3</v>
      </c>
      <c r="H16">
        <f>H7</f>
        <v>0</v>
      </c>
      <c r="K16">
        <v>3</v>
      </c>
      <c r="L16">
        <f>L7</f>
        <v>0</v>
      </c>
      <c r="M16">
        <v>3</v>
      </c>
      <c r="N16">
        <f>N7</f>
        <v>0</v>
      </c>
      <c r="Q16">
        <f>IF(Charts!$B$3="none",E58,IF(K58="",NA(),K58))</f>
        <v>0</v>
      </c>
      <c r="R16">
        <f>IF(Charts!$B$3="none",F58,IF(L58="",NA(),L58))</f>
        <v>0</v>
      </c>
      <c r="S16">
        <f>IF(Charts!$B$3="none",G58,IF(M58="",NA(),M58))</f>
        <v>0</v>
      </c>
      <c r="T16">
        <f>IF(Charts!$B$3="none",H58,IF(N58="",NA(),N58))</f>
        <v>0</v>
      </c>
    </row>
    <row r="17" spans="4:20">
      <c r="E17">
        <v>4</v>
      </c>
      <c r="F17">
        <f>F8</f>
        <v>0</v>
      </c>
      <c r="G17">
        <v>4</v>
      </c>
      <c r="H17">
        <f>H8</f>
        <v>0</v>
      </c>
      <c r="K17">
        <v>4</v>
      </c>
      <c r="L17">
        <f>L8</f>
        <v>0</v>
      </c>
      <c r="M17">
        <v>4</v>
      </c>
      <c r="N17">
        <f>N8</f>
        <v>0</v>
      </c>
      <c r="Q17">
        <f>IF(Charts!$B$3="none",E59,IF(K59="",NA(),K59))</f>
        <v>0</v>
      </c>
      <c r="R17">
        <f>IF(Charts!$B$3="none",F59,IF(L59="",NA(),L59))</f>
        <v>0</v>
      </c>
      <c r="S17">
        <f>IF(Charts!$B$3="none",G59,IF(M59="",NA(),M59))</f>
        <v>0</v>
      </c>
      <c r="T17">
        <f>IF(Charts!$B$3="none",H59,IF(N59="",NA(),N59))</f>
        <v>0</v>
      </c>
    </row>
    <row r="18" spans="4:20">
      <c r="E18">
        <v>5</v>
      </c>
      <c r="F18">
        <f>F9</f>
        <v>0</v>
      </c>
      <c r="G18">
        <v>5</v>
      </c>
      <c r="H18">
        <f>H9</f>
        <v>0</v>
      </c>
      <c r="K18">
        <v>5</v>
      </c>
      <c r="L18">
        <f>L9</f>
        <v>0</v>
      </c>
      <c r="M18">
        <v>5</v>
      </c>
      <c r="N18">
        <f>N9</f>
        <v>0</v>
      </c>
      <c r="Q18">
        <f>IF(Charts!$B$3="none",E60,IF(K60="",NA(),K60))</f>
        <v>0</v>
      </c>
      <c r="R18">
        <f>IF(Charts!$B$3="none",F60,IF(L60="",NA(),L60))</f>
        <v>0</v>
      </c>
      <c r="S18">
        <f>IF(Charts!$B$3="none",G60,IF(M60="",NA(),M60))</f>
        <v>0</v>
      </c>
      <c r="T18">
        <f>IF(Charts!$B$3="none",H60,IF(N60="",NA(),N60))</f>
        <v>0</v>
      </c>
    </row>
    <row r="19" spans="4:20">
      <c r="E19">
        <v>6</v>
      </c>
      <c r="F19">
        <f>F10</f>
        <v>0</v>
      </c>
      <c r="G19">
        <v>6</v>
      </c>
      <c r="H19">
        <f>H10</f>
        <v>0</v>
      </c>
      <c r="K19">
        <v>6</v>
      </c>
      <c r="L19">
        <f>L10</f>
        <v>0</v>
      </c>
      <c r="M19">
        <v>6</v>
      </c>
      <c r="N19">
        <f>N10</f>
        <v>0</v>
      </c>
    </row>
    <row r="20" spans="4:20">
      <c r="E20">
        <v>7</v>
      </c>
      <c r="F20">
        <f>F11</f>
        <v>0</v>
      </c>
      <c r="G20">
        <v>7</v>
      </c>
      <c r="H20">
        <f>H11</f>
        <v>0</v>
      </c>
      <c r="K20">
        <v>7</v>
      </c>
      <c r="L20">
        <f>L11</f>
        <v>0</v>
      </c>
      <c r="M20">
        <v>7</v>
      </c>
      <c r="N20">
        <f>N11</f>
        <v>0</v>
      </c>
    </row>
    <row r="21" spans="4:20">
      <c r="E21">
        <v>2</v>
      </c>
      <c r="F21">
        <f>IF(F6="","",F5)</f>
        <v>0</v>
      </c>
      <c r="G21">
        <v>2</v>
      </c>
      <c r="H21">
        <f>H5</f>
        <v>0</v>
      </c>
      <c r="K21">
        <v>2</v>
      </c>
      <c r="L21">
        <f>IF(L6="","",L5)</f>
        <v>0</v>
      </c>
      <c r="M21">
        <v>2</v>
      </c>
      <c r="N21">
        <f>N5</f>
        <v>0</v>
      </c>
    </row>
    <row r="22" spans="4:20">
      <c r="E22">
        <v>3</v>
      </c>
      <c r="F22">
        <f>IF(F7="","",F6)</f>
        <v>0</v>
      </c>
      <c r="G22">
        <v>3</v>
      </c>
      <c r="H22">
        <f>H6</f>
        <v>0</v>
      </c>
      <c r="K22">
        <v>3</v>
      </c>
      <c r="L22">
        <f>IF(L7="","",L6)</f>
        <v>0</v>
      </c>
      <c r="M22">
        <v>3</v>
      </c>
      <c r="N22">
        <f>N6</f>
        <v>0</v>
      </c>
    </row>
    <row r="23" spans="4:20">
      <c r="E23">
        <v>4</v>
      </c>
      <c r="F23">
        <f>IF(F8="","",F7)</f>
        <v>0</v>
      </c>
      <c r="G23">
        <v>4</v>
      </c>
      <c r="H23">
        <f>H7</f>
        <v>0</v>
      </c>
      <c r="K23">
        <v>4</v>
      </c>
      <c r="L23">
        <f>IF(L8="","",L7)</f>
        <v>0</v>
      </c>
      <c r="M23">
        <v>4</v>
      </c>
      <c r="N23">
        <f>N7</f>
        <v>0</v>
      </c>
    </row>
    <row r="24" spans="4:20">
      <c r="E24">
        <v>5</v>
      </c>
      <c r="F24">
        <f>IF(F9="","",F8)</f>
        <v>0</v>
      </c>
      <c r="G24">
        <v>5</v>
      </c>
      <c r="H24">
        <f>H8</f>
        <v>0</v>
      </c>
      <c r="K24">
        <v>5</v>
      </c>
      <c r="L24">
        <f>IF(L9="","",L8)</f>
        <v>0</v>
      </c>
      <c r="M24">
        <v>5</v>
      </c>
      <c r="N24">
        <f>N8</f>
        <v>0</v>
      </c>
    </row>
    <row r="25" spans="4:20">
      <c r="E25">
        <v>6</v>
      </c>
      <c r="F25">
        <f>IF(F10="","",F9)</f>
        <v>0</v>
      </c>
      <c r="G25">
        <v>6</v>
      </c>
      <c r="H25">
        <f>H9</f>
        <v>0</v>
      </c>
      <c r="K25">
        <v>6</v>
      </c>
      <c r="L25">
        <f>IF(L10="","",L9)</f>
        <v>0</v>
      </c>
      <c r="M25">
        <v>6</v>
      </c>
      <c r="N25">
        <f>N9</f>
        <v>0</v>
      </c>
    </row>
    <row r="26" spans="4:20">
      <c r="E26">
        <v>7</v>
      </c>
      <c r="F26">
        <f>IF(F11="","",F10)</f>
        <v>0</v>
      </c>
      <c r="G26">
        <v>7</v>
      </c>
      <c r="H26">
        <f>H10</f>
        <v>0</v>
      </c>
      <c r="K26">
        <v>7</v>
      </c>
      <c r="L26">
        <f>IF(L11="","",L10)</f>
        <v>0</v>
      </c>
      <c r="M26">
        <v>7</v>
      </c>
      <c r="N26">
        <f>N10</f>
        <v>0</v>
      </c>
    </row>
    <row r="27" spans="4:20">
      <c r="E27">
        <v>0</v>
      </c>
      <c r="F27">
        <v>0</v>
      </c>
      <c r="G27">
        <v>0</v>
      </c>
      <c r="H27">
        <v>0</v>
      </c>
      <c r="K27">
        <v>0</v>
      </c>
      <c r="L27">
        <v>0</v>
      </c>
      <c r="M27">
        <v>0</v>
      </c>
      <c r="N27">
        <v>0</v>
      </c>
    </row>
    <row r="28" spans="4:20">
      <c r="E28">
        <v>1</v>
      </c>
      <c r="F28">
        <v>0</v>
      </c>
      <c r="G28">
        <v>1</v>
      </c>
      <c r="H28">
        <v>0</v>
      </c>
      <c r="K28">
        <v>1</v>
      </c>
      <c r="L28">
        <v>0</v>
      </c>
      <c r="M28">
        <v>1</v>
      </c>
      <c r="N28">
        <v>0</v>
      </c>
    </row>
    <row r="30" spans="4:20">
      <c r="D30" t="s">
        <v>43</v>
      </c>
      <c r="E30" t="s">
        <v>41</v>
      </c>
      <c r="F30" t="s">
        <v>46</v>
      </c>
      <c r="G30" t="s">
        <v>41</v>
      </c>
      <c r="H30" t="s">
        <v>47</v>
      </c>
      <c r="J30" t="s">
        <v>43</v>
      </c>
      <c r="K30" t="s">
        <v>41</v>
      </c>
      <c r="L30" t="s">
        <v>46</v>
      </c>
      <c r="M30" t="s">
        <v>41</v>
      </c>
      <c r="N30" t="s">
        <v>47</v>
      </c>
    </row>
    <row r="31" spans="4:20">
      <c r="E31">
        <f>IFERROR(SMALL(E14:E28,ROW()-ROW($E$31)+1),"")</f>
        <v>0</v>
      </c>
      <c r="F31">
        <f>IFERROR(SMALL(F14:F28,ROW()-ROW($F$31)+1),"")</f>
        <v>0</v>
      </c>
      <c r="G31">
        <f>IFERROR(SMALL(G14:G28,ROW()-ROW($G$31)+1),"")</f>
        <v>0</v>
      </c>
      <c r="H31">
        <f>IFERROR(SMALL(H14:H28,ROW()-ROW($H$31)+1),"")</f>
        <v>0</v>
      </c>
      <c r="K31">
        <f>IFERROR(SMALL(K14:K28,ROW()-ROW($K$31)+1),"")</f>
        <v>0</v>
      </c>
      <c r="L31">
        <f>IFERROR(SMALL(L14:L28,ROW()-ROW($L$31)+1),"")</f>
        <v>0</v>
      </c>
      <c r="M31">
        <f>IFERROR(SMALL(M14:M28,ROW()-ROW($M$31)+1),"")</f>
        <v>0</v>
      </c>
      <c r="N31">
        <f>IFERROR(SMALL(N14:N28,ROW()-ROW($N$31)+1),"")</f>
        <v>0</v>
      </c>
    </row>
    <row r="32" spans="4:20">
      <c r="E32">
        <f>IFERROR(SMALL(E14:E28,ROW()-ROW($E$31)+1),"")</f>
        <v>0</v>
      </c>
      <c r="F32">
        <f>IFERROR(SMALL(F14:F28,ROW()-ROW($F$31)+1),"")</f>
        <v>0</v>
      </c>
      <c r="G32">
        <f>IFERROR(SMALL(G14:G28,ROW()-ROW($G$31)+1),"")</f>
        <v>0</v>
      </c>
      <c r="H32">
        <f>IFERROR(SMALL(H14:H28,ROW()-ROW($H$31)+1),"")</f>
        <v>0</v>
      </c>
      <c r="K32">
        <f>IFERROR(SMALL(K14:K28,ROW()-ROW($K$31)+1),"")</f>
        <v>0</v>
      </c>
      <c r="L32">
        <f>IFERROR(SMALL(L14:L28,ROW()-ROW($L$31)+1),"")</f>
        <v>0</v>
      </c>
      <c r="M32">
        <f>IFERROR(SMALL(M14:M28,ROW()-ROW($M$31)+1),"")</f>
        <v>0</v>
      </c>
      <c r="N32">
        <f>IFERROR(SMALL(N14:N28,ROW()-ROW($N$31)+1),"")</f>
        <v>0</v>
      </c>
    </row>
    <row r="33" spans="4:14">
      <c r="E33">
        <f>IFERROR(SMALL(E14:E28,ROW()-ROW($E$31)+1),"")</f>
        <v>0</v>
      </c>
      <c r="F33">
        <f>IFERROR(SMALL(F14:F28,ROW()-ROW($F$31)+1),"")</f>
        <v>0</v>
      </c>
      <c r="G33">
        <f>IFERROR(SMALL(G14:G28,ROW()-ROW($G$31)+1),"")</f>
        <v>0</v>
      </c>
      <c r="H33">
        <f>IFERROR(SMALL(H14:H28,ROW()-ROW($H$31)+1),"")</f>
        <v>0</v>
      </c>
      <c r="K33">
        <f>IFERROR(SMALL(K14:K28,ROW()-ROW($K$31)+1),"")</f>
        <v>0</v>
      </c>
      <c r="L33">
        <f>IFERROR(SMALL(L14:L28,ROW()-ROW($L$31)+1),"")</f>
        <v>0</v>
      </c>
      <c r="M33">
        <f>IFERROR(SMALL(M14:M28,ROW()-ROW($M$31)+1),"")</f>
        <v>0</v>
      </c>
      <c r="N33">
        <f>IFERROR(SMALL(N14:N28,ROW()-ROW($N$31)+1),"")</f>
        <v>0</v>
      </c>
    </row>
    <row r="34" spans="4:14">
      <c r="E34">
        <f>IFERROR(SMALL(E14:E28,ROW()-ROW($E$31)+1),"")</f>
        <v>0</v>
      </c>
      <c r="F34">
        <f>IFERROR(SMALL(F14:F28,ROW()-ROW($F$31)+1),"")</f>
        <v>0</v>
      </c>
      <c r="G34">
        <f>IFERROR(SMALL(G14:G28,ROW()-ROW($G$31)+1),"")</f>
        <v>0</v>
      </c>
      <c r="H34">
        <f>IFERROR(SMALL(H14:H28,ROW()-ROW($H$31)+1),"")</f>
        <v>0</v>
      </c>
      <c r="K34">
        <f>IFERROR(SMALL(K14:K28,ROW()-ROW($K$31)+1),"")</f>
        <v>0</v>
      </c>
      <c r="L34">
        <f>IFERROR(SMALL(L14:L28,ROW()-ROW($L$31)+1),"")</f>
        <v>0</v>
      </c>
      <c r="M34">
        <f>IFERROR(SMALL(M14:M28,ROW()-ROW($M$31)+1),"")</f>
        <v>0</v>
      </c>
      <c r="N34">
        <f>IFERROR(SMALL(N14:N28,ROW()-ROW($N$31)+1),"")</f>
        <v>0</v>
      </c>
    </row>
    <row r="35" spans="4:14">
      <c r="E35">
        <f>IFERROR(SMALL(E14:E28,ROW()-ROW($E$31)+1),"")</f>
        <v>0</v>
      </c>
      <c r="F35">
        <f>IFERROR(SMALL(F14:F28,ROW()-ROW($F$31)+1),"")</f>
        <v>0</v>
      </c>
      <c r="G35">
        <f>IFERROR(SMALL(G14:G28,ROW()-ROW($G$31)+1),"")</f>
        <v>0</v>
      </c>
      <c r="H35">
        <f>IFERROR(SMALL(H14:H28,ROW()-ROW($H$31)+1),"")</f>
        <v>0</v>
      </c>
      <c r="K35">
        <f>IFERROR(SMALL(K14:K28,ROW()-ROW($K$31)+1),"")</f>
        <v>0</v>
      </c>
      <c r="L35">
        <f>IFERROR(SMALL(L14:L28,ROW()-ROW($L$31)+1),"")</f>
        <v>0</v>
      </c>
      <c r="M35">
        <f>IFERROR(SMALL(M14:M28,ROW()-ROW($M$31)+1),"")</f>
        <v>0</v>
      </c>
      <c r="N35">
        <f>IFERROR(SMALL(N14:N28,ROW()-ROW($N$31)+1),"")</f>
        <v>0</v>
      </c>
    </row>
    <row r="36" spans="4:14">
      <c r="E36">
        <f>IFERROR(SMALL(E14:E28,ROW()-ROW($E$31)+1),"")</f>
        <v>0</v>
      </c>
      <c r="F36">
        <f>IFERROR(SMALL(F14:F28,ROW()-ROW($F$31)+1),"")</f>
        <v>0</v>
      </c>
      <c r="G36">
        <f>IFERROR(SMALL(G14:G28,ROW()-ROW($G$31)+1),"")</f>
        <v>0</v>
      </c>
      <c r="H36">
        <f>IFERROR(SMALL(H14:H28,ROW()-ROW($H$31)+1),"")</f>
        <v>0</v>
      </c>
      <c r="K36">
        <f>IFERROR(SMALL(K14:K28,ROW()-ROW($K$31)+1),"")</f>
        <v>0</v>
      </c>
      <c r="L36">
        <f>IFERROR(SMALL(L14:L28,ROW()-ROW($L$31)+1),"")</f>
        <v>0</v>
      </c>
      <c r="M36">
        <f>IFERROR(SMALL(M14:M28,ROW()-ROW($M$31)+1),"")</f>
        <v>0</v>
      </c>
      <c r="N36">
        <f>IFERROR(SMALL(N14:N28,ROW()-ROW($N$31)+1),"")</f>
        <v>0</v>
      </c>
    </row>
    <row r="37" spans="4:14">
      <c r="E37">
        <f>IFERROR(SMALL(E14:E28,ROW()-ROW($E$31)+1),"")</f>
        <v>0</v>
      </c>
      <c r="F37">
        <f>IFERROR(SMALL(F14:F28,ROW()-ROW($F$31)+1),"")</f>
        <v>0</v>
      </c>
      <c r="G37">
        <f>IFERROR(SMALL(G14:G28,ROW()-ROW($G$31)+1),"")</f>
        <v>0</v>
      </c>
      <c r="H37">
        <f>IFERROR(SMALL(H14:H28,ROW()-ROW($H$31)+1),"")</f>
        <v>0</v>
      </c>
      <c r="K37">
        <f>IFERROR(SMALL(K14:K28,ROW()-ROW($K$31)+1),"")</f>
        <v>0</v>
      </c>
      <c r="L37">
        <f>IFERROR(SMALL(L14:L28,ROW()-ROW($L$31)+1),"")</f>
        <v>0</v>
      </c>
      <c r="M37">
        <f>IFERROR(SMALL(M14:M28,ROW()-ROW($M$31)+1),"")</f>
        <v>0</v>
      </c>
      <c r="N37">
        <f>IFERROR(SMALL(N14:N28,ROW()-ROW($N$31)+1),"")</f>
        <v>0</v>
      </c>
    </row>
    <row r="38" spans="4:14">
      <c r="E38">
        <f>IFERROR(SMALL(E14:E28,ROW()-ROW($E$31)+1),"")</f>
        <v>0</v>
      </c>
      <c r="F38">
        <f>IFERROR(SMALL(F14:F28,ROW()-ROW($F$31)+1),"")</f>
        <v>0</v>
      </c>
      <c r="G38">
        <f>IFERROR(SMALL(G14:G28,ROW()-ROW($G$31)+1),"")</f>
        <v>0</v>
      </c>
      <c r="H38">
        <f>IFERROR(SMALL(H14:H28,ROW()-ROW($H$31)+1),"")</f>
        <v>0</v>
      </c>
      <c r="K38">
        <f>IFERROR(SMALL(K14:K28,ROW()-ROW($K$31)+1),"")</f>
        <v>0</v>
      </c>
      <c r="L38">
        <f>IFERROR(SMALL(L14:L28,ROW()-ROW($L$31)+1),"")</f>
        <v>0</v>
      </c>
      <c r="M38">
        <f>IFERROR(SMALL(M14:M28,ROW()-ROW($M$31)+1),"")</f>
        <v>0</v>
      </c>
      <c r="N38">
        <f>IFERROR(SMALL(N14:N28,ROW()-ROW($N$31)+1),"")</f>
        <v>0</v>
      </c>
    </row>
    <row r="39" spans="4:14">
      <c r="E39">
        <f>IFERROR(SMALL(E14:E28,ROW()-ROW($E$31)+1),"")</f>
        <v>0</v>
      </c>
      <c r="F39">
        <f>IFERROR(SMALL(F14:F28,ROW()-ROW($F$31)+1),"")</f>
        <v>0</v>
      </c>
      <c r="G39">
        <f>IFERROR(SMALL(G14:G28,ROW()-ROW($G$31)+1),"")</f>
        <v>0</v>
      </c>
      <c r="H39">
        <f>IFERROR(SMALL(H14:H28,ROW()-ROW($H$31)+1),"")</f>
        <v>0</v>
      </c>
      <c r="K39">
        <f>IFERROR(SMALL(K14:K28,ROW()-ROW($K$31)+1),"")</f>
        <v>0</v>
      </c>
      <c r="L39">
        <f>IFERROR(SMALL(L14:L28,ROW()-ROW($L$31)+1),"")</f>
        <v>0</v>
      </c>
      <c r="M39">
        <f>IFERROR(SMALL(M14:M28,ROW()-ROW($M$31)+1),"")</f>
        <v>0</v>
      </c>
      <c r="N39">
        <f>IFERROR(SMALL(N14:N28,ROW()-ROW($N$31)+1),"")</f>
        <v>0</v>
      </c>
    </row>
    <row r="40" spans="4:14">
      <c r="E40">
        <f>IFERROR(SMALL(E14:E28,ROW()-ROW($E$31)+1),"")</f>
        <v>0</v>
      </c>
      <c r="F40">
        <f>IFERROR(SMALL(F14:F28,ROW()-ROW($F$31)+1),"")</f>
        <v>0</v>
      </c>
      <c r="G40">
        <f>IFERROR(SMALL(G14:G28,ROW()-ROW($G$31)+1),"")</f>
        <v>0</v>
      </c>
      <c r="H40">
        <f>IFERROR(SMALL(H14:H28,ROW()-ROW($H$31)+1),"")</f>
        <v>0</v>
      </c>
      <c r="K40">
        <f>IFERROR(SMALL(K14:K28,ROW()-ROW($K$31)+1),"")</f>
        <v>0</v>
      </c>
      <c r="L40">
        <f>IFERROR(SMALL(L14:L28,ROW()-ROW($L$31)+1),"")</f>
        <v>0</v>
      </c>
      <c r="M40">
        <f>IFERROR(SMALL(M14:M28,ROW()-ROW($M$31)+1),"")</f>
        <v>0</v>
      </c>
      <c r="N40">
        <f>IFERROR(SMALL(N14:N28,ROW()-ROW($N$31)+1),"")</f>
        <v>0</v>
      </c>
    </row>
    <row r="41" spans="4:14">
      <c r="E41">
        <f>IFERROR(SMALL(E14:E28,ROW()-ROW($E$31)+1),"")</f>
        <v>0</v>
      </c>
      <c r="F41">
        <f>IFERROR(SMALL(F14:F28,ROW()-ROW($F$31)+1),"")</f>
        <v>0</v>
      </c>
      <c r="G41">
        <f>IFERROR(SMALL(G14:G28,ROW()-ROW($G$31)+1),"")</f>
        <v>0</v>
      </c>
      <c r="H41">
        <f>IFERROR(SMALL(H14:H28,ROW()-ROW($H$31)+1),"")</f>
        <v>0</v>
      </c>
      <c r="K41">
        <f>IFERROR(SMALL(K14:K28,ROW()-ROW($K$31)+1),"")</f>
        <v>0</v>
      </c>
      <c r="L41">
        <f>IFERROR(SMALL(L14:L28,ROW()-ROW($L$31)+1),"")</f>
        <v>0</v>
      </c>
      <c r="M41">
        <f>IFERROR(SMALL(M14:M28,ROW()-ROW($M$31)+1),"")</f>
        <v>0</v>
      </c>
      <c r="N41">
        <f>IFERROR(SMALL(N14:N28,ROW()-ROW($N$31)+1),"")</f>
        <v>0</v>
      </c>
    </row>
    <row r="42" spans="4:14">
      <c r="E42">
        <f>IFERROR(SMALL(E14:E28,ROW()-ROW($E$31)+1),"")</f>
        <v>0</v>
      </c>
      <c r="F42">
        <f>IFERROR(SMALL(F14:F28,ROW()-ROW($F$31)+1),"")</f>
        <v>0</v>
      </c>
      <c r="G42">
        <f>IFERROR(SMALL(G14:G28,ROW()-ROW($G$31)+1),"")</f>
        <v>0</v>
      </c>
      <c r="H42">
        <f>IFERROR(SMALL(H14:H28,ROW()-ROW($H$31)+1),"")</f>
        <v>0</v>
      </c>
      <c r="K42">
        <f>IFERROR(SMALL(K14:K28,ROW()-ROW($K$31)+1),"")</f>
        <v>0</v>
      </c>
      <c r="L42">
        <f>IFERROR(SMALL(L14:L28,ROW()-ROW($L$31)+1),"")</f>
        <v>0</v>
      </c>
      <c r="M42">
        <f>IFERROR(SMALL(M14:M28,ROW()-ROW($M$31)+1),"")</f>
        <v>0</v>
      </c>
      <c r="N42">
        <f>IFERROR(SMALL(N14:N28,ROW()-ROW($N$31)+1),"")</f>
        <v>0</v>
      </c>
    </row>
    <row r="43" spans="4:14">
      <c r="E43">
        <f>IFERROR(SMALL(E14:E28,ROW()-ROW($E$31)+1),"")</f>
        <v>0</v>
      </c>
      <c r="F43">
        <f>IFERROR(SMALL(F14:F28,ROW()-ROW($F$31)+1),"")</f>
        <v>0</v>
      </c>
      <c r="G43">
        <f>IFERROR(SMALL(G14:G28,ROW()-ROW($G$31)+1),"")</f>
        <v>0</v>
      </c>
      <c r="H43">
        <f>IFERROR(SMALL(H14:H28,ROW()-ROW($H$31)+1),"")</f>
        <v>0</v>
      </c>
      <c r="K43">
        <f>IFERROR(SMALL(K14:K28,ROW()-ROW($K$31)+1),"")</f>
        <v>0</v>
      </c>
      <c r="L43">
        <f>IFERROR(SMALL(L14:L28,ROW()-ROW($L$31)+1),"")</f>
        <v>0</v>
      </c>
      <c r="M43">
        <f>IFERROR(SMALL(M14:M28,ROW()-ROW($M$31)+1),"")</f>
        <v>0</v>
      </c>
      <c r="N43">
        <f>IFERROR(SMALL(N14:N28,ROW()-ROW($N$31)+1),"")</f>
        <v>0</v>
      </c>
    </row>
    <row r="44" spans="4:14">
      <c r="E44">
        <f>IFERROR(SMALL(E14:E28,ROW()-ROW($E$31)+1),"")</f>
        <v>0</v>
      </c>
      <c r="F44">
        <f>IFERROR(SMALL(F14:F28,ROW()-ROW($F$31)+1),"")</f>
        <v>0</v>
      </c>
      <c r="G44">
        <f>IFERROR(SMALL(G14:G28,ROW()-ROW($G$31)+1),"")</f>
        <v>0</v>
      </c>
      <c r="H44">
        <f>IFERROR(SMALL(H14:H28,ROW()-ROW($H$31)+1),"")</f>
        <v>0</v>
      </c>
      <c r="K44">
        <f>IFERROR(SMALL(K14:K28,ROW()-ROW($K$31)+1),"")</f>
        <v>0</v>
      </c>
      <c r="L44">
        <f>IFERROR(SMALL(L14:L28,ROW()-ROW($L$31)+1),"")</f>
        <v>0</v>
      </c>
      <c r="M44">
        <f>IFERROR(SMALL(M14:M28,ROW()-ROW($M$31)+1),"")</f>
        <v>0</v>
      </c>
      <c r="N44">
        <f>IFERROR(SMALL(N14:N28,ROW()-ROW($N$31)+1),"")</f>
        <v>0</v>
      </c>
    </row>
    <row r="46" spans="4:14">
      <c r="D46" t="s">
        <v>44</v>
      </c>
      <c r="E46" t="s">
        <v>41</v>
      </c>
      <c r="F46" t="s">
        <v>46</v>
      </c>
      <c r="G46" t="s">
        <v>41</v>
      </c>
      <c r="H46" t="s">
        <v>47</v>
      </c>
      <c r="J46" t="s">
        <v>44</v>
      </c>
      <c r="K46" t="s">
        <v>41</v>
      </c>
      <c r="L46" t="s">
        <v>46</v>
      </c>
      <c r="M46" t="s">
        <v>41</v>
      </c>
      <c r="N46" t="s">
        <v>47</v>
      </c>
    </row>
    <row r="47" spans="4:14">
      <c r="E47">
        <f>IF(ISNA(F47),NA(),E31)</f>
        <v>0</v>
      </c>
      <c r="F47">
        <f>IF(F31="",NA(),F31)</f>
        <v>0</v>
      </c>
      <c r="G47">
        <f>IF(ISNA(H47),NA(),G31)</f>
        <v>0</v>
      </c>
      <c r="H47">
        <f>IF(H31="",NA(),H31)</f>
        <v>0</v>
      </c>
      <c r="K47">
        <f>IF(ISNA(L47),NA(),K31)</f>
        <v>0</v>
      </c>
      <c r="L47">
        <f>IF(L31="",NA(),L31)</f>
        <v>0</v>
      </c>
      <c r="M47">
        <f>IF(ISNA(N47),NA(),M31)</f>
        <v>0</v>
      </c>
      <c r="N47">
        <f>IF(N31="",NA(),N31)</f>
        <v>0</v>
      </c>
    </row>
    <row r="48" spans="4:14">
      <c r="E48">
        <f>IF(ISNA(F48),NA(),E32)</f>
        <v>0</v>
      </c>
      <c r="F48">
        <f>IF(OR(F32="",AND(F32=F31,F32=F33)),NA(), F32)</f>
        <v>0</v>
      </c>
      <c r="G48">
        <f>IF(ISNA(H48),NA(),G32)</f>
        <v>0</v>
      </c>
      <c r="H48">
        <f>IF(OR(H32="",AND(H32=H31,H32=H33)),NA(), H32)</f>
        <v>0</v>
      </c>
      <c r="K48">
        <f>IF(ISNA(L48),NA(),K32)</f>
        <v>0</v>
      </c>
      <c r="L48">
        <f>IF(OR(L32="",AND(L32=L31,L32=L33)),NA(), L32)</f>
        <v>0</v>
      </c>
      <c r="M48">
        <f>IF(ISNA(N48),NA(),M32)</f>
        <v>0</v>
      </c>
      <c r="N48">
        <f>IF(OR(N32="",AND(N32=N31,N32=N33)),NA(), N32)</f>
        <v>0</v>
      </c>
    </row>
    <row r="49" spans="5:14">
      <c r="E49">
        <f>IF(ISNA(F49),NA(),E33)</f>
        <v>0</v>
      </c>
      <c r="F49">
        <f>IF(OR(F33="",AND(F33=F32,F33=F34)),NA(), F33)</f>
        <v>0</v>
      </c>
      <c r="G49">
        <f>IF(ISNA(H49),NA(),G33)</f>
        <v>0</v>
      </c>
      <c r="H49">
        <f>IF(OR(H33="",AND(H33=H32,H33=H34)),NA(), H33)</f>
        <v>0</v>
      </c>
      <c r="K49">
        <f>IF(ISNA(L49),NA(),K33)</f>
        <v>0</v>
      </c>
      <c r="L49">
        <f>IF(OR(L33="",AND(L33=L32,L33=L34)),NA(), L33)</f>
        <v>0</v>
      </c>
      <c r="M49">
        <f>IF(ISNA(N49),NA(),M33)</f>
        <v>0</v>
      </c>
      <c r="N49">
        <f>IF(OR(N33="",AND(N33=N32,N33=N34)),NA(), N33)</f>
        <v>0</v>
      </c>
    </row>
    <row r="50" spans="5:14">
      <c r="E50">
        <f>IF(ISNA(F50),NA(),E34)</f>
        <v>0</v>
      </c>
      <c r="F50">
        <f>IF(OR(F34="",AND(F34=F33,F34=F35)),NA(), F34)</f>
        <v>0</v>
      </c>
      <c r="G50">
        <f>IF(ISNA(H50),NA(),G34)</f>
        <v>0</v>
      </c>
      <c r="H50">
        <f>IF(OR(H34="",AND(H34=H33,H34=H35)),NA(), H34)</f>
        <v>0</v>
      </c>
      <c r="K50">
        <f>IF(ISNA(L50),NA(),K34)</f>
        <v>0</v>
      </c>
      <c r="L50">
        <f>IF(OR(L34="",AND(L34=L33,L34=L35)),NA(), L34)</f>
        <v>0</v>
      </c>
      <c r="M50">
        <f>IF(ISNA(N50),NA(),M34)</f>
        <v>0</v>
      </c>
      <c r="N50">
        <f>IF(OR(N34="",AND(N34=N33,N34=N35)),NA(), N34)</f>
        <v>0</v>
      </c>
    </row>
    <row r="51" spans="5:14">
      <c r="E51">
        <f>IF(ISNA(F51),NA(),E35)</f>
        <v>0</v>
      </c>
      <c r="F51">
        <f>IF(OR(F35="",AND(F35=F34,F35=F36)),NA(), F35)</f>
        <v>0</v>
      </c>
      <c r="G51">
        <f>IF(ISNA(H51),NA(),G35)</f>
        <v>0</v>
      </c>
      <c r="H51">
        <f>IF(OR(H35="",AND(H35=H34,H35=H36)),NA(), H35)</f>
        <v>0</v>
      </c>
      <c r="K51">
        <f>IF(ISNA(L51),NA(),K35)</f>
        <v>0</v>
      </c>
      <c r="L51">
        <f>IF(OR(L35="",AND(L35=L34,L35=L36)),NA(), L35)</f>
        <v>0</v>
      </c>
      <c r="M51">
        <f>IF(ISNA(N51),NA(),M35)</f>
        <v>0</v>
      </c>
      <c r="N51">
        <f>IF(OR(N35="",AND(N35=N34,N35=N36)),NA(), N35)</f>
        <v>0</v>
      </c>
    </row>
    <row r="52" spans="5:14">
      <c r="E52">
        <f>IF(ISNA(F52),NA(),E36)</f>
        <v>0</v>
      </c>
      <c r="F52">
        <f>IF(OR(F36="",AND(F36=F35,F36=F37)),NA(), F36)</f>
        <v>0</v>
      </c>
      <c r="G52">
        <f>IF(ISNA(H52),NA(),G36)</f>
        <v>0</v>
      </c>
      <c r="H52">
        <f>IF(OR(H36="",AND(H36=H35,H36=H37)),NA(), H36)</f>
        <v>0</v>
      </c>
      <c r="K52">
        <f>IF(ISNA(L52),NA(),K36)</f>
        <v>0</v>
      </c>
      <c r="L52">
        <f>IF(OR(L36="",AND(L36=L35,L36=L37)),NA(), L36)</f>
        <v>0</v>
      </c>
      <c r="M52">
        <f>IF(ISNA(N52),NA(),M36)</f>
        <v>0</v>
      </c>
      <c r="N52">
        <f>IF(OR(N36="",AND(N36=N35,N36=N37)),NA(), N36)</f>
        <v>0</v>
      </c>
    </row>
    <row r="53" spans="5:14">
      <c r="E53">
        <f>IF(ISNA(F53),NA(),E37)</f>
        <v>0</v>
      </c>
      <c r="F53">
        <f>IF(OR(F37="",AND(F37=F36,F37=F38)),NA(), F37)</f>
        <v>0</v>
      </c>
      <c r="G53">
        <f>IF(ISNA(H53),NA(),G37)</f>
        <v>0</v>
      </c>
      <c r="H53">
        <f>IF(OR(H37="",AND(H37=H36,H37=H38)),NA(), H37)</f>
        <v>0</v>
      </c>
      <c r="K53">
        <f>IF(ISNA(L53),NA(),K37)</f>
        <v>0</v>
      </c>
      <c r="L53">
        <f>IF(OR(L37="",AND(L37=L36,L37=L38)),NA(), L37)</f>
        <v>0</v>
      </c>
      <c r="M53">
        <f>IF(ISNA(N53),NA(),M37)</f>
        <v>0</v>
      </c>
      <c r="N53">
        <f>IF(OR(N37="",AND(N37=N36,N37=N38)),NA(), N37)</f>
        <v>0</v>
      </c>
    </row>
    <row r="54" spans="5:14">
      <c r="E54">
        <f>IF(ISNA(F54),NA(),E38)</f>
        <v>0</v>
      </c>
      <c r="F54">
        <f>IF(OR(F38="",AND(F38=F37,F38=F39)),NA(), F38)</f>
        <v>0</v>
      </c>
      <c r="G54">
        <f>IF(ISNA(H54),NA(),G38)</f>
        <v>0</v>
      </c>
      <c r="H54">
        <f>IF(OR(H38="",AND(H38=H37,H38=H39)),NA(), H38)</f>
        <v>0</v>
      </c>
      <c r="K54">
        <f>IF(ISNA(L54),NA(),K38)</f>
        <v>0</v>
      </c>
      <c r="L54">
        <f>IF(OR(L38="",AND(L38=L37,L38=L39)),NA(), L38)</f>
        <v>0</v>
      </c>
      <c r="M54">
        <f>IF(ISNA(N54),NA(),M38)</f>
        <v>0</v>
      </c>
      <c r="N54">
        <f>IF(OR(N38="",AND(N38=N37,N38=N39)),NA(), N38)</f>
        <v>0</v>
      </c>
    </row>
    <row r="55" spans="5:14">
      <c r="E55">
        <f>IF(ISNA(F55),NA(),E39)</f>
        <v>0</v>
      </c>
      <c r="F55">
        <f>IF(OR(F39="",AND(F39=F38,F39=F40)),NA(), F39)</f>
        <v>0</v>
      </c>
      <c r="G55">
        <f>IF(ISNA(H55),NA(),G39)</f>
        <v>0</v>
      </c>
      <c r="H55">
        <f>IF(OR(H39="",AND(H39=H38,H39=H40)),NA(), H39)</f>
        <v>0</v>
      </c>
      <c r="K55">
        <f>IF(ISNA(L55),NA(),K39)</f>
        <v>0</v>
      </c>
      <c r="L55">
        <f>IF(OR(L39="",AND(L39=L38,L39=L40)),NA(), L39)</f>
        <v>0</v>
      </c>
      <c r="M55">
        <f>IF(ISNA(N55),NA(),M39)</f>
        <v>0</v>
      </c>
      <c r="N55">
        <f>IF(OR(N39="",AND(N39=N38,N39=N40)),NA(), N39)</f>
        <v>0</v>
      </c>
    </row>
    <row r="56" spans="5:14">
      <c r="E56">
        <f>IF(ISNA(F56),NA(),E40)</f>
        <v>0</v>
      </c>
      <c r="F56">
        <f>IF(OR(F40="",AND(F40=F39,F40=F41)),NA(), F40)</f>
        <v>0</v>
      </c>
      <c r="G56">
        <f>IF(ISNA(H56),NA(),G40)</f>
        <v>0</v>
      </c>
      <c r="H56">
        <f>IF(OR(H40="",AND(H40=H39,H40=H41)),NA(), H40)</f>
        <v>0</v>
      </c>
      <c r="K56">
        <f>IF(ISNA(L56),NA(),K40)</f>
        <v>0</v>
      </c>
      <c r="L56">
        <f>IF(OR(L40="",AND(L40=L39,L40=L41)),NA(), L40)</f>
        <v>0</v>
      </c>
      <c r="M56">
        <f>IF(ISNA(N56),NA(),M40)</f>
        <v>0</v>
      </c>
      <c r="N56">
        <f>IF(OR(N40="",AND(N40=N39,N40=N41)),NA(), N40)</f>
        <v>0</v>
      </c>
    </row>
    <row r="57" spans="5:14">
      <c r="E57">
        <f>IF(ISNA(F57),NA(),E41)</f>
        <v>0</v>
      </c>
      <c r="F57">
        <f>IF(OR(F41="",AND(F41=F40,F41=F42)),NA(), F41)</f>
        <v>0</v>
      </c>
      <c r="G57">
        <f>IF(ISNA(H57),NA(),G41)</f>
        <v>0</v>
      </c>
      <c r="H57">
        <f>IF(OR(H41="",AND(H41=H40,H41=H42)),NA(), H41)</f>
        <v>0</v>
      </c>
      <c r="K57">
        <f>IF(ISNA(L57),NA(),K41)</f>
        <v>0</v>
      </c>
      <c r="L57">
        <f>IF(OR(L41="",AND(L41=L40,L41=L42)),NA(), L41)</f>
        <v>0</v>
      </c>
      <c r="M57">
        <f>IF(ISNA(N57),NA(),M41)</f>
        <v>0</v>
      </c>
      <c r="N57">
        <f>IF(OR(N41="",AND(N41=N40,N41=N42)),NA(), N41)</f>
        <v>0</v>
      </c>
    </row>
    <row r="58" spans="5:14">
      <c r="E58">
        <f>IF(ISNA(F58),NA(),E42)</f>
        <v>0</v>
      </c>
      <c r="F58">
        <f>IF(OR(F42="",AND(F42=F41,F42=F43)),NA(), F42)</f>
        <v>0</v>
      </c>
      <c r="G58">
        <f>IF(ISNA(H58),NA(),G42)</f>
        <v>0</v>
      </c>
      <c r="H58">
        <f>IF(OR(H42="",AND(H42=H41,H42=H43)),NA(), H42)</f>
        <v>0</v>
      </c>
      <c r="K58">
        <f>IF(ISNA(L58),NA(),K42)</f>
        <v>0</v>
      </c>
      <c r="L58">
        <f>IF(OR(L42="",AND(L42=L41,L42=L43)),NA(), L42)</f>
        <v>0</v>
      </c>
      <c r="M58">
        <f>IF(ISNA(N58),NA(),M42)</f>
        <v>0</v>
      </c>
      <c r="N58">
        <f>IF(OR(N42="",AND(N42=N41,N42=N43)),NA(), N42)</f>
        <v>0</v>
      </c>
    </row>
    <row r="59" spans="5:14">
      <c r="E59">
        <f>IF(ISNA(F59),NA(),E43)</f>
        <v>0</v>
      </c>
      <c r="F59">
        <f>IF(OR(F43="",AND(F43=F42,F43=F44)),NA(), F43)</f>
        <v>0</v>
      </c>
      <c r="G59">
        <f>IF(ISNA(H59),NA(),G43)</f>
        <v>0</v>
      </c>
      <c r="H59">
        <f>IF(OR(H43="",AND(H43=H42,H43=H44)),NA(), H43)</f>
        <v>0</v>
      </c>
      <c r="K59">
        <f>IF(ISNA(L59),NA(),K43)</f>
        <v>0</v>
      </c>
      <c r="L59">
        <f>IF(OR(L43="",AND(L43=L42,L43=L44)),NA(), L43)</f>
        <v>0</v>
      </c>
      <c r="M59">
        <f>IF(ISNA(N59),NA(),M43)</f>
        <v>0</v>
      </c>
      <c r="N59">
        <f>IF(OR(N43="",AND(N43=N42,N43=N44)),NA(), N43)</f>
        <v>0</v>
      </c>
    </row>
    <row r="60" spans="5:14">
      <c r="E60">
        <f>IF(ISNA(F60),NA(),E44)</f>
        <v>0</v>
      </c>
      <c r="F60">
        <f>IF(F44="",NA(),F44)</f>
        <v>0</v>
      </c>
      <c r="G60">
        <f>IF(ISNA(H60),NA(),G44)</f>
        <v>0</v>
      </c>
      <c r="H60">
        <f>IF(H44="",NA(),H44)</f>
        <v>0</v>
      </c>
      <c r="K60">
        <f>IF(ISNA(L60),NA(),K44)</f>
        <v>0</v>
      </c>
      <c r="L60">
        <f>IF(L44="",NA(),L44)</f>
        <v>0</v>
      </c>
      <c r="M60">
        <f>IF(ISNA(N60),NA(),M44)</f>
        <v>0</v>
      </c>
      <c r="N60">
        <f>IF(N44="",NA(),N44)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B2:F3"/>
  <sheetViews>
    <sheetView workbookViewId="0"/>
  </sheetViews>
  <sheetFormatPr defaultRowHeight="15"/>
  <sheetData>
    <row r="2" spans="2:6">
      <c r="B2" t="s">
        <v>49</v>
      </c>
      <c r="F2" t="s">
        <v>51</v>
      </c>
    </row>
    <row r="3" spans="2:6">
      <c r="B3" s="2" t="s">
        <v>50</v>
      </c>
      <c r="F3" s="2" t="s">
        <v>16</v>
      </c>
    </row>
  </sheetData>
  <dataValidations count="2">
    <dataValidation type="list" allowBlank="1" showInputMessage="1" showErrorMessage="1" prompt="Select how runs should be merged. 'none' means no merging." sqref="B3">
      <formula1>"none,average,median,min,max"</formula1>
    </dataValidation>
    <dataValidation type="list" allowBlank="1" showInputMessage="1" showErrorMessage="1" prompt="Select measure to display." sqref="F3">
      <formula1>"choices,conflicts,constraints,error,mem,memout,models,overall-time,par2,restarts,rules,solving-time,time,timeout,variables"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Instances</vt:lpstr>
      <vt:lpstr>Merged Runs</vt:lpstr>
      <vt:lpstr>Classes</vt:lpstr>
      <vt:lpstr>Helper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2026-04-28T15:35:09Z</dcterms:created>
  <dcterms:modified xsi:type="dcterms:W3CDTF">2026-04-28T15:35:09Z</dcterms:modified>
</cp:coreProperties>
</file>