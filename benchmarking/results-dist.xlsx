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<sst xmlns="http://schemas.openxmlformats.org/spreadsheetml/2006/main" count="228" uniqueCount="41">
  <si>
    <t>Test_00/Level_0-easy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</si>
  <si>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</si>
  <si>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</si>
  <si>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</si>
  <si>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</si>
  <si>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</si>
  <si>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</si>
  <si>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</si>
  <si>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</si>
  <si>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</si>
  <si>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</si>
  <si>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</si>
  <si>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error</t>
  </si>
  <si>
    <t>mem</t>
  </si>
  <si>
    <t>memout</t>
  </si>
  <si>
    <t>models</t>
  </si>
  <si>
    <t>par2</t>
  </si>
  <si>
    <t>restarts</t>
  </si>
  <si>
    <t>rstatus</t>
  </si>
  <si>
    <t>out of memory</t>
  </si>
  <si>
    <t>status</t>
  </si>
  <si>
    <t>UNKNOWN</t>
  </si>
  <si>
    <t>time</t>
  </si>
  <si>
    <t>timeout</t>
  </si>
  <si>
    <t>min</t>
  </si>
  <si>
    <t>median</t>
  </si>
  <si>
    <t>max</t>
  </si>
  <si>
    <t>Merge criteria:</t>
  </si>
  <si>
    <t>Test_00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</si>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</sst>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(Helper!T5:T7)</c:f>
            </c:numRef>
          </c:xVal>
          <c:yVal>
            <c:numRef>
              <c:f>(Helper!S5:S7)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(Helper!Q5:Q7)</c:f>
            </c:numRef>
          </c:xVal>
          <c:yVal>
            <c:numRef>
              <c:f>(Helper!R5:R7)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(Helper!R5:R7)</c:f>
            </c:numRef>
          </c:xVal>
          <c:yVal>
            <c:numRef>
              <c:f>(Helper!Q5:Q7)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1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0" customWidth="1"/>
    <col min="2" max="9" width="11.42578125" customWidth="1"/>
    <col min="10" max="10" width="14.140625" customWidth="1"/>
    <col min="11" max="43" width="11.42578125" customWidth="1"/>
  </cols>
  <sheetData>
    <row r="1" spans="1:43">
      <c r="A1" s="1"/>
      <c r="B1" s="1" t="s">
        <v>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24</v>
      </c>
      <c r="O1" s="1"/>
      <c r="P1" s="1"/>
      <c r="Q1" s="1"/>
      <c r="R1" s="1"/>
      <c r="S1" s="1"/>
      <c r="T1" s="1"/>
      <c r="U1" s="1"/>
      <c r="V1" s="1"/>
      <c r="W1" s="1"/>
      <c r="X1" s="1" t="s">
        <v>25</v>
      </c>
      <c r="Y1" s="1"/>
      <c r="Z1" s="1"/>
      <c r="AA1" s="1"/>
      <c r="AB1" s="1"/>
      <c r="AC1" s="1"/>
      <c r="AD1" s="1"/>
      <c r="AE1" s="1"/>
      <c r="AF1" s="1"/>
      <c r="AG1" s="1"/>
      <c r="AH1" s="1" t="s">
        <v>26</v>
      </c>
      <c r="AI1" s="1"/>
      <c r="AJ1" s="1"/>
      <c r="AK1" s="1"/>
      <c r="AL1" s="1"/>
      <c r="AM1" s="1"/>
      <c r="AN1" s="1"/>
      <c r="AO1" s="1"/>
      <c r="AP1" s="1"/>
      <c r="AQ1" s="1"/>
    </row>
    <row r="2" spans="1:43">
      <c r="A2" s="1"/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20</v>
      </c>
      <c r="L2" s="1" t="s">
        <v>22</v>
      </c>
      <c r="M2" s="1" t="s">
        <v>23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22</v>
      </c>
      <c r="W2" s="1" t="s">
        <v>23</v>
      </c>
      <c r="X2" s="1" t="s">
        <v>10</v>
      </c>
      <c r="Y2" s="1" t="s">
        <v>11</v>
      </c>
      <c r="Z2" s="1" t="s">
        <v>12</v>
      </c>
      <c r="AA2" s="1" t="s">
        <v>13</v>
      </c>
      <c r="AB2" s="1" t="s">
        <v>14</v>
      </c>
      <c r="AC2" s="1" t="s">
        <v>15</v>
      </c>
      <c r="AD2" s="1" t="s">
        <v>16</v>
      </c>
      <c r="AE2" s="1" t="s">
        <v>17</v>
      </c>
      <c r="AF2" s="1" t="s">
        <v>22</v>
      </c>
      <c r="AG2" s="1" t="s">
        <v>23</v>
      </c>
      <c r="AH2" s="1" t="s">
        <v>10</v>
      </c>
      <c r="AI2" s="1" t="s">
        <v>11</v>
      </c>
      <c r="AJ2" s="1" t="s">
        <v>12</v>
      </c>
      <c r="AK2" s="1" t="s">
        <v>13</v>
      </c>
      <c r="AL2" s="1" t="s">
        <v>14</v>
      </c>
      <c r="AM2" s="1" t="s">
        <v>15</v>
      </c>
      <c r="AN2" s="1" t="s">
        <v>16</v>
      </c>
      <c r="AO2" s="1" t="s">
        <v>17</v>
      </c>
      <c r="AP2" s="1" t="s">
        <v>22</v>
      </c>
      <c r="AQ2" s="1" t="s">
        <v>23</v>
      </c>
    </row>
    <row r="3" spans="1:43">
      <c r="A3" s="1" t="s">
        <v>0</v>
      </c>
      <c r="B3" s="1">
        <v>0</v>
      </c>
      <c r="C3" s="1">
        <v>0</v>
      </c>
      <c r="D3" s="1">
        <v>0</v>
      </c>
      <c r="E3" s="1">
        <v>3038</v>
      </c>
      <c r="F3" s="1">
        <v>1</v>
      </c>
      <c r="G3" s="1">
        <v>0</v>
      </c>
      <c r="H3" s="1">
        <v>400</v>
      </c>
      <c r="I3" s="1">
        <v>0</v>
      </c>
      <c r="J3" s="1" t="s">
        <v>19</v>
      </c>
      <c r="K3" s="1" t="s">
        <v>21</v>
      </c>
      <c r="L3" s="1">
        <v>200</v>
      </c>
      <c r="M3" s="1">
        <v>1</v>
      </c>
      <c r="N3" s="1">
        <f>MIN($B3)</f>
        <v>0</v>
      </c>
      <c r="O3" s="1">
        <f>MIN($C3)</f>
        <v>0</v>
      </c>
      <c r="P3" s="1">
        <f>MIN($D3)</f>
        <v>0</v>
      </c>
      <c r="Q3" s="1">
        <f>MIN($E3)</f>
        <v>0</v>
      </c>
      <c r="R3" s="1">
        <f>MIN($F3)</f>
        <v>0</v>
      </c>
      <c r="S3" s="1">
        <f>MIN($G3)</f>
        <v>0</v>
      </c>
      <c r="T3" s="1">
        <f>MIN($H3)</f>
        <v>0</v>
      </c>
      <c r="U3" s="1">
        <f>MIN($I3)</f>
        <v>0</v>
      </c>
      <c r="V3" s="1">
        <f>MIN($L3)</f>
        <v>0</v>
      </c>
      <c r="W3" s="1">
        <f>MIN($M3)</f>
        <v>0</v>
      </c>
      <c r="X3" s="1">
        <f>MEDIAN($B3)</f>
        <v>0</v>
      </c>
      <c r="Y3" s="1">
        <f>MEDIAN($C3)</f>
        <v>0</v>
      </c>
      <c r="Z3" s="1">
        <f>MEDIAN($D3)</f>
        <v>0</v>
      </c>
      <c r="AA3" s="1">
        <f>MEDIAN($E3)</f>
        <v>0</v>
      </c>
      <c r="AB3" s="1">
        <f>MEDIAN($F3)</f>
        <v>0</v>
      </c>
      <c r="AC3" s="1">
        <f>MEDIAN($G3)</f>
        <v>0</v>
      </c>
      <c r="AD3" s="1">
        <f>MEDIAN($H3)</f>
        <v>0</v>
      </c>
      <c r="AE3" s="1">
        <f>MEDIAN($I3)</f>
        <v>0</v>
      </c>
      <c r="AF3" s="1">
        <f>MEDIAN($L3)</f>
        <v>0</v>
      </c>
      <c r="AG3" s="1">
        <f>MEDIAN($M3)</f>
        <v>0</v>
      </c>
      <c r="AH3" s="1">
        <f>MAX($B3)</f>
        <v>0</v>
      </c>
      <c r="AI3" s="1">
        <f>MAX($C3)</f>
        <v>0</v>
      </c>
      <c r="AJ3" s="1">
        <f>MAX($D3)</f>
        <v>0</v>
      </c>
      <c r="AK3" s="1">
        <f>MAX($E3)</f>
        <v>0</v>
      </c>
      <c r="AL3" s="1">
        <f>MAX($F3)</f>
        <v>0</v>
      </c>
      <c r="AM3" s="1">
        <f>MAX($G3)</f>
        <v>0</v>
      </c>
      <c r="AN3" s="1">
        <f>MAX($H3)</f>
        <v>0</v>
      </c>
      <c r="AO3" s="1">
        <f>MAX($I3)</f>
        <v>0</v>
      </c>
      <c r="AP3" s="1">
        <f>MAX($L3)</f>
        <v>0</v>
      </c>
      <c r="AQ3" s="1">
        <f>MAX($M3)</f>
        <v>0</v>
      </c>
    </row>
    <row r="4" spans="1:4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>
      <c r="A5" s="1" t="s">
        <v>1</v>
      </c>
      <c r="B5" s="1">
        <f>SUM(B$3:B$3)</f>
        <v>0</v>
      </c>
      <c r="C5" s="1">
        <f>SUM(C$3:C$3)</f>
        <v>0</v>
      </c>
      <c r="D5" s="1">
        <f>SUM(D$3:D$3)</f>
        <v>0</v>
      </c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/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>
        <f>SUM(R$3:R$3)</f>
        <v>0</v>
      </c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>
        <f>SUM(AM$3:AM$3)</f>
        <v>0</v>
      </c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</row>
    <row r="6" spans="1:43">
      <c r="A6" s="1" t="s">
        <v>2</v>
      </c>
      <c r="B6" s="1">
        <f>AVERAGE(B$3:B$3)</f>
        <v>0</v>
      </c>
      <c r="C6" s="1">
        <f>AVERAGE(C$3:C$3)</f>
        <v>0</v>
      </c>
      <c r="D6" s="1">
        <f>AVERAGE(D$3:D$3)</f>
        <v>0</v>
      </c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/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>
        <f>AVERAGE(R$3:R$3)</f>
        <v>0</v>
      </c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>
        <f>AVERAGE(AM$3:AM$3)</f>
        <v>0</v>
      </c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</row>
    <row r="7" spans="1:43">
      <c r="A7" s="1" t="s">
        <v>3</v>
      </c>
      <c r="B7" s="1">
        <f>STDEV(B$3:B$3)</f>
        <v>0</v>
      </c>
      <c r="C7" s="1">
        <f>STDEV(C$3:C$3)</f>
        <v>0</v>
      </c>
      <c r="D7" s="1">
        <f>STDEV(D$3:D$3)</f>
        <v>0</v>
      </c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/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>
        <f>STDEV(R$3:R$3)</f>
        <v>0</v>
      </c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>
        <f>STDEV(AM$3:AM$3)</f>
        <v>0</v>
      </c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</row>
    <row r="8" spans="1:43">
      <c r="A8" s="1" t="s">
        <v>4</v>
      </c>
      <c r="B8" s="1">
        <f>SUMPRODUCT(--(B$3:B$3-$N$3:$N$3)^2)^0.5</f>
        <v>0</v>
      </c>
      <c r="C8" s="1">
        <f>SUMPRODUCT(--(C$3:C$3-$O$3:$O$3)^2)^0.5</f>
        <v>0</v>
      </c>
      <c r="D8" s="1">
        <f>SUMPRODUCT(--(D$3:D$3-$P$3:$P$3)^2)^0.5</f>
        <v>0</v>
      </c>
      <c r="E8" s="1">
        <f>SUMPRODUCT(--(E$3:E$3-$Q$3:$Q$3)^2)^0.5</f>
        <v>0</v>
      </c>
      <c r="F8" s="1">
        <f>SUMPRODUCT(--(F$3:F$3-$R$3:$R$3)^2)^0.5</f>
        <v>0</v>
      </c>
      <c r="G8" s="1">
        <f>SUMPRODUCT(--(G$3:G$3-$S$3:$S$3)^2)^0.5</f>
        <v>0</v>
      </c>
      <c r="H8" s="1">
        <f>SUMPRODUCT(--(H$3:H$3-$T$3:$T$3)^2)^0.5</f>
        <v>0</v>
      </c>
      <c r="I8" s="1">
        <f>SUMPRODUCT(--(I$3:I$3-$U$3:$U$3)^2)^0.5</f>
        <v>0</v>
      </c>
      <c r="J8" s="1"/>
      <c r="K8" s="1"/>
      <c r="L8" s="1">
        <f>SUMPRODUCT(--(L$3:L$3-$V$3:$V$3)^2)^0.5</f>
        <v>0</v>
      </c>
      <c r="M8" s="1">
        <f>SUMPRODUCT(--(M$3:M$3-$W$3:$W$3)^2)^0.5</f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>
      <c r="A9" s="1" t="s">
        <v>5</v>
      </c>
      <c r="B9" s="1">
        <f>SUMPRODUCT(NOT(ISBLANK(B$3:B$3))*(B$3:B$3=$N$3:$N$3))</f>
        <v>0</v>
      </c>
      <c r="C9" s="1">
        <f>SUMPRODUCT(NOT(ISBLANK(C$3:C$3))*(C$3:C$3=$O$3:$O$3))</f>
        <v>0</v>
      </c>
      <c r="D9" s="1">
        <f>SUMPRODUCT(NOT(ISBLANK(D$3:D$3))*(D$3:D$3=$P$3:$P$3))</f>
        <v>0</v>
      </c>
      <c r="E9" s="1">
        <f>SUMPRODUCT(NOT(ISBLANK(E$3:E$3))*(E$3:E$3=$Q$3:$Q$3))</f>
        <v>0</v>
      </c>
      <c r="F9" s="1">
        <f>SUMPRODUCT(NOT(ISBLANK(F$3:F$3))*(F$3:F$3=$R$3:$R$3))</f>
        <v>0</v>
      </c>
      <c r="G9" s="1">
        <f>SUMPRODUCT(NOT(ISBLANK(G$3:G$3))*(G$3:G$3=$S$3:$S$3))</f>
        <v>0</v>
      </c>
      <c r="H9" s="1">
        <f>SUMPRODUCT(NOT(ISBLANK(H$3:H$3))*(H$3:H$3=$T$3:$T$3))</f>
        <v>0</v>
      </c>
      <c r="I9" s="1">
        <f>SUMPRODUCT(NOT(ISBLANK(I$3:I$3))*(I$3:I$3=$U$3:$U$3))</f>
        <v>0</v>
      </c>
      <c r="J9" s="1"/>
      <c r="K9" s="1"/>
      <c r="L9" s="1">
        <f>SUMPRODUCT(NOT(ISBLANK(L$3:L$3))*(L$3:L$3=$V$3:$V$3))</f>
        <v>0</v>
      </c>
      <c r="M9" s="1">
        <f>SUMPRODUCT(NOT(ISBLANK(M$3:M$3))*(M$3:M$3=$W$3:$W$3))</f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>
      <c r="A10" s="1" t="s">
        <v>6</v>
      </c>
      <c r="B10" s="1">
        <f>SUMPRODUCT(NOT(ISBLANK(B$3:B$3))*(B$3:B$3&lt;$X$3:$X$3))</f>
        <v>0</v>
      </c>
      <c r="C10" s="1">
        <f>SUMPRODUCT(NOT(ISBLANK(C$3:C$3))*(C$3:C$3&lt;$Y$3:$Y$3))</f>
        <v>0</v>
      </c>
      <c r="D10" s="1">
        <f>SUMPRODUCT(NOT(ISBLANK(D$3:D$3))*(D$3:D$3&lt;$Z$3:$Z$3))</f>
        <v>0</v>
      </c>
      <c r="E10" s="1">
        <f>SUMPRODUCT(NOT(ISBLANK(E$3:E$3))*(E$3:E$3&lt;$AA$3:$AA$3))</f>
        <v>0</v>
      </c>
      <c r="F10" s="1">
        <f>SUMPRODUCT(NOT(ISBLANK(F$3:F$3))*(F$3:F$3&lt;$AB$3:$AB$3))</f>
        <v>0</v>
      </c>
      <c r="G10" s="1">
        <f>SUMPRODUCT(NOT(ISBLANK(G$3:G$3))*(G$3:G$3&lt;$AC$3:$AC$3))</f>
        <v>0</v>
      </c>
      <c r="H10" s="1">
        <f>SUMPRODUCT(NOT(ISBLANK(H$3:H$3))*(H$3:H$3&lt;$AD$3:$AD$3))</f>
        <v>0</v>
      </c>
      <c r="I10" s="1">
        <f>SUMPRODUCT(NOT(ISBLANK(I$3:I$3))*(I$3:I$3&lt;$AE$3:$AE$3))</f>
        <v>0</v>
      </c>
      <c r="J10" s="1"/>
      <c r="K10" s="1"/>
      <c r="L10" s="1">
        <f>SUMPRODUCT(NOT(ISBLANK(L$3:L$3))*(L$3:L$3&lt;$AF$3:$AF$3))</f>
        <v>0</v>
      </c>
      <c r="M10" s="1">
        <f>SUMPRODUCT(NOT(ISBLANK(M$3:M$3))*(M$3:M$3&lt;$AG$3:$AG$3))</f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>
      <c r="A11" s="1" t="s">
        <v>7</v>
      </c>
      <c r="B11" s="1">
        <f>SUMPRODUCT((NOT(ISBLANK(B$3:B$3))*(B$3:B$3&gt;$X$3:$X$3))+ISBLANK(B$3:B$3))</f>
        <v>0</v>
      </c>
      <c r="C11" s="1">
        <f>SUMPRODUCT((NOT(ISBLANK(C$3:C$3))*(C$3:C$3&gt;$Y$3:$Y$3))+ISBLANK(C$3:C$3))</f>
        <v>0</v>
      </c>
      <c r="D11" s="1">
        <f>SUMPRODUCT((NOT(ISBLANK(D$3:D$3))*(D$3:D$3&gt;$Z$3:$Z$3))+ISBLANK(D$3:D$3))</f>
        <v>0</v>
      </c>
      <c r="E11" s="1">
        <f>SUMPRODUCT((NOT(ISBLANK(E$3:E$3))*(E$3:E$3&gt;$AA$3:$AA$3))+ISBLANK(E$3:E$3))</f>
        <v>0</v>
      </c>
      <c r="F11" s="1">
        <f>SUMPRODUCT((NOT(ISBLANK(F$3:F$3))*(F$3:F$3&gt;$AB$3:$AB$3))+ISBLANK(F$3:F$3))</f>
        <v>0</v>
      </c>
      <c r="G11" s="1">
        <f>SUMPRODUCT((NOT(ISBLANK(G$3:G$3))*(G$3:G$3&gt;$AC$3:$AC$3))+ISBLANK(G$3:G$3))</f>
        <v>0</v>
      </c>
      <c r="H11" s="1">
        <f>SUMPRODUCT((NOT(ISBLANK(H$3:H$3))*(H$3:H$3&gt;$AD$3:$AD$3))+ISBLANK(H$3:H$3))</f>
        <v>0</v>
      </c>
      <c r="I11" s="1">
        <f>SUMPRODUCT((NOT(ISBLANK(I$3:I$3))*(I$3:I$3&gt;$AE$3:$AE$3))+ISBLANK(I$3:I$3))</f>
        <v>0</v>
      </c>
      <c r="J11" s="1"/>
      <c r="K11" s="1"/>
      <c r="L11" s="1">
        <f>SUMPRODUCT((NOT(ISBLANK(L$3:L$3))*(L$3:L$3&gt;$AF$3:$AF$3))+ISBLANK(L$3:L$3))</f>
        <v>0</v>
      </c>
      <c r="M11" s="1">
        <f>SUMPRODUCT((NOT(ISBLANK(M$3:M$3))*(M$3:M$3&gt;$AG$3:$AG$3))+ISBLANK(M$3:M$3))</f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>
      <c r="A12" s="1" t="s">
        <v>8</v>
      </c>
      <c r="B12" s="1">
        <f>SUMPRODUCT((NOT(ISBLANK(B$3:B$3))*(B$3:B$3=$AH$3:$AH$3))+ISBLANK(B$3:B$3))</f>
        <v>0</v>
      </c>
      <c r="C12" s="1">
        <f>SUMPRODUCT((NOT(ISBLANK(C$3:C$3))*(C$3:C$3=$AI$3:$AI$3))+ISBLANK(C$3:C$3))</f>
        <v>0</v>
      </c>
      <c r="D12" s="1">
        <f>SUMPRODUCT((NOT(ISBLANK(D$3:D$3))*(D$3:D$3=$AJ$3:$AJ$3))+ISBLANK(D$3:D$3))</f>
        <v>0</v>
      </c>
      <c r="E12" s="1">
        <f>SUMPRODUCT((NOT(ISBLANK(E$3:E$3))*(E$3:E$3=$AK$3:$AK$3))+ISBLANK(E$3:E$3))</f>
        <v>0</v>
      </c>
      <c r="F12" s="1">
        <f>SUMPRODUCT((NOT(ISBLANK(F$3:F$3))*(F$3:F$3=$AL$3:$AL$3))+ISBLANK(F$3:F$3))</f>
        <v>0</v>
      </c>
      <c r="G12" s="1">
        <f>SUMPRODUCT((NOT(ISBLANK(G$3:G$3))*(G$3:G$3=$AM$3:$AM$3))+ISBLANK(G$3:G$3))</f>
        <v>0</v>
      </c>
      <c r="H12" s="1">
        <f>SUMPRODUCT((NOT(ISBLANK(H$3:H$3))*(H$3:H$3=$AN$3:$AN$3))+ISBLANK(H$3:H$3))</f>
        <v>0</v>
      </c>
      <c r="I12" s="1">
        <f>SUMPRODUCT((NOT(ISBLANK(I$3:I$3))*(I$3:I$3=$AO$3:$AO$3))+ISBLANK(I$3:I$3))</f>
        <v>0</v>
      </c>
      <c r="J12" s="1"/>
      <c r="K12" s="1"/>
      <c r="L12" s="1">
        <f>SUMPRODUCT((NOT(ISBLANK(L$3:L$3))*(L$3:L$3=$AP$3:$AP$3))+ISBLANK(L$3:L$3))</f>
        <v>0</v>
      </c>
      <c r="M12" s="1">
        <f>SUMPRODUCT((NOT(ISBLANK(M$3:M$3))*(M$3:M$3=$AQ$3:$AQ$3))+ISBLANK(M$3:M$3))</f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0" customWidth="1"/>
    <col min="2" max="43" width="11.42578125" customWidth="1"/>
  </cols>
  <sheetData>
    <row r="1" spans="1:43">
      <c r="A1" s="1" t="s">
        <v>27</v>
      </c>
      <c r="B1" s="1" t="s">
        <v>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24</v>
      </c>
      <c r="O1" s="1"/>
      <c r="P1" s="1"/>
      <c r="Q1" s="1"/>
      <c r="R1" s="1"/>
      <c r="S1" s="1"/>
      <c r="T1" s="1"/>
      <c r="U1" s="1"/>
      <c r="V1" s="1"/>
      <c r="W1" s="1"/>
      <c r="X1" s="1" t="s">
        <v>25</v>
      </c>
      <c r="Y1" s="1"/>
      <c r="Z1" s="1"/>
      <c r="AA1" s="1"/>
      <c r="AB1" s="1"/>
      <c r="AC1" s="1"/>
      <c r="AD1" s="1"/>
      <c r="AE1" s="1"/>
      <c r="AF1" s="1"/>
      <c r="AG1" s="1"/>
      <c r="AH1" s="1" t="s">
        <v>26</v>
      </c>
      <c r="AI1" s="1"/>
      <c r="AJ1" s="1"/>
      <c r="AK1" s="1"/>
      <c r="AL1" s="1"/>
      <c r="AM1" s="1"/>
      <c r="AN1" s="1"/>
      <c r="AO1" s="1"/>
      <c r="AP1" s="1"/>
      <c r="AQ1" s="1"/>
    </row>
    <row r="2" spans="1:43">
      <c r="A2" s="2" t="s">
        <v>25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20</v>
      </c>
      <c r="L2" s="1" t="s">
        <v>22</v>
      </c>
      <c r="M2" s="1" t="s">
        <v>23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22</v>
      </c>
      <c r="W2" s="1" t="s">
        <v>23</v>
      </c>
      <c r="X2" s="1" t="s">
        <v>10</v>
      </c>
      <c r="Y2" s="1" t="s">
        <v>11</v>
      </c>
      <c r="Z2" s="1" t="s">
        <v>12</v>
      </c>
      <c r="AA2" s="1" t="s">
        <v>13</v>
      </c>
      <c r="AB2" s="1" t="s">
        <v>14</v>
      </c>
      <c r="AC2" s="1" t="s">
        <v>15</v>
      </c>
      <c r="AD2" s="1" t="s">
        <v>16</v>
      </c>
      <c r="AE2" s="1" t="s">
        <v>17</v>
      </c>
      <c r="AF2" s="1" t="s">
        <v>22</v>
      </c>
      <c r="AG2" s="1" t="s">
        <v>23</v>
      </c>
      <c r="AH2" s="1" t="s">
        <v>10</v>
      </c>
      <c r="AI2" s="1" t="s">
        <v>11</v>
      </c>
      <c r="AJ2" s="1" t="s">
        <v>12</v>
      </c>
      <c r="AK2" s="1" t="s">
        <v>13</v>
      </c>
      <c r="AL2" s="1" t="s">
        <v>14</v>
      </c>
      <c r="AM2" s="1" t="s">
        <v>15</v>
      </c>
      <c r="AN2" s="1" t="s">
        <v>16</v>
      </c>
      <c r="AO2" s="1" t="s">
        <v>17</v>
      </c>
      <c r="AP2" s="1" t="s">
        <v>22</v>
      </c>
      <c r="AQ2" s="1" t="s">
        <v>23</v>
      </c>
    </row>
    <row r="3" spans="1:4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/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>
        <f>MIN($B3)</f>
        <v>0</v>
      </c>
      <c r="O3" s="1">
        <f>MIN($C3)</f>
        <v>0</v>
      </c>
      <c r="P3" s="1">
        <f>MIN($D3)</f>
        <v>0</v>
      </c>
      <c r="Q3" s="1">
        <f>MIN($E3)</f>
        <v>0</v>
      </c>
      <c r="R3" s="1">
        <f>MIN($F3)</f>
        <v>0</v>
      </c>
      <c r="S3" s="1">
        <f>MIN($G3)</f>
        <v>0</v>
      </c>
      <c r="T3" s="1">
        <f>MIN($H3)</f>
        <v>0</v>
      </c>
      <c r="U3" s="1">
        <f>MIN($I3)</f>
        <v>0</v>
      </c>
      <c r="V3" s="1">
        <f>MIN($L3)</f>
        <v>0</v>
      </c>
      <c r="W3" s="1">
        <f>MIN($M3)</f>
        <v>0</v>
      </c>
      <c r="X3" s="1">
        <f>MEDIAN($B3)</f>
        <v>0</v>
      </c>
      <c r="Y3" s="1">
        <f>MEDIAN($C3)</f>
        <v>0</v>
      </c>
      <c r="Z3" s="1">
        <f>MEDIAN($D3)</f>
        <v>0</v>
      </c>
      <c r="AA3" s="1">
        <f>MEDIAN($E3)</f>
        <v>0</v>
      </c>
      <c r="AB3" s="1">
        <f>MEDIAN($F3)</f>
        <v>0</v>
      </c>
      <c r="AC3" s="1">
        <f>MEDIAN($G3)</f>
        <v>0</v>
      </c>
      <c r="AD3" s="1">
        <f>MEDIAN($H3)</f>
        <v>0</v>
      </c>
      <c r="AE3" s="1">
        <f>MEDIAN($I3)</f>
        <v>0</v>
      </c>
      <c r="AF3" s="1">
        <f>MEDIAN($L3)</f>
        <v>0</v>
      </c>
      <c r="AG3" s="1">
        <f>MEDIAN($M3)</f>
        <v>0</v>
      </c>
      <c r="AH3" s="1">
        <f>MAX($B3)</f>
        <v>0</v>
      </c>
      <c r="AI3" s="1">
        <f>MAX($C3)</f>
        <v>0</v>
      </c>
      <c r="AJ3" s="1">
        <f>MAX($D3)</f>
        <v>0</v>
      </c>
      <c r="AK3" s="1">
        <f>MAX($E3)</f>
        <v>0</v>
      </c>
      <c r="AL3" s="1">
        <f>MAX($F3)</f>
        <v>0</v>
      </c>
      <c r="AM3" s="1">
        <f>MAX($G3)</f>
        <v>0</v>
      </c>
      <c r="AN3" s="1">
        <f>MAX($H3)</f>
        <v>0</v>
      </c>
      <c r="AO3" s="1">
        <f>MAX($I3)</f>
        <v>0</v>
      </c>
      <c r="AP3" s="1">
        <f>MAX($L3)</f>
        <v>0</v>
      </c>
      <c r="AQ3" s="1">
        <f>MAX($M3)</f>
        <v>0</v>
      </c>
    </row>
    <row r="4" spans="1:4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>
      <c r="A5" s="1" t="s">
        <v>1</v>
      </c>
      <c r="B5" s="1">
        <f>SUM(B$3:B$3)</f>
        <v>0</v>
      </c>
      <c r="C5" s="1">
        <f>SUM(C$3:C$3)</f>
        <v>0</v>
      </c>
      <c r="D5" s="1">
        <f>SUM(D$3:D$3)</f>
        <v>0</v>
      </c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/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>
        <f>SUM(R$3:R$3)</f>
        <v>0</v>
      </c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>
        <f>SUM(AM$3:AM$3)</f>
        <v>0</v>
      </c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</row>
    <row r="6" spans="1:43">
      <c r="A6" s="1" t="s">
        <v>2</v>
      </c>
      <c r="B6" s="1">
        <f>AVERAGE(B$3:B$3)</f>
        <v>0</v>
      </c>
      <c r="C6" s="1">
        <f>AVERAGE(C$3:C$3)</f>
        <v>0</v>
      </c>
      <c r="D6" s="1">
        <f>AVERAGE(D$3:D$3)</f>
        <v>0</v>
      </c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/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>
        <f>AVERAGE(R$3:R$3)</f>
        <v>0</v>
      </c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>
        <f>AVERAGE(AM$3:AM$3)</f>
        <v>0</v>
      </c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</row>
    <row r="7" spans="1:43">
      <c r="A7" s="1" t="s">
        <v>3</v>
      </c>
      <c r="B7" s="1">
        <f>STDEV(B$3:B$3)</f>
        <v>0</v>
      </c>
      <c r="C7" s="1">
        <f>STDEV(C$3:C$3)</f>
        <v>0</v>
      </c>
      <c r="D7" s="1">
        <f>STDEV(D$3:D$3)</f>
        <v>0</v>
      </c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/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>
        <f>STDEV(R$3:R$3)</f>
        <v>0</v>
      </c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>
        <f>STDEV(AM$3:AM$3)</f>
        <v>0</v>
      </c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</row>
    <row r="8" spans="1:43">
      <c r="A8" s="1" t="s">
        <v>4</v>
      </c>
      <c r="B8" s="1">
        <f>SUMPRODUCT(--(B$3:B$3-$N$3:$N$3)^2)^0.5</f>
        <v>0</v>
      </c>
      <c r="C8" s="1">
        <f>SUMPRODUCT(--(C$3:C$3-$O$3:$O$3)^2)^0.5</f>
        <v>0</v>
      </c>
      <c r="D8" s="1">
        <f>SUMPRODUCT(--(D$3:D$3-$P$3:$P$3)^2)^0.5</f>
        <v>0</v>
      </c>
      <c r="E8" s="1">
        <f>SUMPRODUCT(--(E$3:E$3-$Q$3:$Q$3)^2)^0.5</f>
        <v>0</v>
      </c>
      <c r="F8" s="1">
        <f>SUMPRODUCT(--(F$3:F$3-$R$3:$R$3)^2)^0.5</f>
        <v>0</v>
      </c>
      <c r="G8" s="1">
        <f>SUMPRODUCT(--(G$3:G$3-$S$3:$S$3)^2)^0.5</f>
        <v>0</v>
      </c>
      <c r="H8" s="1">
        <f>SUMPRODUCT(--(H$3:H$3-$T$3:$T$3)^2)^0.5</f>
        <v>0</v>
      </c>
      <c r="I8" s="1">
        <f>SUMPRODUCT(--(I$3:I$3-$U$3:$U$3)^2)^0.5</f>
        <v>0</v>
      </c>
      <c r="J8" s="1"/>
      <c r="K8" s="1"/>
      <c r="L8" s="1">
        <f>SUMPRODUCT(--(L$3:L$3-$V$3:$V$3)^2)^0.5</f>
        <v>0</v>
      </c>
      <c r="M8" s="1">
        <f>SUMPRODUCT(--(M$3:M$3-$W$3:$W$3)^2)^0.5</f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>
      <c r="A9" s="1" t="s">
        <v>5</v>
      </c>
      <c r="B9" s="1">
        <f>SUMPRODUCT(NOT(ISBLANK(B$3:B$3))*(B$3:B$3=$N$3:$N$3))</f>
        <v>0</v>
      </c>
      <c r="C9" s="1">
        <f>SUMPRODUCT(NOT(ISBLANK(C$3:C$3))*(C$3:C$3=$O$3:$O$3))</f>
        <v>0</v>
      </c>
      <c r="D9" s="1">
        <f>SUMPRODUCT(NOT(ISBLANK(D$3:D$3))*(D$3:D$3=$P$3:$P$3))</f>
        <v>0</v>
      </c>
      <c r="E9" s="1">
        <f>SUMPRODUCT(NOT(ISBLANK(E$3:E$3))*(E$3:E$3=$Q$3:$Q$3))</f>
        <v>0</v>
      </c>
      <c r="F9" s="1">
        <f>SUMPRODUCT(NOT(ISBLANK(F$3:F$3))*(F$3:F$3=$R$3:$R$3))</f>
        <v>0</v>
      </c>
      <c r="G9" s="1">
        <f>SUMPRODUCT(NOT(ISBLANK(G$3:G$3))*(G$3:G$3=$S$3:$S$3))</f>
        <v>0</v>
      </c>
      <c r="H9" s="1">
        <f>SUMPRODUCT(NOT(ISBLANK(H$3:H$3))*(H$3:H$3=$T$3:$T$3))</f>
        <v>0</v>
      </c>
      <c r="I9" s="1">
        <f>SUMPRODUCT(NOT(ISBLANK(I$3:I$3))*(I$3:I$3=$U$3:$U$3))</f>
        <v>0</v>
      </c>
      <c r="J9" s="1"/>
      <c r="K9" s="1"/>
      <c r="L9" s="1">
        <f>SUMPRODUCT(NOT(ISBLANK(L$3:L$3))*(L$3:L$3=$V$3:$V$3))</f>
        <v>0</v>
      </c>
      <c r="M9" s="1">
        <f>SUMPRODUCT(NOT(ISBLANK(M$3:M$3))*(M$3:M$3=$W$3:$W$3))</f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>
      <c r="A10" s="1" t="s">
        <v>6</v>
      </c>
      <c r="B10" s="1">
        <f>SUMPRODUCT(NOT(ISBLANK(B$3:B$3))*(B$3:B$3&lt;$X$3:$X$3))</f>
        <v>0</v>
      </c>
      <c r="C10" s="1">
        <f>SUMPRODUCT(NOT(ISBLANK(C$3:C$3))*(C$3:C$3&lt;$Y$3:$Y$3))</f>
        <v>0</v>
      </c>
      <c r="D10" s="1">
        <f>SUMPRODUCT(NOT(ISBLANK(D$3:D$3))*(D$3:D$3&lt;$Z$3:$Z$3))</f>
        <v>0</v>
      </c>
      <c r="E10" s="1">
        <f>SUMPRODUCT(NOT(ISBLANK(E$3:E$3))*(E$3:E$3&lt;$AA$3:$AA$3))</f>
        <v>0</v>
      </c>
      <c r="F10" s="1">
        <f>SUMPRODUCT(NOT(ISBLANK(F$3:F$3))*(F$3:F$3&lt;$AB$3:$AB$3))</f>
        <v>0</v>
      </c>
      <c r="G10" s="1">
        <f>SUMPRODUCT(NOT(ISBLANK(G$3:G$3))*(G$3:G$3&lt;$AC$3:$AC$3))</f>
        <v>0</v>
      </c>
      <c r="H10" s="1">
        <f>SUMPRODUCT(NOT(ISBLANK(H$3:H$3))*(H$3:H$3&lt;$AD$3:$AD$3))</f>
        <v>0</v>
      </c>
      <c r="I10" s="1">
        <f>SUMPRODUCT(NOT(ISBLANK(I$3:I$3))*(I$3:I$3&lt;$AE$3:$AE$3))</f>
        <v>0</v>
      </c>
      <c r="J10" s="1"/>
      <c r="K10" s="1"/>
      <c r="L10" s="1">
        <f>SUMPRODUCT(NOT(ISBLANK(L$3:L$3))*(L$3:L$3&lt;$AF$3:$AF$3))</f>
        <v>0</v>
      </c>
      <c r="M10" s="1">
        <f>SUMPRODUCT(NOT(ISBLANK(M$3:M$3))*(M$3:M$3&lt;$AG$3:$AG$3))</f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>
      <c r="A11" s="1" t="s">
        <v>7</v>
      </c>
      <c r="B11" s="1">
        <f>SUMPRODUCT((NOT(ISBLANK(B$3:B$3))*(B$3:B$3&gt;$X$3:$X$3))+ISBLANK(B$3:B$3))</f>
        <v>0</v>
      </c>
      <c r="C11" s="1">
        <f>SUMPRODUCT((NOT(ISBLANK(C$3:C$3))*(C$3:C$3&gt;$Y$3:$Y$3))+ISBLANK(C$3:C$3))</f>
        <v>0</v>
      </c>
      <c r="D11" s="1">
        <f>SUMPRODUCT((NOT(ISBLANK(D$3:D$3))*(D$3:D$3&gt;$Z$3:$Z$3))+ISBLANK(D$3:D$3))</f>
        <v>0</v>
      </c>
      <c r="E11" s="1">
        <f>SUMPRODUCT((NOT(ISBLANK(E$3:E$3))*(E$3:E$3&gt;$AA$3:$AA$3))+ISBLANK(E$3:E$3))</f>
        <v>0</v>
      </c>
      <c r="F11" s="1">
        <f>SUMPRODUCT((NOT(ISBLANK(F$3:F$3))*(F$3:F$3&gt;$AB$3:$AB$3))+ISBLANK(F$3:F$3))</f>
        <v>0</v>
      </c>
      <c r="G11" s="1">
        <f>SUMPRODUCT((NOT(ISBLANK(G$3:G$3))*(G$3:G$3&gt;$AC$3:$AC$3))+ISBLANK(G$3:G$3))</f>
        <v>0</v>
      </c>
      <c r="H11" s="1">
        <f>SUMPRODUCT((NOT(ISBLANK(H$3:H$3))*(H$3:H$3&gt;$AD$3:$AD$3))+ISBLANK(H$3:H$3))</f>
        <v>0</v>
      </c>
      <c r="I11" s="1">
        <f>SUMPRODUCT((NOT(ISBLANK(I$3:I$3))*(I$3:I$3&gt;$AE$3:$AE$3))+ISBLANK(I$3:I$3))</f>
        <v>0</v>
      </c>
      <c r="J11" s="1"/>
      <c r="K11" s="1"/>
      <c r="L11" s="1">
        <f>SUMPRODUCT((NOT(ISBLANK(L$3:L$3))*(L$3:L$3&gt;$AF$3:$AF$3))+ISBLANK(L$3:L$3))</f>
        <v>0</v>
      </c>
      <c r="M11" s="1">
        <f>SUMPRODUCT((NOT(ISBLANK(M$3:M$3))*(M$3:M$3&gt;$AG$3:$AG$3))+ISBLANK(M$3:M$3))</f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>
      <c r="A12" s="1" t="s">
        <v>8</v>
      </c>
      <c r="B12" s="1">
        <f>SUMPRODUCT((NOT(ISBLANK(B$3:B$3))*(B$3:B$3=$AH$3:$AH$3))+ISBLANK(B$3:B$3))</f>
        <v>0</v>
      </c>
      <c r="C12" s="1">
        <f>SUMPRODUCT((NOT(ISBLANK(C$3:C$3))*(C$3:C$3=$AI$3:$AI$3))+ISBLANK(C$3:C$3))</f>
        <v>0</v>
      </c>
      <c r="D12" s="1">
        <f>SUMPRODUCT((NOT(ISBLANK(D$3:D$3))*(D$3:D$3=$AJ$3:$AJ$3))+ISBLANK(D$3:D$3))</f>
        <v>0</v>
      </c>
      <c r="E12" s="1">
        <f>SUMPRODUCT((NOT(ISBLANK(E$3:E$3))*(E$3:E$3=$AK$3:$AK$3))+ISBLANK(E$3:E$3))</f>
        <v>0</v>
      </c>
      <c r="F12" s="1">
        <f>SUMPRODUCT((NOT(ISBLANK(F$3:F$3))*(F$3:F$3=$AL$3:$AL$3))+ISBLANK(F$3:F$3))</f>
        <v>0</v>
      </c>
      <c r="G12" s="1">
        <f>SUMPRODUCT((NOT(ISBLANK(G$3:G$3))*(G$3:G$3=$AM$3:$AM$3))+ISBLANK(G$3:G$3))</f>
        <v>0</v>
      </c>
      <c r="H12" s="1">
        <f>SUMPRODUCT((NOT(ISBLANK(H$3:H$3))*(H$3:H$3=$AN$3:$AN$3))+ISBLANK(H$3:H$3))</f>
        <v>0</v>
      </c>
      <c r="I12" s="1">
        <f>SUMPRODUCT((NOT(ISBLANK(I$3:I$3))*(I$3:I$3=$AO$3:$AO$3))+ISBLANK(I$3:I$3))</f>
        <v>0</v>
      </c>
      <c r="J12" s="1"/>
      <c r="K12" s="1"/>
      <c r="L12" s="1">
        <f>SUMPRODUCT((NOT(ISBLANK(L$3:L$3))*(L$3:L$3=$AP$3:$AP$3))+ISBLANK(L$3:L$3))</f>
        <v>0</v>
      </c>
      <c r="M12" s="1">
        <f>SUMPRODUCT((NOT(ISBLANK(M$3:M$3))*(M$3:M$3=$AQ$3:$AQ$3))+ISBLANK(M$3:M$3))</f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43" width="11.42578125" customWidth="1"/>
  </cols>
  <sheetData>
    <row r="1" spans="1:43">
      <c r="A1" s="1"/>
      <c r="B1" s="1" t="s">
        <v>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24</v>
      </c>
      <c r="O1" s="1"/>
      <c r="P1" s="1"/>
      <c r="Q1" s="1"/>
      <c r="R1" s="1"/>
      <c r="S1" s="1"/>
      <c r="T1" s="1"/>
      <c r="U1" s="1"/>
      <c r="V1" s="1"/>
      <c r="W1" s="1"/>
      <c r="X1" s="1" t="s">
        <v>25</v>
      </c>
      <c r="Y1" s="1"/>
      <c r="Z1" s="1"/>
      <c r="AA1" s="1"/>
      <c r="AB1" s="1"/>
      <c r="AC1" s="1"/>
      <c r="AD1" s="1"/>
      <c r="AE1" s="1"/>
      <c r="AF1" s="1"/>
      <c r="AG1" s="1"/>
      <c r="AH1" s="1" t="s">
        <v>26</v>
      </c>
      <c r="AI1" s="1"/>
      <c r="AJ1" s="1"/>
      <c r="AK1" s="1"/>
      <c r="AL1" s="1"/>
      <c r="AM1" s="1"/>
      <c r="AN1" s="1"/>
      <c r="AO1" s="1"/>
      <c r="AP1" s="1"/>
      <c r="AQ1" s="1"/>
    </row>
    <row r="2" spans="1:43">
      <c r="A2" s="1"/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20</v>
      </c>
      <c r="L2" s="1" t="s">
        <v>22</v>
      </c>
      <c r="M2" s="1" t="s">
        <v>23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22</v>
      </c>
      <c r="W2" s="1" t="s">
        <v>23</v>
      </c>
      <c r="X2" s="1" t="s">
        <v>10</v>
      </c>
      <c r="Y2" s="1" t="s">
        <v>11</v>
      </c>
      <c r="Z2" s="1" t="s">
        <v>12</v>
      </c>
      <c r="AA2" s="1" t="s">
        <v>13</v>
      </c>
      <c r="AB2" s="1" t="s">
        <v>14</v>
      </c>
      <c r="AC2" s="1" t="s">
        <v>15</v>
      </c>
      <c r="AD2" s="1" t="s">
        <v>16</v>
      </c>
      <c r="AE2" s="1" t="s">
        <v>17</v>
      </c>
      <c r="AF2" s="1" t="s">
        <v>22</v>
      </c>
      <c r="AG2" s="1" t="s">
        <v>23</v>
      </c>
      <c r="AH2" s="1" t="s">
        <v>10</v>
      </c>
      <c r="AI2" s="1" t="s">
        <v>11</v>
      </c>
      <c r="AJ2" s="1" t="s">
        <v>12</v>
      </c>
      <c r="AK2" s="1" t="s">
        <v>13</v>
      </c>
      <c r="AL2" s="1" t="s">
        <v>14</v>
      </c>
      <c r="AM2" s="1" t="s">
        <v>15</v>
      </c>
      <c r="AN2" s="1" t="s">
        <v>16</v>
      </c>
      <c r="AO2" s="1" t="s">
        <v>17</v>
      </c>
      <c r="AP2" s="1" t="s">
        <v>22</v>
      </c>
      <c r="AQ2" s="1" t="s">
        <v>23</v>
      </c>
    </row>
    <row r="3" spans="1:43">
      <c r="A3" s="1" t="s">
        <v>28</v>
      </c>
      <c r="B3" s="1">
        <f>AVERAGE(Instances!B3:Instances!B3)</f>
        <v>0</v>
      </c>
      <c r="C3" s="1">
        <f>AVERAGE(Instances!C3:Instances!C3)</f>
        <v>0</v>
      </c>
      <c r="D3" s="1">
        <f>AVERAGE(Instances!D3:Instances!D3)</f>
        <v>0</v>
      </c>
      <c r="E3" s="1">
        <f>AVERAGE(Instances!E3:Instances!E3)</f>
        <v>0</v>
      </c>
      <c r="F3" s="1">
        <f>AVERAGE(Instances!F3:Instances!F3)</f>
        <v>0</v>
      </c>
      <c r="G3" s="1">
        <f>AVERAGE(Instances!G3:Instances!G3)</f>
        <v>0</v>
      </c>
      <c r="H3" s="1">
        <f>AVERAGE(Instances!H3:Instances!H3)</f>
        <v>0</v>
      </c>
      <c r="I3" s="1">
        <f>AVERAGE(Instances!I3:Instances!I3)</f>
        <v>0</v>
      </c>
      <c r="J3" s="1"/>
      <c r="K3" s="1"/>
      <c r="L3" s="1">
        <f>AVERAGE(Instances!L3:Instances!L3)</f>
        <v>0</v>
      </c>
      <c r="M3" s="1">
        <f>SUM(Instances!M3:Instances!M3)</f>
        <v>0</v>
      </c>
      <c r="N3" s="1">
        <f>MIN($B3)</f>
        <v>0</v>
      </c>
      <c r="O3" s="1">
        <f>MIN($C3)</f>
        <v>0</v>
      </c>
      <c r="P3" s="1">
        <f>MIN($D3)</f>
        <v>0</v>
      </c>
      <c r="Q3" s="1">
        <f>MIN($E3)</f>
        <v>0</v>
      </c>
      <c r="R3" s="1">
        <f>MIN($F3)</f>
        <v>0</v>
      </c>
      <c r="S3" s="1">
        <f>MIN($G3)</f>
        <v>0</v>
      </c>
      <c r="T3" s="1">
        <f>MIN($H3)</f>
        <v>0</v>
      </c>
      <c r="U3" s="1">
        <f>MIN($I3)</f>
        <v>0</v>
      </c>
      <c r="V3" s="1">
        <f>MIN($L3)</f>
        <v>0</v>
      </c>
      <c r="W3" s="1">
        <f>MIN($M3)</f>
        <v>0</v>
      </c>
      <c r="X3" s="1">
        <f>MEDIAN($B3)</f>
        <v>0</v>
      </c>
      <c r="Y3" s="1">
        <f>MEDIAN($C3)</f>
        <v>0</v>
      </c>
      <c r="Z3" s="1">
        <f>MEDIAN($D3)</f>
        <v>0</v>
      </c>
      <c r="AA3" s="1">
        <f>MEDIAN($E3)</f>
        <v>0</v>
      </c>
      <c r="AB3" s="1">
        <f>MEDIAN($F3)</f>
        <v>0</v>
      </c>
      <c r="AC3" s="1">
        <f>MEDIAN($G3)</f>
        <v>0</v>
      </c>
      <c r="AD3" s="1">
        <f>MEDIAN($H3)</f>
        <v>0</v>
      </c>
      <c r="AE3" s="1">
        <f>MEDIAN($I3)</f>
        <v>0</v>
      </c>
      <c r="AF3" s="1">
        <f>MEDIAN($L3)</f>
        <v>0</v>
      </c>
      <c r="AG3" s="1">
        <f>MEDIAN($M3)</f>
        <v>0</v>
      </c>
      <c r="AH3" s="1">
        <f>MAX($B3)</f>
        <v>0</v>
      </c>
      <c r="AI3" s="1">
        <f>MAX($C3)</f>
        <v>0</v>
      </c>
      <c r="AJ3" s="1">
        <f>MAX($D3)</f>
        <v>0</v>
      </c>
      <c r="AK3" s="1">
        <f>MAX($E3)</f>
        <v>0</v>
      </c>
      <c r="AL3" s="1">
        <f>MAX($F3)</f>
        <v>0</v>
      </c>
      <c r="AM3" s="1">
        <f>MAX($G3)</f>
        <v>0</v>
      </c>
      <c r="AN3" s="1">
        <f>MAX($H3)</f>
        <v>0</v>
      </c>
      <c r="AO3" s="1">
        <f>MAX($I3)</f>
        <v>0</v>
      </c>
      <c r="AP3" s="1">
        <f>MAX($L3)</f>
        <v>0</v>
      </c>
      <c r="AQ3" s="1">
        <f>MAX($M3)</f>
        <v>0</v>
      </c>
    </row>
    <row r="4" spans="1:4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>
      <c r="A5" s="1" t="s">
        <v>1</v>
      </c>
      <c r="B5" s="1">
        <f>SUM(B$3:B$3)</f>
        <v>0</v>
      </c>
      <c r="C5" s="1">
        <f>SUM(C$3:C$3)</f>
        <v>0</v>
      </c>
      <c r="D5" s="1">
        <f>SUM(D$3:D$3)</f>
        <v>0</v>
      </c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/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>
        <f>SUM(R$3:R$3)</f>
        <v>0</v>
      </c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>
        <f>SUM(AM$3:AM$3)</f>
        <v>0</v>
      </c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</row>
    <row r="6" spans="1:43">
      <c r="A6" s="1" t="s">
        <v>2</v>
      </c>
      <c r="B6" s="1">
        <f>AVERAGE(B$3:B$3)</f>
        <v>0</v>
      </c>
      <c r="C6" s="1">
        <f>AVERAGE(C$3:C$3)</f>
        <v>0</v>
      </c>
      <c r="D6" s="1">
        <f>AVERAGE(D$3:D$3)</f>
        <v>0</v>
      </c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/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>
        <f>AVERAGE(R$3:R$3)</f>
        <v>0</v>
      </c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>
        <f>AVERAGE(AM$3:AM$3)</f>
        <v>0</v>
      </c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</row>
    <row r="7" spans="1:43">
      <c r="A7" s="1" t="s">
        <v>3</v>
      </c>
      <c r="B7" s="1">
        <f>STDEV(B$3:B$3)</f>
        <v>0</v>
      </c>
      <c r="C7" s="1">
        <f>STDEV(C$3:C$3)</f>
        <v>0</v>
      </c>
      <c r="D7" s="1">
        <f>STDEV(D$3:D$3)</f>
        <v>0</v>
      </c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/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>
        <f>STDEV(R$3:R$3)</f>
        <v>0</v>
      </c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>
        <f>STDEV(AM$3:AM$3)</f>
        <v>0</v>
      </c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</row>
    <row r="8" spans="1:43">
      <c r="A8" s="1" t="s">
        <v>4</v>
      </c>
      <c r="B8" s="1">
        <f>SUMPRODUCT(--(B$3:B$3-$N$3:$N$3)^2)^0.5</f>
        <v>0</v>
      </c>
      <c r="C8" s="1">
        <f>SUMPRODUCT(--(C$3:C$3-$O$3:$O$3)^2)^0.5</f>
        <v>0</v>
      </c>
      <c r="D8" s="1">
        <f>SUMPRODUCT(--(D$3:D$3-$P$3:$P$3)^2)^0.5</f>
        <v>0</v>
      </c>
      <c r="E8" s="1">
        <f>SUMPRODUCT(--(E$3:E$3-$Q$3:$Q$3)^2)^0.5</f>
        <v>0</v>
      </c>
      <c r="F8" s="1">
        <f>SUMPRODUCT(--(F$3:F$3-$R$3:$R$3)^2)^0.5</f>
        <v>0</v>
      </c>
      <c r="G8" s="1">
        <f>SUMPRODUCT(--(G$3:G$3-$S$3:$S$3)^2)^0.5</f>
        <v>0</v>
      </c>
      <c r="H8" s="1">
        <f>SUMPRODUCT(--(H$3:H$3-$T$3:$T$3)^2)^0.5</f>
        <v>0</v>
      </c>
      <c r="I8" s="1">
        <f>SUMPRODUCT(--(I$3:I$3-$U$3:$U$3)^2)^0.5</f>
        <v>0</v>
      </c>
      <c r="J8" s="1"/>
      <c r="K8" s="1"/>
      <c r="L8" s="1">
        <f>SUMPRODUCT(--(L$3:L$3-$V$3:$V$3)^2)^0.5</f>
        <v>0</v>
      </c>
      <c r="M8" s="1">
        <f>SUMPRODUCT(--(M$3:M$3-$W$3:$W$3)^2)^0.5</f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>
      <c r="A9" s="1" t="s">
        <v>5</v>
      </c>
      <c r="B9" s="1">
        <f>SUMPRODUCT(NOT(ISBLANK(B$3:B$3))*(B$3:B$3=$N$3:$N$3))</f>
        <v>0</v>
      </c>
      <c r="C9" s="1">
        <f>SUMPRODUCT(NOT(ISBLANK(C$3:C$3))*(C$3:C$3=$O$3:$O$3))</f>
        <v>0</v>
      </c>
      <c r="D9" s="1">
        <f>SUMPRODUCT(NOT(ISBLANK(D$3:D$3))*(D$3:D$3=$P$3:$P$3))</f>
        <v>0</v>
      </c>
      <c r="E9" s="1">
        <f>SUMPRODUCT(NOT(ISBLANK(E$3:E$3))*(E$3:E$3=$Q$3:$Q$3))</f>
        <v>0</v>
      </c>
      <c r="F9" s="1">
        <f>SUMPRODUCT(NOT(ISBLANK(F$3:F$3))*(F$3:F$3=$R$3:$R$3))</f>
        <v>0</v>
      </c>
      <c r="G9" s="1">
        <f>SUMPRODUCT(NOT(ISBLANK(G$3:G$3))*(G$3:G$3=$S$3:$S$3))</f>
        <v>0</v>
      </c>
      <c r="H9" s="1">
        <f>SUMPRODUCT(NOT(ISBLANK(H$3:H$3))*(H$3:H$3=$T$3:$T$3))</f>
        <v>0</v>
      </c>
      <c r="I9" s="1">
        <f>SUMPRODUCT(NOT(ISBLANK(I$3:I$3))*(I$3:I$3=$U$3:$U$3))</f>
        <v>0</v>
      </c>
      <c r="J9" s="1"/>
      <c r="K9" s="1"/>
      <c r="L9" s="1">
        <f>SUMPRODUCT(NOT(ISBLANK(L$3:L$3))*(L$3:L$3=$V$3:$V$3))</f>
        <v>0</v>
      </c>
      <c r="M9" s="1">
        <f>SUMPRODUCT(NOT(ISBLANK(M$3:M$3))*(M$3:M$3=$W$3:$W$3))</f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>
      <c r="A10" s="1" t="s">
        <v>6</v>
      </c>
      <c r="B10" s="1">
        <f>SUMPRODUCT(NOT(ISBLANK(B$3:B$3))*(B$3:B$3&lt;$X$3:$X$3))</f>
        <v>0</v>
      </c>
      <c r="C10" s="1">
        <f>SUMPRODUCT(NOT(ISBLANK(C$3:C$3))*(C$3:C$3&lt;$Y$3:$Y$3))</f>
        <v>0</v>
      </c>
      <c r="D10" s="1">
        <f>SUMPRODUCT(NOT(ISBLANK(D$3:D$3))*(D$3:D$3&lt;$Z$3:$Z$3))</f>
        <v>0</v>
      </c>
      <c r="E10" s="1">
        <f>SUMPRODUCT(NOT(ISBLANK(E$3:E$3))*(E$3:E$3&lt;$AA$3:$AA$3))</f>
        <v>0</v>
      </c>
      <c r="F10" s="1">
        <f>SUMPRODUCT(NOT(ISBLANK(F$3:F$3))*(F$3:F$3&lt;$AB$3:$AB$3))</f>
        <v>0</v>
      </c>
      <c r="G10" s="1">
        <f>SUMPRODUCT(NOT(ISBLANK(G$3:G$3))*(G$3:G$3&lt;$AC$3:$AC$3))</f>
        <v>0</v>
      </c>
      <c r="H10" s="1">
        <f>SUMPRODUCT(NOT(ISBLANK(H$3:H$3))*(H$3:H$3&lt;$AD$3:$AD$3))</f>
        <v>0</v>
      </c>
      <c r="I10" s="1">
        <f>SUMPRODUCT(NOT(ISBLANK(I$3:I$3))*(I$3:I$3&lt;$AE$3:$AE$3))</f>
        <v>0</v>
      </c>
      <c r="J10" s="1"/>
      <c r="K10" s="1"/>
      <c r="L10" s="1">
        <f>SUMPRODUCT(NOT(ISBLANK(L$3:L$3))*(L$3:L$3&lt;$AF$3:$AF$3))</f>
        <v>0</v>
      </c>
      <c r="M10" s="1">
        <f>SUMPRODUCT(NOT(ISBLANK(M$3:M$3))*(M$3:M$3&lt;$AG$3:$AG$3))</f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>
      <c r="A11" s="1" t="s">
        <v>7</v>
      </c>
      <c r="B11" s="1">
        <f>SUMPRODUCT((NOT(ISBLANK(B$3:B$3))*(B$3:B$3&gt;$X$3:$X$3))+ISBLANK(B$3:B$3))</f>
        <v>0</v>
      </c>
      <c r="C11" s="1">
        <f>SUMPRODUCT((NOT(ISBLANK(C$3:C$3))*(C$3:C$3&gt;$Y$3:$Y$3))+ISBLANK(C$3:C$3))</f>
        <v>0</v>
      </c>
      <c r="D11" s="1">
        <f>SUMPRODUCT((NOT(ISBLANK(D$3:D$3))*(D$3:D$3&gt;$Z$3:$Z$3))+ISBLANK(D$3:D$3))</f>
        <v>0</v>
      </c>
      <c r="E11" s="1">
        <f>SUMPRODUCT((NOT(ISBLANK(E$3:E$3))*(E$3:E$3&gt;$AA$3:$AA$3))+ISBLANK(E$3:E$3))</f>
        <v>0</v>
      </c>
      <c r="F11" s="1">
        <f>SUMPRODUCT((NOT(ISBLANK(F$3:F$3))*(F$3:F$3&gt;$AB$3:$AB$3))+ISBLANK(F$3:F$3))</f>
        <v>0</v>
      </c>
      <c r="G11" s="1">
        <f>SUMPRODUCT((NOT(ISBLANK(G$3:G$3))*(G$3:G$3&gt;$AC$3:$AC$3))+ISBLANK(G$3:G$3))</f>
        <v>0</v>
      </c>
      <c r="H11" s="1">
        <f>SUMPRODUCT((NOT(ISBLANK(H$3:H$3))*(H$3:H$3&gt;$AD$3:$AD$3))+ISBLANK(H$3:H$3))</f>
        <v>0</v>
      </c>
      <c r="I11" s="1">
        <f>SUMPRODUCT((NOT(ISBLANK(I$3:I$3))*(I$3:I$3&gt;$AE$3:$AE$3))+ISBLANK(I$3:I$3))</f>
        <v>0</v>
      </c>
      <c r="J11" s="1"/>
      <c r="K11" s="1"/>
      <c r="L11" s="1">
        <f>SUMPRODUCT((NOT(ISBLANK(L$3:L$3))*(L$3:L$3&gt;$AF$3:$AF$3))+ISBLANK(L$3:L$3))</f>
        <v>0</v>
      </c>
      <c r="M11" s="1">
        <f>SUMPRODUCT((NOT(ISBLANK(M$3:M$3))*(M$3:M$3&gt;$AG$3:$AG$3))+ISBLANK(M$3:M$3))</f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>
      <c r="A12" s="1" t="s">
        <v>8</v>
      </c>
      <c r="B12" s="1">
        <f>SUMPRODUCT((NOT(ISBLANK(B$3:B$3))*(B$3:B$3=$AH$3:$AH$3))+ISBLANK(B$3:B$3))</f>
        <v>0</v>
      </c>
      <c r="C12" s="1">
        <f>SUMPRODUCT((NOT(ISBLANK(C$3:C$3))*(C$3:C$3=$AI$3:$AI$3))+ISBLANK(C$3:C$3))</f>
        <v>0</v>
      </c>
      <c r="D12" s="1">
        <f>SUMPRODUCT((NOT(ISBLANK(D$3:D$3))*(D$3:D$3=$AJ$3:$AJ$3))+ISBLANK(D$3:D$3))</f>
        <v>0</v>
      </c>
      <c r="E12" s="1">
        <f>SUMPRODUCT((NOT(ISBLANK(E$3:E$3))*(E$3:E$3=$AK$3:$AK$3))+ISBLANK(E$3:E$3))</f>
        <v>0</v>
      </c>
      <c r="F12" s="1">
        <f>SUMPRODUCT((NOT(ISBLANK(F$3:F$3))*(F$3:F$3=$AL$3:$AL$3))+ISBLANK(F$3:F$3))</f>
        <v>0</v>
      </c>
      <c r="G12" s="1">
        <f>SUMPRODUCT((NOT(ISBLANK(G$3:G$3))*(G$3:G$3=$AM$3:$AM$3))+ISBLANK(G$3:G$3))</f>
        <v>0</v>
      </c>
      <c r="H12" s="1">
        <f>SUMPRODUCT((NOT(ISBLANK(H$3:H$3))*(H$3:H$3=$AN$3:$AN$3))+ISBLANK(H$3:H$3))</f>
        <v>0</v>
      </c>
      <c r="I12" s="1">
        <f>SUMPRODUCT((NOT(ISBLANK(I$3:I$3))*(I$3:I$3=$AO$3:$AO$3))+ISBLANK(I$3:I$3))</f>
        <v>0</v>
      </c>
      <c r="J12" s="1"/>
      <c r="K12" s="1"/>
      <c r="L12" s="1">
        <f>SUMPRODUCT((NOT(ISBLANK(L$3:L$3))*(L$3:L$3=$AP$3:$AP$3))+ISBLANK(L$3:L$3))</f>
        <v>0</v>
      </c>
      <c r="M12" s="1">
        <f>SUMPRODUCT((NOT(ISBLANK(M$3:M$3))*(M$3:M$3=$AQ$3:$AQ$3))+ISBLANK(M$3:M$3))</f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18"/>
  <sheetViews>
    <sheetView workbookViewId="0"/>
  </sheetViews>
  <sheetFormatPr defaultRowHeight="15"/>
  <sheetData>
    <row r="2" spans="1:20">
      <c r="A2" t="s">
        <v>10</v>
      </c>
      <c r="B2">
        <v>1</v>
      </c>
      <c r="E2">
        <f>VLOOKUP(Charts!$F$3,A2:B11,2,FALSE)</f>
        <v>0</v>
      </c>
      <c r="K2">
        <f>E2</f>
        <v>0</v>
      </c>
      <c r="Q2">
        <f>VLOOKUP(Charts!$F$3,A2:B11,2,FALSE)</f>
        <v>0</v>
      </c>
    </row>
    <row r="3" spans="1:20">
      <c r="A3" t="s">
        <v>11</v>
      </c>
      <c r="B3">
        <v>2</v>
      </c>
      <c r="D3" t="s">
        <v>29</v>
      </c>
      <c r="E3">
        <f>Instances!B1</f>
        <v>0</v>
      </c>
      <c r="J3" t="s">
        <v>29</v>
      </c>
      <c r="K3">
        <f>E3</f>
        <v>0</v>
      </c>
      <c r="Q3">
        <f>Instances!B1</f>
        <v>0</v>
      </c>
    </row>
    <row r="4" spans="1:20">
      <c r="A4" t="s">
        <v>12</v>
      </c>
      <c r="B4">
        <v>3</v>
      </c>
      <c r="D4" t="s">
        <v>30</v>
      </c>
      <c r="E4" t="s">
        <v>34</v>
      </c>
      <c r="F4" t="s">
        <v>35</v>
      </c>
      <c r="H4" t="s">
        <v>36</v>
      </c>
      <c r="J4" t="s">
        <v>30</v>
      </c>
      <c r="K4" t="s">
        <v>34</v>
      </c>
      <c r="L4" t="s">
        <v>35</v>
      </c>
      <c r="N4" t="s">
        <v>36</v>
      </c>
      <c r="P4" t="s">
        <v>37</v>
      </c>
      <c r="Q4" t="s">
        <v>30</v>
      </c>
      <c r="R4" t="s">
        <v>35</v>
      </c>
      <c r="S4" t="s">
        <v>30</v>
      </c>
      <c r="T4" t="s">
        <v>36</v>
      </c>
    </row>
    <row r="5" spans="1:20">
      <c r="A5" t="s">
        <v>13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IFERROR(SMALL(E5:E5,ROW()-ROW($F$5)+1),"")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IFERROR(SMALL(K5:K5,ROW()-ROW($L$5)+1),"")</f>
        <v>0</v>
      </c>
      <c r="N5">
        <f>IFERROR(SUM(L5:L5),"")</f>
        <v>0</v>
      </c>
      <c r="Q5">
        <f>IF(Charts!$B$3="none",E17,IF(K17="",NA(),K17))</f>
        <v>0</v>
      </c>
      <c r="R5">
        <f>IF(Charts!$B$3="none",F17,IF(L17="",NA(),L17))</f>
        <v>0</v>
      </c>
      <c r="S5">
        <f>IF(Charts!$B$3="none",G17,IF(M17="",NA(),M17))</f>
        <v>0</v>
      </c>
      <c r="T5">
        <f>IF(Charts!$B$3="none",H17,IF(N17="",NA(),N17))</f>
        <v>0</v>
      </c>
    </row>
    <row r="6" spans="1:20">
      <c r="A6" t="s">
        <v>14</v>
      </c>
      <c r="B6">
        <v>5</v>
      </c>
      <c r="Q6">
        <f>IF(Charts!$B$3="none",E18,IF(K18="",NA(),K18))</f>
        <v>0</v>
      </c>
      <c r="R6">
        <f>IF(Charts!$B$3="none",F18,IF(L18="",NA(),L18))</f>
        <v>0</v>
      </c>
      <c r="S6">
        <f>IF(Charts!$B$3="none",G18,IF(M18="",NA(),M18))</f>
        <v>0</v>
      </c>
      <c r="T6">
        <f>IF(Charts!$B$3="none",H18,IF(N18="",NA(),N18))</f>
        <v>0</v>
      </c>
    </row>
    <row r="7" spans="1:20">
      <c r="A7" t="s">
        <v>15</v>
      </c>
      <c r="B7">
        <v>6</v>
      </c>
      <c r="D7" t="s">
        <v>31</v>
      </c>
      <c r="E7" t="s">
        <v>30</v>
      </c>
      <c r="F7" t="s">
        <v>35</v>
      </c>
      <c r="G7" t="s">
        <v>30</v>
      </c>
      <c r="H7" t="s">
        <v>36</v>
      </c>
      <c r="J7" t="s">
        <v>31</v>
      </c>
      <c r="K7" t="s">
        <v>30</v>
      </c>
      <c r="L7" t="s">
        <v>35</v>
      </c>
      <c r="M7" t="s">
        <v>30</v>
      </c>
      <c r="N7" t="s">
        <v>36</v>
      </c>
    </row>
    <row r="8" spans="1:20">
      <c r="A8" t="s">
        <v>16</v>
      </c>
      <c r="B8">
        <v>7</v>
      </c>
      <c r="E8">
        <v>1</v>
      </c>
      <c r="F8">
        <f>F5</f>
        <v>0</v>
      </c>
      <c r="G8">
        <v>1</v>
      </c>
      <c r="H8">
        <f>H5</f>
        <v>0</v>
      </c>
      <c r="K8">
        <v>1</v>
      </c>
      <c r="L8">
        <f>L5</f>
        <v>0</v>
      </c>
      <c r="M8">
        <v>1</v>
      </c>
      <c r="N8">
        <f>N5</f>
        <v>0</v>
      </c>
    </row>
    <row r="9" spans="1:20">
      <c r="A9" t="s">
        <v>17</v>
      </c>
      <c r="B9">
        <v>8</v>
      </c>
      <c r="E9">
        <v>0</v>
      </c>
      <c r="F9">
        <v>0</v>
      </c>
      <c r="G9">
        <v>0</v>
      </c>
      <c r="H9">
        <v>0</v>
      </c>
      <c r="K9">
        <v>0</v>
      </c>
      <c r="L9">
        <v>0</v>
      </c>
      <c r="M9">
        <v>0</v>
      </c>
      <c r="N9">
        <v>0</v>
      </c>
    </row>
    <row r="10" spans="1:20">
      <c r="A10" t="s">
        <v>22</v>
      </c>
      <c r="B10">
        <v>11</v>
      </c>
      <c r="E10">
        <v>1</v>
      </c>
      <c r="F10">
        <v>0</v>
      </c>
      <c r="G10">
        <v>1</v>
      </c>
      <c r="H10">
        <v>0</v>
      </c>
      <c r="K10">
        <v>1</v>
      </c>
      <c r="L10">
        <v>0</v>
      </c>
      <c r="M10">
        <v>1</v>
      </c>
      <c r="N10">
        <v>0</v>
      </c>
    </row>
    <row r="11" spans="1:20">
      <c r="A11" t="s">
        <v>23</v>
      </c>
      <c r="B11">
        <v>12</v>
      </c>
    </row>
    <row r="12" spans="1:20">
      <c r="D12" t="s">
        <v>32</v>
      </c>
      <c r="E12" t="s">
        <v>30</v>
      </c>
      <c r="F12" t="s">
        <v>35</v>
      </c>
      <c r="G12" t="s">
        <v>30</v>
      </c>
      <c r="H12" t="s">
        <v>36</v>
      </c>
      <c r="J12" t="s">
        <v>32</v>
      </c>
      <c r="K12" t="s">
        <v>30</v>
      </c>
      <c r="L12" t="s">
        <v>35</v>
      </c>
      <c r="M12" t="s">
        <v>30</v>
      </c>
      <c r="N12" t="s">
        <v>36</v>
      </c>
    </row>
    <row r="13" spans="1:20">
      <c r="E13">
        <f>IFERROR(SMALL(E8:E10,ROW()-ROW($E$13)+1),"")</f>
        <v>0</v>
      </c>
      <c r="F13">
        <f>IFERROR(SMALL(F8:F10,ROW()-ROW($F$13)+1),"")</f>
        <v>0</v>
      </c>
      <c r="G13">
        <f>IFERROR(SMALL(G8:G10,ROW()-ROW($G$13)+1),"")</f>
        <v>0</v>
      </c>
      <c r="H13">
        <f>IFERROR(SMALL(H8:H10,ROW()-ROW($H$13)+1),"")</f>
        <v>0</v>
      </c>
      <c r="K13">
        <f>IFERROR(SMALL(K8:K10,ROW()-ROW($K$13)+1),"")</f>
        <v>0</v>
      </c>
      <c r="L13">
        <f>IFERROR(SMALL(L8:L10,ROW()-ROW($L$13)+1),"")</f>
        <v>0</v>
      </c>
      <c r="M13">
        <f>IFERROR(SMALL(M8:M10,ROW()-ROW($M$13)+1),"")</f>
        <v>0</v>
      </c>
      <c r="N13">
        <f>IFERROR(SMALL(N8:N10,ROW()-ROW($N$13)+1),"")</f>
        <v>0</v>
      </c>
    </row>
    <row r="14" spans="1:20">
      <c r="E14">
        <f>IFERROR(SMALL(E8:E10,ROW()-ROW($E$13)+1),"")</f>
        <v>0</v>
      </c>
      <c r="F14">
        <f>IFERROR(SMALL(F8:F10,ROW()-ROW($F$13)+1),"")</f>
        <v>0</v>
      </c>
      <c r="G14">
        <f>IFERROR(SMALL(G8:G10,ROW()-ROW($G$13)+1),"")</f>
        <v>0</v>
      </c>
      <c r="H14">
        <f>IFERROR(SMALL(H8:H10,ROW()-ROW($H$13)+1),"")</f>
        <v>0</v>
      </c>
      <c r="K14">
        <f>IFERROR(SMALL(K8:K10,ROW()-ROW($K$13)+1),"")</f>
        <v>0</v>
      </c>
      <c r="L14">
        <f>IFERROR(SMALL(L8:L10,ROW()-ROW($L$13)+1),"")</f>
        <v>0</v>
      </c>
      <c r="M14">
        <f>IFERROR(SMALL(M8:M10,ROW()-ROW($M$13)+1),"")</f>
        <v>0</v>
      </c>
      <c r="N14">
        <f>IFERROR(SMALL(N8:N10,ROW()-ROW($N$13)+1),"")</f>
        <v>0</v>
      </c>
    </row>
    <row r="16" spans="1:20">
      <c r="D16" t="s">
        <v>33</v>
      </c>
      <c r="E16" t="s">
        <v>30</v>
      </c>
      <c r="F16" t="s">
        <v>35</v>
      </c>
      <c r="G16" t="s">
        <v>30</v>
      </c>
      <c r="H16" t="s">
        <v>36</v>
      </c>
      <c r="J16" t="s">
        <v>33</v>
      </c>
      <c r="K16" t="s">
        <v>30</v>
      </c>
      <c r="L16" t="s">
        <v>35</v>
      </c>
      <c r="M16" t="s">
        <v>30</v>
      </c>
      <c r="N16" t="s">
        <v>36</v>
      </c>
    </row>
    <row r="17" spans="5:14">
      <c r="E17">
        <f>IF(ISNA(F17),NA(),E13)</f>
        <v>0</v>
      </c>
      <c r="F17">
        <f>IF(F13="",NA(),F13)</f>
        <v>0</v>
      </c>
      <c r="G17">
        <f>IF(ISNA(H17),NA(),G13)</f>
        <v>0</v>
      </c>
      <c r="H17">
        <f>IF(H13="",NA(),H13)</f>
        <v>0</v>
      </c>
      <c r="K17">
        <f>IF(ISNA(L17),NA(),K13)</f>
        <v>0</v>
      </c>
      <c r="L17">
        <f>IF(L13="",NA(),L13)</f>
        <v>0</v>
      </c>
      <c r="M17">
        <f>IF(ISNA(N17),NA(),M13)</f>
        <v>0</v>
      </c>
      <c r="N17">
        <f>IF(N13="",NA(),N13)</f>
        <v>0</v>
      </c>
    </row>
    <row r="18" spans="5:14">
      <c r="E18">
        <f>IF(ISNA(F18),NA(),E14)</f>
        <v>0</v>
      </c>
      <c r="F18">
        <f>IF(F14="",NA(),F14)</f>
        <v>0</v>
      </c>
      <c r="G18">
        <f>IF(ISNA(H18),NA(),G14)</f>
        <v>0</v>
      </c>
      <c r="H18">
        <f>IF(H14="",NA(),H14)</f>
        <v>0</v>
      </c>
      <c r="K18">
        <f>IF(ISNA(L18),NA(),K14)</f>
        <v>0</v>
      </c>
      <c r="L18">
        <f>IF(L14="",NA(),L14)</f>
        <v>0</v>
      </c>
      <c r="M18">
        <f>IF(ISNA(N18),NA(),M14)</f>
        <v>0</v>
      </c>
      <c r="N18">
        <f>IF(N14="",NA(),N14)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38</v>
      </c>
      <c r="F2" t="s">
        <v>40</v>
      </c>
    </row>
    <row r="3" spans="2:6">
      <c r="B3" s="2" t="s">
        <v>39</v>
      </c>
      <c r="F3" s="2" t="s">
        <v>10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"choices,conflicts,error,mem,memout,models,par2,restarts,time,timeout"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2026-04-22T10:03:16Z</dcterms:created>
  <dcterms:modified xsi:type="dcterms:W3CDTF">2026-04-22T10:03:16Z</dcterms:modified>
</cp:coreProperties>
</file>