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stances" sheetId="1" r:id="rId1"/>
    <sheet name="Merged Runs" sheetId="2" r:id="rId2"/>
    <sheet name="Classes" sheetId="3" r:id="rId3"/>
    <sheet name="Helper" sheetId="4" state="hidden" r:id="rId4"/>
    <sheet name="Charts" sheetId="5" r:id="rId5"/>
  </sheet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<sst xmlns="http://schemas.openxmlformats.org/spreadsheetml/2006/main" count="264" uniqueCount="50">
  <si>
    <t>Test_00/Level_0</t>
  </si>
  <si>
    <t>Test_00/Level_1</t>
  </si>
  <si>
    <t>Test_00/Level_2</t>
  </si>
  <si>
    <t>Test_00/Level_3</t>
  </si>
  <si>
    <t>Test_00/Level_4</t>
  </si>
  <si>
    <t>Test_00/Level_5</t>
  </si>
  <si>
    <t>Test_00/Level_6</t>
  </si>
  <si>
    <t>Test_00/Level_7</t>
  </si>
  <si>
    <t>Test_00/Level_8</t>
  </si>
  <si>
    <t>Test_00/Level_9</t>
  </si>
  <si>
    <t>SUM</t>
  </si>
  <si>
    <t>AVG</t>
  </si>
  <si>
    <t>DEV</t>
  </si>
  <si>
    <t>DST</t>
  </si>
  <si>
    <t>BEST</t>
  </si>
  <si>
    <t>BETTER</t>
  </si>
  <si>
    <t>WORSE</t>
  </si>
  <si>
    <t>WORST</t>
  </si>
  <si>
    <t>clingo-5.8.0/one-as</t>
  </si>
  <si>
    <t>choices</t>
  </si>
  <si>
    <t>conflicts</t>
  </si>
  <si>
    <t>error</t>
  </si>
  <si>
    <t>mem</t>
  </si>
  <si>
    <t>memout</t>
  </si>
  <si>
    <t>models</t>
  </si>
  <si>
    <t>par2</t>
  </si>
  <si>
    <t>restarts</t>
  </si>
  <si>
    <t>rstatus</t>
  </si>
  <si>
    <t>out of memory</t>
  </si>
  <si>
    <t>status</t>
  </si>
  <si>
    <t>UNKNOWN</t>
  </si>
  <si>
    <t>time</t>
  </si>
  <si>
    <t>timeout</t>
  </si>
  <si>
    <t>min</t>
  </si>
  <si>
    <t>median</t>
  </si>
  <si>
    <t>max</t>
  </si>
  <si>
    <t>Merge criteria:</t>
  </si>
  <si>
    <t>Test_00</t>
  </si>
  <si>
    <t>data</t>
  </si>
  <si>
    <t>index</t>
  </si>
  <si>
    <t>step</t>
  </si>
  <si>
    <t>sort</t>
  </si>
  <si>
    <t>clean</t>
  </si>
  <si>
    <t>values</t>
  </si>
  <si>
    <t>sorted</t>
  </si>
  <si>
    <t>aggregated</t>
  </si>
  <si>
    <t>plot</t>
  </si>
  <si>
    <t>Select merge criteria:</t>
  </si>
  <si>
    <t>none</t>
  </si>
  <si>
    <t>Select measure:</t>
  </si>
</sst>
</file>

<file path=xl/styles.xml><?xml version="1.0" encoding="utf-8"?>
<styleSheet xmlns="http://schemas.openxmlformats.org/spreadsheetml/2006/main">
  <numFmts count="1">
    <numFmt numFmtId="164" formatCode="0.00"/>
  </numFmts>
  <fonts count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Relationship Id="rId9" Type="http://schemas.openxmlformats.org/officeDocument/2006/relationships/sheetMetadata" Target="metadata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Survivor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Helper!Q3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(Helper!T5:T25)</c:f>
            </c:numRef>
          </c:xVal>
          <c:yVal>
            <c:numRef>
              <c:f>(Helper!S5:S25)</c:f>
              <c:numCache>
                <c:formatCode>General</c:formatCode>
                <c:ptCount val="0"/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</c:scaling>
        <c:axPos val="b"/>
        <c:title>
          <c:tx>
            <c:strRef>
              <c:f>Charts!$F$3</c:f>
              <c:strCache>
                <c:ptCount val="1"/>
                <c:pt idx="0">
                  <c:v>choices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crossAx val="50010002"/>
        <c:crosses val="autoZero"/>
        <c:crossBetween val="midCat"/>
      </c:val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# of Instances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midCat"/>
      </c:valAx>
    </c:plotArea>
    <c:legend>
      <c:legendPos val="r"/>
      <c:layout/>
    </c:legend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Cactus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Helper!Q3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(Helper!Q5:Q25)</c:f>
            </c:numRef>
          </c:xVal>
          <c:yVal>
            <c:numRef>
              <c:f>(Helper!R5:R25)</c:f>
              <c:numCache>
                <c:formatCode>General</c:formatCode>
                <c:ptCount val="0"/>
              </c:numCache>
            </c:numRef>
          </c:yVal>
        </c:ser>
        <c:axId val="50020001"/>
        <c:axId val="50020002"/>
      </c:scatterChart>
      <c:val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# of Instances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crossBetween val="midCat"/>
      </c:valAx>
      <c:valAx>
        <c:axId val="50020002"/>
        <c:scaling>
          <c:orientation val="minMax"/>
        </c:scaling>
        <c:axPos val="l"/>
        <c:majorGridlines/>
        <c:title>
          <c:tx>
            <c:strRef>
              <c:f>Charts!$F$3</c:f>
              <c:strCache>
                <c:ptCount val="1"/>
                <c:pt idx="0">
                  <c:v>choices</c:v>
                </c:pt>
              </c:strCache>
            </c:strRef>
          </c:tx>
          <c:layout/>
          <c:txPr>
            <a:bodyPr rot="-5400000" vert="horz"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crossAx val="50020001"/>
        <c:crosses val="autoZero"/>
        <c:crossBetween val="midCat"/>
      </c:valAx>
    </c:plotArea>
    <c:legend>
      <c:legendPos val="r"/>
      <c:layout/>
    </c:legend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CDF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Helper!Q3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(Helper!R5:R25)</c:f>
            </c:numRef>
          </c:xVal>
          <c:yVal>
            <c:numRef>
              <c:f>(Helper!Q5:Q25)</c:f>
              <c:numCache>
                <c:formatCode>General</c:formatCode>
                <c:ptCount val="0"/>
              </c:numCache>
            </c:numRef>
          </c:yVal>
        </c:ser>
        <c:axId val="50030001"/>
        <c:axId val="50030002"/>
      </c:scatterChart>
      <c:valAx>
        <c:axId val="50030001"/>
        <c:scaling>
          <c:orientation val="minMax"/>
        </c:scaling>
        <c:axPos val="b"/>
        <c:title>
          <c:tx>
            <c:strRef>
              <c:f>Charts!$F$3</c:f>
              <c:strCache>
                <c:ptCount val="1"/>
                <c:pt idx="0">
                  <c:v>choices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crossAx val="50030002"/>
        <c:crosses val="autoZero"/>
        <c:crossBetween val="midCat"/>
      </c:val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# of Instances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midCat"/>
      </c:valAx>
    </c:plotArea>
    <c:legend>
      <c:legendPos val="r"/>
      <c:layout/>
    </c:legend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4</xdr:row>
      <xdr:rowOff>0</xdr:rowOff>
    </xdr:from>
    <xdr:to>
      <xdr:col>8</xdr:col>
      <xdr:colOff>304800</xdr:colOff>
      <xdr:row>18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4</xdr:row>
      <xdr:rowOff>0</xdr:rowOff>
    </xdr:from>
    <xdr:to>
      <xdr:col>17</xdr:col>
      <xdr:colOff>304800</xdr:colOff>
      <xdr:row>18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0</xdr:colOff>
      <xdr:row>4</xdr:row>
      <xdr:rowOff>0</xdr:rowOff>
    </xdr:from>
    <xdr:to>
      <xdr:col>26</xdr:col>
      <xdr:colOff>304800</xdr:colOff>
      <xdr:row>18</xdr:row>
      <xdr:rowOff>76200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Q21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15.28515625" customWidth="1"/>
    <col min="2" max="9" width="11.42578125" customWidth="1"/>
    <col min="10" max="10" width="14.140625" customWidth="1"/>
    <col min="11" max="43" width="11.42578125" customWidth="1"/>
  </cols>
  <sheetData>
    <row r="1" spans="1:43">
      <c r="A1" s="1"/>
      <c r="B1" s="1" t="s">
        <v>18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 t="s">
        <v>33</v>
      </c>
      <c r="O1" s="1"/>
      <c r="P1" s="1"/>
      <c r="Q1" s="1"/>
      <c r="R1" s="1"/>
      <c r="S1" s="1"/>
      <c r="T1" s="1"/>
      <c r="U1" s="1"/>
      <c r="V1" s="1"/>
      <c r="W1" s="1"/>
      <c r="X1" s="1" t="s">
        <v>34</v>
      </c>
      <c r="Y1" s="1"/>
      <c r="Z1" s="1"/>
      <c r="AA1" s="1"/>
      <c r="AB1" s="1"/>
      <c r="AC1" s="1"/>
      <c r="AD1" s="1"/>
      <c r="AE1" s="1"/>
      <c r="AF1" s="1"/>
      <c r="AG1" s="1"/>
      <c r="AH1" s="1" t="s">
        <v>35</v>
      </c>
      <c r="AI1" s="1"/>
      <c r="AJ1" s="1"/>
      <c r="AK1" s="1"/>
      <c r="AL1" s="1"/>
      <c r="AM1" s="1"/>
      <c r="AN1" s="1"/>
      <c r="AO1" s="1"/>
      <c r="AP1" s="1"/>
      <c r="AQ1" s="1"/>
    </row>
    <row r="2" spans="1:43">
      <c r="A2" s="1"/>
      <c r="B2" s="1" t="s">
        <v>19</v>
      </c>
      <c r="C2" s="1" t="s">
        <v>20</v>
      </c>
      <c r="D2" s="1" t="s">
        <v>21</v>
      </c>
      <c r="E2" s="1" t="s">
        <v>22</v>
      </c>
      <c r="F2" s="1" t="s">
        <v>23</v>
      </c>
      <c r="G2" s="1" t="s">
        <v>24</v>
      </c>
      <c r="H2" s="1" t="s">
        <v>25</v>
      </c>
      <c r="I2" s="1" t="s">
        <v>26</v>
      </c>
      <c r="J2" s="1" t="s">
        <v>27</v>
      </c>
      <c r="K2" s="1" t="s">
        <v>29</v>
      </c>
      <c r="L2" s="1" t="s">
        <v>31</v>
      </c>
      <c r="M2" s="1" t="s">
        <v>32</v>
      </c>
      <c r="N2" s="1" t="s">
        <v>19</v>
      </c>
      <c r="O2" s="1" t="s">
        <v>20</v>
      </c>
      <c r="P2" s="1" t="s">
        <v>21</v>
      </c>
      <c r="Q2" s="1" t="s">
        <v>22</v>
      </c>
      <c r="R2" s="1" t="s">
        <v>23</v>
      </c>
      <c r="S2" s="1" t="s">
        <v>24</v>
      </c>
      <c r="T2" s="1" t="s">
        <v>25</v>
      </c>
      <c r="U2" s="1" t="s">
        <v>26</v>
      </c>
      <c r="V2" s="1" t="s">
        <v>31</v>
      </c>
      <c r="W2" s="1" t="s">
        <v>32</v>
      </c>
      <c r="X2" s="1" t="s">
        <v>19</v>
      </c>
      <c r="Y2" s="1" t="s">
        <v>20</v>
      </c>
      <c r="Z2" s="1" t="s">
        <v>21</v>
      </c>
      <c r="AA2" s="1" t="s">
        <v>22</v>
      </c>
      <c r="AB2" s="1" t="s">
        <v>23</v>
      </c>
      <c r="AC2" s="1" t="s">
        <v>24</v>
      </c>
      <c r="AD2" s="1" t="s">
        <v>25</v>
      </c>
      <c r="AE2" s="1" t="s">
        <v>26</v>
      </c>
      <c r="AF2" s="1" t="s">
        <v>31</v>
      </c>
      <c r="AG2" s="1" t="s">
        <v>32</v>
      </c>
      <c r="AH2" s="1" t="s">
        <v>19</v>
      </c>
      <c r="AI2" s="1" t="s">
        <v>20</v>
      </c>
      <c r="AJ2" s="1" t="s">
        <v>21</v>
      </c>
      <c r="AK2" s="1" t="s">
        <v>22</v>
      </c>
      <c r="AL2" s="1" t="s">
        <v>23</v>
      </c>
      <c r="AM2" s="1" t="s">
        <v>24</v>
      </c>
      <c r="AN2" s="1" t="s">
        <v>25</v>
      </c>
      <c r="AO2" s="1" t="s">
        <v>26</v>
      </c>
      <c r="AP2" s="1" t="s">
        <v>31</v>
      </c>
      <c r="AQ2" s="1" t="s">
        <v>32</v>
      </c>
    </row>
    <row r="3" spans="1:43">
      <c r="A3" s="1" t="s">
        <v>0</v>
      </c>
      <c r="B3" s="1">
        <v>0</v>
      </c>
      <c r="C3" s="1">
        <v>0</v>
      </c>
      <c r="D3" s="1">
        <v>0</v>
      </c>
      <c r="E3" s="1">
        <v>1002</v>
      </c>
      <c r="F3" s="1">
        <v>1</v>
      </c>
      <c r="G3" s="1">
        <v>0</v>
      </c>
      <c r="H3" s="1">
        <v>240</v>
      </c>
      <c r="I3" s="1">
        <v>0</v>
      </c>
      <c r="J3" s="1" t="s">
        <v>28</v>
      </c>
      <c r="K3" s="1" t="s">
        <v>30</v>
      </c>
      <c r="L3" s="1">
        <v>120</v>
      </c>
      <c r="M3" s="1">
        <v>1</v>
      </c>
      <c r="N3" s="1">
        <f>MIN($B3)</f>
        <v>0</v>
      </c>
      <c r="O3" s="1">
        <f>MIN($C3)</f>
        <v>0</v>
      </c>
      <c r="P3" s="1">
        <f>MIN($D3)</f>
        <v>0</v>
      </c>
      <c r="Q3" s="1">
        <f>MIN($E3)</f>
        <v>0</v>
      </c>
      <c r="R3" s="1">
        <f>MIN($F3)</f>
        <v>0</v>
      </c>
      <c r="S3" s="1">
        <f>MIN($G3)</f>
        <v>0</v>
      </c>
      <c r="T3" s="1">
        <f>MIN($H3)</f>
        <v>0</v>
      </c>
      <c r="U3" s="1">
        <f>MIN($I3)</f>
        <v>0</v>
      </c>
      <c r="V3" s="1">
        <f>MIN($L3)</f>
        <v>0</v>
      </c>
      <c r="W3" s="1">
        <f>MIN($M3)</f>
        <v>0</v>
      </c>
      <c r="X3" s="1">
        <f>MEDIAN($B3)</f>
        <v>0</v>
      </c>
      <c r="Y3" s="1">
        <f>MEDIAN($C3)</f>
        <v>0</v>
      </c>
      <c r="Z3" s="1">
        <f>MEDIAN($D3)</f>
        <v>0</v>
      </c>
      <c r="AA3" s="1">
        <f>MEDIAN($E3)</f>
        <v>0</v>
      </c>
      <c r="AB3" s="1">
        <f>MEDIAN($F3)</f>
        <v>0</v>
      </c>
      <c r="AC3" s="1">
        <f>MEDIAN($G3)</f>
        <v>0</v>
      </c>
      <c r="AD3" s="1">
        <f>MEDIAN($H3)</f>
        <v>0</v>
      </c>
      <c r="AE3" s="1">
        <f>MEDIAN($I3)</f>
        <v>0</v>
      </c>
      <c r="AF3" s="1">
        <f>MEDIAN($L3)</f>
        <v>0</v>
      </c>
      <c r="AG3" s="1">
        <f>MEDIAN($M3)</f>
        <v>0</v>
      </c>
      <c r="AH3" s="1">
        <f>MAX($B3)</f>
        <v>0</v>
      </c>
      <c r="AI3" s="1">
        <f>MAX($C3)</f>
        <v>0</v>
      </c>
      <c r="AJ3" s="1">
        <f>MAX($D3)</f>
        <v>0</v>
      </c>
      <c r="AK3" s="1">
        <f>MAX($E3)</f>
        <v>0</v>
      </c>
      <c r="AL3" s="1">
        <f>MAX($F3)</f>
        <v>0</v>
      </c>
      <c r="AM3" s="1">
        <f>MAX($G3)</f>
        <v>0</v>
      </c>
      <c r="AN3" s="1">
        <f>MAX($H3)</f>
        <v>0</v>
      </c>
      <c r="AO3" s="1">
        <f>MAX($I3)</f>
        <v>0</v>
      </c>
      <c r="AP3" s="1">
        <f>MAX($L3)</f>
        <v>0</v>
      </c>
      <c r="AQ3" s="1">
        <f>MAX($M3)</f>
        <v>0</v>
      </c>
    </row>
    <row r="4" spans="1:43">
      <c r="A4" s="1" t="s">
        <v>1</v>
      </c>
      <c r="B4" s="1">
        <v>0</v>
      </c>
      <c r="C4" s="1">
        <v>0</v>
      </c>
      <c r="D4" s="1">
        <v>0</v>
      </c>
      <c r="E4" s="1">
        <v>1001</v>
      </c>
      <c r="F4" s="1">
        <v>1</v>
      </c>
      <c r="G4" s="1">
        <v>0</v>
      </c>
      <c r="H4" s="1">
        <v>240</v>
      </c>
      <c r="I4" s="1">
        <v>0</v>
      </c>
      <c r="J4" s="1" t="s">
        <v>28</v>
      </c>
      <c r="K4" s="1" t="s">
        <v>30</v>
      </c>
      <c r="L4" s="1">
        <v>120</v>
      </c>
      <c r="M4" s="1">
        <v>1</v>
      </c>
      <c r="N4" s="1">
        <f>MIN($B4)</f>
        <v>0</v>
      </c>
      <c r="O4" s="1">
        <f>MIN($C4)</f>
        <v>0</v>
      </c>
      <c r="P4" s="1">
        <f>MIN($D4)</f>
        <v>0</v>
      </c>
      <c r="Q4" s="1">
        <f>MIN($E4)</f>
        <v>0</v>
      </c>
      <c r="R4" s="1">
        <f>MIN($F4)</f>
        <v>0</v>
      </c>
      <c r="S4" s="1">
        <f>MIN($G4)</f>
        <v>0</v>
      </c>
      <c r="T4" s="1">
        <f>MIN($H4)</f>
        <v>0</v>
      </c>
      <c r="U4" s="1">
        <f>MIN($I4)</f>
        <v>0</v>
      </c>
      <c r="V4" s="1">
        <f>MIN($L4)</f>
        <v>0</v>
      </c>
      <c r="W4" s="1">
        <f>MIN($M4)</f>
        <v>0</v>
      </c>
      <c r="X4" s="1">
        <f>MEDIAN($B4)</f>
        <v>0</v>
      </c>
      <c r="Y4" s="1">
        <f>MEDIAN($C4)</f>
        <v>0</v>
      </c>
      <c r="Z4" s="1">
        <f>MEDIAN($D4)</f>
        <v>0</v>
      </c>
      <c r="AA4" s="1">
        <f>MEDIAN($E4)</f>
        <v>0</v>
      </c>
      <c r="AB4" s="1">
        <f>MEDIAN($F4)</f>
        <v>0</v>
      </c>
      <c r="AC4" s="1">
        <f>MEDIAN($G4)</f>
        <v>0</v>
      </c>
      <c r="AD4" s="1">
        <f>MEDIAN($H4)</f>
        <v>0</v>
      </c>
      <c r="AE4" s="1">
        <f>MEDIAN($I4)</f>
        <v>0</v>
      </c>
      <c r="AF4" s="1">
        <f>MEDIAN($L4)</f>
        <v>0</v>
      </c>
      <c r="AG4" s="1">
        <f>MEDIAN($M4)</f>
        <v>0</v>
      </c>
      <c r="AH4" s="1">
        <f>MAX($B4)</f>
        <v>0</v>
      </c>
      <c r="AI4" s="1">
        <f>MAX($C4)</f>
        <v>0</v>
      </c>
      <c r="AJ4" s="1">
        <f>MAX($D4)</f>
        <v>0</v>
      </c>
      <c r="AK4" s="1">
        <f>MAX($E4)</f>
        <v>0</v>
      </c>
      <c r="AL4" s="1">
        <f>MAX($F4)</f>
        <v>0</v>
      </c>
      <c r="AM4" s="1">
        <f>MAX($G4)</f>
        <v>0</v>
      </c>
      <c r="AN4" s="1">
        <f>MAX($H4)</f>
        <v>0</v>
      </c>
      <c r="AO4" s="1">
        <f>MAX($I4)</f>
        <v>0</v>
      </c>
      <c r="AP4" s="1">
        <f>MAX($L4)</f>
        <v>0</v>
      </c>
      <c r="AQ4" s="1">
        <f>MAX($M4)</f>
        <v>0</v>
      </c>
    </row>
    <row r="5" spans="1:43">
      <c r="A5" s="1" t="s">
        <v>2</v>
      </c>
      <c r="B5" s="1">
        <v>0</v>
      </c>
      <c r="C5" s="1">
        <v>0</v>
      </c>
      <c r="D5" s="1">
        <v>0</v>
      </c>
      <c r="E5" s="1">
        <v>1001</v>
      </c>
      <c r="F5" s="1">
        <v>1</v>
      </c>
      <c r="G5" s="1">
        <v>0</v>
      </c>
      <c r="H5" s="1">
        <v>240</v>
      </c>
      <c r="I5" s="1">
        <v>0</v>
      </c>
      <c r="J5" s="1" t="s">
        <v>28</v>
      </c>
      <c r="K5" s="1" t="s">
        <v>30</v>
      </c>
      <c r="L5" s="1">
        <v>120</v>
      </c>
      <c r="M5" s="1">
        <v>1</v>
      </c>
      <c r="N5" s="1">
        <f>MIN($B5)</f>
        <v>0</v>
      </c>
      <c r="O5" s="1">
        <f>MIN($C5)</f>
        <v>0</v>
      </c>
      <c r="P5" s="1">
        <f>MIN($D5)</f>
        <v>0</v>
      </c>
      <c r="Q5" s="1">
        <f>MIN($E5)</f>
        <v>0</v>
      </c>
      <c r="R5" s="1">
        <f>MIN($F5)</f>
        <v>0</v>
      </c>
      <c r="S5" s="1">
        <f>MIN($G5)</f>
        <v>0</v>
      </c>
      <c r="T5" s="1">
        <f>MIN($H5)</f>
        <v>0</v>
      </c>
      <c r="U5" s="1">
        <f>MIN($I5)</f>
        <v>0</v>
      </c>
      <c r="V5" s="1">
        <f>MIN($L5)</f>
        <v>0</v>
      </c>
      <c r="W5" s="1">
        <f>MIN($M5)</f>
        <v>0</v>
      </c>
      <c r="X5" s="1">
        <f>MEDIAN($B5)</f>
        <v>0</v>
      </c>
      <c r="Y5" s="1">
        <f>MEDIAN($C5)</f>
        <v>0</v>
      </c>
      <c r="Z5" s="1">
        <f>MEDIAN($D5)</f>
        <v>0</v>
      </c>
      <c r="AA5" s="1">
        <f>MEDIAN($E5)</f>
        <v>0</v>
      </c>
      <c r="AB5" s="1">
        <f>MEDIAN($F5)</f>
        <v>0</v>
      </c>
      <c r="AC5" s="1">
        <f>MEDIAN($G5)</f>
        <v>0</v>
      </c>
      <c r="AD5" s="1">
        <f>MEDIAN($H5)</f>
        <v>0</v>
      </c>
      <c r="AE5" s="1">
        <f>MEDIAN($I5)</f>
        <v>0</v>
      </c>
      <c r="AF5" s="1">
        <f>MEDIAN($L5)</f>
        <v>0</v>
      </c>
      <c r="AG5" s="1">
        <f>MEDIAN($M5)</f>
        <v>0</v>
      </c>
      <c r="AH5" s="1">
        <f>MAX($B5)</f>
        <v>0</v>
      </c>
      <c r="AI5" s="1">
        <f>MAX($C5)</f>
        <v>0</v>
      </c>
      <c r="AJ5" s="1">
        <f>MAX($D5)</f>
        <v>0</v>
      </c>
      <c r="AK5" s="1">
        <f>MAX($E5)</f>
        <v>0</v>
      </c>
      <c r="AL5" s="1">
        <f>MAX($F5)</f>
        <v>0</v>
      </c>
      <c r="AM5" s="1">
        <f>MAX($G5)</f>
        <v>0</v>
      </c>
      <c r="AN5" s="1">
        <f>MAX($H5)</f>
        <v>0</v>
      </c>
      <c r="AO5" s="1">
        <f>MAX($I5)</f>
        <v>0</v>
      </c>
      <c r="AP5" s="1">
        <f>MAX($L5)</f>
        <v>0</v>
      </c>
      <c r="AQ5" s="1">
        <f>MAX($M5)</f>
        <v>0</v>
      </c>
    </row>
    <row r="6" spans="1:43">
      <c r="A6" s="1" t="s">
        <v>3</v>
      </c>
      <c r="B6" s="1">
        <v>0</v>
      </c>
      <c r="C6" s="1">
        <v>0</v>
      </c>
      <c r="D6" s="1">
        <v>0</v>
      </c>
      <c r="E6" s="1">
        <v>1002</v>
      </c>
      <c r="F6" s="1">
        <v>1</v>
      </c>
      <c r="G6" s="1">
        <v>0</v>
      </c>
      <c r="H6" s="1">
        <v>240</v>
      </c>
      <c r="I6" s="1">
        <v>0</v>
      </c>
      <c r="J6" s="1" t="s">
        <v>28</v>
      </c>
      <c r="K6" s="1" t="s">
        <v>30</v>
      </c>
      <c r="L6" s="1">
        <v>120</v>
      </c>
      <c r="M6" s="1">
        <v>1</v>
      </c>
      <c r="N6" s="1">
        <f>MIN($B6)</f>
        <v>0</v>
      </c>
      <c r="O6" s="1">
        <f>MIN($C6)</f>
        <v>0</v>
      </c>
      <c r="P6" s="1">
        <f>MIN($D6)</f>
        <v>0</v>
      </c>
      <c r="Q6" s="1">
        <f>MIN($E6)</f>
        <v>0</v>
      </c>
      <c r="R6" s="1">
        <f>MIN($F6)</f>
        <v>0</v>
      </c>
      <c r="S6" s="1">
        <f>MIN($G6)</f>
        <v>0</v>
      </c>
      <c r="T6" s="1">
        <f>MIN($H6)</f>
        <v>0</v>
      </c>
      <c r="U6" s="1">
        <f>MIN($I6)</f>
        <v>0</v>
      </c>
      <c r="V6" s="1">
        <f>MIN($L6)</f>
        <v>0</v>
      </c>
      <c r="W6" s="1">
        <f>MIN($M6)</f>
        <v>0</v>
      </c>
      <c r="X6" s="1">
        <f>MEDIAN($B6)</f>
        <v>0</v>
      </c>
      <c r="Y6" s="1">
        <f>MEDIAN($C6)</f>
        <v>0</v>
      </c>
      <c r="Z6" s="1">
        <f>MEDIAN($D6)</f>
        <v>0</v>
      </c>
      <c r="AA6" s="1">
        <f>MEDIAN($E6)</f>
        <v>0</v>
      </c>
      <c r="AB6" s="1">
        <f>MEDIAN($F6)</f>
        <v>0</v>
      </c>
      <c r="AC6" s="1">
        <f>MEDIAN($G6)</f>
        <v>0</v>
      </c>
      <c r="AD6" s="1">
        <f>MEDIAN($H6)</f>
        <v>0</v>
      </c>
      <c r="AE6" s="1">
        <f>MEDIAN($I6)</f>
        <v>0</v>
      </c>
      <c r="AF6" s="1">
        <f>MEDIAN($L6)</f>
        <v>0</v>
      </c>
      <c r="AG6" s="1">
        <f>MEDIAN($M6)</f>
        <v>0</v>
      </c>
      <c r="AH6" s="1">
        <f>MAX($B6)</f>
        <v>0</v>
      </c>
      <c r="AI6" s="1">
        <f>MAX($C6)</f>
        <v>0</v>
      </c>
      <c r="AJ6" s="1">
        <f>MAX($D6)</f>
        <v>0</v>
      </c>
      <c r="AK6" s="1">
        <f>MAX($E6)</f>
        <v>0</v>
      </c>
      <c r="AL6" s="1">
        <f>MAX($F6)</f>
        <v>0</v>
      </c>
      <c r="AM6" s="1">
        <f>MAX($G6)</f>
        <v>0</v>
      </c>
      <c r="AN6" s="1">
        <f>MAX($H6)</f>
        <v>0</v>
      </c>
      <c r="AO6" s="1">
        <f>MAX($I6)</f>
        <v>0</v>
      </c>
      <c r="AP6" s="1">
        <f>MAX($L6)</f>
        <v>0</v>
      </c>
      <c r="AQ6" s="1">
        <f>MAX($M6)</f>
        <v>0</v>
      </c>
    </row>
    <row r="7" spans="1:43">
      <c r="A7" s="1" t="s">
        <v>4</v>
      </c>
      <c r="B7" s="1">
        <v>0</v>
      </c>
      <c r="C7" s="1">
        <v>0</v>
      </c>
      <c r="D7" s="1">
        <v>0</v>
      </c>
      <c r="E7" s="1">
        <v>1000</v>
      </c>
      <c r="F7" s="1">
        <v>1</v>
      </c>
      <c r="G7" s="1">
        <v>0</v>
      </c>
      <c r="H7" s="1">
        <v>240</v>
      </c>
      <c r="I7" s="1">
        <v>0</v>
      </c>
      <c r="J7" s="1" t="s">
        <v>28</v>
      </c>
      <c r="K7" s="1" t="s">
        <v>30</v>
      </c>
      <c r="L7" s="1">
        <v>120</v>
      </c>
      <c r="M7" s="1">
        <v>1</v>
      </c>
      <c r="N7" s="1">
        <f>MIN($B7)</f>
        <v>0</v>
      </c>
      <c r="O7" s="1">
        <f>MIN($C7)</f>
        <v>0</v>
      </c>
      <c r="P7" s="1">
        <f>MIN($D7)</f>
        <v>0</v>
      </c>
      <c r="Q7" s="1">
        <f>MIN($E7)</f>
        <v>0</v>
      </c>
      <c r="R7" s="1">
        <f>MIN($F7)</f>
        <v>0</v>
      </c>
      <c r="S7" s="1">
        <f>MIN($G7)</f>
        <v>0</v>
      </c>
      <c r="T7" s="1">
        <f>MIN($H7)</f>
        <v>0</v>
      </c>
      <c r="U7" s="1">
        <f>MIN($I7)</f>
        <v>0</v>
      </c>
      <c r="V7" s="1">
        <f>MIN($L7)</f>
        <v>0</v>
      </c>
      <c r="W7" s="1">
        <f>MIN($M7)</f>
        <v>0</v>
      </c>
      <c r="X7" s="1">
        <f>MEDIAN($B7)</f>
        <v>0</v>
      </c>
      <c r="Y7" s="1">
        <f>MEDIAN($C7)</f>
        <v>0</v>
      </c>
      <c r="Z7" s="1">
        <f>MEDIAN($D7)</f>
        <v>0</v>
      </c>
      <c r="AA7" s="1">
        <f>MEDIAN($E7)</f>
        <v>0</v>
      </c>
      <c r="AB7" s="1">
        <f>MEDIAN($F7)</f>
        <v>0</v>
      </c>
      <c r="AC7" s="1">
        <f>MEDIAN($G7)</f>
        <v>0</v>
      </c>
      <c r="AD7" s="1">
        <f>MEDIAN($H7)</f>
        <v>0</v>
      </c>
      <c r="AE7" s="1">
        <f>MEDIAN($I7)</f>
        <v>0</v>
      </c>
      <c r="AF7" s="1">
        <f>MEDIAN($L7)</f>
        <v>0</v>
      </c>
      <c r="AG7" s="1">
        <f>MEDIAN($M7)</f>
        <v>0</v>
      </c>
      <c r="AH7" s="1">
        <f>MAX($B7)</f>
        <v>0</v>
      </c>
      <c r="AI7" s="1">
        <f>MAX($C7)</f>
        <v>0</v>
      </c>
      <c r="AJ7" s="1">
        <f>MAX($D7)</f>
        <v>0</v>
      </c>
      <c r="AK7" s="1">
        <f>MAX($E7)</f>
        <v>0</v>
      </c>
      <c r="AL7" s="1">
        <f>MAX($F7)</f>
        <v>0</v>
      </c>
      <c r="AM7" s="1">
        <f>MAX($G7)</f>
        <v>0</v>
      </c>
      <c r="AN7" s="1">
        <f>MAX($H7)</f>
        <v>0</v>
      </c>
      <c r="AO7" s="1">
        <f>MAX($I7)</f>
        <v>0</v>
      </c>
      <c r="AP7" s="1">
        <f>MAX($L7)</f>
        <v>0</v>
      </c>
      <c r="AQ7" s="1">
        <f>MAX($M7)</f>
        <v>0</v>
      </c>
    </row>
    <row r="8" spans="1:43">
      <c r="A8" s="1" t="s">
        <v>5</v>
      </c>
      <c r="B8" s="1">
        <v>0</v>
      </c>
      <c r="C8" s="1">
        <v>0</v>
      </c>
      <c r="D8" s="1">
        <v>0</v>
      </c>
      <c r="E8" s="1">
        <v>1001</v>
      </c>
      <c r="F8" s="1">
        <v>1</v>
      </c>
      <c r="G8" s="1">
        <v>0</v>
      </c>
      <c r="H8" s="1">
        <v>240</v>
      </c>
      <c r="I8" s="1">
        <v>0</v>
      </c>
      <c r="J8" s="1" t="s">
        <v>28</v>
      </c>
      <c r="K8" s="1" t="s">
        <v>30</v>
      </c>
      <c r="L8" s="1">
        <v>120</v>
      </c>
      <c r="M8" s="1">
        <v>1</v>
      </c>
      <c r="N8" s="1">
        <f>MIN($B8)</f>
        <v>0</v>
      </c>
      <c r="O8" s="1">
        <f>MIN($C8)</f>
        <v>0</v>
      </c>
      <c r="P8" s="1">
        <f>MIN($D8)</f>
        <v>0</v>
      </c>
      <c r="Q8" s="1">
        <f>MIN($E8)</f>
        <v>0</v>
      </c>
      <c r="R8" s="1">
        <f>MIN($F8)</f>
        <v>0</v>
      </c>
      <c r="S8" s="1">
        <f>MIN($G8)</f>
        <v>0</v>
      </c>
      <c r="T8" s="1">
        <f>MIN($H8)</f>
        <v>0</v>
      </c>
      <c r="U8" s="1">
        <f>MIN($I8)</f>
        <v>0</v>
      </c>
      <c r="V8" s="1">
        <f>MIN($L8)</f>
        <v>0</v>
      </c>
      <c r="W8" s="1">
        <f>MIN($M8)</f>
        <v>0</v>
      </c>
      <c r="X8" s="1">
        <f>MEDIAN($B8)</f>
        <v>0</v>
      </c>
      <c r="Y8" s="1">
        <f>MEDIAN($C8)</f>
        <v>0</v>
      </c>
      <c r="Z8" s="1">
        <f>MEDIAN($D8)</f>
        <v>0</v>
      </c>
      <c r="AA8" s="1">
        <f>MEDIAN($E8)</f>
        <v>0</v>
      </c>
      <c r="AB8" s="1">
        <f>MEDIAN($F8)</f>
        <v>0</v>
      </c>
      <c r="AC8" s="1">
        <f>MEDIAN($G8)</f>
        <v>0</v>
      </c>
      <c r="AD8" s="1">
        <f>MEDIAN($H8)</f>
        <v>0</v>
      </c>
      <c r="AE8" s="1">
        <f>MEDIAN($I8)</f>
        <v>0</v>
      </c>
      <c r="AF8" s="1">
        <f>MEDIAN($L8)</f>
        <v>0</v>
      </c>
      <c r="AG8" s="1">
        <f>MEDIAN($M8)</f>
        <v>0</v>
      </c>
      <c r="AH8" s="1">
        <f>MAX($B8)</f>
        <v>0</v>
      </c>
      <c r="AI8" s="1">
        <f>MAX($C8)</f>
        <v>0</v>
      </c>
      <c r="AJ8" s="1">
        <f>MAX($D8)</f>
        <v>0</v>
      </c>
      <c r="AK8" s="1">
        <f>MAX($E8)</f>
        <v>0</v>
      </c>
      <c r="AL8" s="1">
        <f>MAX($F8)</f>
        <v>0</v>
      </c>
      <c r="AM8" s="1">
        <f>MAX($G8)</f>
        <v>0</v>
      </c>
      <c r="AN8" s="1">
        <f>MAX($H8)</f>
        <v>0</v>
      </c>
      <c r="AO8" s="1">
        <f>MAX($I8)</f>
        <v>0</v>
      </c>
      <c r="AP8" s="1">
        <f>MAX($L8)</f>
        <v>0</v>
      </c>
      <c r="AQ8" s="1">
        <f>MAX($M8)</f>
        <v>0</v>
      </c>
    </row>
    <row r="9" spans="1:43">
      <c r="A9" s="1" t="s">
        <v>6</v>
      </c>
      <c r="B9" s="1">
        <v>0</v>
      </c>
      <c r="C9" s="1">
        <v>0</v>
      </c>
      <c r="D9" s="1">
        <v>0</v>
      </c>
      <c r="E9" s="1">
        <v>1001</v>
      </c>
      <c r="F9" s="1">
        <v>1</v>
      </c>
      <c r="G9" s="1">
        <v>0</v>
      </c>
      <c r="H9" s="1">
        <v>240</v>
      </c>
      <c r="I9" s="1">
        <v>0</v>
      </c>
      <c r="J9" s="1" t="s">
        <v>28</v>
      </c>
      <c r="K9" s="1" t="s">
        <v>30</v>
      </c>
      <c r="L9" s="1">
        <v>120</v>
      </c>
      <c r="M9" s="1">
        <v>1</v>
      </c>
      <c r="N9" s="1">
        <f>MIN($B9)</f>
        <v>0</v>
      </c>
      <c r="O9" s="1">
        <f>MIN($C9)</f>
        <v>0</v>
      </c>
      <c r="P9" s="1">
        <f>MIN($D9)</f>
        <v>0</v>
      </c>
      <c r="Q9" s="1">
        <f>MIN($E9)</f>
        <v>0</v>
      </c>
      <c r="R9" s="1">
        <f>MIN($F9)</f>
        <v>0</v>
      </c>
      <c r="S9" s="1">
        <f>MIN($G9)</f>
        <v>0</v>
      </c>
      <c r="T9" s="1">
        <f>MIN($H9)</f>
        <v>0</v>
      </c>
      <c r="U9" s="1">
        <f>MIN($I9)</f>
        <v>0</v>
      </c>
      <c r="V9" s="1">
        <f>MIN($L9)</f>
        <v>0</v>
      </c>
      <c r="W9" s="1">
        <f>MIN($M9)</f>
        <v>0</v>
      </c>
      <c r="X9" s="1">
        <f>MEDIAN($B9)</f>
        <v>0</v>
      </c>
      <c r="Y9" s="1">
        <f>MEDIAN($C9)</f>
        <v>0</v>
      </c>
      <c r="Z9" s="1">
        <f>MEDIAN($D9)</f>
        <v>0</v>
      </c>
      <c r="AA9" s="1">
        <f>MEDIAN($E9)</f>
        <v>0</v>
      </c>
      <c r="AB9" s="1">
        <f>MEDIAN($F9)</f>
        <v>0</v>
      </c>
      <c r="AC9" s="1">
        <f>MEDIAN($G9)</f>
        <v>0</v>
      </c>
      <c r="AD9" s="1">
        <f>MEDIAN($H9)</f>
        <v>0</v>
      </c>
      <c r="AE9" s="1">
        <f>MEDIAN($I9)</f>
        <v>0</v>
      </c>
      <c r="AF9" s="1">
        <f>MEDIAN($L9)</f>
        <v>0</v>
      </c>
      <c r="AG9" s="1">
        <f>MEDIAN($M9)</f>
        <v>0</v>
      </c>
      <c r="AH9" s="1">
        <f>MAX($B9)</f>
        <v>0</v>
      </c>
      <c r="AI9" s="1">
        <f>MAX($C9)</f>
        <v>0</v>
      </c>
      <c r="AJ9" s="1">
        <f>MAX($D9)</f>
        <v>0</v>
      </c>
      <c r="AK9" s="1">
        <f>MAX($E9)</f>
        <v>0</v>
      </c>
      <c r="AL9" s="1">
        <f>MAX($F9)</f>
        <v>0</v>
      </c>
      <c r="AM9" s="1">
        <f>MAX($G9)</f>
        <v>0</v>
      </c>
      <c r="AN9" s="1">
        <f>MAX($H9)</f>
        <v>0</v>
      </c>
      <c r="AO9" s="1">
        <f>MAX($I9)</f>
        <v>0</v>
      </c>
      <c r="AP9" s="1">
        <f>MAX($L9)</f>
        <v>0</v>
      </c>
      <c r="AQ9" s="1">
        <f>MAX($M9)</f>
        <v>0</v>
      </c>
    </row>
    <row r="10" spans="1:43">
      <c r="A10" s="1" t="s">
        <v>7</v>
      </c>
      <c r="B10" s="1">
        <v>0</v>
      </c>
      <c r="C10" s="1">
        <v>0</v>
      </c>
      <c r="D10" s="1">
        <v>0</v>
      </c>
      <c r="E10" s="1">
        <v>1001</v>
      </c>
      <c r="F10" s="1">
        <v>1</v>
      </c>
      <c r="G10" s="1">
        <v>0</v>
      </c>
      <c r="H10" s="1">
        <v>240</v>
      </c>
      <c r="I10" s="1">
        <v>0</v>
      </c>
      <c r="J10" s="1" t="s">
        <v>28</v>
      </c>
      <c r="K10" s="1" t="s">
        <v>30</v>
      </c>
      <c r="L10" s="1">
        <v>120</v>
      </c>
      <c r="M10" s="1">
        <v>1</v>
      </c>
      <c r="N10" s="1">
        <f>MIN($B10)</f>
        <v>0</v>
      </c>
      <c r="O10" s="1">
        <f>MIN($C10)</f>
        <v>0</v>
      </c>
      <c r="P10" s="1">
        <f>MIN($D10)</f>
        <v>0</v>
      </c>
      <c r="Q10" s="1">
        <f>MIN($E10)</f>
        <v>0</v>
      </c>
      <c r="R10" s="1">
        <f>MIN($F10)</f>
        <v>0</v>
      </c>
      <c r="S10" s="1">
        <f>MIN($G10)</f>
        <v>0</v>
      </c>
      <c r="T10" s="1">
        <f>MIN($H10)</f>
        <v>0</v>
      </c>
      <c r="U10" s="1">
        <f>MIN($I10)</f>
        <v>0</v>
      </c>
      <c r="V10" s="1">
        <f>MIN($L10)</f>
        <v>0</v>
      </c>
      <c r="W10" s="1">
        <f>MIN($M10)</f>
        <v>0</v>
      </c>
      <c r="X10" s="1">
        <f>MEDIAN($B10)</f>
        <v>0</v>
      </c>
      <c r="Y10" s="1">
        <f>MEDIAN($C10)</f>
        <v>0</v>
      </c>
      <c r="Z10" s="1">
        <f>MEDIAN($D10)</f>
        <v>0</v>
      </c>
      <c r="AA10" s="1">
        <f>MEDIAN($E10)</f>
        <v>0</v>
      </c>
      <c r="AB10" s="1">
        <f>MEDIAN($F10)</f>
        <v>0</v>
      </c>
      <c r="AC10" s="1">
        <f>MEDIAN($G10)</f>
        <v>0</v>
      </c>
      <c r="AD10" s="1">
        <f>MEDIAN($H10)</f>
        <v>0</v>
      </c>
      <c r="AE10" s="1">
        <f>MEDIAN($I10)</f>
        <v>0</v>
      </c>
      <c r="AF10" s="1">
        <f>MEDIAN($L10)</f>
        <v>0</v>
      </c>
      <c r="AG10" s="1">
        <f>MEDIAN($M10)</f>
        <v>0</v>
      </c>
      <c r="AH10" s="1">
        <f>MAX($B10)</f>
        <v>0</v>
      </c>
      <c r="AI10" s="1">
        <f>MAX($C10)</f>
        <v>0</v>
      </c>
      <c r="AJ10" s="1">
        <f>MAX($D10)</f>
        <v>0</v>
      </c>
      <c r="AK10" s="1">
        <f>MAX($E10)</f>
        <v>0</v>
      </c>
      <c r="AL10" s="1">
        <f>MAX($F10)</f>
        <v>0</v>
      </c>
      <c r="AM10" s="1">
        <f>MAX($G10)</f>
        <v>0</v>
      </c>
      <c r="AN10" s="1">
        <f>MAX($H10)</f>
        <v>0</v>
      </c>
      <c r="AO10" s="1">
        <f>MAX($I10)</f>
        <v>0</v>
      </c>
      <c r="AP10" s="1">
        <f>MAX($L10)</f>
        <v>0</v>
      </c>
      <c r="AQ10" s="1">
        <f>MAX($M10)</f>
        <v>0</v>
      </c>
    </row>
    <row r="11" spans="1:43">
      <c r="A11" s="1" t="s">
        <v>8</v>
      </c>
      <c r="B11" s="1">
        <v>0</v>
      </c>
      <c r="C11" s="1">
        <v>0</v>
      </c>
      <c r="D11" s="1">
        <v>0</v>
      </c>
      <c r="E11" s="1">
        <v>1000</v>
      </c>
      <c r="F11" s="1">
        <v>1</v>
      </c>
      <c r="G11" s="1">
        <v>0</v>
      </c>
      <c r="H11" s="1">
        <v>240</v>
      </c>
      <c r="I11" s="1">
        <v>0</v>
      </c>
      <c r="J11" s="1" t="s">
        <v>28</v>
      </c>
      <c r="K11" s="1" t="s">
        <v>30</v>
      </c>
      <c r="L11" s="1">
        <v>120</v>
      </c>
      <c r="M11" s="1">
        <v>1</v>
      </c>
      <c r="N11" s="1">
        <f>MIN($B11)</f>
        <v>0</v>
      </c>
      <c r="O11" s="1">
        <f>MIN($C11)</f>
        <v>0</v>
      </c>
      <c r="P11" s="1">
        <f>MIN($D11)</f>
        <v>0</v>
      </c>
      <c r="Q11" s="1">
        <f>MIN($E11)</f>
        <v>0</v>
      </c>
      <c r="R11" s="1">
        <f>MIN($F11)</f>
        <v>0</v>
      </c>
      <c r="S11" s="1">
        <f>MIN($G11)</f>
        <v>0</v>
      </c>
      <c r="T11" s="1">
        <f>MIN($H11)</f>
        <v>0</v>
      </c>
      <c r="U11" s="1">
        <f>MIN($I11)</f>
        <v>0</v>
      </c>
      <c r="V11" s="1">
        <f>MIN($L11)</f>
        <v>0</v>
      </c>
      <c r="W11" s="1">
        <f>MIN($M11)</f>
        <v>0</v>
      </c>
      <c r="X11" s="1">
        <f>MEDIAN($B11)</f>
        <v>0</v>
      </c>
      <c r="Y11" s="1">
        <f>MEDIAN($C11)</f>
        <v>0</v>
      </c>
      <c r="Z11" s="1">
        <f>MEDIAN($D11)</f>
        <v>0</v>
      </c>
      <c r="AA11" s="1">
        <f>MEDIAN($E11)</f>
        <v>0</v>
      </c>
      <c r="AB11" s="1">
        <f>MEDIAN($F11)</f>
        <v>0</v>
      </c>
      <c r="AC11" s="1">
        <f>MEDIAN($G11)</f>
        <v>0</v>
      </c>
      <c r="AD11" s="1">
        <f>MEDIAN($H11)</f>
        <v>0</v>
      </c>
      <c r="AE11" s="1">
        <f>MEDIAN($I11)</f>
        <v>0</v>
      </c>
      <c r="AF11" s="1">
        <f>MEDIAN($L11)</f>
        <v>0</v>
      </c>
      <c r="AG11" s="1">
        <f>MEDIAN($M11)</f>
        <v>0</v>
      </c>
      <c r="AH11" s="1">
        <f>MAX($B11)</f>
        <v>0</v>
      </c>
      <c r="AI11" s="1">
        <f>MAX($C11)</f>
        <v>0</v>
      </c>
      <c r="AJ11" s="1">
        <f>MAX($D11)</f>
        <v>0</v>
      </c>
      <c r="AK11" s="1">
        <f>MAX($E11)</f>
        <v>0</v>
      </c>
      <c r="AL11" s="1">
        <f>MAX($F11)</f>
        <v>0</v>
      </c>
      <c r="AM11" s="1">
        <f>MAX($G11)</f>
        <v>0</v>
      </c>
      <c r="AN11" s="1">
        <f>MAX($H11)</f>
        <v>0</v>
      </c>
      <c r="AO11" s="1">
        <f>MAX($I11)</f>
        <v>0</v>
      </c>
      <c r="AP11" s="1">
        <f>MAX($L11)</f>
        <v>0</v>
      </c>
      <c r="AQ11" s="1">
        <f>MAX($M11)</f>
        <v>0</v>
      </c>
    </row>
    <row r="12" spans="1:43">
      <c r="A12" s="1" t="s">
        <v>9</v>
      </c>
      <c r="B12" s="1">
        <v>0</v>
      </c>
      <c r="C12" s="1">
        <v>0</v>
      </c>
      <c r="D12" s="1">
        <v>0</v>
      </c>
      <c r="E12" s="1">
        <v>1001</v>
      </c>
      <c r="F12" s="1">
        <v>1</v>
      </c>
      <c r="G12" s="1">
        <v>0</v>
      </c>
      <c r="H12" s="1">
        <v>240</v>
      </c>
      <c r="I12" s="1">
        <v>0</v>
      </c>
      <c r="J12" s="1" t="s">
        <v>28</v>
      </c>
      <c r="K12" s="1" t="s">
        <v>30</v>
      </c>
      <c r="L12" s="1">
        <v>120</v>
      </c>
      <c r="M12" s="1">
        <v>1</v>
      </c>
      <c r="N12" s="1">
        <f>MIN($B12)</f>
        <v>0</v>
      </c>
      <c r="O12" s="1">
        <f>MIN($C12)</f>
        <v>0</v>
      </c>
      <c r="P12" s="1">
        <f>MIN($D12)</f>
        <v>0</v>
      </c>
      <c r="Q12" s="1">
        <f>MIN($E12)</f>
        <v>0</v>
      </c>
      <c r="R12" s="1">
        <f>MIN($F12)</f>
        <v>0</v>
      </c>
      <c r="S12" s="1">
        <f>MIN($G12)</f>
        <v>0</v>
      </c>
      <c r="T12" s="1">
        <f>MIN($H12)</f>
        <v>0</v>
      </c>
      <c r="U12" s="1">
        <f>MIN($I12)</f>
        <v>0</v>
      </c>
      <c r="V12" s="1">
        <f>MIN($L12)</f>
        <v>0</v>
      </c>
      <c r="W12" s="1">
        <f>MIN($M12)</f>
        <v>0</v>
      </c>
      <c r="X12" s="1">
        <f>MEDIAN($B12)</f>
        <v>0</v>
      </c>
      <c r="Y12" s="1">
        <f>MEDIAN($C12)</f>
        <v>0</v>
      </c>
      <c r="Z12" s="1">
        <f>MEDIAN($D12)</f>
        <v>0</v>
      </c>
      <c r="AA12" s="1">
        <f>MEDIAN($E12)</f>
        <v>0</v>
      </c>
      <c r="AB12" s="1">
        <f>MEDIAN($F12)</f>
        <v>0</v>
      </c>
      <c r="AC12" s="1">
        <f>MEDIAN($G12)</f>
        <v>0</v>
      </c>
      <c r="AD12" s="1">
        <f>MEDIAN($H12)</f>
        <v>0</v>
      </c>
      <c r="AE12" s="1">
        <f>MEDIAN($I12)</f>
        <v>0</v>
      </c>
      <c r="AF12" s="1">
        <f>MEDIAN($L12)</f>
        <v>0</v>
      </c>
      <c r="AG12" s="1">
        <f>MEDIAN($M12)</f>
        <v>0</v>
      </c>
      <c r="AH12" s="1">
        <f>MAX($B12)</f>
        <v>0</v>
      </c>
      <c r="AI12" s="1">
        <f>MAX($C12)</f>
        <v>0</v>
      </c>
      <c r="AJ12" s="1">
        <f>MAX($D12)</f>
        <v>0</v>
      </c>
      <c r="AK12" s="1">
        <f>MAX($E12)</f>
        <v>0</v>
      </c>
      <c r="AL12" s="1">
        <f>MAX($F12)</f>
        <v>0</v>
      </c>
      <c r="AM12" s="1">
        <f>MAX($G12)</f>
        <v>0</v>
      </c>
      <c r="AN12" s="1">
        <f>MAX($H12)</f>
        <v>0</v>
      </c>
      <c r="AO12" s="1">
        <f>MAX($I12)</f>
        <v>0</v>
      </c>
      <c r="AP12" s="1">
        <f>MAX($L12)</f>
        <v>0</v>
      </c>
      <c r="AQ12" s="1">
        <f>MAX($M12)</f>
        <v>0</v>
      </c>
    </row>
    <row r="13" spans="1:4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</row>
    <row r="14" spans="1:43">
      <c r="A14" s="1" t="s">
        <v>10</v>
      </c>
      <c r="B14" s="1">
        <f>SUM(B$3:B$12)</f>
        <v>0</v>
      </c>
      <c r="C14" s="1">
        <f>SUM(C$3:C$12)</f>
        <v>0</v>
      </c>
      <c r="D14" s="1">
        <f>SUM(D$3:D$12)</f>
        <v>0</v>
      </c>
      <c r="E14" s="1">
        <f>SUM(E$3:E$12)</f>
        <v>0</v>
      </c>
      <c r="F14" s="1">
        <f>SUM(F$3:F$12)</f>
        <v>0</v>
      </c>
      <c r="G14" s="1">
        <f>SUM(G$3:G$12)</f>
        <v>0</v>
      </c>
      <c r="H14" s="1">
        <f>SUM(H$3:H$12)</f>
        <v>0</v>
      </c>
      <c r="I14" s="1">
        <f>SUM(I$3:I$12)</f>
        <v>0</v>
      </c>
      <c r="J14" s="1"/>
      <c r="K14" s="1"/>
      <c r="L14" s="1">
        <f>SUM(L$3:L$12)</f>
        <v>0</v>
      </c>
      <c r="M14" s="1">
        <f>SUM(M$3:M$12)</f>
        <v>0</v>
      </c>
      <c r="N14" s="1">
        <f>SUM(N$3:N$12)</f>
        <v>0</v>
      </c>
      <c r="O14" s="1">
        <f>SUM(O$3:O$12)</f>
        <v>0</v>
      </c>
      <c r="P14" s="1">
        <f>SUM(P$3:P$12)</f>
        <v>0</v>
      </c>
      <c r="Q14" s="1">
        <f>SUM(Q$3:Q$12)</f>
        <v>0</v>
      </c>
      <c r="R14" s="1">
        <f>SUM(R$3:R$12)</f>
        <v>0</v>
      </c>
      <c r="S14" s="1">
        <f>SUM(S$3:S$12)</f>
        <v>0</v>
      </c>
      <c r="T14" s="1">
        <f>SUM(T$3:T$12)</f>
        <v>0</v>
      </c>
      <c r="U14" s="1">
        <f>SUM(U$3:U$12)</f>
        <v>0</v>
      </c>
      <c r="V14" s="1">
        <f>SUM(V$3:V$12)</f>
        <v>0</v>
      </c>
      <c r="W14" s="1">
        <f>SUM(W$3:W$12)</f>
        <v>0</v>
      </c>
      <c r="X14" s="1">
        <f>SUM(X$3:X$12)</f>
        <v>0</v>
      </c>
      <c r="Y14" s="1">
        <f>SUM(Y$3:Y$12)</f>
        <v>0</v>
      </c>
      <c r="Z14" s="1">
        <f>SUM(Z$3:Z$12)</f>
        <v>0</v>
      </c>
      <c r="AA14" s="1">
        <f>SUM(AA$3:AA$12)</f>
        <v>0</v>
      </c>
      <c r="AB14" s="1">
        <f>SUM(AB$3:AB$12)</f>
        <v>0</v>
      </c>
      <c r="AC14" s="1">
        <f>SUM(AC$3:AC$12)</f>
        <v>0</v>
      </c>
      <c r="AD14" s="1">
        <f>SUM(AD$3:AD$12)</f>
        <v>0</v>
      </c>
      <c r="AE14" s="1">
        <f>SUM(AE$3:AE$12)</f>
        <v>0</v>
      </c>
      <c r="AF14" s="1">
        <f>SUM(AF$3:AF$12)</f>
        <v>0</v>
      </c>
      <c r="AG14" s="1">
        <f>SUM(AG$3:AG$12)</f>
        <v>0</v>
      </c>
      <c r="AH14" s="1">
        <f>SUM(AH$3:AH$12)</f>
        <v>0</v>
      </c>
      <c r="AI14" s="1">
        <f>SUM(AI$3:AI$12)</f>
        <v>0</v>
      </c>
      <c r="AJ14" s="1">
        <f>SUM(AJ$3:AJ$12)</f>
        <v>0</v>
      </c>
      <c r="AK14" s="1">
        <f>SUM(AK$3:AK$12)</f>
        <v>0</v>
      </c>
      <c r="AL14" s="1">
        <f>SUM(AL$3:AL$12)</f>
        <v>0</v>
      </c>
      <c r="AM14" s="1">
        <f>SUM(AM$3:AM$12)</f>
        <v>0</v>
      </c>
      <c r="AN14" s="1">
        <f>SUM(AN$3:AN$12)</f>
        <v>0</v>
      </c>
      <c r="AO14" s="1">
        <f>SUM(AO$3:AO$12)</f>
        <v>0</v>
      </c>
      <c r="AP14" s="1">
        <f>SUM(AP$3:AP$12)</f>
        <v>0</v>
      </c>
      <c r="AQ14" s="1">
        <f>SUM(AQ$3:AQ$12)</f>
        <v>0</v>
      </c>
    </row>
    <row r="15" spans="1:43">
      <c r="A15" s="1" t="s">
        <v>11</v>
      </c>
      <c r="B15" s="1">
        <f>AVERAGE(B$3:B$12)</f>
        <v>0</v>
      </c>
      <c r="C15" s="1">
        <f>AVERAGE(C$3:C$12)</f>
        <v>0</v>
      </c>
      <c r="D15" s="1">
        <f>AVERAGE(D$3:D$12)</f>
        <v>0</v>
      </c>
      <c r="E15" s="1">
        <f>AVERAGE(E$3:E$12)</f>
        <v>0</v>
      </c>
      <c r="F15" s="1">
        <f>AVERAGE(F$3:F$12)</f>
        <v>0</v>
      </c>
      <c r="G15" s="1">
        <f>AVERAGE(G$3:G$12)</f>
        <v>0</v>
      </c>
      <c r="H15" s="1">
        <f>AVERAGE(H$3:H$12)</f>
        <v>0</v>
      </c>
      <c r="I15" s="1">
        <f>AVERAGE(I$3:I$12)</f>
        <v>0</v>
      </c>
      <c r="J15" s="1"/>
      <c r="K15" s="1"/>
      <c r="L15" s="1">
        <f>AVERAGE(L$3:L$12)</f>
        <v>0</v>
      </c>
      <c r="M15" s="1">
        <f>AVERAGE(M$3:M$12)</f>
        <v>0</v>
      </c>
      <c r="N15" s="1">
        <f>AVERAGE(N$3:N$12)</f>
        <v>0</v>
      </c>
      <c r="O15" s="1">
        <f>AVERAGE(O$3:O$12)</f>
        <v>0</v>
      </c>
      <c r="P15" s="1">
        <f>AVERAGE(P$3:P$12)</f>
        <v>0</v>
      </c>
      <c r="Q15" s="1">
        <f>AVERAGE(Q$3:Q$12)</f>
        <v>0</v>
      </c>
      <c r="R15" s="1">
        <f>AVERAGE(R$3:R$12)</f>
        <v>0</v>
      </c>
      <c r="S15" s="1">
        <f>AVERAGE(S$3:S$12)</f>
        <v>0</v>
      </c>
      <c r="T15" s="1">
        <f>AVERAGE(T$3:T$12)</f>
        <v>0</v>
      </c>
      <c r="U15" s="1">
        <f>AVERAGE(U$3:U$12)</f>
        <v>0</v>
      </c>
      <c r="V15" s="1">
        <f>AVERAGE(V$3:V$12)</f>
        <v>0</v>
      </c>
      <c r="W15" s="1">
        <f>AVERAGE(W$3:W$12)</f>
        <v>0</v>
      </c>
      <c r="X15" s="1">
        <f>AVERAGE(X$3:X$12)</f>
        <v>0</v>
      </c>
      <c r="Y15" s="1">
        <f>AVERAGE(Y$3:Y$12)</f>
        <v>0</v>
      </c>
      <c r="Z15" s="1">
        <f>AVERAGE(Z$3:Z$12)</f>
        <v>0</v>
      </c>
      <c r="AA15" s="1">
        <f>AVERAGE(AA$3:AA$12)</f>
        <v>0</v>
      </c>
      <c r="AB15" s="1">
        <f>AVERAGE(AB$3:AB$12)</f>
        <v>0</v>
      </c>
      <c r="AC15" s="1">
        <f>AVERAGE(AC$3:AC$12)</f>
        <v>0</v>
      </c>
      <c r="AD15" s="1">
        <f>AVERAGE(AD$3:AD$12)</f>
        <v>0</v>
      </c>
      <c r="AE15" s="1">
        <f>AVERAGE(AE$3:AE$12)</f>
        <v>0</v>
      </c>
      <c r="AF15" s="1">
        <f>AVERAGE(AF$3:AF$12)</f>
        <v>0</v>
      </c>
      <c r="AG15" s="1">
        <f>AVERAGE(AG$3:AG$12)</f>
        <v>0</v>
      </c>
      <c r="AH15" s="1">
        <f>AVERAGE(AH$3:AH$12)</f>
        <v>0</v>
      </c>
      <c r="AI15" s="1">
        <f>AVERAGE(AI$3:AI$12)</f>
        <v>0</v>
      </c>
      <c r="AJ15" s="1">
        <f>AVERAGE(AJ$3:AJ$12)</f>
        <v>0</v>
      </c>
      <c r="AK15" s="1">
        <f>AVERAGE(AK$3:AK$12)</f>
        <v>0</v>
      </c>
      <c r="AL15" s="1">
        <f>AVERAGE(AL$3:AL$12)</f>
        <v>0</v>
      </c>
      <c r="AM15" s="1">
        <f>AVERAGE(AM$3:AM$12)</f>
        <v>0</v>
      </c>
      <c r="AN15" s="1">
        <f>AVERAGE(AN$3:AN$12)</f>
        <v>0</v>
      </c>
      <c r="AO15" s="1">
        <f>AVERAGE(AO$3:AO$12)</f>
        <v>0</v>
      </c>
      <c r="AP15" s="1">
        <f>AVERAGE(AP$3:AP$12)</f>
        <v>0</v>
      </c>
      <c r="AQ15" s="1">
        <f>AVERAGE(AQ$3:AQ$12)</f>
        <v>0</v>
      </c>
    </row>
    <row r="16" spans="1:43">
      <c r="A16" s="1" t="s">
        <v>12</v>
      </c>
      <c r="B16" s="1">
        <f>STDEV(B$3:B$12)</f>
        <v>0</v>
      </c>
      <c r="C16" s="1">
        <f>STDEV(C$3:C$12)</f>
        <v>0</v>
      </c>
      <c r="D16" s="1">
        <f>STDEV(D$3:D$12)</f>
        <v>0</v>
      </c>
      <c r="E16" s="1">
        <f>STDEV(E$3:E$12)</f>
        <v>0</v>
      </c>
      <c r="F16" s="1">
        <f>STDEV(F$3:F$12)</f>
        <v>0</v>
      </c>
      <c r="G16" s="1">
        <f>STDEV(G$3:G$12)</f>
        <v>0</v>
      </c>
      <c r="H16" s="1">
        <f>STDEV(H$3:H$12)</f>
        <v>0</v>
      </c>
      <c r="I16" s="1">
        <f>STDEV(I$3:I$12)</f>
        <v>0</v>
      </c>
      <c r="J16" s="1"/>
      <c r="K16" s="1"/>
      <c r="L16" s="1">
        <f>STDEV(L$3:L$12)</f>
        <v>0</v>
      </c>
      <c r="M16" s="1">
        <f>STDEV(M$3:M$12)</f>
        <v>0</v>
      </c>
      <c r="N16" s="1">
        <f>STDEV(N$3:N$12)</f>
        <v>0</v>
      </c>
      <c r="O16" s="1">
        <f>STDEV(O$3:O$12)</f>
        <v>0</v>
      </c>
      <c r="P16" s="1">
        <f>STDEV(P$3:P$12)</f>
        <v>0</v>
      </c>
      <c r="Q16" s="1">
        <f>STDEV(Q$3:Q$12)</f>
        <v>0</v>
      </c>
      <c r="R16" s="1">
        <f>STDEV(R$3:R$12)</f>
        <v>0</v>
      </c>
      <c r="S16" s="1">
        <f>STDEV(S$3:S$12)</f>
        <v>0</v>
      </c>
      <c r="T16" s="1">
        <f>STDEV(T$3:T$12)</f>
        <v>0</v>
      </c>
      <c r="U16" s="1">
        <f>STDEV(U$3:U$12)</f>
        <v>0</v>
      </c>
      <c r="V16" s="1">
        <f>STDEV(V$3:V$12)</f>
        <v>0</v>
      </c>
      <c r="W16" s="1">
        <f>STDEV(W$3:W$12)</f>
        <v>0</v>
      </c>
      <c r="X16" s="1">
        <f>STDEV(X$3:X$12)</f>
        <v>0</v>
      </c>
      <c r="Y16" s="1">
        <f>STDEV(Y$3:Y$12)</f>
        <v>0</v>
      </c>
      <c r="Z16" s="1">
        <f>STDEV(Z$3:Z$12)</f>
        <v>0</v>
      </c>
      <c r="AA16" s="1">
        <f>STDEV(AA$3:AA$12)</f>
        <v>0</v>
      </c>
      <c r="AB16" s="1">
        <f>STDEV(AB$3:AB$12)</f>
        <v>0</v>
      </c>
      <c r="AC16" s="1">
        <f>STDEV(AC$3:AC$12)</f>
        <v>0</v>
      </c>
      <c r="AD16" s="1">
        <f>STDEV(AD$3:AD$12)</f>
        <v>0</v>
      </c>
      <c r="AE16" s="1">
        <f>STDEV(AE$3:AE$12)</f>
        <v>0</v>
      </c>
      <c r="AF16" s="1">
        <f>STDEV(AF$3:AF$12)</f>
        <v>0</v>
      </c>
      <c r="AG16" s="1">
        <f>STDEV(AG$3:AG$12)</f>
        <v>0</v>
      </c>
      <c r="AH16" s="1">
        <f>STDEV(AH$3:AH$12)</f>
        <v>0</v>
      </c>
      <c r="AI16" s="1">
        <f>STDEV(AI$3:AI$12)</f>
        <v>0</v>
      </c>
      <c r="AJ16" s="1">
        <f>STDEV(AJ$3:AJ$12)</f>
        <v>0</v>
      </c>
      <c r="AK16" s="1">
        <f>STDEV(AK$3:AK$12)</f>
        <v>0</v>
      </c>
      <c r="AL16" s="1">
        <f>STDEV(AL$3:AL$12)</f>
        <v>0</v>
      </c>
      <c r="AM16" s="1">
        <f>STDEV(AM$3:AM$12)</f>
        <v>0</v>
      </c>
      <c r="AN16" s="1">
        <f>STDEV(AN$3:AN$12)</f>
        <v>0</v>
      </c>
      <c r="AO16" s="1">
        <f>STDEV(AO$3:AO$12)</f>
        <v>0</v>
      </c>
      <c r="AP16" s="1">
        <f>STDEV(AP$3:AP$12)</f>
        <v>0</v>
      </c>
      <c r="AQ16" s="1">
        <f>STDEV(AQ$3:AQ$12)</f>
        <v>0</v>
      </c>
    </row>
    <row r="17" spans="1:43">
      <c r="A17" s="1" t="s">
        <v>13</v>
      </c>
      <c r="B17" s="1">
        <f>SUMPRODUCT(--(B$3:B$12-$N$3:$N$12)^2)^0.5</f>
        <v>0</v>
      </c>
      <c r="C17" s="1">
        <f>SUMPRODUCT(--(C$3:C$12-$O$3:$O$12)^2)^0.5</f>
        <v>0</v>
      </c>
      <c r="D17" s="1">
        <f>SUMPRODUCT(--(D$3:D$12-$P$3:$P$12)^2)^0.5</f>
        <v>0</v>
      </c>
      <c r="E17" s="1">
        <f>SUMPRODUCT(--(E$3:E$12-$Q$3:$Q$12)^2)^0.5</f>
        <v>0</v>
      </c>
      <c r="F17" s="1">
        <f>SUMPRODUCT(--(F$3:F$12-$R$3:$R$12)^2)^0.5</f>
        <v>0</v>
      </c>
      <c r="G17" s="1">
        <f>SUMPRODUCT(--(G$3:G$12-$S$3:$S$12)^2)^0.5</f>
        <v>0</v>
      </c>
      <c r="H17" s="1">
        <f>SUMPRODUCT(--(H$3:H$12-$T$3:$T$12)^2)^0.5</f>
        <v>0</v>
      </c>
      <c r="I17" s="1">
        <f>SUMPRODUCT(--(I$3:I$12-$U$3:$U$12)^2)^0.5</f>
        <v>0</v>
      </c>
      <c r="J17" s="1"/>
      <c r="K17" s="1"/>
      <c r="L17" s="1">
        <f>SUMPRODUCT(--(L$3:L$12-$V$3:$V$12)^2)^0.5</f>
        <v>0</v>
      </c>
      <c r="M17" s="1">
        <f>SUMPRODUCT(--(M$3:M$12-$W$3:$W$12)^2)^0.5</f>
        <v>0</v>
      </c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</row>
    <row r="18" spans="1:43">
      <c r="A18" s="1" t="s">
        <v>14</v>
      </c>
      <c r="B18" s="1">
        <f>SUMPRODUCT(NOT(ISBLANK(B$3:B$12))*(B$3:B$12=$N$3:$N$12))</f>
        <v>0</v>
      </c>
      <c r="C18" s="1">
        <f>SUMPRODUCT(NOT(ISBLANK(C$3:C$12))*(C$3:C$12=$O$3:$O$12))</f>
        <v>0</v>
      </c>
      <c r="D18" s="1">
        <f>SUMPRODUCT(NOT(ISBLANK(D$3:D$12))*(D$3:D$12=$P$3:$P$12))</f>
        <v>0</v>
      </c>
      <c r="E18" s="1">
        <f>SUMPRODUCT(NOT(ISBLANK(E$3:E$12))*(E$3:E$12=$Q$3:$Q$12))</f>
        <v>0</v>
      </c>
      <c r="F18" s="1">
        <f>SUMPRODUCT(NOT(ISBLANK(F$3:F$12))*(F$3:F$12=$R$3:$R$12))</f>
        <v>0</v>
      </c>
      <c r="G18" s="1">
        <f>SUMPRODUCT(NOT(ISBLANK(G$3:G$12))*(G$3:G$12=$S$3:$S$12))</f>
        <v>0</v>
      </c>
      <c r="H18" s="1">
        <f>SUMPRODUCT(NOT(ISBLANK(H$3:H$12))*(H$3:H$12=$T$3:$T$12))</f>
        <v>0</v>
      </c>
      <c r="I18" s="1">
        <f>SUMPRODUCT(NOT(ISBLANK(I$3:I$12))*(I$3:I$12=$U$3:$U$12))</f>
        <v>0</v>
      </c>
      <c r="J18" s="1"/>
      <c r="K18" s="1"/>
      <c r="L18" s="1">
        <f>SUMPRODUCT(NOT(ISBLANK(L$3:L$12))*(L$3:L$12=$V$3:$V$12))</f>
        <v>0</v>
      </c>
      <c r="M18" s="1">
        <f>SUMPRODUCT(NOT(ISBLANK(M$3:M$12))*(M$3:M$12=$W$3:$W$12))</f>
        <v>0</v>
      </c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</row>
    <row r="19" spans="1:43">
      <c r="A19" s="1" t="s">
        <v>15</v>
      </c>
      <c r="B19" s="1">
        <f>SUMPRODUCT(NOT(ISBLANK(B$3:B$12))*(B$3:B$12&lt;$X$3:$X$12))</f>
        <v>0</v>
      </c>
      <c r="C19" s="1">
        <f>SUMPRODUCT(NOT(ISBLANK(C$3:C$12))*(C$3:C$12&lt;$Y$3:$Y$12))</f>
        <v>0</v>
      </c>
      <c r="D19" s="1">
        <f>SUMPRODUCT(NOT(ISBLANK(D$3:D$12))*(D$3:D$12&lt;$Z$3:$Z$12))</f>
        <v>0</v>
      </c>
      <c r="E19" s="1">
        <f>SUMPRODUCT(NOT(ISBLANK(E$3:E$12))*(E$3:E$12&lt;$AA$3:$AA$12))</f>
        <v>0</v>
      </c>
      <c r="F19" s="1">
        <f>SUMPRODUCT(NOT(ISBLANK(F$3:F$12))*(F$3:F$12&lt;$AB$3:$AB$12))</f>
        <v>0</v>
      </c>
      <c r="G19" s="1">
        <f>SUMPRODUCT(NOT(ISBLANK(G$3:G$12))*(G$3:G$12&lt;$AC$3:$AC$12))</f>
        <v>0</v>
      </c>
      <c r="H19" s="1">
        <f>SUMPRODUCT(NOT(ISBLANK(H$3:H$12))*(H$3:H$12&lt;$AD$3:$AD$12))</f>
        <v>0</v>
      </c>
      <c r="I19" s="1">
        <f>SUMPRODUCT(NOT(ISBLANK(I$3:I$12))*(I$3:I$12&lt;$AE$3:$AE$12))</f>
        <v>0</v>
      </c>
      <c r="J19" s="1"/>
      <c r="K19" s="1"/>
      <c r="L19" s="1">
        <f>SUMPRODUCT(NOT(ISBLANK(L$3:L$12))*(L$3:L$12&lt;$AF$3:$AF$12))</f>
        <v>0</v>
      </c>
      <c r="M19" s="1">
        <f>SUMPRODUCT(NOT(ISBLANK(M$3:M$12))*(M$3:M$12&lt;$AG$3:$AG$12))</f>
        <v>0</v>
      </c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</row>
    <row r="20" spans="1:43">
      <c r="A20" s="1" t="s">
        <v>16</v>
      </c>
      <c r="B20" s="1">
        <f>SUMPRODUCT((NOT(ISBLANK(B$3:B$12))*(B$3:B$12&gt;$X$3:$X$12))+ISBLANK(B$3:B$12))</f>
        <v>0</v>
      </c>
      <c r="C20" s="1">
        <f>SUMPRODUCT((NOT(ISBLANK(C$3:C$12))*(C$3:C$12&gt;$Y$3:$Y$12))+ISBLANK(C$3:C$12))</f>
        <v>0</v>
      </c>
      <c r="D20" s="1">
        <f>SUMPRODUCT((NOT(ISBLANK(D$3:D$12))*(D$3:D$12&gt;$Z$3:$Z$12))+ISBLANK(D$3:D$12))</f>
        <v>0</v>
      </c>
      <c r="E20" s="1">
        <f>SUMPRODUCT((NOT(ISBLANK(E$3:E$12))*(E$3:E$12&gt;$AA$3:$AA$12))+ISBLANK(E$3:E$12))</f>
        <v>0</v>
      </c>
      <c r="F20" s="1">
        <f>SUMPRODUCT((NOT(ISBLANK(F$3:F$12))*(F$3:F$12&gt;$AB$3:$AB$12))+ISBLANK(F$3:F$12))</f>
        <v>0</v>
      </c>
      <c r="G20" s="1">
        <f>SUMPRODUCT((NOT(ISBLANK(G$3:G$12))*(G$3:G$12&gt;$AC$3:$AC$12))+ISBLANK(G$3:G$12))</f>
        <v>0</v>
      </c>
      <c r="H20" s="1">
        <f>SUMPRODUCT((NOT(ISBLANK(H$3:H$12))*(H$3:H$12&gt;$AD$3:$AD$12))+ISBLANK(H$3:H$12))</f>
        <v>0</v>
      </c>
      <c r="I20" s="1">
        <f>SUMPRODUCT((NOT(ISBLANK(I$3:I$12))*(I$3:I$12&gt;$AE$3:$AE$12))+ISBLANK(I$3:I$12))</f>
        <v>0</v>
      </c>
      <c r="J20" s="1"/>
      <c r="K20" s="1"/>
      <c r="L20" s="1">
        <f>SUMPRODUCT((NOT(ISBLANK(L$3:L$12))*(L$3:L$12&gt;$AF$3:$AF$12))+ISBLANK(L$3:L$12))</f>
        <v>0</v>
      </c>
      <c r="M20" s="1">
        <f>SUMPRODUCT((NOT(ISBLANK(M$3:M$12))*(M$3:M$12&gt;$AG$3:$AG$12))+ISBLANK(M$3:M$12))</f>
        <v>0</v>
      </c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</row>
    <row r="21" spans="1:43">
      <c r="A21" s="1" t="s">
        <v>17</v>
      </c>
      <c r="B21" s="1">
        <f>SUMPRODUCT((NOT(ISBLANK(B$3:B$12))*(B$3:B$12=$AH$3:$AH$12))+ISBLANK(B$3:B$12))</f>
        <v>0</v>
      </c>
      <c r="C21" s="1">
        <f>SUMPRODUCT((NOT(ISBLANK(C$3:C$12))*(C$3:C$12=$AI$3:$AI$12))+ISBLANK(C$3:C$12))</f>
        <v>0</v>
      </c>
      <c r="D21" s="1">
        <f>SUMPRODUCT((NOT(ISBLANK(D$3:D$12))*(D$3:D$12=$AJ$3:$AJ$12))+ISBLANK(D$3:D$12))</f>
        <v>0</v>
      </c>
      <c r="E21" s="1">
        <f>SUMPRODUCT((NOT(ISBLANK(E$3:E$12))*(E$3:E$12=$AK$3:$AK$12))+ISBLANK(E$3:E$12))</f>
        <v>0</v>
      </c>
      <c r="F21" s="1">
        <f>SUMPRODUCT((NOT(ISBLANK(F$3:F$12))*(F$3:F$12=$AL$3:$AL$12))+ISBLANK(F$3:F$12))</f>
        <v>0</v>
      </c>
      <c r="G21" s="1">
        <f>SUMPRODUCT((NOT(ISBLANK(G$3:G$12))*(G$3:G$12=$AM$3:$AM$12))+ISBLANK(G$3:G$12))</f>
        <v>0</v>
      </c>
      <c r="H21" s="1">
        <f>SUMPRODUCT((NOT(ISBLANK(H$3:H$12))*(H$3:H$12=$AN$3:$AN$12))+ISBLANK(H$3:H$12))</f>
        <v>0</v>
      </c>
      <c r="I21" s="1">
        <f>SUMPRODUCT((NOT(ISBLANK(I$3:I$12))*(I$3:I$12=$AO$3:$AO$12))+ISBLANK(I$3:I$12))</f>
        <v>0</v>
      </c>
      <c r="J21" s="1"/>
      <c r="K21" s="1"/>
      <c r="L21" s="1">
        <f>SUMPRODUCT((NOT(ISBLANK(L$3:L$12))*(L$3:L$12=$AP$3:$AP$12))+ISBLANK(L$3:L$12))</f>
        <v>0</v>
      </c>
      <c r="M21" s="1">
        <f>SUMPRODUCT((NOT(ISBLANK(M$3:M$12))*(M$3:M$12=$AQ$3:$AQ$12))+ISBLANK(M$3:M$12))</f>
        <v>0</v>
      </c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Q21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15.28515625" customWidth="1"/>
    <col min="2" max="43" width="11.42578125" customWidth="1"/>
  </cols>
  <sheetData>
    <row r="1" spans="1:43">
      <c r="A1" s="1" t="s">
        <v>36</v>
      </c>
      <c r="B1" s="1" t="s">
        <v>18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 t="s">
        <v>33</v>
      </c>
      <c r="O1" s="1"/>
      <c r="P1" s="1"/>
      <c r="Q1" s="1"/>
      <c r="R1" s="1"/>
      <c r="S1" s="1"/>
      <c r="T1" s="1"/>
      <c r="U1" s="1"/>
      <c r="V1" s="1"/>
      <c r="W1" s="1"/>
      <c r="X1" s="1" t="s">
        <v>34</v>
      </c>
      <c r="Y1" s="1"/>
      <c r="Z1" s="1"/>
      <c r="AA1" s="1"/>
      <c r="AB1" s="1"/>
      <c r="AC1" s="1"/>
      <c r="AD1" s="1"/>
      <c r="AE1" s="1"/>
      <c r="AF1" s="1"/>
      <c r="AG1" s="1"/>
      <c r="AH1" s="1" t="s">
        <v>35</v>
      </c>
      <c r="AI1" s="1"/>
      <c r="AJ1" s="1"/>
      <c r="AK1" s="1"/>
      <c r="AL1" s="1"/>
      <c r="AM1" s="1"/>
      <c r="AN1" s="1"/>
      <c r="AO1" s="1"/>
      <c r="AP1" s="1"/>
      <c r="AQ1" s="1"/>
    </row>
    <row r="2" spans="1:43">
      <c r="A2" s="2" t="s">
        <v>34</v>
      </c>
      <c r="B2" s="1" t="s">
        <v>19</v>
      </c>
      <c r="C2" s="1" t="s">
        <v>20</v>
      </c>
      <c r="D2" s="1" t="s">
        <v>21</v>
      </c>
      <c r="E2" s="1" t="s">
        <v>22</v>
      </c>
      <c r="F2" s="1" t="s">
        <v>23</v>
      </c>
      <c r="G2" s="1" t="s">
        <v>24</v>
      </c>
      <c r="H2" s="1" t="s">
        <v>25</v>
      </c>
      <c r="I2" s="1" t="s">
        <v>26</v>
      </c>
      <c r="J2" s="1" t="s">
        <v>27</v>
      </c>
      <c r="K2" s="1" t="s">
        <v>29</v>
      </c>
      <c r="L2" s="1" t="s">
        <v>31</v>
      </c>
      <c r="M2" s="1" t="s">
        <v>32</v>
      </c>
      <c r="N2" s="1" t="s">
        <v>19</v>
      </c>
      <c r="O2" s="1" t="s">
        <v>20</v>
      </c>
      <c r="P2" s="1" t="s">
        <v>21</v>
      </c>
      <c r="Q2" s="1" t="s">
        <v>22</v>
      </c>
      <c r="R2" s="1" t="s">
        <v>23</v>
      </c>
      <c r="S2" s="1" t="s">
        <v>24</v>
      </c>
      <c r="T2" s="1" t="s">
        <v>25</v>
      </c>
      <c r="U2" s="1" t="s">
        <v>26</v>
      </c>
      <c r="V2" s="1" t="s">
        <v>31</v>
      </c>
      <c r="W2" s="1" t="s">
        <v>32</v>
      </c>
      <c r="X2" s="1" t="s">
        <v>19</v>
      </c>
      <c r="Y2" s="1" t="s">
        <v>20</v>
      </c>
      <c r="Z2" s="1" t="s">
        <v>21</v>
      </c>
      <c r="AA2" s="1" t="s">
        <v>22</v>
      </c>
      <c r="AB2" s="1" t="s">
        <v>23</v>
      </c>
      <c r="AC2" s="1" t="s">
        <v>24</v>
      </c>
      <c r="AD2" s="1" t="s">
        <v>25</v>
      </c>
      <c r="AE2" s="1" t="s">
        <v>26</v>
      </c>
      <c r="AF2" s="1" t="s">
        <v>31</v>
      </c>
      <c r="AG2" s="1" t="s">
        <v>32</v>
      </c>
      <c r="AH2" s="1" t="s">
        <v>19</v>
      </c>
      <c r="AI2" s="1" t="s">
        <v>20</v>
      </c>
      <c r="AJ2" s="1" t="s">
        <v>21</v>
      </c>
      <c r="AK2" s="1" t="s">
        <v>22</v>
      </c>
      <c r="AL2" s="1" t="s">
        <v>23</v>
      </c>
      <c r="AM2" s="1" t="s">
        <v>24</v>
      </c>
      <c r="AN2" s="1" t="s">
        <v>25</v>
      </c>
      <c r="AO2" s="1" t="s">
        <v>26</v>
      </c>
      <c r="AP2" s="1" t="s">
        <v>31</v>
      </c>
      <c r="AQ2" s="1" t="s">
        <v>32</v>
      </c>
    </row>
    <row r="3" spans="1:43">
      <c r="A3" s="1" t="s">
        <v>0</v>
      </c>
      <c r="B3" s="1" cm="1">
        <f t="array" ref="B3">_xlfn.SWITCH($A$2,"average", AVERAGE(Instances!B3:Instances!B3),"median", MEDIAN(Instances!B3:Instances!B3),"min", MIN(Instances!B3:Instances!B3),"max", MAX(Instances!B3:Instances!B3),"diff", MAX(Instances!B3:Instances!B3)-MIN(Instances!B3:Instances!B3))</f>
        <v>0</v>
      </c>
      <c r="C3" s="1" cm="1">
        <f t="array" ref="C3">_xlfn.SWITCH($A$2,"average", AVERAGE(Instances!C3:Instances!C3),"median", MEDIAN(Instances!C3:Instances!C3),"min", MIN(Instances!C3:Instances!C3),"max", MAX(Instances!C3:Instances!C3),"diff", MAX(Instances!C3:Instances!C3)-MIN(Instances!C3:Instances!C3))</f>
        <v>0</v>
      </c>
      <c r="D3" s="1" cm="1">
        <f t="array" ref="D3">_xlfn.SWITCH($A$2,"average", AVERAGE(Instances!D3:Instances!D3),"median", MEDIAN(Instances!D3:Instances!D3),"min", MIN(Instances!D3:Instances!D3),"max", MAX(Instances!D3:Instances!D3),"diff", MAX(Instances!D3:Instances!D3)-MIN(Instances!D3:Instances!D3))</f>
        <v>0</v>
      </c>
      <c r="E3" s="1" cm="1">
        <f t="array" ref="E3">_xlfn.SWITCH($A$2,"average", AVERAGE(Instances!E3:Instances!E3),"median", MEDIAN(Instances!E3:Instances!E3),"min", MIN(Instances!E3:Instances!E3),"max", MAX(Instances!E3:Instances!E3),"diff", MAX(Instances!E3:Instances!E3)-MIN(Instances!E3:Instances!E3))</f>
        <v>0</v>
      </c>
      <c r="F3" s="1" cm="1">
        <f t="array" ref="F3">_xlfn.SWITCH($A$2,"average", AVERAGE(Instances!F3:Instances!F3),"median", MEDIAN(Instances!F3:Instances!F3),"min", MIN(Instances!F3:Instances!F3),"max", MAX(Instances!F3:Instances!F3),"diff", MAX(Instances!F3:Instances!F3)-MIN(Instances!F3:Instances!F3))</f>
        <v>0</v>
      </c>
      <c r="G3" s="1" cm="1">
        <f t="array" ref="G3">_xlfn.SWITCH($A$2,"average", AVERAGE(Instances!G3:Instances!G3),"median", MEDIAN(Instances!G3:Instances!G3),"min", MIN(Instances!G3:Instances!G3),"max", MAX(Instances!G3:Instances!G3),"diff", MAX(Instances!G3:Instances!G3)-MIN(Instances!G3:Instances!G3))</f>
        <v>0</v>
      </c>
      <c r="H3" s="1" cm="1">
        <f t="array" ref="H3">_xlfn.SWITCH($A$2,"average", AVERAGE(Instances!H3:Instances!H3),"median", MEDIAN(Instances!H3:Instances!H3),"min", MIN(Instances!H3:Instances!H3),"max", MAX(Instances!H3:Instances!H3),"diff", MAX(Instances!H3:Instances!H3)-MIN(Instances!H3:Instances!H3))</f>
        <v>0</v>
      </c>
      <c r="I3" s="1" cm="1">
        <f t="array" ref="I3">_xlfn.SWITCH($A$2,"average", AVERAGE(Instances!I3:Instances!I3),"median", MEDIAN(Instances!I3:Instances!I3),"min", MIN(Instances!I3:Instances!I3),"max", MAX(Instances!I3:Instances!I3),"diff", MAX(Instances!I3:Instances!I3)-MIN(Instances!I3:Instances!I3))</f>
        <v>0</v>
      </c>
      <c r="J3" s="1"/>
      <c r="K3" s="1"/>
      <c r="L3" s="1" cm="1">
        <f t="array" ref="L3">_xlfn.SWITCH($A$2,"average", AVERAGE(Instances!L3:Instances!L3),"median", MEDIAN(Instances!L3:Instances!L3),"min", MIN(Instances!L3:Instances!L3),"max", MAX(Instances!L3:Instances!L3),"diff", MAX(Instances!L3:Instances!L3)-MIN(Instances!L3:Instances!L3))</f>
        <v>0</v>
      </c>
      <c r="M3" s="1" cm="1">
        <f t="array" ref="M3">_xlfn.SWITCH($A$2,"average", AVERAGE(Instances!M3:Instances!M3),"median", MEDIAN(Instances!M3:Instances!M3),"min", MIN(Instances!M3:Instances!M3),"max", MAX(Instances!M3:Instances!M3),"diff", MAX(Instances!M3:Instances!M3)-MIN(Instances!M3:Instances!M3))</f>
        <v>0</v>
      </c>
      <c r="N3" s="1">
        <f>MIN($B3)</f>
        <v>0</v>
      </c>
      <c r="O3" s="1">
        <f>MIN($C3)</f>
        <v>0</v>
      </c>
      <c r="P3" s="1">
        <f>MIN($D3)</f>
        <v>0</v>
      </c>
      <c r="Q3" s="1">
        <f>MIN($E3)</f>
        <v>0</v>
      </c>
      <c r="R3" s="1">
        <f>MIN($F3)</f>
        <v>0</v>
      </c>
      <c r="S3" s="1">
        <f>MIN($G3)</f>
        <v>0</v>
      </c>
      <c r="T3" s="1">
        <f>MIN($H3)</f>
        <v>0</v>
      </c>
      <c r="U3" s="1">
        <f>MIN($I3)</f>
        <v>0</v>
      </c>
      <c r="V3" s="1">
        <f>MIN($L3)</f>
        <v>0</v>
      </c>
      <c r="W3" s="1">
        <f>MIN($M3)</f>
        <v>0</v>
      </c>
      <c r="X3" s="1">
        <f>MEDIAN($B3)</f>
        <v>0</v>
      </c>
      <c r="Y3" s="1">
        <f>MEDIAN($C3)</f>
        <v>0</v>
      </c>
      <c r="Z3" s="1">
        <f>MEDIAN($D3)</f>
        <v>0</v>
      </c>
      <c r="AA3" s="1">
        <f>MEDIAN($E3)</f>
        <v>0</v>
      </c>
      <c r="AB3" s="1">
        <f>MEDIAN($F3)</f>
        <v>0</v>
      </c>
      <c r="AC3" s="1">
        <f>MEDIAN($G3)</f>
        <v>0</v>
      </c>
      <c r="AD3" s="1">
        <f>MEDIAN($H3)</f>
        <v>0</v>
      </c>
      <c r="AE3" s="1">
        <f>MEDIAN($I3)</f>
        <v>0</v>
      </c>
      <c r="AF3" s="1">
        <f>MEDIAN($L3)</f>
        <v>0</v>
      </c>
      <c r="AG3" s="1">
        <f>MEDIAN($M3)</f>
        <v>0</v>
      </c>
      <c r="AH3" s="1">
        <f>MAX($B3)</f>
        <v>0</v>
      </c>
      <c r="AI3" s="1">
        <f>MAX($C3)</f>
        <v>0</v>
      </c>
      <c r="AJ3" s="1">
        <f>MAX($D3)</f>
        <v>0</v>
      </c>
      <c r="AK3" s="1">
        <f>MAX($E3)</f>
        <v>0</v>
      </c>
      <c r="AL3" s="1">
        <f>MAX($F3)</f>
        <v>0</v>
      </c>
      <c r="AM3" s="1">
        <f>MAX($G3)</f>
        <v>0</v>
      </c>
      <c r="AN3" s="1">
        <f>MAX($H3)</f>
        <v>0</v>
      </c>
      <c r="AO3" s="1">
        <f>MAX($I3)</f>
        <v>0</v>
      </c>
      <c r="AP3" s="1">
        <f>MAX($L3)</f>
        <v>0</v>
      </c>
      <c r="AQ3" s="1">
        <f>MAX($M3)</f>
        <v>0</v>
      </c>
    </row>
    <row r="4" spans="1:43">
      <c r="A4" s="1" t="s">
        <v>1</v>
      </c>
      <c r="B4" s="1" cm="1">
        <f t="array" ref="B4">_xlfn.SWITCH($A$2,"average", AVERAGE(Instances!B4:Instances!B4),"median", MEDIAN(Instances!B4:Instances!B4),"min", MIN(Instances!B4:Instances!B4),"max", MAX(Instances!B4:Instances!B4),"diff", MAX(Instances!B4:Instances!B4)-MIN(Instances!B4:Instances!B4))</f>
        <v>0</v>
      </c>
      <c r="C4" s="1" cm="1">
        <f t="array" ref="C4">_xlfn.SWITCH($A$2,"average", AVERAGE(Instances!C4:Instances!C4),"median", MEDIAN(Instances!C4:Instances!C4),"min", MIN(Instances!C4:Instances!C4),"max", MAX(Instances!C4:Instances!C4),"diff", MAX(Instances!C4:Instances!C4)-MIN(Instances!C4:Instances!C4))</f>
        <v>0</v>
      </c>
      <c r="D4" s="1" cm="1">
        <f t="array" ref="D4">_xlfn.SWITCH($A$2,"average", AVERAGE(Instances!D4:Instances!D4),"median", MEDIAN(Instances!D4:Instances!D4),"min", MIN(Instances!D4:Instances!D4),"max", MAX(Instances!D4:Instances!D4),"diff", MAX(Instances!D4:Instances!D4)-MIN(Instances!D4:Instances!D4))</f>
        <v>0</v>
      </c>
      <c r="E4" s="1" cm="1">
        <f t="array" ref="E4">_xlfn.SWITCH($A$2,"average", AVERAGE(Instances!E4:Instances!E4),"median", MEDIAN(Instances!E4:Instances!E4),"min", MIN(Instances!E4:Instances!E4),"max", MAX(Instances!E4:Instances!E4),"diff", MAX(Instances!E4:Instances!E4)-MIN(Instances!E4:Instances!E4))</f>
        <v>0</v>
      </c>
      <c r="F4" s="1" cm="1">
        <f t="array" ref="F4">_xlfn.SWITCH($A$2,"average", AVERAGE(Instances!F4:Instances!F4),"median", MEDIAN(Instances!F4:Instances!F4),"min", MIN(Instances!F4:Instances!F4),"max", MAX(Instances!F4:Instances!F4),"diff", MAX(Instances!F4:Instances!F4)-MIN(Instances!F4:Instances!F4))</f>
        <v>0</v>
      </c>
      <c r="G4" s="1" cm="1">
        <f t="array" ref="G4">_xlfn.SWITCH($A$2,"average", AVERAGE(Instances!G4:Instances!G4),"median", MEDIAN(Instances!G4:Instances!G4),"min", MIN(Instances!G4:Instances!G4),"max", MAX(Instances!G4:Instances!G4),"diff", MAX(Instances!G4:Instances!G4)-MIN(Instances!G4:Instances!G4))</f>
        <v>0</v>
      </c>
      <c r="H4" s="1" cm="1">
        <f t="array" ref="H4">_xlfn.SWITCH($A$2,"average", AVERAGE(Instances!H4:Instances!H4),"median", MEDIAN(Instances!H4:Instances!H4),"min", MIN(Instances!H4:Instances!H4),"max", MAX(Instances!H4:Instances!H4),"diff", MAX(Instances!H4:Instances!H4)-MIN(Instances!H4:Instances!H4))</f>
        <v>0</v>
      </c>
      <c r="I4" s="1" cm="1">
        <f t="array" ref="I4">_xlfn.SWITCH($A$2,"average", AVERAGE(Instances!I4:Instances!I4),"median", MEDIAN(Instances!I4:Instances!I4),"min", MIN(Instances!I4:Instances!I4),"max", MAX(Instances!I4:Instances!I4),"diff", MAX(Instances!I4:Instances!I4)-MIN(Instances!I4:Instances!I4))</f>
        <v>0</v>
      </c>
      <c r="J4" s="1"/>
      <c r="K4" s="1"/>
      <c r="L4" s="1" cm="1">
        <f t="array" ref="L4">_xlfn.SWITCH($A$2,"average", AVERAGE(Instances!L4:Instances!L4),"median", MEDIAN(Instances!L4:Instances!L4),"min", MIN(Instances!L4:Instances!L4),"max", MAX(Instances!L4:Instances!L4),"diff", MAX(Instances!L4:Instances!L4)-MIN(Instances!L4:Instances!L4))</f>
        <v>0</v>
      </c>
      <c r="M4" s="1" cm="1">
        <f t="array" ref="M4">_xlfn.SWITCH($A$2,"average", AVERAGE(Instances!M4:Instances!M4),"median", MEDIAN(Instances!M4:Instances!M4),"min", MIN(Instances!M4:Instances!M4),"max", MAX(Instances!M4:Instances!M4),"diff", MAX(Instances!M4:Instances!M4)-MIN(Instances!M4:Instances!M4))</f>
        <v>0</v>
      </c>
      <c r="N4" s="1">
        <f>MIN($B4)</f>
        <v>0</v>
      </c>
      <c r="O4" s="1">
        <f>MIN($C4)</f>
        <v>0</v>
      </c>
      <c r="P4" s="1">
        <f>MIN($D4)</f>
        <v>0</v>
      </c>
      <c r="Q4" s="1">
        <f>MIN($E4)</f>
        <v>0</v>
      </c>
      <c r="R4" s="1">
        <f>MIN($F4)</f>
        <v>0</v>
      </c>
      <c r="S4" s="1">
        <f>MIN($G4)</f>
        <v>0</v>
      </c>
      <c r="T4" s="1">
        <f>MIN($H4)</f>
        <v>0</v>
      </c>
      <c r="U4" s="1">
        <f>MIN($I4)</f>
        <v>0</v>
      </c>
      <c r="V4" s="1">
        <f>MIN($L4)</f>
        <v>0</v>
      </c>
      <c r="W4" s="1">
        <f>MIN($M4)</f>
        <v>0</v>
      </c>
      <c r="X4" s="1">
        <f>MEDIAN($B4)</f>
        <v>0</v>
      </c>
      <c r="Y4" s="1">
        <f>MEDIAN($C4)</f>
        <v>0</v>
      </c>
      <c r="Z4" s="1">
        <f>MEDIAN($D4)</f>
        <v>0</v>
      </c>
      <c r="AA4" s="1">
        <f>MEDIAN($E4)</f>
        <v>0</v>
      </c>
      <c r="AB4" s="1">
        <f>MEDIAN($F4)</f>
        <v>0</v>
      </c>
      <c r="AC4" s="1">
        <f>MEDIAN($G4)</f>
        <v>0</v>
      </c>
      <c r="AD4" s="1">
        <f>MEDIAN($H4)</f>
        <v>0</v>
      </c>
      <c r="AE4" s="1">
        <f>MEDIAN($I4)</f>
        <v>0</v>
      </c>
      <c r="AF4" s="1">
        <f>MEDIAN($L4)</f>
        <v>0</v>
      </c>
      <c r="AG4" s="1">
        <f>MEDIAN($M4)</f>
        <v>0</v>
      </c>
      <c r="AH4" s="1">
        <f>MAX($B4)</f>
        <v>0</v>
      </c>
      <c r="AI4" s="1">
        <f>MAX($C4)</f>
        <v>0</v>
      </c>
      <c r="AJ4" s="1">
        <f>MAX($D4)</f>
        <v>0</v>
      </c>
      <c r="AK4" s="1">
        <f>MAX($E4)</f>
        <v>0</v>
      </c>
      <c r="AL4" s="1">
        <f>MAX($F4)</f>
        <v>0</v>
      </c>
      <c r="AM4" s="1">
        <f>MAX($G4)</f>
        <v>0</v>
      </c>
      <c r="AN4" s="1">
        <f>MAX($H4)</f>
        <v>0</v>
      </c>
      <c r="AO4" s="1">
        <f>MAX($I4)</f>
        <v>0</v>
      </c>
      <c r="AP4" s="1">
        <f>MAX($L4)</f>
        <v>0</v>
      </c>
      <c r="AQ4" s="1">
        <f>MAX($M4)</f>
        <v>0</v>
      </c>
    </row>
    <row r="5" spans="1:43">
      <c r="A5" s="1" t="s">
        <v>2</v>
      </c>
      <c r="B5" s="1" cm="1">
        <f t="array" ref="B5">_xlfn.SWITCH($A$2,"average", AVERAGE(Instances!B5:Instances!B5),"median", MEDIAN(Instances!B5:Instances!B5),"min", MIN(Instances!B5:Instances!B5),"max", MAX(Instances!B5:Instances!B5),"diff", MAX(Instances!B5:Instances!B5)-MIN(Instances!B5:Instances!B5))</f>
        <v>0</v>
      </c>
      <c r="C5" s="1" cm="1">
        <f t="array" ref="C5">_xlfn.SWITCH($A$2,"average", AVERAGE(Instances!C5:Instances!C5),"median", MEDIAN(Instances!C5:Instances!C5),"min", MIN(Instances!C5:Instances!C5),"max", MAX(Instances!C5:Instances!C5),"diff", MAX(Instances!C5:Instances!C5)-MIN(Instances!C5:Instances!C5))</f>
        <v>0</v>
      </c>
      <c r="D5" s="1" cm="1">
        <f t="array" ref="D5">_xlfn.SWITCH($A$2,"average", AVERAGE(Instances!D5:Instances!D5),"median", MEDIAN(Instances!D5:Instances!D5),"min", MIN(Instances!D5:Instances!D5),"max", MAX(Instances!D5:Instances!D5),"diff", MAX(Instances!D5:Instances!D5)-MIN(Instances!D5:Instances!D5))</f>
        <v>0</v>
      </c>
      <c r="E5" s="1" cm="1">
        <f t="array" ref="E5">_xlfn.SWITCH($A$2,"average", AVERAGE(Instances!E5:Instances!E5),"median", MEDIAN(Instances!E5:Instances!E5),"min", MIN(Instances!E5:Instances!E5),"max", MAX(Instances!E5:Instances!E5),"diff", MAX(Instances!E5:Instances!E5)-MIN(Instances!E5:Instances!E5))</f>
        <v>0</v>
      </c>
      <c r="F5" s="1" cm="1">
        <f t="array" ref="F5">_xlfn.SWITCH($A$2,"average", AVERAGE(Instances!F5:Instances!F5),"median", MEDIAN(Instances!F5:Instances!F5),"min", MIN(Instances!F5:Instances!F5),"max", MAX(Instances!F5:Instances!F5),"diff", MAX(Instances!F5:Instances!F5)-MIN(Instances!F5:Instances!F5))</f>
        <v>0</v>
      </c>
      <c r="G5" s="1" cm="1">
        <f t="array" ref="G5">_xlfn.SWITCH($A$2,"average", AVERAGE(Instances!G5:Instances!G5),"median", MEDIAN(Instances!G5:Instances!G5),"min", MIN(Instances!G5:Instances!G5),"max", MAX(Instances!G5:Instances!G5),"diff", MAX(Instances!G5:Instances!G5)-MIN(Instances!G5:Instances!G5))</f>
        <v>0</v>
      </c>
      <c r="H5" s="1" cm="1">
        <f t="array" ref="H5">_xlfn.SWITCH($A$2,"average", AVERAGE(Instances!H5:Instances!H5),"median", MEDIAN(Instances!H5:Instances!H5),"min", MIN(Instances!H5:Instances!H5),"max", MAX(Instances!H5:Instances!H5),"diff", MAX(Instances!H5:Instances!H5)-MIN(Instances!H5:Instances!H5))</f>
        <v>0</v>
      </c>
      <c r="I5" s="1" cm="1">
        <f t="array" ref="I5">_xlfn.SWITCH($A$2,"average", AVERAGE(Instances!I5:Instances!I5),"median", MEDIAN(Instances!I5:Instances!I5),"min", MIN(Instances!I5:Instances!I5),"max", MAX(Instances!I5:Instances!I5),"diff", MAX(Instances!I5:Instances!I5)-MIN(Instances!I5:Instances!I5))</f>
        <v>0</v>
      </c>
      <c r="J5" s="1"/>
      <c r="K5" s="1"/>
      <c r="L5" s="1" cm="1">
        <f t="array" ref="L5">_xlfn.SWITCH($A$2,"average", AVERAGE(Instances!L5:Instances!L5),"median", MEDIAN(Instances!L5:Instances!L5),"min", MIN(Instances!L5:Instances!L5),"max", MAX(Instances!L5:Instances!L5),"diff", MAX(Instances!L5:Instances!L5)-MIN(Instances!L5:Instances!L5))</f>
        <v>0</v>
      </c>
      <c r="M5" s="1" cm="1">
        <f t="array" ref="M5">_xlfn.SWITCH($A$2,"average", AVERAGE(Instances!M5:Instances!M5),"median", MEDIAN(Instances!M5:Instances!M5),"min", MIN(Instances!M5:Instances!M5),"max", MAX(Instances!M5:Instances!M5),"diff", MAX(Instances!M5:Instances!M5)-MIN(Instances!M5:Instances!M5))</f>
        <v>0</v>
      </c>
      <c r="N5" s="1">
        <f>MIN($B5)</f>
        <v>0</v>
      </c>
      <c r="O5" s="1">
        <f>MIN($C5)</f>
        <v>0</v>
      </c>
      <c r="P5" s="1">
        <f>MIN($D5)</f>
        <v>0</v>
      </c>
      <c r="Q5" s="1">
        <f>MIN($E5)</f>
        <v>0</v>
      </c>
      <c r="R5" s="1">
        <f>MIN($F5)</f>
        <v>0</v>
      </c>
      <c r="S5" s="1">
        <f>MIN($G5)</f>
        <v>0</v>
      </c>
      <c r="T5" s="1">
        <f>MIN($H5)</f>
        <v>0</v>
      </c>
      <c r="U5" s="1">
        <f>MIN($I5)</f>
        <v>0</v>
      </c>
      <c r="V5" s="1">
        <f>MIN($L5)</f>
        <v>0</v>
      </c>
      <c r="W5" s="1">
        <f>MIN($M5)</f>
        <v>0</v>
      </c>
      <c r="X5" s="1">
        <f>MEDIAN($B5)</f>
        <v>0</v>
      </c>
      <c r="Y5" s="1">
        <f>MEDIAN($C5)</f>
        <v>0</v>
      </c>
      <c r="Z5" s="1">
        <f>MEDIAN($D5)</f>
        <v>0</v>
      </c>
      <c r="AA5" s="1">
        <f>MEDIAN($E5)</f>
        <v>0</v>
      </c>
      <c r="AB5" s="1">
        <f>MEDIAN($F5)</f>
        <v>0</v>
      </c>
      <c r="AC5" s="1">
        <f>MEDIAN($G5)</f>
        <v>0</v>
      </c>
      <c r="AD5" s="1">
        <f>MEDIAN($H5)</f>
        <v>0</v>
      </c>
      <c r="AE5" s="1">
        <f>MEDIAN($I5)</f>
        <v>0</v>
      </c>
      <c r="AF5" s="1">
        <f>MEDIAN($L5)</f>
        <v>0</v>
      </c>
      <c r="AG5" s="1">
        <f>MEDIAN($M5)</f>
        <v>0</v>
      </c>
      <c r="AH5" s="1">
        <f>MAX($B5)</f>
        <v>0</v>
      </c>
      <c r="AI5" s="1">
        <f>MAX($C5)</f>
        <v>0</v>
      </c>
      <c r="AJ5" s="1">
        <f>MAX($D5)</f>
        <v>0</v>
      </c>
      <c r="AK5" s="1">
        <f>MAX($E5)</f>
        <v>0</v>
      </c>
      <c r="AL5" s="1">
        <f>MAX($F5)</f>
        <v>0</v>
      </c>
      <c r="AM5" s="1">
        <f>MAX($G5)</f>
        <v>0</v>
      </c>
      <c r="AN5" s="1">
        <f>MAX($H5)</f>
        <v>0</v>
      </c>
      <c r="AO5" s="1">
        <f>MAX($I5)</f>
        <v>0</v>
      </c>
      <c r="AP5" s="1">
        <f>MAX($L5)</f>
        <v>0</v>
      </c>
      <c r="AQ5" s="1">
        <f>MAX($M5)</f>
        <v>0</v>
      </c>
    </row>
    <row r="6" spans="1:43">
      <c r="A6" s="1" t="s">
        <v>3</v>
      </c>
      <c r="B6" s="1" cm="1">
        <f t="array" ref="B6">_xlfn.SWITCH($A$2,"average", AVERAGE(Instances!B6:Instances!B6),"median", MEDIAN(Instances!B6:Instances!B6),"min", MIN(Instances!B6:Instances!B6),"max", MAX(Instances!B6:Instances!B6),"diff", MAX(Instances!B6:Instances!B6)-MIN(Instances!B6:Instances!B6))</f>
        <v>0</v>
      </c>
      <c r="C6" s="1" cm="1">
        <f t="array" ref="C6">_xlfn.SWITCH($A$2,"average", AVERAGE(Instances!C6:Instances!C6),"median", MEDIAN(Instances!C6:Instances!C6),"min", MIN(Instances!C6:Instances!C6),"max", MAX(Instances!C6:Instances!C6),"diff", MAX(Instances!C6:Instances!C6)-MIN(Instances!C6:Instances!C6))</f>
        <v>0</v>
      </c>
      <c r="D6" s="1" cm="1">
        <f t="array" ref="D6">_xlfn.SWITCH($A$2,"average", AVERAGE(Instances!D6:Instances!D6),"median", MEDIAN(Instances!D6:Instances!D6),"min", MIN(Instances!D6:Instances!D6),"max", MAX(Instances!D6:Instances!D6),"diff", MAX(Instances!D6:Instances!D6)-MIN(Instances!D6:Instances!D6))</f>
        <v>0</v>
      </c>
      <c r="E6" s="1" cm="1">
        <f t="array" ref="E6">_xlfn.SWITCH($A$2,"average", AVERAGE(Instances!E6:Instances!E6),"median", MEDIAN(Instances!E6:Instances!E6),"min", MIN(Instances!E6:Instances!E6),"max", MAX(Instances!E6:Instances!E6),"diff", MAX(Instances!E6:Instances!E6)-MIN(Instances!E6:Instances!E6))</f>
        <v>0</v>
      </c>
      <c r="F6" s="1" cm="1">
        <f t="array" ref="F6">_xlfn.SWITCH($A$2,"average", AVERAGE(Instances!F6:Instances!F6),"median", MEDIAN(Instances!F6:Instances!F6),"min", MIN(Instances!F6:Instances!F6),"max", MAX(Instances!F6:Instances!F6),"diff", MAX(Instances!F6:Instances!F6)-MIN(Instances!F6:Instances!F6))</f>
        <v>0</v>
      </c>
      <c r="G6" s="1" cm="1">
        <f t="array" ref="G6">_xlfn.SWITCH($A$2,"average", AVERAGE(Instances!G6:Instances!G6),"median", MEDIAN(Instances!G6:Instances!G6),"min", MIN(Instances!G6:Instances!G6),"max", MAX(Instances!G6:Instances!G6),"diff", MAX(Instances!G6:Instances!G6)-MIN(Instances!G6:Instances!G6))</f>
        <v>0</v>
      </c>
      <c r="H6" s="1" cm="1">
        <f t="array" ref="H6">_xlfn.SWITCH($A$2,"average", AVERAGE(Instances!H6:Instances!H6),"median", MEDIAN(Instances!H6:Instances!H6),"min", MIN(Instances!H6:Instances!H6),"max", MAX(Instances!H6:Instances!H6),"diff", MAX(Instances!H6:Instances!H6)-MIN(Instances!H6:Instances!H6))</f>
        <v>0</v>
      </c>
      <c r="I6" s="1" cm="1">
        <f t="array" ref="I6">_xlfn.SWITCH($A$2,"average", AVERAGE(Instances!I6:Instances!I6),"median", MEDIAN(Instances!I6:Instances!I6),"min", MIN(Instances!I6:Instances!I6),"max", MAX(Instances!I6:Instances!I6),"diff", MAX(Instances!I6:Instances!I6)-MIN(Instances!I6:Instances!I6))</f>
        <v>0</v>
      </c>
      <c r="J6" s="1"/>
      <c r="K6" s="1"/>
      <c r="L6" s="1" cm="1">
        <f t="array" ref="L6">_xlfn.SWITCH($A$2,"average", AVERAGE(Instances!L6:Instances!L6),"median", MEDIAN(Instances!L6:Instances!L6),"min", MIN(Instances!L6:Instances!L6),"max", MAX(Instances!L6:Instances!L6),"diff", MAX(Instances!L6:Instances!L6)-MIN(Instances!L6:Instances!L6))</f>
        <v>0</v>
      </c>
      <c r="M6" s="1" cm="1">
        <f t="array" ref="M6">_xlfn.SWITCH($A$2,"average", AVERAGE(Instances!M6:Instances!M6),"median", MEDIAN(Instances!M6:Instances!M6),"min", MIN(Instances!M6:Instances!M6),"max", MAX(Instances!M6:Instances!M6),"diff", MAX(Instances!M6:Instances!M6)-MIN(Instances!M6:Instances!M6))</f>
        <v>0</v>
      </c>
      <c r="N6" s="1">
        <f>MIN($B6)</f>
        <v>0</v>
      </c>
      <c r="O6" s="1">
        <f>MIN($C6)</f>
        <v>0</v>
      </c>
      <c r="P6" s="1">
        <f>MIN($D6)</f>
        <v>0</v>
      </c>
      <c r="Q6" s="1">
        <f>MIN($E6)</f>
        <v>0</v>
      </c>
      <c r="R6" s="1">
        <f>MIN($F6)</f>
        <v>0</v>
      </c>
      <c r="S6" s="1">
        <f>MIN($G6)</f>
        <v>0</v>
      </c>
      <c r="T6" s="1">
        <f>MIN($H6)</f>
        <v>0</v>
      </c>
      <c r="U6" s="1">
        <f>MIN($I6)</f>
        <v>0</v>
      </c>
      <c r="V6" s="1">
        <f>MIN($L6)</f>
        <v>0</v>
      </c>
      <c r="W6" s="1">
        <f>MIN($M6)</f>
        <v>0</v>
      </c>
      <c r="X6" s="1">
        <f>MEDIAN($B6)</f>
        <v>0</v>
      </c>
      <c r="Y6" s="1">
        <f>MEDIAN($C6)</f>
        <v>0</v>
      </c>
      <c r="Z6" s="1">
        <f>MEDIAN($D6)</f>
        <v>0</v>
      </c>
      <c r="AA6" s="1">
        <f>MEDIAN($E6)</f>
        <v>0</v>
      </c>
      <c r="AB6" s="1">
        <f>MEDIAN($F6)</f>
        <v>0</v>
      </c>
      <c r="AC6" s="1">
        <f>MEDIAN($G6)</f>
        <v>0</v>
      </c>
      <c r="AD6" s="1">
        <f>MEDIAN($H6)</f>
        <v>0</v>
      </c>
      <c r="AE6" s="1">
        <f>MEDIAN($I6)</f>
        <v>0</v>
      </c>
      <c r="AF6" s="1">
        <f>MEDIAN($L6)</f>
        <v>0</v>
      </c>
      <c r="AG6" s="1">
        <f>MEDIAN($M6)</f>
        <v>0</v>
      </c>
      <c r="AH6" s="1">
        <f>MAX($B6)</f>
        <v>0</v>
      </c>
      <c r="AI6" s="1">
        <f>MAX($C6)</f>
        <v>0</v>
      </c>
      <c r="AJ6" s="1">
        <f>MAX($D6)</f>
        <v>0</v>
      </c>
      <c r="AK6" s="1">
        <f>MAX($E6)</f>
        <v>0</v>
      </c>
      <c r="AL6" s="1">
        <f>MAX($F6)</f>
        <v>0</v>
      </c>
      <c r="AM6" s="1">
        <f>MAX($G6)</f>
        <v>0</v>
      </c>
      <c r="AN6" s="1">
        <f>MAX($H6)</f>
        <v>0</v>
      </c>
      <c r="AO6" s="1">
        <f>MAX($I6)</f>
        <v>0</v>
      </c>
      <c r="AP6" s="1">
        <f>MAX($L6)</f>
        <v>0</v>
      </c>
      <c r="AQ6" s="1">
        <f>MAX($M6)</f>
        <v>0</v>
      </c>
    </row>
    <row r="7" spans="1:43">
      <c r="A7" s="1" t="s">
        <v>4</v>
      </c>
      <c r="B7" s="1" cm="1">
        <f t="array" ref="B7">_xlfn.SWITCH($A$2,"average", AVERAGE(Instances!B7:Instances!B7),"median", MEDIAN(Instances!B7:Instances!B7),"min", MIN(Instances!B7:Instances!B7),"max", MAX(Instances!B7:Instances!B7),"diff", MAX(Instances!B7:Instances!B7)-MIN(Instances!B7:Instances!B7))</f>
        <v>0</v>
      </c>
      <c r="C7" s="1" cm="1">
        <f t="array" ref="C7">_xlfn.SWITCH($A$2,"average", AVERAGE(Instances!C7:Instances!C7),"median", MEDIAN(Instances!C7:Instances!C7),"min", MIN(Instances!C7:Instances!C7),"max", MAX(Instances!C7:Instances!C7),"diff", MAX(Instances!C7:Instances!C7)-MIN(Instances!C7:Instances!C7))</f>
        <v>0</v>
      </c>
      <c r="D7" s="1" cm="1">
        <f t="array" ref="D7">_xlfn.SWITCH($A$2,"average", AVERAGE(Instances!D7:Instances!D7),"median", MEDIAN(Instances!D7:Instances!D7),"min", MIN(Instances!D7:Instances!D7),"max", MAX(Instances!D7:Instances!D7),"diff", MAX(Instances!D7:Instances!D7)-MIN(Instances!D7:Instances!D7))</f>
        <v>0</v>
      </c>
      <c r="E7" s="1" cm="1">
        <f t="array" ref="E7">_xlfn.SWITCH($A$2,"average", AVERAGE(Instances!E7:Instances!E7),"median", MEDIAN(Instances!E7:Instances!E7),"min", MIN(Instances!E7:Instances!E7),"max", MAX(Instances!E7:Instances!E7),"diff", MAX(Instances!E7:Instances!E7)-MIN(Instances!E7:Instances!E7))</f>
        <v>0</v>
      </c>
      <c r="F7" s="1" cm="1">
        <f t="array" ref="F7">_xlfn.SWITCH($A$2,"average", AVERAGE(Instances!F7:Instances!F7),"median", MEDIAN(Instances!F7:Instances!F7),"min", MIN(Instances!F7:Instances!F7),"max", MAX(Instances!F7:Instances!F7),"diff", MAX(Instances!F7:Instances!F7)-MIN(Instances!F7:Instances!F7))</f>
        <v>0</v>
      </c>
      <c r="G7" s="1" cm="1">
        <f t="array" ref="G7">_xlfn.SWITCH($A$2,"average", AVERAGE(Instances!G7:Instances!G7),"median", MEDIAN(Instances!G7:Instances!G7),"min", MIN(Instances!G7:Instances!G7),"max", MAX(Instances!G7:Instances!G7),"diff", MAX(Instances!G7:Instances!G7)-MIN(Instances!G7:Instances!G7))</f>
        <v>0</v>
      </c>
      <c r="H7" s="1" cm="1">
        <f t="array" ref="H7">_xlfn.SWITCH($A$2,"average", AVERAGE(Instances!H7:Instances!H7),"median", MEDIAN(Instances!H7:Instances!H7),"min", MIN(Instances!H7:Instances!H7),"max", MAX(Instances!H7:Instances!H7),"diff", MAX(Instances!H7:Instances!H7)-MIN(Instances!H7:Instances!H7))</f>
        <v>0</v>
      </c>
      <c r="I7" s="1" cm="1">
        <f t="array" ref="I7">_xlfn.SWITCH($A$2,"average", AVERAGE(Instances!I7:Instances!I7),"median", MEDIAN(Instances!I7:Instances!I7),"min", MIN(Instances!I7:Instances!I7),"max", MAX(Instances!I7:Instances!I7),"diff", MAX(Instances!I7:Instances!I7)-MIN(Instances!I7:Instances!I7))</f>
        <v>0</v>
      </c>
      <c r="J7" s="1"/>
      <c r="K7" s="1"/>
      <c r="L7" s="1" cm="1">
        <f t="array" ref="L7">_xlfn.SWITCH($A$2,"average", AVERAGE(Instances!L7:Instances!L7),"median", MEDIAN(Instances!L7:Instances!L7),"min", MIN(Instances!L7:Instances!L7),"max", MAX(Instances!L7:Instances!L7),"diff", MAX(Instances!L7:Instances!L7)-MIN(Instances!L7:Instances!L7))</f>
        <v>0</v>
      </c>
      <c r="M7" s="1" cm="1">
        <f t="array" ref="M7">_xlfn.SWITCH($A$2,"average", AVERAGE(Instances!M7:Instances!M7),"median", MEDIAN(Instances!M7:Instances!M7),"min", MIN(Instances!M7:Instances!M7),"max", MAX(Instances!M7:Instances!M7),"diff", MAX(Instances!M7:Instances!M7)-MIN(Instances!M7:Instances!M7))</f>
        <v>0</v>
      </c>
      <c r="N7" s="1">
        <f>MIN($B7)</f>
        <v>0</v>
      </c>
      <c r="O7" s="1">
        <f>MIN($C7)</f>
        <v>0</v>
      </c>
      <c r="P7" s="1">
        <f>MIN($D7)</f>
        <v>0</v>
      </c>
      <c r="Q7" s="1">
        <f>MIN($E7)</f>
        <v>0</v>
      </c>
      <c r="R7" s="1">
        <f>MIN($F7)</f>
        <v>0</v>
      </c>
      <c r="S7" s="1">
        <f>MIN($G7)</f>
        <v>0</v>
      </c>
      <c r="T7" s="1">
        <f>MIN($H7)</f>
        <v>0</v>
      </c>
      <c r="U7" s="1">
        <f>MIN($I7)</f>
        <v>0</v>
      </c>
      <c r="V7" s="1">
        <f>MIN($L7)</f>
        <v>0</v>
      </c>
      <c r="W7" s="1">
        <f>MIN($M7)</f>
        <v>0</v>
      </c>
      <c r="X7" s="1">
        <f>MEDIAN($B7)</f>
        <v>0</v>
      </c>
      <c r="Y7" s="1">
        <f>MEDIAN($C7)</f>
        <v>0</v>
      </c>
      <c r="Z7" s="1">
        <f>MEDIAN($D7)</f>
        <v>0</v>
      </c>
      <c r="AA7" s="1">
        <f>MEDIAN($E7)</f>
        <v>0</v>
      </c>
      <c r="AB7" s="1">
        <f>MEDIAN($F7)</f>
        <v>0</v>
      </c>
      <c r="AC7" s="1">
        <f>MEDIAN($G7)</f>
        <v>0</v>
      </c>
      <c r="AD7" s="1">
        <f>MEDIAN($H7)</f>
        <v>0</v>
      </c>
      <c r="AE7" s="1">
        <f>MEDIAN($I7)</f>
        <v>0</v>
      </c>
      <c r="AF7" s="1">
        <f>MEDIAN($L7)</f>
        <v>0</v>
      </c>
      <c r="AG7" s="1">
        <f>MEDIAN($M7)</f>
        <v>0</v>
      </c>
      <c r="AH7" s="1">
        <f>MAX($B7)</f>
        <v>0</v>
      </c>
      <c r="AI7" s="1">
        <f>MAX($C7)</f>
        <v>0</v>
      </c>
      <c r="AJ7" s="1">
        <f>MAX($D7)</f>
        <v>0</v>
      </c>
      <c r="AK7" s="1">
        <f>MAX($E7)</f>
        <v>0</v>
      </c>
      <c r="AL7" s="1">
        <f>MAX($F7)</f>
        <v>0</v>
      </c>
      <c r="AM7" s="1">
        <f>MAX($G7)</f>
        <v>0</v>
      </c>
      <c r="AN7" s="1">
        <f>MAX($H7)</f>
        <v>0</v>
      </c>
      <c r="AO7" s="1">
        <f>MAX($I7)</f>
        <v>0</v>
      </c>
      <c r="AP7" s="1">
        <f>MAX($L7)</f>
        <v>0</v>
      </c>
      <c r="AQ7" s="1">
        <f>MAX($M7)</f>
        <v>0</v>
      </c>
    </row>
    <row r="8" spans="1:43">
      <c r="A8" s="1" t="s">
        <v>5</v>
      </c>
      <c r="B8" s="1" cm="1">
        <f t="array" ref="B8">_xlfn.SWITCH($A$2,"average", AVERAGE(Instances!B8:Instances!B8),"median", MEDIAN(Instances!B8:Instances!B8),"min", MIN(Instances!B8:Instances!B8),"max", MAX(Instances!B8:Instances!B8),"diff", MAX(Instances!B8:Instances!B8)-MIN(Instances!B8:Instances!B8))</f>
        <v>0</v>
      </c>
      <c r="C8" s="1" cm="1">
        <f t="array" ref="C8">_xlfn.SWITCH($A$2,"average", AVERAGE(Instances!C8:Instances!C8),"median", MEDIAN(Instances!C8:Instances!C8),"min", MIN(Instances!C8:Instances!C8),"max", MAX(Instances!C8:Instances!C8),"diff", MAX(Instances!C8:Instances!C8)-MIN(Instances!C8:Instances!C8))</f>
        <v>0</v>
      </c>
      <c r="D8" s="1" cm="1">
        <f t="array" ref="D8">_xlfn.SWITCH($A$2,"average", AVERAGE(Instances!D8:Instances!D8),"median", MEDIAN(Instances!D8:Instances!D8),"min", MIN(Instances!D8:Instances!D8),"max", MAX(Instances!D8:Instances!D8),"diff", MAX(Instances!D8:Instances!D8)-MIN(Instances!D8:Instances!D8))</f>
        <v>0</v>
      </c>
      <c r="E8" s="1" cm="1">
        <f t="array" ref="E8">_xlfn.SWITCH($A$2,"average", AVERAGE(Instances!E8:Instances!E8),"median", MEDIAN(Instances!E8:Instances!E8),"min", MIN(Instances!E8:Instances!E8),"max", MAX(Instances!E8:Instances!E8),"diff", MAX(Instances!E8:Instances!E8)-MIN(Instances!E8:Instances!E8))</f>
        <v>0</v>
      </c>
      <c r="F8" s="1" cm="1">
        <f t="array" ref="F8">_xlfn.SWITCH($A$2,"average", AVERAGE(Instances!F8:Instances!F8),"median", MEDIAN(Instances!F8:Instances!F8),"min", MIN(Instances!F8:Instances!F8),"max", MAX(Instances!F8:Instances!F8),"diff", MAX(Instances!F8:Instances!F8)-MIN(Instances!F8:Instances!F8))</f>
        <v>0</v>
      </c>
      <c r="G8" s="1" cm="1">
        <f t="array" ref="G8">_xlfn.SWITCH($A$2,"average", AVERAGE(Instances!G8:Instances!G8),"median", MEDIAN(Instances!G8:Instances!G8),"min", MIN(Instances!G8:Instances!G8),"max", MAX(Instances!G8:Instances!G8),"diff", MAX(Instances!G8:Instances!G8)-MIN(Instances!G8:Instances!G8))</f>
        <v>0</v>
      </c>
      <c r="H8" s="1" cm="1">
        <f t="array" ref="H8">_xlfn.SWITCH($A$2,"average", AVERAGE(Instances!H8:Instances!H8),"median", MEDIAN(Instances!H8:Instances!H8),"min", MIN(Instances!H8:Instances!H8),"max", MAX(Instances!H8:Instances!H8),"diff", MAX(Instances!H8:Instances!H8)-MIN(Instances!H8:Instances!H8))</f>
        <v>0</v>
      </c>
      <c r="I8" s="1" cm="1">
        <f t="array" ref="I8">_xlfn.SWITCH($A$2,"average", AVERAGE(Instances!I8:Instances!I8),"median", MEDIAN(Instances!I8:Instances!I8),"min", MIN(Instances!I8:Instances!I8),"max", MAX(Instances!I8:Instances!I8),"diff", MAX(Instances!I8:Instances!I8)-MIN(Instances!I8:Instances!I8))</f>
        <v>0</v>
      </c>
      <c r="J8" s="1"/>
      <c r="K8" s="1"/>
      <c r="L8" s="1" cm="1">
        <f t="array" ref="L8">_xlfn.SWITCH($A$2,"average", AVERAGE(Instances!L8:Instances!L8),"median", MEDIAN(Instances!L8:Instances!L8),"min", MIN(Instances!L8:Instances!L8),"max", MAX(Instances!L8:Instances!L8),"diff", MAX(Instances!L8:Instances!L8)-MIN(Instances!L8:Instances!L8))</f>
        <v>0</v>
      </c>
      <c r="M8" s="1" cm="1">
        <f t="array" ref="M8">_xlfn.SWITCH($A$2,"average", AVERAGE(Instances!M8:Instances!M8),"median", MEDIAN(Instances!M8:Instances!M8),"min", MIN(Instances!M8:Instances!M8),"max", MAX(Instances!M8:Instances!M8),"diff", MAX(Instances!M8:Instances!M8)-MIN(Instances!M8:Instances!M8))</f>
        <v>0</v>
      </c>
      <c r="N8" s="1">
        <f>MIN($B8)</f>
        <v>0</v>
      </c>
      <c r="O8" s="1">
        <f>MIN($C8)</f>
        <v>0</v>
      </c>
      <c r="P8" s="1">
        <f>MIN($D8)</f>
        <v>0</v>
      </c>
      <c r="Q8" s="1">
        <f>MIN($E8)</f>
        <v>0</v>
      </c>
      <c r="R8" s="1">
        <f>MIN($F8)</f>
        <v>0</v>
      </c>
      <c r="S8" s="1">
        <f>MIN($G8)</f>
        <v>0</v>
      </c>
      <c r="T8" s="1">
        <f>MIN($H8)</f>
        <v>0</v>
      </c>
      <c r="U8" s="1">
        <f>MIN($I8)</f>
        <v>0</v>
      </c>
      <c r="V8" s="1">
        <f>MIN($L8)</f>
        <v>0</v>
      </c>
      <c r="W8" s="1">
        <f>MIN($M8)</f>
        <v>0</v>
      </c>
      <c r="X8" s="1">
        <f>MEDIAN($B8)</f>
        <v>0</v>
      </c>
      <c r="Y8" s="1">
        <f>MEDIAN($C8)</f>
        <v>0</v>
      </c>
      <c r="Z8" s="1">
        <f>MEDIAN($D8)</f>
        <v>0</v>
      </c>
      <c r="AA8" s="1">
        <f>MEDIAN($E8)</f>
        <v>0</v>
      </c>
      <c r="AB8" s="1">
        <f>MEDIAN($F8)</f>
        <v>0</v>
      </c>
      <c r="AC8" s="1">
        <f>MEDIAN($G8)</f>
        <v>0</v>
      </c>
      <c r="AD8" s="1">
        <f>MEDIAN($H8)</f>
        <v>0</v>
      </c>
      <c r="AE8" s="1">
        <f>MEDIAN($I8)</f>
        <v>0</v>
      </c>
      <c r="AF8" s="1">
        <f>MEDIAN($L8)</f>
        <v>0</v>
      </c>
      <c r="AG8" s="1">
        <f>MEDIAN($M8)</f>
        <v>0</v>
      </c>
      <c r="AH8" s="1">
        <f>MAX($B8)</f>
        <v>0</v>
      </c>
      <c r="AI8" s="1">
        <f>MAX($C8)</f>
        <v>0</v>
      </c>
      <c r="AJ8" s="1">
        <f>MAX($D8)</f>
        <v>0</v>
      </c>
      <c r="AK8" s="1">
        <f>MAX($E8)</f>
        <v>0</v>
      </c>
      <c r="AL8" s="1">
        <f>MAX($F8)</f>
        <v>0</v>
      </c>
      <c r="AM8" s="1">
        <f>MAX($G8)</f>
        <v>0</v>
      </c>
      <c r="AN8" s="1">
        <f>MAX($H8)</f>
        <v>0</v>
      </c>
      <c r="AO8" s="1">
        <f>MAX($I8)</f>
        <v>0</v>
      </c>
      <c r="AP8" s="1">
        <f>MAX($L8)</f>
        <v>0</v>
      </c>
      <c r="AQ8" s="1">
        <f>MAX($M8)</f>
        <v>0</v>
      </c>
    </row>
    <row r="9" spans="1:43">
      <c r="A9" s="1" t="s">
        <v>6</v>
      </c>
      <c r="B9" s="1" cm="1">
        <f t="array" ref="B9">_xlfn.SWITCH($A$2,"average", AVERAGE(Instances!B9:Instances!B9),"median", MEDIAN(Instances!B9:Instances!B9),"min", MIN(Instances!B9:Instances!B9),"max", MAX(Instances!B9:Instances!B9),"diff", MAX(Instances!B9:Instances!B9)-MIN(Instances!B9:Instances!B9))</f>
        <v>0</v>
      </c>
      <c r="C9" s="1" cm="1">
        <f t="array" ref="C9">_xlfn.SWITCH($A$2,"average", AVERAGE(Instances!C9:Instances!C9),"median", MEDIAN(Instances!C9:Instances!C9),"min", MIN(Instances!C9:Instances!C9),"max", MAX(Instances!C9:Instances!C9),"diff", MAX(Instances!C9:Instances!C9)-MIN(Instances!C9:Instances!C9))</f>
        <v>0</v>
      </c>
      <c r="D9" s="1" cm="1">
        <f t="array" ref="D9">_xlfn.SWITCH($A$2,"average", AVERAGE(Instances!D9:Instances!D9),"median", MEDIAN(Instances!D9:Instances!D9),"min", MIN(Instances!D9:Instances!D9),"max", MAX(Instances!D9:Instances!D9),"diff", MAX(Instances!D9:Instances!D9)-MIN(Instances!D9:Instances!D9))</f>
        <v>0</v>
      </c>
      <c r="E9" s="1" cm="1">
        <f t="array" ref="E9">_xlfn.SWITCH($A$2,"average", AVERAGE(Instances!E9:Instances!E9),"median", MEDIAN(Instances!E9:Instances!E9),"min", MIN(Instances!E9:Instances!E9),"max", MAX(Instances!E9:Instances!E9),"diff", MAX(Instances!E9:Instances!E9)-MIN(Instances!E9:Instances!E9))</f>
        <v>0</v>
      </c>
      <c r="F9" s="1" cm="1">
        <f t="array" ref="F9">_xlfn.SWITCH($A$2,"average", AVERAGE(Instances!F9:Instances!F9),"median", MEDIAN(Instances!F9:Instances!F9),"min", MIN(Instances!F9:Instances!F9),"max", MAX(Instances!F9:Instances!F9),"diff", MAX(Instances!F9:Instances!F9)-MIN(Instances!F9:Instances!F9))</f>
        <v>0</v>
      </c>
      <c r="G9" s="1" cm="1">
        <f t="array" ref="G9">_xlfn.SWITCH($A$2,"average", AVERAGE(Instances!G9:Instances!G9),"median", MEDIAN(Instances!G9:Instances!G9),"min", MIN(Instances!G9:Instances!G9),"max", MAX(Instances!G9:Instances!G9),"diff", MAX(Instances!G9:Instances!G9)-MIN(Instances!G9:Instances!G9))</f>
        <v>0</v>
      </c>
      <c r="H9" s="1" cm="1">
        <f t="array" ref="H9">_xlfn.SWITCH($A$2,"average", AVERAGE(Instances!H9:Instances!H9),"median", MEDIAN(Instances!H9:Instances!H9),"min", MIN(Instances!H9:Instances!H9),"max", MAX(Instances!H9:Instances!H9),"diff", MAX(Instances!H9:Instances!H9)-MIN(Instances!H9:Instances!H9))</f>
        <v>0</v>
      </c>
      <c r="I9" s="1" cm="1">
        <f t="array" ref="I9">_xlfn.SWITCH($A$2,"average", AVERAGE(Instances!I9:Instances!I9),"median", MEDIAN(Instances!I9:Instances!I9),"min", MIN(Instances!I9:Instances!I9),"max", MAX(Instances!I9:Instances!I9),"diff", MAX(Instances!I9:Instances!I9)-MIN(Instances!I9:Instances!I9))</f>
        <v>0</v>
      </c>
      <c r="J9" s="1"/>
      <c r="K9" s="1"/>
      <c r="L9" s="1" cm="1">
        <f t="array" ref="L9">_xlfn.SWITCH($A$2,"average", AVERAGE(Instances!L9:Instances!L9),"median", MEDIAN(Instances!L9:Instances!L9),"min", MIN(Instances!L9:Instances!L9),"max", MAX(Instances!L9:Instances!L9),"diff", MAX(Instances!L9:Instances!L9)-MIN(Instances!L9:Instances!L9))</f>
        <v>0</v>
      </c>
      <c r="M9" s="1" cm="1">
        <f t="array" ref="M9">_xlfn.SWITCH($A$2,"average", AVERAGE(Instances!M9:Instances!M9),"median", MEDIAN(Instances!M9:Instances!M9),"min", MIN(Instances!M9:Instances!M9),"max", MAX(Instances!M9:Instances!M9),"diff", MAX(Instances!M9:Instances!M9)-MIN(Instances!M9:Instances!M9))</f>
        <v>0</v>
      </c>
      <c r="N9" s="1">
        <f>MIN($B9)</f>
        <v>0</v>
      </c>
      <c r="O9" s="1">
        <f>MIN($C9)</f>
        <v>0</v>
      </c>
      <c r="P9" s="1">
        <f>MIN($D9)</f>
        <v>0</v>
      </c>
      <c r="Q9" s="1">
        <f>MIN($E9)</f>
        <v>0</v>
      </c>
      <c r="R9" s="1">
        <f>MIN($F9)</f>
        <v>0</v>
      </c>
      <c r="S9" s="1">
        <f>MIN($G9)</f>
        <v>0</v>
      </c>
      <c r="T9" s="1">
        <f>MIN($H9)</f>
        <v>0</v>
      </c>
      <c r="U9" s="1">
        <f>MIN($I9)</f>
        <v>0</v>
      </c>
      <c r="V9" s="1">
        <f>MIN($L9)</f>
        <v>0</v>
      </c>
      <c r="W9" s="1">
        <f>MIN($M9)</f>
        <v>0</v>
      </c>
      <c r="X9" s="1">
        <f>MEDIAN($B9)</f>
        <v>0</v>
      </c>
      <c r="Y9" s="1">
        <f>MEDIAN($C9)</f>
        <v>0</v>
      </c>
      <c r="Z9" s="1">
        <f>MEDIAN($D9)</f>
        <v>0</v>
      </c>
      <c r="AA9" s="1">
        <f>MEDIAN($E9)</f>
        <v>0</v>
      </c>
      <c r="AB9" s="1">
        <f>MEDIAN($F9)</f>
        <v>0</v>
      </c>
      <c r="AC9" s="1">
        <f>MEDIAN($G9)</f>
        <v>0</v>
      </c>
      <c r="AD9" s="1">
        <f>MEDIAN($H9)</f>
        <v>0</v>
      </c>
      <c r="AE9" s="1">
        <f>MEDIAN($I9)</f>
        <v>0</v>
      </c>
      <c r="AF9" s="1">
        <f>MEDIAN($L9)</f>
        <v>0</v>
      </c>
      <c r="AG9" s="1">
        <f>MEDIAN($M9)</f>
        <v>0</v>
      </c>
      <c r="AH9" s="1">
        <f>MAX($B9)</f>
        <v>0</v>
      </c>
      <c r="AI9" s="1">
        <f>MAX($C9)</f>
        <v>0</v>
      </c>
      <c r="AJ9" s="1">
        <f>MAX($D9)</f>
        <v>0</v>
      </c>
      <c r="AK9" s="1">
        <f>MAX($E9)</f>
        <v>0</v>
      </c>
      <c r="AL9" s="1">
        <f>MAX($F9)</f>
        <v>0</v>
      </c>
      <c r="AM9" s="1">
        <f>MAX($G9)</f>
        <v>0</v>
      </c>
      <c r="AN9" s="1">
        <f>MAX($H9)</f>
        <v>0</v>
      </c>
      <c r="AO9" s="1">
        <f>MAX($I9)</f>
        <v>0</v>
      </c>
      <c r="AP9" s="1">
        <f>MAX($L9)</f>
        <v>0</v>
      </c>
      <c r="AQ9" s="1">
        <f>MAX($M9)</f>
        <v>0</v>
      </c>
    </row>
    <row r="10" spans="1:43">
      <c r="A10" s="1" t="s">
        <v>7</v>
      </c>
      <c r="B10" s="1" cm="1">
        <f t="array" ref="B10">_xlfn.SWITCH($A$2,"average", AVERAGE(Instances!B10:Instances!B10),"median", MEDIAN(Instances!B10:Instances!B10),"min", MIN(Instances!B10:Instances!B10),"max", MAX(Instances!B10:Instances!B10),"diff", MAX(Instances!B10:Instances!B10)-MIN(Instances!B10:Instances!B10))</f>
        <v>0</v>
      </c>
      <c r="C10" s="1" cm="1">
        <f t="array" ref="C10">_xlfn.SWITCH($A$2,"average", AVERAGE(Instances!C10:Instances!C10),"median", MEDIAN(Instances!C10:Instances!C10),"min", MIN(Instances!C10:Instances!C10),"max", MAX(Instances!C10:Instances!C10),"diff", MAX(Instances!C10:Instances!C10)-MIN(Instances!C10:Instances!C10))</f>
        <v>0</v>
      </c>
      <c r="D10" s="1" cm="1">
        <f t="array" ref="D10">_xlfn.SWITCH($A$2,"average", AVERAGE(Instances!D10:Instances!D10),"median", MEDIAN(Instances!D10:Instances!D10),"min", MIN(Instances!D10:Instances!D10),"max", MAX(Instances!D10:Instances!D10),"diff", MAX(Instances!D10:Instances!D10)-MIN(Instances!D10:Instances!D10))</f>
        <v>0</v>
      </c>
      <c r="E10" s="1" cm="1">
        <f t="array" ref="E10">_xlfn.SWITCH($A$2,"average", AVERAGE(Instances!E10:Instances!E10),"median", MEDIAN(Instances!E10:Instances!E10),"min", MIN(Instances!E10:Instances!E10),"max", MAX(Instances!E10:Instances!E10),"diff", MAX(Instances!E10:Instances!E10)-MIN(Instances!E10:Instances!E10))</f>
        <v>0</v>
      </c>
      <c r="F10" s="1" cm="1">
        <f t="array" ref="F10">_xlfn.SWITCH($A$2,"average", AVERAGE(Instances!F10:Instances!F10),"median", MEDIAN(Instances!F10:Instances!F10),"min", MIN(Instances!F10:Instances!F10),"max", MAX(Instances!F10:Instances!F10),"diff", MAX(Instances!F10:Instances!F10)-MIN(Instances!F10:Instances!F10))</f>
        <v>0</v>
      </c>
      <c r="G10" s="1" cm="1">
        <f t="array" ref="G10">_xlfn.SWITCH($A$2,"average", AVERAGE(Instances!G10:Instances!G10),"median", MEDIAN(Instances!G10:Instances!G10),"min", MIN(Instances!G10:Instances!G10),"max", MAX(Instances!G10:Instances!G10),"diff", MAX(Instances!G10:Instances!G10)-MIN(Instances!G10:Instances!G10))</f>
        <v>0</v>
      </c>
      <c r="H10" s="1" cm="1">
        <f t="array" ref="H10">_xlfn.SWITCH($A$2,"average", AVERAGE(Instances!H10:Instances!H10),"median", MEDIAN(Instances!H10:Instances!H10),"min", MIN(Instances!H10:Instances!H10),"max", MAX(Instances!H10:Instances!H10),"diff", MAX(Instances!H10:Instances!H10)-MIN(Instances!H10:Instances!H10))</f>
        <v>0</v>
      </c>
      <c r="I10" s="1" cm="1">
        <f t="array" ref="I10">_xlfn.SWITCH($A$2,"average", AVERAGE(Instances!I10:Instances!I10),"median", MEDIAN(Instances!I10:Instances!I10),"min", MIN(Instances!I10:Instances!I10),"max", MAX(Instances!I10:Instances!I10),"diff", MAX(Instances!I10:Instances!I10)-MIN(Instances!I10:Instances!I10))</f>
        <v>0</v>
      </c>
      <c r="J10" s="1"/>
      <c r="K10" s="1"/>
      <c r="L10" s="1" cm="1">
        <f t="array" ref="L10">_xlfn.SWITCH($A$2,"average", AVERAGE(Instances!L10:Instances!L10),"median", MEDIAN(Instances!L10:Instances!L10),"min", MIN(Instances!L10:Instances!L10),"max", MAX(Instances!L10:Instances!L10),"diff", MAX(Instances!L10:Instances!L10)-MIN(Instances!L10:Instances!L10))</f>
        <v>0</v>
      </c>
      <c r="M10" s="1" cm="1">
        <f t="array" ref="M10">_xlfn.SWITCH($A$2,"average", AVERAGE(Instances!M10:Instances!M10),"median", MEDIAN(Instances!M10:Instances!M10),"min", MIN(Instances!M10:Instances!M10),"max", MAX(Instances!M10:Instances!M10),"diff", MAX(Instances!M10:Instances!M10)-MIN(Instances!M10:Instances!M10))</f>
        <v>0</v>
      </c>
      <c r="N10" s="1">
        <f>MIN($B10)</f>
        <v>0</v>
      </c>
      <c r="O10" s="1">
        <f>MIN($C10)</f>
        <v>0</v>
      </c>
      <c r="P10" s="1">
        <f>MIN($D10)</f>
        <v>0</v>
      </c>
      <c r="Q10" s="1">
        <f>MIN($E10)</f>
        <v>0</v>
      </c>
      <c r="R10" s="1">
        <f>MIN($F10)</f>
        <v>0</v>
      </c>
      <c r="S10" s="1">
        <f>MIN($G10)</f>
        <v>0</v>
      </c>
      <c r="T10" s="1">
        <f>MIN($H10)</f>
        <v>0</v>
      </c>
      <c r="U10" s="1">
        <f>MIN($I10)</f>
        <v>0</v>
      </c>
      <c r="V10" s="1">
        <f>MIN($L10)</f>
        <v>0</v>
      </c>
      <c r="W10" s="1">
        <f>MIN($M10)</f>
        <v>0</v>
      </c>
      <c r="X10" s="1">
        <f>MEDIAN($B10)</f>
        <v>0</v>
      </c>
      <c r="Y10" s="1">
        <f>MEDIAN($C10)</f>
        <v>0</v>
      </c>
      <c r="Z10" s="1">
        <f>MEDIAN($D10)</f>
        <v>0</v>
      </c>
      <c r="AA10" s="1">
        <f>MEDIAN($E10)</f>
        <v>0</v>
      </c>
      <c r="AB10" s="1">
        <f>MEDIAN($F10)</f>
        <v>0</v>
      </c>
      <c r="AC10" s="1">
        <f>MEDIAN($G10)</f>
        <v>0</v>
      </c>
      <c r="AD10" s="1">
        <f>MEDIAN($H10)</f>
        <v>0</v>
      </c>
      <c r="AE10" s="1">
        <f>MEDIAN($I10)</f>
        <v>0</v>
      </c>
      <c r="AF10" s="1">
        <f>MEDIAN($L10)</f>
        <v>0</v>
      </c>
      <c r="AG10" s="1">
        <f>MEDIAN($M10)</f>
        <v>0</v>
      </c>
      <c r="AH10" s="1">
        <f>MAX($B10)</f>
        <v>0</v>
      </c>
      <c r="AI10" s="1">
        <f>MAX($C10)</f>
        <v>0</v>
      </c>
      <c r="AJ10" s="1">
        <f>MAX($D10)</f>
        <v>0</v>
      </c>
      <c r="AK10" s="1">
        <f>MAX($E10)</f>
        <v>0</v>
      </c>
      <c r="AL10" s="1">
        <f>MAX($F10)</f>
        <v>0</v>
      </c>
      <c r="AM10" s="1">
        <f>MAX($G10)</f>
        <v>0</v>
      </c>
      <c r="AN10" s="1">
        <f>MAX($H10)</f>
        <v>0</v>
      </c>
      <c r="AO10" s="1">
        <f>MAX($I10)</f>
        <v>0</v>
      </c>
      <c r="AP10" s="1">
        <f>MAX($L10)</f>
        <v>0</v>
      </c>
      <c r="AQ10" s="1">
        <f>MAX($M10)</f>
        <v>0</v>
      </c>
    </row>
    <row r="11" spans="1:43">
      <c r="A11" s="1" t="s">
        <v>8</v>
      </c>
      <c r="B11" s="1" cm="1">
        <f t="array" ref="B11">_xlfn.SWITCH($A$2,"average", AVERAGE(Instances!B11:Instances!B11),"median", MEDIAN(Instances!B11:Instances!B11),"min", MIN(Instances!B11:Instances!B11),"max", MAX(Instances!B11:Instances!B11),"diff", MAX(Instances!B11:Instances!B11)-MIN(Instances!B11:Instances!B11))</f>
        <v>0</v>
      </c>
      <c r="C11" s="1" cm="1">
        <f t="array" ref="C11">_xlfn.SWITCH($A$2,"average", AVERAGE(Instances!C11:Instances!C11),"median", MEDIAN(Instances!C11:Instances!C11),"min", MIN(Instances!C11:Instances!C11),"max", MAX(Instances!C11:Instances!C11),"diff", MAX(Instances!C11:Instances!C11)-MIN(Instances!C11:Instances!C11))</f>
        <v>0</v>
      </c>
      <c r="D11" s="1" cm="1">
        <f t="array" ref="D11">_xlfn.SWITCH($A$2,"average", AVERAGE(Instances!D11:Instances!D11),"median", MEDIAN(Instances!D11:Instances!D11),"min", MIN(Instances!D11:Instances!D11),"max", MAX(Instances!D11:Instances!D11),"diff", MAX(Instances!D11:Instances!D11)-MIN(Instances!D11:Instances!D11))</f>
        <v>0</v>
      </c>
      <c r="E11" s="1" cm="1">
        <f t="array" ref="E11">_xlfn.SWITCH($A$2,"average", AVERAGE(Instances!E11:Instances!E11),"median", MEDIAN(Instances!E11:Instances!E11),"min", MIN(Instances!E11:Instances!E11),"max", MAX(Instances!E11:Instances!E11),"diff", MAX(Instances!E11:Instances!E11)-MIN(Instances!E11:Instances!E11))</f>
        <v>0</v>
      </c>
      <c r="F11" s="1" cm="1">
        <f t="array" ref="F11">_xlfn.SWITCH($A$2,"average", AVERAGE(Instances!F11:Instances!F11),"median", MEDIAN(Instances!F11:Instances!F11),"min", MIN(Instances!F11:Instances!F11),"max", MAX(Instances!F11:Instances!F11),"diff", MAX(Instances!F11:Instances!F11)-MIN(Instances!F11:Instances!F11))</f>
        <v>0</v>
      </c>
      <c r="G11" s="1" cm="1">
        <f t="array" ref="G11">_xlfn.SWITCH($A$2,"average", AVERAGE(Instances!G11:Instances!G11),"median", MEDIAN(Instances!G11:Instances!G11),"min", MIN(Instances!G11:Instances!G11),"max", MAX(Instances!G11:Instances!G11),"diff", MAX(Instances!G11:Instances!G11)-MIN(Instances!G11:Instances!G11))</f>
        <v>0</v>
      </c>
      <c r="H11" s="1" cm="1">
        <f t="array" ref="H11">_xlfn.SWITCH($A$2,"average", AVERAGE(Instances!H11:Instances!H11),"median", MEDIAN(Instances!H11:Instances!H11),"min", MIN(Instances!H11:Instances!H11),"max", MAX(Instances!H11:Instances!H11),"diff", MAX(Instances!H11:Instances!H11)-MIN(Instances!H11:Instances!H11))</f>
        <v>0</v>
      </c>
      <c r="I11" s="1" cm="1">
        <f t="array" ref="I11">_xlfn.SWITCH($A$2,"average", AVERAGE(Instances!I11:Instances!I11),"median", MEDIAN(Instances!I11:Instances!I11),"min", MIN(Instances!I11:Instances!I11),"max", MAX(Instances!I11:Instances!I11),"diff", MAX(Instances!I11:Instances!I11)-MIN(Instances!I11:Instances!I11))</f>
        <v>0</v>
      </c>
      <c r="J11" s="1"/>
      <c r="K11" s="1"/>
      <c r="L11" s="1" cm="1">
        <f t="array" ref="L11">_xlfn.SWITCH($A$2,"average", AVERAGE(Instances!L11:Instances!L11),"median", MEDIAN(Instances!L11:Instances!L11),"min", MIN(Instances!L11:Instances!L11),"max", MAX(Instances!L11:Instances!L11),"diff", MAX(Instances!L11:Instances!L11)-MIN(Instances!L11:Instances!L11))</f>
        <v>0</v>
      </c>
      <c r="M11" s="1" cm="1">
        <f t="array" ref="M11">_xlfn.SWITCH($A$2,"average", AVERAGE(Instances!M11:Instances!M11),"median", MEDIAN(Instances!M11:Instances!M11),"min", MIN(Instances!M11:Instances!M11),"max", MAX(Instances!M11:Instances!M11),"diff", MAX(Instances!M11:Instances!M11)-MIN(Instances!M11:Instances!M11))</f>
        <v>0</v>
      </c>
      <c r="N11" s="1">
        <f>MIN($B11)</f>
        <v>0</v>
      </c>
      <c r="O11" s="1">
        <f>MIN($C11)</f>
        <v>0</v>
      </c>
      <c r="P11" s="1">
        <f>MIN($D11)</f>
        <v>0</v>
      </c>
      <c r="Q11" s="1">
        <f>MIN($E11)</f>
        <v>0</v>
      </c>
      <c r="R11" s="1">
        <f>MIN($F11)</f>
        <v>0</v>
      </c>
      <c r="S11" s="1">
        <f>MIN($G11)</f>
        <v>0</v>
      </c>
      <c r="T11" s="1">
        <f>MIN($H11)</f>
        <v>0</v>
      </c>
      <c r="U11" s="1">
        <f>MIN($I11)</f>
        <v>0</v>
      </c>
      <c r="V11" s="1">
        <f>MIN($L11)</f>
        <v>0</v>
      </c>
      <c r="W11" s="1">
        <f>MIN($M11)</f>
        <v>0</v>
      </c>
      <c r="X11" s="1">
        <f>MEDIAN($B11)</f>
        <v>0</v>
      </c>
      <c r="Y11" s="1">
        <f>MEDIAN($C11)</f>
        <v>0</v>
      </c>
      <c r="Z11" s="1">
        <f>MEDIAN($D11)</f>
        <v>0</v>
      </c>
      <c r="AA11" s="1">
        <f>MEDIAN($E11)</f>
        <v>0</v>
      </c>
      <c r="AB11" s="1">
        <f>MEDIAN($F11)</f>
        <v>0</v>
      </c>
      <c r="AC11" s="1">
        <f>MEDIAN($G11)</f>
        <v>0</v>
      </c>
      <c r="AD11" s="1">
        <f>MEDIAN($H11)</f>
        <v>0</v>
      </c>
      <c r="AE11" s="1">
        <f>MEDIAN($I11)</f>
        <v>0</v>
      </c>
      <c r="AF11" s="1">
        <f>MEDIAN($L11)</f>
        <v>0</v>
      </c>
      <c r="AG11" s="1">
        <f>MEDIAN($M11)</f>
        <v>0</v>
      </c>
      <c r="AH11" s="1">
        <f>MAX($B11)</f>
        <v>0</v>
      </c>
      <c r="AI11" s="1">
        <f>MAX($C11)</f>
        <v>0</v>
      </c>
      <c r="AJ11" s="1">
        <f>MAX($D11)</f>
        <v>0</v>
      </c>
      <c r="AK11" s="1">
        <f>MAX($E11)</f>
        <v>0</v>
      </c>
      <c r="AL11" s="1">
        <f>MAX($F11)</f>
        <v>0</v>
      </c>
      <c r="AM11" s="1">
        <f>MAX($G11)</f>
        <v>0</v>
      </c>
      <c r="AN11" s="1">
        <f>MAX($H11)</f>
        <v>0</v>
      </c>
      <c r="AO11" s="1">
        <f>MAX($I11)</f>
        <v>0</v>
      </c>
      <c r="AP11" s="1">
        <f>MAX($L11)</f>
        <v>0</v>
      </c>
      <c r="AQ11" s="1">
        <f>MAX($M11)</f>
        <v>0</v>
      </c>
    </row>
    <row r="12" spans="1:43">
      <c r="A12" s="1" t="s">
        <v>9</v>
      </c>
      <c r="B12" s="1" cm="1">
        <f t="array" ref="B12">_xlfn.SWITCH($A$2,"average", AVERAGE(Instances!B12:Instances!B12),"median", MEDIAN(Instances!B12:Instances!B12),"min", MIN(Instances!B12:Instances!B12),"max", MAX(Instances!B12:Instances!B12),"diff", MAX(Instances!B12:Instances!B12)-MIN(Instances!B12:Instances!B12))</f>
        <v>0</v>
      </c>
      <c r="C12" s="1" cm="1">
        <f t="array" ref="C12">_xlfn.SWITCH($A$2,"average", AVERAGE(Instances!C12:Instances!C12),"median", MEDIAN(Instances!C12:Instances!C12),"min", MIN(Instances!C12:Instances!C12),"max", MAX(Instances!C12:Instances!C12),"diff", MAX(Instances!C12:Instances!C12)-MIN(Instances!C12:Instances!C12))</f>
        <v>0</v>
      </c>
      <c r="D12" s="1" cm="1">
        <f t="array" ref="D12">_xlfn.SWITCH($A$2,"average", AVERAGE(Instances!D12:Instances!D12),"median", MEDIAN(Instances!D12:Instances!D12),"min", MIN(Instances!D12:Instances!D12),"max", MAX(Instances!D12:Instances!D12),"diff", MAX(Instances!D12:Instances!D12)-MIN(Instances!D12:Instances!D12))</f>
        <v>0</v>
      </c>
      <c r="E12" s="1" cm="1">
        <f t="array" ref="E12">_xlfn.SWITCH($A$2,"average", AVERAGE(Instances!E12:Instances!E12),"median", MEDIAN(Instances!E12:Instances!E12),"min", MIN(Instances!E12:Instances!E12),"max", MAX(Instances!E12:Instances!E12),"diff", MAX(Instances!E12:Instances!E12)-MIN(Instances!E12:Instances!E12))</f>
        <v>0</v>
      </c>
      <c r="F12" s="1" cm="1">
        <f t="array" ref="F12">_xlfn.SWITCH($A$2,"average", AVERAGE(Instances!F12:Instances!F12),"median", MEDIAN(Instances!F12:Instances!F12),"min", MIN(Instances!F12:Instances!F12),"max", MAX(Instances!F12:Instances!F12),"diff", MAX(Instances!F12:Instances!F12)-MIN(Instances!F12:Instances!F12))</f>
        <v>0</v>
      </c>
      <c r="G12" s="1" cm="1">
        <f t="array" ref="G12">_xlfn.SWITCH($A$2,"average", AVERAGE(Instances!G12:Instances!G12),"median", MEDIAN(Instances!G12:Instances!G12),"min", MIN(Instances!G12:Instances!G12),"max", MAX(Instances!G12:Instances!G12),"diff", MAX(Instances!G12:Instances!G12)-MIN(Instances!G12:Instances!G12))</f>
        <v>0</v>
      </c>
      <c r="H12" s="1" cm="1">
        <f t="array" ref="H12">_xlfn.SWITCH($A$2,"average", AVERAGE(Instances!H12:Instances!H12),"median", MEDIAN(Instances!H12:Instances!H12),"min", MIN(Instances!H12:Instances!H12),"max", MAX(Instances!H12:Instances!H12),"diff", MAX(Instances!H12:Instances!H12)-MIN(Instances!H12:Instances!H12))</f>
        <v>0</v>
      </c>
      <c r="I12" s="1" cm="1">
        <f t="array" ref="I12">_xlfn.SWITCH($A$2,"average", AVERAGE(Instances!I12:Instances!I12),"median", MEDIAN(Instances!I12:Instances!I12),"min", MIN(Instances!I12:Instances!I12),"max", MAX(Instances!I12:Instances!I12),"diff", MAX(Instances!I12:Instances!I12)-MIN(Instances!I12:Instances!I12))</f>
        <v>0</v>
      </c>
      <c r="J12" s="1"/>
      <c r="K12" s="1"/>
      <c r="L12" s="1" cm="1">
        <f t="array" ref="L12">_xlfn.SWITCH($A$2,"average", AVERAGE(Instances!L12:Instances!L12),"median", MEDIAN(Instances!L12:Instances!L12),"min", MIN(Instances!L12:Instances!L12),"max", MAX(Instances!L12:Instances!L12),"diff", MAX(Instances!L12:Instances!L12)-MIN(Instances!L12:Instances!L12))</f>
        <v>0</v>
      </c>
      <c r="M12" s="1" cm="1">
        <f t="array" ref="M12">_xlfn.SWITCH($A$2,"average", AVERAGE(Instances!M12:Instances!M12),"median", MEDIAN(Instances!M12:Instances!M12),"min", MIN(Instances!M12:Instances!M12),"max", MAX(Instances!M12:Instances!M12),"diff", MAX(Instances!M12:Instances!M12)-MIN(Instances!M12:Instances!M12))</f>
        <v>0</v>
      </c>
      <c r="N12" s="1">
        <f>MIN($B12)</f>
        <v>0</v>
      </c>
      <c r="O12" s="1">
        <f>MIN($C12)</f>
        <v>0</v>
      </c>
      <c r="P12" s="1">
        <f>MIN($D12)</f>
        <v>0</v>
      </c>
      <c r="Q12" s="1">
        <f>MIN($E12)</f>
        <v>0</v>
      </c>
      <c r="R12" s="1">
        <f>MIN($F12)</f>
        <v>0</v>
      </c>
      <c r="S12" s="1">
        <f>MIN($G12)</f>
        <v>0</v>
      </c>
      <c r="T12" s="1">
        <f>MIN($H12)</f>
        <v>0</v>
      </c>
      <c r="U12" s="1">
        <f>MIN($I12)</f>
        <v>0</v>
      </c>
      <c r="V12" s="1">
        <f>MIN($L12)</f>
        <v>0</v>
      </c>
      <c r="W12" s="1">
        <f>MIN($M12)</f>
        <v>0</v>
      </c>
      <c r="X12" s="1">
        <f>MEDIAN($B12)</f>
        <v>0</v>
      </c>
      <c r="Y12" s="1">
        <f>MEDIAN($C12)</f>
        <v>0</v>
      </c>
      <c r="Z12" s="1">
        <f>MEDIAN($D12)</f>
        <v>0</v>
      </c>
      <c r="AA12" s="1">
        <f>MEDIAN($E12)</f>
        <v>0</v>
      </c>
      <c r="AB12" s="1">
        <f>MEDIAN($F12)</f>
        <v>0</v>
      </c>
      <c r="AC12" s="1">
        <f>MEDIAN($G12)</f>
        <v>0</v>
      </c>
      <c r="AD12" s="1">
        <f>MEDIAN($H12)</f>
        <v>0</v>
      </c>
      <c r="AE12" s="1">
        <f>MEDIAN($I12)</f>
        <v>0</v>
      </c>
      <c r="AF12" s="1">
        <f>MEDIAN($L12)</f>
        <v>0</v>
      </c>
      <c r="AG12" s="1">
        <f>MEDIAN($M12)</f>
        <v>0</v>
      </c>
      <c r="AH12" s="1">
        <f>MAX($B12)</f>
        <v>0</v>
      </c>
      <c r="AI12" s="1">
        <f>MAX($C12)</f>
        <v>0</v>
      </c>
      <c r="AJ12" s="1">
        <f>MAX($D12)</f>
        <v>0</v>
      </c>
      <c r="AK12" s="1">
        <f>MAX($E12)</f>
        <v>0</v>
      </c>
      <c r="AL12" s="1">
        <f>MAX($F12)</f>
        <v>0</v>
      </c>
      <c r="AM12" s="1">
        <f>MAX($G12)</f>
        <v>0</v>
      </c>
      <c r="AN12" s="1">
        <f>MAX($H12)</f>
        <v>0</v>
      </c>
      <c r="AO12" s="1">
        <f>MAX($I12)</f>
        <v>0</v>
      </c>
      <c r="AP12" s="1">
        <f>MAX($L12)</f>
        <v>0</v>
      </c>
      <c r="AQ12" s="1">
        <f>MAX($M12)</f>
        <v>0</v>
      </c>
    </row>
    <row r="13" spans="1:4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</row>
    <row r="14" spans="1:43">
      <c r="A14" s="1" t="s">
        <v>10</v>
      </c>
      <c r="B14" s="1">
        <f>SUM(B$3:B$12)</f>
        <v>0</v>
      </c>
      <c r="C14" s="1">
        <f>SUM(C$3:C$12)</f>
        <v>0</v>
      </c>
      <c r="D14" s="1">
        <f>SUM(D$3:D$12)</f>
        <v>0</v>
      </c>
      <c r="E14" s="1">
        <f>SUM(E$3:E$12)</f>
        <v>0</v>
      </c>
      <c r="F14" s="1">
        <f>SUM(F$3:F$12)</f>
        <v>0</v>
      </c>
      <c r="G14" s="1">
        <f>SUM(G$3:G$12)</f>
        <v>0</v>
      </c>
      <c r="H14" s="1">
        <f>SUM(H$3:H$12)</f>
        <v>0</v>
      </c>
      <c r="I14" s="1">
        <f>SUM(I$3:I$12)</f>
        <v>0</v>
      </c>
      <c r="J14" s="1"/>
      <c r="K14" s="1"/>
      <c r="L14" s="1">
        <f>SUM(L$3:L$12)</f>
        <v>0</v>
      </c>
      <c r="M14" s="1">
        <f>SUM(M$3:M$12)</f>
        <v>0</v>
      </c>
      <c r="N14" s="1">
        <f>SUM(N$3:N$12)</f>
        <v>0</v>
      </c>
      <c r="O14" s="1">
        <f>SUM(O$3:O$12)</f>
        <v>0</v>
      </c>
      <c r="P14" s="1">
        <f>SUM(P$3:P$12)</f>
        <v>0</v>
      </c>
      <c r="Q14" s="1">
        <f>SUM(Q$3:Q$12)</f>
        <v>0</v>
      </c>
      <c r="R14" s="1">
        <f>SUM(R$3:R$12)</f>
        <v>0</v>
      </c>
      <c r="S14" s="1">
        <f>SUM(S$3:S$12)</f>
        <v>0</v>
      </c>
      <c r="T14" s="1">
        <f>SUM(T$3:T$12)</f>
        <v>0</v>
      </c>
      <c r="U14" s="1">
        <f>SUM(U$3:U$12)</f>
        <v>0</v>
      </c>
      <c r="V14" s="1">
        <f>SUM(V$3:V$12)</f>
        <v>0</v>
      </c>
      <c r="W14" s="1">
        <f>SUM(W$3:W$12)</f>
        <v>0</v>
      </c>
      <c r="X14" s="1">
        <f>SUM(X$3:X$12)</f>
        <v>0</v>
      </c>
      <c r="Y14" s="1">
        <f>SUM(Y$3:Y$12)</f>
        <v>0</v>
      </c>
      <c r="Z14" s="1">
        <f>SUM(Z$3:Z$12)</f>
        <v>0</v>
      </c>
      <c r="AA14" s="1">
        <f>SUM(AA$3:AA$12)</f>
        <v>0</v>
      </c>
      <c r="AB14" s="1">
        <f>SUM(AB$3:AB$12)</f>
        <v>0</v>
      </c>
      <c r="AC14" s="1">
        <f>SUM(AC$3:AC$12)</f>
        <v>0</v>
      </c>
      <c r="AD14" s="1">
        <f>SUM(AD$3:AD$12)</f>
        <v>0</v>
      </c>
      <c r="AE14" s="1">
        <f>SUM(AE$3:AE$12)</f>
        <v>0</v>
      </c>
      <c r="AF14" s="1">
        <f>SUM(AF$3:AF$12)</f>
        <v>0</v>
      </c>
      <c r="AG14" s="1">
        <f>SUM(AG$3:AG$12)</f>
        <v>0</v>
      </c>
      <c r="AH14" s="1">
        <f>SUM(AH$3:AH$12)</f>
        <v>0</v>
      </c>
      <c r="AI14" s="1">
        <f>SUM(AI$3:AI$12)</f>
        <v>0</v>
      </c>
      <c r="AJ14" s="1">
        <f>SUM(AJ$3:AJ$12)</f>
        <v>0</v>
      </c>
      <c r="AK14" s="1">
        <f>SUM(AK$3:AK$12)</f>
        <v>0</v>
      </c>
      <c r="AL14" s="1">
        <f>SUM(AL$3:AL$12)</f>
        <v>0</v>
      </c>
      <c r="AM14" s="1">
        <f>SUM(AM$3:AM$12)</f>
        <v>0</v>
      </c>
      <c r="AN14" s="1">
        <f>SUM(AN$3:AN$12)</f>
        <v>0</v>
      </c>
      <c r="AO14" s="1">
        <f>SUM(AO$3:AO$12)</f>
        <v>0</v>
      </c>
      <c r="AP14" s="1">
        <f>SUM(AP$3:AP$12)</f>
        <v>0</v>
      </c>
      <c r="AQ14" s="1">
        <f>SUM(AQ$3:AQ$12)</f>
        <v>0</v>
      </c>
    </row>
    <row r="15" spans="1:43">
      <c r="A15" s="1" t="s">
        <v>11</v>
      </c>
      <c r="B15" s="1">
        <f>AVERAGE(B$3:B$12)</f>
        <v>0</v>
      </c>
      <c r="C15" s="1">
        <f>AVERAGE(C$3:C$12)</f>
        <v>0</v>
      </c>
      <c r="D15" s="1">
        <f>AVERAGE(D$3:D$12)</f>
        <v>0</v>
      </c>
      <c r="E15" s="1">
        <f>AVERAGE(E$3:E$12)</f>
        <v>0</v>
      </c>
      <c r="F15" s="1">
        <f>AVERAGE(F$3:F$12)</f>
        <v>0</v>
      </c>
      <c r="G15" s="1">
        <f>AVERAGE(G$3:G$12)</f>
        <v>0</v>
      </c>
      <c r="H15" s="1">
        <f>AVERAGE(H$3:H$12)</f>
        <v>0</v>
      </c>
      <c r="I15" s="1">
        <f>AVERAGE(I$3:I$12)</f>
        <v>0</v>
      </c>
      <c r="J15" s="1"/>
      <c r="K15" s="1"/>
      <c r="L15" s="1">
        <f>AVERAGE(L$3:L$12)</f>
        <v>0</v>
      </c>
      <c r="M15" s="1">
        <f>AVERAGE(M$3:M$12)</f>
        <v>0</v>
      </c>
      <c r="N15" s="1">
        <f>AVERAGE(N$3:N$12)</f>
        <v>0</v>
      </c>
      <c r="O15" s="1">
        <f>AVERAGE(O$3:O$12)</f>
        <v>0</v>
      </c>
      <c r="P15" s="1">
        <f>AVERAGE(P$3:P$12)</f>
        <v>0</v>
      </c>
      <c r="Q15" s="1">
        <f>AVERAGE(Q$3:Q$12)</f>
        <v>0</v>
      </c>
      <c r="R15" s="1">
        <f>AVERAGE(R$3:R$12)</f>
        <v>0</v>
      </c>
      <c r="S15" s="1">
        <f>AVERAGE(S$3:S$12)</f>
        <v>0</v>
      </c>
      <c r="T15" s="1">
        <f>AVERAGE(T$3:T$12)</f>
        <v>0</v>
      </c>
      <c r="U15" s="1">
        <f>AVERAGE(U$3:U$12)</f>
        <v>0</v>
      </c>
      <c r="V15" s="1">
        <f>AVERAGE(V$3:V$12)</f>
        <v>0</v>
      </c>
      <c r="W15" s="1">
        <f>AVERAGE(W$3:W$12)</f>
        <v>0</v>
      </c>
      <c r="X15" s="1">
        <f>AVERAGE(X$3:X$12)</f>
        <v>0</v>
      </c>
      <c r="Y15" s="1">
        <f>AVERAGE(Y$3:Y$12)</f>
        <v>0</v>
      </c>
      <c r="Z15" s="1">
        <f>AVERAGE(Z$3:Z$12)</f>
        <v>0</v>
      </c>
      <c r="AA15" s="1">
        <f>AVERAGE(AA$3:AA$12)</f>
        <v>0</v>
      </c>
      <c r="AB15" s="1">
        <f>AVERAGE(AB$3:AB$12)</f>
        <v>0</v>
      </c>
      <c r="AC15" s="1">
        <f>AVERAGE(AC$3:AC$12)</f>
        <v>0</v>
      </c>
      <c r="AD15" s="1">
        <f>AVERAGE(AD$3:AD$12)</f>
        <v>0</v>
      </c>
      <c r="AE15" s="1">
        <f>AVERAGE(AE$3:AE$12)</f>
        <v>0</v>
      </c>
      <c r="AF15" s="1">
        <f>AVERAGE(AF$3:AF$12)</f>
        <v>0</v>
      </c>
      <c r="AG15" s="1">
        <f>AVERAGE(AG$3:AG$12)</f>
        <v>0</v>
      </c>
      <c r="AH15" s="1">
        <f>AVERAGE(AH$3:AH$12)</f>
        <v>0</v>
      </c>
      <c r="AI15" s="1">
        <f>AVERAGE(AI$3:AI$12)</f>
        <v>0</v>
      </c>
      <c r="AJ15" s="1">
        <f>AVERAGE(AJ$3:AJ$12)</f>
        <v>0</v>
      </c>
      <c r="AK15" s="1">
        <f>AVERAGE(AK$3:AK$12)</f>
        <v>0</v>
      </c>
      <c r="AL15" s="1">
        <f>AVERAGE(AL$3:AL$12)</f>
        <v>0</v>
      </c>
      <c r="AM15" s="1">
        <f>AVERAGE(AM$3:AM$12)</f>
        <v>0</v>
      </c>
      <c r="AN15" s="1">
        <f>AVERAGE(AN$3:AN$12)</f>
        <v>0</v>
      </c>
      <c r="AO15" s="1">
        <f>AVERAGE(AO$3:AO$12)</f>
        <v>0</v>
      </c>
      <c r="AP15" s="1">
        <f>AVERAGE(AP$3:AP$12)</f>
        <v>0</v>
      </c>
      <c r="AQ15" s="1">
        <f>AVERAGE(AQ$3:AQ$12)</f>
        <v>0</v>
      </c>
    </row>
    <row r="16" spans="1:43">
      <c r="A16" s="1" t="s">
        <v>12</v>
      </c>
      <c r="B16" s="1">
        <f>STDEV(B$3:B$12)</f>
        <v>0</v>
      </c>
      <c r="C16" s="1">
        <f>STDEV(C$3:C$12)</f>
        <v>0</v>
      </c>
      <c r="D16" s="1">
        <f>STDEV(D$3:D$12)</f>
        <v>0</v>
      </c>
      <c r="E16" s="1">
        <f>STDEV(E$3:E$12)</f>
        <v>0</v>
      </c>
      <c r="F16" s="1">
        <f>STDEV(F$3:F$12)</f>
        <v>0</v>
      </c>
      <c r="G16" s="1">
        <f>STDEV(G$3:G$12)</f>
        <v>0</v>
      </c>
      <c r="H16" s="1">
        <f>STDEV(H$3:H$12)</f>
        <v>0</v>
      </c>
      <c r="I16" s="1">
        <f>STDEV(I$3:I$12)</f>
        <v>0</v>
      </c>
      <c r="J16" s="1"/>
      <c r="K16" s="1"/>
      <c r="L16" s="1">
        <f>STDEV(L$3:L$12)</f>
        <v>0</v>
      </c>
      <c r="M16" s="1">
        <f>STDEV(M$3:M$12)</f>
        <v>0</v>
      </c>
      <c r="N16" s="1">
        <f>STDEV(N$3:N$12)</f>
        <v>0</v>
      </c>
      <c r="O16" s="1">
        <f>STDEV(O$3:O$12)</f>
        <v>0</v>
      </c>
      <c r="P16" s="1">
        <f>STDEV(P$3:P$12)</f>
        <v>0</v>
      </c>
      <c r="Q16" s="1">
        <f>STDEV(Q$3:Q$12)</f>
        <v>0</v>
      </c>
      <c r="R16" s="1">
        <f>STDEV(R$3:R$12)</f>
        <v>0</v>
      </c>
      <c r="S16" s="1">
        <f>STDEV(S$3:S$12)</f>
        <v>0</v>
      </c>
      <c r="T16" s="1">
        <f>STDEV(T$3:T$12)</f>
        <v>0</v>
      </c>
      <c r="U16" s="1">
        <f>STDEV(U$3:U$12)</f>
        <v>0</v>
      </c>
      <c r="V16" s="1">
        <f>STDEV(V$3:V$12)</f>
        <v>0</v>
      </c>
      <c r="W16" s="1">
        <f>STDEV(W$3:W$12)</f>
        <v>0</v>
      </c>
      <c r="X16" s="1">
        <f>STDEV(X$3:X$12)</f>
        <v>0</v>
      </c>
      <c r="Y16" s="1">
        <f>STDEV(Y$3:Y$12)</f>
        <v>0</v>
      </c>
      <c r="Z16" s="1">
        <f>STDEV(Z$3:Z$12)</f>
        <v>0</v>
      </c>
      <c r="AA16" s="1">
        <f>STDEV(AA$3:AA$12)</f>
        <v>0</v>
      </c>
      <c r="AB16" s="1">
        <f>STDEV(AB$3:AB$12)</f>
        <v>0</v>
      </c>
      <c r="AC16" s="1">
        <f>STDEV(AC$3:AC$12)</f>
        <v>0</v>
      </c>
      <c r="AD16" s="1">
        <f>STDEV(AD$3:AD$12)</f>
        <v>0</v>
      </c>
      <c r="AE16" s="1">
        <f>STDEV(AE$3:AE$12)</f>
        <v>0</v>
      </c>
      <c r="AF16" s="1">
        <f>STDEV(AF$3:AF$12)</f>
        <v>0</v>
      </c>
      <c r="AG16" s="1">
        <f>STDEV(AG$3:AG$12)</f>
        <v>0</v>
      </c>
      <c r="AH16" s="1">
        <f>STDEV(AH$3:AH$12)</f>
        <v>0</v>
      </c>
      <c r="AI16" s="1">
        <f>STDEV(AI$3:AI$12)</f>
        <v>0</v>
      </c>
      <c r="AJ16" s="1">
        <f>STDEV(AJ$3:AJ$12)</f>
        <v>0</v>
      </c>
      <c r="AK16" s="1">
        <f>STDEV(AK$3:AK$12)</f>
        <v>0</v>
      </c>
      <c r="AL16" s="1">
        <f>STDEV(AL$3:AL$12)</f>
        <v>0</v>
      </c>
      <c r="AM16" s="1">
        <f>STDEV(AM$3:AM$12)</f>
        <v>0</v>
      </c>
      <c r="AN16" s="1">
        <f>STDEV(AN$3:AN$12)</f>
        <v>0</v>
      </c>
      <c r="AO16" s="1">
        <f>STDEV(AO$3:AO$12)</f>
        <v>0</v>
      </c>
      <c r="AP16" s="1">
        <f>STDEV(AP$3:AP$12)</f>
        <v>0</v>
      </c>
      <c r="AQ16" s="1">
        <f>STDEV(AQ$3:AQ$12)</f>
        <v>0</v>
      </c>
    </row>
    <row r="17" spans="1:43">
      <c r="A17" s="1" t="s">
        <v>13</v>
      </c>
      <c r="B17" s="1">
        <f>SUMPRODUCT(--(B$3:B$12-$N$3:$N$12)^2)^0.5</f>
        <v>0</v>
      </c>
      <c r="C17" s="1">
        <f>SUMPRODUCT(--(C$3:C$12-$O$3:$O$12)^2)^0.5</f>
        <v>0</v>
      </c>
      <c r="D17" s="1">
        <f>SUMPRODUCT(--(D$3:D$12-$P$3:$P$12)^2)^0.5</f>
        <v>0</v>
      </c>
      <c r="E17" s="1">
        <f>SUMPRODUCT(--(E$3:E$12-$Q$3:$Q$12)^2)^0.5</f>
        <v>0</v>
      </c>
      <c r="F17" s="1">
        <f>SUMPRODUCT(--(F$3:F$12-$R$3:$R$12)^2)^0.5</f>
        <v>0</v>
      </c>
      <c r="G17" s="1">
        <f>SUMPRODUCT(--(G$3:G$12-$S$3:$S$12)^2)^0.5</f>
        <v>0</v>
      </c>
      <c r="H17" s="1">
        <f>SUMPRODUCT(--(H$3:H$12-$T$3:$T$12)^2)^0.5</f>
        <v>0</v>
      </c>
      <c r="I17" s="1">
        <f>SUMPRODUCT(--(I$3:I$12-$U$3:$U$12)^2)^0.5</f>
        <v>0</v>
      </c>
      <c r="J17" s="1"/>
      <c r="K17" s="1"/>
      <c r="L17" s="1">
        <f>SUMPRODUCT(--(L$3:L$12-$V$3:$V$12)^2)^0.5</f>
        <v>0</v>
      </c>
      <c r="M17" s="1">
        <f>SUMPRODUCT(--(M$3:M$12-$W$3:$W$12)^2)^0.5</f>
        <v>0</v>
      </c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</row>
    <row r="18" spans="1:43">
      <c r="A18" s="1" t="s">
        <v>14</v>
      </c>
      <c r="B18" s="1">
        <f>SUMPRODUCT(NOT(ISBLANK(B$3:B$12))*(B$3:B$12=$N$3:$N$12))</f>
        <v>0</v>
      </c>
      <c r="C18" s="1">
        <f>SUMPRODUCT(NOT(ISBLANK(C$3:C$12))*(C$3:C$12=$O$3:$O$12))</f>
        <v>0</v>
      </c>
      <c r="D18" s="1">
        <f>SUMPRODUCT(NOT(ISBLANK(D$3:D$12))*(D$3:D$12=$P$3:$P$12))</f>
        <v>0</v>
      </c>
      <c r="E18" s="1">
        <f>SUMPRODUCT(NOT(ISBLANK(E$3:E$12))*(E$3:E$12=$Q$3:$Q$12))</f>
        <v>0</v>
      </c>
      <c r="F18" s="1">
        <f>SUMPRODUCT(NOT(ISBLANK(F$3:F$12))*(F$3:F$12=$R$3:$R$12))</f>
        <v>0</v>
      </c>
      <c r="G18" s="1">
        <f>SUMPRODUCT(NOT(ISBLANK(G$3:G$12))*(G$3:G$12=$S$3:$S$12))</f>
        <v>0</v>
      </c>
      <c r="H18" s="1">
        <f>SUMPRODUCT(NOT(ISBLANK(H$3:H$12))*(H$3:H$12=$T$3:$T$12))</f>
        <v>0</v>
      </c>
      <c r="I18" s="1">
        <f>SUMPRODUCT(NOT(ISBLANK(I$3:I$12))*(I$3:I$12=$U$3:$U$12))</f>
        <v>0</v>
      </c>
      <c r="J18" s="1"/>
      <c r="K18" s="1"/>
      <c r="L18" s="1">
        <f>SUMPRODUCT(NOT(ISBLANK(L$3:L$12))*(L$3:L$12=$V$3:$V$12))</f>
        <v>0</v>
      </c>
      <c r="M18" s="1">
        <f>SUMPRODUCT(NOT(ISBLANK(M$3:M$12))*(M$3:M$12=$W$3:$W$12))</f>
        <v>0</v>
      </c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</row>
    <row r="19" spans="1:43">
      <c r="A19" s="1" t="s">
        <v>15</v>
      </c>
      <c r="B19" s="1">
        <f>SUMPRODUCT(NOT(ISBLANK(B$3:B$12))*(B$3:B$12&lt;$X$3:$X$12))</f>
        <v>0</v>
      </c>
      <c r="C19" s="1">
        <f>SUMPRODUCT(NOT(ISBLANK(C$3:C$12))*(C$3:C$12&lt;$Y$3:$Y$12))</f>
        <v>0</v>
      </c>
      <c r="D19" s="1">
        <f>SUMPRODUCT(NOT(ISBLANK(D$3:D$12))*(D$3:D$12&lt;$Z$3:$Z$12))</f>
        <v>0</v>
      </c>
      <c r="E19" s="1">
        <f>SUMPRODUCT(NOT(ISBLANK(E$3:E$12))*(E$3:E$12&lt;$AA$3:$AA$12))</f>
        <v>0</v>
      </c>
      <c r="F19" s="1">
        <f>SUMPRODUCT(NOT(ISBLANK(F$3:F$12))*(F$3:F$12&lt;$AB$3:$AB$12))</f>
        <v>0</v>
      </c>
      <c r="G19" s="1">
        <f>SUMPRODUCT(NOT(ISBLANK(G$3:G$12))*(G$3:G$12&lt;$AC$3:$AC$12))</f>
        <v>0</v>
      </c>
      <c r="H19" s="1">
        <f>SUMPRODUCT(NOT(ISBLANK(H$3:H$12))*(H$3:H$12&lt;$AD$3:$AD$12))</f>
        <v>0</v>
      </c>
      <c r="I19" s="1">
        <f>SUMPRODUCT(NOT(ISBLANK(I$3:I$12))*(I$3:I$12&lt;$AE$3:$AE$12))</f>
        <v>0</v>
      </c>
      <c r="J19" s="1"/>
      <c r="K19" s="1"/>
      <c r="L19" s="1">
        <f>SUMPRODUCT(NOT(ISBLANK(L$3:L$12))*(L$3:L$12&lt;$AF$3:$AF$12))</f>
        <v>0</v>
      </c>
      <c r="M19" s="1">
        <f>SUMPRODUCT(NOT(ISBLANK(M$3:M$12))*(M$3:M$12&lt;$AG$3:$AG$12))</f>
        <v>0</v>
      </c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</row>
    <row r="20" spans="1:43">
      <c r="A20" s="1" t="s">
        <v>16</v>
      </c>
      <c r="B20" s="1">
        <f>SUMPRODUCT((NOT(ISBLANK(B$3:B$12))*(B$3:B$12&gt;$X$3:$X$12))+ISBLANK(B$3:B$12))</f>
        <v>0</v>
      </c>
      <c r="C20" s="1">
        <f>SUMPRODUCT((NOT(ISBLANK(C$3:C$12))*(C$3:C$12&gt;$Y$3:$Y$12))+ISBLANK(C$3:C$12))</f>
        <v>0</v>
      </c>
      <c r="D20" s="1">
        <f>SUMPRODUCT((NOT(ISBLANK(D$3:D$12))*(D$3:D$12&gt;$Z$3:$Z$12))+ISBLANK(D$3:D$12))</f>
        <v>0</v>
      </c>
      <c r="E20" s="1">
        <f>SUMPRODUCT((NOT(ISBLANK(E$3:E$12))*(E$3:E$12&gt;$AA$3:$AA$12))+ISBLANK(E$3:E$12))</f>
        <v>0</v>
      </c>
      <c r="F20" s="1">
        <f>SUMPRODUCT((NOT(ISBLANK(F$3:F$12))*(F$3:F$12&gt;$AB$3:$AB$12))+ISBLANK(F$3:F$12))</f>
        <v>0</v>
      </c>
      <c r="G20" s="1">
        <f>SUMPRODUCT((NOT(ISBLANK(G$3:G$12))*(G$3:G$12&gt;$AC$3:$AC$12))+ISBLANK(G$3:G$12))</f>
        <v>0</v>
      </c>
      <c r="H20" s="1">
        <f>SUMPRODUCT((NOT(ISBLANK(H$3:H$12))*(H$3:H$12&gt;$AD$3:$AD$12))+ISBLANK(H$3:H$12))</f>
        <v>0</v>
      </c>
      <c r="I20" s="1">
        <f>SUMPRODUCT((NOT(ISBLANK(I$3:I$12))*(I$3:I$12&gt;$AE$3:$AE$12))+ISBLANK(I$3:I$12))</f>
        <v>0</v>
      </c>
      <c r="J20" s="1"/>
      <c r="K20" s="1"/>
      <c r="L20" s="1">
        <f>SUMPRODUCT((NOT(ISBLANK(L$3:L$12))*(L$3:L$12&gt;$AF$3:$AF$12))+ISBLANK(L$3:L$12))</f>
        <v>0</v>
      </c>
      <c r="M20" s="1">
        <f>SUMPRODUCT((NOT(ISBLANK(M$3:M$12))*(M$3:M$12&gt;$AG$3:$AG$12))+ISBLANK(M$3:M$12))</f>
        <v>0</v>
      </c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</row>
    <row r="21" spans="1:43">
      <c r="A21" s="1" t="s">
        <v>17</v>
      </c>
      <c r="B21" s="1">
        <f>SUMPRODUCT((NOT(ISBLANK(B$3:B$12))*(B$3:B$12=$AH$3:$AH$12))+ISBLANK(B$3:B$12))</f>
        <v>0</v>
      </c>
      <c r="C21" s="1">
        <f>SUMPRODUCT((NOT(ISBLANK(C$3:C$12))*(C$3:C$12=$AI$3:$AI$12))+ISBLANK(C$3:C$12))</f>
        <v>0</v>
      </c>
      <c r="D21" s="1">
        <f>SUMPRODUCT((NOT(ISBLANK(D$3:D$12))*(D$3:D$12=$AJ$3:$AJ$12))+ISBLANK(D$3:D$12))</f>
        <v>0</v>
      </c>
      <c r="E21" s="1">
        <f>SUMPRODUCT((NOT(ISBLANK(E$3:E$12))*(E$3:E$12=$AK$3:$AK$12))+ISBLANK(E$3:E$12))</f>
        <v>0</v>
      </c>
      <c r="F21" s="1">
        <f>SUMPRODUCT((NOT(ISBLANK(F$3:F$12))*(F$3:F$12=$AL$3:$AL$12))+ISBLANK(F$3:F$12))</f>
        <v>0</v>
      </c>
      <c r="G21" s="1">
        <f>SUMPRODUCT((NOT(ISBLANK(G$3:G$12))*(G$3:G$12=$AM$3:$AM$12))+ISBLANK(G$3:G$12))</f>
        <v>0</v>
      </c>
      <c r="H21" s="1">
        <f>SUMPRODUCT((NOT(ISBLANK(H$3:H$12))*(H$3:H$12=$AN$3:$AN$12))+ISBLANK(H$3:H$12))</f>
        <v>0</v>
      </c>
      <c r="I21" s="1">
        <f>SUMPRODUCT((NOT(ISBLANK(I$3:I$12))*(I$3:I$12=$AO$3:$AO$12))+ISBLANK(I$3:I$12))</f>
        <v>0</v>
      </c>
      <c r="J21" s="1"/>
      <c r="K21" s="1"/>
      <c r="L21" s="1">
        <f>SUMPRODUCT((NOT(ISBLANK(L$3:L$12))*(L$3:L$12=$AP$3:$AP$12))+ISBLANK(L$3:L$12))</f>
        <v>0</v>
      </c>
      <c r="M21" s="1">
        <f>SUMPRODUCT((NOT(ISBLANK(M$3:M$12))*(M$3:M$12=$AQ$3:$AQ$12))+ISBLANK(M$3:M$12))</f>
        <v>0</v>
      </c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</row>
  </sheetData>
  <dataValidations count="1">
    <dataValidation type="list" allowBlank="1" showInputMessage="1" showErrorMessage="1" prompt="Select merge criteria" sqref="A2">
      <formula1>"average,median,min,max,diff"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Q12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43" width="11.42578125" customWidth="1"/>
  </cols>
  <sheetData>
    <row r="1" spans="1:43">
      <c r="A1" s="1"/>
      <c r="B1" s="1" t="s">
        <v>18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 t="s">
        <v>33</v>
      </c>
      <c r="O1" s="1"/>
      <c r="P1" s="1"/>
      <c r="Q1" s="1"/>
      <c r="R1" s="1"/>
      <c r="S1" s="1"/>
      <c r="T1" s="1"/>
      <c r="U1" s="1"/>
      <c r="V1" s="1"/>
      <c r="W1" s="1"/>
      <c r="X1" s="1" t="s">
        <v>34</v>
      </c>
      <c r="Y1" s="1"/>
      <c r="Z1" s="1"/>
      <c r="AA1" s="1"/>
      <c r="AB1" s="1"/>
      <c r="AC1" s="1"/>
      <c r="AD1" s="1"/>
      <c r="AE1" s="1"/>
      <c r="AF1" s="1"/>
      <c r="AG1" s="1"/>
      <c r="AH1" s="1" t="s">
        <v>35</v>
      </c>
      <c r="AI1" s="1"/>
      <c r="AJ1" s="1"/>
      <c r="AK1" s="1"/>
      <c r="AL1" s="1"/>
      <c r="AM1" s="1"/>
      <c r="AN1" s="1"/>
      <c r="AO1" s="1"/>
      <c r="AP1" s="1"/>
      <c r="AQ1" s="1"/>
    </row>
    <row r="2" spans="1:43">
      <c r="A2" s="1"/>
      <c r="B2" s="1" t="s">
        <v>19</v>
      </c>
      <c r="C2" s="1" t="s">
        <v>20</v>
      </c>
      <c r="D2" s="1" t="s">
        <v>21</v>
      </c>
      <c r="E2" s="1" t="s">
        <v>22</v>
      </c>
      <c r="F2" s="1" t="s">
        <v>23</v>
      </c>
      <c r="G2" s="1" t="s">
        <v>24</v>
      </c>
      <c r="H2" s="1" t="s">
        <v>25</v>
      </c>
      <c r="I2" s="1" t="s">
        <v>26</v>
      </c>
      <c r="J2" s="1" t="s">
        <v>27</v>
      </c>
      <c r="K2" s="1" t="s">
        <v>29</v>
      </c>
      <c r="L2" s="1" t="s">
        <v>31</v>
      </c>
      <c r="M2" s="1" t="s">
        <v>32</v>
      </c>
      <c r="N2" s="1" t="s">
        <v>19</v>
      </c>
      <c r="O2" s="1" t="s">
        <v>20</v>
      </c>
      <c r="P2" s="1" t="s">
        <v>21</v>
      </c>
      <c r="Q2" s="1" t="s">
        <v>22</v>
      </c>
      <c r="R2" s="1" t="s">
        <v>23</v>
      </c>
      <c r="S2" s="1" t="s">
        <v>24</v>
      </c>
      <c r="T2" s="1" t="s">
        <v>25</v>
      </c>
      <c r="U2" s="1" t="s">
        <v>26</v>
      </c>
      <c r="V2" s="1" t="s">
        <v>31</v>
      </c>
      <c r="W2" s="1" t="s">
        <v>32</v>
      </c>
      <c r="X2" s="1" t="s">
        <v>19</v>
      </c>
      <c r="Y2" s="1" t="s">
        <v>20</v>
      </c>
      <c r="Z2" s="1" t="s">
        <v>21</v>
      </c>
      <c r="AA2" s="1" t="s">
        <v>22</v>
      </c>
      <c r="AB2" s="1" t="s">
        <v>23</v>
      </c>
      <c r="AC2" s="1" t="s">
        <v>24</v>
      </c>
      <c r="AD2" s="1" t="s">
        <v>25</v>
      </c>
      <c r="AE2" s="1" t="s">
        <v>26</v>
      </c>
      <c r="AF2" s="1" t="s">
        <v>31</v>
      </c>
      <c r="AG2" s="1" t="s">
        <v>32</v>
      </c>
      <c r="AH2" s="1" t="s">
        <v>19</v>
      </c>
      <c r="AI2" s="1" t="s">
        <v>20</v>
      </c>
      <c r="AJ2" s="1" t="s">
        <v>21</v>
      </c>
      <c r="AK2" s="1" t="s">
        <v>22</v>
      </c>
      <c r="AL2" s="1" t="s">
        <v>23</v>
      </c>
      <c r="AM2" s="1" t="s">
        <v>24</v>
      </c>
      <c r="AN2" s="1" t="s">
        <v>25</v>
      </c>
      <c r="AO2" s="1" t="s">
        <v>26</v>
      </c>
      <c r="AP2" s="1" t="s">
        <v>31</v>
      </c>
      <c r="AQ2" s="1" t="s">
        <v>32</v>
      </c>
    </row>
    <row r="3" spans="1:43">
      <c r="A3" s="1" t="s">
        <v>37</v>
      </c>
      <c r="B3" s="1">
        <f>AVERAGE(Instances!B3:Instances!B12)</f>
        <v>0</v>
      </c>
      <c r="C3" s="1">
        <f>AVERAGE(Instances!C3:Instances!C12)</f>
        <v>0</v>
      </c>
      <c r="D3" s="1">
        <f>AVERAGE(Instances!D3:Instances!D12)</f>
        <v>0</v>
      </c>
      <c r="E3" s="1">
        <f>AVERAGE(Instances!E3:Instances!E12)</f>
        <v>0</v>
      </c>
      <c r="F3" s="1">
        <f>AVERAGE(Instances!F3:Instances!F12)</f>
        <v>0</v>
      </c>
      <c r="G3" s="1">
        <f>AVERAGE(Instances!G3:Instances!G12)</f>
        <v>0</v>
      </c>
      <c r="H3" s="1">
        <f>AVERAGE(Instances!H3:Instances!H12)</f>
        <v>0</v>
      </c>
      <c r="I3" s="1">
        <f>AVERAGE(Instances!I3:Instances!I12)</f>
        <v>0</v>
      </c>
      <c r="J3" s="1"/>
      <c r="K3" s="1"/>
      <c r="L3" s="1">
        <f>AVERAGE(Instances!L3:Instances!L12)</f>
        <v>0</v>
      </c>
      <c r="M3" s="1">
        <f>SUM(Instances!M3:Instances!M12)</f>
        <v>0</v>
      </c>
      <c r="N3" s="1">
        <f>MIN($B3)</f>
        <v>0</v>
      </c>
      <c r="O3" s="1">
        <f>MIN($C3)</f>
        <v>0</v>
      </c>
      <c r="P3" s="1">
        <f>MIN($D3)</f>
        <v>0</v>
      </c>
      <c r="Q3" s="1">
        <f>MIN($E3)</f>
        <v>0</v>
      </c>
      <c r="R3" s="1">
        <f>MIN($F3)</f>
        <v>0</v>
      </c>
      <c r="S3" s="1">
        <f>MIN($G3)</f>
        <v>0</v>
      </c>
      <c r="T3" s="1">
        <f>MIN($H3)</f>
        <v>0</v>
      </c>
      <c r="U3" s="1">
        <f>MIN($I3)</f>
        <v>0</v>
      </c>
      <c r="V3" s="1">
        <f>MIN($L3)</f>
        <v>0</v>
      </c>
      <c r="W3" s="1">
        <f>MIN($M3)</f>
        <v>0</v>
      </c>
      <c r="X3" s="1">
        <f>MEDIAN($B3)</f>
        <v>0</v>
      </c>
      <c r="Y3" s="1">
        <f>MEDIAN($C3)</f>
        <v>0</v>
      </c>
      <c r="Z3" s="1">
        <f>MEDIAN($D3)</f>
        <v>0</v>
      </c>
      <c r="AA3" s="1">
        <f>MEDIAN($E3)</f>
        <v>0</v>
      </c>
      <c r="AB3" s="1">
        <f>MEDIAN($F3)</f>
        <v>0</v>
      </c>
      <c r="AC3" s="1">
        <f>MEDIAN($G3)</f>
        <v>0</v>
      </c>
      <c r="AD3" s="1">
        <f>MEDIAN($H3)</f>
        <v>0</v>
      </c>
      <c r="AE3" s="1">
        <f>MEDIAN($I3)</f>
        <v>0</v>
      </c>
      <c r="AF3" s="1">
        <f>MEDIAN($L3)</f>
        <v>0</v>
      </c>
      <c r="AG3" s="1">
        <f>MEDIAN($M3)</f>
        <v>0</v>
      </c>
      <c r="AH3" s="1">
        <f>MAX($B3)</f>
        <v>0</v>
      </c>
      <c r="AI3" s="1">
        <f>MAX($C3)</f>
        <v>0</v>
      </c>
      <c r="AJ3" s="1">
        <f>MAX($D3)</f>
        <v>0</v>
      </c>
      <c r="AK3" s="1">
        <f>MAX($E3)</f>
        <v>0</v>
      </c>
      <c r="AL3" s="1">
        <f>MAX($F3)</f>
        <v>0</v>
      </c>
      <c r="AM3" s="1">
        <f>MAX($G3)</f>
        <v>0</v>
      </c>
      <c r="AN3" s="1">
        <f>MAX($H3)</f>
        <v>0</v>
      </c>
      <c r="AO3" s="1">
        <f>MAX($I3)</f>
        <v>0</v>
      </c>
      <c r="AP3" s="1">
        <f>MAX($L3)</f>
        <v>0</v>
      </c>
      <c r="AQ3" s="1">
        <f>MAX($M3)</f>
        <v>0</v>
      </c>
    </row>
    <row r="4" spans="1:4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</row>
    <row r="5" spans="1:43">
      <c r="A5" s="1" t="s">
        <v>10</v>
      </c>
      <c r="B5" s="1">
        <f>SUM(B$3:B$3)</f>
        <v>0</v>
      </c>
      <c r="C5" s="1">
        <f>SUM(C$3:C$3)</f>
        <v>0</v>
      </c>
      <c r="D5" s="1">
        <f>SUM(D$3:D$3)</f>
        <v>0</v>
      </c>
      <c r="E5" s="1">
        <f>SUM(E$3:E$3)</f>
        <v>0</v>
      </c>
      <c r="F5" s="1">
        <f>SUM(F$3:F$3)</f>
        <v>0</v>
      </c>
      <c r="G5" s="1">
        <f>SUM(G$3:G$3)</f>
        <v>0</v>
      </c>
      <c r="H5" s="1">
        <f>SUM(H$3:H$3)</f>
        <v>0</v>
      </c>
      <c r="I5" s="1">
        <f>SUM(I$3:I$3)</f>
        <v>0</v>
      </c>
      <c r="J5" s="1"/>
      <c r="K5" s="1"/>
      <c r="L5" s="1">
        <f>SUM(L$3:L$3)</f>
        <v>0</v>
      </c>
      <c r="M5" s="1">
        <f>SUM(M$3:M$3)</f>
        <v>0</v>
      </c>
      <c r="N5" s="1">
        <f>SUM(N$3:N$3)</f>
        <v>0</v>
      </c>
      <c r="O5" s="1">
        <f>SUM(O$3:O$3)</f>
        <v>0</v>
      </c>
      <c r="P5" s="1">
        <f>SUM(P$3:P$3)</f>
        <v>0</v>
      </c>
      <c r="Q5" s="1">
        <f>SUM(Q$3:Q$3)</f>
        <v>0</v>
      </c>
      <c r="R5" s="1">
        <f>SUM(R$3:R$3)</f>
        <v>0</v>
      </c>
      <c r="S5" s="1">
        <f>SUM(S$3:S$3)</f>
        <v>0</v>
      </c>
      <c r="T5" s="1">
        <f>SUM(T$3:T$3)</f>
        <v>0</v>
      </c>
      <c r="U5" s="1">
        <f>SUM(U$3:U$3)</f>
        <v>0</v>
      </c>
      <c r="V5" s="1">
        <f>SUM(V$3:V$3)</f>
        <v>0</v>
      </c>
      <c r="W5" s="1">
        <f>SUM(W$3:W$3)</f>
        <v>0</v>
      </c>
      <c r="X5" s="1">
        <f>SUM(X$3:X$3)</f>
        <v>0</v>
      </c>
      <c r="Y5" s="1">
        <f>SUM(Y$3:Y$3)</f>
        <v>0</v>
      </c>
      <c r="Z5" s="1">
        <f>SUM(Z$3:Z$3)</f>
        <v>0</v>
      </c>
      <c r="AA5" s="1">
        <f>SUM(AA$3:AA$3)</f>
        <v>0</v>
      </c>
      <c r="AB5" s="1">
        <f>SUM(AB$3:AB$3)</f>
        <v>0</v>
      </c>
      <c r="AC5" s="1">
        <f>SUM(AC$3:AC$3)</f>
        <v>0</v>
      </c>
      <c r="AD5" s="1">
        <f>SUM(AD$3:AD$3)</f>
        <v>0</v>
      </c>
      <c r="AE5" s="1">
        <f>SUM(AE$3:AE$3)</f>
        <v>0</v>
      </c>
      <c r="AF5" s="1">
        <f>SUM(AF$3:AF$3)</f>
        <v>0</v>
      </c>
      <c r="AG5" s="1">
        <f>SUM(AG$3:AG$3)</f>
        <v>0</v>
      </c>
      <c r="AH5" s="1">
        <f>SUM(AH$3:AH$3)</f>
        <v>0</v>
      </c>
      <c r="AI5" s="1">
        <f>SUM(AI$3:AI$3)</f>
        <v>0</v>
      </c>
      <c r="AJ5" s="1">
        <f>SUM(AJ$3:AJ$3)</f>
        <v>0</v>
      </c>
      <c r="AK5" s="1">
        <f>SUM(AK$3:AK$3)</f>
        <v>0</v>
      </c>
      <c r="AL5" s="1">
        <f>SUM(AL$3:AL$3)</f>
        <v>0</v>
      </c>
      <c r="AM5" s="1">
        <f>SUM(AM$3:AM$3)</f>
        <v>0</v>
      </c>
      <c r="AN5" s="1">
        <f>SUM(AN$3:AN$3)</f>
        <v>0</v>
      </c>
      <c r="AO5" s="1">
        <f>SUM(AO$3:AO$3)</f>
        <v>0</v>
      </c>
      <c r="AP5" s="1">
        <f>SUM(AP$3:AP$3)</f>
        <v>0</v>
      </c>
      <c r="AQ5" s="1">
        <f>SUM(AQ$3:AQ$3)</f>
        <v>0</v>
      </c>
    </row>
    <row r="6" spans="1:43">
      <c r="A6" s="1" t="s">
        <v>11</v>
      </c>
      <c r="B6" s="1">
        <f>AVERAGE(B$3:B$3)</f>
        <v>0</v>
      </c>
      <c r="C6" s="1">
        <f>AVERAGE(C$3:C$3)</f>
        <v>0</v>
      </c>
      <c r="D6" s="1">
        <f>AVERAGE(D$3:D$3)</f>
        <v>0</v>
      </c>
      <c r="E6" s="1">
        <f>AVERAGE(E$3:E$3)</f>
        <v>0</v>
      </c>
      <c r="F6" s="1">
        <f>AVERAGE(F$3:F$3)</f>
        <v>0</v>
      </c>
      <c r="G6" s="1">
        <f>AVERAGE(G$3:G$3)</f>
        <v>0</v>
      </c>
      <c r="H6" s="1">
        <f>AVERAGE(H$3:H$3)</f>
        <v>0</v>
      </c>
      <c r="I6" s="1">
        <f>AVERAGE(I$3:I$3)</f>
        <v>0</v>
      </c>
      <c r="J6" s="1"/>
      <c r="K6" s="1"/>
      <c r="L6" s="1">
        <f>AVERAGE(L$3:L$3)</f>
        <v>0</v>
      </c>
      <c r="M6" s="1">
        <f>AVERAGE(M$3:M$3)</f>
        <v>0</v>
      </c>
      <c r="N6" s="1">
        <f>AVERAGE(N$3:N$3)</f>
        <v>0</v>
      </c>
      <c r="O6" s="1">
        <f>AVERAGE(O$3:O$3)</f>
        <v>0</v>
      </c>
      <c r="P6" s="1">
        <f>AVERAGE(P$3:P$3)</f>
        <v>0</v>
      </c>
      <c r="Q6" s="1">
        <f>AVERAGE(Q$3:Q$3)</f>
        <v>0</v>
      </c>
      <c r="R6" s="1">
        <f>AVERAGE(R$3:R$3)</f>
        <v>0</v>
      </c>
      <c r="S6" s="1">
        <f>AVERAGE(S$3:S$3)</f>
        <v>0</v>
      </c>
      <c r="T6" s="1">
        <f>AVERAGE(T$3:T$3)</f>
        <v>0</v>
      </c>
      <c r="U6" s="1">
        <f>AVERAGE(U$3:U$3)</f>
        <v>0</v>
      </c>
      <c r="V6" s="1">
        <f>AVERAGE(V$3:V$3)</f>
        <v>0</v>
      </c>
      <c r="W6" s="1">
        <f>AVERAGE(W$3:W$3)</f>
        <v>0</v>
      </c>
      <c r="X6" s="1">
        <f>AVERAGE(X$3:X$3)</f>
        <v>0</v>
      </c>
      <c r="Y6" s="1">
        <f>AVERAGE(Y$3:Y$3)</f>
        <v>0</v>
      </c>
      <c r="Z6" s="1">
        <f>AVERAGE(Z$3:Z$3)</f>
        <v>0</v>
      </c>
      <c r="AA6" s="1">
        <f>AVERAGE(AA$3:AA$3)</f>
        <v>0</v>
      </c>
      <c r="AB6" s="1">
        <f>AVERAGE(AB$3:AB$3)</f>
        <v>0</v>
      </c>
      <c r="AC6" s="1">
        <f>AVERAGE(AC$3:AC$3)</f>
        <v>0</v>
      </c>
      <c r="AD6" s="1">
        <f>AVERAGE(AD$3:AD$3)</f>
        <v>0</v>
      </c>
      <c r="AE6" s="1">
        <f>AVERAGE(AE$3:AE$3)</f>
        <v>0</v>
      </c>
      <c r="AF6" s="1">
        <f>AVERAGE(AF$3:AF$3)</f>
        <v>0</v>
      </c>
      <c r="AG6" s="1">
        <f>AVERAGE(AG$3:AG$3)</f>
        <v>0</v>
      </c>
      <c r="AH6" s="1">
        <f>AVERAGE(AH$3:AH$3)</f>
        <v>0</v>
      </c>
      <c r="AI6" s="1">
        <f>AVERAGE(AI$3:AI$3)</f>
        <v>0</v>
      </c>
      <c r="AJ6" s="1">
        <f>AVERAGE(AJ$3:AJ$3)</f>
        <v>0</v>
      </c>
      <c r="AK6" s="1">
        <f>AVERAGE(AK$3:AK$3)</f>
        <v>0</v>
      </c>
      <c r="AL6" s="1">
        <f>AVERAGE(AL$3:AL$3)</f>
        <v>0</v>
      </c>
      <c r="AM6" s="1">
        <f>AVERAGE(AM$3:AM$3)</f>
        <v>0</v>
      </c>
      <c r="AN6" s="1">
        <f>AVERAGE(AN$3:AN$3)</f>
        <v>0</v>
      </c>
      <c r="AO6" s="1">
        <f>AVERAGE(AO$3:AO$3)</f>
        <v>0</v>
      </c>
      <c r="AP6" s="1">
        <f>AVERAGE(AP$3:AP$3)</f>
        <v>0</v>
      </c>
      <c r="AQ6" s="1">
        <f>AVERAGE(AQ$3:AQ$3)</f>
        <v>0</v>
      </c>
    </row>
    <row r="7" spans="1:43">
      <c r="A7" s="1" t="s">
        <v>12</v>
      </c>
      <c r="B7" s="1">
        <f>STDEV(B$3:B$3)</f>
        <v>0</v>
      </c>
      <c r="C7" s="1">
        <f>STDEV(C$3:C$3)</f>
        <v>0</v>
      </c>
      <c r="D7" s="1">
        <f>STDEV(D$3:D$3)</f>
        <v>0</v>
      </c>
      <c r="E7" s="1">
        <f>STDEV(E$3:E$3)</f>
        <v>0</v>
      </c>
      <c r="F7" s="1">
        <f>STDEV(F$3:F$3)</f>
        <v>0</v>
      </c>
      <c r="G7" s="1">
        <f>STDEV(G$3:G$3)</f>
        <v>0</v>
      </c>
      <c r="H7" s="1">
        <f>STDEV(H$3:H$3)</f>
        <v>0</v>
      </c>
      <c r="I7" s="1">
        <f>STDEV(I$3:I$3)</f>
        <v>0</v>
      </c>
      <c r="J7" s="1"/>
      <c r="K7" s="1"/>
      <c r="L7" s="1">
        <f>STDEV(L$3:L$3)</f>
        <v>0</v>
      </c>
      <c r="M7" s="1">
        <f>STDEV(M$3:M$3)</f>
        <v>0</v>
      </c>
      <c r="N7" s="1">
        <f>STDEV(N$3:N$3)</f>
        <v>0</v>
      </c>
      <c r="O7" s="1">
        <f>STDEV(O$3:O$3)</f>
        <v>0</v>
      </c>
      <c r="P7" s="1">
        <f>STDEV(P$3:P$3)</f>
        <v>0</v>
      </c>
      <c r="Q7" s="1">
        <f>STDEV(Q$3:Q$3)</f>
        <v>0</v>
      </c>
      <c r="R7" s="1">
        <f>STDEV(R$3:R$3)</f>
        <v>0</v>
      </c>
      <c r="S7" s="1">
        <f>STDEV(S$3:S$3)</f>
        <v>0</v>
      </c>
      <c r="T7" s="1">
        <f>STDEV(T$3:T$3)</f>
        <v>0</v>
      </c>
      <c r="U7" s="1">
        <f>STDEV(U$3:U$3)</f>
        <v>0</v>
      </c>
      <c r="V7" s="1">
        <f>STDEV(V$3:V$3)</f>
        <v>0</v>
      </c>
      <c r="W7" s="1">
        <f>STDEV(W$3:W$3)</f>
        <v>0</v>
      </c>
      <c r="X7" s="1">
        <f>STDEV(X$3:X$3)</f>
        <v>0</v>
      </c>
      <c r="Y7" s="1">
        <f>STDEV(Y$3:Y$3)</f>
        <v>0</v>
      </c>
      <c r="Z7" s="1">
        <f>STDEV(Z$3:Z$3)</f>
        <v>0</v>
      </c>
      <c r="AA7" s="1">
        <f>STDEV(AA$3:AA$3)</f>
        <v>0</v>
      </c>
      <c r="AB7" s="1">
        <f>STDEV(AB$3:AB$3)</f>
        <v>0</v>
      </c>
      <c r="AC7" s="1">
        <f>STDEV(AC$3:AC$3)</f>
        <v>0</v>
      </c>
      <c r="AD7" s="1">
        <f>STDEV(AD$3:AD$3)</f>
        <v>0</v>
      </c>
      <c r="AE7" s="1">
        <f>STDEV(AE$3:AE$3)</f>
        <v>0</v>
      </c>
      <c r="AF7" s="1">
        <f>STDEV(AF$3:AF$3)</f>
        <v>0</v>
      </c>
      <c r="AG7" s="1">
        <f>STDEV(AG$3:AG$3)</f>
        <v>0</v>
      </c>
      <c r="AH7" s="1">
        <f>STDEV(AH$3:AH$3)</f>
        <v>0</v>
      </c>
      <c r="AI7" s="1">
        <f>STDEV(AI$3:AI$3)</f>
        <v>0</v>
      </c>
      <c r="AJ7" s="1">
        <f>STDEV(AJ$3:AJ$3)</f>
        <v>0</v>
      </c>
      <c r="AK7" s="1">
        <f>STDEV(AK$3:AK$3)</f>
        <v>0</v>
      </c>
      <c r="AL7" s="1">
        <f>STDEV(AL$3:AL$3)</f>
        <v>0</v>
      </c>
      <c r="AM7" s="1">
        <f>STDEV(AM$3:AM$3)</f>
        <v>0</v>
      </c>
      <c r="AN7" s="1">
        <f>STDEV(AN$3:AN$3)</f>
        <v>0</v>
      </c>
      <c r="AO7" s="1">
        <f>STDEV(AO$3:AO$3)</f>
        <v>0</v>
      </c>
      <c r="AP7" s="1">
        <f>STDEV(AP$3:AP$3)</f>
        <v>0</v>
      </c>
      <c r="AQ7" s="1">
        <f>STDEV(AQ$3:AQ$3)</f>
        <v>0</v>
      </c>
    </row>
    <row r="8" spans="1:43">
      <c r="A8" s="1" t="s">
        <v>13</v>
      </c>
      <c r="B8" s="1">
        <f>SUMPRODUCT(--(B$3:B$3-$N$3:$N$3)^2)^0.5</f>
        <v>0</v>
      </c>
      <c r="C8" s="1">
        <f>SUMPRODUCT(--(C$3:C$3-$O$3:$O$3)^2)^0.5</f>
        <v>0</v>
      </c>
      <c r="D8" s="1">
        <f>SUMPRODUCT(--(D$3:D$3-$P$3:$P$3)^2)^0.5</f>
        <v>0</v>
      </c>
      <c r="E8" s="1">
        <f>SUMPRODUCT(--(E$3:E$3-$Q$3:$Q$3)^2)^0.5</f>
        <v>0</v>
      </c>
      <c r="F8" s="1">
        <f>SUMPRODUCT(--(F$3:F$3-$R$3:$R$3)^2)^0.5</f>
        <v>0</v>
      </c>
      <c r="G8" s="1">
        <f>SUMPRODUCT(--(G$3:G$3-$S$3:$S$3)^2)^0.5</f>
        <v>0</v>
      </c>
      <c r="H8" s="1">
        <f>SUMPRODUCT(--(H$3:H$3-$T$3:$T$3)^2)^0.5</f>
        <v>0</v>
      </c>
      <c r="I8" s="1">
        <f>SUMPRODUCT(--(I$3:I$3-$U$3:$U$3)^2)^0.5</f>
        <v>0</v>
      </c>
      <c r="J8" s="1"/>
      <c r="K8" s="1"/>
      <c r="L8" s="1">
        <f>SUMPRODUCT(--(L$3:L$3-$V$3:$V$3)^2)^0.5</f>
        <v>0</v>
      </c>
      <c r="M8" s="1">
        <f>SUMPRODUCT(--(M$3:M$3-$W$3:$W$3)^2)^0.5</f>
        <v>0</v>
      </c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</row>
    <row r="9" spans="1:43">
      <c r="A9" s="1" t="s">
        <v>14</v>
      </c>
      <c r="B9" s="1">
        <f>SUMPRODUCT(NOT(ISBLANK(B$3:B$3))*(B$3:B$3=$N$3:$N$3))</f>
        <v>0</v>
      </c>
      <c r="C9" s="1">
        <f>SUMPRODUCT(NOT(ISBLANK(C$3:C$3))*(C$3:C$3=$O$3:$O$3))</f>
        <v>0</v>
      </c>
      <c r="D9" s="1">
        <f>SUMPRODUCT(NOT(ISBLANK(D$3:D$3))*(D$3:D$3=$P$3:$P$3))</f>
        <v>0</v>
      </c>
      <c r="E9" s="1">
        <f>SUMPRODUCT(NOT(ISBLANK(E$3:E$3))*(E$3:E$3=$Q$3:$Q$3))</f>
        <v>0</v>
      </c>
      <c r="F9" s="1">
        <f>SUMPRODUCT(NOT(ISBLANK(F$3:F$3))*(F$3:F$3=$R$3:$R$3))</f>
        <v>0</v>
      </c>
      <c r="G9" s="1">
        <f>SUMPRODUCT(NOT(ISBLANK(G$3:G$3))*(G$3:G$3=$S$3:$S$3))</f>
        <v>0</v>
      </c>
      <c r="H9" s="1">
        <f>SUMPRODUCT(NOT(ISBLANK(H$3:H$3))*(H$3:H$3=$T$3:$T$3))</f>
        <v>0</v>
      </c>
      <c r="I9" s="1">
        <f>SUMPRODUCT(NOT(ISBLANK(I$3:I$3))*(I$3:I$3=$U$3:$U$3))</f>
        <v>0</v>
      </c>
      <c r="J9" s="1"/>
      <c r="K9" s="1"/>
      <c r="L9" s="1">
        <f>SUMPRODUCT(NOT(ISBLANK(L$3:L$3))*(L$3:L$3=$V$3:$V$3))</f>
        <v>0</v>
      </c>
      <c r="M9" s="1">
        <f>SUMPRODUCT(NOT(ISBLANK(M$3:M$3))*(M$3:M$3=$W$3:$W$3))</f>
        <v>0</v>
      </c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</row>
    <row r="10" spans="1:43">
      <c r="A10" s="1" t="s">
        <v>15</v>
      </c>
      <c r="B10" s="1">
        <f>SUMPRODUCT(NOT(ISBLANK(B$3:B$3))*(B$3:B$3&lt;$X$3:$X$3))</f>
        <v>0</v>
      </c>
      <c r="C10" s="1">
        <f>SUMPRODUCT(NOT(ISBLANK(C$3:C$3))*(C$3:C$3&lt;$Y$3:$Y$3))</f>
        <v>0</v>
      </c>
      <c r="D10" s="1">
        <f>SUMPRODUCT(NOT(ISBLANK(D$3:D$3))*(D$3:D$3&lt;$Z$3:$Z$3))</f>
        <v>0</v>
      </c>
      <c r="E10" s="1">
        <f>SUMPRODUCT(NOT(ISBLANK(E$3:E$3))*(E$3:E$3&lt;$AA$3:$AA$3))</f>
        <v>0</v>
      </c>
      <c r="F10" s="1">
        <f>SUMPRODUCT(NOT(ISBLANK(F$3:F$3))*(F$3:F$3&lt;$AB$3:$AB$3))</f>
        <v>0</v>
      </c>
      <c r="G10" s="1">
        <f>SUMPRODUCT(NOT(ISBLANK(G$3:G$3))*(G$3:G$3&lt;$AC$3:$AC$3))</f>
        <v>0</v>
      </c>
      <c r="H10" s="1">
        <f>SUMPRODUCT(NOT(ISBLANK(H$3:H$3))*(H$3:H$3&lt;$AD$3:$AD$3))</f>
        <v>0</v>
      </c>
      <c r="I10" s="1">
        <f>SUMPRODUCT(NOT(ISBLANK(I$3:I$3))*(I$3:I$3&lt;$AE$3:$AE$3))</f>
        <v>0</v>
      </c>
      <c r="J10" s="1"/>
      <c r="K10" s="1"/>
      <c r="L10" s="1">
        <f>SUMPRODUCT(NOT(ISBLANK(L$3:L$3))*(L$3:L$3&lt;$AF$3:$AF$3))</f>
        <v>0</v>
      </c>
      <c r="M10" s="1">
        <f>SUMPRODUCT(NOT(ISBLANK(M$3:M$3))*(M$3:M$3&lt;$AG$3:$AG$3))</f>
        <v>0</v>
      </c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</row>
    <row r="11" spans="1:43">
      <c r="A11" s="1" t="s">
        <v>16</v>
      </c>
      <c r="B11" s="1">
        <f>SUMPRODUCT((NOT(ISBLANK(B$3:B$3))*(B$3:B$3&gt;$X$3:$X$3))+ISBLANK(B$3:B$3))</f>
        <v>0</v>
      </c>
      <c r="C11" s="1">
        <f>SUMPRODUCT((NOT(ISBLANK(C$3:C$3))*(C$3:C$3&gt;$Y$3:$Y$3))+ISBLANK(C$3:C$3))</f>
        <v>0</v>
      </c>
      <c r="D11" s="1">
        <f>SUMPRODUCT((NOT(ISBLANK(D$3:D$3))*(D$3:D$3&gt;$Z$3:$Z$3))+ISBLANK(D$3:D$3))</f>
        <v>0</v>
      </c>
      <c r="E11" s="1">
        <f>SUMPRODUCT((NOT(ISBLANK(E$3:E$3))*(E$3:E$3&gt;$AA$3:$AA$3))+ISBLANK(E$3:E$3))</f>
        <v>0</v>
      </c>
      <c r="F11" s="1">
        <f>SUMPRODUCT((NOT(ISBLANK(F$3:F$3))*(F$3:F$3&gt;$AB$3:$AB$3))+ISBLANK(F$3:F$3))</f>
        <v>0</v>
      </c>
      <c r="G11" s="1">
        <f>SUMPRODUCT((NOT(ISBLANK(G$3:G$3))*(G$3:G$3&gt;$AC$3:$AC$3))+ISBLANK(G$3:G$3))</f>
        <v>0</v>
      </c>
      <c r="H11" s="1">
        <f>SUMPRODUCT((NOT(ISBLANK(H$3:H$3))*(H$3:H$3&gt;$AD$3:$AD$3))+ISBLANK(H$3:H$3))</f>
        <v>0</v>
      </c>
      <c r="I11" s="1">
        <f>SUMPRODUCT((NOT(ISBLANK(I$3:I$3))*(I$3:I$3&gt;$AE$3:$AE$3))+ISBLANK(I$3:I$3))</f>
        <v>0</v>
      </c>
      <c r="J11" s="1"/>
      <c r="K11" s="1"/>
      <c r="L11" s="1">
        <f>SUMPRODUCT((NOT(ISBLANK(L$3:L$3))*(L$3:L$3&gt;$AF$3:$AF$3))+ISBLANK(L$3:L$3))</f>
        <v>0</v>
      </c>
      <c r="M11" s="1">
        <f>SUMPRODUCT((NOT(ISBLANK(M$3:M$3))*(M$3:M$3&gt;$AG$3:$AG$3))+ISBLANK(M$3:M$3))</f>
        <v>0</v>
      </c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</row>
    <row r="12" spans="1:43">
      <c r="A12" s="1" t="s">
        <v>17</v>
      </c>
      <c r="B12" s="1">
        <f>SUMPRODUCT((NOT(ISBLANK(B$3:B$3))*(B$3:B$3=$AH$3:$AH$3))+ISBLANK(B$3:B$3))</f>
        <v>0</v>
      </c>
      <c r="C12" s="1">
        <f>SUMPRODUCT((NOT(ISBLANK(C$3:C$3))*(C$3:C$3=$AI$3:$AI$3))+ISBLANK(C$3:C$3))</f>
        <v>0</v>
      </c>
      <c r="D12" s="1">
        <f>SUMPRODUCT((NOT(ISBLANK(D$3:D$3))*(D$3:D$3=$AJ$3:$AJ$3))+ISBLANK(D$3:D$3))</f>
        <v>0</v>
      </c>
      <c r="E12" s="1">
        <f>SUMPRODUCT((NOT(ISBLANK(E$3:E$3))*(E$3:E$3=$AK$3:$AK$3))+ISBLANK(E$3:E$3))</f>
        <v>0</v>
      </c>
      <c r="F12" s="1">
        <f>SUMPRODUCT((NOT(ISBLANK(F$3:F$3))*(F$3:F$3=$AL$3:$AL$3))+ISBLANK(F$3:F$3))</f>
        <v>0</v>
      </c>
      <c r="G12" s="1">
        <f>SUMPRODUCT((NOT(ISBLANK(G$3:G$3))*(G$3:G$3=$AM$3:$AM$3))+ISBLANK(G$3:G$3))</f>
        <v>0</v>
      </c>
      <c r="H12" s="1">
        <f>SUMPRODUCT((NOT(ISBLANK(H$3:H$3))*(H$3:H$3=$AN$3:$AN$3))+ISBLANK(H$3:H$3))</f>
        <v>0</v>
      </c>
      <c r="I12" s="1">
        <f>SUMPRODUCT((NOT(ISBLANK(I$3:I$3))*(I$3:I$3=$AO$3:$AO$3))+ISBLANK(I$3:I$3))</f>
        <v>0</v>
      </c>
      <c r="J12" s="1"/>
      <c r="K12" s="1"/>
      <c r="L12" s="1">
        <f>SUMPRODUCT((NOT(ISBLANK(L$3:L$3))*(L$3:L$3=$AP$3:$AP$3))+ISBLANK(L$3:L$3))</f>
        <v>0</v>
      </c>
      <c r="M12" s="1">
        <f>SUMPRODUCT((NOT(ISBLANK(M$3:M$3))*(M$3:M$3=$AQ$3:$AQ$3))+ISBLANK(M$3:M$3))</f>
        <v>0</v>
      </c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2:T81"/>
  <sheetViews>
    <sheetView workbookViewId="0"/>
  </sheetViews>
  <sheetFormatPr defaultRowHeight="15"/>
  <sheetData>
    <row r="2" spans="1:20">
      <c r="A2" t="s">
        <v>19</v>
      </c>
      <c r="B2">
        <v>1</v>
      </c>
      <c r="E2">
        <f>VLOOKUP(Charts!$F$3,A2:B11,2,FALSE)</f>
        <v>0</v>
      </c>
      <c r="K2">
        <f>E2</f>
        <v>0</v>
      </c>
      <c r="Q2">
        <f>VLOOKUP(Charts!$F$3,A2:B11,2,FALSE)</f>
        <v>0</v>
      </c>
    </row>
    <row r="3" spans="1:20">
      <c r="A3" t="s">
        <v>20</v>
      </c>
      <c r="B3">
        <v>2</v>
      </c>
      <c r="D3" t="s">
        <v>38</v>
      </c>
      <c r="E3">
        <f>Instances!B1</f>
        <v>0</v>
      </c>
      <c r="J3" t="s">
        <v>38</v>
      </c>
      <c r="K3">
        <f>E3</f>
        <v>0</v>
      </c>
      <c r="Q3">
        <f>Instances!B1</f>
        <v>0</v>
      </c>
    </row>
    <row r="4" spans="1:20">
      <c r="A4" t="s">
        <v>21</v>
      </c>
      <c r="B4">
        <v>3</v>
      </c>
      <c r="D4" t="s">
        <v>39</v>
      </c>
      <c r="E4" t="s">
        <v>43</v>
      </c>
      <c r="F4" t="s">
        <v>44</v>
      </c>
      <c r="H4" t="s">
        <v>45</v>
      </c>
      <c r="J4" t="s">
        <v>39</v>
      </c>
      <c r="K4" t="s">
        <v>43</v>
      </c>
      <c r="L4" t="s">
        <v>44</v>
      </c>
      <c r="N4" t="s">
        <v>45</v>
      </c>
      <c r="P4" t="s">
        <v>46</v>
      </c>
      <c r="Q4" t="s">
        <v>39</v>
      </c>
      <c r="R4" t="s">
        <v>44</v>
      </c>
      <c r="S4" t="s">
        <v>39</v>
      </c>
      <c r="T4" t="s">
        <v>45</v>
      </c>
    </row>
    <row r="5" spans="1:20">
      <c r="A5" t="s">
        <v>22</v>
      </c>
      <c r="B5">
        <v>4</v>
      </c>
      <c r="D5">
        <v>1</v>
      </c>
      <c r="E5">
        <f>IF(INDIRECT(ADDRESS($D5+2,E$2+1,,,"Instances"))="","",INDIRECT(ADDRESS($D5+2,E$2+1,,,"Instances")))</f>
        <v>0</v>
      </c>
      <c r="F5">
        <f>IFERROR(SMALL(E5:E14,ROW()-ROW($F$5)+1),"")</f>
        <v>0</v>
      </c>
      <c r="H5">
        <f>IFERROR(SUM(F5:F5),"")</f>
        <v>0</v>
      </c>
      <c r="J5">
        <v>1</v>
      </c>
      <c r="K5" cm="1">
        <f t="array" ref="K5">_xlfn.SWITCH(Charts!$B$3,"average", AVERAGE(INDIRECT(ADDRESS(0+3,K$2+1,,,"Instances") &amp; ":" &amp; ADDRESS(0+3,K$2+1))),"median", MEDIAN(INDIRECT(ADDRESS(0+3,K$2+1,,,"Instances") &amp; ":" &amp; ADDRESS(0+3,K$2+1))),"min", MIN(INDIRECT(ADDRESS(0+3,K$2+1,,,"Instances") &amp; ":" &amp; ADDRESS(0+3,K$2+1))),"max", MAX(INDIRECT(ADDRESS(0+3,K$2+1,,,"Instances") &amp; ":" &amp; ADDRESS(0+3,K$2+1))),"diff", MAX(INDIRECT(ADDRESS(0+3,K$2+1,,,"Instances") &amp; ":" &amp; ADDRESS(0+3,K$2+1)))-MIN(INDIRECT(ADDRESS(0+3,K$2+1,,,"Instances") &amp; ":" &amp; ADDRESS(0+3,K$2+1))))</f>
        <v>0</v>
      </c>
      <c r="L5">
        <f>IFERROR(SMALL(K5:K14,ROW()-ROW($L$5)+1),"")</f>
        <v>0</v>
      </c>
      <c r="N5">
        <f>IFERROR(SUM(L5:L5),"")</f>
        <v>0</v>
      </c>
      <c r="Q5">
        <f>IF(Charts!$B$3="none",E62,IF(K62="",NA(),K62))</f>
        <v>0</v>
      </c>
      <c r="R5">
        <f>IF(Charts!$B$3="none",F62,IF(L62="",NA(),L62))</f>
        <v>0</v>
      </c>
      <c r="S5">
        <f>IF(Charts!$B$3="none",G62,IF(M62="",NA(),M62))</f>
        <v>0</v>
      </c>
      <c r="T5">
        <f>IF(Charts!$B$3="none",H62,IF(N62="",NA(),N62))</f>
        <v>0</v>
      </c>
    </row>
    <row r="6" spans="1:20">
      <c r="A6" t="s">
        <v>23</v>
      </c>
      <c r="B6">
        <v>5</v>
      </c>
      <c r="D6">
        <v>2</v>
      </c>
      <c r="E6">
        <f>IF(INDIRECT(ADDRESS($D6+2,E$2+1,,,"Instances"))="","",INDIRECT(ADDRESS($D6+2,E$2+1,,,"Instances")))</f>
        <v>0</v>
      </c>
      <c r="F6">
        <f>IFERROR(SMALL(E5:E14,ROW()-ROW($F$5)+1),"")</f>
        <v>0</v>
      </c>
      <c r="H6">
        <f>IFERROR(SUM(F5:F6),"")</f>
        <v>0</v>
      </c>
      <c r="J6">
        <v>2</v>
      </c>
      <c r="K6" cm="1">
        <f t="array" ref="K6">_xlfn.SWITCH(Charts!$B$3,"average", AVERAGE(INDIRECT(ADDRESS(1+3,K$2+1,,,"Instances") &amp; ":" &amp; ADDRESS(1+3,K$2+1))),"median", MEDIAN(INDIRECT(ADDRESS(1+3,K$2+1,,,"Instances") &amp; ":" &amp; ADDRESS(1+3,K$2+1))),"min", MIN(INDIRECT(ADDRESS(1+3,K$2+1,,,"Instances") &amp; ":" &amp; ADDRESS(1+3,K$2+1))),"max", MAX(INDIRECT(ADDRESS(1+3,K$2+1,,,"Instances") &amp; ":" &amp; ADDRESS(1+3,K$2+1))),"diff", MAX(INDIRECT(ADDRESS(1+3,K$2+1,,,"Instances") &amp; ":" &amp; ADDRESS(1+3,K$2+1)))-MIN(INDIRECT(ADDRESS(1+3,K$2+1,,,"Instances") &amp; ":" &amp; ADDRESS(1+3,K$2+1))))</f>
        <v>0</v>
      </c>
      <c r="L6">
        <f>IFERROR(SMALL(K5:K14,ROW()-ROW($L$5)+1),"")</f>
        <v>0</v>
      </c>
      <c r="N6">
        <f>IFERROR(SUM(L5:L6),"")</f>
        <v>0</v>
      </c>
      <c r="Q6">
        <f>IF(Charts!$B$3="none",E63,IF(K63="",NA(),K63))</f>
        <v>0</v>
      </c>
      <c r="R6">
        <f>IF(Charts!$B$3="none",F63,IF(L63="",NA(),L63))</f>
        <v>0</v>
      </c>
      <c r="S6">
        <f>IF(Charts!$B$3="none",G63,IF(M63="",NA(),M63))</f>
        <v>0</v>
      </c>
      <c r="T6">
        <f>IF(Charts!$B$3="none",H63,IF(N63="",NA(),N63))</f>
        <v>0</v>
      </c>
    </row>
    <row r="7" spans="1:20">
      <c r="A7" t="s">
        <v>24</v>
      </c>
      <c r="B7">
        <v>6</v>
      </c>
      <c r="D7">
        <v>3</v>
      </c>
      <c r="E7">
        <f>IF(INDIRECT(ADDRESS($D7+2,E$2+1,,,"Instances"))="","",INDIRECT(ADDRESS($D7+2,E$2+1,,,"Instances")))</f>
        <v>0</v>
      </c>
      <c r="F7">
        <f>IFERROR(SMALL(E5:E14,ROW()-ROW($F$5)+1),"")</f>
        <v>0</v>
      </c>
      <c r="H7">
        <f>IFERROR(SUM(F5:F7),"")</f>
        <v>0</v>
      </c>
      <c r="J7">
        <v>3</v>
      </c>
      <c r="K7" cm="1">
        <f t="array" ref="K7">_xlfn.SWITCH(Charts!$B$3,"average", AVERAGE(INDIRECT(ADDRESS(2+3,K$2+1,,,"Instances") &amp; ":" &amp; ADDRESS(2+3,K$2+1))),"median", MEDIAN(INDIRECT(ADDRESS(2+3,K$2+1,,,"Instances") &amp; ":" &amp; ADDRESS(2+3,K$2+1))),"min", MIN(INDIRECT(ADDRESS(2+3,K$2+1,,,"Instances") &amp; ":" &amp; ADDRESS(2+3,K$2+1))),"max", MAX(INDIRECT(ADDRESS(2+3,K$2+1,,,"Instances") &amp; ":" &amp; ADDRESS(2+3,K$2+1))),"diff", MAX(INDIRECT(ADDRESS(2+3,K$2+1,,,"Instances") &amp; ":" &amp; ADDRESS(2+3,K$2+1)))-MIN(INDIRECT(ADDRESS(2+3,K$2+1,,,"Instances") &amp; ":" &amp; ADDRESS(2+3,K$2+1))))</f>
        <v>0</v>
      </c>
      <c r="L7">
        <f>IFERROR(SMALL(K5:K14,ROW()-ROW($L$5)+1),"")</f>
        <v>0</v>
      </c>
      <c r="N7">
        <f>IFERROR(SUM(L5:L7),"")</f>
        <v>0</v>
      </c>
      <c r="Q7">
        <f>IF(Charts!$B$3="none",E64,IF(K64="",NA(),K64))</f>
        <v>0</v>
      </c>
      <c r="R7">
        <f>IF(Charts!$B$3="none",F64,IF(L64="",NA(),L64))</f>
        <v>0</v>
      </c>
      <c r="S7">
        <f>IF(Charts!$B$3="none",G64,IF(M64="",NA(),M64))</f>
        <v>0</v>
      </c>
      <c r="T7">
        <f>IF(Charts!$B$3="none",H64,IF(N64="",NA(),N64))</f>
        <v>0</v>
      </c>
    </row>
    <row r="8" spans="1:20">
      <c r="A8" t="s">
        <v>25</v>
      </c>
      <c r="B8">
        <v>7</v>
      </c>
      <c r="D8">
        <v>4</v>
      </c>
      <c r="E8">
        <f>IF(INDIRECT(ADDRESS($D8+2,E$2+1,,,"Instances"))="","",INDIRECT(ADDRESS($D8+2,E$2+1,,,"Instances")))</f>
        <v>0</v>
      </c>
      <c r="F8">
        <f>IFERROR(SMALL(E5:E14,ROW()-ROW($F$5)+1),"")</f>
        <v>0</v>
      </c>
      <c r="H8">
        <f>IFERROR(SUM(F5:F8),"")</f>
        <v>0</v>
      </c>
      <c r="J8">
        <v>4</v>
      </c>
      <c r="K8" cm="1">
        <f t="array" ref="K8">_xlfn.SWITCH(Charts!$B$3,"average", AVERAGE(INDIRECT(ADDRESS(3+3,K$2+1,,,"Instances") &amp; ":" &amp; ADDRESS(3+3,K$2+1))),"median", MEDIAN(INDIRECT(ADDRESS(3+3,K$2+1,,,"Instances") &amp; ":" &amp; ADDRESS(3+3,K$2+1))),"min", MIN(INDIRECT(ADDRESS(3+3,K$2+1,,,"Instances") &amp; ":" &amp; ADDRESS(3+3,K$2+1))),"max", MAX(INDIRECT(ADDRESS(3+3,K$2+1,,,"Instances") &amp; ":" &amp; ADDRESS(3+3,K$2+1))),"diff", MAX(INDIRECT(ADDRESS(3+3,K$2+1,,,"Instances") &amp; ":" &amp; ADDRESS(3+3,K$2+1)))-MIN(INDIRECT(ADDRESS(3+3,K$2+1,,,"Instances") &amp; ":" &amp; ADDRESS(3+3,K$2+1))))</f>
        <v>0</v>
      </c>
      <c r="L8">
        <f>IFERROR(SMALL(K5:K14,ROW()-ROW($L$5)+1),"")</f>
        <v>0</v>
      </c>
      <c r="N8">
        <f>IFERROR(SUM(L5:L8),"")</f>
        <v>0</v>
      </c>
      <c r="Q8">
        <f>IF(Charts!$B$3="none",E65,IF(K65="",NA(),K65))</f>
        <v>0</v>
      </c>
      <c r="R8">
        <f>IF(Charts!$B$3="none",F65,IF(L65="",NA(),L65))</f>
        <v>0</v>
      </c>
      <c r="S8">
        <f>IF(Charts!$B$3="none",G65,IF(M65="",NA(),M65))</f>
        <v>0</v>
      </c>
      <c r="T8">
        <f>IF(Charts!$B$3="none",H65,IF(N65="",NA(),N65))</f>
        <v>0</v>
      </c>
    </row>
    <row r="9" spans="1:20">
      <c r="A9" t="s">
        <v>26</v>
      </c>
      <c r="B9">
        <v>8</v>
      </c>
      <c r="D9">
        <v>5</v>
      </c>
      <c r="E9">
        <f>IF(INDIRECT(ADDRESS($D9+2,E$2+1,,,"Instances"))="","",INDIRECT(ADDRESS($D9+2,E$2+1,,,"Instances")))</f>
        <v>0</v>
      </c>
      <c r="F9">
        <f>IFERROR(SMALL(E5:E14,ROW()-ROW($F$5)+1),"")</f>
        <v>0</v>
      </c>
      <c r="H9">
        <f>IFERROR(SUM(F5:F9),"")</f>
        <v>0</v>
      </c>
      <c r="J9">
        <v>5</v>
      </c>
      <c r="K9" cm="1">
        <f t="array" ref="K9">_xlfn.SWITCH(Charts!$B$3,"average", AVERAGE(INDIRECT(ADDRESS(4+3,K$2+1,,,"Instances") &amp; ":" &amp; ADDRESS(4+3,K$2+1))),"median", MEDIAN(INDIRECT(ADDRESS(4+3,K$2+1,,,"Instances") &amp; ":" &amp; ADDRESS(4+3,K$2+1))),"min", MIN(INDIRECT(ADDRESS(4+3,K$2+1,,,"Instances") &amp; ":" &amp; ADDRESS(4+3,K$2+1))),"max", MAX(INDIRECT(ADDRESS(4+3,K$2+1,,,"Instances") &amp; ":" &amp; ADDRESS(4+3,K$2+1))),"diff", MAX(INDIRECT(ADDRESS(4+3,K$2+1,,,"Instances") &amp; ":" &amp; ADDRESS(4+3,K$2+1)))-MIN(INDIRECT(ADDRESS(4+3,K$2+1,,,"Instances") &amp; ":" &amp; ADDRESS(4+3,K$2+1))))</f>
        <v>0</v>
      </c>
      <c r="L9">
        <f>IFERROR(SMALL(K5:K14,ROW()-ROW($L$5)+1),"")</f>
        <v>0</v>
      </c>
      <c r="N9">
        <f>IFERROR(SUM(L5:L9),"")</f>
        <v>0</v>
      </c>
      <c r="Q9">
        <f>IF(Charts!$B$3="none",E66,IF(K66="",NA(),K66))</f>
        <v>0</v>
      </c>
      <c r="R9">
        <f>IF(Charts!$B$3="none",F66,IF(L66="",NA(),L66))</f>
        <v>0</v>
      </c>
      <c r="S9">
        <f>IF(Charts!$B$3="none",G66,IF(M66="",NA(),M66))</f>
        <v>0</v>
      </c>
      <c r="T9">
        <f>IF(Charts!$B$3="none",H66,IF(N66="",NA(),N66))</f>
        <v>0</v>
      </c>
    </row>
    <row r="10" spans="1:20">
      <c r="A10" t="s">
        <v>31</v>
      </c>
      <c r="B10">
        <v>11</v>
      </c>
      <c r="D10">
        <v>6</v>
      </c>
      <c r="E10">
        <f>IF(INDIRECT(ADDRESS($D10+2,E$2+1,,,"Instances"))="","",INDIRECT(ADDRESS($D10+2,E$2+1,,,"Instances")))</f>
        <v>0</v>
      </c>
      <c r="F10">
        <f>IFERROR(SMALL(E5:E14,ROW()-ROW($F$5)+1),"")</f>
        <v>0</v>
      </c>
      <c r="H10">
        <f>IFERROR(SUM(F5:F10),"")</f>
        <v>0</v>
      </c>
      <c r="J10">
        <v>6</v>
      </c>
      <c r="K10" cm="1">
        <f t="array" ref="K10">_xlfn.SWITCH(Charts!$B$3,"average", AVERAGE(INDIRECT(ADDRESS(5+3,K$2+1,,,"Instances") &amp; ":" &amp; ADDRESS(5+3,K$2+1))),"median", MEDIAN(INDIRECT(ADDRESS(5+3,K$2+1,,,"Instances") &amp; ":" &amp; ADDRESS(5+3,K$2+1))),"min", MIN(INDIRECT(ADDRESS(5+3,K$2+1,,,"Instances") &amp; ":" &amp; ADDRESS(5+3,K$2+1))),"max", MAX(INDIRECT(ADDRESS(5+3,K$2+1,,,"Instances") &amp; ":" &amp; ADDRESS(5+3,K$2+1))),"diff", MAX(INDIRECT(ADDRESS(5+3,K$2+1,,,"Instances") &amp; ":" &amp; ADDRESS(5+3,K$2+1)))-MIN(INDIRECT(ADDRESS(5+3,K$2+1,,,"Instances") &amp; ":" &amp; ADDRESS(5+3,K$2+1))))</f>
        <v>0</v>
      </c>
      <c r="L10">
        <f>IFERROR(SMALL(K5:K14,ROW()-ROW($L$5)+1),"")</f>
        <v>0</v>
      </c>
      <c r="N10">
        <f>IFERROR(SUM(L5:L10),"")</f>
        <v>0</v>
      </c>
      <c r="Q10">
        <f>IF(Charts!$B$3="none",E67,IF(K67="",NA(),K67))</f>
        <v>0</v>
      </c>
      <c r="R10">
        <f>IF(Charts!$B$3="none",F67,IF(L67="",NA(),L67))</f>
        <v>0</v>
      </c>
      <c r="S10">
        <f>IF(Charts!$B$3="none",G67,IF(M67="",NA(),M67))</f>
        <v>0</v>
      </c>
      <c r="T10">
        <f>IF(Charts!$B$3="none",H67,IF(N67="",NA(),N67))</f>
        <v>0</v>
      </c>
    </row>
    <row r="11" spans="1:20">
      <c r="A11" t="s">
        <v>32</v>
      </c>
      <c r="B11">
        <v>12</v>
      </c>
      <c r="D11">
        <v>7</v>
      </c>
      <c r="E11">
        <f>IF(INDIRECT(ADDRESS($D11+2,E$2+1,,,"Instances"))="","",INDIRECT(ADDRESS($D11+2,E$2+1,,,"Instances")))</f>
        <v>0</v>
      </c>
      <c r="F11">
        <f>IFERROR(SMALL(E5:E14,ROW()-ROW($F$5)+1),"")</f>
        <v>0</v>
      </c>
      <c r="H11">
        <f>IFERROR(SUM(F5:F11),"")</f>
        <v>0</v>
      </c>
      <c r="J11">
        <v>7</v>
      </c>
      <c r="K11" cm="1">
        <f t="array" ref="K11">_xlfn.SWITCH(Charts!$B$3,"average", AVERAGE(INDIRECT(ADDRESS(6+3,K$2+1,,,"Instances") &amp; ":" &amp; ADDRESS(6+3,K$2+1))),"median", MEDIAN(INDIRECT(ADDRESS(6+3,K$2+1,,,"Instances") &amp; ":" &amp; ADDRESS(6+3,K$2+1))),"min", MIN(INDIRECT(ADDRESS(6+3,K$2+1,,,"Instances") &amp; ":" &amp; ADDRESS(6+3,K$2+1))),"max", MAX(INDIRECT(ADDRESS(6+3,K$2+1,,,"Instances") &amp; ":" &amp; ADDRESS(6+3,K$2+1))),"diff", MAX(INDIRECT(ADDRESS(6+3,K$2+1,,,"Instances") &amp; ":" &amp; ADDRESS(6+3,K$2+1)))-MIN(INDIRECT(ADDRESS(6+3,K$2+1,,,"Instances") &amp; ":" &amp; ADDRESS(6+3,K$2+1))))</f>
        <v>0</v>
      </c>
      <c r="L11">
        <f>IFERROR(SMALL(K5:K14,ROW()-ROW($L$5)+1),"")</f>
        <v>0</v>
      </c>
      <c r="N11">
        <f>IFERROR(SUM(L5:L11),"")</f>
        <v>0</v>
      </c>
      <c r="Q11">
        <f>IF(Charts!$B$3="none",E68,IF(K68="",NA(),K68))</f>
        <v>0</v>
      </c>
      <c r="R11">
        <f>IF(Charts!$B$3="none",F68,IF(L68="",NA(),L68))</f>
        <v>0</v>
      </c>
      <c r="S11">
        <f>IF(Charts!$B$3="none",G68,IF(M68="",NA(),M68))</f>
        <v>0</v>
      </c>
      <c r="T11">
        <f>IF(Charts!$B$3="none",H68,IF(N68="",NA(),N68))</f>
        <v>0</v>
      </c>
    </row>
    <row r="12" spans="1:20">
      <c r="D12">
        <v>8</v>
      </c>
      <c r="E12">
        <f>IF(INDIRECT(ADDRESS($D12+2,E$2+1,,,"Instances"))="","",INDIRECT(ADDRESS($D12+2,E$2+1,,,"Instances")))</f>
        <v>0</v>
      </c>
      <c r="F12">
        <f>IFERROR(SMALL(E5:E14,ROW()-ROW($F$5)+1),"")</f>
        <v>0</v>
      </c>
      <c r="H12">
        <f>IFERROR(SUM(F5:F12),"")</f>
        <v>0</v>
      </c>
      <c r="J12">
        <v>8</v>
      </c>
      <c r="K12" cm="1">
        <f t="array" ref="K12">_xlfn.SWITCH(Charts!$B$3,"average", AVERAGE(INDIRECT(ADDRESS(7+3,K$2+1,,,"Instances") &amp; ":" &amp; ADDRESS(7+3,K$2+1))),"median", MEDIAN(INDIRECT(ADDRESS(7+3,K$2+1,,,"Instances") &amp; ":" &amp; ADDRESS(7+3,K$2+1))),"min", MIN(INDIRECT(ADDRESS(7+3,K$2+1,,,"Instances") &amp; ":" &amp; ADDRESS(7+3,K$2+1))),"max", MAX(INDIRECT(ADDRESS(7+3,K$2+1,,,"Instances") &amp; ":" &amp; ADDRESS(7+3,K$2+1))),"diff", MAX(INDIRECT(ADDRESS(7+3,K$2+1,,,"Instances") &amp; ":" &amp; ADDRESS(7+3,K$2+1)))-MIN(INDIRECT(ADDRESS(7+3,K$2+1,,,"Instances") &amp; ":" &amp; ADDRESS(7+3,K$2+1))))</f>
        <v>0</v>
      </c>
      <c r="L12">
        <f>IFERROR(SMALL(K5:K14,ROW()-ROW($L$5)+1),"")</f>
        <v>0</v>
      </c>
      <c r="N12">
        <f>IFERROR(SUM(L5:L12),"")</f>
        <v>0</v>
      </c>
      <c r="Q12">
        <f>IF(Charts!$B$3="none",E69,IF(K69="",NA(),K69))</f>
        <v>0</v>
      </c>
      <c r="R12">
        <f>IF(Charts!$B$3="none",F69,IF(L69="",NA(),L69))</f>
        <v>0</v>
      </c>
      <c r="S12">
        <f>IF(Charts!$B$3="none",G69,IF(M69="",NA(),M69))</f>
        <v>0</v>
      </c>
      <c r="T12">
        <f>IF(Charts!$B$3="none",H69,IF(N69="",NA(),N69))</f>
        <v>0</v>
      </c>
    </row>
    <row r="13" spans="1:20">
      <c r="D13">
        <v>9</v>
      </c>
      <c r="E13">
        <f>IF(INDIRECT(ADDRESS($D13+2,E$2+1,,,"Instances"))="","",INDIRECT(ADDRESS($D13+2,E$2+1,,,"Instances")))</f>
        <v>0</v>
      </c>
      <c r="F13">
        <f>IFERROR(SMALL(E5:E14,ROW()-ROW($F$5)+1),"")</f>
        <v>0</v>
      </c>
      <c r="H13">
        <f>IFERROR(SUM(F5:F13),"")</f>
        <v>0</v>
      </c>
      <c r="J13">
        <v>9</v>
      </c>
      <c r="K13" cm="1">
        <f t="array" ref="K13">_xlfn.SWITCH(Charts!$B$3,"average", AVERAGE(INDIRECT(ADDRESS(8+3,K$2+1,,,"Instances") &amp; ":" &amp; ADDRESS(8+3,K$2+1))),"median", MEDIAN(INDIRECT(ADDRESS(8+3,K$2+1,,,"Instances") &amp; ":" &amp; ADDRESS(8+3,K$2+1))),"min", MIN(INDIRECT(ADDRESS(8+3,K$2+1,,,"Instances") &amp; ":" &amp; ADDRESS(8+3,K$2+1))),"max", MAX(INDIRECT(ADDRESS(8+3,K$2+1,,,"Instances") &amp; ":" &amp; ADDRESS(8+3,K$2+1))),"diff", MAX(INDIRECT(ADDRESS(8+3,K$2+1,,,"Instances") &amp; ":" &amp; ADDRESS(8+3,K$2+1)))-MIN(INDIRECT(ADDRESS(8+3,K$2+1,,,"Instances") &amp; ":" &amp; ADDRESS(8+3,K$2+1))))</f>
        <v>0</v>
      </c>
      <c r="L13">
        <f>IFERROR(SMALL(K5:K14,ROW()-ROW($L$5)+1),"")</f>
        <v>0</v>
      </c>
      <c r="N13">
        <f>IFERROR(SUM(L5:L13),"")</f>
        <v>0</v>
      </c>
      <c r="Q13">
        <f>IF(Charts!$B$3="none",E70,IF(K70="",NA(),K70))</f>
        <v>0</v>
      </c>
      <c r="R13">
        <f>IF(Charts!$B$3="none",F70,IF(L70="",NA(),L70))</f>
        <v>0</v>
      </c>
      <c r="S13">
        <f>IF(Charts!$B$3="none",G70,IF(M70="",NA(),M70))</f>
        <v>0</v>
      </c>
      <c r="T13">
        <f>IF(Charts!$B$3="none",H70,IF(N70="",NA(),N70))</f>
        <v>0</v>
      </c>
    </row>
    <row r="14" spans="1:20">
      <c r="D14">
        <v>10</v>
      </c>
      <c r="E14">
        <f>IF(INDIRECT(ADDRESS($D14+2,E$2+1,,,"Instances"))="","",INDIRECT(ADDRESS($D14+2,E$2+1,,,"Instances")))</f>
        <v>0</v>
      </c>
      <c r="F14">
        <f>IFERROR(SMALL(E5:E14,ROW()-ROW($F$5)+1),"")</f>
        <v>0</v>
      </c>
      <c r="H14">
        <f>IFERROR(SUM(F5:F14),"")</f>
        <v>0</v>
      </c>
      <c r="J14">
        <v>10</v>
      </c>
      <c r="K14" cm="1">
        <f t="array" ref="K14">_xlfn.SWITCH(Charts!$B$3,"average", AVERAGE(INDIRECT(ADDRESS(9+3,K$2+1,,,"Instances") &amp; ":" &amp; ADDRESS(9+3,K$2+1))),"median", MEDIAN(INDIRECT(ADDRESS(9+3,K$2+1,,,"Instances") &amp; ":" &amp; ADDRESS(9+3,K$2+1))),"min", MIN(INDIRECT(ADDRESS(9+3,K$2+1,,,"Instances") &amp; ":" &amp; ADDRESS(9+3,K$2+1))),"max", MAX(INDIRECT(ADDRESS(9+3,K$2+1,,,"Instances") &amp; ":" &amp; ADDRESS(9+3,K$2+1))),"diff", MAX(INDIRECT(ADDRESS(9+3,K$2+1,,,"Instances") &amp; ":" &amp; ADDRESS(9+3,K$2+1)))-MIN(INDIRECT(ADDRESS(9+3,K$2+1,,,"Instances") &amp; ":" &amp; ADDRESS(9+3,K$2+1))))</f>
        <v>0</v>
      </c>
      <c r="L14">
        <f>IFERROR(SMALL(K5:K14,ROW()-ROW($L$5)+1),"")</f>
        <v>0</v>
      </c>
      <c r="N14">
        <f>IFERROR(SUM(L5:L14),"")</f>
        <v>0</v>
      </c>
      <c r="Q14">
        <f>IF(Charts!$B$3="none",E71,IF(K71="",NA(),K71))</f>
        <v>0</v>
      </c>
      <c r="R14">
        <f>IF(Charts!$B$3="none",F71,IF(L71="",NA(),L71))</f>
        <v>0</v>
      </c>
      <c r="S14">
        <f>IF(Charts!$B$3="none",G71,IF(M71="",NA(),M71))</f>
        <v>0</v>
      </c>
      <c r="T14">
        <f>IF(Charts!$B$3="none",H71,IF(N71="",NA(),N71))</f>
        <v>0</v>
      </c>
    </row>
    <row r="15" spans="1:20">
      <c r="Q15">
        <f>IF(Charts!$B$3="none",E72,IF(K72="",NA(),K72))</f>
        <v>0</v>
      </c>
      <c r="R15">
        <f>IF(Charts!$B$3="none",F72,IF(L72="",NA(),L72))</f>
        <v>0</v>
      </c>
      <c r="S15">
        <f>IF(Charts!$B$3="none",G72,IF(M72="",NA(),M72))</f>
        <v>0</v>
      </c>
      <c r="T15">
        <f>IF(Charts!$B$3="none",H72,IF(N72="",NA(),N72))</f>
        <v>0</v>
      </c>
    </row>
    <row r="16" spans="1:20">
      <c r="D16" t="s">
        <v>40</v>
      </c>
      <c r="E16" t="s">
        <v>39</v>
      </c>
      <c r="F16" t="s">
        <v>44</v>
      </c>
      <c r="G16" t="s">
        <v>39</v>
      </c>
      <c r="H16" t="s">
        <v>45</v>
      </c>
      <c r="J16" t="s">
        <v>40</v>
      </c>
      <c r="K16" t="s">
        <v>39</v>
      </c>
      <c r="L16" t="s">
        <v>44</v>
      </c>
      <c r="M16" t="s">
        <v>39</v>
      </c>
      <c r="N16" t="s">
        <v>45</v>
      </c>
      <c r="Q16">
        <f>IF(Charts!$B$3="none",E73,IF(K73="",NA(),K73))</f>
        <v>0</v>
      </c>
      <c r="R16">
        <f>IF(Charts!$B$3="none",F73,IF(L73="",NA(),L73))</f>
        <v>0</v>
      </c>
      <c r="S16">
        <f>IF(Charts!$B$3="none",G73,IF(M73="",NA(),M73))</f>
        <v>0</v>
      </c>
      <c r="T16">
        <f>IF(Charts!$B$3="none",H73,IF(N73="",NA(),N73))</f>
        <v>0</v>
      </c>
    </row>
    <row r="17" spans="5:20">
      <c r="E17">
        <v>1</v>
      </c>
      <c r="F17">
        <f>F5</f>
        <v>0</v>
      </c>
      <c r="G17">
        <v>1</v>
      </c>
      <c r="H17">
        <f>H5</f>
        <v>0</v>
      </c>
      <c r="K17">
        <v>1</v>
      </c>
      <c r="L17">
        <f>L5</f>
        <v>0</v>
      </c>
      <c r="M17">
        <v>1</v>
      </c>
      <c r="N17">
        <f>N5</f>
        <v>0</v>
      </c>
      <c r="Q17">
        <f>IF(Charts!$B$3="none",E74,IF(K74="",NA(),K74))</f>
        <v>0</v>
      </c>
      <c r="R17">
        <f>IF(Charts!$B$3="none",F74,IF(L74="",NA(),L74))</f>
        <v>0</v>
      </c>
      <c r="S17">
        <f>IF(Charts!$B$3="none",G74,IF(M74="",NA(),M74))</f>
        <v>0</v>
      </c>
      <c r="T17">
        <f>IF(Charts!$B$3="none",H74,IF(N74="",NA(),N74))</f>
        <v>0</v>
      </c>
    </row>
    <row r="18" spans="5:20">
      <c r="E18">
        <v>2</v>
      </c>
      <c r="F18">
        <f>F6</f>
        <v>0</v>
      </c>
      <c r="G18">
        <v>2</v>
      </c>
      <c r="H18">
        <f>H6</f>
        <v>0</v>
      </c>
      <c r="K18">
        <v>2</v>
      </c>
      <c r="L18">
        <f>L6</f>
        <v>0</v>
      </c>
      <c r="M18">
        <v>2</v>
      </c>
      <c r="N18">
        <f>N6</f>
        <v>0</v>
      </c>
      <c r="Q18">
        <f>IF(Charts!$B$3="none",E75,IF(K75="",NA(),K75))</f>
        <v>0</v>
      </c>
      <c r="R18">
        <f>IF(Charts!$B$3="none",F75,IF(L75="",NA(),L75))</f>
        <v>0</v>
      </c>
      <c r="S18">
        <f>IF(Charts!$B$3="none",G75,IF(M75="",NA(),M75))</f>
        <v>0</v>
      </c>
      <c r="T18">
        <f>IF(Charts!$B$3="none",H75,IF(N75="",NA(),N75))</f>
        <v>0</v>
      </c>
    </row>
    <row r="19" spans="5:20">
      <c r="E19">
        <v>3</v>
      </c>
      <c r="F19">
        <f>F7</f>
        <v>0</v>
      </c>
      <c r="G19">
        <v>3</v>
      </c>
      <c r="H19">
        <f>H7</f>
        <v>0</v>
      </c>
      <c r="K19">
        <v>3</v>
      </c>
      <c r="L19">
        <f>L7</f>
        <v>0</v>
      </c>
      <c r="M19">
        <v>3</v>
      </c>
      <c r="N19">
        <f>N7</f>
        <v>0</v>
      </c>
      <c r="Q19">
        <f>IF(Charts!$B$3="none",E76,IF(K76="",NA(),K76))</f>
        <v>0</v>
      </c>
      <c r="R19">
        <f>IF(Charts!$B$3="none",F76,IF(L76="",NA(),L76))</f>
        <v>0</v>
      </c>
      <c r="S19">
        <f>IF(Charts!$B$3="none",G76,IF(M76="",NA(),M76))</f>
        <v>0</v>
      </c>
      <c r="T19">
        <f>IF(Charts!$B$3="none",H76,IF(N76="",NA(),N76))</f>
        <v>0</v>
      </c>
    </row>
    <row r="20" spans="5:20">
      <c r="E20">
        <v>4</v>
      </c>
      <c r="F20">
        <f>F8</f>
        <v>0</v>
      </c>
      <c r="G20">
        <v>4</v>
      </c>
      <c r="H20">
        <f>H8</f>
        <v>0</v>
      </c>
      <c r="K20">
        <v>4</v>
      </c>
      <c r="L20">
        <f>L8</f>
        <v>0</v>
      </c>
      <c r="M20">
        <v>4</v>
      </c>
      <c r="N20">
        <f>N8</f>
        <v>0</v>
      </c>
      <c r="Q20">
        <f>IF(Charts!$B$3="none",E77,IF(K77="",NA(),K77))</f>
        <v>0</v>
      </c>
      <c r="R20">
        <f>IF(Charts!$B$3="none",F77,IF(L77="",NA(),L77))</f>
        <v>0</v>
      </c>
      <c r="S20">
        <f>IF(Charts!$B$3="none",G77,IF(M77="",NA(),M77))</f>
        <v>0</v>
      </c>
      <c r="T20">
        <f>IF(Charts!$B$3="none",H77,IF(N77="",NA(),N77))</f>
        <v>0</v>
      </c>
    </row>
    <row r="21" spans="5:20">
      <c r="E21">
        <v>5</v>
      </c>
      <c r="F21">
        <f>F9</f>
        <v>0</v>
      </c>
      <c r="G21">
        <v>5</v>
      </c>
      <c r="H21">
        <f>H9</f>
        <v>0</v>
      </c>
      <c r="K21">
        <v>5</v>
      </c>
      <c r="L21">
        <f>L9</f>
        <v>0</v>
      </c>
      <c r="M21">
        <v>5</v>
      </c>
      <c r="N21">
        <f>N9</f>
        <v>0</v>
      </c>
      <c r="Q21">
        <f>IF(Charts!$B$3="none",E78,IF(K78="",NA(),K78))</f>
        <v>0</v>
      </c>
      <c r="R21">
        <f>IF(Charts!$B$3="none",F78,IF(L78="",NA(),L78))</f>
        <v>0</v>
      </c>
      <c r="S21">
        <f>IF(Charts!$B$3="none",G78,IF(M78="",NA(),M78))</f>
        <v>0</v>
      </c>
      <c r="T21">
        <f>IF(Charts!$B$3="none",H78,IF(N78="",NA(),N78))</f>
        <v>0</v>
      </c>
    </row>
    <row r="22" spans="5:20">
      <c r="E22">
        <v>6</v>
      </c>
      <c r="F22">
        <f>F10</f>
        <v>0</v>
      </c>
      <c r="G22">
        <v>6</v>
      </c>
      <c r="H22">
        <f>H10</f>
        <v>0</v>
      </c>
      <c r="K22">
        <v>6</v>
      </c>
      <c r="L22">
        <f>L10</f>
        <v>0</v>
      </c>
      <c r="M22">
        <v>6</v>
      </c>
      <c r="N22">
        <f>N10</f>
        <v>0</v>
      </c>
      <c r="Q22">
        <f>IF(Charts!$B$3="none",E79,IF(K79="",NA(),K79))</f>
        <v>0</v>
      </c>
      <c r="R22">
        <f>IF(Charts!$B$3="none",F79,IF(L79="",NA(),L79))</f>
        <v>0</v>
      </c>
      <c r="S22">
        <f>IF(Charts!$B$3="none",G79,IF(M79="",NA(),M79))</f>
        <v>0</v>
      </c>
      <c r="T22">
        <f>IF(Charts!$B$3="none",H79,IF(N79="",NA(),N79))</f>
        <v>0</v>
      </c>
    </row>
    <row r="23" spans="5:20">
      <c r="E23">
        <v>7</v>
      </c>
      <c r="F23">
        <f>F11</f>
        <v>0</v>
      </c>
      <c r="G23">
        <v>7</v>
      </c>
      <c r="H23">
        <f>H11</f>
        <v>0</v>
      </c>
      <c r="K23">
        <v>7</v>
      </c>
      <c r="L23">
        <f>L11</f>
        <v>0</v>
      </c>
      <c r="M23">
        <v>7</v>
      </c>
      <c r="N23">
        <f>N11</f>
        <v>0</v>
      </c>
      <c r="Q23">
        <f>IF(Charts!$B$3="none",E80,IF(K80="",NA(),K80))</f>
        <v>0</v>
      </c>
      <c r="R23">
        <f>IF(Charts!$B$3="none",F80,IF(L80="",NA(),L80))</f>
        <v>0</v>
      </c>
      <c r="S23">
        <f>IF(Charts!$B$3="none",G80,IF(M80="",NA(),M80))</f>
        <v>0</v>
      </c>
      <c r="T23">
        <f>IF(Charts!$B$3="none",H80,IF(N80="",NA(),N80))</f>
        <v>0</v>
      </c>
    </row>
    <row r="24" spans="5:20">
      <c r="E24">
        <v>8</v>
      </c>
      <c r="F24">
        <f>F12</f>
        <v>0</v>
      </c>
      <c r="G24">
        <v>8</v>
      </c>
      <c r="H24">
        <f>H12</f>
        <v>0</v>
      </c>
      <c r="K24">
        <v>8</v>
      </c>
      <c r="L24">
        <f>L12</f>
        <v>0</v>
      </c>
      <c r="M24">
        <v>8</v>
      </c>
      <c r="N24">
        <f>N12</f>
        <v>0</v>
      </c>
      <c r="Q24">
        <f>IF(Charts!$B$3="none",E81,IF(K81="",NA(),K81))</f>
        <v>0</v>
      </c>
      <c r="R24">
        <f>IF(Charts!$B$3="none",F81,IF(L81="",NA(),L81))</f>
        <v>0</v>
      </c>
      <c r="S24">
        <f>IF(Charts!$B$3="none",G81,IF(M81="",NA(),M81))</f>
        <v>0</v>
      </c>
      <c r="T24">
        <f>IF(Charts!$B$3="none",H81,IF(N81="",NA(),N81))</f>
        <v>0</v>
      </c>
    </row>
    <row r="25" spans="5:20">
      <c r="E25">
        <v>9</v>
      </c>
      <c r="F25">
        <f>F13</f>
        <v>0</v>
      </c>
      <c r="G25">
        <v>9</v>
      </c>
      <c r="H25">
        <f>H13</f>
        <v>0</v>
      </c>
      <c r="K25">
        <v>9</v>
      </c>
      <c r="L25">
        <f>L13</f>
        <v>0</v>
      </c>
      <c r="M25">
        <v>9</v>
      </c>
      <c r="N25">
        <f>N13</f>
        <v>0</v>
      </c>
    </row>
    <row r="26" spans="5:20">
      <c r="E26">
        <v>10</v>
      </c>
      <c r="F26">
        <f>F14</f>
        <v>0</v>
      </c>
      <c r="G26">
        <v>10</v>
      </c>
      <c r="H26">
        <f>H14</f>
        <v>0</v>
      </c>
      <c r="K26">
        <v>10</v>
      </c>
      <c r="L26">
        <f>L14</f>
        <v>0</v>
      </c>
      <c r="M26">
        <v>10</v>
      </c>
      <c r="N26">
        <f>N14</f>
        <v>0</v>
      </c>
    </row>
    <row r="27" spans="5:20">
      <c r="E27">
        <v>2</v>
      </c>
      <c r="F27">
        <f>IF(F6="","",F5)</f>
        <v>0</v>
      </c>
      <c r="G27">
        <v>2</v>
      </c>
      <c r="H27">
        <f>H5</f>
        <v>0</v>
      </c>
      <c r="K27">
        <v>2</v>
      </c>
      <c r="L27">
        <f>IF(L6="","",L5)</f>
        <v>0</v>
      </c>
      <c r="M27">
        <v>2</v>
      </c>
      <c r="N27">
        <f>N5</f>
        <v>0</v>
      </c>
    </row>
    <row r="28" spans="5:20">
      <c r="E28">
        <v>3</v>
      </c>
      <c r="F28">
        <f>IF(F7="","",F6)</f>
        <v>0</v>
      </c>
      <c r="G28">
        <v>3</v>
      </c>
      <c r="H28">
        <f>H6</f>
        <v>0</v>
      </c>
      <c r="K28">
        <v>3</v>
      </c>
      <c r="L28">
        <f>IF(L7="","",L6)</f>
        <v>0</v>
      </c>
      <c r="M28">
        <v>3</v>
      </c>
      <c r="N28">
        <f>N6</f>
        <v>0</v>
      </c>
    </row>
    <row r="29" spans="5:20">
      <c r="E29">
        <v>4</v>
      </c>
      <c r="F29">
        <f>IF(F8="","",F7)</f>
        <v>0</v>
      </c>
      <c r="G29">
        <v>4</v>
      </c>
      <c r="H29">
        <f>H7</f>
        <v>0</v>
      </c>
      <c r="K29">
        <v>4</v>
      </c>
      <c r="L29">
        <f>IF(L8="","",L7)</f>
        <v>0</v>
      </c>
      <c r="M29">
        <v>4</v>
      </c>
      <c r="N29">
        <f>N7</f>
        <v>0</v>
      </c>
    </row>
    <row r="30" spans="5:20">
      <c r="E30">
        <v>5</v>
      </c>
      <c r="F30">
        <f>IF(F9="","",F8)</f>
        <v>0</v>
      </c>
      <c r="G30">
        <v>5</v>
      </c>
      <c r="H30">
        <f>H8</f>
        <v>0</v>
      </c>
      <c r="K30">
        <v>5</v>
      </c>
      <c r="L30">
        <f>IF(L9="","",L8)</f>
        <v>0</v>
      </c>
      <c r="M30">
        <v>5</v>
      </c>
      <c r="N30">
        <f>N8</f>
        <v>0</v>
      </c>
    </row>
    <row r="31" spans="5:20">
      <c r="E31">
        <v>6</v>
      </c>
      <c r="F31">
        <f>IF(F10="","",F9)</f>
        <v>0</v>
      </c>
      <c r="G31">
        <v>6</v>
      </c>
      <c r="H31">
        <f>H9</f>
        <v>0</v>
      </c>
      <c r="K31">
        <v>6</v>
      </c>
      <c r="L31">
        <f>IF(L10="","",L9)</f>
        <v>0</v>
      </c>
      <c r="M31">
        <v>6</v>
      </c>
      <c r="N31">
        <f>N9</f>
        <v>0</v>
      </c>
    </row>
    <row r="32" spans="5:20">
      <c r="E32">
        <v>7</v>
      </c>
      <c r="F32">
        <f>IF(F11="","",F10)</f>
        <v>0</v>
      </c>
      <c r="G32">
        <v>7</v>
      </c>
      <c r="H32">
        <f>H10</f>
        <v>0</v>
      </c>
      <c r="K32">
        <v>7</v>
      </c>
      <c r="L32">
        <f>IF(L11="","",L10)</f>
        <v>0</v>
      </c>
      <c r="M32">
        <v>7</v>
      </c>
      <c r="N32">
        <f>N10</f>
        <v>0</v>
      </c>
    </row>
    <row r="33" spans="4:14">
      <c r="E33">
        <v>8</v>
      </c>
      <c r="F33">
        <f>IF(F12="","",F11)</f>
        <v>0</v>
      </c>
      <c r="G33">
        <v>8</v>
      </c>
      <c r="H33">
        <f>H11</f>
        <v>0</v>
      </c>
      <c r="K33">
        <v>8</v>
      </c>
      <c r="L33">
        <f>IF(L12="","",L11)</f>
        <v>0</v>
      </c>
      <c r="M33">
        <v>8</v>
      </c>
      <c r="N33">
        <f>N11</f>
        <v>0</v>
      </c>
    </row>
    <row r="34" spans="4:14">
      <c r="E34">
        <v>9</v>
      </c>
      <c r="F34">
        <f>IF(F13="","",F12)</f>
        <v>0</v>
      </c>
      <c r="G34">
        <v>9</v>
      </c>
      <c r="H34">
        <f>H12</f>
        <v>0</v>
      </c>
      <c r="K34">
        <v>9</v>
      </c>
      <c r="L34">
        <f>IF(L13="","",L12)</f>
        <v>0</v>
      </c>
      <c r="M34">
        <v>9</v>
      </c>
      <c r="N34">
        <f>N12</f>
        <v>0</v>
      </c>
    </row>
    <row r="35" spans="4:14">
      <c r="E35">
        <v>10</v>
      </c>
      <c r="F35">
        <f>IF(F14="","",F13)</f>
        <v>0</v>
      </c>
      <c r="G35">
        <v>10</v>
      </c>
      <c r="H35">
        <f>H13</f>
        <v>0</v>
      </c>
      <c r="K35">
        <v>10</v>
      </c>
      <c r="L35">
        <f>IF(L14="","",L13)</f>
        <v>0</v>
      </c>
      <c r="M35">
        <v>10</v>
      </c>
      <c r="N35">
        <f>N13</f>
        <v>0</v>
      </c>
    </row>
    <row r="36" spans="4:14">
      <c r="E36">
        <v>0</v>
      </c>
      <c r="F36">
        <v>0</v>
      </c>
      <c r="G36">
        <v>0</v>
      </c>
      <c r="H36">
        <v>0</v>
      </c>
      <c r="K36">
        <v>0</v>
      </c>
      <c r="L36">
        <v>0</v>
      </c>
      <c r="M36">
        <v>0</v>
      </c>
      <c r="N36">
        <v>0</v>
      </c>
    </row>
    <row r="37" spans="4:14">
      <c r="E37">
        <v>1</v>
      </c>
      <c r="F37">
        <v>0</v>
      </c>
      <c r="G37">
        <v>1</v>
      </c>
      <c r="H37">
        <v>0</v>
      </c>
      <c r="K37">
        <v>1</v>
      </c>
      <c r="L37">
        <v>0</v>
      </c>
      <c r="M37">
        <v>1</v>
      </c>
      <c r="N37">
        <v>0</v>
      </c>
    </row>
    <row r="39" spans="4:14">
      <c r="D39" t="s">
        <v>41</v>
      </c>
      <c r="E39" t="s">
        <v>39</v>
      </c>
      <c r="F39" t="s">
        <v>44</v>
      </c>
      <c r="G39" t="s">
        <v>39</v>
      </c>
      <c r="H39" t="s">
        <v>45</v>
      </c>
      <c r="J39" t="s">
        <v>41</v>
      </c>
      <c r="K39" t="s">
        <v>39</v>
      </c>
      <c r="L39" t="s">
        <v>44</v>
      </c>
      <c r="M39" t="s">
        <v>39</v>
      </c>
      <c r="N39" t="s">
        <v>45</v>
      </c>
    </row>
    <row r="40" spans="4:14">
      <c r="E40">
        <f>IFERROR(SMALL(E17:E37,ROW()-ROW($E$40)+1),"")</f>
        <v>0</v>
      </c>
      <c r="F40">
        <f>IFERROR(SMALL(F17:F37,ROW()-ROW($F$40)+1),"")</f>
        <v>0</v>
      </c>
      <c r="G40">
        <f>IFERROR(SMALL(G17:G37,ROW()-ROW($G$40)+1),"")</f>
        <v>0</v>
      </c>
      <c r="H40">
        <f>IFERROR(SMALL(H17:H37,ROW()-ROW($H$40)+1),"")</f>
        <v>0</v>
      </c>
      <c r="K40">
        <f>IFERROR(SMALL(K17:K37,ROW()-ROW($K$40)+1),"")</f>
        <v>0</v>
      </c>
      <c r="L40">
        <f>IFERROR(SMALL(L17:L37,ROW()-ROW($L$40)+1),"")</f>
        <v>0</v>
      </c>
      <c r="M40">
        <f>IFERROR(SMALL(M17:M37,ROW()-ROW($M$40)+1),"")</f>
        <v>0</v>
      </c>
      <c r="N40">
        <f>IFERROR(SMALL(N17:N37,ROW()-ROW($N$40)+1),"")</f>
        <v>0</v>
      </c>
    </row>
    <row r="41" spans="4:14">
      <c r="E41">
        <f>IFERROR(SMALL(E17:E37,ROW()-ROW($E$40)+1),"")</f>
        <v>0</v>
      </c>
      <c r="F41">
        <f>IFERROR(SMALL(F17:F37,ROW()-ROW($F$40)+1),"")</f>
        <v>0</v>
      </c>
      <c r="G41">
        <f>IFERROR(SMALL(G17:G37,ROW()-ROW($G$40)+1),"")</f>
        <v>0</v>
      </c>
      <c r="H41">
        <f>IFERROR(SMALL(H17:H37,ROW()-ROW($H$40)+1),"")</f>
        <v>0</v>
      </c>
      <c r="K41">
        <f>IFERROR(SMALL(K17:K37,ROW()-ROW($K$40)+1),"")</f>
        <v>0</v>
      </c>
      <c r="L41">
        <f>IFERROR(SMALL(L17:L37,ROW()-ROW($L$40)+1),"")</f>
        <v>0</v>
      </c>
      <c r="M41">
        <f>IFERROR(SMALL(M17:M37,ROW()-ROW($M$40)+1),"")</f>
        <v>0</v>
      </c>
      <c r="N41">
        <f>IFERROR(SMALL(N17:N37,ROW()-ROW($N$40)+1),"")</f>
        <v>0</v>
      </c>
    </row>
    <row r="42" spans="4:14">
      <c r="E42">
        <f>IFERROR(SMALL(E17:E37,ROW()-ROW($E$40)+1),"")</f>
        <v>0</v>
      </c>
      <c r="F42">
        <f>IFERROR(SMALL(F17:F37,ROW()-ROW($F$40)+1),"")</f>
        <v>0</v>
      </c>
      <c r="G42">
        <f>IFERROR(SMALL(G17:G37,ROW()-ROW($G$40)+1),"")</f>
        <v>0</v>
      </c>
      <c r="H42">
        <f>IFERROR(SMALL(H17:H37,ROW()-ROW($H$40)+1),"")</f>
        <v>0</v>
      </c>
      <c r="K42">
        <f>IFERROR(SMALL(K17:K37,ROW()-ROW($K$40)+1),"")</f>
        <v>0</v>
      </c>
      <c r="L42">
        <f>IFERROR(SMALL(L17:L37,ROW()-ROW($L$40)+1),"")</f>
        <v>0</v>
      </c>
      <c r="M42">
        <f>IFERROR(SMALL(M17:M37,ROW()-ROW($M$40)+1),"")</f>
        <v>0</v>
      </c>
      <c r="N42">
        <f>IFERROR(SMALL(N17:N37,ROW()-ROW($N$40)+1),"")</f>
        <v>0</v>
      </c>
    </row>
    <row r="43" spans="4:14">
      <c r="E43">
        <f>IFERROR(SMALL(E17:E37,ROW()-ROW($E$40)+1),"")</f>
        <v>0</v>
      </c>
      <c r="F43">
        <f>IFERROR(SMALL(F17:F37,ROW()-ROW($F$40)+1),"")</f>
        <v>0</v>
      </c>
      <c r="G43">
        <f>IFERROR(SMALL(G17:G37,ROW()-ROW($G$40)+1),"")</f>
        <v>0</v>
      </c>
      <c r="H43">
        <f>IFERROR(SMALL(H17:H37,ROW()-ROW($H$40)+1),"")</f>
        <v>0</v>
      </c>
      <c r="K43">
        <f>IFERROR(SMALL(K17:K37,ROW()-ROW($K$40)+1),"")</f>
        <v>0</v>
      </c>
      <c r="L43">
        <f>IFERROR(SMALL(L17:L37,ROW()-ROW($L$40)+1),"")</f>
        <v>0</v>
      </c>
      <c r="M43">
        <f>IFERROR(SMALL(M17:M37,ROW()-ROW($M$40)+1),"")</f>
        <v>0</v>
      </c>
      <c r="N43">
        <f>IFERROR(SMALL(N17:N37,ROW()-ROW($N$40)+1),"")</f>
        <v>0</v>
      </c>
    </row>
    <row r="44" spans="4:14">
      <c r="E44">
        <f>IFERROR(SMALL(E17:E37,ROW()-ROW($E$40)+1),"")</f>
        <v>0</v>
      </c>
      <c r="F44">
        <f>IFERROR(SMALL(F17:F37,ROW()-ROW($F$40)+1),"")</f>
        <v>0</v>
      </c>
      <c r="G44">
        <f>IFERROR(SMALL(G17:G37,ROW()-ROW($G$40)+1),"")</f>
        <v>0</v>
      </c>
      <c r="H44">
        <f>IFERROR(SMALL(H17:H37,ROW()-ROW($H$40)+1),"")</f>
        <v>0</v>
      </c>
      <c r="K44">
        <f>IFERROR(SMALL(K17:K37,ROW()-ROW($K$40)+1),"")</f>
        <v>0</v>
      </c>
      <c r="L44">
        <f>IFERROR(SMALL(L17:L37,ROW()-ROW($L$40)+1),"")</f>
        <v>0</v>
      </c>
      <c r="M44">
        <f>IFERROR(SMALL(M17:M37,ROW()-ROW($M$40)+1),"")</f>
        <v>0</v>
      </c>
      <c r="N44">
        <f>IFERROR(SMALL(N17:N37,ROW()-ROW($N$40)+1),"")</f>
        <v>0</v>
      </c>
    </row>
    <row r="45" spans="4:14">
      <c r="E45">
        <f>IFERROR(SMALL(E17:E37,ROW()-ROW($E$40)+1),"")</f>
        <v>0</v>
      </c>
      <c r="F45">
        <f>IFERROR(SMALL(F17:F37,ROW()-ROW($F$40)+1),"")</f>
        <v>0</v>
      </c>
      <c r="G45">
        <f>IFERROR(SMALL(G17:G37,ROW()-ROW($G$40)+1),"")</f>
        <v>0</v>
      </c>
      <c r="H45">
        <f>IFERROR(SMALL(H17:H37,ROW()-ROW($H$40)+1),"")</f>
        <v>0</v>
      </c>
      <c r="K45">
        <f>IFERROR(SMALL(K17:K37,ROW()-ROW($K$40)+1),"")</f>
        <v>0</v>
      </c>
      <c r="L45">
        <f>IFERROR(SMALL(L17:L37,ROW()-ROW($L$40)+1),"")</f>
        <v>0</v>
      </c>
      <c r="M45">
        <f>IFERROR(SMALL(M17:M37,ROW()-ROW($M$40)+1),"")</f>
        <v>0</v>
      </c>
      <c r="N45">
        <f>IFERROR(SMALL(N17:N37,ROW()-ROW($N$40)+1),"")</f>
        <v>0</v>
      </c>
    </row>
    <row r="46" spans="4:14">
      <c r="E46">
        <f>IFERROR(SMALL(E17:E37,ROW()-ROW($E$40)+1),"")</f>
        <v>0</v>
      </c>
      <c r="F46">
        <f>IFERROR(SMALL(F17:F37,ROW()-ROW($F$40)+1),"")</f>
        <v>0</v>
      </c>
      <c r="G46">
        <f>IFERROR(SMALL(G17:G37,ROW()-ROW($G$40)+1),"")</f>
        <v>0</v>
      </c>
      <c r="H46">
        <f>IFERROR(SMALL(H17:H37,ROW()-ROW($H$40)+1),"")</f>
        <v>0</v>
      </c>
      <c r="K46">
        <f>IFERROR(SMALL(K17:K37,ROW()-ROW($K$40)+1),"")</f>
        <v>0</v>
      </c>
      <c r="L46">
        <f>IFERROR(SMALL(L17:L37,ROW()-ROW($L$40)+1),"")</f>
        <v>0</v>
      </c>
      <c r="M46">
        <f>IFERROR(SMALL(M17:M37,ROW()-ROW($M$40)+1),"")</f>
        <v>0</v>
      </c>
      <c r="N46">
        <f>IFERROR(SMALL(N17:N37,ROW()-ROW($N$40)+1),"")</f>
        <v>0</v>
      </c>
    </row>
    <row r="47" spans="4:14">
      <c r="E47">
        <f>IFERROR(SMALL(E17:E37,ROW()-ROW($E$40)+1),"")</f>
        <v>0</v>
      </c>
      <c r="F47">
        <f>IFERROR(SMALL(F17:F37,ROW()-ROW($F$40)+1),"")</f>
        <v>0</v>
      </c>
      <c r="G47">
        <f>IFERROR(SMALL(G17:G37,ROW()-ROW($G$40)+1),"")</f>
        <v>0</v>
      </c>
      <c r="H47">
        <f>IFERROR(SMALL(H17:H37,ROW()-ROW($H$40)+1),"")</f>
        <v>0</v>
      </c>
      <c r="K47">
        <f>IFERROR(SMALL(K17:K37,ROW()-ROW($K$40)+1),"")</f>
        <v>0</v>
      </c>
      <c r="L47">
        <f>IFERROR(SMALL(L17:L37,ROW()-ROW($L$40)+1),"")</f>
        <v>0</v>
      </c>
      <c r="M47">
        <f>IFERROR(SMALL(M17:M37,ROW()-ROW($M$40)+1),"")</f>
        <v>0</v>
      </c>
      <c r="N47">
        <f>IFERROR(SMALL(N17:N37,ROW()-ROW($N$40)+1),"")</f>
        <v>0</v>
      </c>
    </row>
    <row r="48" spans="4:14">
      <c r="E48">
        <f>IFERROR(SMALL(E17:E37,ROW()-ROW($E$40)+1),"")</f>
        <v>0</v>
      </c>
      <c r="F48">
        <f>IFERROR(SMALL(F17:F37,ROW()-ROW($F$40)+1),"")</f>
        <v>0</v>
      </c>
      <c r="G48">
        <f>IFERROR(SMALL(G17:G37,ROW()-ROW($G$40)+1),"")</f>
        <v>0</v>
      </c>
      <c r="H48">
        <f>IFERROR(SMALL(H17:H37,ROW()-ROW($H$40)+1),"")</f>
        <v>0</v>
      </c>
      <c r="K48">
        <f>IFERROR(SMALL(K17:K37,ROW()-ROW($K$40)+1),"")</f>
        <v>0</v>
      </c>
      <c r="L48">
        <f>IFERROR(SMALL(L17:L37,ROW()-ROW($L$40)+1),"")</f>
        <v>0</v>
      </c>
      <c r="M48">
        <f>IFERROR(SMALL(M17:M37,ROW()-ROW($M$40)+1),"")</f>
        <v>0</v>
      </c>
      <c r="N48">
        <f>IFERROR(SMALL(N17:N37,ROW()-ROW($N$40)+1),"")</f>
        <v>0</v>
      </c>
    </row>
    <row r="49" spans="4:14">
      <c r="E49">
        <f>IFERROR(SMALL(E17:E37,ROW()-ROW($E$40)+1),"")</f>
        <v>0</v>
      </c>
      <c r="F49">
        <f>IFERROR(SMALL(F17:F37,ROW()-ROW($F$40)+1),"")</f>
        <v>0</v>
      </c>
      <c r="G49">
        <f>IFERROR(SMALL(G17:G37,ROW()-ROW($G$40)+1),"")</f>
        <v>0</v>
      </c>
      <c r="H49">
        <f>IFERROR(SMALL(H17:H37,ROW()-ROW($H$40)+1),"")</f>
        <v>0</v>
      </c>
      <c r="K49">
        <f>IFERROR(SMALL(K17:K37,ROW()-ROW($K$40)+1),"")</f>
        <v>0</v>
      </c>
      <c r="L49">
        <f>IFERROR(SMALL(L17:L37,ROW()-ROW($L$40)+1),"")</f>
        <v>0</v>
      </c>
      <c r="M49">
        <f>IFERROR(SMALL(M17:M37,ROW()-ROW($M$40)+1),"")</f>
        <v>0</v>
      </c>
      <c r="N49">
        <f>IFERROR(SMALL(N17:N37,ROW()-ROW($N$40)+1),"")</f>
        <v>0</v>
      </c>
    </row>
    <row r="50" spans="4:14">
      <c r="E50">
        <f>IFERROR(SMALL(E17:E37,ROW()-ROW($E$40)+1),"")</f>
        <v>0</v>
      </c>
      <c r="F50">
        <f>IFERROR(SMALL(F17:F37,ROW()-ROW($F$40)+1),"")</f>
        <v>0</v>
      </c>
      <c r="G50">
        <f>IFERROR(SMALL(G17:G37,ROW()-ROW($G$40)+1),"")</f>
        <v>0</v>
      </c>
      <c r="H50">
        <f>IFERROR(SMALL(H17:H37,ROW()-ROW($H$40)+1),"")</f>
        <v>0</v>
      </c>
      <c r="K50">
        <f>IFERROR(SMALL(K17:K37,ROW()-ROW($K$40)+1),"")</f>
        <v>0</v>
      </c>
      <c r="L50">
        <f>IFERROR(SMALL(L17:L37,ROW()-ROW($L$40)+1),"")</f>
        <v>0</v>
      </c>
      <c r="M50">
        <f>IFERROR(SMALL(M17:M37,ROW()-ROW($M$40)+1),"")</f>
        <v>0</v>
      </c>
      <c r="N50">
        <f>IFERROR(SMALL(N17:N37,ROW()-ROW($N$40)+1),"")</f>
        <v>0</v>
      </c>
    </row>
    <row r="51" spans="4:14">
      <c r="E51">
        <f>IFERROR(SMALL(E17:E37,ROW()-ROW($E$40)+1),"")</f>
        <v>0</v>
      </c>
      <c r="F51">
        <f>IFERROR(SMALL(F17:F37,ROW()-ROW($F$40)+1),"")</f>
        <v>0</v>
      </c>
      <c r="G51">
        <f>IFERROR(SMALL(G17:G37,ROW()-ROW($G$40)+1),"")</f>
        <v>0</v>
      </c>
      <c r="H51">
        <f>IFERROR(SMALL(H17:H37,ROW()-ROW($H$40)+1),"")</f>
        <v>0</v>
      </c>
      <c r="K51">
        <f>IFERROR(SMALL(K17:K37,ROW()-ROW($K$40)+1),"")</f>
        <v>0</v>
      </c>
      <c r="L51">
        <f>IFERROR(SMALL(L17:L37,ROW()-ROW($L$40)+1),"")</f>
        <v>0</v>
      </c>
      <c r="M51">
        <f>IFERROR(SMALL(M17:M37,ROW()-ROW($M$40)+1),"")</f>
        <v>0</v>
      </c>
      <c r="N51">
        <f>IFERROR(SMALL(N17:N37,ROW()-ROW($N$40)+1),"")</f>
        <v>0</v>
      </c>
    </row>
    <row r="52" spans="4:14">
      <c r="E52">
        <f>IFERROR(SMALL(E17:E37,ROW()-ROW($E$40)+1),"")</f>
        <v>0</v>
      </c>
      <c r="F52">
        <f>IFERROR(SMALL(F17:F37,ROW()-ROW($F$40)+1),"")</f>
        <v>0</v>
      </c>
      <c r="G52">
        <f>IFERROR(SMALL(G17:G37,ROW()-ROW($G$40)+1),"")</f>
        <v>0</v>
      </c>
      <c r="H52">
        <f>IFERROR(SMALL(H17:H37,ROW()-ROW($H$40)+1),"")</f>
        <v>0</v>
      </c>
      <c r="K52">
        <f>IFERROR(SMALL(K17:K37,ROW()-ROW($K$40)+1),"")</f>
        <v>0</v>
      </c>
      <c r="L52">
        <f>IFERROR(SMALL(L17:L37,ROW()-ROW($L$40)+1),"")</f>
        <v>0</v>
      </c>
      <c r="M52">
        <f>IFERROR(SMALL(M17:M37,ROW()-ROW($M$40)+1),"")</f>
        <v>0</v>
      </c>
      <c r="N52">
        <f>IFERROR(SMALL(N17:N37,ROW()-ROW($N$40)+1),"")</f>
        <v>0</v>
      </c>
    </row>
    <row r="53" spans="4:14">
      <c r="E53">
        <f>IFERROR(SMALL(E17:E37,ROW()-ROW($E$40)+1),"")</f>
        <v>0</v>
      </c>
      <c r="F53">
        <f>IFERROR(SMALL(F17:F37,ROW()-ROW($F$40)+1),"")</f>
        <v>0</v>
      </c>
      <c r="G53">
        <f>IFERROR(SMALL(G17:G37,ROW()-ROW($G$40)+1),"")</f>
        <v>0</v>
      </c>
      <c r="H53">
        <f>IFERROR(SMALL(H17:H37,ROW()-ROW($H$40)+1),"")</f>
        <v>0</v>
      </c>
      <c r="K53">
        <f>IFERROR(SMALL(K17:K37,ROW()-ROW($K$40)+1),"")</f>
        <v>0</v>
      </c>
      <c r="L53">
        <f>IFERROR(SMALL(L17:L37,ROW()-ROW($L$40)+1),"")</f>
        <v>0</v>
      </c>
      <c r="M53">
        <f>IFERROR(SMALL(M17:M37,ROW()-ROW($M$40)+1),"")</f>
        <v>0</v>
      </c>
      <c r="N53">
        <f>IFERROR(SMALL(N17:N37,ROW()-ROW($N$40)+1),"")</f>
        <v>0</v>
      </c>
    </row>
    <row r="54" spans="4:14">
      <c r="E54">
        <f>IFERROR(SMALL(E17:E37,ROW()-ROW($E$40)+1),"")</f>
        <v>0</v>
      </c>
      <c r="F54">
        <f>IFERROR(SMALL(F17:F37,ROW()-ROW($F$40)+1),"")</f>
        <v>0</v>
      </c>
      <c r="G54">
        <f>IFERROR(SMALL(G17:G37,ROW()-ROW($G$40)+1),"")</f>
        <v>0</v>
      </c>
      <c r="H54">
        <f>IFERROR(SMALL(H17:H37,ROW()-ROW($H$40)+1),"")</f>
        <v>0</v>
      </c>
      <c r="K54">
        <f>IFERROR(SMALL(K17:K37,ROW()-ROW($K$40)+1),"")</f>
        <v>0</v>
      </c>
      <c r="L54">
        <f>IFERROR(SMALL(L17:L37,ROW()-ROW($L$40)+1),"")</f>
        <v>0</v>
      </c>
      <c r="M54">
        <f>IFERROR(SMALL(M17:M37,ROW()-ROW($M$40)+1),"")</f>
        <v>0</v>
      </c>
      <c r="N54">
        <f>IFERROR(SMALL(N17:N37,ROW()-ROW($N$40)+1),"")</f>
        <v>0</v>
      </c>
    </row>
    <row r="55" spans="4:14">
      <c r="E55">
        <f>IFERROR(SMALL(E17:E37,ROW()-ROW($E$40)+1),"")</f>
        <v>0</v>
      </c>
      <c r="F55">
        <f>IFERROR(SMALL(F17:F37,ROW()-ROW($F$40)+1),"")</f>
        <v>0</v>
      </c>
      <c r="G55">
        <f>IFERROR(SMALL(G17:G37,ROW()-ROW($G$40)+1),"")</f>
        <v>0</v>
      </c>
      <c r="H55">
        <f>IFERROR(SMALL(H17:H37,ROW()-ROW($H$40)+1),"")</f>
        <v>0</v>
      </c>
      <c r="K55">
        <f>IFERROR(SMALL(K17:K37,ROW()-ROW($K$40)+1),"")</f>
        <v>0</v>
      </c>
      <c r="L55">
        <f>IFERROR(SMALL(L17:L37,ROW()-ROW($L$40)+1),"")</f>
        <v>0</v>
      </c>
      <c r="M55">
        <f>IFERROR(SMALL(M17:M37,ROW()-ROW($M$40)+1),"")</f>
        <v>0</v>
      </c>
      <c r="N55">
        <f>IFERROR(SMALL(N17:N37,ROW()-ROW($N$40)+1),"")</f>
        <v>0</v>
      </c>
    </row>
    <row r="56" spans="4:14">
      <c r="E56">
        <f>IFERROR(SMALL(E17:E37,ROW()-ROW($E$40)+1),"")</f>
        <v>0</v>
      </c>
      <c r="F56">
        <f>IFERROR(SMALL(F17:F37,ROW()-ROW($F$40)+1),"")</f>
        <v>0</v>
      </c>
      <c r="G56">
        <f>IFERROR(SMALL(G17:G37,ROW()-ROW($G$40)+1),"")</f>
        <v>0</v>
      </c>
      <c r="H56">
        <f>IFERROR(SMALL(H17:H37,ROW()-ROW($H$40)+1),"")</f>
        <v>0</v>
      </c>
      <c r="K56">
        <f>IFERROR(SMALL(K17:K37,ROW()-ROW($K$40)+1),"")</f>
        <v>0</v>
      </c>
      <c r="L56">
        <f>IFERROR(SMALL(L17:L37,ROW()-ROW($L$40)+1),"")</f>
        <v>0</v>
      </c>
      <c r="M56">
        <f>IFERROR(SMALL(M17:M37,ROW()-ROW($M$40)+1),"")</f>
        <v>0</v>
      </c>
      <c r="N56">
        <f>IFERROR(SMALL(N17:N37,ROW()-ROW($N$40)+1),"")</f>
        <v>0</v>
      </c>
    </row>
    <row r="57" spans="4:14">
      <c r="E57">
        <f>IFERROR(SMALL(E17:E37,ROW()-ROW($E$40)+1),"")</f>
        <v>0</v>
      </c>
      <c r="F57">
        <f>IFERROR(SMALL(F17:F37,ROW()-ROW($F$40)+1),"")</f>
        <v>0</v>
      </c>
      <c r="G57">
        <f>IFERROR(SMALL(G17:G37,ROW()-ROW($G$40)+1),"")</f>
        <v>0</v>
      </c>
      <c r="H57">
        <f>IFERROR(SMALL(H17:H37,ROW()-ROW($H$40)+1),"")</f>
        <v>0</v>
      </c>
      <c r="K57">
        <f>IFERROR(SMALL(K17:K37,ROW()-ROW($K$40)+1),"")</f>
        <v>0</v>
      </c>
      <c r="L57">
        <f>IFERROR(SMALL(L17:L37,ROW()-ROW($L$40)+1),"")</f>
        <v>0</v>
      </c>
      <c r="M57">
        <f>IFERROR(SMALL(M17:M37,ROW()-ROW($M$40)+1),"")</f>
        <v>0</v>
      </c>
      <c r="N57">
        <f>IFERROR(SMALL(N17:N37,ROW()-ROW($N$40)+1),"")</f>
        <v>0</v>
      </c>
    </row>
    <row r="58" spans="4:14">
      <c r="E58">
        <f>IFERROR(SMALL(E17:E37,ROW()-ROW($E$40)+1),"")</f>
        <v>0</v>
      </c>
      <c r="F58">
        <f>IFERROR(SMALL(F17:F37,ROW()-ROW($F$40)+1),"")</f>
        <v>0</v>
      </c>
      <c r="G58">
        <f>IFERROR(SMALL(G17:G37,ROW()-ROW($G$40)+1),"")</f>
        <v>0</v>
      </c>
      <c r="H58">
        <f>IFERROR(SMALL(H17:H37,ROW()-ROW($H$40)+1),"")</f>
        <v>0</v>
      </c>
      <c r="K58">
        <f>IFERROR(SMALL(K17:K37,ROW()-ROW($K$40)+1),"")</f>
        <v>0</v>
      </c>
      <c r="L58">
        <f>IFERROR(SMALL(L17:L37,ROW()-ROW($L$40)+1),"")</f>
        <v>0</v>
      </c>
      <c r="M58">
        <f>IFERROR(SMALL(M17:M37,ROW()-ROW($M$40)+1),"")</f>
        <v>0</v>
      </c>
      <c r="N58">
        <f>IFERROR(SMALL(N17:N37,ROW()-ROW($N$40)+1),"")</f>
        <v>0</v>
      </c>
    </row>
    <row r="59" spans="4:14">
      <c r="E59">
        <f>IFERROR(SMALL(E17:E37,ROW()-ROW($E$40)+1),"")</f>
        <v>0</v>
      </c>
      <c r="F59">
        <f>IFERROR(SMALL(F17:F37,ROW()-ROW($F$40)+1),"")</f>
        <v>0</v>
      </c>
      <c r="G59">
        <f>IFERROR(SMALL(G17:G37,ROW()-ROW($G$40)+1),"")</f>
        <v>0</v>
      </c>
      <c r="H59">
        <f>IFERROR(SMALL(H17:H37,ROW()-ROW($H$40)+1),"")</f>
        <v>0</v>
      </c>
      <c r="K59">
        <f>IFERROR(SMALL(K17:K37,ROW()-ROW($K$40)+1),"")</f>
        <v>0</v>
      </c>
      <c r="L59">
        <f>IFERROR(SMALL(L17:L37,ROW()-ROW($L$40)+1),"")</f>
        <v>0</v>
      </c>
      <c r="M59">
        <f>IFERROR(SMALL(M17:M37,ROW()-ROW($M$40)+1),"")</f>
        <v>0</v>
      </c>
      <c r="N59">
        <f>IFERROR(SMALL(N17:N37,ROW()-ROW($N$40)+1),"")</f>
        <v>0</v>
      </c>
    </row>
    <row r="61" spans="4:14">
      <c r="D61" t="s">
        <v>42</v>
      </c>
      <c r="E61" t="s">
        <v>39</v>
      </c>
      <c r="F61" t="s">
        <v>44</v>
      </c>
      <c r="G61" t="s">
        <v>39</v>
      </c>
      <c r="H61" t="s">
        <v>45</v>
      </c>
      <c r="J61" t="s">
        <v>42</v>
      </c>
      <c r="K61" t="s">
        <v>39</v>
      </c>
      <c r="L61" t="s">
        <v>44</v>
      </c>
      <c r="M61" t="s">
        <v>39</v>
      </c>
      <c r="N61" t="s">
        <v>45</v>
      </c>
    </row>
    <row r="62" spans="4:14">
      <c r="E62">
        <f>IF(ISNA(F62),NA(),E40)</f>
        <v>0</v>
      </c>
      <c r="F62">
        <f>IF(F40="",NA(),F40)</f>
        <v>0</v>
      </c>
      <c r="G62">
        <f>IF(ISNA(H62),NA(),G40)</f>
        <v>0</v>
      </c>
      <c r="H62">
        <f>IF(H40="",NA(),H40)</f>
        <v>0</v>
      </c>
      <c r="K62">
        <f>IF(ISNA(L62),NA(),K40)</f>
        <v>0</v>
      </c>
      <c r="L62">
        <f>IF(L40="",NA(),L40)</f>
        <v>0</v>
      </c>
      <c r="M62">
        <f>IF(ISNA(N62),NA(),M40)</f>
        <v>0</v>
      </c>
      <c r="N62">
        <f>IF(N40="",NA(),N40)</f>
        <v>0</v>
      </c>
    </row>
    <row r="63" spans="4:14">
      <c r="E63">
        <f>IF(ISNA(F63),NA(),E41)</f>
        <v>0</v>
      </c>
      <c r="F63">
        <f>IF(OR(F41="",AND(F41=F40,F41=F42)),NA(), F41)</f>
        <v>0</v>
      </c>
      <c r="G63">
        <f>IF(ISNA(H63),NA(),G41)</f>
        <v>0</v>
      </c>
      <c r="H63">
        <f>IF(OR(H41="",AND(H41=H40,H41=H42)),NA(), H41)</f>
        <v>0</v>
      </c>
      <c r="K63">
        <f>IF(ISNA(L63),NA(),K41)</f>
        <v>0</v>
      </c>
      <c r="L63">
        <f>IF(OR(L41="",AND(L41=L40,L41=L42)),NA(), L41)</f>
        <v>0</v>
      </c>
      <c r="M63">
        <f>IF(ISNA(N63),NA(),M41)</f>
        <v>0</v>
      </c>
      <c r="N63">
        <f>IF(OR(N41="",AND(N41=N40,N41=N42)),NA(), N41)</f>
        <v>0</v>
      </c>
    </row>
    <row r="64" spans="4:14">
      <c r="E64">
        <f>IF(ISNA(F64),NA(),E42)</f>
        <v>0</v>
      </c>
      <c r="F64">
        <f>IF(OR(F42="",AND(F42=F41,F42=F43)),NA(), F42)</f>
        <v>0</v>
      </c>
      <c r="G64">
        <f>IF(ISNA(H64),NA(),G42)</f>
        <v>0</v>
      </c>
      <c r="H64">
        <f>IF(OR(H42="",AND(H42=H41,H42=H43)),NA(), H42)</f>
        <v>0</v>
      </c>
      <c r="K64">
        <f>IF(ISNA(L64),NA(),K42)</f>
        <v>0</v>
      </c>
      <c r="L64">
        <f>IF(OR(L42="",AND(L42=L41,L42=L43)),NA(), L42)</f>
        <v>0</v>
      </c>
      <c r="M64">
        <f>IF(ISNA(N64),NA(),M42)</f>
        <v>0</v>
      </c>
      <c r="N64">
        <f>IF(OR(N42="",AND(N42=N41,N42=N43)),NA(), N42)</f>
        <v>0</v>
      </c>
    </row>
    <row r="65" spans="5:14">
      <c r="E65">
        <f>IF(ISNA(F65),NA(),E43)</f>
        <v>0</v>
      </c>
      <c r="F65">
        <f>IF(OR(F43="",AND(F43=F42,F43=F44)),NA(), F43)</f>
        <v>0</v>
      </c>
      <c r="G65">
        <f>IF(ISNA(H65),NA(),G43)</f>
        <v>0</v>
      </c>
      <c r="H65">
        <f>IF(OR(H43="",AND(H43=H42,H43=H44)),NA(), H43)</f>
        <v>0</v>
      </c>
      <c r="K65">
        <f>IF(ISNA(L65),NA(),K43)</f>
        <v>0</v>
      </c>
      <c r="L65">
        <f>IF(OR(L43="",AND(L43=L42,L43=L44)),NA(), L43)</f>
        <v>0</v>
      </c>
      <c r="M65">
        <f>IF(ISNA(N65),NA(),M43)</f>
        <v>0</v>
      </c>
      <c r="N65">
        <f>IF(OR(N43="",AND(N43=N42,N43=N44)),NA(), N43)</f>
        <v>0</v>
      </c>
    </row>
    <row r="66" spans="5:14">
      <c r="E66">
        <f>IF(ISNA(F66),NA(),E44)</f>
        <v>0</v>
      </c>
      <c r="F66">
        <f>IF(OR(F44="",AND(F44=F43,F44=F45)),NA(), F44)</f>
        <v>0</v>
      </c>
      <c r="G66">
        <f>IF(ISNA(H66),NA(),G44)</f>
        <v>0</v>
      </c>
      <c r="H66">
        <f>IF(OR(H44="",AND(H44=H43,H44=H45)),NA(), H44)</f>
        <v>0</v>
      </c>
      <c r="K66">
        <f>IF(ISNA(L66),NA(),K44)</f>
        <v>0</v>
      </c>
      <c r="L66">
        <f>IF(OR(L44="",AND(L44=L43,L44=L45)),NA(), L44)</f>
        <v>0</v>
      </c>
      <c r="M66">
        <f>IF(ISNA(N66),NA(),M44)</f>
        <v>0</v>
      </c>
      <c r="N66">
        <f>IF(OR(N44="",AND(N44=N43,N44=N45)),NA(), N44)</f>
        <v>0</v>
      </c>
    </row>
    <row r="67" spans="5:14">
      <c r="E67">
        <f>IF(ISNA(F67),NA(),E45)</f>
        <v>0</v>
      </c>
      <c r="F67">
        <f>IF(OR(F45="",AND(F45=F44,F45=F46)),NA(), F45)</f>
        <v>0</v>
      </c>
      <c r="G67">
        <f>IF(ISNA(H67),NA(),G45)</f>
        <v>0</v>
      </c>
      <c r="H67">
        <f>IF(OR(H45="",AND(H45=H44,H45=H46)),NA(), H45)</f>
        <v>0</v>
      </c>
      <c r="K67">
        <f>IF(ISNA(L67),NA(),K45)</f>
        <v>0</v>
      </c>
      <c r="L67">
        <f>IF(OR(L45="",AND(L45=L44,L45=L46)),NA(), L45)</f>
        <v>0</v>
      </c>
      <c r="M67">
        <f>IF(ISNA(N67),NA(),M45)</f>
        <v>0</v>
      </c>
      <c r="N67">
        <f>IF(OR(N45="",AND(N45=N44,N45=N46)),NA(), N45)</f>
        <v>0</v>
      </c>
    </row>
    <row r="68" spans="5:14">
      <c r="E68">
        <f>IF(ISNA(F68),NA(),E46)</f>
        <v>0</v>
      </c>
      <c r="F68">
        <f>IF(OR(F46="",AND(F46=F45,F46=F47)),NA(), F46)</f>
        <v>0</v>
      </c>
      <c r="G68">
        <f>IF(ISNA(H68),NA(),G46)</f>
        <v>0</v>
      </c>
      <c r="H68">
        <f>IF(OR(H46="",AND(H46=H45,H46=H47)),NA(), H46)</f>
        <v>0</v>
      </c>
      <c r="K68">
        <f>IF(ISNA(L68),NA(),K46)</f>
        <v>0</v>
      </c>
      <c r="L68">
        <f>IF(OR(L46="",AND(L46=L45,L46=L47)),NA(), L46)</f>
        <v>0</v>
      </c>
      <c r="M68">
        <f>IF(ISNA(N68),NA(),M46)</f>
        <v>0</v>
      </c>
      <c r="N68">
        <f>IF(OR(N46="",AND(N46=N45,N46=N47)),NA(), N46)</f>
        <v>0</v>
      </c>
    </row>
    <row r="69" spans="5:14">
      <c r="E69">
        <f>IF(ISNA(F69),NA(),E47)</f>
        <v>0</v>
      </c>
      <c r="F69">
        <f>IF(OR(F47="",AND(F47=F46,F47=F48)),NA(), F47)</f>
        <v>0</v>
      </c>
      <c r="G69">
        <f>IF(ISNA(H69),NA(),G47)</f>
        <v>0</v>
      </c>
      <c r="H69">
        <f>IF(OR(H47="",AND(H47=H46,H47=H48)),NA(), H47)</f>
        <v>0</v>
      </c>
      <c r="K69">
        <f>IF(ISNA(L69),NA(),K47)</f>
        <v>0</v>
      </c>
      <c r="L69">
        <f>IF(OR(L47="",AND(L47=L46,L47=L48)),NA(), L47)</f>
        <v>0</v>
      </c>
      <c r="M69">
        <f>IF(ISNA(N69),NA(),M47)</f>
        <v>0</v>
      </c>
      <c r="N69">
        <f>IF(OR(N47="",AND(N47=N46,N47=N48)),NA(), N47)</f>
        <v>0</v>
      </c>
    </row>
    <row r="70" spans="5:14">
      <c r="E70">
        <f>IF(ISNA(F70),NA(),E48)</f>
        <v>0</v>
      </c>
      <c r="F70">
        <f>IF(OR(F48="",AND(F48=F47,F48=F49)),NA(), F48)</f>
        <v>0</v>
      </c>
      <c r="G70">
        <f>IF(ISNA(H70),NA(),G48)</f>
        <v>0</v>
      </c>
      <c r="H70">
        <f>IF(OR(H48="",AND(H48=H47,H48=H49)),NA(), H48)</f>
        <v>0</v>
      </c>
      <c r="K70">
        <f>IF(ISNA(L70),NA(),K48)</f>
        <v>0</v>
      </c>
      <c r="L70">
        <f>IF(OR(L48="",AND(L48=L47,L48=L49)),NA(), L48)</f>
        <v>0</v>
      </c>
      <c r="M70">
        <f>IF(ISNA(N70),NA(),M48)</f>
        <v>0</v>
      </c>
      <c r="N70">
        <f>IF(OR(N48="",AND(N48=N47,N48=N49)),NA(), N48)</f>
        <v>0</v>
      </c>
    </row>
    <row r="71" spans="5:14">
      <c r="E71">
        <f>IF(ISNA(F71),NA(),E49)</f>
        <v>0</v>
      </c>
      <c r="F71">
        <f>IF(OR(F49="",AND(F49=F48,F49=F50)),NA(), F49)</f>
        <v>0</v>
      </c>
      <c r="G71">
        <f>IF(ISNA(H71),NA(),G49)</f>
        <v>0</v>
      </c>
      <c r="H71">
        <f>IF(OR(H49="",AND(H49=H48,H49=H50)),NA(), H49)</f>
        <v>0</v>
      </c>
      <c r="K71">
        <f>IF(ISNA(L71),NA(),K49)</f>
        <v>0</v>
      </c>
      <c r="L71">
        <f>IF(OR(L49="",AND(L49=L48,L49=L50)),NA(), L49)</f>
        <v>0</v>
      </c>
      <c r="M71">
        <f>IF(ISNA(N71),NA(),M49)</f>
        <v>0</v>
      </c>
      <c r="N71">
        <f>IF(OR(N49="",AND(N49=N48,N49=N50)),NA(), N49)</f>
        <v>0</v>
      </c>
    </row>
    <row r="72" spans="5:14">
      <c r="E72">
        <f>IF(ISNA(F72),NA(),E50)</f>
        <v>0</v>
      </c>
      <c r="F72">
        <f>IF(OR(F50="",AND(F50=F49,F50=F51)),NA(), F50)</f>
        <v>0</v>
      </c>
      <c r="G72">
        <f>IF(ISNA(H72),NA(),G50)</f>
        <v>0</v>
      </c>
      <c r="H72">
        <f>IF(OR(H50="",AND(H50=H49,H50=H51)),NA(), H50)</f>
        <v>0</v>
      </c>
      <c r="K72">
        <f>IF(ISNA(L72),NA(),K50)</f>
        <v>0</v>
      </c>
      <c r="L72">
        <f>IF(OR(L50="",AND(L50=L49,L50=L51)),NA(), L50)</f>
        <v>0</v>
      </c>
      <c r="M72">
        <f>IF(ISNA(N72),NA(),M50)</f>
        <v>0</v>
      </c>
      <c r="N72">
        <f>IF(OR(N50="",AND(N50=N49,N50=N51)),NA(), N50)</f>
        <v>0</v>
      </c>
    </row>
    <row r="73" spans="5:14">
      <c r="E73">
        <f>IF(ISNA(F73),NA(),E51)</f>
        <v>0</v>
      </c>
      <c r="F73">
        <f>IF(OR(F51="",AND(F51=F50,F51=F52)),NA(), F51)</f>
        <v>0</v>
      </c>
      <c r="G73">
        <f>IF(ISNA(H73),NA(),G51)</f>
        <v>0</v>
      </c>
      <c r="H73">
        <f>IF(OR(H51="",AND(H51=H50,H51=H52)),NA(), H51)</f>
        <v>0</v>
      </c>
      <c r="K73">
        <f>IF(ISNA(L73),NA(),K51)</f>
        <v>0</v>
      </c>
      <c r="L73">
        <f>IF(OR(L51="",AND(L51=L50,L51=L52)),NA(), L51)</f>
        <v>0</v>
      </c>
      <c r="M73">
        <f>IF(ISNA(N73),NA(),M51)</f>
        <v>0</v>
      </c>
      <c r="N73">
        <f>IF(OR(N51="",AND(N51=N50,N51=N52)),NA(), N51)</f>
        <v>0</v>
      </c>
    </row>
    <row r="74" spans="5:14">
      <c r="E74">
        <f>IF(ISNA(F74),NA(),E52)</f>
        <v>0</v>
      </c>
      <c r="F74">
        <f>IF(OR(F52="",AND(F52=F51,F52=F53)),NA(), F52)</f>
        <v>0</v>
      </c>
      <c r="G74">
        <f>IF(ISNA(H74),NA(),G52)</f>
        <v>0</v>
      </c>
      <c r="H74">
        <f>IF(OR(H52="",AND(H52=H51,H52=H53)),NA(), H52)</f>
        <v>0</v>
      </c>
      <c r="K74">
        <f>IF(ISNA(L74),NA(),K52)</f>
        <v>0</v>
      </c>
      <c r="L74">
        <f>IF(OR(L52="",AND(L52=L51,L52=L53)),NA(), L52)</f>
        <v>0</v>
      </c>
      <c r="M74">
        <f>IF(ISNA(N74),NA(),M52)</f>
        <v>0</v>
      </c>
      <c r="N74">
        <f>IF(OR(N52="",AND(N52=N51,N52=N53)),NA(), N52)</f>
        <v>0</v>
      </c>
    </row>
    <row r="75" spans="5:14">
      <c r="E75">
        <f>IF(ISNA(F75),NA(),E53)</f>
        <v>0</v>
      </c>
      <c r="F75">
        <f>IF(OR(F53="",AND(F53=F52,F53=F54)),NA(), F53)</f>
        <v>0</v>
      </c>
      <c r="G75">
        <f>IF(ISNA(H75),NA(),G53)</f>
        <v>0</v>
      </c>
      <c r="H75">
        <f>IF(OR(H53="",AND(H53=H52,H53=H54)),NA(), H53)</f>
        <v>0</v>
      </c>
      <c r="K75">
        <f>IF(ISNA(L75),NA(),K53)</f>
        <v>0</v>
      </c>
      <c r="L75">
        <f>IF(OR(L53="",AND(L53=L52,L53=L54)),NA(), L53)</f>
        <v>0</v>
      </c>
      <c r="M75">
        <f>IF(ISNA(N75),NA(),M53)</f>
        <v>0</v>
      </c>
      <c r="N75">
        <f>IF(OR(N53="",AND(N53=N52,N53=N54)),NA(), N53)</f>
        <v>0</v>
      </c>
    </row>
    <row r="76" spans="5:14">
      <c r="E76">
        <f>IF(ISNA(F76),NA(),E54)</f>
        <v>0</v>
      </c>
      <c r="F76">
        <f>IF(OR(F54="",AND(F54=F53,F54=F55)),NA(), F54)</f>
        <v>0</v>
      </c>
      <c r="G76">
        <f>IF(ISNA(H76),NA(),G54)</f>
        <v>0</v>
      </c>
      <c r="H76">
        <f>IF(OR(H54="",AND(H54=H53,H54=H55)),NA(), H54)</f>
        <v>0</v>
      </c>
      <c r="K76">
        <f>IF(ISNA(L76),NA(),K54)</f>
        <v>0</v>
      </c>
      <c r="L76">
        <f>IF(OR(L54="",AND(L54=L53,L54=L55)),NA(), L54)</f>
        <v>0</v>
      </c>
      <c r="M76">
        <f>IF(ISNA(N76),NA(),M54)</f>
        <v>0</v>
      </c>
      <c r="N76">
        <f>IF(OR(N54="",AND(N54=N53,N54=N55)),NA(), N54)</f>
        <v>0</v>
      </c>
    </row>
    <row r="77" spans="5:14">
      <c r="E77">
        <f>IF(ISNA(F77),NA(),E55)</f>
        <v>0</v>
      </c>
      <c r="F77">
        <f>IF(OR(F55="",AND(F55=F54,F55=F56)),NA(), F55)</f>
        <v>0</v>
      </c>
      <c r="G77">
        <f>IF(ISNA(H77),NA(),G55)</f>
        <v>0</v>
      </c>
      <c r="H77">
        <f>IF(OR(H55="",AND(H55=H54,H55=H56)),NA(), H55)</f>
        <v>0</v>
      </c>
      <c r="K77">
        <f>IF(ISNA(L77),NA(),K55)</f>
        <v>0</v>
      </c>
      <c r="L77">
        <f>IF(OR(L55="",AND(L55=L54,L55=L56)),NA(), L55)</f>
        <v>0</v>
      </c>
      <c r="M77">
        <f>IF(ISNA(N77),NA(),M55)</f>
        <v>0</v>
      </c>
      <c r="N77">
        <f>IF(OR(N55="",AND(N55=N54,N55=N56)),NA(), N55)</f>
        <v>0</v>
      </c>
    </row>
    <row r="78" spans="5:14">
      <c r="E78">
        <f>IF(ISNA(F78),NA(),E56)</f>
        <v>0</v>
      </c>
      <c r="F78">
        <f>IF(OR(F56="",AND(F56=F55,F56=F57)),NA(), F56)</f>
        <v>0</v>
      </c>
      <c r="G78">
        <f>IF(ISNA(H78),NA(),G56)</f>
        <v>0</v>
      </c>
      <c r="H78">
        <f>IF(OR(H56="",AND(H56=H55,H56=H57)),NA(), H56)</f>
        <v>0</v>
      </c>
      <c r="K78">
        <f>IF(ISNA(L78),NA(),K56)</f>
        <v>0</v>
      </c>
      <c r="L78">
        <f>IF(OR(L56="",AND(L56=L55,L56=L57)),NA(), L56)</f>
        <v>0</v>
      </c>
      <c r="M78">
        <f>IF(ISNA(N78),NA(),M56)</f>
        <v>0</v>
      </c>
      <c r="N78">
        <f>IF(OR(N56="",AND(N56=N55,N56=N57)),NA(), N56)</f>
        <v>0</v>
      </c>
    </row>
    <row r="79" spans="5:14">
      <c r="E79">
        <f>IF(ISNA(F79),NA(),E57)</f>
        <v>0</v>
      </c>
      <c r="F79">
        <f>IF(OR(F57="",AND(F57=F56,F57=F58)),NA(), F57)</f>
        <v>0</v>
      </c>
      <c r="G79">
        <f>IF(ISNA(H79),NA(),G57)</f>
        <v>0</v>
      </c>
      <c r="H79">
        <f>IF(OR(H57="",AND(H57=H56,H57=H58)),NA(), H57)</f>
        <v>0</v>
      </c>
      <c r="K79">
        <f>IF(ISNA(L79),NA(),K57)</f>
        <v>0</v>
      </c>
      <c r="L79">
        <f>IF(OR(L57="",AND(L57=L56,L57=L58)),NA(), L57)</f>
        <v>0</v>
      </c>
      <c r="M79">
        <f>IF(ISNA(N79),NA(),M57)</f>
        <v>0</v>
      </c>
      <c r="N79">
        <f>IF(OR(N57="",AND(N57=N56,N57=N58)),NA(), N57)</f>
        <v>0</v>
      </c>
    </row>
    <row r="80" spans="5:14">
      <c r="E80">
        <f>IF(ISNA(F80),NA(),E58)</f>
        <v>0</v>
      </c>
      <c r="F80">
        <f>IF(OR(F58="",AND(F58=F57,F58=F59)),NA(), F58)</f>
        <v>0</v>
      </c>
      <c r="G80">
        <f>IF(ISNA(H80),NA(),G58)</f>
        <v>0</v>
      </c>
      <c r="H80">
        <f>IF(OR(H58="",AND(H58=H57,H58=H59)),NA(), H58)</f>
        <v>0</v>
      </c>
      <c r="K80">
        <f>IF(ISNA(L80),NA(),K58)</f>
        <v>0</v>
      </c>
      <c r="L80">
        <f>IF(OR(L58="",AND(L58=L57,L58=L59)),NA(), L58)</f>
        <v>0</v>
      </c>
      <c r="M80">
        <f>IF(ISNA(N80),NA(),M58)</f>
        <v>0</v>
      </c>
      <c r="N80">
        <f>IF(OR(N58="",AND(N58=N57,N58=N59)),NA(), N58)</f>
        <v>0</v>
      </c>
    </row>
    <row r="81" spans="5:14">
      <c r="E81">
        <f>IF(ISNA(F81),NA(),E59)</f>
        <v>0</v>
      </c>
      <c r="F81">
        <f>IF(F59="",NA(),F59)</f>
        <v>0</v>
      </c>
      <c r="G81">
        <f>IF(ISNA(H81),NA(),G59)</f>
        <v>0</v>
      </c>
      <c r="H81">
        <f>IF(H59="",NA(),H59)</f>
        <v>0</v>
      </c>
      <c r="K81">
        <f>IF(ISNA(L81),NA(),K59)</f>
        <v>0</v>
      </c>
      <c r="L81">
        <f>IF(L59="",NA(),L59)</f>
        <v>0</v>
      </c>
      <c r="M81">
        <f>IF(ISNA(N81),NA(),M59)</f>
        <v>0</v>
      </c>
      <c r="N81">
        <f>IF(N59="",NA(),N59)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B2:F3"/>
  <sheetViews>
    <sheetView workbookViewId="0"/>
  </sheetViews>
  <sheetFormatPr defaultRowHeight="15"/>
  <sheetData>
    <row r="2" spans="2:6">
      <c r="B2" t="s">
        <v>47</v>
      </c>
      <c r="F2" t="s">
        <v>49</v>
      </c>
    </row>
    <row r="3" spans="2:6">
      <c r="B3" s="2" t="s">
        <v>48</v>
      </c>
      <c r="F3" s="2" t="s">
        <v>19</v>
      </c>
    </row>
  </sheetData>
  <dataValidations count="2">
    <dataValidation type="list" allowBlank="1" showInputMessage="1" showErrorMessage="1" prompt="Select how runs should be merged. 'none' means no merging." sqref="B3">
      <formula1>"none,average,median,min,max"</formula1>
    </dataValidation>
    <dataValidation type="list" allowBlank="1" showInputMessage="1" showErrorMessage="1" prompt="Select measure to display." sqref="F3">
      <formula1>"choices,conflicts,error,mem,memout,models,par2,restarts,time,timeout"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Instances</vt:lpstr>
      <vt:lpstr>Merged Runs</vt:lpstr>
      <vt:lpstr>Classes</vt:lpstr>
      <vt:lpstr>Helper</vt:lpstr>
      <vt:lpstr>Charts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2026-04-22T09:48:33Z</dcterms:created>
  <dcterms:modified xsi:type="dcterms:W3CDTF">2026-04-22T09:48:33Z</dcterms:modified>
</cp:coreProperties>
</file>