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<sst xmlns="http://schemas.openxmlformats.org/spreadsheetml/2006/main" count="1738" uniqueCount="414">
  <si>
    <t>Level_0/2-0000101</t>
  </si>
  <si>
    <t>Level_0/2-0000110</t>
  </si>
  <si>
    <t>Level_0/2-0001001</t>
  </si>
  <si>
    <t>Level_0/2-0001010</t>
  </si>
  <si>
    <t>Level_0/2-0001100</t>
  </si>
  <si>
    <t>Level_0/2-0100001</t>
  </si>
  <si>
    <t>Level_0/2-0100100</t>
  </si>
  <si>
    <t>Level_0/3-0001101</t>
  </si>
  <si>
    <t>Level_0/3-0001110</t>
  </si>
  <si>
    <t>Level_0/3-0101001</t>
  </si>
  <si>
    <t>Level_0/3-1011000</t>
  </si>
  <si>
    <t>Level_0/3-1100010</t>
  </si>
  <si>
    <t>Level_0/3-1100100</t>
  </si>
  <si>
    <t>Level_0/3-1101000</t>
  </si>
  <si>
    <t>Level_0/4-0010111</t>
  </si>
  <si>
    <t>Level_0/4-0011110</t>
  </si>
  <si>
    <t>Level_0/4-0100111</t>
  </si>
  <si>
    <t>Level_0/4-1000111</t>
  </si>
  <si>
    <t>Level_0/4-1001110</t>
  </si>
  <si>
    <t>Level_0/4-1100101</t>
  </si>
  <si>
    <t>Level_0/4-1100110</t>
  </si>
  <si>
    <t>Level_0/5-0101111</t>
  </si>
  <si>
    <t>Level_0/5-0111011</t>
  </si>
  <si>
    <t>Level_0/5-1010111</t>
  </si>
  <si>
    <t>Level_0/5-1101011</t>
  </si>
  <si>
    <t>Level_0/5-1110110</t>
  </si>
  <si>
    <t>Level_0/5-1111001</t>
  </si>
  <si>
    <t>Level_0/5-1111100</t>
  </si>
  <si>
    <t>Level_0/6-0111111</t>
  </si>
  <si>
    <t>Level_0/6-1011111</t>
  </si>
  <si>
    <t>Level_0/6-1101111</t>
  </si>
  <si>
    <t>Level_0/6-1110111</t>
  </si>
  <si>
    <t>Level_0/6-1111011</t>
  </si>
  <si>
    <t>Level_0/6-1111101</t>
  </si>
  <si>
    <t>Level_0/6-1111110</t>
  </si>
  <si>
    <t>Level_0/7-1111111</t>
  </si>
  <si>
    <t>Level_1/2-0000101</t>
  </si>
  <si>
    <t>Level_1/2-0001010</t>
  </si>
  <si>
    <t>Level_1/2-0010100</t>
  </si>
  <si>
    <t>Level_1/2-0011000</t>
  </si>
  <si>
    <t>Level_1/2-0101000</t>
  </si>
  <si>
    <t>Level_1/2-1000100</t>
  </si>
  <si>
    <t>Level_1/2-1001000</t>
  </si>
  <si>
    <t>Level_1/3-0010110</t>
  </si>
  <si>
    <t>Level_1/3-0011001</t>
  </si>
  <si>
    <t>Level_1/3-0100101</t>
  </si>
  <si>
    <t>Level_1/3-0110100</t>
  </si>
  <si>
    <t>Level_1/3-0111000</t>
  </si>
  <si>
    <t>Level_1/3-1000011</t>
  </si>
  <si>
    <t>Level_1/3-1100001</t>
  </si>
  <si>
    <t>Level_1/4-0010111</t>
  </si>
  <si>
    <t>Level_1/4-0011110</t>
  </si>
  <si>
    <t>Level_1/4-0101011</t>
  </si>
  <si>
    <t>Level_1/4-0111001</t>
  </si>
  <si>
    <t>Level_1/4-1001110</t>
  </si>
  <si>
    <t>Level_1/4-1010011</t>
  </si>
  <si>
    <t>Level_1/4-1011010</t>
  </si>
  <si>
    <t>Level_1/5-1001111</t>
  </si>
  <si>
    <t>Level_1/5-1011101</t>
  </si>
  <si>
    <t>Level_1/5-1011110</t>
  </si>
  <si>
    <t>Level_1/5-1101101</t>
  </si>
  <si>
    <t>Level_1/5-1101110</t>
  </si>
  <si>
    <t>Level_1/5-1110011</t>
  </si>
  <si>
    <t>Level_1/5-1110110</t>
  </si>
  <si>
    <t>Level_1/6-0111111</t>
  </si>
  <si>
    <t>Level_1/6-1011111</t>
  </si>
  <si>
    <t>Level_1/6-1101111</t>
  </si>
  <si>
    <t>Level_1/6-1110111</t>
  </si>
  <si>
    <t>Level_1/6-1111011</t>
  </si>
  <si>
    <t>Level_1/6-1111101</t>
  </si>
  <si>
    <t>Level_1/6-1111110</t>
  </si>
  <si>
    <t>Level_1/7-1111111</t>
  </si>
  <si>
    <t>Level_2/2-0000101</t>
  </si>
  <si>
    <t>Level_2/2-0001100</t>
  </si>
  <si>
    <t>Level_2/2-0010010</t>
  </si>
  <si>
    <t>Level_2/2-0011000</t>
  </si>
  <si>
    <t>Level_2/2-0100010</t>
  </si>
  <si>
    <t>Level_2/2-0110000</t>
  </si>
  <si>
    <t>Level_2/2-1000100</t>
  </si>
  <si>
    <t>Level_2/3-0011100</t>
  </si>
  <si>
    <t>Level_2/3-0101010</t>
  </si>
  <si>
    <t>Level_2/3-0111000</t>
  </si>
  <si>
    <t>Level_2/3-1000101</t>
  </si>
  <si>
    <t>Level_2/3-1001001</t>
  </si>
  <si>
    <t>Level_2/3-1100010</t>
  </si>
  <si>
    <t>Level_2/3-1101000</t>
  </si>
  <si>
    <t>Level_2/4-0011110</t>
  </si>
  <si>
    <t>Level_2/4-0100111</t>
  </si>
  <si>
    <t>Level_2/4-0101101</t>
  </si>
  <si>
    <t>Level_2/4-0110101</t>
  </si>
  <si>
    <t>Level_2/4-1011100</t>
  </si>
  <si>
    <t>Level_2/4-1100101</t>
  </si>
  <si>
    <t>Level_2/4-1110010</t>
  </si>
  <si>
    <t>Level_2/5-0101111</t>
  </si>
  <si>
    <t>Level_2/5-0110111</t>
  </si>
  <si>
    <t>Level_2/5-0111101</t>
  </si>
  <si>
    <t>Level_2/5-0111110</t>
  </si>
  <si>
    <t>Level_2/5-1011110</t>
  </si>
  <si>
    <t>Level_2/5-1101101</t>
  </si>
  <si>
    <t>Level_2/5-1110011</t>
  </si>
  <si>
    <t>Level_2/6-0111111</t>
  </si>
  <si>
    <t>Level_2/6-1011111</t>
  </si>
  <si>
    <t>Level_2/6-1101111</t>
  </si>
  <si>
    <t>Level_2/6-1110111</t>
  </si>
  <si>
    <t>Level_2/6-1111011</t>
  </si>
  <si>
    <t>Level_2/6-1111101</t>
  </si>
  <si>
    <t>Level_2/6-1111110</t>
  </si>
  <si>
    <t>Level_2/7-1111111</t>
  </si>
  <si>
    <t>Level_3/2-0000110</t>
  </si>
  <si>
    <t>Level_3/2-0001010</t>
  </si>
  <si>
    <t>Level_3/2-0100010</t>
  </si>
  <si>
    <t>Level_3/2-0110000</t>
  </si>
  <si>
    <t>Level_3/2-1000001</t>
  </si>
  <si>
    <t>Level_3/2-1000010</t>
  </si>
  <si>
    <t>Level_3/2-1010000</t>
  </si>
  <si>
    <t>Level_3/3-0001110</t>
  </si>
  <si>
    <t>Level_3/3-0010011</t>
  </si>
  <si>
    <t>Level_3/3-0110100</t>
  </si>
  <si>
    <t>Level_3/3-0111000</t>
  </si>
  <si>
    <t>Level_3/3-1000011</t>
  </si>
  <si>
    <t>Level_3/3-1000101</t>
  </si>
  <si>
    <t>Level_3/3-1100001</t>
  </si>
  <si>
    <t>Level_3/4-0001111</t>
  </si>
  <si>
    <t>Level_3/4-0110110</t>
  </si>
  <si>
    <t>Level_3/4-0111100</t>
  </si>
  <si>
    <t>Level_3/4-1001110</t>
  </si>
  <si>
    <t>Level_3/4-1011001</t>
  </si>
  <si>
    <t>Level_3/4-1011100</t>
  </si>
  <si>
    <t>Level_3/4-1101001</t>
  </si>
  <si>
    <t>Level_3/5-0101111</t>
  </si>
  <si>
    <t>Level_3/5-0111011</t>
  </si>
  <si>
    <t>Level_3/5-0111110</t>
  </si>
  <si>
    <t>Level_3/5-1001111</t>
  </si>
  <si>
    <t>Level_3/5-1101011</t>
  </si>
  <si>
    <t>Level_3/5-1110011</t>
  </si>
  <si>
    <t>Level_3/5-1111010</t>
  </si>
  <si>
    <t>Level_3/6-0111111</t>
  </si>
  <si>
    <t>Level_3/6-1011111</t>
  </si>
  <si>
    <t>Level_3/6-1101111</t>
  </si>
  <si>
    <t>Level_3/6-1110111</t>
  </si>
  <si>
    <t>Level_3/6-1111011</t>
  </si>
  <si>
    <t>Level_3/6-1111101</t>
  </si>
  <si>
    <t>Level_3/6-1111110</t>
  </si>
  <si>
    <t>Level_3/7-1111111</t>
  </si>
  <si>
    <t>Level_4/2-0000101</t>
  </si>
  <si>
    <t>Level_4/2-0001010</t>
  </si>
  <si>
    <t>Level_4/2-0010010</t>
  </si>
  <si>
    <t>Level_4/2-0011000</t>
  </si>
  <si>
    <t>Level_4/2-0100100</t>
  </si>
  <si>
    <t>Level_4/2-1000001</t>
  </si>
  <si>
    <t>Level_4/2-1000100</t>
  </si>
  <si>
    <t>Level_4/3-0010011</t>
  </si>
  <si>
    <t>Level_4/3-0100011</t>
  </si>
  <si>
    <t>Level_4/3-0110010</t>
  </si>
  <si>
    <t>Level_4/3-1001100</t>
  </si>
  <si>
    <t>Level_4/3-1010001</t>
  </si>
  <si>
    <t>Level_4/3-1010100</t>
  </si>
  <si>
    <t>Level_4/3-1101000</t>
  </si>
  <si>
    <t>Level_4/4-0111001</t>
  </si>
  <si>
    <t>Level_4/4-1001101</t>
  </si>
  <si>
    <t>Level_4/4-1010110</t>
  </si>
  <si>
    <t>Level_4/4-1011001</t>
  </si>
  <si>
    <t>Level_4/4-1100101</t>
  </si>
  <si>
    <t>Level_4/4-1100110</t>
  </si>
  <si>
    <t>Level_4/4-1101001</t>
  </si>
  <si>
    <t>Level_4/5-0110111</t>
  </si>
  <si>
    <t>Level_4/5-0111101</t>
  </si>
  <si>
    <t>Level_4/5-0111110</t>
  </si>
  <si>
    <t>Level_4/5-1010111</t>
  </si>
  <si>
    <t>Level_4/5-1011110</t>
  </si>
  <si>
    <t>Level_4/5-1111010</t>
  </si>
  <si>
    <t>Level_4/5-1111100</t>
  </si>
  <si>
    <t>Level_4/6-0111111</t>
  </si>
  <si>
    <t>Level_4/6-1011111</t>
  </si>
  <si>
    <t>Level_4/6-1101111</t>
  </si>
  <si>
    <t>Level_4/6-1110111</t>
  </si>
  <si>
    <t>Level_4/6-1111011</t>
  </si>
  <si>
    <t>Level_4/6-1111101</t>
  </si>
  <si>
    <t>Level_4/6-1111110</t>
  </si>
  <si>
    <t>Level_4/7-1111111</t>
  </si>
  <si>
    <t>Level_5/2-0000011</t>
  </si>
  <si>
    <t>Level_5/2-0001100</t>
  </si>
  <si>
    <t>Level_5/2-0010010</t>
  </si>
  <si>
    <t>Level_5/2-0010100</t>
  </si>
  <si>
    <t>Level_5/2-0011000</t>
  </si>
  <si>
    <t>Level_5/2-1000001</t>
  </si>
  <si>
    <t>Level_5/2-1010000</t>
  </si>
  <si>
    <t>Level_5/3-0010011</t>
  </si>
  <si>
    <t>Level_5/3-0011100</t>
  </si>
  <si>
    <t>Level_5/3-1000011</t>
  </si>
  <si>
    <t>Level_5/3-1000110</t>
  </si>
  <si>
    <t>Level_5/3-1001001</t>
  </si>
  <si>
    <t>Level_5/3-1010001</t>
  </si>
  <si>
    <t>Level_5/3-1100001</t>
  </si>
  <si>
    <t>Level_5/4-0011101</t>
  </si>
  <si>
    <t>Level_5/4-0111001</t>
  </si>
  <si>
    <t>Level_5/4-1100011</t>
  </si>
  <si>
    <t>Level_5/4-1101010</t>
  </si>
  <si>
    <t>Level_5/4-1101100</t>
  </si>
  <si>
    <t>Level_5/4-1110010</t>
  </si>
  <si>
    <t>Level_5/4-1111000</t>
  </si>
  <si>
    <t>Level_5/5-0101111</t>
  </si>
  <si>
    <t>Level_5/5-0110111</t>
  </si>
  <si>
    <t>Level_5/5-0111011</t>
  </si>
  <si>
    <t>Level_5/5-1001111</t>
  </si>
  <si>
    <t>Level_5/5-1101011</t>
  </si>
  <si>
    <t>Level_5/5-1110011</t>
  </si>
  <si>
    <t>Level_5/5-1111100</t>
  </si>
  <si>
    <t>Level_5/6-0111111</t>
  </si>
  <si>
    <t>Level_5/6-1011111</t>
  </si>
  <si>
    <t>Level_5/6-1101111</t>
  </si>
  <si>
    <t>Level_5/6-1110111</t>
  </si>
  <si>
    <t>Level_5/6-1111011</t>
  </si>
  <si>
    <t>Level_5/6-1111101</t>
  </si>
  <si>
    <t>Level_5/6-1111110</t>
  </si>
  <si>
    <t>Level_5/7-1111111</t>
  </si>
  <si>
    <t>Level_6/2-0000011</t>
  </si>
  <si>
    <t>Level_6/2-0000101</t>
  </si>
  <si>
    <t>Level_6/2-0001001</t>
  </si>
  <si>
    <t>Level_6/2-0001100</t>
  </si>
  <si>
    <t>Level_6/2-0100001</t>
  </si>
  <si>
    <t>Level_6/2-0110000</t>
  </si>
  <si>
    <t>Level_6/2-1001000</t>
  </si>
  <si>
    <t>Level_6/3-0001011</t>
  </si>
  <si>
    <t>Level_6/3-0001101</t>
  </si>
  <si>
    <t>Level_6/3-0010110</t>
  </si>
  <si>
    <t>Level_6/3-0011100</t>
  </si>
  <si>
    <t>Level_6/3-1001001</t>
  </si>
  <si>
    <t>Level_6/3-1010010</t>
  </si>
  <si>
    <t>Level_6/3-1101000</t>
  </si>
  <si>
    <t>Level_6/4-0110011</t>
  </si>
  <si>
    <t>Level_6/4-0110110</t>
  </si>
  <si>
    <t>Level_6/4-1000111</t>
  </si>
  <si>
    <t>Level_6/4-1001011</t>
  </si>
  <si>
    <t>Level_6/4-1010011</t>
  </si>
  <si>
    <t>Level_6/4-1011001</t>
  </si>
  <si>
    <t>Level_6/4-1011100</t>
  </si>
  <si>
    <t>Level_6/5-0111011</t>
  </si>
  <si>
    <t>Level_6/5-0111101</t>
  </si>
  <si>
    <t>Level_6/5-1101110</t>
  </si>
  <si>
    <t>Level_6/5-1110011</t>
  </si>
  <si>
    <t>Level_6/5-1110101</t>
  </si>
  <si>
    <t>Level_6/5-1111001</t>
  </si>
  <si>
    <t>Level_6/5-1111100</t>
  </si>
  <si>
    <t>Level_6/6-0111111</t>
  </si>
  <si>
    <t>Level_6/6-1011111</t>
  </si>
  <si>
    <t>Level_6/6-1101111</t>
  </si>
  <si>
    <t>Level_6/6-1110111</t>
  </si>
  <si>
    <t>Level_6/6-1111011</t>
  </si>
  <si>
    <t>Level_6/6-1111101</t>
  </si>
  <si>
    <t>Level_6/6-1111110</t>
  </si>
  <si>
    <t>Level_6/7-1111111</t>
  </si>
  <si>
    <t>Level_7/2-0000110</t>
  </si>
  <si>
    <t>Level_7/2-0001001</t>
  </si>
  <si>
    <t>Level_7/2-0001010</t>
  </si>
  <si>
    <t>Level_7/2-0010100</t>
  </si>
  <si>
    <t>Level_7/2-0100001</t>
  </si>
  <si>
    <t>Level_7/2-0101000</t>
  </si>
  <si>
    <t>Level_7/2-1000001</t>
  </si>
  <si>
    <t>Level_7/3-0001011</t>
  </si>
  <si>
    <t>Level_7/3-0100011</t>
  </si>
  <si>
    <t>Level_7/3-0100101</t>
  </si>
  <si>
    <t>Level_7/3-0101001</t>
  </si>
  <si>
    <t>Level_7/3-0110001</t>
  </si>
  <si>
    <t>Level_7/3-1100001</t>
  </si>
  <si>
    <t>Level_7/3-1101000</t>
  </si>
  <si>
    <t>Level_7/4-0010111</t>
  </si>
  <si>
    <t>Level_7/4-0100111</t>
  </si>
  <si>
    <t>Level_7/4-0101110</t>
  </si>
  <si>
    <t>Level_7/4-0110011</t>
  </si>
  <si>
    <t>Level_7/4-1010011</t>
  </si>
  <si>
    <t>Level_7/4-1011001</t>
  </si>
  <si>
    <t>Level_7/4-1100110</t>
  </si>
  <si>
    <t>Level_7/5-0111110</t>
  </si>
  <si>
    <t>Level_7/5-1010111</t>
  </si>
  <si>
    <t>Level_7/5-1011110</t>
  </si>
  <si>
    <t>Level_7/5-1100111</t>
  </si>
  <si>
    <t>Level_7/5-1110011</t>
  </si>
  <si>
    <t>Level_7/5-1110101</t>
  </si>
  <si>
    <t>Level_7/5-1111010</t>
  </si>
  <si>
    <t>Level_7/6-0111111</t>
  </si>
  <si>
    <t>Level_7/6-1011111</t>
  </si>
  <si>
    <t>Level_7/6-1101111</t>
  </si>
  <si>
    <t>Level_7/6-1110111</t>
  </si>
  <si>
    <t>Level_7/6-1111011</t>
  </si>
  <si>
    <t>Level_7/6-1111101</t>
  </si>
  <si>
    <t>Level_7/6-1111110</t>
  </si>
  <si>
    <t>Level_7/7-1111111</t>
  </si>
  <si>
    <t>Level_8/2-0001001</t>
  </si>
  <si>
    <t>Level_8/2-0010001</t>
  </si>
  <si>
    <t>Level_8/2-0010010</t>
  </si>
  <si>
    <t>Level_8/2-0100100</t>
  </si>
  <si>
    <t>Level_8/2-1000100</t>
  </si>
  <si>
    <t>Level_8/2-1010000</t>
  </si>
  <si>
    <t>Level_8/2-1100000</t>
  </si>
  <si>
    <t>Level_8/3-0000111</t>
  </si>
  <si>
    <t>Level_8/3-0001011</t>
  </si>
  <si>
    <t>Level_8/3-0011010</t>
  </si>
  <si>
    <t>Level_8/3-1000110</t>
  </si>
  <si>
    <t>Level_8/3-1001100</t>
  </si>
  <si>
    <t>Level_8/3-1100010</t>
  </si>
  <si>
    <t>Level_8/3-1101000</t>
  </si>
  <si>
    <t>Level_8/4-0111001</t>
  </si>
  <si>
    <t>Level_8/4-0111100</t>
  </si>
  <si>
    <t>Level_8/4-1001011</t>
  </si>
  <si>
    <t>Level_8/4-1011001</t>
  </si>
  <si>
    <t>Level_8/4-1011010</t>
  </si>
  <si>
    <t>Level_8/4-1100011</t>
  </si>
  <si>
    <t>Level_8/4-1101100</t>
  </si>
  <si>
    <t>Level_8/5-0110111</t>
  </si>
  <si>
    <t>Level_8/5-0111011</t>
  </si>
  <si>
    <t>Level_8/5-1010111</t>
  </si>
  <si>
    <t>Level_8/5-1100111</t>
  </si>
  <si>
    <t>Level_8/5-1110011</t>
  </si>
  <si>
    <t>Level_8/5-1110110</t>
  </si>
  <si>
    <t>Level_8/5-1111100</t>
  </si>
  <si>
    <t>Level_8/6-0111111</t>
  </si>
  <si>
    <t>Level_8/6-1011111</t>
  </si>
  <si>
    <t>Level_8/6-1101111</t>
  </si>
  <si>
    <t>Level_8/6-1110111</t>
  </si>
  <si>
    <t>Level_8/6-1111011</t>
  </si>
  <si>
    <t>Level_8/6-1111101</t>
  </si>
  <si>
    <t>Level_8/6-1111110</t>
  </si>
  <si>
    <t>Level_8/7-1111111</t>
  </si>
  <si>
    <t>Level_9/2-0000011</t>
  </si>
  <si>
    <t>Level_9/2-0010001</t>
  </si>
  <si>
    <t>Level_9/2-0100001</t>
  </si>
  <si>
    <t>Level_9/2-0110000</t>
  </si>
  <si>
    <t>Level_9/2-1000001</t>
  </si>
  <si>
    <t>Level_9/2-1000100</t>
  </si>
  <si>
    <t>Level_9/2-1100000</t>
  </si>
  <si>
    <t>Level_9/3-0010101</t>
  </si>
  <si>
    <t>Level_9/3-0011001</t>
  </si>
  <si>
    <t>Level_9/3-1000110</t>
  </si>
  <si>
    <t>Level_9/3-1001010</t>
  </si>
  <si>
    <t>Level_9/3-1001100</t>
  </si>
  <si>
    <t>Level_9/3-1100010</t>
  </si>
  <si>
    <t>Level_9/3-1110000</t>
  </si>
  <si>
    <t>Level_9/4-0110101</t>
  </si>
  <si>
    <t>Level_9/4-0110110</t>
  </si>
  <si>
    <t>Level_9/4-0111001</t>
  </si>
  <si>
    <t>Level_9/4-1010101</t>
  </si>
  <si>
    <t>Level_9/4-1100011</t>
  </si>
  <si>
    <t>Level_9/4-1100110</t>
  </si>
  <si>
    <t>Level_9/4-1101100</t>
  </si>
  <si>
    <t>Level_9/5-0110111</t>
  </si>
  <si>
    <t>Level_9/5-0111110</t>
  </si>
  <si>
    <t>Level_9/5-1101011</t>
  </si>
  <si>
    <t>Level_9/5-1101110</t>
  </si>
  <si>
    <t>Level_9/5-1110101</t>
  </si>
  <si>
    <t>Level_9/5-1111010</t>
  </si>
  <si>
    <t>Level_9/5-1111100</t>
  </si>
  <si>
    <t>Level_9/6-0111111</t>
  </si>
  <si>
    <t>Level_9/6-1011111</t>
  </si>
  <si>
    <t>Level_9/6-1101111</t>
  </si>
  <si>
    <t>Level_9/6-1110111</t>
  </si>
  <si>
    <t>Level_9/6-1111011</t>
  </si>
  <si>
    <t>Level_9/6-1111101</t>
  </si>
  <si>
    <t>Level_9/6-1111110</t>
  </si>
  <si>
    <t>Level_9/7-1111111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</si>
  <si>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</si>
  <si>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</si>
  <si>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</si>
  <si>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</si>
  <si>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</si>
  <si>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</si>
  <si>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</si>
  <si>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</si>
  <si>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clingo-dl-2.0.0/one-as</t>
  </si>
  <si>
    <t>choices</t>
  </si>
  <si>
    <t>conflicts</t>
  </si>
  <si>
    <t>constraints</t>
  </si>
  <si>
    <t>error</t>
  </si>
  <si>
    <t>mem</t>
  </si>
  <si>
    <t>memout</t>
  </si>
  <si>
    <t>models</t>
  </si>
  <si>
    <t>overall-time</t>
  </si>
  <si>
    <t>par2</t>
  </si>
  <si>
    <t>restarts</t>
  </si>
  <si>
    <t>rstatus</t>
  </si>
  <si>
    <t>ok</t>
  </si>
  <si>
    <t>rules</t>
  </si>
  <si>
    <t>solving-time</t>
  </si>
  <si>
    <t>status</t>
  </si>
  <si>
    <t>SATISFIABLE</t>
  </si>
  <si>
    <t>time</t>
  </si>
  <si>
    <t>timeout</t>
  </si>
  <si>
    <t>variables</t>
  </si>
  <si>
    <t>min</t>
  </si>
  <si>
    <t>median</t>
  </si>
  <si>
    <t>max</t>
  </si>
  <si>
    <t>Merge criteria:</t>
  </si>
  <si>
    <t>Level_0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</si>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</sst>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(Helper!T5:T725)</c:f>
            </c:numRef>
          </c:xVal>
          <c:yVal>
            <c:numRef>
              <c:f>(Helper!S5:S725)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(Helper!Q5:Q725)</c:f>
            </c:numRef>
          </c:xVal>
          <c:yVal>
            <c:numRef>
              <c:f>(Helper!R5:R725)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(Helper!R5:R725)</c:f>
            </c:numRef>
          </c:xVal>
          <c:yVal>
            <c:numRef>
              <c:f>(Helper!Q5:Q725)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7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15" width="11.7109375" customWidth="1"/>
    <col min="16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389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385</v>
      </c>
      <c r="Q2" s="1" t="s">
        <v>386</v>
      </c>
      <c r="R2" s="1" t="s">
        <v>387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385</v>
      </c>
      <c r="AF2" s="1" t="s">
        <v>386</v>
      </c>
      <c r="AG2" s="1" t="s">
        <v>387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385</v>
      </c>
      <c r="AU2" s="1" t="s">
        <v>386</v>
      </c>
      <c r="AV2" s="1" t="s">
        <v>387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385</v>
      </c>
      <c r="BJ2" s="1" t="s">
        <v>386</v>
      </c>
      <c r="BK2" s="1" t="s">
        <v>387</v>
      </c>
    </row>
    <row r="3" spans="1:63">
      <c r="A3" s="1" t="s">
        <v>0</v>
      </c>
      <c r="B3" s="1">
        <v>11</v>
      </c>
      <c r="C3" s="1">
        <v>0</v>
      </c>
      <c r="D3" s="1">
        <v>76103</v>
      </c>
      <c r="E3" s="1">
        <v>0</v>
      </c>
      <c r="F3" s="1">
        <v>22</v>
      </c>
      <c r="G3" s="1">
        <v>0</v>
      </c>
      <c r="H3" s="1">
        <v>1</v>
      </c>
      <c r="I3" s="1">
        <v>0.5669999999999999</v>
      </c>
      <c r="J3" s="1">
        <v>0.58</v>
      </c>
      <c r="K3" s="1">
        <v>0</v>
      </c>
      <c r="L3" s="1" t="s">
        <v>380</v>
      </c>
      <c r="M3" s="1">
        <v>46798</v>
      </c>
      <c r="N3" s="1">
        <v>0</v>
      </c>
      <c r="O3" s="1" t="s">
        <v>384</v>
      </c>
      <c r="P3" s="1">
        <v>0.58</v>
      </c>
      <c r="Q3" s="1">
        <v>0</v>
      </c>
      <c r="R3" s="1">
        <v>26569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>
        <v>11</v>
      </c>
      <c r="C4" s="1">
        <v>0</v>
      </c>
      <c r="D4" s="1">
        <v>94294</v>
      </c>
      <c r="E4" s="1">
        <v>0</v>
      </c>
      <c r="F4" s="1">
        <v>32</v>
      </c>
      <c r="G4" s="1">
        <v>0</v>
      </c>
      <c r="H4" s="1">
        <v>1</v>
      </c>
      <c r="I4" s="1">
        <v>0.609</v>
      </c>
      <c r="J4" s="1">
        <v>0.62</v>
      </c>
      <c r="K4" s="1">
        <v>0</v>
      </c>
      <c r="L4" s="1" t="s">
        <v>380</v>
      </c>
      <c r="M4" s="1">
        <v>55359</v>
      </c>
      <c r="N4" s="1">
        <v>0.01</v>
      </c>
      <c r="O4" s="1" t="s">
        <v>384</v>
      </c>
      <c r="P4" s="1">
        <v>0.62</v>
      </c>
      <c r="Q4" s="1">
        <v>0</v>
      </c>
      <c r="R4" s="1">
        <v>32655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>
        <v>33</v>
      </c>
      <c r="C5" s="1">
        <v>0</v>
      </c>
      <c r="D5" s="1">
        <v>29041</v>
      </c>
      <c r="E5" s="1">
        <v>0</v>
      </c>
      <c r="F5" s="1">
        <v>12</v>
      </c>
      <c r="G5" s="1">
        <v>0</v>
      </c>
      <c r="H5" s="1">
        <v>1</v>
      </c>
      <c r="I5" s="1">
        <v>0.453</v>
      </c>
      <c r="J5" s="1">
        <v>0.46</v>
      </c>
      <c r="K5" s="1">
        <v>0</v>
      </c>
      <c r="L5" s="1" t="s">
        <v>380</v>
      </c>
      <c r="M5" s="1">
        <v>23270</v>
      </c>
      <c r="N5" s="1">
        <v>0</v>
      </c>
      <c r="O5" s="1" t="s">
        <v>384</v>
      </c>
      <c r="P5" s="1">
        <v>0.46</v>
      </c>
      <c r="Q5" s="1">
        <v>0</v>
      </c>
      <c r="R5" s="1">
        <v>10501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>
        <v>42</v>
      </c>
      <c r="C6" s="1">
        <v>0</v>
      </c>
      <c r="D6" s="1">
        <v>97862</v>
      </c>
      <c r="E6" s="1">
        <v>0</v>
      </c>
      <c r="F6" s="1">
        <v>26</v>
      </c>
      <c r="G6" s="1">
        <v>0</v>
      </c>
      <c r="H6" s="1">
        <v>1</v>
      </c>
      <c r="I6" s="1">
        <v>0.68</v>
      </c>
      <c r="J6" s="1">
        <v>0.7</v>
      </c>
      <c r="K6" s="1">
        <v>0</v>
      </c>
      <c r="L6" s="1" t="s">
        <v>380</v>
      </c>
      <c r="M6" s="1">
        <v>56632</v>
      </c>
      <c r="N6" s="1">
        <v>0.01</v>
      </c>
      <c r="O6" s="1" t="s">
        <v>384</v>
      </c>
      <c r="P6" s="1">
        <v>0.7</v>
      </c>
      <c r="Q6" s="1">
        <v>0</v>
      </c>
      <c r="R6" s="1">
        <v>33775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>
        <v>11</v>
      </c>
      <c r="C7" s="1">
        <v>0</v>
      </c>
      <c r="D7" s="1">
        <v>76103</v>
      </c>
      <c r="E7" s="1">
        <v>0</v>
      </c>
      <c r="F7" s="1">
        <v>27</v>
      </c>
      <c r="G7" s="1">
        <v>0</v>
      </c>
      <c r="H7" s="1">
        <v>1</v>
      </c>
      <c r="I7" s="1">
        <v>0.543</v>
      </c>
      <c r="J7" s="1">
        <v>0.55</v>
      </c>
      <c r="K7" s="1">
        <v>0</v>
      </c>
      <c r="L7" s="1" t="s">
        <v>380</v>
      </c>
      <c r="M7" s="1">
        <v>46798</v>
      </c>
      <c r="N7" s="1">
        <v>0</v>
      </c>
      <c r="O7" s="1" t="s">
        <v>384</v>
      </c>
      <c r="P7" s="1">
        <v>0.55</v>
      </c>
      <c r="Q7" s="1">
        <v>0</v>
      </c>
      <c r="R7" s="1">
        <v>26569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>
        <v>25</v>
      </c>
      <c r="C8" s="1">
        <v>1</v>
      </c>
      <c r="D8" s="1">
        <v>50540</v>
      </c>
      <c r="E8" s="1">
        <v>0</v>
      </c>
      <c r="F8" s="1">
        <v>23</v>
      </c>
      <c r="G8" s="1">
        <v>0</v>
      </c>
      <c r="H8" s="1">
        <v>1</v>
      </c>
      <c r="I8" s="1">
        <v>0.517</v>
      </c>
      <c r="J8" s="1">
        <v>0.53</v>
      </c>
      <c r="K8" s="1">
        <v>0</v>
      </c>
      <c r="L8" s="1" t="s">
        <v>380</v>
      </c>
      <c r="M8" s="1">
        <v>35402</v>
      </c>
      <c r="N8" s="1">
        <v>0.01</v>
      </c>
      <c r="O8" s="1" t="s">
        <v>384</v>
      </c>
      <c r="P8" s="1">
        <v>0.53</v>
      </c>
      <c r="Q8" s="1">
        <v>0</v>
      </c>
      <c r="R8" s="1">
        <v>18069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>
        <v>30</v>
      </c>
      <c r="C9" s="1">
        <v>0</v>
      </c>
      <c r="D9" s="1">
        <v>134895</v>
      </c>
      <c r="E9" s="1">
        <v>0</v>
      </c>
      <c r="F9" s="1">
        <v>42</v>
      </c>
      <c r="G9" s="1">
        <v>0</v>
      </c>
      <c r="H9" s="1">
        <v>1</v>
      </c>
      <c r="I9" s="1">
        <v>0.72</v>
      </c>
      <c r="J9" s="1">
        <v>0.74</v>
      </c>
      <c r="K9" s="1">
        <v>0</v>
      </c>
      <c r="L9" s="1" t="s">
        <v>380</v>
      </c>
      <c r="M9" s="1">
        <v>75848</v>
      </c>
      <c r="N9" s="1">
        <v>0.01</v>
      </c>
      <c r="O9" s="1" t="s">
        <v>384</v>
      </c>
      <c r="P9" s="1">
        <v>0.74</v>
      </c>
      <c r="Q9" s="1">
        <v>0</v>
      </c>
      <c r="R9" s="1">
        <v>46214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>
        <v>25</v>
      </c>
      <c r="C10" s="1">
        <v>0</v>
      </c>
      <c r="D10" s="1">
        <v>221618</v>
      </c>
      <c r="E10" s="1">
        <v>0</v>
      </c>
      <c r="F10" s="1">
        <v>62</v>
      </c>
      <c r="G10" s="1">
        <v>0</v>
      </c>
      <c r="H10" s="1">
        <v>1</v>
      </c>
      <c r="I10" s="1">
        <v>0.961</v>
      </c>
      <c r="J10" s="1">
        <v>0.99</v>
      </c>
      <c r="K10" s="1">
        <v>0</v>
      </c>
      <c r="L10" s="1" t="s">
        <v>380</v>
      </c>
      <c r="M10" s="1">
        <v>116172</v>
      </c>
      <c r="N10" s="1">
        <v>0.02</v>
      </c>
      <c r="O10" s="1" t="s">
        <v>384</v>
      </c>
      <c r="P10" s="1">
        <v>0.99</v>
      </c>
      <c r="Q10" s="1">
        <v>0</v>
      </c>
      <c r="R10" s="1">
        <v>76414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>
        <v>25</v>
      </c>
      <c r="C11" s="1">
        <v>0</v>
      </c>
      <c r="D11" s="1">
        <v>277270</v>
      </c>
      <c r="E11" s="1">
        <v>0</v>
      </c>
      <c r="F11" s="1">
        <v>72</v>
      </c>
      <c r="G11" s="1">
        <v>0</v>
      </c>
      <c r="H11" s="1">
        <v>1</v>
      </c>
      <c r="I11" s="1">
        <v>1.096</v>
      </c>
      <c r="J11" s="1">
        <v>1.13</v>
      </c>
      <c r="K11" s="1">
        <v>0</v>
      </c>
      <c r="L11" s="1" t="s">
        <v>380</v>
      </c>
      <c r="M11" s="1">
        <v>141435</v>
      </c>
      <c r="N11" s="1">
        <v>0.02</v>
      </c>
      <c r="O11" s="1" t="s">
        <v>384</v>
      </c>
      <c r="P11" s="1">
        <v>1.13</v>
      </c>
      <c r="Q11" s="1">
        <v>0</v>
      </c>
      <c r="R11" s="1">
        <v>95010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>
        <v>46</v>
      </c>
      <c r="C12" s="1">
        <v>0</v>
      </c>
      <c r="D12" s="1">
        <v>122318</v>
      </c>
      <c r="E12" s="1">
        <v>0</v>
      </c>
      <c r="F12" s="1">
        <v>38</v>
      </c>
      <c r="G12" s="1">
        <v>0</v>
      </c>
      <c r="H12" s="1">
        <v>1</v>
      </c>
      <c r="I12" s="1">
        <v>0.696</v>
      </c>
      <c r="J12" s="1">
        <v>0.71</v>
      </c>
      <c r="K12" s="1">
        <v>0</v>
      </c>
      <c r="L12" s="1" t="s">
        <v>380</v>
      </c>
      <c r="M12" s="1">
        <v>71439</v>
      </c>
      <c r="N12" s="1">
        <v>0.02</v>
      </c>
      <c r="O12" s="1" t="s">
        <v>384</v>
      </c>
      <c r="P12" s="1">
        <v>0.71</v>
      </c>
      <c r="Q12" s="1">
        <v>0</v>
      </c>
      <c r="R12" s="1">
        <v>43268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>
        <v>31</v>
      </c>
      <c r="C13" s="1">
        <v>0</v>
      </c>
      <c r="D13" s="1">
        <v>277270</v>
      </c>
      <c r="E13" s="1">
        <v>0</v>
      </c>
      <c r="F13" s="1">
        <v>71</v>
      </c>
      <c r="G13" s="1">
        <v>0</v>
      </c>
      <c r="H13" s="1">
        <v>1</v>
      </c>
      <c r="I13" s="1">
        <v>1.098</v>
      </c>
      <c r="J13" s="1">
        <v>1.13</v>
      </c>
      <c r="K13" s="1">
        <v>0</v>
      </c>
      <c r="L13" s="1" t="s">
        <v>380</v>
      </c>
      <c r="M13" s="1">
        <v>141435</v>
      </c>
      <c r="N13" s="1">
        <v>0.02</v>
      </c>
      <c r="O13" s="1" t="s">
        <v>384</v>
      </c>
      <c r="P13" s="1">
        <v>1.13</v>
      </c>
      <c r="Q13" s="1">
        <v>0</v>
      </c>
      <c r="R13" s="1">
        <v>95010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>
        <v>36</v>
      </c>
      <c r="C14" s="1">
        <v>0</v>
      </c>
      <c r="D14" s="1">
        <v>415589</v>
      </c>
      <c r="E14" s="1">
        <v>0</v>
      </c>
      <c r="F14" s="1">
        <v>100</v>
      </c>
      <c r="G14" s="1">
        <v>0</v>
      </c>
      <c r="H14" s="1">
        <v>1</v>
      </c>
      <c r="I14" s="1">
        <v>1.393</v>
      </c>
      <c r="J14" s="1">
        <v>1.45</v>
      </c>
      <c r="K14" s="1">
        <v>0</v>
      </c>
      <c r="L14" s="1" t="s">
        <v>380</v>
      </c>
      <c r="M14" s="1">
        <v>205389</v>
      </c>
      <c r="N14" s="1">
        <v>0.03</v>
      </c>
      <c r="O14" s="1" t="s">
        <v>384</v>
      </c>
      <c r="P14" s="1">
        <v>1.45</v>
      </c>
      <c r="Q14" s="1">
        <v>0</v>
      </c>
      <c r="R14" s="1">
        <v>140775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>
        <v>43</v>
      </c>
      <c r="C15" s="1">
        <v>0</v>
      </c>
      <c r="D15" s="1">
        <v>386970</v>
      </c>
      <c r="E15" s="1">
        <v>0</v>
      </c>
      <c r="F15" s="1">
        <v>93</v>
      </c>
      <c r="G15" s="1">
        <v>0</v>
      </c>
      <c r="H15" s="1">
        <v>1</v>
      </c>
      <c r="I15" s="1">
        <v>1.392</v>
      </c>
      <c r="J15" s="1">
        <v>1.44</v>
      </c>
      <c r="K15" s="1">
        <v>0</v>
      </c>
      <c r="L15" s="1" t="s">
        <v>380</v>
      </c>
      <c r="M15" s="1">
        <v>192419</v>
      </c>
      <c r="N15" s="1">
        <v>0.04</v>
      </c>
      <c r="O15" s="1" t="s">
        <v>384</v>
      </c>
      <c r="P15" s="1">
        <v>1.44</v>
      </c>
      <c r="Q15" s="1">
        <v>0</v>
      </c>
      <c r="R15" s="1">
        <v>131202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>
        <v>36</v>
      </c>
      <c r="C16" s="1">
        <v>0</v>
      </c>
      <c r="D16" s="1">
        <v>386442</v>
      </c>
      <c r="E16" s="1">
        <v>0</v>
      </c>
      <c r="F16" s="1">
        <v>94</v>
      </c>
      <c r="G16" s="1">
        <v>0</v>
      </c>
      <c r="H16" s="1">
        <v>1</v>
      </c>
      <c r="I16" s="1">
        <v>1.408</v>
      </c>
      <c r="J16" s="1">
        <v>1.46</v>
      </c>
      <c r="K16" s="1">
        <v>0</v>
      </c>
      <c r="L16" s="1" t="s">
        <v>380</v>
      </c>
      <c r="M16" s="1">
        <v>192466</v>
      </c>
      <c r="N16" s="1">
        <v>0.03</v>
      </c>
      <c r="O16" s="1" t="s">
        <v>384</v>
      </c>
      <c r="P16" s="1">
        <v>1.46</v>
      </c>
      <c r="Q16" s="1">
        <v>0</v>
      </c>
      <c r="R16" s="1">
        <v>131147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>
        <v>58</v>
      </c>
      <c r="C17" s="1">
        <v>0</v>
      </c>
      <c r="D17" s="1">
        <v>549472</v>
      </c>
      <c r="E17" s="1">
        <v>0</v>
      </c>
      <c r="F17" s="1">
        <v>132</v>
      </c>
      <c r="G17" s="1">
        <v>0</v>
      </c>
      <c r="H17" s="1">
        <v>1</v>
      </c>
      <c r="I17" s="1">
        <v>1.799</v>
      </c>
      <c r="J17" s="1">
        <v>1.87</v>
      </c>
      <c r="K17" s="1">
        <v>0</v>
      </c>
      <c r="L17" s="1" t="s">
        <v>380</v>
      </c>
      <c r="M17" s="1">
        <v>268005</v>
      </c>
      <c r="N17" s="1">
        <v>0.05</v>
      </c>
      <c r="O17" s="1" t="s">
        <v>384</v>
      </c>
      <c r="P17" s="1">
        <v>1.87</v>
      </c>
      <c r="Q17" s="1">
        <v>0</v>
      </c>
      <c r="R17" s="1">
        <v>187574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>
        <v>58</v>
      </c>
      <c r="C18" s="1">
        <v>0</v>
      </c>
      <c r="D18" s="1">
        <v>549472</v>
      </c>
      <c r="E18" s="1">
        <v>0</v>
      </c>
      <c r="F18" s="1">
        <v>133</v>
      </c>
      <c r="G18" s="1">
        <v>0</v>
      </c>
      <c r="H18" s="1">
        <v>1</v>
      </c>
      <c r="I18" s="1">
        <v>1.846</v>
      </c>
      <c r="J18" s="1">
        <v>1.92</v>
      </c>
      <c r="K18" s="1">
        <v>0</v>
      </c>
      <c r="L18" s="1" t="s">
        <v>380</v>
      </c>
      <c r="M18" s="1">
        <v>268005</v>
      </c>
      <c r="N18" s="1">
        <v>0.05</v>
      </c>
      <c r="O18" s="1" t="s">
        <v>384</v>
      </c>
      <c r="P18" s="1">
        <v>1.92</v>
      </c>
      <c r="Q18" s="1">
        <v>0</v>
      </c>
      <c r="R18" s="1">
        <v>187574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>
        <v>57</v>
      </c>
      <c r="C19" s="1">
        <v>0</v>
      </c>
      <c r="D19" s="1">
        <v>751214</v>
      </c>
      <c r="E19" s="1">
        <v>0</v>
      </c>
      <c r="F19" s="1">
        <v>172</v>
      </c>
      <c r="G19" s="1">
        <v>0</v>
      </c>
      <c r="H19" s="1">
        <v>1</v>
      </c>
      <c r="I19" s="1">
        <v>2.451</v>
      </c>
      <c r="J19" s="1">
        <v>2.56</v>
      </c>
      <c r="K19" s="1">
        <v>0</v>
      </c>
      <c r="L19" s="1" t="s">
        <v>380</v>
      </c>
      <c r="M19" s="1">
        <v>358947</v>
      </c>
      <c r="N19" s="1">
        <v>0.08</v>
      </c>
      <c r="O19" s="1" t="s">
        <v>384</v>
      </c>
      <c r="P19" s="1">
        <v>2.56</v>
      </c>
      <c r="Q19" s="1">
        <v>0</v>
      </c>
      <c r="R19" s="1">
        <v>253964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>
        <v>67</v>
      </c>
      <c r="C20" s="1">
        <v>0</v>
      </c>
      <c r="D20" s="1">
        <v>552040</v>
      </c>
      <c r="E20" s="1">
        <v>0</v>
      </c>
      <c r="F20" s="1">
        <v>135</v>
      </c>
      <c r="G20" s="1">
        <v>0</v>
      </c>
      <c r="H20" s="1">
        <v>1</v>
      </c>
      <c r="I20" s="1">
        <v>1.878</v>
      </c>
      <c r="J20" s="1">
        <v>1.96</v>
      </c>
      <c r="K20" s="1">
        <v>0</v>
      </c>
      <c r="L20" s="1" t="s">
        <v>380</v>
      </c>
      <c r="M20" s="1">
        <v>269028</v>
      </c>
      <c r="N20" s="1">
        <v>0.05</v>
      </c>
      <c r="O20" s="1" t="s">
        <v>384</v>
      </c>
      <c r="P20" s="1">
        <v>1.96</v>
      </c>
      <c r="Q20" s="1">
        <v>0</v>
      </c>
      <c r="R20" s="1">
        <v>188444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>
        <v>67</v>
      </c>
      <c r="C21" s="1">
        <v>0</v>
      </c>
      <c r="D21" s="1">
        <v>552040</v>
      </c>
      <c r="E21" s="1">
        <v>0</v>
      </c>
      <c r="F21" s="1">
        <v>133</v>
      </c>
      <c r="G21" s="1">
        <v>0</v>
      </c>
      <c r="H21" s="1">
        <v>1</v>
      </c>
      <c r="I21" s="1">
        <v>1.883</v>
      </c>
      <c r="J21" s="1">
        <v>1.96</v>
      </c>
      <c r="K21" s="1">
        <v>0</v>
      </c>
      <c r="L21" s="1" t="s">
        <v>380</v>
      </c>
      <c r="M21" s="1">
        <v>269028</v>
      </c>
      <c r="N21" s="1">
        <v>0.05</v>
      </c>
      <c r="O21" s="1" t="s">
        <v>384</v>
      </c>
      <c r="P21" s="1">
        <v>1.96</v>
      </c>
      <c r="Q21" s="1">
        <v>0</v>
      </c>
      <c r="R21" s="1">
        <v>188444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>
        <v>62</v>
      </c>
      <c r="C22" s="1">
        <v>0</v>
      </c>
      <c r="D22" s="1">
        <v>701061</v>
      </c>
      <c r="E22" s="1">
        <v>0</v>
      </c>
      <c r="F22" s="1">
        <v>162</v>
      </c>
      <c r="G22" s="1">
        <v>0</v>
      </c>
      <c r="H22" s="1">
        <v>1</v>
      </c>
      <c r="I22" s="1">
        <v>2.316</v>
      </c>
      <c r="J22" s="1">
        <v>2.42</v>
      </c>
      <c r="K22" s="1">
        <v>0</v>
      </c>
      <c r="L22" s="1" t="s">
        <v>380</v>
      </c>
      <c r="M22" s="1">
        <v>336908</v>
      </c>
      <c r="N22" s="1">
        <v>0.07000000000000001</v>
      </c>
      <c r="O22" s="1" t="s">
        <v>384</v>
      </c>
      <c r="P22" s="1">
        <v>2.42</v>
      </c>
      <c r="Q22" s="1">
        <v>0</v>
      </c>
      <c r="R22" s="1">
        <v>237408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>
        <v>62</v>
      </c>
      <c r="C23" s="1">
        <v>0</v>
      </c>
      <c r="D23" s="1">
        <v>751214</v>
      </c>
      <c r="E23" s="1">
        <v>0</v>
      </c>
      <c r="F23" s="1">
        <v>174</v>
      </c>
      <c r="G23" s="1">
        <v>0</v>
      </c>
      <c r="H23" s="1">
        <v>1</v>
      </c>
      <c r="I23" s="1">
        <v>2.401</v>
      </c>
      <c r="J23" s="1">
        <v>2.51</v>
      </c>
      <c r="K23" s="1">
        <v>0</v>
      </c>
      <c r="L23" s="1" t="s">
        <v>380</v>
      </c>
      <c r="M23" s="1">
        <v>358947</v>
      </c>
      <c r="N23" s="1">
        <v>0.08</v>
      </c>
      <c r="O23" s="1" t="s">
        <v>384</v>
      </c>
      <c r="P23" s="1">
        <v>2.51</v>
      </c>
      <c r="Q23" s="1">
        <v>0</v>
      </c>
      <c r="R23" s="1">
        <v>253964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>
        <v>104</v>
      </c>
      <c r="C24" s="1">
        <v>0</v>
      </c>
      <c r="D24" s="1">
        <v>1179774</v>
      </c>
      <c r="E24" s="1">
        <v>0</v>
      </c>
      <c r="F24" s="1">
        <v>271</v>
      </c>
      <c r="G24" s="1">
        <v>0</v>
      </c>
      <c r="H24" s="1">
        <v>1</v>
      </c>
      <c r="I24" s="1">
        <v>3.739</v>
      </c>
      <c r="J24" s="1">
        <v>3.92</v>
      </c>
      <c r="K24" s="1">
        <v>0</v>
      </c>
      <c r="L24" s="1" t="s">
        <v>380</v>
      </c>
      <c r="M24" s="1">
        <v>554854</v>
      </c>
      <c r="N24" s="1">
        <v>0.13</v>
      </c>
      <c r="O24" s="1" t="s">
        <v>384</v>
      </c>
      <c r="P24" s="1">
        <v>3.92</v>
      </c>
      <c r="Q24" s="1">
        <v>0</v>
      </c>
      <c r="R24" s="1">
        <v>398752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>
        <v>113</v>
      </c>
      <c r="C25" s="1">
        <v>0</v>
      </c>
      <c r="D25" s="1">
        <v>1179774</v>
      </c>
      <c r="E25" s="1">
        <v>0</v>
      </c>
      <c r="F25" s="1">
        <v>272</v>
      </c>
      <c r="G25" s="1">
        <v>0</v>
      </c>
      <c r="H25" s="1">
        <v>1</v>
      </c>
      <c r="I25" s="1">
        <v>3.626</v>
      </c>
      <c r="J25" s="1">
        <v>3.82</v>
      </c>
      <c r="K25" s="1">
        <v>0</v>
      </c>
      <c r="L25" s="1" t="s">
        <v>380</v>
      </c>
      <c r="M25" s="1">
        <v>554854</v>
      </c>
      <c r="N25" s="1">
        <v>0.13</v>
      </c>
      <c r="O25" s="1" t="s">
        <v>384</v>
      </c>
      <c r="P25" s="1">
        <v>3.82</v>
      </c>
      <c r="Q25" s="1">
        <v>0</v>
      </c>
      <c r="R25" s="1">
        <v>398752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>
        <v>74</v>
      </c>
      <c r="C26" s="1">
        <v>0</v>
      </c>
      <c r="D26" s="1">
        <v>912390</v>
      </c>
      <c r="E26" s="1">
        <v>0</v>
      </c>
      <c r="F26" s="1">
        <v>216</v>
      </c>
      <c r="G26" s="1">
        <v>0</v>
      </c>
      <c r="H26" s="1">
        <v>1</v>
      </c>
      <c r="I26" s="1">
        <v>2.895</v>
      </c>
      <c r="J26" s="1">
        <v>3.05</v>
      </c>
      <c r="K26" s="1">
        <v>0</v>
      </c>
      <c r="L26" s="1" t="s">
        <v>380</v>
      </c>
      <c r="M26" s="1">
        <v>435762</v>
      </c>
      <c r="N26" s="1">
        <v>0.09</v>
      </c>
      <c r="O26" s="1" t="s">
        <v>384</v>
      </c>
      <c r="P26" s="1">
        <v>3.05</v>
      </c>
      <c r="Q26" s="1">
        <v>0</v>
      </c>
      <c r="R26" s="1">
        <v>310936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>
        <v>120</v>
      </c>
      <c r="C27" s="1">
        <v>0</v>
      </c>
      <c r="D27" s="1">
        <v>1188207</v>
      </c>
      <c r="E27" s="1">
        <v>0</v>
      </c>
      <c r="F27" s="1">
        <v>268</v>
      </c>
      <c r="G27" s="1">
        <v>0</v>
      </c>
      <c r="H27" s="1">
        <v>1</v>
      </c>
      <c r="I27" s="1">
        <v>3.604</v>
      </c>
      <c r="J27" s="1">
        <v>3.78</v>
      </c>
      <c r="K27" s="1">
        <v>0</v>
      </c>
      <c r="L27" s="1" t="s">
        <v>380</v>
      </c>
      <c r="M27" s="1">
        <v>558392</v>
      </c>
      <c r="N27" s="1">
        <v>0.12</v>
      </c>
      <c r="O27" s="1" t="s">
        <v>384</v>
      </c>
      <c r="P27" s="1">
        <v>3.78</v>
      </c>
      <c r="Q27" s="1">
        <v>0</v>
      </c>
      <c r="R27" s="1">
        <v>401574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>
        <v>86</v>
      </c>
      <c r="C28" s="1">
        <v>0</v>
      </c>
      <c r="D28" s="1">
        <v>1179633</v>
      </c>
      <c r="E28" s="1">
        <v>0</v>
      </c>
      <c r="F28" s="1">
        <v>270</v>
      </c>
      <c r="G28" s="1">
        <v>0</v>
      </c>
      <c r="H28" s="1">
        <v>1</v>
      </c>
      <c r="I28" s="1">
        <v>3.63</v>
      </c>
      <c r="J28" s="1">
        <v>3.81</v>
      </c>
      <c r="K28" s="1">
        <v>0</v>
      </c>
      <c r="L28" s="1" t="s">
        <v>380</v>
      </c>
      <c r="M28" s="1">
        <v>554272</v>
      </c>
      <c r="N28" s="1">
        <v>0.14</v>
      </c>
      <c r="O28" s="1" t="s">
        <v>384</v>
      </c>
      <c r="P28" s="1">
        <v>3.81</v>
      </c>
      <c r="Q28" s="1">
        <v>0</v>
      </c>
      <c r="R28" s="1">
        <v>398482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>
        <v>112</v>
      </c>
      <c r="C29" s="1">
        <v>0</v>
      </c>
      <c r="D29" s="1">
        <v>1179774</v>
      </c>
      <c r="E29" s="1">
        <v>0</v>
      </c>
      <c r="F29" s="1">
        <v>277</v>
      </c>
      <c r="G29" s="1">
        <v>0</v>
      </c>
      <c r="H29" s="1">
        <v>1</v>
      </c>
      <c r="I29" s="1">
        <v>3.668</v>
      </c>
      <c r="J29" s="1">
        <v>3.85</v>
      </c>
      <c r="K29" s="1">
        <v>0</v>
      </c>
      <c r="L29" s="1" t="s">
        <v>380</v>
      </c>
      <c r="M29" s="1">
        <v>554854</v>
      </c>
      <c r="N29" s="1">
        <v>0.14</v>
      </c>
      <c r="O29" s="1" t="s">
        <v>384</v>
      </c>
      <c r="P29" s="1">
        <v>3.85</v>
      </c>
      <c r="Q29" s="1">
        <v>0</v>
      </c>
      <c r="R29" s="1">
        <v>398752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>
        <v>86</v>
      </c>
      <c r="C30" s="1">
        <v>0</v>
      </c>
      <c r="D30" s="1">
        <v>1179633</v>
      </c>
      <c r="E30" s="1">
        <v>0</v>
      </c>
      <c r="F30" s="1">
        <v>270</v>
      </c>
      <c r="G30" s="1">
        <v>0</v>
      </c>
      <c r="H30" s="1">
        <v>1</v>
      </c>
      <c r="I30" s="1">
        <v>3.612</v>
      </c>
      <c r="J30" s="1">
        <v>3.79</v>
      </c>
      <c r="K30" s="1">
        <v>0</v>
      </c>
      <c r="L30" s="1" t="s">
        <v>380</v>
      </c>
      <c r="M30" s="1">
        <v>554272</v>
      </c>
      <c r="N30" s="1">
        <v>0.14</v>
      </c>
      <c r="O30" s="1" t="s">
        <v>384</v>
      </c>
      <c r="P30" s="1">
        <v>3.79</v>
      </c>
      <c r="Q30" s="1">
        <v>0</v>
      </c>
      <c r="R30" s="1">
        <v>398482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>
        <v>92</v>
      </c>
      <c r="C31" s="1">
        <v>0</v>
      </c>
      <c r="D31" s="1">
        <v>1696341</v>
      </c>
      <c r="E31" s="1">
        <v>0</v>
      </c>
      <c r="F31" s="1">
        <v>386</v>
      </c>
      <c r="G31" s="1">
        <v>0</v>
      </c>
      <c r="H31" s="1">
        <v>1</v>
      </c>
      <c r="I31" s="1">
        <v>5.151</v>
      </c>
      <c r="J31" s="1">
        <v>5.41</v>
      </c>
      <c r="K31" s="1">
        <v>0</v>
      </c>
      <c r="L31" s="1" t="s">
        <v>380</v>
      </c>
      <c r="M31" s="1">
        <v>790343</v>
      </c>
      <c r="N31" s="1">
        <v>0.2</v>
      </c>
      <c r="O31" s="1" t="s">
        <v>384</v>
      </c>
      <c r="P31" s="1">
        <v>5.41</v>
      </c>
      <c r="Q31" s="1">
        <v>0</v>
      </c>
      <c r="R31" s="1">
        <v>573198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>
        <v>130</v>
      </c>
      <c r="C32" s="1">
        <v>0</v>
      </c>
      <c r="D32" s="1">
        <v>1367102</v>
      </c>
      <c r="E32" s="1">
        <v>0</v>
      </c>
      <c r="F32" s="1">
        <v>322</v>
      </c>
      <c r="G32" s="1">
        <v>0</v>
      </c>
      <c r="H32" s="1">
        <v>1</v>
      </c>
      <c r="I32" s="1">
        <v>4.166</v>
      </c>
      <c r="J32" s="1">
        <v>4.38</v>
      </c>
      <c r="K32" s="1">
        <v>0</v>
      </c>
      <c r="L32" s="1" t="s">
        <v>380</v>
      </c>
      <c r="M32" s="1">
        <v>645036</v>
      </c>
      <c r="N32" s="1">
        <v>0.14</v>
      </c>
      <c r="O32" s="1" t="s">
        <v>384</v>
      </c>
      <c r="P32" s="1">
        <v>4.38</v>
      </c>
      <c r="Q32" s="1">
        <v>0</v>
      </c>
      <c r="R32" s="1">
        <v>465377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>
        <v>157</v>
      </c>
      <c r="C33" s="1">
        <v>0</v>
      </c>
      <c r="D33" s="1">
        <v>1700128</v>
      </c>
      <c r="E33" s="1">
        <v>0</v>
      </c>
      <c r="F33" s="1">
        <v>377</v>
      </c>
      <c r="G33" s="1">
        <v>0</v>
      </c>
      <c r="H33" s="1">
        <v>1</v>
      </c>
      <c r="I33" s="1">
        <v>5.301</v>
      </c>
      <c r="J33" s="1">
        <v>5.57</v>
      </c>
      <c r="K33" s="1">
        <v>0</v>
      </c>
      <c r="L33" s="1" t="s">
        <v>380</v>
      </c>
      <c r="M33" s="1">
        <v>792278</v>
      </c>
      <c r="N33" s="1">
        <v>0.21</v>
      </c>
      <c r="O33" s="1" t="s">
        <v>384</v>
      </c>
      <c r="P33" s="1">
        <v>5.57</v>
      </c>
      <c r="Q33" s="1">
        <v>0</v>
      </c>
      <c r="R33" s="1">
        <v>574619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>
        <v>92</v>
      </c>
      <c r="C34" s="1">
        <v>0</v>
      </c>
      <c r="D34" s="1">
        <v>1696341</v>
      </c>
      <c r="E34" s="1">
        <v>0</v>
      </c>
      <c r="F34" s="1">
        <v>375</v>
      </c>
      <c r="G34" s="1">
        <v>0</v>
      </c>
      <c r="H34" s="1">
        <v>1</v>
      </c>
      <c r="I34" s="1">
        <v>5.193</v>
      </c>
      <c r="J34" s="1">
        <v>5.45</v>
      </c>
      <c r="K34" s="1">
        <v>0</v>
      </c>
      <c r="L34" s="1" t="s">
        <v>380</v>
      </c>
      <c r="M34" s="1">
        <v>790343</v>
      </c>
      <c r="N34" s="1">
        <v>0.21</v>
      </c>
      <c r="O34" s="1" t="s">
        <v>384</v>
      </c>
      <c r="P34" s="1">
        <v>5.45</v>
      </c>
      <c r="Q34" s="1">
        <v>0</v>
      </c>
      <c r="R34" s="1">
        <v>573198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>
        <v>167</v>
      </c>
      <c r="C35" s="1">
        <v>0</v>
      </c>
      <c r="D35" s="1">
        <v>1700128</v>
      </c>
      <c r="E35" s="1">
        <v>0</v>
      </c>
      <c r="F35" s="1">
        <v>376</v>
      </c>
      <c r="G35" s="1">
        <v>0</v>
      </c>
      <c r="H35" s="1">
        <v>1</v>
      </c>
      <c r="I35" s="1">
        <v>5.198</v>
      </c>
      <c r="J35" s="1">
        <v>5.47</v>
      </c>
      <c r="K35" s="1">
        <v>0</v>
      </c>
      <c r="L35" s="1" t="s">
        <v>380</v>
      </c>
      <c r="M35" s="1">
        <v>792278</v>
      </c>
      <c r="N35" s="1">
        <v>0.21</v>
      </c>
      <c r="O35" s="1" t="s">
        <v>384</v>
      </c>
      <c r="P35" s="1">
        <v>5.47</v>
      </c>
      <c r="Q35" s="1">
        <v>0</v>
      </c>
      <c r="R35" s="1">
        <v>574619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>
        <v>93</v>
      </c>
      <c r="C36" s="1">
        <v>0</v>
      </c>
      <c r="D36" s="1">
        <v>1696341</v>
      </c>
      <c r="E36" s="1">
        <v>0</v>
      </c>
      <c r="F36" s="1">
        <v>376</v>
      </c>
      <c r="G36" s="1">
        <v>0</v>
      </c>
      <c r="H36" s="1">
        <v>1</v>
      </c>
      <c r="I36" s="1">
        <v>5.19</v>
      </c>
      <c r="J36" s="1">
        <v>5.46</v>
      </c>
      <c r="K36" s="1">
        <v>0</v>
      </c>
      <c r="L36" s="1" t="s">
        <v>380</v>
      </c>
      <c r="M36" s="1">
        <v>790343</v>
      </c>
      <c r="N36" s="1">
        <v>0.21</v>
      </c>
      <c r="O36" s="1" t="s">
        <v>384</v>
      </c>
      <c r="P36" s="1">
        <v>5.46</v>
      </c>
      <c r="Q36" s="1">
        <v>0</v>
      </c>
      <c r="R36" s="1">
        <v>573198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>
        <v>93</v>
      </c>
      <c r="C37" s="1">
        <v>0</v>
      </c>
      <c r="D37" s="1">
        <v>1696341</v>
      </c>
      <c r="E37" s="1">
        <v>0</v>
      </c>
      <c r="F37" s="1">
        <v>375</v>
      </c>
      <c r="G37" s="1">
        <v>0</v>
      </c>
      <c r="H37" s="1">
        <v>1</v>
      </c>
      <c r="I37" s="1">
        <v>5.177</v>
      </c>
      <c r="J37" s="1">
        <v>5.44</v>
      </c>
      <c r="K37" s="1">
        <v>0</v>
      </c>
      <c r="L37" s="1" t="s">
        <v>380</v>
      </c>
      <c r="M37" s="1">
        <v>790343</v>
      </c>
      <c r="N37" s="1">
        <v>0.21</v>
      </c>
      <c r="O37" s="1" t="s">
        <v>384</v>
      </c>
      <c r="P37" s="1">
        <v>5.44</v>
      </c>
      <c r="Q37" s="1">
        <v>0</v>
      </c>
      <c r="R37" s="1">
        <v>573198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>
        <v>179</v>
      </c>
      <c r="C38" s="1">
        <v>0</v>
      </c>
      <c r="D38" s="1">
        <v>2304843</v>
      </c>
      <c r="E38" s="1">
        <v>0</v>
      </c>
      <c r="F38" s="1">
        <v>519</v>
      </c>
      <c r="G38" s="1">
        <v>0</v>
      </c>
      <c r="H38" s="1">
        <v>1</v>
      </c>
      <c r="I38" s="1">
        <v>6.954</v>
      </c>
      <c r="J38" s="1">
        <v>7.38</v>
      </c>
      <c r="K38" s="1">
        <v>0</v>
      </c>
      <c r="L38" s="1" t="s">
        <v>380</v>
      </c>
      <c r="M38" s="1">
        <v>1067931</v>
      </c>
      <c r="N38" s="1">
        <v>0.29</v>
      </c>
      <c r="O38" s="1" t="s">
        <v>384</v>
      </c>
      <c r="P38" s="1">
        <v>7.38</v>
      </c>
      <c r="Q38" s="1">
        <v>0</v>
      </c>
      <c r="R38" s="1">
        <v>778993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>
        <v>36</v>
      </c>
      <c r="C39" s="1">
        <v>0</v>
      </c>
      <c r="D39" s="1">
        <v>696303</v>
      </c>
      <c r="E39" s="1">
        <v>0</v>
      </c>
      <c r="F39" s="1">
        <v>118</v>
      </c>
      <c r="G39" s="1">
        <v>0</v>
      </c>
      <c r="H39" s="1">
        <v>1</v>
      </c>
      <c r="I39" s="1">
        <v>1.536</v>
      </c>
      <c r="J39" s="1">
        <v>1.58</v>
      </c>
      <c r="K39" s="1">
        <v>0</v>
      </c>
      <c r="L39" s="1" t="s">
        <v>380</v>
      </c>
      <c r="M39" s="1">
        <v>269758</v>
      </c>
      <c r="N39" s="1">
        <v>0.04</v>
      </c>
      <c r="O39" s="1" t="s">
        <v>384</v>
      </c>
      <c r="P39" s="1">
        <v>1.58</v>
      </c>
      <c r="Q39" s="1">
        <v>0</v>
      </c>
      <c r="R39" s="1">
        <v>200578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>
        <v>281</v>
      </c>
      <c r="C40" s="1">
        <v>4</v>
      </c>
      <c r="D40" s="1">
        <v>790054</v>
      </c>
      <c r="E40" s="1">
        <v>0</v>
      </c>
      <c r="F40" s="1">
        <v>135</v>
      </c>
      <c r="G40" s="1">
        <v>0</v>
      </c>
      <c r="H40" s="1">
        <v>1</v>
      </c>
      <c r="I40" s="1">
        <v>1.993</v>
      </c>
      <c r="J40" s="1">
        <v>2.06</v>
      </c>
      <c r="K40" s="1">
        <v>0</v>
      </c>
      <c r="L40" s="1" t="s">
        <v>380</v>
      </c>
      <c r="M40" s="1">
        <v>314377</v>
      </c>
      <c r="N40" s="1">
        <v>0.08</v>
      </c>
      <c r="O40" s="1" t="s">
        <v>384</v>
      </c>
      <c r="P40" s="1">
        <v>2.06</v>
      </c>
      <c r="Q40" s="1">
        <v>0</v>
      </c>
      <c r="R40" s="1">
        <v>229947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>
        <v>171</v>
      </c>
      <c r="C41" s="1">
        <v>2</v>
      </c>
      <c r="D41" s="1">
        <v>888606</v>
      </c>
      <c r="E41" s="1">
        <v>0</v>
      </c>
      <c r="F41" s="1">
        <v>145</v>
      </c>
      <c r="G41" s="1">
        <v>0</v>
      </c>
      <c r="H41" s="1">
        <v>1</v>
      </c>
      <c r="I41" s="1">
        <v>1.812</v>
      </c>
      <c r="J41" s="1">
        <v>1.87</v>
      </c>
      <c r="K41" s="1">
        <v>0</v>
      </c>
      <c r="L41" s="1" t="s">
        <v>380</v>
      </c>
      <c r="M41" s="1">
        <v>339472</v>
      </c>
      <c r="N41" s="1">
        <v>0.06</v>
      </c>
      <c r="O41" s="1" t="s">
        <v>384</v>
      </c>
      <c r="P41" s="1">
        <v>1.87</v>
      </c>
      <c r="Q41" s="1">
        <v>0</v>
      </c>
      <c r="R41" s="1">
        <v>255142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>
        <v>299</v>
      </c>
      <c r="C42" s="1">
        <v>5</v>
      </c>
      <c r="D42" s="1">
        <v>612648</v>
      </c>
      <c r="E42" s="1">
        <v>0</v>
      </c>
      <c r="F42" s="1">
        <v>111</v>
      </c>
      <c r="G42" s="1">
        <v>0</v>
      </c>
      <c r="H42" s="1">
        <v>1</v>
      </c>
      <c r="I42" s="1">
        <v>1.696</v>
      </c>
      <c r="J42" s="1">
        <v>1.75</v>
      </c>
      <c r="K42" s="1">
        <v>0</v>
      </c>
      <c r="L42" s="1" t="s">
        <v>380</v>
      </c>
      <c r="M42" s="1">
        <v>265584</v>
      </c>
      <c r="N42" s="1">
        <v>0.07000000000000001</v>
      </c>
      <c r="O42" s="1" t="s">
        <v>384</v>
      </c>
      <c r="P42" s="1">
        <v>1.75</v>
      </c>
      <c r="Q42" s="1">
        <v>0</v>
      </c>
      <c r="R42" s="1">
        <v>180784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>
        <v>295</v>
      </c>
      <c r="C43" s="1">
        <v>6</v>
      </c>
      <c r="D43" s="1">
        <v>309872</v>
      </c>
      <c r="E43" s="1">
        <v>0</v>
      </c>
      <c r="F43" s="1">
        <v>65</v>
      </c>
      <c r="G43" s="1">
        <v>0</v>
      </c>
      <c r="H43" s="1">
        <v>1</v>
      </c>
      <c r="I43" s="1">
        <v>1.077</v>
      </c>
      <c r="J43" s="1">
        <v>1.11</v>
      </c>
      <c r="K43" s="1">
        <v>0</v>
      </c>
      <c r="L43" s="1" t="s">
        <v>380</v>
      </c>
      <c r="M43" s="1">
        <v>144649</v>
      </c>
      <c r="N43" s="1">
        <v>0.04</v>
      </c>
      <c r="O43" s="1" t="s">
        <v>384</v>
      </c>
      <c r="P43" s="1">
        <v>1.11</v>
      </c>
      <c r="Q43" s="1">
        <v>0</v>
      </c>
      <c r="R43" s="1">
        <v>94839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>
        <v>67</v>
      </c>
      <c r="C44" s="1">
        <v>0</v>
      </c>
      <c r="D44" s="1">
        <v>1113122</v>
      </c>
      <c r="E44" s="1">
        <v>0</v>
      </c>
      <c r="F44" s="1">
        <v>179</v>
      </c>
      <c r="G44" s="1">
        <v>0</v>
      </c>
      <c r="H44" s="1">
        <v>1</v>
      </c>
      <c r="I44" s="1">
        <v>2.432</v>
      </c>
      <c r="J44" s="1">
        <v>2.51</v>
      </c>
      <c r="K44" s="1">
        <v>0</v>
      </c>
      <c r="L44" s="1" t="s">
        <v>380</v>
      </c>
      <c r="M44" s="1">
        <v>412458</v>
      </c>
      <c r="N44" s="1">
        <v>0.06</v>
      </c>
      <c r="O44" s="1" t="s">
        <v>384</v>
      </c>
      <c r="P44" s="1">
        <v>2.51</v>
      </c>
      <c r="Q44" s="1">
        <v>0</v>
      </c>
      <c r="R44" s="1">
        <v>316731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>
        <v>123</v>
      </c>
      <c r="C45" s="1">
        <v>0</v>
      </c>
      <c r="D45" s="1">
        <v>797547</v>
      </c>
      <c r="E45" s="1">
        <v>0</v>
      </c>
      <c r="F45" s="1">
        <v>135</v>
      </c>
      <c r="G45" s="1">
        <v>0</v>
      </c>
      <c r="H45" s="1">
        <v>1</v>
      </c>
      <c r="I45" s="1">
        <v>1.671</v>
      </c>
      <c r="J45" s="1">
        <v>1.73</v>
      </c>
      <c r="K45" s="1">
        <v>0</v>
      </c>
      <c r="L45" s="1" t="s">
        <v>380</v>
      </c>
      <c r="M45" s="1">
        <v>329380</v>
      </c>
      <c r="N45" s="1">
        <v>0.05</v>
      </c>
      <c r="O45" s="1" t="s">
        <v>384</v>
      </c>
      <c r="P45" s="1">
        <v>1.73</v>
      </c>
      <c r="Q45" s="1">
        <v>0</v>
      </c>
      <c r="R45" s="1">
        <v>232187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>
        <v>464</v>
      </c>
      <c r="C46" s="1">
        <v>8</v>
      </c>
      <c r="D46" s="1">
        <v>2987826</v>
      </c>
      <c r="E46" s="1">
        <v>0</v>
      </c>
      <c r="F46" s="1">
        <v>446</v>
      </c>
      <c r="G46" s="1">
        <v>0</v>
      </c>
      <c r="H46" s="1">
        <v>1</v>
      </c>
      <c r="I46" s="1">
        <v>5.82</v>
      </c>
      <c r="J46" s="1">
        <v>6.01</v>
      </c>
      <c r="K46" s="1">
        <v>0</v>
      </c>
      <c r="L46" s="1" t="s">
        <v>380</v>
      </c>
      <c r="M46" s="1">
        <v>1031197</v>
      </c>
      <c r="N46" s="1">
        <v>0.3</v>
      </c>
      <c r="O46" s="1" t="s">
        <v>384</v>
      </c>
      <c r="P46" s="1">
        <v>6.01</v>
      </c>
      <c r="Q46" s="1">
        <v>0</v>
      </c>
      <c r="R46" s="1">
        <v>840843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>
        <v>270</v>
      </c>
      <c r="C47" s="1">
        <v>7</v>
      </c>
      <c r="D47" s="1">
        <v>2104904</v>
      </c>
      <c r="E47" s="1">
        <v>0</v>
      </c>
      <c r="F47" s="1">
        <v>333</v>
      </c>
      <c r="G47" s="1">
        <v>0</v>
      </c>
      <c r="H47" s="1">
        <v>1</v>
      </c>
      <c r="I47" s="1">
        <v>4.004</v>
      </c>
      <c r="J47" s="1">
        <v>4.15</v>
      </c>
      <c r="K47" s="1">
        <v>0</v>
      </c>
      <c r="L47" s="1" t="s">
        <v>380</v>
      </c>
      <c r="M47" s="1">
        <v>810122</v>
      </c>
      <c r="N47" s="1">
        <v>0.17</v>
      </c>
      <c r="O47" s="1" t="s">
        <v>384</v>
      </c>
      <c r="P47" s="1">
        <v>4.15</v>
      </c>
      <c r="Q47" s="1">
        <v>0</v>
      </c>
      <c r="R47" s="1">
        <v>604032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>
        <v>117</v>
      </c>
      <c r="C48" s="1">
        <v>0</v>
      </c>
      <c r="D48" s="1">
        <v>1577414</v>
      </c>
      <c r="E48" s="1">
        <v>0</v>
      </c>
      <c r="F48" s="1">
        <v>247</v>
      </c>
      <c r="G48" s="1">
        <v>0</v>
      </c>
      <c r="H48" s="1">
        <v>1</v>
      </c>
      <c r="I48" s="1">
        <v>2.99</v>
      </c>
      <c r="J48" s="1">
        <v>3.1</v>
      </c>
      <c r="K48" s="1">
        <v>0</v>
      </c>
      <c r="L48" s="1" t="s">
        <v>380</v>
      </c>
      <c r="M48" s="1">
        <v>584080</v>
      </c>
      <c r="N48" s="1">
        <v>0.1</v>
      </c>
      <c r="O48" s="1" t="s">
        <v>384</v>
      </c>
      <c r="P48" s="1">
        <v>3.1</v>
      </c>
      <c r="Q48" s="1">
        <v>0</v>
      </c>
      <c r="R48" s="1">
        <v>455368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>
        <v>317</v>
      </c>
      <c r="C49" s="1">
        <v>2</v>
      </c>
      <c r="D49" s="1">
        <v>2145128</v>
      </c>
      <c r="E49" s="1">
        <v>0</v>
      </c>
      <c r="F49" s="1">
        <v>325</v>
      </c>
      <c r="G49" s="1">
        <v>0</v>
      </c>
      <c r="H49" s="1">
        <v>1</v>
      </c>
      <c r="I49" s="1">
        <v>4.578</v>
      </c>
      <c r="J49" s="1">
        <v>4.73</v>
      </c>
      <c r="K49" s="1">
        <v>0</v>
      </c>
      <c r="L49" s="1" t="s">
        <v>380</v>
      </c>
      <c r="M49" s="1">
        <v>775277</v>
      </c>
      <c r="N49" s="1">
        <v>0.18</v>
      </c>
      <c r="O49" s="1" t="s">
        <v>384</v>
      </c>
      <c r="P49" s="1">
        <v>4.73</v>
      </c>
      <c r="Q49" s="1">
        <v>0</v>
      </c>
      <c r="R49" s="1">
        <v>613922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>
        <v>342</v>
      </c>
      <c r="C50" s="1">
        <v>6</v>
      </c>
      <c r="D50" s="1">
        <v>1654579</v>
      </c>
      <c r="E50" s="1">
        <v>0</v>
      </c>
      <c r="F50" s="1">
        <v>270</v>
      </c>
      <c r="G50" s="1">
        <v>0</v>
      </c>
      <c r="H50" s="1">
        <v>1</v>
      </c>
      <c r="I50" s="1">
        <v>3.368</v>
      </c>
      <c r="J50" s="1">
        <v>3.5</v>
      </c>
      <c r="K50" s="1">
        <v>0</v>
      </c>
      <c r="L50" s="1" t="s">
        <v>380</v>
      </c>
      <c r="M50" s="1">
        <v>649495</v>
      </c>
      <c r="N50" s="1">
        <v>0.21</v>
      </c>
      <c r="O50" s="1" t="s">
        <v>384</v>
      </c>
      <c r="P50" s="1">
        <v>3.5</v>
      </c>
      <c r="Q50" s="1">
        <v>0</v>
      </c>
      <c r="R50" s="1">
        <v>482492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>
        <v>136</v>
      </c>
      <c r="C51" s="1">
        <v>2</v>
      </c>
      <c r="D51" s="1">
        <v>3044876</v>
      </c>
      <c r="E51" s="1">
        <v>0</v>
      </c>
      <c r="F51" s="1">
        <v>450</v>
      </c>
      <c r="G51" s="1">
        <v>0</v>
      </c>
      <c r="H51" s="1">
        <v>1</v>
      </c>
      <c r="I51" s="1">
        <v>5.323</v>
      </c>
      <c r="J51" s="1">
        <v>5.51</v>
      </c>
      <c r="K51" s="1">
        <v>0</v>
      </c>
      <c r="L51" s="1" t="s">
        <v>380</v>
      </c>
      <c r="M51" s="1">
        <v>1072626</v>
      </c>
      <c r="N51" s="1">
        <v>0.17</v>
      </c>
      <c r="O51" s="1" t="s">
        <v>384</v>
      </c>
      <c r="P51" s="1">
        <v>5.51</v>
      </c>
      <c r="Q51" s="1">
        <v>0</v>
      </c>
      <c r="R51" s="1">
        <v>856973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>
        <v>125</v>
      </c>
      <c r="C52" s="1">
        <v>2</v>
      </c>
      <c r="D52" s="1">
        <v>2660996</v>
      </c>
      <c r="E52" s="1">
        <v>0</v>
      </c>
      <c r="F52" s="1">
        <v>395</v>
      </c>
      <c r="G52" s="1">
        <v>0</v>
      </c>
      <c r="H52" s="1">
        <v>1</v>
      </c>
      <c r="I52" s="1">
        <v>5.448</v>
      </c>
      <c r="J52" s="1">
        <v>5.65</v>
      </c>
      <c r="K52" s="1">
        <v>0</v>
      </c>
      <c r="L52" s="1" t="s">
        <v>380</v>
      </c>
      <c r="M52" s="1">
        <v>960517</v>
      </c>
      <c r="N52" s="1">
        <v>0.17</v>
      </c>
      <c r="O52" s="1" t="s">
        <v>384</v>
      </c>
      <c r="P52" s="1">
        <v>5.65</v>
      </c>
      <c r="Q52" s="1">
        <v>0</v>
      </c>
      <c r="R52" s="1">
        <v>755560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>
        <v>480</v>
      </c>
      <c r="C53" s="1">
        <v>4</v>
      </c>
      <c r="D53" s="1">
        <v>6130238</v>
      </c>
      <c r="E53" s="1">
        <v>0</v>
      </c>
      <c r="F53" s="1">
        <v>879</v>
      </c>
      <c r="G53" s="1">
        <v>0</v>
      </c>
      <c r="H53" s="1">
        <v>1</v>
      </c>
      <c r="I53" s="1">
        <v>12.508</v>
      </c>
      <c r="J53" s="1">
        <v>12.97</v>
      </c>
      <c r="K53" s="1">
        <v>0</v>
      </c>
      <c r="L53" s="1" t="s">
        <v>380</v>
      </c>
      <c r="M53" s="1">
        <v>2073864</v>
      </c>
      <c r="N53" s="1">
        <v>0.54</v>
      </c>
      <c r="O53" s="1" t="s">
        <v>384</v>
      </c>
      <c r="P53" s="1">
        <v>12.97</v>
      </c>
      <c r="Q53" s="1">
        <v>0</v>
      </c>
      <c r="R53" s="1">
        <v>1711902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>
        <v>934</v>
      </c>
      <c r="C54" s="1">
        <v>11</v>
      </c>
      <c r="D54" s="1">
        <v>5296546</v>
      </c>
      <c r="E54" s="1">
        <v>0</v>
      </c>
      <c r="F54" s="1">
        <v>763</v>
      </c>
      <c r="G54" s="1">
        <v>0</v>
      </c>
      <c r="H54" s="1">
        <v>1</v>
      </c>
      <c r="I54" s="1">
        <v>9.413</v>
      </c>
      <c r="J54" s="1">
        <v>9.800000000000001</v>
      </c>
      <c r="K54" s="1">
        <v>0</v>
      </c>
      <c r="L54" s="1" t="s">
        <v>380</v>
      </c>
      <c r="M54" s="1">
        <v>1848423</v>
      </c>
      <c r="N54" s="1">
        <v>0.53</v>
      </c>
      <c r="O54" s="1" t="s">
        <v>384</v>
      </c>
      <c r="P54" s="1">
        <v>9.800000000000001</v>
      </c>
      <c r="Q54" s="1">
        <v>0</v>
      </c>
      <c r="R54" s="1">
        <v>1494138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>
        <v>689</v>
      </c>
      <c r="C55" s="1">
        <v>8</v>
      </c>
      <c r="D55" s="1">
        <v>4773355</v>
      </c>
      <c r="E55" s="1">
        <v>0</v>
      </c>
      <c r="F55" s="1">
        <v>723</v>
      </c>
      <c r="G55" s="1">
        <v>0</v>
      </c>
      <c r="H55" s="1">
        <v>1</v>
      </c>
      <c r="I55" s="1">
        <v>8.824999999999999</v>
      </c>
      <c r="J55" s="1">
        <v>9.19</v>
      </c>
      <c r="K55" s="1">
        <v>0</v>
      </c>
      <c r="L55" s="1" t="s">
        <v>380</v>
      </c>
      <c r="M55" s="1">
        <v>1690887</v>
      </c>
      <c r="N55" s="1">
        <v>0.57</v>
      </c>
      <c r="O55" s="1" t="s">
        <v>384</v>
      </c>
      <c r="P55" s="1">
        <v>9.19</v>
      </c>
      <c r="Q55" s="1">
        <v>0</v>
      </c>
      <c r="R55" s="1">
        <v>1355252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>
        <v>2868</v>
      </c>
      <c r="C56" s="1">
        <v>17</v>
      </c>
      <c r="D56" s="1">
        <v>3798706</v>
      </c>
      <c r="E56" s="1">
        <v>0</v>
      </c>
      <c r="F56" s="1">
        <v>584</v>
      </c>
      <c r="G56" s="1">
        <v>0</v>
      </c>
      <c r="H56" s="1">
        <v>1</v>
      </c>
      <c r="I56" s="1">
        <v>8.459</v>
      </c>
      <c r="J56" s="1">
        <v>8.779999999999999</v>
      </c>
      <c r="K56" s="1">
        <v>0</v>
      </c>
      <c r="L56" s="1" t="s">
        <v>380</v>
      </c>
      <c r="M56" s="1">
        <v>1415655</v>
      </c>
      <c r="N56" s="1">
        <v>0.58</v>
      </c>
      <c r="O56" s="1" t="s">
        <v>384</v>
      </c>
      <c r="P56" s="1">
        <v>8.779999999999999</v>
      </c>
      <c r="Q56" s="1">
        <v>0</v>
      </c>
      <c r="R56" s="1">
        <v>1089992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>
        <v>416</v>
      </c>
      <c r="C57" s="1">
        <v>4</v>
      </c>
      <c r="D57" s="1">
        <v>5542218</v>
      </c>
      <c r="E57" s="1">
        <v>0</v>
      </c>
      <c r="F57" s="1">
        <v>792</v>
      </c>
      <c r="G57" s="1">
        <v>0</v>
      </c>
      <c r="H57" s="1">
        <v>1</v>
      </c>
      <c r="I57" s="1">
        <v>11.634</v>
      </c>
      <c r="J57" s="1">
        <v>12.09</v>
      </c>
      <c r="K57" s="1">
        <v>0</v>
      </c>
      <c r="L57" s="1" t="s">
        <v>380</v>
      </c>
      <c r="M57" s="1">
        <v>1924910</v>
      </c>
      <c r="N57" s="1">
        <v>0.45</v>
      </c>
      <c r="O57" s="1" t="s">
        <v>384</v>
      </c>
      <c r="P57" s="1">
        <v>12.09</v>
      </c>
      <c r="Q57" s="1">
        <v>0</v>
      </c>
      <c r="R57" s="1">
        <v>1560889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>
        <v>326</v>
      </c>
      <c r="C58" s="1">
        <v>10</v>
      </c>
      <c r="D58" s="1">
        <v>5842231</v>
      </c>
      <c r="E58" s="1">
        <v>0</v>
      </c>
      <c r="F58" s="1">
        <v>842</v>
      </c>
      <c r="G58" s="1">
        <v>0</v>
      </c>
      <c r="H58" s="1">
        <v>1</v>
      </c>
      <c r="I58" s="1">
        <v>11.689</v>
      </c>
      <c r="J58" s="1">
        <v>12.16</v>
      </c>
      <c r="K58" s="1">
        <v>0</v>
      </c>
      <c r="L58" s="1" t="s">
        <v>380</v>
      </c>
      <c r="M58" s="1">
        <v>2034045</v>
      </c>
      <c r="N58" s="1">
        <v>0.5</v>
      </c>
      <c r="O58" s="1" t="s">
        <v>384</v>
      </c>
      <c r="P58" s="1">
        <v>12.16</v>
      </c>
      <c r="Q58" s="1">
        <v>0</v>
      </c>
      <c r="R58" s="1">
        <v>1639200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>
        <v>652</v>
      </c>
      <c r="C59" s="1">
        <v>6</v>
      </c>
      <c r="D59" s="1">
        <v>5038044</v>
      </c>
      <c r="E59" s="1">
        <v>0</v>
      </c>
      <c r="F59" s="1">
        <v>744</v>
      </c>
      <c r="G59" s="1">
        <v>0</v>
      </c>
      <c r="H59" s="1">
        <v>1</v>
      </c>
      <c r="I59" s="1">
        <v>10.673</v>
      </c>
      <c r="J59" s="1">
        <v>11.11</v>
      </c>
      <c r="K59" s="1">
        <v>0</v>
      </c>
      <c r="L59" s="1" t="s">
        <v>380</v>
      </c>
      <c r="M59" s="1">
        <v>1811748</v>
      </c>
      <c r="N59" s="1">
        <v>0.6</v>
      </c>
      <c r="O59" s="1" t="s">
        <v>384</v>
      </c>
      <c r="P59" s="1">
        <v>11.11</v>
      </c>
      <c r="Q59" s="1">
        <v>0</v>
      </c>
      <c r="R59" s="1">
        <v>1428134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>
        <v>376</v>
      </c>
      <c r="C60" s="1">
        <v>4</v>
      </c>
      <c r="D60" s="1">
        <v>9676330</v>
      </c>
      <c r="E60" s="1">
        <v>0</v>
      </c>
      <c r="F60" s="1">
        <v>1369</v>
      </c>
      <c r="G60" s="1">
        <v>0</v>
      </c>
      <c r="H60" s="1">
        <v>1</v>
      </c>
      <c r="I60" s="1">
        <v>18.496</v>
      </c>
      <c r="J60" s="1">
        <v>19.09</v>
      </c>
      <c r="K60" s="1">
        <v>0</v>
      </c>
      <c r="L60" s="1" t="s">
        <v>380</v>
      </c>
      <c r="M60" s="1">
        <v>3306487</v>
      </c>
      <c r="N60" s="1">
        <v>0.65</v>
      </c>
      <c r="O60" s="1" t="s">
        <v>384</v>
      </c>
      <c r="P60" s="1">
        <v>19.09</v>
      </c>
      <c r="Q60" s="1">
        <v>0</v>
      </c>
      <c r="R60" s="1">
        <v>2708041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>
        <v>400</v>
      </c>
      <c r="C61" s="1">
        <v>5</v>
      </c>
      <c r="D61" s="1">
        <v>9538968</v>
      </c>
      <c r="E61" s="1">
        <v>0</v>
      </c>
      <c r="F61" s="1">
        <v>1361</v>
      </c>
      <c r="G61" s="1">
        <v>0</v>
      </c>
      <c r="H61" s="1">
        <v>1</v>
      </c>
      <c r="I61" s="1">
        <v>16.839</v>
      </c>
      <c r="J61" s="1">
        <v>17.43</v>
      </c>
      <c r="K61" s="1">
        <v>0</v>
      </c>
      <c r="L61" s="1" t="s">
        <v>380</v>
      </c>
      <c r="M61" s="1">
        <v>3316539</v>
      </c>
      <c r="N61" s="1">
        <v>0.67</v>
      </c>
      <c r="O61" s="1" t="s">
        <v>384</v>
      </c>
      <c r="P61" s="1">
        <v>17.43</v>
      </c>
      <c r="Q61" s="1">
        <v>0</v>
      </c>
      <c r="R61" s="1">
        <v>2672458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>
        <v>583</v>
      </c>
      <c r="C62" s="1">
        <v>8</v>
      </c>
      <c r="D62" s="1">
        <v>9117123</v>
      </c>
      <c r="E62" s="1">
        <v>0</v>
      </c>
      <c r="F62" s="1">
        <v>1275</v>
      </c>
      <c r="G62" s="1">
        <v>0</v>
      </c>
      <c r="H62" s="1">
        <v>1</v>
      </c>
      <c r="I62" s="1">
        <v>18.945</v>
      </c>
      <c r="J62" s="1">
        <v>19.57</v>
      </c>
      <c r="K62" s="1">
        <v>0</v>
      </c>
      <c r="L62" s="1" t="s">
        <v>380</v>
      </c>
      <c r="M62" s="1">
        <v>3151695</v>
      </c>
      <c r="N62" s="1">
        <v>0.9</v>
      </c>
      <c r="O62" s="1" t="s">
        <v>384</v>
      </c>
      <c r="P62" s="1">
        <v>19.57</v>
      </c>
      <c r="Q62" s="1">
        <v>0</v>
      </c>
      <c r="R62" s="1">
        <v>2562065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>
        <v>369</v>
      </c>
      <c r="C63" s="1">
        <v>5</v>
      </c>
      <c r="D63" s="1">
        <v>8937301</v>
      </c>
      <c r="E63" s="1">
        <v>0</v>
      </c>
      <c r="F63" s="1">
        <v>1244</v>
      </c>
      <c r="G63" s="1">
        <v>0</v>
      </c>
      <c r="H63" s="1">
        <v>1</v>
      </c>
      <c r="I63" s="1">
        <v>16.05</v>
      </c>
      <c r="J63" s="1">
        <v>16.64</v>
      </c>
      <c r="K63" s="1">
        <v>0</v>
      </c>
      <c r="L63" s="1" t="s">
        <v>380</v>
      </c>
      <c r="M63" s="1">
        <v>3094719</v>
      </c>
      <c r="N63" s="1">
        <v>0.63</v>
      </c>
      <c r="O63" s="1" t="s">
        <v>384</v>
      </c>
      <c r="P63" s="1">
        <v>16.64</v>
      </c>
      <c r="Q63" s="1">
        <v>0</v>
      </c>
      <c r="R63" s="1">
        <v>2513407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>
        <v>528</v>
      </c>
      <c r="C64" s="1">
        <v>6</v>
      </c>
      <c r="D64" s="1">
        <v>8533739</v>
      </c>
      <c r="E64" s="1">
        <v>0</v>
      </c>
      <c r="F64" s="1">
        <v>1201</v>
      </c>
      <c r="G64" s="1">
        <v>0</v>
      </c>
      <c r="H64" s="1">
        <v>1</v>
      </c>
      <c r="I64" s="1">
        <v>15.219</v>
      </c>
      <c r="J64" s="1">
        <v>15.78</v>
      </c>
      <c r="K64" s="1">
        <v>0</v>
      </c>
      <c r="L64" s="1" t="s">
        <v>380</v>
      </c>
      <c r="M64" s="1">
        <v>2936867</v>
      </c>
      <c r="N64" s="1">
        <v>0.72</v>
      </c>
      <c r="O64" s="1" t="s">
        <v>384</v>
      </c>
      <c r="P64" s="1">
        <v>15.78</v>
      </c>
      <c r="Q64" s="1">
        <v>0</v>
      </c>
      <c r="R64" s="1">
        <v>2407518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>
        <v>1888</v>
      </c>
      <c r="C65" s="1">
        <v>22</v>
      </c>
      <c r="D65" s="1">
        <v>8906710</v>
      </c>
      <c r="E65" s="1">
        <v>0</v>
      </c>
      <c r="F65" s="1">
        <v>1261</v>
      </c>
      <c r="G65" s="1">
        <v>0</v>
      </c>
      <c r="H65" s="1">
        <v>1</v>
      </c>
      <c r="I65" s="1">
        <v>16.478</v>
      </c>
      <c r="J65" s="1">
        <v>17.09</v>
      </c>
      <c r="K65" s="1">
        <v>0</v>
      </c>
      <c r="L65" s="1" t="s">
        <v>380</v>
      </c>
      <c r="M65" s="1">
        <v>3074628</v>
      </c>
      <c r="N65" s="1">
        <v>1.21</v>
      </c>
      <c r="O65" s="1" t="s">
        <v>384</v>
      </c>
      <c r="P65" s="1">
        <v>17.09</v>
      </c>
      <c r="Q65" s="1">
        <v>0</v>
      </c>
      <c r="R65" s="1">
        <v>2505412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>
        <v>1686</v>
      </c>
      <c r="C66" s="1">
        <v>18</v>
      </c>
      <c r="D66" s="1">
        <v>9052087</v>
      </c>
      <c r="E66" s="1">
        <v>0</v>
      </c>
      <c r="F66" s="1">
        <v>1269</v>
      </c>
      <c r="G66" s="1">
        <v>0</v>
      </c>
      <c r="H66" s="1">
        <v>1</v>
      </c>
      <c r="I66" s="1">
        <v>19.408</v>
      </c>
      <c r="J66" s="1">
        <v>20.06</v>
      </c>
      <c r="K66" s="1">
        <v>0</v>
      </c>
      <c r="L66" s="1" t="s">
        <v>380</v>
      </c>
      <c r="M66" s="1">
        <v>3074619</v>
      </c>
      <c r="N66" s="1">
        <v>1.12</v>
      </c>
      <c r="O66" s="1" t="s">
        <v>384</v>
      </c>
      <c r="P66" s="1">
        <v>20.06</v>
      </c>
      <c r="Q66" s="1">
        <v>0</v>
      </c>
      <c r="R66" s="1">
        <v>2543406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>
        <v>45296</v>
      </c>
      <c r="C67" s="1">
        <v>1419</v>
      </c>
      <c r="D67" s="1">
        <v>12911478</v>
      </c>
      <c r="E67" s="1">
        <v>0</v>
      </c>
      <c r="F67" s="1">
        <v>1815</v>
      </c>
      <c r="G67" s="1">
        <v>0</v>
      </c>
      <c r="H67" s="1">
        <v>1</v>
      </c>
      <c r="I67" s="1">
        <v>63.94</v>
      </c>
      <c r="J67" s="1">
        <v>65.31999999999999</v>
      </c>
      <c r="K67" s="1">
        <v>9</v>
      </c>
      <c r="L67" s="1" t="s">
        <v>380</v>
      </c>
      <c r="M67" s="1">
        <v>4413518</v>
      </c>
      <c r="N67" s="1">
        <v>41.94</v>
      </c>
      <c r="O67" s="1" t="s">
        <v>384</v>
      </c>
      <c r="P67" s="1">
        <v>65.31999999999999</v>
      </c>
      <c r="Q67" s="1">
        <v>0</v>
      </c>
      <c r="R67" s="1">
        <v>3628020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>
        <v>1213</v>
      </c>
      <c r="C68" s="1">
        <v>9</v>
      </c>
      <c r="D68" s="1">
        <v>14251479</v>
      </c>
      <c r="E68" s="1">
        <v>0</v>
      </c>
      <c r="F68" s="1">
        <v>1981</v>
      </c>
      <c r="G68" s="1">
        <v>0</v>
      </c>
      <c r="H68" s="1">
        <v>1</v>
      </c>
      <c r="I68" s="1">
        <v>25.416</v>
      </c>
      <c r="J68" s="1">
        <v>26.31</v>
      </c>
      <c r="K68" s="1">
        <v>0</v>
      </c>
      <c r="L68" s="1" t="s">
        <v>380</v>
      </c>
      <c r="M68" s="1">
        <v>4868549</v>
      </c>
      <c r="N68" s="1">
        <v>1.36</v>
      </c>
      <c r="O68" s="1" t="s">
        <v>384</v>
      </c>
      <c r="P68" s="1">
        <v>26.31</v>
      </c>
      <c r="Q68" s="1">
        <v>0</v>
      </c>
      <c r="R68" s="1">
        <v>3986081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>
        <v>1113</v>
      </c>
      <c r="C69" s="1">
        <v>7</v>
      </c>
      <c r="D69" s="1">
        <v>13503606</v>
      </c>
      <c r="E69" s="1">
        <v>0</v>
      </c>
      <c r="F69" s="1">
        <v>1895</v>
      </c>
      <c r="G69" s="1">
        <v>0</v>
      </c>
      <c r="H69" s="1">
        <v>1</v>
      </c>
      <c r="I69" s="1">
        <v>29.164</v>
      </c>
      <c r="J69" s="1">
        <v>30.12</v>
      </c>
      <c r="K69" s="1">
        <v>0</v>
      </c>
      <c r="L69" s="1" t="s">
        <v>380</v>
      </c>
      <c r="M69" s="1">
        <v>4595981</v>
      </c>
      <c r="N69" s="1">
        <v>1.32</v>
      </c>
      <c r="O69" s="1" t="s">
        <v>384</v>
      </c>
      <c r="P69" s="1">
        <v>30.12</v>
      </c>
      <c r="Q69" s="1">
        <v>0</v>
      </c>
      <c r="R69" s="1">
        <v>3788634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>
        <v>2731</v>
      </c>
      <c r="C70" s="1">
        <v>27</v>
      </c>
      <c r="D70" s="1">
        <v>14167380</v>
      </c>
      <c r="E70" s="1">
        <v>0</v>
      </c>
      <c r="F70" s="1">
        <v>1969</v>
      </c>
      <c r="G70" s="1">
        <v>0</v>
      </c>
      <c r="H70" s="1">
        <v>1</v>
      </c>
      <c r="I70" s="1">
        <v>25.353</v>
      </c>
      <c r="J70" s="1">
        <v>26.25</v>
      </c>
      <c r="K70" s="1">
        <v>0</v>
      </c>
      <c r="L70" s="1" t="s">
        <v>380</v>
      </c>
      <c r="M70" s="1">
        <v>4771374</v>
      </c>
      <c r="N70" s="1">
        <v>1.4</v>
      </c>
      <c r="O70" s="1" t="s">
        <v>384</v>
      </c>
      <c r="P70" s="1">
        <v>26.25</v>
      </c>
      <c r="Q70" s="1">
        <v>0</v>
      </c>
      <c r="R70" s="1">
        <v>3962058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>
        <v>84493</v>
      </c>
      <c r="C71" s="1">
        <v>3836</v>
      </c>
      <c r="D71" s="1">
        <v>12658080</v>
      </c>
      <c r="E71" s="1">
        <v>0</v>
      </c>
      <c r="F71" s="1">
        <v>1826</v>
      </c>
      <c r="G71" s="1">
        <v>0</v>
      </c>
      <c r="H71" s="1">
        <v>1</v>
      </c>
      <c r="I71" s="1">
        <v>142.937</v>
      </c>
      <c r="J71" s="1">
        <v>144.26</v>
      </c>
      <c r="K71" s="1">
        <v>21</v>
      </c>
      <c r="L71" s="1" t="s">
        <v>380</v>
      </c>
      <c r="M71" s="1">
        <v>4410908</v>
      </c>
      <c r="N71" s="1">
        <v>120.68</v>
      </c>
      <c r="O71" s="1" t="s">
        <v>384</v>
      </c>
      <c r="P71" s="1">
        <v>144.26</v>
      </c>
      <c r="Q71" s="1">
        <v>0</v>
      </c>
      <c r="R71" s="1">
        <v>3567642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>
        <v>4116</v>
      </c>
      <c r="C72" s="1">
        <v>11</v>
      </c>
      <c r="D72" s="1">
        <v>13339128</v>
      </c>
      <c r="E72" s="1">
        <v>0</v>
      </c>
      <c r="F72" s="1">
        <v>1868</v>
      </c>
      <c r="G72" s="1">
        <v>0</v>
      </c>
      <c r="H72" s="1">
        <v>1</v>
      </c>
      <c r="I72" s="1">
        <v>23.983</v>
      </c>
      <c r="J72" s="1">
        <v>24.94</v>
      </c>
      <c r="K72" s="1">
        <v>0</v>
      </c>
      <c r="L72" s="1" t="s">
        <v>380</v>
      </c>
      <c r="M72" s="1">
        <v>4607994</v>
      </c>
      <c r="N72" s="1">
        <v>1.32</v>
      </c>
      <c r="O72" s="1" t="s">
        <v>384</v>
      </c>
      <c r="P72" s="1">
        <v>24.94</v>
      </c>
      <c r="Q72" s="1">
        <v>0</v>
      </c>
      <c r="R72" s="1">
        <v>3745918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>
        <v>57028</v>
      </c>
      <c r="C73" s="1">
        <v>2139</v>
      </c>
      <c r="D73" s="1">
        <v>12834161</v>
      </c>
      <c r="E73" s="1">
        <v>0</v>
      </c>
      <c r="F73" s="1">
        <v>1835</v>
      </c>
      <c r="G73" s="1">
        <v>0</v>
      </c>
      <c r="H73" s="1">
        <v>1</v>
      </c>
      <c r="I73" s="1">
        <v>99.01000000000001</v>
      </c>
      <c r="J73" s="1">
        <v>100.35</v>
      </c>
      <c r="K73" s="1">
        <v>13</v>
      </c>
      <c r="L73" s="1" t="s">
        <v>380</v>
      </c>
      <c r="M73" s="1">
        <v>4410899</v>
      </c>
      <c r="N73" s="1">
        <v>72.76000000000001</v>
      </c>
      <c r="O73" s="1" t="s">
        <v>384</v>
      </c>
      <c r="P73" s="1">
        <v>100.35</v>
      </c>
      <c r="Q73" s="1">
        <v>0</v>
      </c>
      <c r="R73" s="1">
        <v>3613698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>
        <v>2612</v>
      </c>
      <c r="C74" s="1">
        <v>53</v>
      </c>
      <c r="D74" s="1">
        <v>18804272</v>
      </c>
      <c r="E74" s="1">
        <v>0</v>
      </c>
      <c r="F74" s="1">
        <v>2568</v>
      </c>
      <c r="G74" s="1">
        <v>0</v>
      </c>
      <c r="H74" s="1">
        <v>1</v>
      </c>
      <c r="I74" s="1">
        <v>35.336</v>
      </c>
      <c r="J74" s="1">
        <v>36.59</v>
      </c>
      <c r="K74" s="1">
        <v>0</v>
      </c>
      <c r="L74" s="1" t="s">
        <v>380</v>
      </c>
      <c r="M74" s="1">
        <v>6405290</v>
      </c>
      <c r="N74" s="1">
        <v>2.19</v>
      </c>
      <c r="O74" s="1" t="s">
        <v>384</v>
      </c>
      <c r="P74" s="1">
        <v>36.59</v>
      </c>
      <c r="Q74" s="1">
        <v>0</v>
      </c>
      <c r="R74" s="1">
        <v>5271678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>
        <v>93</v>
      </c>
      <c r="C75" s="1">
        <v>0</v>
      </c>
      <c r="D75" s="1">
        <v>951456</v>
      </c>
      <c r="E75" s="1">
        <v>0</v>
      </c>
      <c r="F75" s="1">
        <v>146</v>
      </c>
      <c r="G75" s="1">
        <v>0</v>
      </c>
      <c r="H75" s="1">
        <v>1</v>
      </c>
      <c r="I75" s="1">
        <v>1.7</v>
      </c>
      <c r="J75" s="1">
        <v>1.76</v>
      </c>
      <c r="K75" s="1">
        <v>0</v>
      </c>
      <c r="L75" s="1" t="s">
        <v>380</v>
      </c>
      <c r="M75" s="1">
        <v>342291</v>
      </c>
      <c r="N75" s="1">
        <v>0.05</v>
      </c>
      <c r="O75" s="1" t="s">
        <v>384</v>
      </c>
      <c r="P75" s="1">
        <v>1.76</v>
      </c>
      <c r="Q75" s="1">
        <v>0</v>
      </c>
      <c r="R75" s="1">
        <v>271749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>
        <v>160</v>
      </c>
      <c r="C76" s="1">
        <v>3</v>
      </c>
      <c r="D76" s="1">
        <v>254440</v>
      </c>
      <c r="E76" s="1">
        <v>0</v>
      </c>
      <c r="F76" s="1">
        <v>52</v>
      </c>
      <c r="G76" s="1">
        <v>0</v>
      </c>
      <c r="H76" s="1">
        <v>1</v>
      </c>
      <c r="I76" s="1">
        <v>0.735</v>
      </c>
      <c r="J76" s="1">
        <v>0.76</v>
      </c>
      <c r="K76" s="1">
        <v>0</v>
      </c>
      <c r="L76" s="1" t="s">
        <v>380</v>
      </c>
      <c r="M76" s="1">
        <v>108755</v>
      </c>
      <c r="N76" s="1">
        <v>0.02</v>
      </c>
      <c r="O76" s="1" t="s">
        <v>384</v>
      </c>
      <c r="P76" s="1">
        <v>0.76</v>
      </c>
      <c r="Q76" s="1">
        <v>0</v>
      </c>
      <c r="R76" s="1">
        <v>76270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>
        <v>199</v>
      </c>
      <c r="C77" s="1">
        <v>3</v>
      </c>
      <c r="D77" s="1">
        <v>1060257</v>
      </c>
      <c r="E77" s="1">
        <v>0</v>
      </c>
      <c r="F77" s="1">
        <v>162</v>
      </c>
      <c r="G77" s="1">
        <v>0</v>
      </c>
      <c r="H77" s="1">
        <v>1</v>
      </c>
      <c r="I77" s="1">
        <v>1.888</v>
      </c>
      <c r="J77" s="1">
        <v>1.95</v>
      </c>
      <c r="K77" s="1">
        <v>0</v>
      </c>
      <c r="L77" s="1" t="s">
        <v>380</v>
      </c>
      <c r="M77" s="1">
        <v>379673</v>
      </c>
      <c r="N77" s="1">
        <v>0.07000000000000001</v>
      </c>
      <c r="O77" s="1" t="s">
        <v>384</v>
      </c>
      <c r="P77" s="1">
        <v>1.95</v>
      </c>
      <c r="Q77" s="1">
        <v>0</v>
      </c>
      <c r="R77" s="1">
        <v>301334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>
        <v>99</v>
      </c>
      <c r="C78" s="1">
        <v>0</v>
      </c>
      <c r="D78" s="1">
        <v>923980</v>
      </c>
      <c r="E78" s="1">
        <v>0</v>
      </c>
      <c r="F78" s="1">
        <v>141</v>
      </c>
      <c r="G78" s="1">
        <v>0</v>
      </c>
      <c r="H78" s="1">
        <v>1</v>
      </c>
      <c r="I78" s="1">
        <v>1.665</v>
      </c>
      <c r="J78" s="1">
        <v>1.72</v>
      </c>
      <c r="K78" s="1">
        <v>0</v>
      </c>
      <c r="L78" s="1" t="s">
        <v>380</v>
      </c>
      <c r="M78" s="1">
        <v>335569</v>
      </c>
      <c r="N78" s="1">
        <v>0.04</v>
      </c>
      <c r="O78" s="1" t="s">
        <v>384</v>
      </c>
      <c r="P78" s="1">
        <v>1.72</v>
      </c>
      <c r="Q78" s="1">
        <v>0</v>
      </c>
      <c r="R78" s="1">
        <v>263739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>
        <v>175</v>
      </c>
      <c r="C79" s="1">
        <v>5</v>
      </c>
      <c r="D79" s="1">
        <v>1193619</v>
      </c>
      <c r="E79" s="1">
        <v>0</v>
      </c>
      <c r="F79" s="1">
        <v>178</v>
      </c>
      <c r="G79" s="1">
        <v>0</v>
      </c>
      <c r="H79" s="1">
        <v>1</v>
      </c>
      <c r="I79" s="1">
        <v>2.19</v>
      </c>
      <c r="J79" s="1">
        <v>2.26</v>
      </c>
      <c r="K79" s="1">
        <v>0</v>
      </c>
      <c r="L79" s="1" t="s">
        <v>380</v>
      </c>
      <c r="M79" s="1">
        <v>415884</v>
      </c>
      <c r="N79" s="1">
        <v>0.06</v>
      </c>
      <c r="O79" s="1" t="s">
        <v>384</v>
      </c>
      <c r="P79" s="1">
        <v>2.26</v>
      </c>
      <c r="Q79" s="1">
        <v>0</v>
      </c>
      <c r="R79" s="1">
        <v>336517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>
        <v>105</v>
      </c>
      <c r="C80" s="1">
        <v>0</v>
      </c>
      <c r="D80" s="1">
        <v>975608</v>
      </c>
      <c r="E80" s="1">
        <v>0</v>
      </c>
      <c r="F80" s="1">
        <v>151</v>
      </c>
      <c r="G80" s="1">
        <v>0</v>
      </c>
      <c r="H80" s="1">
        <v>1</v>
      </c>
      <c r="I80" s="1">
        <v>1.723</v>
      </c>
      <c r="J80" s="1">
        <v>1.78</v>
      </c>
      <c r="K80" s="1">
        <v>0</v>
      </c>
      <c r="L80" s="1" t="s">
        <v>380</v>
      </c>
      <c r="M80" s="1">
        <v>350988</v>
      </c>
      <c r="N80" s="1">
        <v>0.04</v>
      </c>
      <c r="O80" s="1" t="s">
        <v>384</v>
      </c>
      <c r="P80" s="1">
        <v>1.78</v>
      </c>
      <c r="Q80" s="1">
        <v>0</v>
      </c>
      <c r="R80" s="1">
        <v>277529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>
        <v>141</v>
      </c>
      <c r="C81" s="1">
        <v>1</v>
      </c>
      <c r="D81" s="1">
        <v>223895</v>
      </c>
      <c r="E81" s="1">
        <v>0</v>
      </c>
      <c r="F81" s="1">
        <v>47</v>
      </c>
      <c r="G81" s="1">
        <v>0</v>
      </c>
      <c r="H81" s="1">
        <v>1</v>
      </c>
      <c r="I81" s="1">
        <v>0.728</v>
      </c>
      <c r="J81" s="1">
        <v>0.75</v>
      </c>
      <c r="K81" s="1">
        <v>0</v>
      </c>
      <c r="L81" s="1" t="s">
        <v>380</v>
      </c>
      <c r="M81" s="1">
        <v>97007</v>
      </c>
      <c r="N81" s="1">
        <v>0.02</v>
      </c>
      <c r="O81" s="1" t="s">
        <v>384</v>
      </c>
      <c r="P81" s="1">
        <v>0.75</v>
      </c>
      <c r="Q81" s="1">
        <v>0</v>
      </c>
      <c r="R81" s="1">
        <v>67298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>
        <v>146</v>
      </c>
      <c r="C82" s="1">
        <v>0</v>
      </c>
      <c r="D82" s="1">
        <v>2599936</v>
      </c>
      <c r="E82" s="1">
        <v>0</v>
      </c>
      <c r="F82" s="1">
        <v>368</v>
      </c>
      <c r="G82" s="1">
        <v>0</v>
      </c>
      <c r="H82" s="1">
        <v>1</v>
      </c>
      <c r="I82" s="1">
        <v>4.11</v>
      </c>
      <c r="J82" s="1">
        <v>4.25</v>
      </c>
      <c r="K82" s="1">
        <v>0</v>
      </c>
      <c r="L82" s="1" t="s">
        <v>380</v>
      </c>
      <c r="M82" s="1">
        <v>877186</v>
      </c>
      <c r="N82" s="1">
        <v>0.14</v>
      </c>
      <c r="O82" s="1" t="s">
        <v>384</v>
      </c>
      <c r="P82" s="1">
        <v>4.25</v>
      </c>
      <c r="Q82" s="1">
        <v>0</v>
      </c>
      <c r="R82" s="1">
        <v>730448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>
        <v>907</v>
      </c>
      <c r="C83" s="1">
        <v>18</v>
      </c>
      <c r="D83" s="1">
        <v>3370823</v>
      </c>
      <c r="E83" s="1">
        <v>0</v>
      </c>
      <c r="F83" s="1">
        <v>463</v>
      </c>
      <c r="G83" s="1">
        <v>0</v>
      </c>
      <c r="H83" s="1">
        <v>1</v>
      </c>
      <c r="I83" s="1">
        <v>5.698</v>
      </c>
      <c r="J83" s="1">
        <v>5.92</v>
      </c>
      <c r="K83" s="1">
        <v>0</v>
      </c>
      <c r="L83" s="1" t="s">
        <v>380</v>
      </c>
      <c r="M83" s="1">
        <v>1098782</v>
      </c>
      <c r="N83" s="1">
        <v>0.3</v>
      </c>
      <c r="O83" s="1" t="s">
        <v>384</v>
      </c>
      <c r="P83" s="1">
        <v>5.92</v>
      </c>
      <c r="Q83" s="1">
        <v>0</v>
      </c>
      <c r="R83" s="1">
        <v>935783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>
        <v>158</v>
      </c>
      <c r="C84" s="1">
        <v>0</v>
      </c>
      <c r="D84" s="1">
        <v>2816053</v>
      </c>
      <c r="E84" s="1">
        <v>0</v>
      </c>
      <c r="F84" s="1">
        <v>390</v>
      </c>
      <c r="G84" s="1">
        <v>0</v>
      </c>
      <c r="H84" s="1">
        <v>1</v>
      </c>
      <c r="I84" s="1">
        <v>4.827</v>
      </c>
      <c r="J84" s="1">
        <v>4.99</v>
      </c>
      <c r="K84" s="1">
        <v>0</v>
      </c>
      <c r="L84" s="1" t="s">
        <v>380</v>
      </c>
      <c r="M84" s="1">
        <v>938110</v>
      </c>
      <c r="N84" s="1">
        <v>0.15</v>
      </c>
      <c r="O84" s="1" t="s">
        <v>384</v>
      </c>
      <c r="P84" s="1">
        <v>4.99</v>
      </c>
      <c r="Q84" s="1">
        <v>0</v>
      </c>
      <c r="R84" s="1">
        <v>786915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>
        <v>165</v>
      </c>
      <c r="C85" s="1">
        <v>0</v>
      </c>
      <c r="D85" s="1">
        <v>2863885</v>
      </c>
      <c r="E85" s="1">
        <v>0</v>
      </c>
      <c r="F85" s="1">
        <v>412</v>
      </c>
      <c r="G85" s="1">
        <v>0</v>
      </c>
      <c r="H85" s="1">
        <v>1</v>
      </c>
      <c r="I85" s="1">
        <v>4.98</v>
      </c>
      <c r="J85" s="1">
        <v>5.15</v>
      </c>
      <c r="K85" s="1">
        <v>0</v>
      </c>
      <c r="L85" s="1" t="s">
        <v>380</v>
      </c>
      <c r="M85" s="1">
        <v>951012</v>
      </c>
      <c r="N85" s="1">
        <v>0.16</v>
      </c>
      <c r="O85" s="1" t="s">
        <v>384</v>
      </c>
      <c r="P85" s="1">
        <v>5.15</v>
      </c>
      <c r="Q85" s="1">
        <v>0</v>
      </c>
      <c r="R85" s="1">
        <v>801598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>
        <v>173</v>
      </c>
      <c r="C86" s="1">
        <v>0</v>
      </c>
      <c r="D86" s="1">
        <v>2980681</v>
      </c>
      <c r="E86" s="1">
        <v>0</v>
      </c>
      <c r="F86" s="1">
        <v>416</v>
      </c>
      <c r="G86" s="1">
        <v>0</v>
      </c>
      <c r="H86" s="1">
        <v>1</v>
      </c>
      <c r="I86" s="1">
        <v>5.102</v>
      </c>
      <c r="J86" s="1">
        <v>5.27</v>
      </c>
      <c r="K86" s="1">
        <v>0</v>
      </c>
      <c r="L86" s="1" t="s">
        <v>380</v>
      </c>
      <c r="M86" s="1">
        <v>984947</v>
      </c>
      <c r="N86" s="1">
        <v>0.16</v>
      </c>
      <c r="O86" s="1" t="s">
        <v>384</v>
      </c>
      <c r="P86" s="1">
        <v>5.27</v>
      </c>
      <c r="Q86" s="1">
        <v>0</v>
      </c>
      <c r="R86" s="1">
        <v>832106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>
        <v>379</v>
      </c>
      <c r="C87" s="1">
        <v>7</v>
      </c>
      <c r="D87" s="1">
        <v>3395680</v>
      </c>
      <c r="E87" s="1">
        <v>0</v>
      </c>
      <c r="F87" s="1">
        <v>466</v>
      </c>
      <c r="G87" s="1">
        <v>0</v>
      </c>
      <c r="H87" s="1">
        <v>1</v>
      </c>
      <c r="I87" s="1">
        <v>5.248</v>
      </c>
      <c r="J87" s="1">
        <v>5.45</v>
      </c>
      <c r="K87" s="1">
        <v>0</v>
      </c>
      <c r="L87" s="1" t="s">
        <v>380</v>
      </c>
      <c r="M87" s="1">
        <v>1105642</v>
      </c>
      <c r="N87" s="1">
        <v>0.27</v>
      </c>
      <c r="O87" s="1" t="s">
        <v>384</v>
      </c>
      <c r="P87" s="1">
        <v>5.45</v>
      </c>
      <c r="Q87" s="1">
        <v>0</v>
      </c>
      <c r="R87" s="1">
        <v>942041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>
        <v>1188</v>
      </c>
      <c r="C88" s="1">
        <v>18</v>
      </c>
      <c r="D88" s="1">
        <v>877866</v>
      </c>
      <c r="E88" s="1">
        <v>0</v>
      </c>
      <c r="F88" s="1">
        <v>141</v>
      </c>
      <c r="G88" s="1">
        <v>0</v>
      </c>
      <c r="H88" s="1">
        <v>1</v>
      </c>
      <c r="I88" s="1">
        <v>1.875</v>
      </c>
      <c r="J88" s="1">
        <v>1.93</v>
      </c>
      <c r="K88" s="1">
        <v>0</v>
      </c>
      <c r="L88" s="1" t="s">
        <v>380</v>
      </c>
      <c r="M88" s="1">
        <v>321001</v>
      </c>
      <c r="N88" s="1">
        <v>0.14</v>
      </c>
      <c r="O88" s="1" t="s">
        <v>384</v>
      </c>
      <c r="P88" s="1">
        <v>1.93</v>
      </c>
      <c r="Q88" s="1">
        <v>0</v>
      </c>
      <c r="R88" s="1">
        <v>253380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>
        <v>12152</v>
      </c>
      <c r="C89" s="1">
        <v>23</v>
      </c>
      <c r="D89" s="1">
        <v>6023316</v>
      </c>
      <c r="E89" s="1">
        <v>0</v>
      </c>
      <c r="F89" s="1">
        <v>813</v>
      </c>
      <c r="G89" s="1">
        <v>0</v>
      </c>
      <c r="H89" s="1">
        <v>1</v>
      </c>
      <c r="I89" s="1">
        <v>9.695</v>
      </c>
      <c r="J89" s="1">
        <v>10.08</v>
      </c>
      <c r="K89" s="1">
        <v>0</v>
      </c>
      <c r="L89" s="1" t="s">
        <v>380</v>
      </c>
      <c r="M89" s="1">
        <v>1951648</v>
      </c>
      <c r="N89" s="1">
        <v>0.72</v>
      </c>
      <c r="O89" s="1" t="s">
        <v>384</v>
      </c>
      <c r="P89" s="1">
        <v>10.08</v>
      </c>
      <c r="Q89" s="1">
        <v>0</v>
      </c>
      <c r="R89" s="1">
        <v>1673343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>
        <v>879</v>
      </c>
      <c r="C90" s="1">
        <v>23</v>
      </c>
      <c r="D90" s="1">
        <v>6213102</v>
      </c>
      <c r="E90" s="1">
        <v>0</v>
      </c>
      <c r="F90" s="1">
        <v>831</v>
      </c>
      <c r="G90" s="1">
        <v>0</v>
      </c>
      <c r="H90" s="1">
        <v>1</v>
      </c>
      <c r="I90" s="1">
        <v>9.68</v>
      </c>
      <c r="J90" s="1">
        <v>10.07</v>
      </c>
      <c r="K90" s="1">
        <v>0</v>
      </c>
      <c r="L90" s="1" t="s">
        <v>380</v>
      </c>
      <c r="M90" s="1">
        <v>1995680</v>
      </c>
      <c r="N90" s="1">
        <v>0.6</v>
      </c>
      <c r="O90" s="1" t="s">
        <v>384</v>
      </c>
      <c r="P90" s="1">
        <v>10.07</v>
      </c>
      <c r="Q90" s="1">
        <v>0</v>
      </c>
      <c r="R90" s="1">
        <v>1722550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>
        <v>218</v>
      </c>
      <c r="C91" s="1">
        <v>0</v>
      </c>
      <c r="D91" s="1">
        <v>5864528</v>
      </c>
      <c r="E91" s="1">
        <v>0</v>
      </c>
      <c r="F91" s="1">
        <v>791</v>
      </c>
      <c r="G91" s="1">
        <v>0</v>
      </c>
      <c r="H91" s="1">
        <v>1</v>
      </c>
      <c r="I91" s="1">
        <v>8.894</v>
      </c>
      <c r="J91" s="1">
        <v>9.25</v>
      </c>
      <c r="K91" s="1">
        <v>0</v>
      </c>
      <c r="L91" s="1" t="s">
        <v>380</v>
      </c>
      <c r="M91" s="1">
        <v>1890268</v>
      </c>
      <c r="N91" s="1">
        <v>0.28</v>
      </c>
      <c r="O91" s="1" t="s">
        <v>384</v>
      </c>
      <c r="P91" s="1">
        <v>9.25</v>
      </c>
      <c r="Q91" s="1">
        <v>0</v>
      </c>
      <c r="R91" s="1">
        <v>1628156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>
        <v>211</v>
      </c>
      <c r="C92" s="1">
        <v>0</v>
      </c>
      <c r="D92" s="1">
        <v>5662276</v>
      </c>
      <c r="E92" s="1">
        <v>0</v>
      </c>
      <c r="F92" s="1">
        <v>772</v>
      </c>
      <c r="G92" s="1">
        <v>0</v>
      </c>
      <c r="H92" s="1">
        <v>1</v>
      </c>
      <c r="I92" s="1">
        <v>8.787000000000001</v>
      </c>
      <c r="J92" s="1">
        <v>9.130000000000001</v>
      </c>
      <c r="K92" s="1">
        <v>0</v>
      </c>
      <c r="L92" s="1" t="s">
        <v>380</v>
      </c>
      <c r="M92" s="1">
        <v>1841608</v>
      </c>
      <c r="N92" s="1">
        <v>0.29</v>
      </c>
      <c r="O92" s="1" t="s">
        <v>384</v>
      </c>
      <c r="P92" s="1">
        <v>9.130000000000001</v>
      </c>
      <c r="Q92" s="1">
        <v>0</v>
      </c>
      <c r="R92" s="1">
        <v>1575864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>
        <v>214</v>
      </c>
      <c r="C93" s="1">
        <v>0</v>
      </c>
      <c r="D93" s="1">
        <v>5271005</v>
      </c>
      <c r="E93" s="1">
        <v>0</v>
      </c>
      <c r="F93" s="1">
        <v>725</v>
      </c>
      <c r="G93" s="1">
        <v>0</v>
      </c>
      <c r="H93" s="1">
        <v>1</v>
      </c>
      <c r="I93" s="1">
        <v>8.148999999999999</v>
      </c>
      <c r="J93" s="1">
        <v>8.470000000000001</v>
      </c>
      <c r="K93" s="1">
        <v>0</v>
      </c>
      <c r="L93" s="1" t="s">
        <v>380</v>
      </c>
      <c r="M93" s="1">
        <v>1721301</v>
      </c>
      <c r="N93" s="1">
        <v>0.28</v>
      </c>
      <c r="O93" s="1" t="s">
        <v>384</v>
      </c>
      <c r="P93" s="1">
        <v>8.470000000000001</v>
      </c>
      <c r="Q93" s="1">
        <v>0</v>
      </c>
      <c r="R93" s="1">
        <v>1468520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>
        <v>229</v>
      </c>
      <c r="C94" s="1">
        <v>0</v>
      </c>
      <c r="D94" s="1">
        <v>5901129</v>
      </c>
      <c r="E94" s="1">
        <v>0</v>
      </c>
      <c r="F94" s="1">
        <v>808</v>
      </c>
      <c r="G94" s="1">
        <v>0</v>
      </c>
      <c r="H94" s="1">
        <v>1</v>
      </c>
      <c r="I94" s="1">
        <v>9.124000000000001</v>
      </c>
      <c r="J94" s="1">
        <v>9.470000000000001</v>
      </c>
      <c r="K94" s="1">
        <v>0</v>
      </c>
      <c r="L94" s="1" t="s">
        <v>380</v>
      </c>
      <c r="M94" s="1">
        <v>1899058</v>
      </c>
      <c r="N94" s="1">
        <v>0.3</v>
      </c>
      <c r="O94" s="1" t="s">
        <v>384</v>
      </c>
      <c r="P94" s="1">
        <v>9.470000000000001</v>
      </c>
      <c r="Q94" s="1">
        <v>0</v>
      </c>
      <c r="R94" s="1">
        <v>1637303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>
        <v>19645</v>
      </c>
      <c r="C95" s="1">
        <v>823</v>
      </c>
      <c r="D95" s="1">
        <v>6405936</v>
      </c>
      <c r="E95" s="1">
        <v>0</v>
      </c>
      <c r="F95" s="1">
        <v>864</v>
      </c>
      <c r="G95" s="1">
        <v>0</v>
      </c>
      <c r="H95" s="1">
        <v>1</v>
      </c>
      <c r="I95" s="1">
        <v>23.327</v>
      </c>
      <c r="J95" s="1">
        <v>23.92</v>
      </c>
      <c r="K95" s="1">
        <v>6</v>
      </c>
      <c r="L95" s="1" t="s">
        <v>380</v>
      </c>
      <c r="M95" s="1">
        <v>2055948</v>
      </c>
      <c r="N95" s="1">
        <v>12.99</v>
      </c>
      <c r="O95" s="1" t="s">
        <v>384</v>
      </c>
      <c r="P95" s="1">
        <v>23.92</v>
      </c>
      <c r="Q95" s="1">
        <v>0</v>
      </c>
      <c r="R95" s="1">
        <v>1772070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>
        <v>275340</v>
      </c>
      <c r="C96" s="1">
        <v>12517</v>
      </c>
      <c r="D96" s="1">
        <v>10343716</v>
      </c>
      <c r="E96" s="1">
        <v>0</v>
      </c>
      <c r="F96" s="1">
        <v>1371</v>
      </c>
      <c r="G96" s="1">
        <v>0</v>
      </c>
      <c r="H96" s="1">
        <v>1</v>
      </c>
      <c r="I96" s="1">
        <v>256.204</v>
      </c>
      <c r="J96" s="1">
        <v>256.95</v>
      </c>
      <c r="K96" s="1">
        <v>58</v>
      </c>
      <c r="L96" s="1" t="s">
        <v>380</v>
      </c>
      <c r="M96" s="1">
        <v>3277620</v>
      </c>
      <c r="N96" s="1">
        <v>240.93</v>
      </c>
      <c r="O96" s="1" t="s">
        <v>384</v>
      </c>
      <c r="P96" s="1">
        <v>256.95</v>
      </c>
      <c r="Q96" s="1">
        <v>0</v>
      </c>
      <c r="R96" s="1">
        <v>2857694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>
        <v>193246</v>
      </c>
      <c r="C97" s="1">
        <v>6764</v>
      </c>
      <c r="D97" s="1">
        <v>10067999</v>
      </c>
      <c r="E97" s="1">
        <v>0</v>
      </c>
      <c r="F97" s="1">
        <v>1345</v>
      </c>
      <c r="G97" s="1">
        <v>0</v>
      </c>
      <c r="H97" s="1">
        <v>1</v>
      </c>
      <c r="I97" s="1">
        <v>150.447</v>
      </c>
      <c r="J97" s="1">
        <v>151.25</v>
      </c>
      <c r="K97" s="1">
        <v>33</v>
      </c>
      <c r="L97" s="1" t="s">
        <v>380</v>
      </c>
      <c r="M97" s="1">
        <v>3212550</v>
      </c>
      <c r="N97" s="1">
        <v>135.48</v>
      </c>
      <c r="O97" s="1" t="s">
        <v>384</v>
      </c>
      <c r="P97" s="1">
        <v>151.25</v>
      </c>
      <c r="Q97" s="1">
        <v>0</v>
      </c>
      <c r="R97" s="1">
        <v>2786754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>
        <v>270</v>
      </c>
      <c r="C98" s="1">
        <v>0</v>
      </c>
      <c r="D98" s="1">
        <v>9494985</v>
      </c>
      <c r="E98" s="1">
        <v>0</v>
      </c>
      <c r="F98" s="1">
        <v>1235</v>
      </c>
      <c r="G98" s="1">
        <v>0</v>
      </c>
      <c r="H98" s="1">
        <v>1</v>
      </c>
      <c r="I98" s="1">
        <v>16.416</v>
      </c>
      <c r="J98" s="1">
        <v>16.96</v>
      </c>
      <c r="K98" s="1">
        <v>0</v>
      </c>
      <c r="L98" s="1" t="s">
        <v>380</v>
      </c>
      <c r="M98" s="1">
        <v>3040204</v>
      </c>
      <c r="N98" s="1">
        <v>0.53</v>
      </c>
      <c r="O98" s="1" t="s">
        <v>384</v>
      </c>
      <c r="P98" s="1">
        <v>16.96</v>
      </c>
      <c r="Q98" s="1">
        <v>0</v>
      </c>
      <c r="R98" s="1">
        <v>2631796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>
        <v>110370</v>
      </c>
      <c r="C99" s="1">
        <v>3761</v>
      </c>
      <c r="D99" s="1">
        <v>10306694</v>
      </c>
      <c r="E99" s="1">
        <v>0</v>
      </c>
      <c r="F99" s="1">
        <v>1375</v>
      </c>
      <c r="G99" s="1">
        <v>0</v>
      </c>
      <c r="H99" s="1">
        <v>1</v>
      </c>
      <c r="I99" s="1">
        <v>104.765</v>
      </c>
      <c r="J99" s="1">
        <v>105.87</v>
      </c>
      <c r="K99" s="1">
        <v>21</v>
      </c>
      <c r="L99" s="1" t="s">
        <v>380</v>
      </c>
      <c r="M99" s="1">
        <v>3277632</v>
      </c>
      <c r="N99" s="1">
        <v>89.47</v>
      </c>
      <c r="O99" s="1" t="s">
        <v>384</v>
      </c>
      <c r="P99" s="1">
        <v>105.87</v>
      </c>
      <c r="Q99" s="1">
        <v>0</v>
      </c>
      <c r="R99" s="1">
        <v>2848208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>
        <v>4209</v>
      </c>
      <c r="C100" s="1">
        <v>75</v>
      </c>
      <c r="D100" s="1">
        <v>10140515</v>
      </c>
      <c r="E100" s="1">
        <v>0</v>
      </c>
      <c r="F100" s="1">
        <v>1331</v>
      </c>
      <c r="G100" s="1">
        <v>0</v>
      </c>
      <c r="H100" s="1">
        <v>1</v>
      </c>
      <c r="I100" s="1">
        <v>17.034</v>
      </c>
      <c r="J100" s="1">
        <v>17.64</v>
      </c>
      <c r="K100" s="1">
        <v>0</v>
      </c>
      <c r="L100" s="1" t="s">
        <v>380</v>
      </c>
      <c r="M100" s="1">
        <v>3232684</v>
      </c>
      <c r="N100" s="1">
        <v>2.03</v>
      </c>
      <c r="O100" s="1" t="s">
        <v>384</v>
      </c>
      <c r="P100" s="1">
        <v>17.64</v>
      </c>
      <c r="Q100" s="1">
        <v>0</v>
      </c>
      <c r="R100" s="1">
        <v>2804910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>
        <v>293</v>
      </c>
      <c r="C101" s="1">
        <v>0</v>
      </c>
      <c r="D101" s="1">
        <v>9813413</v>
      </c>
      <c r="E101" s="1">
        <v>0</v>
      </c>
      <c r="F101" s="1">
        <v>1285</v>
      </c>
      <c r="G101" s="1">
        <v>0</v>
      </c>
      <c r="H101" s="1">
        <v>1</v>
      </c>
      <c r="I101" s="1">
        <v>16.309</v>
      </c>
      <c r="J101" s="1">
        <v>16.83</v>
      </c>
      <c r="K101" s="1">
        <v>0</v>
      </c>
      <c r="L101" s="1" t="s">
        <v>380</v>
      </c>
      <c r="M101" s="1">
        <v>3116424</v>
      </c>
      <c r="N101" s="1">
        <v>0.54</v>
      </c>
      <c r="O101" s="1" t="s">
        <v>384</v>
      </c>
      <c r="P101" s="1">
        <v>16.83</v>
      </c>
      <c r="Q101" s="1">
        <v>0</v>
      </c>
      <c r="R101" s="1">
        <v>2713530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>
        <v>120828</v>
      </c>
      <c r="C102" s="1">
        <v>5648</v>
      </c>
      <c r="D102" s="1">
        <v>10357304</v>
      </c>
      <c r="E102" s="1">
        <v>0</v>
      </c>
      <c r="F102" s="1">
        <v>1353</v>
      </c>
      <c r="G102" s="1">
        <v>0</v>
      </c>
      <c r="H102" s="1">
        <v>1</v>
      </c>
      <c r="I102" s="1">
        <v>144.754</v>
      </c>
      <c r="J102" s="1">
        <v>145.69</v>
      </c>
      <c r="K102" s="1">
        <v>29</v>
      </c>
      <c r="L102" s="1" t="s">
        <v>380</v>
      </c>
      <c r="M102" s="1">
        <v>3290882</v>
      </c>
      <c r="N102" s="1">
        <v>127.04</v>
      </c>
      <c r="O102" s="1" t="s">
        <v>384</v>
      </c>
      <c r="P102" s="1">
        <v>145.69</v>
      </c>
      <c r="Q102" s="1">
        <v>0</v>
      </c>
      <c r="R102" s="1">
        <v>2860960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>
        <v>327483</v>
      </c>
      <c r="C103" s="1">
        <v>10900</v>
      </c>
      <c r="D103" s="1">
        <v>15166420</v>
      </c>
      <c r="E103" s="1">
        <v>0</v>
      </c>
      <c r="F103" s="1">
        <v>2002</v>
      </c>
      <c r="G103" s="1">
        <v>0</v>
      </c>
      <c r="H103" s="1">
        <v>1</v>
      </c>
      <c r="I103" s="1">
        <v>382.281</v>
      </c>
      <c r="J103" s="1">
        <v>383.49</v>
      </c>
      <c r="K103" s="1">
        <v>55</v>
      </c>
      <c r="L103" s="1" t="s">
        <v>380</v>
      </c>
      <c r="M103" s="1">
        <v>4794011</v>
      </c>
      <c r="N103" s="1">
        <v>357.4</v>
      </c>
      <c r="O103" s="1" t="s">
        <v>384</v>
      </c>
      <c r="P103" s="1">
        <v>383.49</v>
      </c>
      <c r="Q103" s="1">
        <v>0</v>
      </c>
      <c r="R103" s="1">
        <v>4187570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>
        <v>8977</v>
      </c>
      <c r="C104" s="1">
        <v>50</v>
      </c>
      <c r="D104" s="1">
        <v>14962364</v>
      </c>
      <c r="E104" s="1">
        <v>0</v>
      </c>
      <c r="F104" s="1">
        <v>1952</v>
      </c>
      <c r="G104" s="1">
        <v>0</v>
      </c>
      <c r="H104" s="1">
        <v>1</v>
      </c>
      <c r="I104" s="1">
        <v>29.959</v>
      </c>
      <c r="J104" s="1">
        <v>31.08</v>
      </c>
      <c r="K104" s="1">
        <v>0</v>
      </c>
      <c r="L104" s="1" t="s">
        <v>380</v>
      </c>
      <c r="M104" s="1">
        <v>4738828</v>
      </c>
      <c r="N104" s="1">
        <v>4.09</v>
      </c>
      <c r="O104" s="1" t="s">
        <v>384</v>
      </c>
      <c r="P104" s="1">
        <v>31.08</v>
      </c>
      <c r="Q104" s="1">
        <v>0</v>
      </c>
      <c r="R104" s="1">
        <v>4134481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>
        <v>9191</v>
      </c>
      <c r="C105" s="1">
        <v>22</v>
      </c>
      <c r="D105" s="1">
        <v>15575963</v>
      </c>
      <c r="E105" s="1">
        <v>0</v>
      </c>
      <c r="F105" s="1">
        <v>2033</v>
      </c>
      <c r="G105" s="1">
        <v>0</v>
      </c>
      <c r="H105" s="1">
        <v>1</v>
      </c>
      <c r="I105" s="1">
        <v>25.229</v>
      </c>
      <c r="J105" s="1">
        <v>26.24</v>
      </c>
      <c r="K105" s="1">
        <v>0</v>
      </c>
      <c r="L105" s="1" t="s">
        <v>380</v>
      </c>
      <c r="M105" s="1">
        <v>4891622</v>
      </c>
      <c r="N105" s="1">
        <v>2.5</v>
      </c>
      <c r="O105" s="1" t="s">
        <v>384</v>
      </c>
      <c r="P105" s="1">
        <v>26.24</v>
      </c>
      <c r="Q105" s="1">
        <v>0</v>
      </c>
      <c r="R105" s="1">
        <v>4292484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>
        <v>43975</v>
      </c>
      <c r="C106" s="1">
        <v>1332</v>
      </c>
      <c r="D106" s="1">
        <v>15230601</v>
      </c>
      <c r="E106" s="1">
        <v>0</v>
      </c>
      <c r="F106" s="1">
        <v>1975</v>
      </c>
      <c r="G106" s="1">
        <v>0</v>
      </c>
      <c r="H106" s="1">
        <v>1</v>
      </c>
      <c r="I106" s="1">
        <v>70.456</v>
      </c>
      <c r="J106" s="1">
        <v>71.90000000000001</v>
      </c>
      <c r="K106" s="1">
        <v>9</v>
      </c>
      <c r="L106" s="1" t="s">
        <v>380</v>
      </c>
      <c r="M106" s="1">
        <v>4810456</v>
      </c>
      <c r="N106" s="1">
        <v>43.96</v>
      </c>
      <c r="O106" s="1" t="s">
        <v>384</v>
      </c>
      <c r="P106" s="1">
        <v>71.90000000000001</v>
      </c>
      <c r="Q106" s="1">
        <v>0</v>
      </c>
      <c r="R106" s="1">
        <v>4203751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>
        <v>183214</v>
      </c>
      <c r="C107" s="1">
        <v>6306</v>
      </c>
      <c r="D107" s="1">
        <v>15528654</v>
      </c>
      <c r="E107" s="1">
        <v>0</v>
      </c>
      <c r="F107" s="1">
        <v>1999</v>
      </c>
      <c r="G107" s="1">
        <v>0</v>
      </c>
      <c r="H107" s="1">
        <v>1</v>
      </c>
      <c r="I107" s="1">
        <v>220.535</v>
      </c>
      <c r="J107" s="1">
        <v>221.73</v>
      </c>
      <c r="K107" s="1">
        <v>30</v>
      </c>
      <c r="L107" s="1" t="s">
        <v>380</v>
      </c>
      <c r="M107" s="1">
        <v>4891634</v>
      </c>
      <c r="N107" s="1">
        <v>197.47</v>
      </c>
      <c r="O107" s="1" t="s">
        <v>384</v>
      </c>
      <c r="P107" s="1">
        <v>221.73</v>
      </c>
      <c r="Q107" s="1">
        <v>0</v>
      </c>
      <c r="R107" s="1">
        <v>4280367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>
        <v>348</v>
      </c>
      <c r="C108" s="1">
        <v>0</v>
      </c>
      <c r="D108" s="1">
        <v>14367098</v>
      </c>
      <c r="E108" s="1">
        <v>0</v>
      </c>
      <c r="F108" s="1">
        <v>1894</v>
      </c>
      <c r="G108" s="1">
        <v>0</v>
      </c>
      <c r="H108" s="1">
        <v>1</v>
      </c>
      <c r="I108" s="1">
        <v>22.274</v>
      </c>
      <c r="J108" s="1">
        <v>23.16</v>
      </c>
      <c r="K108" s="1">
        <v>0</v>
      </c>
      <c r="L108" s="1" t="s">
        <v>380</v>
      </c>
      <c r="M108" s="1">
        <v>4552411</v>
      </c>
      <c r="N108" s="1">
        <v>0.8</v>
      </c>
      <c r="O108" s="1" t="s">
        <v>384</v>
      </c>
      <c r="P108" s="1">
        <v>23.16</v>
      </c>
      <c r="Q108" s="1">
        <v>0</v>
      </c>
      <c r="R108" s="1">
        <v>3970659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>
        <v>338311</v>
      </c>
      <c r="C109" s="1">
        <v>16759</v>
      </c>
      <c r="D109" s="1">
        <v>15528654</v>
      </c>
      <c r="E109" s="1">
        <v>0</v>
      </c>
      <c r="F109" s="1">
        <v>2017</v>
      </c>
      <c r="G109" s="1">
        <v>0</v>
      </c>
      <c r="H109" s="1">
        <v>1</v>
      </c>
      <c r="I109" s="1">
        <v>538.033</v>
      </c>
      <c r="J109" s="1">
        <v>539.0599999999999</v>
      </c>
      <c r="K109" s="1">
        <v>62</v>
      </c>
      <c r="L109" s="1" t="s">
        <v>380</v>
      </c>
      <c r="M109" s="1">
        <v>4891634</v>
      </c>
      <c r="N109" s="1">
        <v>515.3</v>
      </c>
      <c r="O109" s="1" t="s">
        <v>384</v>
      </c>
      <c r="P109" s="1">
        <v>539.0599999999999</v>
      </c>
      <c r="Q109" s="1">
        <v>0</v>
      </c>
      <c r="R109" s="1">
        <v>4280367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>
        <v>391054</v>
      </c>
      <c r="C110" s="1">
        <v>12500</v>
      </c>
      <c r="D110" s="1">
        <v>21378656</v>
      </c>
      <c r="E110" s="1">
        <v>0</v>
      </c>
      <c r="F110" s="1">
        <v>2744</v>
      </c>
      <c r="G110" s="1">
        <v>0</v>
      </c>
      <c r="H110" s="1">
        <v>1</v>
      </c>
      <c r="I110" s="1">
        <v>550.253</v>
      </c>
      <c r="J110" s="1">
        <v>551.8</v>
      </c>
      <c r="K110" s="1">
        <v>61</v>
      </c>
      <c r="L110" s="1" t="s">
        <v>380</v>
      </c>
      <c r="M110" s="1">
        <v>6710729</v>
      </c>
      <c r="N110" s="1">
        <v>510.93</v>
      </c>
      <c r="O110" s="1" t="s">
        <v>384</v>
      </c>
      <c r="P110" s="1">
        <v>551.8</v>
      </c>
      <c r="Q110" s="1">
        <v>0</v>
      </c>
      <c r="R110" s="1">
        <v>5891097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>
        <v>86</v>
      </c>
      <c r="C111" s="1">
        <v>0</v>
      </c>
      <c r="D111" s="1">
        <v>1292649</v>
      </c>
      <c r="E111" s="1">
        <v>0</v>
      </c>
      <c r="F111" s="1">
        <v>199</v>
      </c>
      <c r="G111" s="1">
        <v>0</v>
      </c>
      <c r="H111" s="1">
        <v>1</v>
      </c>
      <c r="I111" s="1">
        <v>2.373</v>
      </c>
      <c r="J111" s="1">
        <v>2.46</v>
      </c>
      <c r="K111" s="1">
        <v>0</v>
      </c>
      <c r="L111" s="1" t="s">
        <v>380</v>
      </c>
      <c r="M111" s="1">
        <v>447082</v>
      </c>
      <c r="N111" s="1">
        <v>0.06</v>
      </c>
      <c r="O111" s="1" t="s">
        <v>384</v>
      </c>
      <c r="P111" s="1">
        <v>2.46</v>
      </c>
      <c r="Q111" s="1">
        <v>0</v>
      </c>
      <c r="R111" s="1">
        <v>363086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>
        <v>175</v>
      </c>
      <c r="C112" s="1">
        <v>4</v>
      </c>
      <c r="D112" s="1">
        <v>847848</v>
      </c>
      <c r="E112" s="1">
        <v>0</v>
      </c>
      <c r="F112" s="1">
        <v>136</v>
      </c>
      <c r="G112" s="1">
        <v>0</v>
      </c>
      <c r="H112" s="1">
        <v>1</v>
      </c>
      <c r="I112" s="1">
        <v>1.746</v>
      </c>
      <c r="J112" s="1">
        <v>1.8</v>
      </c>
      <c r="K112" s="1">
        <v>0</v>
      </c>
      <c r="L112" s="1" t="s">
        <v>380</v>
      </c>
      <c r="M112" s="1">
        <v>305662</v>
      </c>
      <c r="N112" s="1">
        <v>0.04</v>
      </c>
      <c r="O112" s="1" t="s">
        <v>384</v>
      </c>
      <c r="P112" s="1">
        <v>1.8</v>
      </c>
      <c r="Q112" s="1">
        <v>0</v>
      </c>
      <c r="R112" s="1">
        <v>241115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>
        <v>681</v>
      </c>
      <c r="C113" s="1">
        <v>2</v>
      </c>
      <c r="D113" s="1">
        <v>539317</v>
      </c>
      <c r="E113" s="1">
        <v>0</v>
      </c>
      <c r="F113" s="1">
        <v>94</v>
      </c>
      <c r="G113" s="1">
        <v>0</v>
      </c>
      <c r="H113" s="1">
        <v>1</v>
      </c>
      <c r="I113" s="1">
        <v>1.348</v>
      </c>
      <c r="J113" s="1">
        <v>1.39</v>
      </c>
      <c r="K113" s="1">
        <v>0</v>
      </c>
      <c r="L113" s="1" t="s">
        <v>380</v>
      </c>
      <c r="M113" s="1">
        <v>210193</v>
      </c>
      <c r="N113" s="1">
        <v>0.03</v>
      </c>
      <c r="O113" s="1" t="s">
        <v>384</v>
      </c>
      <c r="P113" s="1">
        <v>1.39</v>
      </c>
      <c r="Q113" s="1">
        <v>0</v>
      </c>
      <c r="R113" s="1">
        <v>157676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>
        <v>61</v>
      </c>
      <c r="C114" s="1">
        <v>2</v>
      </c>
      <c r="D114" s="1">
        <v>803752</v>
      </c>
      <c r="E114" s="1">
        <v>0</v>
      </c>
      <c r="F114" s="1">
        <v>130</v>
      </c>
      <c r="G114" s="1">
        <v>0</v>
      </c>
      <c r="H114" s="1">
        <v>1</v>
      </c>
      <c r="I114" s="1">
        <v>1.691</v>
      </c>
      <c r="J114" s="1">
        <v>1.75</v>
      </c>
      <c r="K114" s="1">
        <v>0</v>
      </c>
      <c r="L114" s="1" t="s">
        <v>380</v>
      </c>
      <c r="M114" s="1">
        <v>299354</v>
      </c>
      <c r="N114" s="1">
        <v>0.05</v>
      </c>
      <c r="O114" s="1" t="s">
        <v>384</v>
      </c>
      <c r="P114" s="1">
        <v>1.75</v>
      </c>
      <c r="Q114" s="1">
        <v>0</v>
      </c>
      <c r="R114" s="1">
        <v>232126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>
        <v>237</v>
      </c>
      <c r="C115" s="1">
        <v>6</v>
      </c>
      <c r="D115" s="1">
        <v>589993</v>
      </c>
      <c r="E115" s="1">
        <v>0</v>
      </c>
      <c r="F115" s="1">
        <v>102</v>
      </c>
      <c r="G115" s="1">
        <v>0</v>
      </c>
      <c r="H115" s="1">
        <v>1</v>
      </c>
      <c r="I115" s="1">
        <v>1.476</v>
      </c>
      <c r="J115" s="1">
        <v>1.52</v>
      </c>
      <c r="K115" s="1">
        <v>0</v>
      </c>
      <c r="L115" s="1" t="s">
        <v>380</v>
      </c>
      <c r="M115" s="1">
        <v>233310</v>
      </c>
      <c r="N115" s="1">
        <v>0.06</v>
      </c>
      <c r="O115" s="1" t="s">
        <v>384</v>
      </c>
      <c r="P115" s="1">
        <v>1.52</v>
      </c>
      <c r="Q115" s="1">
        <v>0</v>
      </c>
      <c r="R115" s="1">
        <v>171878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>
        <v>175</v>
      </c>
      <c r="C116" s="1">
        <v>3</v>
      </c>
      <c r="D116" s="1">
        <v>272191</v>
      </c>
      <c r="E116" s="1">
        <v>0</v>
      </c>
      <c r="F116" s="1">
        <v>55</v>
      </c>
      <c r="G116" s="1">
        <v>0</v>
      </c>
      <c r="H116" s="1">
        <v>1</v>
      </c>
      <c r="I116" s="1">
        <v>0.847</v>
      </c>
      <c r="J116" s="1">
        <v>0.87</v>
      </c>
      <c r="K116" s="1">
        <v>0</v>
      </c>
      <c r="L116" s="1" t="s">
        <v>380</v>
      </c>
      <c r="M116" s="1">
        <v>121198</v>
      </c>
      <c r="N116" s="1">
        <v>0.02</v>
      </c>
      <c r="O116" s="1" t="s">
        <v>384</v>
      </c>
      <c r="P116" s="1">
        <v>0.87</v>
      </c>
      <c r="Q116" s="1">
        <v>0</v>
      </c>
      <c r="R116" s="1">
        <v>81858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>
        <v>86</v>
      </c>
      <c r="C117" s="1">
        <v>0</v>
      </c>
      <c r="D117" s="1">
        <v>850521</v>
      </c>
      <c r="E117" s="1">
        <v>0</v>
      </c>
      <c r="F117" s="1">
        <v>139</v>
      </c>
      <c r="G117" s="1">
        <v>0</v>
      </c>
      <c r="H117" s="1">
        <v>1</v>
      </c>
      <c r="I117" s="1">
        <v>1.817</v>
      </c>
      <c r="J117" s="1">
        <v>1.88</v>
      </c>
      <c r="K117" s="1">
        <v>0</v>
      </c>
      <c r="L117" s="1" t="s">
        <v>380</v>
      </c>
      <c r="M117" s="1">
        <v>322267</v>
      </c>
      <c r="N117" s="1">
        <v>0.04</v>
      </c>
      <c r="O117" s="1" t="s">
        <v>384</v>
      </c>
      <c r="P117" s="1">
        <v>1.88</v>
      </c>
      <c r="Q117" s="1">
        <v>0</v>
      </c>
      <c r="R117" s="1">
        <v>245112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>
        <v>149</v>
      </c>
      <c r="C118" s="1">
        <v>1</v>
      </c>
      <c r="D118" s="1">
        <v>3671604</v>
      </c>
      <c r="E118" s="1">
        <v>0</v>
      </c>
      <c r="F118" s="1">
        <v>489</v>
      </c>
      <c r="G118" s="1">
        <v>0</v>
      </c>
      <c r="H118" s="1">
        <v>1</v>
      </c>
      <c r="I118" s="1">
        <v>6.001</v>
      </c>
      <c r="J118" s="1">
        <v>6.22</v>
      </c>
      <c r="K118" s="1">
        <v>0</v>
      </c>
      <c r="L118" s="1" t="s">
        <v>380</v>
      </c>
      <c r="M118" s="1">
        <v>1183411</v>
      </c>
      <c r="N118" s="1">
        <v>0.2</v>
      </c>
      <c r="O118" s="1" t="s">
        <v>384</v>
      </c>
      <c r="P118" s="1">
        <v>6.22</v>
      </c>
      <c r="Q118" s="1">
        <v>0</v>
      </c>
      <c r="R118" s="1">
        <v>1013535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>
        <v>161</v>
      </c>
      <c r="C119" s="1">
        <v>1</v>
      </c>
      <c r="D119" s="1">
        <v>2879152</v>
      </c>
      <c r="E119" s="1">
        <v>0</v>
      </c>
      <c r="F119" s="1">
        <v>409</v>
      </c>
      <c r="G119" s="1">
        <v>0</v>
      </c>
      <c r="H119" s="1">
        <v>1</v>
      </c>
      <c r="I119" s="1">
        <v>5.141</v>
      </c>
      <c r="J119" s="1">
        <v>5.32</v>
      </c>
      <c r="K119" s="1">
        <v>0</v>
      </c>
      <c r="L119" s="1" t="s">
        <v>380</v>
      </c>
      <c r="M119" s="1">
        <v>960819</v>
      </c>
      <c r="N119" s="1">
        <v>0.17</v>
      </c>
      <c r="O119" s="1" t="s">
        <v>384</v>
      </c>
      <c r="P119" s="1">
        <v>5.32</v>
      </c>
      <c r="Q119" s="1">
        <v>0</v>
      </c>
      <c r="R119" s="1">
        <v>806984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>
        <v>97</v>
      </c>
      <c r="C120" s="1">
        <v>2</v>
      </c>
      <c r="D120" s="1">
        <v>2692017</v>
      </c>
      <c r="E120" s="1">
        <v>0</v>
      </c>
      <c r="F120" s="1">
        <v>389</v>
      </c>
      <c r="G120" s="1">
        <v>0</v>
      </c>
      <c r="H120" s="1">
        <v>1</v>
      </c>
      <c r="I120" s="1">
        <v>4.944</v>
      </c>
      <c r="J120" s="1">
        <v>5.11</v>
      </c>
      <c r="K120" s="1">
        <v>0</v>
      </c>
      <c r="L120" s="1" t="s">
        <v>380</v>
      </c>
      <c r="M120" s="1">
        <v>907955</v>
      </c>
      <c r="N120" s="1">
        <v>0.16</v>
      </c>
      <c r="O120" s="1" t="s">
        <v>384</v>
      </c>
      <c r="P120" s="1">
        <v>5.11</v>
      </c>
      <c r="Q120" s="1">
        <v>0</v>
      </c>
      <c r="R120" s="1">
        <v>756702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>
        <v>117</v>
      </c>
      <c r="C121" s="1">
        <v>3</v>
      </c>
      <c r="D121" s="1">
        <v>2682995</v>
      </c>
      <c r="E121" s="1">
        <v>0</v>
      </c>
      <c r="F121" s="1">
        <v>389</v>
      </c>
      <c r="G121" s="1">
        <v>0</v>
      </c>
      <c r="H121" s="1">
        <v>1</v>
      </c>
      <c r="I121" s="1">
        <v>5.222</v>
      </c>
      <c r="J121" s="1">
        <v>5.4</v>
      </c>
      <c r="K121" s="1">
        <v>0</v>
      </c>
      <c r="L121" s="1" t="s">
        <v>380</v>
      </c>
      <c r="M121" s="1">
        <v>905553</v>
      </c>
      <c r="N121" s="1">
        <v>0.23</v>
      </c>
      <c r="O121" s="1" t="s">
        <v>384</v>
      </c>
      <c r="P121" s="1">
        <v>5.4</v>
      </c>
      <c r="Q121" s="1">
        <v>0</v>
      </c>
      <c r="R121" s="1">
        <v>754410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>
        <v>6095</v>
      </c>
      <c r="C122" s="1">
        <v>336</v>
      </c>
      <c r="D122" s="1">
        <v>1945855</v>
      </c>
      <c r="E122" s="1">
        <v>0</v>
      </c>
      <c r="F122" s="1">
        <v>297</v>
      </c>
      <c r="G122" s="1">
        <v>0</v>
      </c>
      <c r="H122" s="1">
        <v>1</v>
      </c>
      <c r="I122" s="1">
        <v>5.534</v>
      </c>
      <c r="J122" s="1">
        <v>5.71</v>
      </c>
      <c r="K122" s="1">
        <v>2</v>
      </c>
      <c r="L122" s="1" t="s">
        <v>380</v>
      </c>
      <c r="M122" s="1">
        <v>682335</v>
      </c>
      <c r="N122" s="1">
        <v>2.02</v>
      </c>
      <c r="O122" s="1" t="s">
        <v>384</v>
      </c>
      <c r="P122" s="1">
        <v>5.71</v>
      </c>
      <c r="Q122" s="1">
        <v>0</v>
      </c>
      <c r="R122" s="1">
        <v>551296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>
        <v>1005</v>
      </c>
      <c r="C123" s="1">
        <v>1</v>
      </c>
      <c r="D123" s="1">
        <v>2957943</v>
      </c>
      <c r="E123" s="1">
        <v>0</v>
      </c>
      <c r="F123" s="1">
        <v>423</v>
      </c>
      <c r="G123" s="1">
        <v>0</v>
      </c>
      <c r="H123" s="1">
        <v>1</v>
      </c>
      <c r="I123" s="1">
        <v>5.3</v>
      </c>
      <c r="J123" s="1">
        <v>5.48</v>
      </c>
      <c r="K123" s="1">
        <v>0</v>
      </c>
      <c r="L123" s="1" t="s">
        <v>380</v>
      </c>
      <c r="M123" s="1">
        <v>1000747</v>
      </c>
      <c r="N123" s="1">
        <v>0.21</v>
      </c>
      <c r="O123" s="1" t="s">
        <v>384</v>
      </c>
      <c r="P123" s="1">
        <v>5.48</v>
      </c>
      <c r="Q123" s="1">
        <v>0</v>
      </c>
      <c r="R123" s="1">
        <v>828192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>
        <v>281</v>
      </c>
      <c r="C124" s="1">
        <v>8</v>
      </c>
      <c r="D124" s="1">
        <v>1578585</v>
      </c>
      <c r="E124" s="1">
        <v>0</v>
      </c>
      <c r="F124" s="1">
        <v>247</v>
      </c>
      <c r="G124" s="1">
        <v>0</v>
      </c>
      <c r="H124" s="1">
        <v>1</v>
      </c>
      <c r="I124" s="1">
        <v>3.268</v>
      </c>
      <c r="J124" s="1">
        <v>3.38</v>
      </c>
      <c r="K124" s="1">
        <v>0</v>
      </c>
      <c r="L124" s="1" t="s">
        <v>380</v>
      </c>
      <c r="M124" s="1">
        <v>574401</v>
      </c>
      <c r="N124" s="1">
        <v>0.16</v>
      </c>
      <c r="O124" s="1" t="s">
        <v>384</v>
      </c>
      <c r="P124" s="1">
        <v>3.38</v>
      </c>
      <c r="Q124" s="1">
        <v>0</v>
      </c>
      <c r="R124" s="1">
        <v>453617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>
        <v>197</v>
      </c>
      <c r="C125" s="1">
        <v>0</v>
      </c>
      <c r="D125" s="1">
        <v>6728628</v>
      </c>
      <c r="E125" s="1">
        <v>0</v>
      </c>
      <c r="F125" s="1">
        <v>893</v>
      </c>
      <c r="G125" s="1">
        <v>0</v>
      </c>
      <c r="H125" s="1">
        <v>1</v>
      </c>
      <c r="I125" s="1">
        <v>10.684</v>
      </c>
      <c r="J125" s="1">
        <v>11.09</v>
      </c>
      <c r="K125" s="1">
        <v>0</v>
      </c>
      <c r="L125" s="1" t="s">
        <v>380</v>
      </c>
      <c r="M125" s="1">
        <v>2134744</v>
      </c>
      <c r="N125" s="1">
        <v>0.36</v>
      </c>
      <c r="O125" s="1" t="s">
        <v>384</v>
      </c>
      <c r="P125" s="1">
        <v>11.09</v>
      </c>
      <c r="Q125" s="1">
        <v>0</v>
      </c>
      <c r="R125" s="1">
        <v>1854362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>
        <v>179</v>
      </c>
      <c r="C126" s="1">
        <v>3</v>
      </c>
      <c r="D126" s="1">
        <v>5779266</v>
      </c>
      <c r="E126" s="1">
        <v>0</v>
      </c>
      <c r="F126" s="1">
        <v>796</v>
      </c>
      <c r="G126" s="1">
        <v>0</v>
      </c>
      <c r="H126" s="1">
        <v>1</v>
      </c>
      <c r="I126" s="1">
        <v>10.472</v>
      </c>
      <c r="J126" s="1">
        <v>10.87</v>
      </c>
      <c r="K126" s="1">
        <v>0</v>
      </c>
      <c r="L126" s="1" t="s">
        <v>380</v>
      </c>
      <c r="M126" s="1">
        <v>1873573</v>
      </c>
      <c r="N126" s="1">
        <v>0.42</v>
      </c>
      <c r="O126" s="1" t="s">
        <v>384</v>
      </c>
      <c r="P126" s="1">
        <v>10.87</v>
      </c>
      <c r="Q126" s="1">
        <v>0</v>
      </c>
      <c r="R126" s="1">
        <v>1606224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>
        <v>3591</v>
      </c>
      <c r="C127" s="1">
        <v>9</v>
      </c>
      <c r="D127" s="1">
        <v>5724633</v>
      </c>
      <c r="E127" s="1">
        <v>0</v>
      </c>
      <c r="F127" s="1">
        <v>791</v>
      </c>
      <c r="G127" s="1">
        <v>0</v>
      </c>
      <c r="H127" s="1">
        <v>1</v>
      </c>
      <c r="I127" s="1">
        <v>10.819</v>
      </c>
      <c r="J127" s="1">
        <v>11.22</v>
      </c>
      <c r="K127" s="1">
        <v>0</v>
      </c>
      <c r="L127" s="1" t="s">
        <v>380</v>
      </c>
      <c r="M127" s="1">
        <v>1858055</v>
      </c>
      <c r="N127" s="1">
        <v>1.06</v>
      </c>
      <c r="O127" s="1" t="s">
        <v>384</v>
      </c>
      <c r="P127" s="1">
        <v>11.22</v>
      </c>
      <c r="Q127" s="1">
        <v>0</v>
      </c>
      <c r="R127" s="1">
        <v>1591193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>
        <v>201</v>
      </c>
      <c r="C128" s="1">
        <v>1</v>
      </c>
      <c r="D128" s="1">
        <v>6633958</v>
      </c>
      <c r="E128" s="1">
        <v>0</v>
      </c>
      <c r="F128" s="1">
        <v>889</v>
      </c>
      <c r="G128" s="1">
        <v>0</v>
      </c>
      <c r="H128" s="1">
        <v>1</v>
      </c>
      <c r="I128" s="1">
        <v>11.415</v>
      </c>
      <c r="J128" s="1">
        <v>11.82</v>
      </c>
      <c r="K128" s="1">
        <v>0</v>
      </c>
      <c r="L128" s="1" t="s">
        <v>380</v>
      </c>
      <c r="M128" s="1">
        <v>2134756</v>
      </c>
      <c r="N128" s="1">
        <v>0.57</v>
      </c>
      <c r="O128" s="1" t="s">
        <v>384</v>
      </c>
      <c r="P128" s="1">
        <v>11.82</v>
      </c>
      <c r="Q128" s="1">
        <v>0</v>
      </c>
      <c r="R128" s="1">
        <v>1830015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>
        <v>189</v>
      </c>
      <c r="C129" s="1">
        <v>1</v>
      </c>
      <c r="D129" s="1">
        <v>5461614</v>
      </c>
      <c r="E129" s="1">
        <v>0</v>
      </c>
      <c r="F129" s="1">
        <v>764</v>
      </c>
      <c r="G129" s="1">
        <v>0</v>
      </c>
      <c r="H129" s="1">
        <v>1</v>
      </c>
      <c r="I129" s="1">
        <v>10.018</v>
      </c>
      <c r="J129" s="1">
        <v>10.41</v>
      </c>
      <c r="K129" s="1">
        <v>0</v>
      </c>
      <c r="L129" s="1" t="s">
        <v>380</v>
      </c>
      <c r="M129" s="1">
        <v>1808164</v>
      </c>
      <c r="N129" s="1">
        <v>0.39</v>
      </c>
      <c r="O129" s="1" t="s">
        <v>384</v>
      </c>
      <c r="P129" s="1">
        <v>10.41</v>
      </c>
      <c r="Q129" s="1">
        <v>0</v>
      </c>
      <c r="R129" s="1">
        <v>1525065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>
        <v>297</v>
      </c>
      <c r="C130" s="1">
        <v>3</v>
      </c>
      <c r="D130" s="1">
        <v>5886767</v>
      </c>
      <c r="E130" s="1">
        <v>0</v>
      </c>
      <c r="F130" s="1">
        <v>814</v>
      </c>
      <c r="G130" s="1">
        <v>0</v>
      </c>
      <c r="H130" s="1">
        <v>1</v>
      </c>
      <c r="I130" s="1">
        <v>10.896</v>
      </c>
      <c r="J130" s="1">
        <v>11.29</v>
      </c>
      <c r="K130" s="1">
        <v>0</v>
      </c>
      <c r="L130" s="1" t="s">
        <v>380</v>
      </c>
      <c r="M130" s="1">
        <v>1927409</v>
      </c>
      <c r="N130" s="1">
        <v>0.84</v>
      </c>
      <c r="O130" s="1" t="s">
        <v>384</v>
      </c>
      <c r="P130" s="1">
        <v>11.29</v>
      </c>
      <c r="Q130" s="1">
        <v>0</v>
      </c>
      <c r="R130" s="1">
        <v>1635211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>
        <v>1258</v>
      </c>
      <c r="C131" s="1">
        <v>6</v>
      </c>
      <c r="D131" s="1">
        <v>3488926</v>
      </c>
      <c r="E131" s="1">
        <v>0</v>
      </c>
      <c r="F131" s="1">
        <v>514</v>
      </c>
      <c r="G131" s="1">
        <v>0</v>
      </c>
      <c r="H131" s="1">
        <v>1</v>
      </c>
      <c r="I131" s="1">
        <v>6.705</v>
      </c>
      <c r="J131" s="1">
        <v>6.95</v>
      </c>
      <c r="K131" s="1">
        <v>0</v>
      </c>
      <c r="L131" s="1" t="s">
        <v>380</v>
      </c>
      <c r="M131" s="1">
        <v>1201393</v>
      </c>
      <c r="N131" s="1">
        <v>0.37</v>
      </c>
      <c r="O131" s="1" t="s">
        <v>384</v>
      </c>
      <c r="P131" s="1">
        <v>6.95</v>
      </c>
      <c r="Q131" s="1">
        <v>0</v>
      </c>
      <c r="R131" s="1">
        <v>987917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>
        <v>235</v>
      </c>
      <c r="C132" s="1">
        <v>2</v>
      </c>
      <c r="D132" s="1">
        <v>10306018</v>
      </c>
      <c r="E132" s="1">
        <v>0</v>
      </c>
      <c r="F132" s="1">
        <v>1382</v>
      </c>
      <c r="G132" s="1">
        <v>0</v>
      </c>
      <c r="H132" s="1">
        <v>1</v>
      </c>
      <c r="I132" s="1">
        <v>18.08</v>
      </c>
      <c r="J132" s="1">
        <v>18.74</v>
      </c>
      <c r="K132" s="1">
        <v>0</v>
      </c>
      <c r="L132" s="1" t="s">
        <v>380</v>
      </c>
      <c r="M132" s="1">
        <v>3262559</v>
      </c>
      <c r="N132" s="1">
        <v>0.6899999999999999</v>
      </c>
      <c r="O132" s="1" t="s">
        <v>384</v>
      </c>
      <c r="P132" s="1">
        <v>18.74</v>
      </c>
      <c r="Q132" s="1">
        <v>0</v>
      </c>
      <c r="R132" s="1">
        <v>2843276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>
        <v>661</v>
      </c>
      <c r="C133" s="1">
        <v>4</v>
      </c>
      <c r="D133" s="1">
        <v>9402527</v>
      </c>
      <c r="E133" s="1">
        <v>0</v>
      </c>
      <c r="F133" s="1">
        <v>1228</v>
      </c>
      <c r="G133" s="1">
        <v>0</v>
      </c>
      <c r="H133" s="1">
        <v>1</v>
      </c>
      <c r="I133" s="1">
        <v>18.503</v>
      </c>
      <c r="J133" s="1">
        <v>19.08</v>
      </c>
      <c r="K133" s="1">
        <v>0</v>
      </c>
      <c r="L133" s="1" t="s">
        <v>380</v>
      </c>
      <c r="M133" s="1">
        <v>3013850</v>
      </c>
      <c r="N133" s="1">
        <v>1.28</v>
      </c>
      <c r="O133" s="1" t="s">
        <v>384</v>
      </c>
      <c r="P133" s="1">
        <v>19.08</v>
      </c>
      <c r="Q133" s="1">
        <v>0</v>
      </c>
      <c r="R133" s="1">
        <v>2608357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>
        <v>368</v>
      </c>
      <c r="C134" s="1">
        <v>3</v>
      </c>
      <c r="D134" s="1">
        <v>9979054</v>
      </c>
      <c r="E134" s="1">
        <v>0</v>
      </c>
      <c r="F134" s="1">
        <v>1354</v>
      </c>
      <c r="G134" s="1">
        <v>0</v>
      </c>
      <c r="H134" s="1">
        <v>1</v>
      </c>
      <c r="I134" s="1">
        <v>18.061</v>
      </c>
      <c r="J134" s="1">
        <v>18.63</v>
      </c>
      <c r="K134" s="1">
        <v>0</v>
      </c>
      <c r="L134" s="1" t="s">
        <v>380</v>
      </c>
      <c r="M134" s="1">
        <v>3171198</v>
      </c>
      <c r="N134" s="1">
        <v>1.26</v>
      </c>
      <c r="O134" s="1" t="s">
        <v>384</v>
      </c>
      <c r="P134" s="1">
        <v>18.63</v>
      </c>
      <c r="Q134" s="1">
        <v>0</v>
      </c>
      <c r="R134" s="1">
        <v>2756663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>
        <v>586</v>
      </c>
      <c r="C135" s="1">
        <v>1</v>
      </c>
      <c r="D135" s="1">
        <v>10530815</v>
      </c>
      <c r="E135" s="1">
        <v>0</v>
      </c>
      <c r="F135" s="1">
        <v>1408</v>
      </c>
      <c r="G135" s="1">
        <v>0</v>
      </c>
      <c r="H135" s="1">
        <v>1</v>
      </c>
      <c r="I135" s="1">
        <v>18.85</v>
      </c>
      <c r="J135" s="1">
        <v>19.53</v>
      </c>
      <c r="K135" s="1">
        <v>0</v>
      </c>
      <c r="L135" s="1" t="s">
        <v>380</v>
      </c>
      <c r="M135" s="1">
        <v>3354368</v>
      </c>
      <c r="N135" s="1">
        <v>0.95</v>
      </c>
      <c r="O135" s="1" t="s">
        <v>384</v>
      </c>
      <c r="P135" s="1">
        <v>19.53</v>
      </c>
      <c r="Q135" s="1">
        <v>0</v>
      </c>
      <c r="R135" s="1">
        <v>2903112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>
        <v>2206</v>
      </c>
      <c r="C136" s="1">
        <v>22</v>
      </c>
      <c r="D136" s="1">
        <v>6232355</v>
      </c>
      <c r="E136" s="1">
        <v>0</v>
      </c>
      <c r="F136" s="1">
        <v>900</v>
      </c>
      <c r="G136" s="1">
        <v>0</v>
      </c>
      <c r="H136" s="1">
        <v>1</v>
      </c>
      <c r="I136" s="1">
        <v>12.11</v>
      </c>
      <c r="J136" s="1">
        <v>12.59</v>
      </c>
      <c r="K136" s="1">
        <v>0</v>
      </c>
      <c r="L136" s="1" t="s">
        <v>380</v>
      </c>
      <c r="M136" s="1">
        <v>2078233</v>
      </c>
      <c r="N136" s="1">
        <v>0.89</v>
      </c>
      <c r="O136" s="1" t="s">
        <v>384</v>
      </c>
      <c r="P136" s="1">
        <v>12.59</v>
      </c>
      <c r="Q136" s="1">
        <v>0</v>
      </c>
      <c r="R136" s="1">
        <v>1748685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>
        <v>223</v>
      </c>
      <c r="C137" s="1">
        <v>2</v>
      </c>
      <c r="D137" s="1">
        <v>8760177</v>
      </c>
      <c r="E137" s="1">
        <v>0</v>
      </c>
      <c r="F137" s="1">
        <v>1183</v>
      </c>
      <c r="G137" s="1">
        <v>0</v>
      </c>
      <c r="H137" s="1">
        <v>1</v>
      </c>
      <c r="I137" s="1">
        <v>16.597</v>
      </c>
      <c r="J137" s="1">
        <v>17.14</v>
      </c>
      <c r="K137" s="1">
        <v>0</v>
      </c>
      <c r="L137" s="1" t="s">
        <v>380</v>
      </c>
      <c r="M137" s="1">
        <v>2865008</v>
      </c>
      <c r="N137" s="1">
        <v>0.77</v>
      </c>
      <c r="O137" s="1" t="s">
        <v>384</v>
      </c>
      <c r="P137" s="1">
        <v>17.14</v>
      </c>
      <c r="Q137" s="1">
        <v>0</v>
      </c>
      <c r="R137" s="1">
        <v>2441868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>
        <v>230</v>
      </c>
      <c r="C138" s="1">
        <v>2</v>
      </c>
      <c r="D138" s="1">
        <v>9292505</v>
      </c>
      <c r="E138" s="1">
        <v>0</v>
      </c>
      <c r="F138" s="1">
        <v>1241</v>
      </c>
      <c r="G138" s="1">
        <v>0</v>
      </c>
      <c r="H138" s="1">
        <v>1</v>
      </c>
      <c r="I138" s="1">
        <v>17.802</v>
      </c>
      <c r="J138" s="1">
        <v>18.38</v>
      </c>
      <c r="K138" s="1">
        <v>0</v>
      </c>
      <c r="L138" s="1" t="s">
        <v>380</v>
      </c>
      <c r="M138" s="1">
        <v>3013862</v>
      </c>
      <c r="N138" s="1">
        <v>0.86</v>
      </c>
      <c r="O138" s="1" t="s">
        <v>384</v>
      </c>
      <c r="P138" s="1">
        <v>18.38</v>
      </c>
      <c r="Q138" s="1">
        <v>0</v>
      </c>
      <c r="R138" s="1">
        <v>2579955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>
        <v>925</v>
      </c>
      <c r="C139" s="1">
        <v>4</v>
      </c>
      <c r="D139" s="1">
        <v>14619142</v>
      </c>
      <c r="E139" s="1">
        <v>0</v>
      </c>
      <c r="F139" s="1">
        <v>1944</v>
      </c>
      <c r="G139" s="1">
        <v>0</v>
      </c>
      <c r="H139" s="1">
        <v>1</v>
      </c>
      <c r="I139" s="1">
        <v>28.32</v>
      </c>
      <c r="J139" s="1">
        <v>29.32</v>
      </c>
      <c r="K139" s="1">
        <v>0</v>
      </c>
      <c r="L139" s="1" t="s">
        <v>380</v>
      </c>
      <c r="M139" s="1">
        <v>4620459</v>
      </c>
      <c r="N139" s="1">
        <v>2.97</v>
      </c>
      <c r="O139" s="1" t="s">
        <v>384</v>
      </c>
      <c r="P139" s="1">
        <v>29.32</v>
      </c>
      <c r="Q139" s="1">
        <v>0</v>
      </c>
      <c r="R139" s="1">
        <v>4036662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>
        <v>647</v>
      </c>
      <c r="C140" s="1">
        <v>3</v>
      </c>
      <c r="D140" s="1">
        <v>14888654</v>
      </c>
      <c r="E140" s="1">
        <v>0</v>
      </c>
      <c r="F140" s="1">
        <v>1962</v>
      </c>
      <c r="G140" s="1">
        <v>0</v>
      </c>
      <c r="H140" s="1">
        <v>1</v>
      </c>
      <c r="I140" s="1">
        <v>28.374</v>
      </c>
      <c r="J140" s="1">
        <v>29.35</v>
      </c>
      <c r="K140" s="1">
        <v>0</v>
      </c>
      <c r="L140" s="1" t="s">
        <v>380</v>
      </c>
      <c r="M140" s="1">
        <v>4731147</v>
      </c>
      <c r="N140" s="1">
        <v>2.18</v>
      </c>
      <c r="O140" s="1" t="s">
        <v>384</v>
      </c>
      <c r="P140" s="1">
        <v>29.35</v>
      </c>
      <c r="Q140" s="1">
        <v>0</v>
      </c>
      <c r="R140" s="1">
        <v>4108692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>
        <v>620</v>
      </c>
      <c r="C141" s="1">
        <v>2</v>
      </c>
      <c r="D141" s="1">
        <v>14875487</v>
      </c>
      <c r="E141" s="1">
        <v>0</v>
      </c>
      <c r="F141" s="1">
        <v>1959</v>
      </c>
      <c r="G141" s="1">
        <v>0</v>
      </c>
      <c r="H141" s="1">
        <v>1</v>
      </c>
      <c r="I141" s="1">
        <v>27.949</v>
      </c>
      <c r="J141" s="1">
        <v>28.93</v>
      </c>
      <c r="K141" s="1">
        <v>0</v>
      </c>
      <c r="L141" s="1" t="s">
        <v>380</v>
      </c>
      <c r="M141" s="1">
        <v>4731147</v>
      </c>
      <c r="N141" s="1">
        <v>1.65</v>
      </c>
      <c r="O141" s="1" t="s">
        <v>384</v>
      </c>
      <c r="P141" s="1">
        <v>28.93</v>
      </c>
      <c r="Q141" s="1">
        <v>0</v>
      </c>
      <c r="R141" s="1">
        <v>4105388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>
        <v>261</v>
      </c>
      <c r="C142" s="1">
        <v>2</v>
      </c>
      <c r="D142" s="1">
        <v>13794707</v>
      </c>
      <c r="E142" s="1">
        <v>0</v>
      </c>
      <c r="F142" s="1">
        <v>1855</v>
      </c>
      <c r="G142" s="1">
        <v>0</v>
      </c>
      <c r="H142" s="1">
        <v>1</v>
      </c>
      <c r="I142" s="1">
        <v>25.748</v>
      </c>
      <c r="J142" s="1">
        <v>26.75</v>
      </c>
      <c r="K142" s="1">
        <v>0</v>
      </c>
      <c r="L142" s="1" t="s">
        <v>380</v>
      </c>
      <c r="M142" s="1">
        <v>4432750</v>
      </c>
      <c r="N142" s="1">
        <v>0.9399999999999999</v>
      </c>
      <c r="O142" s="1" t="s">
        <v>384</v>
      </c>
      <c r="P142" s="1">
        <v>26.75</v>
      </c>
      <c r="Q142" s="1">
        <v>0</v>
      </c>
      <c r="R142" s="1">
        <v>3824272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>
        <v>442</v>
      </c>
      <c r="C143" s="1">
        <v>3</v>
      </c>
      <c r="D143" s="1">
        <v>13770328</v>
      </c>
      <c r="E143" s="1">
        <v>0</v>
      </c>
      <c r="F143" s="1">
        <v>1847</v>
      </c>
      <c r="G143" s="1">
        <v>0</v>
      </c>
      <c r="H143" s="1">
        <v>1</v>
      </c>
      <c r="I143" s="1">
        <v>25.552</v>
      </c>
      <c r="J143" s="1">
        <v>26.45</v>
      </c>
      <c r="K143" s="1">
        <v>0</v>
      </c>
      <c r="L143" s="1" t="s">
        <v>380</v>
      </c>
      <c r="M143" s="1">
        <v>4426368</v>
      </c>
      <c r="N143" s="1">
        <v>1.87</v>
      </c>
      <c r="O143" s="1" t="s">
        <v>384</v>
      </c>
      <c r="P143" s="1">
        <v>26.45</v>
      </c>
      <c r="Q143" s="1">
        <v>0</v>
      </c>
      <c r="R143" s="1">
        <v>3818115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>
        <v>1331</v>
      </c>
      <c r="C144" s="1">
        <v>4</v>
      </c>
      <c r="D144" s="1">
        <v>13707642</v>
      </c>
      <c r="E144" s="1">
        <v>0</v>
      </c>
      <c r="F144" s="1">
        <v>1839</v>
      </c>
      <c r="G144" s="1">
        <v>0</v>
      </c>
      <c r="H144" s="1">
        <v>1</v>
      </c>
      <c r="I144" s="1">
        <v>25.091</v>
      </c>
      <c r="J144" s="1">
        <v>25.99</v>
      </c>
      <c r="K144" s="1">
        <v>0</v>
      </c>
      <c r="L144" s="1" t="s">
        <v>380</v>
      </c>
      <c r="M144" s="1">
        <v>4410840</v>
      </c>
      <c r="N144" s="1">
        <v>1.77</v>
      </c>
      <c r="O144" s="1" t="s">
        <v>384</v>
      </c>
      <c r="P144" s="1">
        <v>25.99</v>
      </c>
      <c r="Q144" s="1">
        <v>0</v>
      </c>
      <c r="R144" s="1">
        <v>3801505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>
        <v>1497</v>
      </c>
      <c r="C145" s="1">
        <v>4</v>
      </c>
      <c r="D145" s="1">
        <v>14478310</v>
      </c>
      <c r="E145" s="1">
        <v>0</v>
      </c>
      <c r="F145" s="1">
        <v>1917</v>
      </c>
      <c r="G145" s="1">
        <v>0</v>
      </c>
      <c r="H145" s="1">
        <v>1</v>
      </c>
      <c r="I145" s="1">
        <v>27.647</v>
      </c>
      <c r="J145" s="1">
        <v>28.58</v>
      </c>
      <c r="K145" s="1">
        <v>0</v>
      </c>
      <c r="L145" s="1" t="s">
        <v>380</v>
      </c>
      <c r="M145" s="1">
        <v>4620471</v>
      </c>
      <c r="N145" s="1">
        <v>2.24</v>
      </c>
      <c r="O145" s="1" t="s">
        <v>384</v>
      </c>
      <c r="P145" s="1">
        <v>28.58</v>
      </c>
      <c r="Q145" s="1">
        <v>0</v>
      </c>
      <c r="R145" s="1">
        <v>4000457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>
        <v>1789</v>
      </c>
      <c r="C146" s="1">
        <v>6</v>
      </c>
      <c r="D146" s="1">
        <v>19958231</v>
      </c>
      <c r="E146" s="1">
        <v>0</v>
      </c>
      <c r="F146" s="1">
        <v>2531</v>
      </c>
      <c r="G146" s="1">
        <v>0</v>
      </c>
      <c r="H146" s="1">
        <v>1</v>
      </c>
      <c r="I146" s="1">
        <v>38.978</v>
      </c>
      <c r="J146" s="1">
        <v>40.14</v>
      </c>
      <c r="K146" s="1">
        <v>0</v>
      </c>
      <c r="L146" s="1" t="s">
        <v>380</v>
      </c>
      <c r="M146" s="1">
        <v>6338011</v>
      </c>
      <c r="N146" s="1">
        <v>3.01</v>
      </c>
      <c r="O146" s="1" t="s">
        <v>384</v>
      </c>
      <c r="P146" s="1">
        <v>40.14</v>
      </c>
      <c r="Q146" s="1">
        <v>0</v>
      </c>
      <c r="R146" s="1">
        <v>5512726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>
        <v>33</v>
      </c>
      <c r="C147" s="1">
        <v>0</v>
      </c>
      <c r="D147" s="1">
        <v>238303</v>
      </c>
      <c r="E147" s="1">
        <v>0</v>
      </c>
      <c r="F147" s="1">
        <v>59</v>
      </c>
      <c r="G147" s="1">
        <v>0</v>
      </c>
      <c r="H147" s="1">
        <v>1</v>
      </c>
      <c r="I147" s="1">
        <v>1.011</v>
      </c>
      <c r="J147" s="1">
        <v>1.04</v>
      </c>
      <c r="K147" s="1">
        <v>0</v>
      </c>
      <c r="L147" s="1" t="s">
        <v>380</v>
      </c>
      <c r="M147" s="1">
        <v>126398</v>
      </c>
      <c r="N147" s="1">
        <v>0.02</v>
      </c>
      <c r="O147" s="1" t="s">
        <v>384</v>
      </c>
      <c r="P147" s="1">
        <v>1.04</v>
      </c>
      <c r="Q147" s="1">
        <v>0</v>
      </c>
      <c r="R147" s="1">
        <v>76822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>
        <v>24</v>
      </c>
      <c r="C148" s="1">
        <v>0</v>
      </c>
      <c r="D148" s="1">
        <v>299686</v>
      </c>
      <c r="E148" s="1">
        <v>0</v>
      </c>
      <c r="F148" s="1">
        <v>68</v>
      </c>
      <c r="G148" s="1">
        <v>0</v>
      </c>
      <c r="H148" s="1">
        <v>1</v>
      </c>
      <c r="I148" s="1">
        <v>1.052</v>
      </c>
      <c r="J148" s="1">
        <v>1.09</v>
      </c>
      <c r="K148" s="1">
        <v>0</v>
      </c>
      <c r="L148" s="1" t="s">
        <v>380</v>
      </c>
      <c r="M148" s="1">
        <v>138360</v>
      </c>
      <c r="N148" s="1">
        <v>0.02</v>
      </c>
      <c r="O148" s="1" t="s">
        <v>384</v>
      </c>
      <c r="P148" s="1">
        <v>1.09</v>
      </c>
      <c r="Q148" s="1">
        <v>0</v>
      </c>
      <c r="R148" s="1">
        <v>95364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>
        <v>35</v>
      </c>
      <c r="C149" s="1">
        <v>0</v>
      </c>
      <c r="D149" s="1">
        <v>152528</v>
      </c>
      <c r="E149" s="1">
        <v>0</v>
      </c>
      <c r="F149" s="1">
        <v>43</v>
      </c>
      <c r="G149" s="1">
        <v>0</v>
      </c>
      <c r="H149" s="1">
        <v>1</v>
      </c>
      <c r="I149" s="1">
        <v>0.734</v>
      </c>
      <c r="J149" s="1">
        <v>0.75</v>
      </c>
      <c r="K149" s="1">
        <v>0</v>
      </c>
      <c r="L149" s="1" t="s">
        <v>380</v>
      </c>
      <c r="M149" s="1">
        <v>86124</v>
      </c>
      <c r="N149" s="1">
        <v>0.01</v>
      </c>
      <c r="O149" s="1" t="s">
        <v>384</v>
      </c>
      <c r="P149" s="1">
        <v>0.75</v>
      </c>
      <c r="Q149" s="1">
        <v>0</v>
      </c>
      <c r="R149" s="1">
        <v>49917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>
        <v>26</v>
      </c>
      <c r="C150" s="1">
        <v>0</v>
      </c>
      <c r="D150" s="1">
        <v>262618</v>
      </c>
      <c r="E150" s="1">
        <v>0</v>
      </c>
      <c r="F150" s="1">
        <v>65</v>
      </c>
      <c r="G150" s="1">
        <v>0</v>
      </c>
      <c r="H150" s="1">
        <v>1</v>
      </c>
      <c r="I150" s="1">
        <v>1.147</v>
      </c>
      <c r="J150" s="1">
        <v>1.18</v>
      </c>
      <c r="K150" s="1">
        <v>0</v>
      </c>
      <c r="L150" s="1" t="s">
        <v>380</v>
      </c>
      <c r="M150" s="1">
        <v>138372</v>
      </c>
      <c r="N150" s="1">
        <v>0.02</v>
      </c>
      <c r="O150" s="1" t="s">
        <v>384</v>
      </c>
      <c r="P150" s="1">
        <v>1.18</v>
      </c>
      <c r="Q150" s="1">
        <v>0</v>
      </c>
      <c r="R150" s="1">
        <v>84481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>
        <v>31</v>
      </c>
      <c r="C151" s="1">
        <v>0</v>
      </c>
      <c r="D151" s="1">
        <v>260522</v>
      </c>
      <c r="E151" s="1">
        <v>0</v>
      </c>
      <c r="F151" s="1">
        <v>61</v>
      </c>
      <c r="G151" s="1">
        <v>0</v>
      </c>
      <c r="H151" s="1">
        <v>1</v>
      </c>
      <c r="I151" s="1">
        <v>0.96</v>
      </c>
      <c r="J151" s="1">
        <v>0.99</v>
      </c>
      <c r="K151" s="1">
        <v>0</v>
      </c>
      <c r="L151" s="1" t="s">
        <v>380</v>
      </c>
      <c r="M151" s="1">
        <v>122626</v>
      </c>
      <c r="N151" s="1">
        <v>0.02</v>
      </c>
      <c r="O151" s="1" t="s">
        <v>384</v>
      </c>
      <c r="P151" s="1">
        <v>0.99</v>
      </c>
      <c r="Q151" s="1">
        <v>0</v>
      </c>
      <c r="R151" s="1">
        <v>83507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>
        <v>39</v>
      </c>
      <c r="C152" s="1">
        <v>0</v>
      </c>
      <c r="D152" s="1">
        <v>212121</v>
      </c>
      <c r="E152" s="1">
        <v>0</v>
      </c>
      <c r="F152" s="1">
        <v>58</v>
      </c>
      <c r="G152" s="1">
        <v>0</v>
      </c>
      <c r="H152" s="1">
        <v>1</v>
      </c>
      <c r="I152" s="1">
        <v>0.93</v>
      </c>
      <c r="J152" s="1">
        <v>0.96</v>
      </c>
      <c r="K152" s="1">
        <v>0</v>
      </c>
      <c r="L152" s="1" t="s">
        <v>380</v>
      </c>
      <c r="M152" s="1">
        <v>128679</v>
      </c>
      <c r="N152" s="1">
        <v>0.01</v>
      </c>
      <c r="O152" s="1" t="s">
        <v>384</v>
      </c>
      <c r="P152" s="1">
        <v>0.96</v>
      </c>
      <c r="Q152" s="1">
        <v>0</v>
      </c>
      <c r="R152" s="1">
        <v>69063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>
        <v>33</v>
      </c>
      <c r="C153" s="1">
        <v>0</v>
      </c>
      <c r="D153" s="1">
        <v>229798</v>
      </c>
      <c r="E153" s="1">
        <v>0</v>
      </c>
      <c r="F153" s="1">
        <v>57</v>
      </c>
      <c r="G153" s="1">
        <v>0</v>
      </c>
      <c r="H153" s="1">
        <v>1</v>
      </c>
      <c r="I153" s="1">
        <v>0.912</v>
      </c>
      <c r="J153" s="1">
        <v>0.9399999999999999</v>
      </c>
      <c r="K153" s="1">
        <v>0</v>
      </c>
      <c r="L153" s="1" t="s">
        <v>380</v>
      </c>
      <c r="M153" s="1">
        <v>122596</v>
      </c>
      <c r="N153" s="1">
        <v>0.02</v>
      </c>
      <c r="O153" s="1" t="s">
        <v>384</v>
      </c>
      <c r="P153" s="1">
        <v>0.9399999999999999</v>
      </c>
      <c r="Q153" s="1">
        <v>0</v>
      </c>
      <c r="R153" s="1">
        <v>74172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>
        <v>58</v>
      </c>
      <c r="C154" s="1">
        <v>0</v>
      </c>
      <c r="D154" s="1">
        <v>673830</v>
      </c>
      <c r="E154" s="1">
        <v>0</v>
      </c>
      <c r="F154" s="1">
        <v>150</v>
      </c>
      <c r="G154" s="1">
        <v>0</v>
      </c>
      <c r="H154" s="1">
        <v>1</v>
      </c>
      <c r="I154" s="1">
        <v>2.094</v>
      </c>
      <c r="J154" s="1">
        <v>2.18</v>
      </c>
      <c r="K154" s="1">
        <v>0</v>
      </c>
      <c r="L154" s="1" t="s">
        <v>380</v>
      </c>
      <c r="M154" s="1">
        <v>342003</v>
      </c>
      <c r="N154" s="1">
        <v>0.05</v>
      </c>
      <c r="O154" s="1" t="s">
        <v>384</v>
      </c>
      <c r="P154" s="1">
        <v>2.18</v>
      </c>
      <c r="Q154" s="1">
        <v>0</v>
      </c>
      <c r="R154" s="1">
        <v>215653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>
        <v>56</v>
      </c>
      <c r="C155" s="1">
        <v>0</v>
      </c>
      <c r="D155" s="1">
        <v>715671</v>
      </c>
      <c r="E155" s="1">
        <v>0</v>
      </c>
      <c r="F155" s="1">
        <v>151</v>
      </c>
      <c r="G155" s="1">
        <v>0</v>
      </c>
      <c r="H155" s="1">
        <v>1</v>
      </c>
      <c r="I155" s="1">
        <v>2.134</v>
      </c>
      <c r="J155" s="1">
        <v>2.22</v>
      </c>
      <c r="K155" s="1">
        <v>0</v>
      </c>
      <c r="L155" s="1" t="s">
        <v>380</v>
      </c>
      <c r="M155" s="1">
        <v>334774</v>
      </c>
      <c r="N155" s="1">
        <v>0.06</v>
      </c>
      <c r="O155" s="1" t="s">
        <v>384</v>
      </c>
      <c r="P155" s="1">
        <v>2.22</v>
      </c>
      <c r="Q155" s="1">
        <v>0</v>
      </c>
      <c r="R155" s="1">
        <v>228200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>
        <v>55</v>
      </c>
      <c r="C156" s="1">
        <v>0</v>
      </c>
      <c r="D156" s="1">
        <v>715671</v>
      </c>
      <c r="E156" s="1">
        <v>0</v>
      </c>
      <c r="F156" s="1">
        <v>151</v>
      </c>
      <c r="G156" s="1">
        <v>0</v>
      </c>
      <c r="H156" s="1">
        <v>1</v>
      </c>
      <c r="I156" s="1">
        <v>2.057</v>
      </c>
      <c r="J156" s="1">
        <v>2.14</v>
      </c>
      <c r="K156" s="1">
        <v>0</v>
      </c>
      <c r="L156" s="1" t="s">
        <v>380</v>
      </c>
      <c r="M156" s="1">
        <v>334774</v>
      </c>
      <c r="N156" s="1">
        <v>0.06</v>
      </c>
      <c r="O156" s="1" t="s">
        <v>384</v>
      </c>
      <c r="P156" s="1">
        <v>2.14</v>
      </c>
      <c r="Q156" s="1">
        <v>0</v>
      </c>
      <c r="R156" s="1">
        <v>228200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>
        <v>83</v>
      </c>
      <c r="C157" s="1">
        <v>1</v>
      </c>
      <c r="D157" s="1">
        <v>809419</v>
      </c>
      <c r="E157" s="1">
        <v>0</v>
      </c>
      <c r="F157" s="1">
        <v>171</v>
      </c>
      <c r="G157" s="1">
        <v>0</v>
      </c>
      <c r="H157" s="1">
        <v>1</v>
      </c>
      <c r="I157" s="1">
        <v>2.389</v>
      </c>
      <c r="J157" s="1">
        <v>2.49</v>
      </c>
      <c r="K157" s="1">
        <v>0</v>
      </c>
      <c r="L157" s="1" t="s">
        <v>380</v>
      </c>
      <c r="M157" s="1">
        <v>371611</v>
      </c>
      <c r="N157" s="1">
        <v>0.08</v>
      </c>
      <c r="O157" s="1" t="s">
        <v>384</v>
      </c>
      <c r="P157" s="1">
        <v>2.49</v>
      </c>
      <c r="Q157" s="1">
        <v>0</v>
      </c>
      <c r="R157" s="1">
        <v>256199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>
        <v>59</v>
      </c>
      <c r="C158" s="1">
        <v>0</v>
      </c>
      <c r="D158" s="1">
        <v>615123</v>
      </c>
      <c r="E158" s="1">
        <v>0</v>
      </c>
      <c r="F158" s="1">
        <v>146</v>
      </c>
      <c r="G158" s="1">
        <v>0</v>
      </c>
      <c r="H158" s="1">
        <v>1</v>
      </c>
      <c r="I158" s="1">
        <v>2.016</v>
      </c>
      <c r="J158" s="1">
        <v>2.1</v>
      </c>
      <c r="K158" s="1">
        <v>0</v>
      </c>
      <c r="L158" s="1" t="s">
        <v>380</v>
      </c>
      <c r="M158" s="1">
        <v>342015</v>
      </c>
      <c r="N158" s="1">
        <v>0.05</v>
      </c>
      <c r="O158" s="1" t="s">
        <v>384</v>
      </c>
      <c r="P158" s="1">
        <v>2.1</v>
      </c>
      <c r="Q158" s="1">
        <v>0</v>
      </c>
      <c r="R158" s="1">
        <v>198114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>
        <v>54</v>
      </c>
      <c r="C159" s="1">
        <v>0</v>
      </c>
      <c r="D159" s="1">
        <v>643787</v>
      </c>
      <c r="E159" s="1">
        <v>0</v>
      </c>
      <c r="F159" s="1">
        <v>143</v>
      </c>
      <c r="G159" s="1">
        <v>0</v>
      </c>
      <c r="H159" s="1">
        <v>1</v>
      </c>
      <c r="I159" s="1">
        <v>1.921</v>
      </c>
      <c r="J159" s="1">
        <v>2</v>
      </c>
      <c r="K159" s="1">
        <v>0</v>
      </c>
      <c r="L159" s="1" t="s">
        <v>380</v>
      </c>
      <c r="M159" s="1">
        <v>327622</v>
      </c>
      <c r="N159" s="1">
        <v>0.05</v>
      </c>
      <c r="O159" s="1" t="s">
        <v>384</v>
      </c>
      <c r="P159" s="1">
        <v>2</v>
      </c>
      <c r="Q159" s="1">
        <v>0</v>
      </c>
      <c r="R159" s="1">
        <v>206121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>
        <v>44</v>
      </c>
      <c r="C160" s="1">
        <v>0</v>
      </c>
      <c r="D160" s="1">
        <v>771230</v>
      </c>
      <c r="E160" s="1">
        <v>0</v>
      </c>
      <c r="F160" s="1">
        <v>160</v>
      </c>
      <c r="G160" s="1">
        <v>0</v>
      </c>
      <c r="H160" s="1">
        <v>1</v>
      </c>
      <c r="I160" s="1">
        <v>2.136</v>
      </c>
      <c r="J160" s="1">
        <v>2.23</v>
      </c>
      <c r="K160" s="1">
        <v>0</v>
      </c>
      <c r="L160" s="1" t="s">
        <v>380</v>
      </c>
      <c r="M160" s="1">
        <v>358019</v>
      </c>
      <c r="N160" s="1">
        <v>0.06</v>
      </c>
      <c r="O160" s="1" t="s">
        <v>384</v>
      </c>
      <c r="P160" s="1">
        <v>2.23</v>
      </c>
      <c r="Q160" s="1">
        <v>0</v>
      </c>
      <c r="R160" s="1">
        <v>245173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>
        <v>65</v>
      </c>
      <c r="C161" s="1">
        <v>0</v>
      </c>
      <c r="D161" s="1">
        <v>1468895</v>
      </c>
      <c r="E161" s="1">
        <v>0</v>
      </c>
      <c r="F161" s="1">
        <v>299</v>
      </c>
      <c r="G161" s="1">
        <v>0</v>
      </c>
      <c r="H161" s="1">
        <v>1</v>
      </c>
      <c r="I161" s="1">
        <v>4.217</v>
      </c>
      <c r="J161" s="1">
        <v>4.41</v>
      </c>
      <c r="K161" s="1">
        <v>0</v>
      </c>
      <c r="L161" s="1" t="s">
        <v>380</v>
      </c>
      <c r="M161" s="1">
        <v>693061</v>
      </c>
      <c r="N161" s="1">
        <v>0.13</v>
      </c>
      <c r="O161" s="1" t="s">
        <v>384</v>
      </c>
      <c r="P161" s="1">
        <v>4.41</v>
      </c>
      <c r="Q161" s="1">
        <v>0</v>
      </c>
      <c r="R161" s="1">
        <v>466660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>
        <v>77</v>
      </c>
      <c r="C162" s="1">
        <v>0</v>
      </c>
      <c r="D162" s="1">
        <v>1522900</v>
      </c>
      <c r="E162" s="1">
        <v>0</v>
      </c>
      <c r="F162" s="1">
        <v>319</v>
      </c>
      <c r="G162" s="1">
        <v>0</v>
      </c>
      <c r="H162" s="1">
        <v>1</v>
      </c>
      <c r="I162" s="1">
        <v>4.064</v>
      </c>
      <c r="J162" s="1">
        <v>4.25</v>
      </c>
      <c r="K162" s="1">
        <v>0</v>
      </c>
      <c r="L162" s="1" t="s">
        <v>380</v>
      </c>
      <c r="M162" s="1">
        <v>712545</v>
      </c>
      <c r="N162" s="1">
        <v>0.13</v>
      </c>
      <c r="O162" s="1" t="s">
        <v>384</v>
      </c>
      <c r="P162" s="1">
        <v>4.25</v>
      </c>
      <c r="Q162" s="1">
        <v>0</v>
      </c>
      <c r="R162" s="1">
        <v>482308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>
        <v>86</v>
      </c>
      <c r="C163" s="1">
        <v>0</v>
      </c>
      <c r="D163" s="1">
        <v>1337216</v>
      </c>
      <c r="E163" s="1">
        <v>0</v>
      </c>
      <c r="F163" s="1">
        <v>274</v>
      </c>
      <c r="G163" s="1">
        <v>0</v>
      </c>
      <c r="H163" s="1">
        <v>1</v>
      </c>
      <c r="I163" s="1">
        <v>3.811</v>
      </c>
      <c r="J163" s="1">
        <v>4.01</v>
      </c>
      <c r="K163" s="1">
        <v>0</v>
      </c>
      <c r="L163" s="1" t="s">
        <v>380</v>
      </c>
      <c r="M163" s="1">
        <v>631477</v>
      </c>
      <c r="N163" s="1">
        <v>0.11</v>
      </c>
      <c r="O163" s="1" t="s">
        <v>384</v>
      </c>
      <c r="P163" s="1">
        <v>4.01</v>
      </c>
      <c r="Q163" s="1">
        <v>0</v>
      </c>
      <c r="R163" s="1">
        <v>425074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>
        <v>81</v>
      </c>
      <c r="C164" s="1">
        <v>0</v>
      </c>
      <c r="D164" s="1">
        <v>1410055</v>
      </c>
      <c r="E164" s="1">
        <v>0</v>
      </c>
      <c r="F164" s="1">
        <v>309</v>
      </c>
      <c r="G164" s="1">
        <v>0</v>
      </c>
      <c r="H164" s="1">
        <v>1</v>
      </c>
      <c r="I164" s="1">
        <v>4.273</v>
      </c>
      <c r="J164" s="1">
        <v>4.46</v>
      </c>
      <c r="K164" s="1">
        <v>0</v>
      </c>
      <c r="L164" s="1" t="s">
        <v>380</v>
      </c>
      <c r="M164" s="1">
        <v>710537</v>
      </c>
      <c r="N164" s="1">
        <v>0.13</v>
      </c>
      <c r="O164" s="1" t="s">
        <v>384</v>
      </c>
      <c r="P164" s="1">
        <v>4.46</v>
      </c>
      <c r="Q164" s="1">
        <v>0</v>
      </c>
      <c r="R164" s="1">
        <v>449507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>
        <v>73</v>
      </c>
      <c r="C165" s="1">
        <v>0</v>
      </c>
      <c r="D165" s="1">
        <v>1361764</v>
      </c>
      <c r="E165" s="1">
        <v>0</v>
      </c>
      <c r="F165" s="1">
        <v>289</v>
      </c>
      <c r="G165" s="1">
        <v>0</v>
      </c>
      <c r="H165" s="1">
        <v>1</v>
      </c>
      <c r="I165" s="1">
        <v>3.934</v>
      </c>
      <c r="J165" s="1">
        <v>4.14</v>
      </c>
      <c r="K165" s="1">
        <v>0</v>
      </c>
      <c r="L165" s="1" t="s">
        <v>380</v>
      </c>
      <c r="M165" s="1">
        <v>643268</v>
      </c>
      <c r="N165" s="1">
        <v>0.12</v>
      </c>
      <c r="O165" s="1" t="s">
        <v>384</v>
      </c>
      <c r="P165" s="1">
        <v>4.14</v>
      </c>
      <c r="Q165" s="1">
        <v>0</v>
      </c>
      <c r="R165" s="1">
        <v>433439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>
        <v>71</v>
      </c>
      <c r="C166" s="1">
        <v>0</v>
      </c>
      <c r="D166" s="1">
        <v>1453592</v>
      </c>
      <c r="E166" s="1">
        <v>0</v>
      </c>
      <c r="F166" s="1">
        <v>303</v>
      </c>
      <c r="G166" s="1">
        <v>0</v>
      </c>
      <c r="H166" s="1">
        <v>1</v>
      </c>
      <c r="I166" s="1">
        <v>3.952</v>
      </c>
      <c r="J166" s="1">
        <v>4.13</v>
      </c>
      <c r="K166" s="1">
        <v>0</v>
      </c>
      <c r="L166" s="1" t="s">
        <v>380</v>
      </c>
      <c r="M166" s="1">
        <v>643256</v>
      </c>
      <c r="N166" s="1">
        <v>0.12</v>
      </c>
      <c r="O166" s="1" t="s">
        <v>384</v>
      </c>
      <c r="P166" s="1">
        <v>4.13</v>
      </c>
      <c r="Q166" s="1">
        <v>0</v>
      </c>
      <c r="R166" s="1">
        <v>460375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>
        <v>66</v>
      </c>
      <c r="C167" s="1">
        <v>0</v>
      </c>
      <c r="D167" s="1">
        <v>1468895</v>
      </c>
      <c r="E167" s="1">
        <v>0</v>
      </c>
      <c r="F167" s="1">
        <v>303</v>
      </c>
      <c r="G167" s="1">
        <v>0</v>
      </c>
      <c r="H167" s="1">
        <v>1</v>
      </c>
      <c r="I167" s="1">
        <v>4.233</v>
      </c>
      <c r="J167" s="1">
        <v>4.43</v>
      </c>
      <c r="K167" s="1">
        <v>0</v>
      </c>
      <c r="L167" s="1" t="s">
        <v>380</v>
      </c>
      <c r="M167" s="1">
        <v>693061</v>
      </c>
      <c r="N167" s="1">
        <v>0.14</v>
      </c>
      <c r="O167" s="1" t="s">
        <v>384</v>
      </c>
      <c r="P167" s="1">
        <v>4.43</v>
      </c>
      <c r="Q167" s="1">
        <v>0</v>
      </c>
      <c r="R167" s="1">
        <v>466660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>
        <v>104</v>
      </c>
      <c r="C168" s="1">
        <v>0</v>
      </c>
      <c r="D168" s="1">
        <v>2333990</v>
      </c>
      <c r="E168" s="1">
        <v>0</v>
      </c>
      <c r="F168" s="1">
        <v>469</v>
      </c>
      <c r="G168" s="1">
        <v>0</v>
      </c>
      <c r="H168" s="1">
        <v>1</v>
      </c>
      <c r="I168" s="1">
        <v>6.377</v>
      </c>
      <c r="J168" s="1">
        <v>6.69</v>
      </c>
      <c r="K168" s="1">
        <v>0</v>
      </c>
      <c r="L168" s="1" t="s">
        <v>380</v>
      </c>
      <c r="M168" s="1">
        <v>1057564</v>
      </c>
      <c r="N168" s="1">
        <v>0.21</v>
      </c>
      <c r="O168" s="1" t="s">
        <v>384</v>
      </c>
      <c r="P168" s="1">
        <v>6.69</v>
      </c>
      <c r="Q168" s="1">
        <v>0</v>
      </c>
      <c r="R168" s="1">
        <v>739641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>
        <v>98</v>
      </c>
      <c r="C169" s="1">
        <v>0</v>
      </c>
      <c r="D169" s="1">
        <v>2531772</v>
      </c>
      <c r="E169" s="1">
        <v>0</v>
      </c>
      <c r="F169" s="1">
        <v>503</v>
      </c>
      <c r="G169" s="1">
        <v>0</v>
      </c>
      <c r="H169" s="1">
        <v>1</v>
      </c>
      <c r="I169" s="1">
        <v>6.704</v>
      </c>
      <c r="J169" s="1">
        <v>7.08</v>
      </c>
      <c r="K169" s="1">
        <v>0</v>
      </c>
      <c r="L169" s="1" t="s">
        <v>380</v>
      </c>
      <c r="M169" s="1">
        <v>1141507</v>
      </c>
      <c r="N169" s="1">
        <v>0.22</v>
      </c>
      <c r="O169" s="1" t="s">
        <v>384</v>
      </c>
      <c r="P169" s="1">
        <v>7.08</v>
      </c>
      <c r="Q169" s="1">
        <v>0</v>
      </c>
      <c r="R169" s="1">
        <v>800119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>
        <v>98</v>
      </c>
      <c r="C170" s="1">
        <v>0</v>
      </c>
      <c r="D170" s="1">
        <v>2669818</v>
      </c>
      <c r="E170" s="1">
        <v>0</v>
      </c>
      <c r="F170" s="1">
        <v>518</v>
      </c>
      <c r="G170" s="1">
        <v>0</v>
      </c>
      <c r="H170" s="1">
        <v>1</v>
      </c>
      <c r="I170" s="1">
        <v>7.047</v>
      </c>
      <c r="J170" s="1">
        <v>7.44</v>
      </c>
      <c r="K170" s="1">
        <v>0</v>
      </c>
      <c r="L170" s="1" t="s">
        <v>380</v>
      </c>
      <c r="M170" s="1">
        <v>1141495</v>
      </c>
      <c r="N170" s="1">
        <v>0.24</v>
      </c>
      <c r="O170" s="1" t="s">
        <v>384</v>
      </c>
      <c r="P170" s="1">
        <v>7.44</v>
      </c>
      <c r="Q170" s="1">
        <v>0</v>
      </c>
      <c r="R170" s="1">
        <v>840325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>
        <v>111</v>
      </c>
      <c r="C171" s="1">
        <v>0</v>
      </c>
      <c r="D171" s="1">
        <v>2234451</v>
      </c>
      <c r="E171" s="1">
        <v>0</v>
      </c>
      <c r="F171" s="1">
        <v>455</v>
      </c>
      <c r="G171" s="1">
        <v>0</v>
      </c>
      <c r="H171" s="1">
        <v>1</v>
      </c>
      <c r="I171" s="1">
        <v>6.403</v>
      </c>
      <c r="J171" s="1">
        <v>6.7</v>
      </c>
      <c r="K171" s="1">
        <v>0</v>
      </c>
      <c r="L171" s="1" t="s">
        <v>380</v>
      </c>
      <c r="M171" s="1">
        <v>1064312</v>
      </c>
      <c r="N171" s="1">
        <v>0.21</v>
      </c>
      <c r="O171" s="1" t="s">
        <v>384</v>
      </c>
      <c r="P171" s="1">
        <v>6.7</v>
      </c>
      <c r="Q171" s="1">
        <v>0</v>
      </c>
      <c r="R171" s="1">
        <v>709695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>
        <v>113</v>
      </c>
      <c r="C172" s="1">
        <v>0</v>
      </c>
      <c r="D172" s="1">
        <v>2586059</v>
      </c>
      <c r="E172" s="1">
        <v>0</v>
      </c>
      <c r="F172" s="1">
        <v>528</v>
      </c>
      <c r="G172" s="1">
        <v>0</v>
      </c>
      <c r="H172" s="1">
        <v>1</v>
      </c>
      <c r="I172" s="1">
        <v>7.108</v>
      </c>
      <c r="J172" s="1">
        <v>7.48</v>
      </c>
      <c r="K172" s="1">
        <v>0</v>
      </c>
      <c r="L172" s="1" t="s">
        <v>380</v>
      </c>
      <c r="M172" s="1">
        <v>1163522</v>
      </c>
      <c r="N172" s="1">
        <v>0.25</v>
      </c>
      <c r="O172" s="1" t="s">
        <v>384</v>
      </c>
      <c r="P172" s="1">
        <v>7.48</v>
      </c>
      <c r="Q172" s="1">
        <v>0</v>
      </c>
      <c r="R172" s="1">
        <v>816200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>
        <v>99</v>
      </c>
      <c r="C173" s="1">
        <v>0</v>
      </c>
      <c r="D173" s="1">
        <v>2514452</v>
      </c>
      <c r="E173" s="1">
        <v>0</v>
      </c>
      <c r="F173" s="1">
        <v>496</v>
      </c>
      <c r="G173" s="1">
        <v>0</v>
      </c>
      <c r="H173" s="1">
        <v>1</v>
      </c>
      <c r="I173" s="1">
        <v>6.616</v>
      </c>
      <c r="J173" s="1">
        <v>6.98</v>
      </c>
      <c r="K173" s="1">
        <v>0</v>
      </c>
      <c r="L173" s="1" t="s">
        <v>380</v>
      </c>
      <c r="M173" s="1">
        <v>1138146</v>
      </c>
      <c r="N173" s="1">
        <v>0.23</v>
      </c>
      <c r="O173" s="1" t="s">
        <v>384</v>
      </c>
      <c r="P173" s="1">
        <v>6.98</v>
      </c>
      <c r="Q173" s="1">
        <v>0</v>
      </c>
      <c r="R173" s="1">
        <v>795464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>
        <v>99</v>
      </c>
      <c r="C174" s="1">
        <v>0</v>
      </c>
      <c r="D174" s="1">
        <v>2531772</v>
      </c>
      <c r="E174" s="1">
        <v>0</v>
      </c>
      <c r="F174" s="1">
        <v>505</v>
      </c>
      <c r="G174" s="1">
        <v>0</v>
      </c>
      <c r="H174" s="1">
        <v>1</v>
      </c>
      <c r="I174" s="1">
        <v>6.742</v>
      </c>
      <c r="J174" s="1">
        <v>7.11</v>
      </c>
      <c r="K174" s="1">
        <v>0</v>
      </c>
      <c r="L174" s="1" t="s">
        <v>380</v>
      </c>
      <c r="M174" s="1">
        <v>1141507</v>
      </c>
      <c r="N174" s="1">
        <v>0.23</v>
      </c>
      <c r="O174" s="1" t="s">
        <v>384</v>
      </c>
      <c r="P174" s="1">
        <v>7.11</v>
      </c>
      <c r="Q174" s="1">
        <v>0</v>
      </c>
      <c r="R174" s="1">
        <v>800119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>
        <v>131</v>
      </c>
      <c r="C175" s="1">
        <v>0</v>
      </c>
      <c r="D175" s="1">
        <v>3859085</v>
      </c>
      <c r="E175" s="1">
        <v>0</v>
      </c>
      <c r="F175" s="1">
        <v>764</v>
      </c>
      <c r="G175" s="1">
        <v>0</v>
      </c>
      <c r="H175" s="1">
        <v>1</v>
      </c>
      <c r="I175" s="1">
        <v>10.029</v>
      </c>
      <c r="J175" s="1">
        <v>10.5</v>
      </c>
      <c r="K175" s="1">
        <v>0</v>
      </c>
      <c r="L175" s="1" t="s">
        <v>380</v>
      </c>
      <c r="M175" s="1">
        <v>1696471</v>
      </c>
      <c r="N175" s="1">
        <v>0.35</v>
      </c>
      <c r="O175" s="1" t="s">
        <v>384</v>
      </c>
      <c r="P175" s="1">
        <v>10.5</v>
      </c>
      <c r="Q175" s="1">
        <v>0</v>
      </c>
      <c r="R175" s="1">
        <v>1216625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>
        <v>141</v>
      </c>
      <c r="C176" s="1">
        <v>0</v>
      </c>
      <c r="D176" s="1">
        <v>3757992</v>
      </c>
      <c r="E176" s="1">
        <v>0</v>
      </c>
      <c r="F176" s="1">
        <v>767</v>
      </c>
      <c r="G176" s="1">
        <v>0</v>
      </c>
      <c r="H176" s="1">
        <v>1</v>
      </c>
      <c r="I176" s="1">
        <v>9.920999999999999</v>
      </c>
      <c r="J176" s="1">
        <v>10.39</v>
      </c>
      <c r="K176" s="1">
        <v>0</v>
      </c>
      <c r="L176" s="1" t="s">
        <v>380</v>
      </c>
      <c r="M176" s="1">
        <v>1724566</v>
      </c>
      <c r="N176" s="1">
        <v>0.35</v>
      </c>
      <c r="O176" s="1" t="s">
        <v>384</v>
      </c>
      <c r="P176" s="1">
        <v>10.39</v>
      </c>
      <c r="Q176" s="1">
        <v>0</v>
      </c>
      <c r="R176" s="1">
        <v>1187454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>
        <v>130</v>
      </c>
      <c r="C177" s="1">
        <v>0</v>
      </c>
      <c r="D177" s="1">
        <v>3859085</v>
      </c>
      <c r="E177" s="1">
        <v>0</v>
      </c>
      <c r="F177" s="1">
        <v>752</v>
      </c>
      <c r="G177" s="1">
        <v>0</v>
      </c>
      <c r="H177" s="1">
        <v>1</v>
      </c>
      <c r="I177" s="1">
        <v>10.589</v>
      </c>
      <c r="J177" s="1">
        <v>11.09</v>
      </c>
      <c r="K177" s="1">
        <v>0</v>
      </c>
      <c r="L177" s="1" t="s">
        <v>380</v>
      </c>
      <c r="M177" s="1">
        <v>1696471</v>
      </c>
      <c r="N177" s="1">
        <v>0.38</v>
      </c>
      <c r="O177" s="1" t="s">
        <v>384</v>
      </c>
      <c r="P177" s="1">
        <v>11.09</v>
      </c>
      <c r="Q177" s="1">
        <v>0</v>
      </c>
      <c r="R177" s="1">
        <v>1216625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>
        <v>147</v>
      </c>
      <c r="C178" s="1">
        <v>0</v>
      </c>
      <c r="D178" s="1">
        <v>3415024</v>
      </c>
      <c r="E178" s="1">
        <v>0</v>
      </c>
      <c r="F178" s="1">
        <v>669</v>
      </c>
      <c r="G178" s="1">
        <v>0</v>
      </c>
      <c r="H178" s="1">
        <v>1</v>
      </c>
      <c r="I178" s="1">
        <v>9.111000000000001</v>
      </c>
      <c r="J178" s="1">
        <v>9.57</v>
      </c>
      <c r="K178" s="1">
        <v>0</v>
      </c>
      <c r="L178" s="1" t="s">
        <v>380</v>
      </c>
      <c r="M178" s="1">
        <v>1574530</v>
      </c>
      <c r="N178" s="1">
        <v>0.33</v>
      </c>
      <c r="O178" s="1" t="s">
        <v>384</v>
      </c>
      <c r="P178" s="1">
        <v>9.57</v>
      </c>
      <c r="Q178" s="1">
        <v>0</v>
      </c>
      <c r="R178" s="1">
        <v>1082763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>
        <v>139</v>
      </c>
      <c r="C179" s="1">
        <v>0</v>
      </c>
      <c r="D179" s="1">
        <v>3670569</v>
      </c>
      <c r="E179" s="1">
        <v>0</v>
      </c>
      <c r="F179" s="1">
        <v>740</v>
      </c>
      <c r="G179" s="1">
        <v>0</v>
      </c>
      <c r="H179" s="1">
        <v>1</v>
      </c>
      <c r="I179" s="1">
        <v>10.092</v>
      </c>
      <c r="J179" s="1">
        <v>10.57</v>
      </c>
      <c r="K179" s="1">
        <v>0</v>
      </c>
      <c r="L179" s="1" t="s">
        <v>380</v>
      </c>
      <c r="M179" s="1">
        <v>1693298</v>
      </c>
      <c r="N179" s="1">
        <v>0.37</v>
      </c>
      <c r="O179" s="1" t="s">
        <v>384</v>
      </c>
      <c r="P179" s="1">
        <v>10.57</v>
      </c>
      <c r="Q179" s="1">
        <v>0</v>
      </c>
      <c r="R179" s="1">
        <v>1162096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>
        <v>129</v>
      </c>
      <c r="C180" s="1">
        <v>0</v>
      </c>
      <c r="D180" s="1">
        <v>3689037</v>
      </c>
      <c r="E180" s="1">
        <v>0</v>
      </c>
      <c r="F180" s="1">
        <v>764</v>
      </c>
      <c r="G180" s="1">
        <v>0</v>
      </c>
      <c r="H180" s="1">
        <v>1</v>
      </c>
      <c r="I180" s="1">
        <v>10.184</v>
      </c>
      <c r="J180" s="1">
        <v>10.66</v>
      </c>
      <c r="K180" s="1">
        <v>0</v>
      </c>
      <c r="L180" s="1" t="s">
        <v>380</v>
      </c>
      <c r="M180" s="1">
        <v>1696483</v>
      </c>
      <c r="N180" s="1">
        <v>0.35</v>
      </c>
      <c r="O180" s="1" t="s">
        <v>384</v>
      </c>
      <c r="P180" s="1">
        <v>10.66</v>
      </c>
      <c r="Q180" s="1">
        <v>0</v>
      </c>
      <c r="R180" s="1">
        <v>1166986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>
        <v>131</v>
      </c>
      <c r="C181" s="1">
        <v>0</v>
      </c>
      <c r="D181" s="1">
        <v>3859085</v>
      </c>
      <c r="E181" s="1">
        <v>0</v>
      </c>
      <c r="F181" s="1">
        <v>748</v>
      </c>
      <c r="G181" s="1">
        <v>0</v>
      </c>
      <c r="H181" s="1">
        <v>1</v>
      </c>
      <c r="I181" s="1">
        <v>10.573</v>
      </c>
      <c r="J181" s="1">
        <v>11.07</v>
      </c>
      <c r="K181" s="1">
        <v>0</v>
      </c>
      <c r="L181" s="1" t="s">
        <v>380</v>
      </c>
      <c r="M181" s="1">
        <v>1696471</v>
      </c>
      <c r="N181" s="1">
        <v>0.37</v>
      </c>
      <c r="O181" s="1" t="s">
        <v>384</v>
      </c>
      <c r="P181" s="1">
        <v>11.07</v>
      </c>
      <c r="Q181" s="1">
        <v>0</v>
      </c>
      <c r="R181" s="1">
        <v>1216625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>
        <v>188</v>
      </c>
      <c r="C182" s="1">
        <v>0</v>
      </c>
      <c r="D182" s="1">
        <v>5261577</v>
      </c>
      <c r="E182" s="1">
        <v>0</v>
      </c>
      <c r="F182" s="1">
        <v>1063</v>
      </c>
      <c r="G182" s="1">
        <v>0</v>
      </c>
      <c r="H182" s="1">
        <v>1</v>
      </c>
      <c r="I182" s="1">
        <v>13.855</v>
      </c>
      <c r="J182" s="1">
        <v>14.67</v>
      </c>
      <c r="K182" s="1">
        <v>0</v>
      </c>
      <c r="L182" s="1" t="s">
        <v>380</v>
      </c>
      <c r="M182" s="1">
        <v>2361502</v>
      </c>
      <c r="N182" s="1">
        <v>0.5</v>
      </c>
      <c r="O182" s="1" t="s">
        <v>384</v>
      </c>
      <c r="P182" s="1">
        <v>14.67</v>
      </c>
      <c r="Q182" s="1">
        <v>0</v>
      </c>
      <c r="R182" s="1">
        <v>1660781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>
        <v>8</v>
      </c>
      <c r="C183" s="1">
        <v>0</v>
      </c>
      <c r="D183" s="1">
        <v>14848</v>
      </c>
      <c r="E183" s="1">
        <v>0</v>
      </c>
      <c r="F183" s="1">
        <v>13</v>
      </c>
      <c r="G183" s="1">
        <v>0</v>
      </c>
      <c r="H183" s="1">
        <v>1</v>
      </c>
      <c r="I183" s="1">
        <v>0.418</v>
      </c>
      <c r="J183" s="1">
        <v>0.43</v>
      </c>
      <c r="K183" s="1">
        <v>0</v>
      </c>
      <c r="L183" s="1" t="s">
        <v>380</v>
      </c>
      <c r="M183" s="1">
        <v>17003</v>
      </c>
      <c r="N183" s="1">
        <v>0</v>
      </c>
      <c r="O183" s="1" t="s">
        <v>384</v>
      </c>
      <c r="P183" s="1">
        <v>0.43</v>
      </c>
      <c r="Q183" s="1">
        <v>0</v>
      </c>
      <c r="R183" s="1">
        <v>5481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>
        <v>22</v>
      </c>
      <c r="C184" s="1">
        <v>1</v>
      </c>
      <c r="D184" s="1">
        <v>80482</v>
      </c>
      <c r="E184" s="1">
        <v>0</v>
      </c>
      <c r="F184" s="1">
        <v>21</v>
      </c>
      <c r="G184" s="1">
        <v>0</v>
      </c>
      <c r="H184" s="1">
        <v>1</v>
      </c>
      <c r="I184" s="1">
        <v>0.572</v>
      </c>
      <c r="J184" s="1">
        <v>0.58</v>
      </c>
      <c r="K184" s="1">
        <v>0</v>
      </c>
      <c r="L184" s="1" t="s">
        <v>380</v>
      </c>
      <c r="M184" s="1">
        <v>49517</v>
      </c>
      <c r="N184" s="1">
        <v>0.01</v>
      </c>
      <c r="O184" s="1" t="s">
        <v>384</v>
      </c>
      <c r="P184" s="1">
        <v>0.58</v>
      </c>
      <c r="Q184" s="1">
        <v>0</v>
      </c>
      <c r="R184" s="1">
        <v>26011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>
        <v>21</v>
      </c>
      <c r="C185" s="1">
        <v>3</v>
      </c>
      <c r="D185" s="1">
        <v>23942</v>
      </c>
      <c r="E185" s="1">
        <v>0</v>
      </c>
      <c r="F185" s="1">
        <v>10</v>
      </c>
      <c r="G185" s="1">
        <v>0</v>
      </c>
      <c r="H185" s="1">
        <v>1</v>
      </c>
      <c r="I185" s="1">
        <v>0.471</v>
      </c>
      <c r="J185" s="1">
        <v>0.48</v>
      </c>
      <c r="K185" s="1">
        <v>0</v>
      </c>
      <c r="L185" s="1" t="s">
        <v>380</v>
      </c>
      <c r="M185" s="1">
        <v>25978</v>
      </c>
      <c r="N185" s="1">
        <v>0</v>
      </c>
      <c r="O185" s="1" t="s">
        <v>384</v>
      </c>
      <c r="P185" s="1">
        <v>0.48</v>
      </c>
      <c r="Q185" s="1">
        <v>0</v>
      </c>
      <c r="R185" s="1">
        <v>8818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>
        <v>25</v>
      </c>
      <c r="C186" s="1">
        <v>1</v>
      </c>
      <c r="D186" s="1">
        <v>74305</v>
      </c>
      <c r="E186" s="1">
        <v>0</v>
      </c>
      <c r="F186" s="1">
        <v>21</v>
      </c>
      <c r="G186" s="1">
        <v>0</v>
      </c>
      <c r="H186" s="1">
        <v>1</v>
      </c>
      <c r="I186" s="1">
        <v>0.5590000000000001</v>
      </c>
      <c r="J186" s="1">
        <v>0.57</v>
      </c>
      <c r="K186" s="1">
        <v>0</v>
      </c>
      <c r="L186" s="1" t="s">
        <v>380</v>
      </c>
      <c r="M186" s="1">
        <v>47199</v>
      </c>
      <c r="N186" s="1">
        <v>0</v>
      </c>
      <c r="O186" s="1" t="s">
        <v>384</v>
      </c>
      <c r="P186" s="1">
        <v>0.57</v>
      </c>
      <c r="Q186" s="1">
        <v>0</v>
      </c>
      <c r="R186" s="1">
        <v>24230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>
        <v>27</v>
      </c>
      <c r="C187" s="1">
        <v>1</v>
      </c>
      <c r="D187" s="1">
        <v>51275</v>
      </c>
      <c r="E187" s="1">
        <v>0</v>
      </c>
      <c r="F187" s="1">
        <v>23</v>
      </c>
      <c r="G187" s="1">
        <v>0</v>
      </c>
      <c r="H187" s="1">
        <v>1</v>
      </c>
      <c r="I187" s="1">
        <v>0.509</v>
      </c>
      <c r="J187" s="1">
        <v>0.52</v>
      </c>
      <c r="K187" s="1">
        <v>0</v>
      </c>
      <c r="L187" s="1" t="s">
        <v>380</v>
      </c>
      <c r="M187" s="1">
        <v>39931</v>
      </c>
      <c r="N187" s="1">
        <v>0</v>
      </c>
      <c r="O187" s="1" t="s">
        <v>384</v>
      </c>
      <c r="P187" s="1">
        <v>0.52</v>
      </c>
      <c r="Q187" s="1">
        <v>0</v>
      </c>
      <c r="R187" s="1">
        <v>16989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>
        <v>24</v>
      </c>
      <c r="C188" s="1">
        <v>0</v>
      </c>
      <c r="D188" s="1">
        <v>49111</v>
      </c>
      <c r="E188" s="1">
        <v>0</v>
      </c>
      <c r="F188" s="1">
        <v>15</v>
      </c>
      <c r="G188" s="1">
        <v>0</v>
      </c>
      <c r="H188" s="1">
        <v>1</v>
      </c>
      <c r="I188" s="1">
        <v>0.484</v>
      </c>
      <c r="J188" s="1">
        <v>0.49</v>
      </c>
      <c r="K188" s="1">
        <v>0</v>
      </c>
      <c r="L188" s="1" t="s">
        <v>380</v>
      </c>
      <c r="M188" s="1">
        <v>37572</v>
      </c>
      <c r="N188" s="1">
        <v>0</v>
      </c>
      <c r="O188" s="1" t="s">
        <v>384</v>
      </c>
      <c r="P188" s="1">
        <v>0.49</v>
      </c>
      <c r="Q188" s="1">
        <v>0</v>
      </c>
      <c r="R188" s="1">
        <v>17220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>
        <v>34</v>
      </c>
      <c r="C189" s="1">
        <v>0</v>
      </c>
      <c r="D189" s="1">
        <v>71693</v>
      </c>
      <c r="E189" s="1">
        <v>0</v>
      </c>
      <c r="F189" s="1">
        <v>22</v>
      </c>
      <c r="G189" s="1">
        <v>0</v>
      </c>
      <c r="H189" s="1">
        <v>1</v>
      </c>
      <c r="I189" s="1">
        <v>0.549</v>
      </c>
      <c r="J189" s="1">
        <v>0.5600000000000001</v>
      </c>
      <c r="K189" s="1">
        <v>0</v>
      </c>
      <c r="L189" s="1" t="s">
        <v>380</v>
      </c>
      <c r="M189" s="1">
        <v>51359</v>
      </c>
      <c r="N189" s="1">
        <v>0</v>
      </c>
      <c r="O189" s="1" t="s">
        <v>384</v>
      </c>
      <c r="P189" s="1">
        <v>0.5600000000000001</v>
      </c>
      <c r="Q189" s="1">
        <v>0</v>
      </c>
      <c r="R189" s="1">
        <v>23571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>
        <v>39</v>
      </c>
      <c r="C190" s="1">
        <v>1</v>
      </c>
      <c r="D190" s="1">
        <v>65308</v>
      </c>
      <c r="E190" s="1">
        <v>0</v>
      </c>
      <c r="F190" s="1">
        <v>23</v>
      </c>
      <c r="G190" s="1">
        <v>0</v>
      </c>
      <c r="H190" s="1">
        <v>1</v>
      </c>
      <c r="I190" s="1">
        <v>0.5600000000000001</v>
      </c>
      <c r="J190" s="1">
        <v>0.57</v>
      </c>
      <c r="K190" s="1">
        <v>0</v>
      </c>
      <c r="L190" s="1" t="s">
        <v>380</v>
      </c>
      <c r="M190" s="1">
        <v>49528</v>
      </c>
      <c r="N190" s="1">
        <v>0.01</v>
      </c>
      <c r="O190" s="1" t="s">
        <v>384</v>
      </c>
      <c r="P190" s="1">
        <v>0.57</v>
      </c>
      <c r="Q190" s="1">
        <v>0</v>
      </c>
      <c r="R190" s="1">
        <v>23296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>
        <v>37</v>
      </c>
      <c r="C191" s="1">
        <v>1</v>
      </c>
      <c r="D191" s="1">
        <v>210776</v>
      </c>
      <c r="E191" s="1">
        <v>0</v>
      </c>
      <c r="F191" s="1">
        <v>53</v>
      </c>
      <c r="G191" s="1">
        <v>0</v>
      </c>
      <c r="H191" s="1">
        <v>1</v>
      </c>
      <c r="I191" s="1">
        <v>0.831</v>
      </c>
      <c r="J191" s="1">
        <v>0.86</v>
      </c>
      <c r="K191" s="1">
        <v>0</v>
      </c>
      <c r="L191" s="1" t="s">
        <v>380</v>
      </c>
      <c r="M191" s="1">
        <v>114423</v>
      </c>
      <c r="N191" s="1">
        <v>0.02</v>
      </c>
      <c r="O191" s="1" t="s">
        <v>384</v>
      </c>
      <c r="P191" s="1">
        <v>0.86</v>
      </c>
      <c r="Q191" s="1">
        <v>0</v>
      </c>
      <c r="R191" s="1">
        <v>67195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>
        <v>32</v>
      </c>
      <c r="C192" s="1">
        <v>0</v>
      </c>
      <c r="D192" s="1">
        <v>105781</v>
      </c>
      <c r="E192" s="1">
        <v>0</v>
      </c>
      <c r="F192" s="1">
        <v>37</v>
      </c>
      <c r="G192" s="1">
        <v>0</v>
      </c>
      <c r="H192" s="1">
        <v>1</v>
      </c>
      <c r="I192" s="1">
        <v>0.706</v>
      </c>
      <c r="J192" s="1">
        <v>0.72</v>
      </c>
      <c r="K192" s="1">
        <v>0</v>
      </c>
      <c r="L192" s="1" t="s">
        <v>380</v>
      </c>
      <c r="M192" s="1">
        <v>72640</v>
      </c>
      <c r="N192" s="1">
        <v>0.01</v>
      </c>
      <c r="O192" s="1" t="s">
        <v>384</v>
      </c>
      <c r="P192" s="1">
        <v>0.72</v>
      </c>
      <c r="Q192" s="1">
        <v>0</v>
      </c>
      <c r="R192" s="1">
        <v>37128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>
        <v>36</v>
      </c>
      <c r="C193" s="1">
        <v>1</v>
      </c>
      <c r="D193" s="1">
        <v>157729</v>
      </c>
      <c r="E193" s="1">
        <v>0</v>
      </c>
      <c r="F193" s="1">
        <v>46</v>
      </c>
      <c r="G193" s="1">
        <v>0</v>
      </c>
      <c r="H193" s="1">
        <v>1</v>
      </c>
      <c r="I193" s="1">
        <v>0.8110000000000001</v>
      </c>
      <c r="J193" s="1">
        <v>0.83</v>
      </c>
      <c r="K193" s="1">
        <v>0</v>
      </c>
      <c r="L193" s="1" t="s">
        <v>380</v>
      </c>
      <c r="M193" s="1">
        <v>95998</v>
      </c>
      <c r="N193" s="1">
        <v>0.01</v>
      </c>
      <c r="O193" s="1" t="s">
        <v>384</v>
      </c>
      <c r="P193" s="1">
        <v>0.83</v>
      </c>
      <c r="Q193" s="1">
        <v>0</v>
      </c>
      <c r="R193" s="1">
        <v>53128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>
        <v>37</v>
      </c>
      <c r="C194" s="1">
        <v>0</v>
      </c>
      <c r="D194" s="1">
        <v>168003</v>
      </c>
      <c r="E194" s="1">
        <v>0</v>
      </c>
      <c r="F194" s="1">
        <v>48</v>
      </c>
      <c r="G194" s="1">
        <v>0</v>
      </c>
      <c r="H194" s="1">
        <v>1</v>
      </c>
      <c r="I194" s="1">
        <v>0.8070000000000001</v>
      </c>
      <c r="J194" s="1">
        <v>0.83</v>
      </c>
      <c r="K194" s="1">
        <v>0</v>
      </c>
      <c r="L194" s="1" t="s">
        <v>380</v>
      </c>
      <c r="M194" s="1">
        <v>101776</v>
      </c>
      <c r="N194" s="1">
        <v>0.01</v>
      </c>
      <c r="O194" s="1" t="s">
        <v>384</v>
      </c>
      <c r="P194" s="1">
        <v>0.83</v>
      </c>
      <c r="Q194" s="1">
        <v>0</v>
      </c>
      <c r="R194" s="1">
        <v>56126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>
        <v>45</v>
      </c>
      <c r="C195" s="1">
        <v>0</v>
      </c>
      <c r="D195" s="1">
        <v>158269</v>
      </c>
      <c r="E195" s="1">
        <v>0</v>
      </c>
      <c r="F195" s="1">
        <v>45</v>
      </c>
      <c r="G195" s="1">
        <v>0</v>
      </c>
      <c r="H195" s="1">
        <v>1</v>
      </c>
      <c r="I195" s="1">
        <v>0.795</v>
      </c>
      <c r="J195" s="1">
        <v>0.82</v>
      </c>
      <c r="K195" s="1">
        <v>0</v>
      </c>
      <c r="L195" s="1" t="s">
        <v>380</v>
      </c>
      <c r="M195" s="1">
        <v>97577</v>
      </c>
      <c r="N195" s="1">
        <v>0.01</v>
      </c>
      <c r="O195" s="1" t="s">
        <v>384</v>
      </c>
      <c r="P195" s="1">
        <v>0.82</v>
      </c>
      <c r="Q195" s="1">
        <v>0</v>
      </c>
      <c r="R195" s="1">
        <v>53090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>
        <v>29</v>
      </c>
      <c r="C196" s="1">
        <v>0</v>
      </c>
      <c r="D196" s="1">
        <v>93474</v>
      </c>
      <c r="E196" s="1">
        <v>0</v>
      </c>
      <c r="F196" s="1">
        <v>35</v>
      </c>
      <c r="G196" s="1">
        <v>0</v>
      </c>
      <c r="H196" s="1">
        <v>1</v>
      </c>
      <c r="I196" s="1">
        <v>0.634</v>
      </c>
      <c r="J196" s="1">
        <v>0.65</v>
      </c>
      <c r="K196" s="1">
        <v>0</v>
      </c>
      <c r="L196" s="1" t="s">
        <v>380</v>
      </c>
      <c r="M196" s="1">
        <v>67495</v>
      </c>
      <c r="N196" s="1">
        <v>0.01</v>
      </c>
      <c r="O196" s="1" t="s">
        <v>384</v>
      </c>
      <c r="P196" s="1">
        <v>0.65</v>
      </c>
      <c r="Q196" s="1">
        <v>0</v>
      </c>
      <c r="R196" s="1">
        <v>33213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>
        <v>52</v>
      </c>
      <c r="C197" s="1">
        <v>1</v>
      </c>
      <c r="D197" s="1">
        <v>333700</v>
      </c>
      <c r="E197" s="1">
        <v>0</v>
      </c>
      <c r="F197" s="1">
        <v>81</v>
      </c>
      <c r="G197" s="1">
        <v>0</v>
      </c>
      <c r="H197" s="1">
        <v>1</v>
      </c>
      <c r="I197" s="1">
        <v>1.186</v>
      </c>
      <c r="J197" s="1">
        <v>1.22</v>
      </c>
      <c r="K197" s="1">
        <v>0</v>
      </c>
      <c r="L197" s="1" t="s">
        <v>380</v>
      </c>
      <c r="M197" s="1">
        <v>176201</v>
      </c>
      <c r="N197" s="1">
        <v>0.03</v>
      </c>
      <c r="O197" s="1" t="s">
        <v>384</v>
      </c>
      <c r="P197" s="1">
        <v>1.22</v>
      </c>
      <c r="Q197" s="1">
        <v>0</v>
      </c>
      <c r="R197" s="1">
        <v>108963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>
        <v>60</v>
      </c>
      <c r="C198" s="1">
        <v>2</v>
      </c>
      <c r="D198" s="1">
        <v>114906</v>
      </c>
      <c r="E198" s="1">
        <v>0</v>
      </c>
      <c r="F198" s="1">
        <v>45</v>
      </c>
      <c r="G198" s="1">
        <v>0</v>
      </c>
      <c r="H198" s="1">
        <v>1</v>
      </c>
      <c r="I198" s="1">
        <v>0.724</v>
      </c>
      <c r="J198" s="1">
        <v>0.75</v>
      </c>
      <c r="K198" s="1">
        <v>0</v>
      </c>
      <c r="L198" s="1" t="s">
        <v>380</v>
      </c>
      <c r="M198" s="1">
        <v>100327</v>
      </c>
      <c r="N198" s="1">
        <v>0.01</v>
      </c>
      <c r="O198" s="1" t="s">
        <v>384</v>
      </c>
      <c r="P198" s="1">
        <v>0.75</v>
      </c>
      <c r="Q198" s="1">
        <v>0</v>
      </c>
      <c r="R198" s="1">
        <v>39674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>
        <v>38</v>
      </c>
      <c r="C199" s="1">
        <v>0</v>
      </c>
      <c r="D199" s="1">
        <v>166154</v>
      </c>
      <c r="E199" s="1">
        <v>0</v>
      </c>
      <c r="F199" s="1">
        <v>55</v>
      </c>
      <c r="G199" s="1">
        <v>0</v>
      </c>
      <c r="H199" s="1">
        <v>1</v>
      </c>
      <c r="I199" s="1">
        <v>0.874</v>
      </c>
      <c r="J199" s="1">
        <v>0.9</v>
      </c>
      <c r="K199" s="1">
        <v>0</v>
      </c>
      <c r="L199" s="1" t="s">
        <v>380</v>
      </c>
      <c r="M199" s="1">
        <v>113375</v>
      </c>
      <c r="N199" s="1">
        <v>0.02</v>
      </c>
      <c r="O199" s="1" t="s">
        <v>384</v>
      </c>
      <c r="P199" s="1">
        <v>0.9</v>
      </c>
      <c r="Q199" s="1">
        <v>0</v>
      </c>
      <c r="R199" s="1">
        <v>58932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>
        <v>38</v>
      </c>
      <c r="C200" s="1">
        <v>1</v>
      </c>
      <c r="D200" s="1">
        <v>217779</v>
      </c>
      <c r="E200" s="1">
        <v>0</v>
      </c>
      <c r="F200" s="1">
        <v>68</v>
      </c>
      <c r="G200" s="1">
        <v>0</v>
      </c>
      <c r="H200" s="1">
        <v>1</v>
      </c>
      <c r="I200" s="1">
        <v>1.05</v>
      </c>
      <c r="J200" s="1">
        <v>1.08</v>
      </c>
      <c r="K200" s="1">
        <v>0</v>
      </c>
      <c r="L200" s="1" t="s">
        <v>380</v>
      </c>
      <c r="M200" s="1">
        <v>146864</v>
      </c>
      <c r="N200" s="1">
        <v>0.02</v>
      </c>
      <c r="O200" s="1" t="s">
        <v>384</v>
      </c>
      <c r="P200" s="1">
        <v>1.08</v>
      </c>
      <c r="Q200" s="1">
        <v>0</v>
      </c>
      <c r="R200" s="1">
        <v>75176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>
        <v>49</v>
      </c>
      <c r="C201" s="1">
        <v>2</v>
      </c>
      <c r="D201" s="1">
        <v>316868</v>
      </c>
      <c r="E201" s="1">
        <v>0</v>
      </c>
      <c r="F201" s="1">
        <v>81</v>
      </c>
      <c r="G201" s="1">
        <v>0</v>
      </c>
      <c r="H201" s="1">
        <v>1</v>
      </c>
      <c r="I201" s="1">
        <v>1.29</v>
      </c>
      <c r="J201" s="1">
        <v>1.33</v>
      </c>
      <c r="K201" s="1">
        <v>0</v>
      </c>
      <c r="L201" s="1" t="s">
        <v>380</v>
      </c>
      <c r="M201" s="1">
        <v>181044</v>
      </c>
      <c r="N201" s="1">
        <v>0.03</v>
      </c>
      <c r="O201" s="1" t="s">
        <v>384</v>
      </c>
      <c r="P201" s="1">
        <v>1.33</v>
      </c>
      <c r="Q201" s="1">
        <v>0</v>
      </c>
      <c r="R201" s="1">
        <v>104367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>
        <v>44</v>
      </c>
      <c r="C202" s="1">
        <v>0</v>
      </c>
      <c r="D202" s="1">
        <v>212409</v>
      </c>
      <c r="E202" s="1">
        <v>0</v>
      </c>
      <c r="F202" s="1">
        <v>67</v>
      </c>
      <c r="G202" s="1">
        <v>0</v>
      </c>
      <c r="H202" s="1">
        <v>1</v>
      </c>
      <c r="I202" s="1">
        <v>1.036</v>
      </c>
      <c r="J202" s="1">
        <v>1.07</v>
      </c>
      <c r="K202" s="1">
        <v>0</v>
      </c>
      <c r="L202" s="1" t="s">
        <v>380</v>
      </c>
      <c r="M202" s="1">
        <v>145149</v>
      </c>
      <c r="N202" s="1">
        <v>0.02</v>
      </c>
      <c r="O202" s="1" t="s">
        <v>384</v>
      </c>
      <c r="P202" s="1">
        <v>1.07</v>
      </c>
      <c r="Q202" s="1">
        <v>0</v>
      </c>
      <c r="R202" s="1">
        <v>73638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>
        <v>52</v>
      </c>
      <c r="C203" s="1">
        <v>1</v>
      </c>
      <c r="D203" s="1">
        <v>291250</v>
      </c>
      <c r="E203" s="1">
        <v>0</v>
      </c>
      <c r="F203" s="1">
        <v>78</v>
      </c>
      <c r="G203" s="1">
        <v>0</v>
      </c>
      <c r="H203" s="1">
        <v>1</v>
      </c>
      <c r="I203" s="1">
        <v>1.219</v>
      </c>
      <c r="J203" s="1">
        <v>1.26</v>
      </c>
      <c r="K203" s="1">
        <v>0</v>
      </c>
      <c r="L203" s="1" t="s">
        <v>380</v>
      </c>
      <c r="M203" s="1">
        <v>181053</v>
      </c>
      <c r="N203" s="1">
        <v>0.03</v>
      </c>
      <c r="O203" s="1" t="s">
        <v>384</v>
      </c>
      <c r="P203" s="1">
        <v>1.26</v>
      </c>
      <c r="Q203" s="1">
        <v>0</v>
      </c>
      <c r="R203" s="1">
        <v>96597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>
        <v>46</v>
      </c>
      <c r="C204" s="1">
        <v>1</v>
      </c>
      <c r="D204" s="1">
        <v>265424</v>
      </c>
      <c r="E204" s="1">
        <v>0</v>
      </c>
      <c r="F204" s="1">
        <v>86</v>
      </c>
      <c r="G204" s="1">
        <v>0</v>
      </c>
      <c r="H204" s="1">
        <v>1</v>
      </c>
      <c r="I204" s="1">
        <v>1.342</v>
      </c>
      <c r="J204" s="1">
        <v>1.39</v>
      </c>
      <c r="K204" s="1">
        <v>0</v>
      </c>
      <c r="L204" s="1" t="s">
        <v>380</v>
      </c>
      <c r="M204" s="1">
        <v>193002</v>
      </c>
      <c r="N204" s="1">
        <v>0.03</v>
      </c>
      <c r="O204" s="1" t="s">
        <v>384</v>
      </c>
      <c r="P204" s="1">
        <v>1.39</v>
      </c>
      <c r="Q204" s="1">
        <v>0</v>
      </c>
      <c r="R204" s="1">
        <v>90729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>
        <v>47</v>
      </c>
      <c r="C205" s="1">
        <v>1</v>
      </c>
      <c r="D205" s="1">
        <v>253223</v>
      </c>
      <c r="E205" s="1">
        <v>0</v>
      </c>
      <c r="F205" s="1">
        <v>83</v>
      </c>
      <c r="G205" s="1">
        <v>0</v>
      </c>
      <c r="H205" s="1">
        <v>1</v>
      </c>
      <c r="I205" s="1">
        <v>1.291</v>
      </c>
      <c r="J205" s="1">
        <v>1.34</v>
      </c>
      <c r="K205" s="1">
        <v>0</v>
      </c>
      <c r="L205" s="1" t="s">
        <v>380</v>
      </c>
      <c r="M205" s="1">
        <v>188522</v>
      </c>
      <c r="N205" s="1">
        <v>0.03</v>
      </c>
      <c r="O205" s="1" t="s">
        <v>384</v>
      </c>
      <c r="P205" s="1">
        <v>1.34</v>
      </c>
      <c r="Q205" s="1">
        <v>0</v>
      </c>
      <c r="R205" s="1">
        <v>87037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>
        <v>67</v>
      </c>
      <c r="C206" s="1">
        <v>5</v>
      </c>
      <c r="D206" s="1">
        <v>173812</v>
      </c>
      <c r="E206" s="1">
        <v>0</v>
      </c>
      <c r="F206" s="1">
        <v>63</v>
      </c>
      <c r="G206" s="1">
        <v>0</v>
      </c>
      <c r="H206" s="1">
        <v>1</v>
      </c>
      <c r="I206" s="1">
        <v>1.003</v>
      </c>
      <c r="J206" s="1">
        <v>1.04</v>
      </c>
      <c r="K206" s="1">
        <v>0</v>
      </c>
      <c r="L206" s="1" t="s">
        <v>380</v>
      </c>
      <c r="M206" s="1">
        <v>142944</v>
      </c>
      <c r="N206" s="1">
        <v>0.02</v>
      </c>
      <c r="O206" s="1" t="s">
        <v>384</v>
      </c>
      <c r="P206" s="1">
        <v>1.04</v>
      </c>
      <c r="Q206" s="1">
        <v>0</v>
      </c>
      <c r="R206" s="1">
        <v>60593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>
        <v>69</v>
      </c>
      <c r="C207" s="1">
        <v>1</v>
      </c>
      <c r="D207" s="1">
        <v>501634</v>
      </c>
      <c r="E207" s="1">
        <v>0</v>
      </c>
      <c r="F207" s="1">
        <v>124</v>
      </c>
      <c r="G207" s="1">
        <v>0</v>
      </c>
      <c r="H207" s="1">
        <v>1</v>
      </c>
      <c r="I207" s="1">
        <v>1.821</v>
      </c>
      <c r="J207" s="1">
        <v>1.9</v>
      </c>
      <c r="K207" s="1">
        <v>0</v>
      </c>
      <c r="L207" s="1" t="s">
        <v>380</v>
      </c>
      <c r="M207" s="1">
        <v>271802</v>
      </c>
      <c r="N207" s="1">
        <v>0.05</v>
      </c>
      <c r="O207" s="1" t="s">
        <v>384</v>
      </c>
      <c r="P207" s="1">
        <v>1.9</v>
      </c>
      <c r="Q207" s="1">
        <v>0</v>
      </c>
      <c r="R207" s="1">
        <v>166508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>
        <v>54</v>
      </c>
      <c r="C208" s="1">
        <v>0</v>
      </c>
      <c r="D208" s="1">
        <v>347341</v>
      </c>
      <c r="E208" s="1">
        <v>0</v>
      </c>
      <c r="F208" s="1">
        <v>99</v>
      </c>
      <c r="G208" s="1">
        <v>0</v>
      </c>
      <c r="H208" s="1">
        <v>1</v>
      </c>
      <c r="I208" s="1">
        <v>1.525</v>
      </c>
      <c r="J208" s="1">
        <v>1.58</v>
      </c>
      <c r="K208" s="1">
        <v>0</v>
      </c>
      <c r="L208" s="1" t="s">
        <v>380</v>
      </c>
      <c r="M208" s="1">
        <v>216736</v>
      </c>
      <c r="N208" s="1">
        <v>0.04</v>
      </c>
      <c r="O208" s="1" t="s">
        <v>384</v>
      </c>
      <c r="P208" s="1">
        <v>1.58</v>
      </c>
      <c r="Q208" s="1">
        <v>0</v>
      </c>
      <c r="R208" s="1">
        <v>119722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>
        <v>55</v>
      </c>
      <c r="C209" s="1">
        <v>0</v>
      </c>
      <c r="D209" s="1">
        <v>336612</v>
      </c>
      <c r="E209" s="1">
        <v>0</v>
      </c>
      <c r="F209" s="1">
        <v>98</v>
      </c>
      <c r="G209" s="1">
        <v>0</v>
      </c>
      <c r="H209" s="1">
        <v>1</v>
      </c>
      <c r="I209" s="1">
        <v>1.444</v>
      </c>
      <c r="J209" s="1">
        <v>1.5</v>
      </c>
      <c r="K209" s="1">
        <v>0</v>
      </c>
      <c r="L209" s="1" t="s">
        <v>380</v>
      </c>
      <c r="M209" s="1">
        <v>212761</v>
      </c>
      <c r="N209" s="1">
        <v>0.03</v>
      </c>
      <c r="O209" s="1" t="s">
        <v>384</v>
      </c>
      <c r="P209" s="1">
        <v>1.5</v>
      </c>
      <c r="Q209" s="1">
        <v>0</v>
      </c>
      <c r="R209" s="1">
        <v>116441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>
        <v>275</v>
      </c>
      <c r="C210" s="1">
        <v>1</v>
      </c>
      <c r="D210" s="1">
        <v>548430</v>
      </c>
      <c r="E210" s="1">
        <v>0</v>
      </c>
      <c r="F210" s="1">
        <v>138</v>
      </c>
      <c r="G210" s="1">
        <v>0</v>
      </c>
      <c r="H210" s="1">
        <v>1</v>
      </c>
      <c r="I210" s="1">
        <v>1.976</v>
      </c>
      <c r="J210" s="1">
        <v>2.06</v>
      </c>
      <c r="K210" s="1">
        <v>0</v>
      </c>
      <c r="L210" s="1" t="s">
        <v>380</v>
      </c>
      <c r="M210" s="1">
        <v>302103</v>
      </c>
      <c r="N210" s="1">
        <v>0.06</v>
      </c>
      <c r="O210" s="1" t="s">
        <v>384</v>
      </c>
      <c r="P210" s="1">
        <v>2.06</v>
      </c>
      <c r="Q210" s="1">
        <v>0</v>
      </c>
      <c r="R210" s="1">
        <v>178577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>
        <v>65</v>
      </c>
      <c r="C211" s="1">
        <v>1</v>
      </c>
      <c r="D211" s="1">
        <v>466675</v>
      </c>
      <c r="E211" s="1">
        <v>0</v>
      </c>
      <c r="F211" s="1">
        <v>134</v>
      </c>
      <c r="G211" s="1">
        <v>0</v>
      </c>
      <c r="H211" s="1">
        <v>1</v>
      </c>
      <c r="I211" s="1">
        <v>2.03</v>
      </c>
      <c r="J211" s="1">
        <v>2.11</v>
      </c>
      <c r="K211" s="1">
        <v>0</v>
      </c>
      <c r="L211" s="1" t="s">
        <v>380</v>
      </c>
      <c r="M211" s="1">
        <v>311500</v>
      </c>
      <c r="N211" s="1">
        <v>0.06</v>
      </c>
      <c r="O211" s="1" t="s">
        <v>384</v>
      </c>
      <c r="P211" s="1">
        <v>2.11</v>
      </c>
      <c r="Q211" s="1">
        <v>0</v>
      </c>
      <c r="R211" s="1">
        <v>156658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>
        <v>102</v>
      </c>
      <c r="C212" s="1">
        <v>2</v>
      </c>
      <c r="D212" s="1">
        <v>782709</v>
      </c>
      <c r="E212" s="1">
        <v>0</v>
      </c>
      <c r="F212" s="1">
        <v>185</v>
      </c>
      <c r="G212" s="1">
        <v>0</v>
      </c>
      <c r="H212" s="1">
        <v>1</v>
      </c>
      <c r="I212" s="1">
        <v>2.638</v>
      </c>
      <c r="J212" s="1">
        <v>2.75</v>
      </c>
      <c r="K212" s="1">
        <v>0</v>
      </c>
      <c r="L212" s="1" t="s">
        <v>380</v>
      </c>
      <c r="M212" s="1">
        <v>417458</v>
      </c>
      <c r="N212" s="1">
        <v>0.09</v>
      </c>
      <c r="O212" s="1" t="s">
        <v>384</v>
      </c>
      <c r="P212" s="1">
        <v>2.75</v>
      </c>
      <c r="Q212" s="1">
        <v>0</v>
      </c>
      <c r="R212" s="1">
        <v>257316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>
        <v>76</v>
      </c>
      <c r="C213" s="1">
        <v>1</v>
      </c>
      <c r="D213" s="1">
        <v>621079</v>
      </c>
      <c r="E213" s="1">
        <v>0</v>
      </c>
      <c r="F213" s="1">
        <v>156</v>
      </c>
      <c r="G213" s="1">
        <v>0</v>
      </c>
      <c r="H213" s="1">
        <v>1</v>
      </c>
      <c r="I213" s="1">
        <v>2.2</v>
      </c>
      <c r="J213" s="1">
        <v>2.29</v>
      </c>
      <c r="K213" s="1">
        <v>0</v>
      </c>
      <c r="L213" s="1" t="s">
        <v>380</v>
      </c>
      <c r="M213" s="1">
        <v>349000</v>
      </c>
      <c r="N213" s="1">
        <v>0.07000000000000001</v>
      </c>
      <c r="O213" s="1" t="s">
        <v>384</v>
      </c>
      <c r="P213" s="1">
        <v>2.29</v>
      </c>
      <c r="Q213" s="1">
        <v>0</v>
      </c>
      <c r="R213" s="1">
        <v>209351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>
        <v>85</v>
      </c>
      <c r="C214" s="1">
        <v>1</v>
      </c>
      <c r="D214" s="1">
        <v>605907</v>
      </c>
      <c r="E214" s="1">
        <v>0</v>
      </c>
      <c r="F214" s="1">
        <v>153</v>
      </c>
      <c r="G214" s="1">
        <v>0</v>
      </c>
      <c r="H214" s="1">
        <v>1</v>
      </c>
      <c r="I214" s="1">
        <v>2.156</v>
      </c>
      <c r="J214" s="1">
        <v>2.25</v>
      </c>
      <c r="K214" s="1">
        <v>0</v>
      </c>
      <c r="L214" s="1" t="s">
        <v>380</v>
      </c>
      <c r="M214" s="1">
        <v>343759</v>
      </c>
      <c r="N214" s="1">
        <v>0.07000000000000001</v>
      </c>
      <c r="O214" s="1" t="s">
        <v>384</v>
      </c>
      <c r="P214" s="1">
        <v>2.25</v>
      </c>
      <c r="Q214" s="1">
        <v>0</v>
      </c>
      <c r="R214" s="1">
        <v>204882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>
        <v>76</v>
      </c>
      <c r="C215" s="1">
        <v>0</v>
      </c>
      <c r="D215" s="1">
        <v>583665</v>
      </c>
      <c r="E215" s="1">
        <v>0</v>
      </c>
      <c r="F215" s="1">
        <v>150</v>
      </c>
      <c r="G215" s="1">
        <v>0</v>
      </c>
      <c r="H215" s="1">
        <v>1</v>
      </c>
      <c r="I215" s="1">
        <v>2.249</v>
      </c>
      <c r="J215" s="1">
        <v>2.34</v>
      </c>
      <c r="K215" s="1">
        <v>0</v>
      </c>
      <c r="L215" s="1" t="s">
        <v>380</v>
      </c>
      <c r="M215" s="1">
        <v>349009</v>
      </c>
      <c r="N215" s="1">
        <v>0.06</v>
      </c>
      <c r="O215" s="1" t="s">
        <v>384</v>
      </c>
      <c r="P215" s="1">
        <v>2.34</v>
      </c>
      <c r="Q215" s="1">
        <v>0</v>
      </c>
      <c r="R215" s="1">
        <v>197831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>
        <v>295</v>
      </c>
      <c r="C216" s="1">
        <v>1</v>
      </c>
      <c r="D216" s="1">
        <v>747695</v>
      </c>
      <c r="E216" s="1">
        <v>0</v>
      </c>
      <c r="F216" s="1">
        <v>175</v>
      </c>
      <c r="G216" s="1">
        <v>0</v>
      </c>
      <c r="H216" s="1">
        <v>1</v>
      </c>
      <c r="I216" s="1">
        <v>2.622</v>
      </c>
      <c r="J216" s="1">
        <v>2.73</v>
      </c>
      <c r="K216" s="1">
        <v>0</v>
      </c>
      <c r="L216" s="1" t="s">
        <v>380</v>
      </c>
      <c r="M216" s="1">
        <v>403796</v>
      </c>
      <c r="N216" s="1">
        <v>0.08</v>
      </c>
      <c r="O216" s="1" t="s">
        <v>384</v>
      </c>
      <c r="P216" s="1">
        <v>2.73</v>
      </c>
      <c r="Q216" s="1">
        <v>0</v>
      </c>
      <c r="R216" s="1">
        <v>246314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>
        <v>313</v>
      </c>
      <c r="C217" s="1">
        <v>2</v>
      </c>
      <c r="D217" s="1">
        <v>708780</v>
      </c>
      <c r="E217" s="1">
        <v>0</v>
      </c>
      <c r="F217" s="1">
        <v>178</v>
      </c>
      <c r="G217" s="1">
        <v>0</v>
      </c>
      <c r="H217" s="1">
        <v>1</v>
      </c>
      <c r="I217" s="1">
        <v>2.509</v>
      </c>
      <c r="J217" s="1">
        <v>2.61</v>
      </c>
      <c r="K217" s="1">
        <v>0</v>
      </c>
      <c r="L217" s="1" t="s">
        <v>380</v>
      </c>
      <c r="M217" s="1">
        <v>399638</v>
      </c>
      <c r="N217" s="1">
        <v>0.09</v>
      </c>
      <c r="O217" s="1" t="s">
        <v>384</v>
      </c>
      <c r="P217" s="1">
        <v>2.61</v>
      </c>
      <c r="Q217" s="1">
        <v>0</v>
      </c>
      <c r="R217" s="1">
        <v>234723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>
        <v>306</v>
      </c>
      <c r="C218" s="1">
        <v>1</v>
      </c>
      <c r="D218" s="1">
        <v>929175</v>
      </c>
      <c r="E218" s="1">
        <v>0</v>
      </c>
      <c r="F218" s="1">
        <v>229</v>
      </c>
      <c r="G218" s="1">
        <v>0</v>
      </c>
      <c r="H218" s="1">
        <v>1</v>
      </c>
      <c r="I218" s="1">
        <v>3.253</v>
      </c>
      <c r="J218" s="1">
        <v>3.41</v>
      </c>
      <c r="K218" s="1">
        <v>0</v>
      </c>
      <c r="L218" s="1" t="s">
        <v>380</v>
      </c>
      <c r="M218" s="1">
        <v>512894</v>
      </c>
      <c r="N218" s="1">
        <v>0.12</v>
      </c>
      <c r="O218" s="1" t="s">
        <v>384</v>
      </c>
      <c r="P218" s="1">
        <v>3.41</v>
      </c>
      <c r="Q218" s="1">
        <v>0</v>
      </c>
      <c r="R218" s="1">
        <v>309832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>
        <v>33</v>
      </c>
      <c r="C219" s="1">
        <v>0</v>
      </c>
      <c r="D219" s="1">
        <v>89564</v>
      </c>
      <c r="E219" s="1">
        <v>0</v>
      </c>
      <c r="F219" s="1">
        <v>33</v>
      </c>
      <c r="G219" s="1">
        <v>0</v>
      </c>
      <c r="H219" s="1">
        <v>1</v>
      </c>
      <c r="I219" s="1">
        <v>0.549</v>
      </c>
      <c r="J219" s="1">
        <v>0.5600000000000001</v>
      </c>
      <c r="K219" s="1">
        <v>0</v>
      </c>
      <c r="L219" s="1" t="s">
        <v>380</v>
      </c>
      <c r="M219" s="1">
        <v>63438</v>
      </c>
      <c r="N219" s="1">
        <v>0</v>
      </c>
      <c r="O219" s="1" t="s">
        <v>384</v>
      </c>
      <c r="P219" s="1">
        <v>0.5600000000000001</v>
      </c>
      <c r="Q219" s="1">
        <v>0</v>
      </c>
      <c r="R219" s="1">
        <v>30831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>
        <v>23</v>
      </c>
      <c r="C220" s="1">
        <v>0</v>
      </c>
      <c r="D220" s="1">
        <v>142116</v>
      </c>
      <c r="E220" s="1">
        <v>0</v>
      </c>
      <c r="F220" s="1">
        <v>43</v>
      </c>
      <c r="G220" s="1">
        <v>0</v>
      </c>
      <c r="H220" s="1">
        <v>1</v>
      </c>
      <c r="I220" s="1">
        <v>0.652</v>
      </c>
      <c r="J220" s="1">
        <v>0.67</v>
      </c>
      <c r="K220" s="1">
        <v>0</v>
      </c>
      <c r="L220" s="1" t="s">
        <v>380</v>
      </c>
      <c r="M220" s="1">
        <v>84601</v>
      </c>
      <c r="N220" s="1">
        <v>0.01</v>
      </c>
      <c r="O220" s="1" t="s">
        <v>384</v>
      </c>
      <c r="P220" s="1">
        <v>0.67</v>
      </c>
      <c r="Q220" s="1">
        <v>0</v>
      </c>
      <c r="R220" s="1">
        <v>48041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>
        <v>29</v>
      </c>
      <c r="C221" s="1">
        <v>1</v>
      </c>
      <c r="D221" s="1">
        <v>158199</v>
      </c>
      <c r="E221" s="1">
        <v>0</v>
      </c>
      <c r="F221" s="1">
        <v>45</v>
      </c>
      <c r="G221" s="1">
        <v>0</v>
      </c>
      <c r="H221" s="1">
        <v>1</v>
      </c>
      <c r="I221" s="1">
        <v>0.708</v>
      </c>
      <c r="J221" s="1">
        <v>0.73</v>
      </c>
      <c r="K221" s="1">
        <v>0</v>
      </c>
      <c r="L221" s="1" t="s">
        <v>380</v>
      </c>
      <c r="M221" s="1">
        <v>95175</v>
      </c>
      <c r="N221" s="1">
        <v>0.01</v>
      </c>
      <c r="O221" s="1" t="s">
        <v>384</v>
      </c>
      <c r="P221" s="1">
        <v>0.73</v>
      </c>
      <c r="Q221" s="1">
        <v>0</v>
      </c>
      <c r="R221" s="1">
        <v>50421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>
        <v>7</v>
      </c>
      <c r="C222" s="1">
        <v>0</v>
      </c>
      <c r="D222" s="1">
        <v>128727</v>
      </c>
      <c r="E222" s="1">
        <v>0</v>
      </c>
      <c r="F222" s="1">
        <v>32</v>
      </c>
      <c r="G222" s="1">
        <v>0</v>
      </c>
      <c r="H222" s="1">
        <v>1</v>
      </c>
      <c r="I222" s="1">
        <v>0.6889999999999999</v>
      </c>
      <c r="J222" s="1">
        <v>0.71</v>
      </c>
      <c r="K222" s="1">
        <v>0</v>
      </c>
      <c r="L222" s="1" t="s">
        <v>380</v>
      </c>
      <c r="M222" s="1">
        <v>79481</v>
      </c>
      <c r="N222" s="1">
        <v>0.01</v>
      </c>
      <c r="O222" s="1" t="s">
        <v>384</v>
      </c>
      <c r="P222" s="1">
        <v>0.71</v>
      </c>
      <c r="Q222" s="1">
        <v>0</v>
      </c>
      <c r="R222" s="1">
        <v>43954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>
        <v>23</v>
      </c>
      <c r="C223" s="1">
        <v>0</v>
      </c>
      <c r="D223" s="1">
        <v>149517</v>
      </c>
      <c r="E223" s="1">
        <v>0</v>
      </c>
      <c r="F223" s="1">
        <v>44</v>
      </c>
      <c r="G223" s="1">
        <v>0</v>
      </c>
      <c r="H223" s="1">
        <v>1</v>
      </c>
      <c r="I223" s="1">
        <v>0.759</v>
      </c>
      <c r="J223" s="1">
        <v>0.78</v>
      </c>
      <c r="K223" s="1">
        <v>0</v>
      </c>
      <c r="L223" s="1" t="s">
        <v>380</v>
      </c>
      <c r="M223" s="1">
        <v>87963</v>
      </c>
      <c r="N223" s="1">
        <v>0.01</v>
      </c>
      <c r="O223" s="1" t="s">
        <v>384</v>
      </c>
      <c r="P223" s="1">
        <v>0.78</v>
      </c>
      <c r="Q223" s="1">
        <v>0</v>
      </c>
      <c r="R223" s="1">
        <v>50397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>
        <v>6</v>
      </c>
      <c r="C224" s="1">
        <v>0</v>
      </c>
      <c r="D224" s="1">
        <v>167573</v>
      </c>
      <c r="E224" s="1">
        <v>0</v>
      </c>
      <c r="F224" s="1">
        <v>46</v>
      </c>
      <c r="G224" s="1">
        <v>0</v>
      </c>
      <c r="H224" s="1">
        <v>1</v>
      </c>
      <c r="I224" s="1">
        <v>0.6820000000000001</v>
      </c>
      <c r="J224" s="1">
        <v>0.7</v>
      </c>
      <c r="K224" s="1">
        <v>0</v>
      </c>
      <c r="L224" s="1" t="s">
        <v>380</v>
      </c>
      <c r="M224" s="1">
        <v>97546</v>
      </c>
      <c r="N224" s="1">
        <v>0.01</v>
      </c>
      <c r="O224" s="1" t="s">
        <v>384</v>
      </c>
      <c r="P224" s="1">
        <v>0.7</v>
      </c>
      <c r="Q224" s="1">
        <v>0</v>
      </c>
      <c r="R224" s="1">
        <v>56162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>
        <v>25</v>
      </c>
      <c r="C225" s="1">
        <v>0</v>
      </c>
      <c r="D225" s="1">
        <v>202846</v>
      </c>
      <c r="E225" s="1">
        <v>0</v>
      </c>
      <c r="F225" s="1">
        <v>57</v>
      </c>
      <c r="G225" s="1">
        <v>0</v>
      </c>
      <c r="H225" s="1">
        <v>1</v>
      </c>
      <c r="I225" s="1">
        <v>0.961</v>
      </c>
      <c r="J225" s="1">
        <v>0.99</v>
      </c>
      <c r="K225" s="1">
        <v>0</v>
      </c>
      <c r="L225" s="1" t="s">
        <v>380</v>
      </c>
      <c r="M225" s="1">
        <v>117163</v>
      </c>
      <c r="N225" s="1">
        <v>0.02</v>
      </c>
      <c r="O225" s="1" t="s">
        <v>384</v>
      </c>
      <c r="P225" s="1">
        <v>0.99</v>
      </c>
      <c r="Q225" s="1">
        <v>0</v>
      </c>
      <c r="R225" s="1">
        <v>68162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>
        <v>39</v>
      </c>
      <c r="C226" s="1">
        <v>0</v>
      </c>
      <c r="D226" s="1">
        <v>328983</v>
      </c>
      <c r="E226" s="1">
        <v>0</v>
      </c>
      <c r="F226" s="1">
        <v>84</v>
      </c>
      <c r="G226" s="1">
        <v>0</v>
      </c>
      <c r="H226" s="1">
        <v>1</v>
      </c>
      <c r="I226" s="1">
        <v>1.278</v>
      </c>
      <c r="J226" s="1">
        <v>1.32</v>
      </c>
      <c r="K226" s="1">
        <v>0</v>
      </c>
      <c r="L226" s="1" t="s">
        <v>380</v>
      </c>
      <c r="M226" s="1">
        <v>193904</v>
      </c>
      <c r="N226" s="1">
        <v>0.03</v>
      </c>
      <c r="O226" s="1" t="s">
        <v>384</v>
      </c>
      <c r="P226" s="1">
        <v>1.32</v>
      </c>
      <c r="Q226" s="1">
        <v>0</v>
      </c>
      <c r="R226" s="1">
        <v>108291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>
        <v>32</v>
      </c>
      <c r="C227" s="1">
        <v>1</v>
      </c>
      <c r="D227" s="1">
        <v>455403</v>
      </c>
      <c r="E227" s="1">
        <v>0</v>
      </c>
      <c r="F227" s="1">
        <v>111</v>
      </c>
      <c r="G227" s="1">
        <v>0</v>
      </c>
      <c r="H227" s="1">
        <v>1</v>
      </c>
      <c r="I227" s="1">
        <v>1.352</v>
      </c>
      <c r="J227" s="1">
        <v>1.4</v>
      </c>
      <c r="K227" s="1">
        <v>0</v>
      </c>
      <c r="L227" s="1" t="s">
        <v>380</v>
      </c>
      <c r="M227" s="1">
        <v>238555</v>
      </c>
      <c r="N227" s="1">
        <v>0.03</v>
      </c>
      <c r="O227" s="1" t="s">
        <v>384</v>
      </c>
      <c r="P227" s="1">
        <v>1.4</v>
      </c>
      <c r="Q227" s="1">
        <v>0</v>
      </c>
      <c r="R227" s="1">
        <v>147795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>
        <v>19</v>
      </c>
      <c r="C228" s="1">
        <v>0</v>
      </c>
      <c r="D228" s="1">
        <v>406077</v>
      </c>
      <c r="E228" s="1">
        <v>0</v>
      </c>
      <c r="F228" s="1">
        <v>105</v>
      </c>
      <c r="G228" s="1">
        <v>0</v>
      </c>
      <c r="H228" s="1">
        <v>1</v>
      </c>
      <c r="I228" s="1">
        <v>1.402</v>
      </c>
      <c r="J228" s="1">
        <v>1.45</v>
      </c>
      <c r="K228" s="1">
        <v>0</v>
      </c>
      <c r="L228" s="1" t="s">
        <v>380</v>
      </c>
      <c r="M228" s="1">
        <v>226960</v>
      </c>
      <c r="N228" s="1">
        <v>0.03</v>
      </c>
      <c r="O228" s="1" t="s">
        <v>384</v>
      </c>
      <c r="P228" s="1">
        <v>1.45</v>
      </c>
      <c r="Q228" s="1">
        <v>0</v>
      </c>
      <c r="R228" s="1">
        <v>135921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>
        <v>21</v>
      </c>
      <c r="C229" s="1">
        <v>0</v>
      </c>
      <c r="D229" s="1">
        <v>544735</v>
      </c>
      <c r="E229" s="1">
        <v>0</v>
      </c>
      <c r="F229" s="1">
        <v>129</v>
      </c>
      <c r="G229" s="1">
        <v>0</v>
      </c>
      <c r="H229" s="1">
        <v>1</v>
      </c>
      <c r="I229" s="1">
        <v>1.764</v>
      </c>
      <c r="J229" s="1">
        <v>1.83</v>
      </c>
      <c r="K229" s="1">
        <v>0</v>
      </c>
      <c r="L229" s="1" t="s">
        <v>380</v>
      </c>
      <c r="M229" s="1">
        <v>282960</v>
      </c>
      <c r="N229" s="1">
        <v>0.04</v>
      </c>
      <c r="O229" s="1" t="s">
        <v>384</v>
      </c>
      <c r="P229" s="1">
        <v>1.83</v>
      </c>
      <c r="Q229" s="1">
        <v>0</v>
      </c>
      <c r="R229" s="1">
        <v>176027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>
        <v>108</v>
      </c>
      <c r="C230" s="1">
        <v>0</v>
      </c>
      <c r="D230" s="1">
        <v>778675</v>
      </c>
      <c r="E230" s="1">
        <v>0</v>
      </c>
      <c r="F230" s="1">
        <v>172</v>
      </c>
      <c r="G230" s="1">
        <v>0</v>
      </c>
      <c r="H230" s="1">
        <v>1</v>
      </c>
      <c r="I230" s="1">
        <v>2.295</v>
      </c>
      <c r="J230" s="1">
        <v>2.38</v>
      </c>
      <c r="K230" s="1">
        <v>0</v>
      </c>
      <c r="L230" s="1" t="s">
        <v>380</v>
      </c>
      <c r="M230" s="1">
        <v>382906</v>
      </c>
      <c r="N230" s="1">
        <v>0.08</v>
      </c>
      <c r="O230" s="1" t="s">
        <v>384</v>
      </c>
      <c r="P230" s="1">
        <v>2.38</v>
      </c>
      <c r="Q230" s="1">
        <v>0</v>
      </c>
      <c r="R230" s="1">
        <v>247083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>
        <v>25</v>
      </c>
      <c r="C231" s="1">
        <v>0</v>
      </c>
      <c r="D231" s="1">
        <v>519535</v>
      </c>
      <c r="E231" s="1">
        <v>0</v>
      </c>
      <c r="F231" s="1">
        <v>131</v>
      </c>
      <c r="G231" s="1">
        <v>0</v>
      </c>
      <c r="H231" s="1">
        <v>1</v>
      </c>
      <c r="I231" s="1">
        <v>1.694</v>
      </c>
      <c r="J231" s="1">
        <v>1.76</v>
      </c>
      <c r="K231" s="1">
        <v>0</v>
      </c>
      <c r="L231" s="1" t="s">
        <v>380</v>
      </c>
      <c r="M231" s="1">
        <v>283190</v>
      </c>
      <c r="N231" s="1">
        <v>0.05</v>
      </c>
      <c r="O231" s="1" t="s">
        <v>384</v>
      </c>
      <c r="P231" s="1">
        <v>1.76</v>
      </c>
      <c r="Q231" s="1">
        <v>0</v>
      </c>
      <c r="R231" s="1">
        <v>172367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>
        <v>27</v>
      </c>
      <c r="C232" s="1">
        <v>0</v>
      </c>
      <c r="D232" s="1">
        <v>557993</v>
      </c>
      <c r="E232" s="1">
        <v>0</v>
      </c>
      <c r="F232" s="1">
        <v>133</v>
      </c>
      <c r="G232" s="1">
        <v>0</v>
      </c>
      <c r="H232" s="1">
        <v>1</v>
      </c>
      <c r="I232" s="1">
        <v>1.848</v>
      </c>
      <c r="J232" s="1">
        <v>1.92</v>
      </c>
      <c r="K232" s="1">
        <v>0</v>
      </c>
      <c r="L232" s="1" t="s">
        <v>380</v>
      </c>
      <c r="M232" s="1">
        <v>281799</v>
      </c>
      <c r="N232" s="1">
        <v>0.05</v>
      </c>
      <c r="O232" s="1" t="s">
        <v>384</v>
      </c>
      <c r="P232" s="1">
        <v>1.92</v>
      </c>
      <c r="Q232" s="1">
        <v>0</v>
      </c>
      <c r="R232" s="1">
        <v>184485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>
        <v>42</v>
      </c>
      <c r="C233" s="1">
        <v>0</v>
      </c>
      <c r="D233" s="1">
        <v>982973</v>
      </c>
      <c r="E233" s="1">
        <v>0</v>
      </c>
      <c r="F233" s="1">
        <v>222</v>
      </c>
      <c r="G233" s="1">
        <v>0</v>
      </c>
      <c r="H233" s="1">
        <v>1</v>
      </c>
      <c r="I233" s="1">
        <v>3.033</v>
      </c>
      <c r="J233" s="1">
        <v>3.23</v>
      </c>
      <c r="K233" s="1">
        <v>0</v>
      </c>
      <c r="L233" s="1" t="s">
        <v>380</v>
      </c>
      <c r="M233" s="1">
        <v>508547</v>
      </c>
      <c r="N233" s="1">
        <v>0.1</v>
      </c>
      <c r="O233" s="1" t="s">
        <v>384</v>
      </c>
      <c r="P233" s="1">
        <v>3.23</v>
      </c>
      <c r="Q233" s="1">
        <v>0</v>
      </c>
      <c r="R233" s="1">
        <v>319581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>
        <v>20</v>
      </c>
      <c r="C234" s="1">
        <v>0</v>
      </c>
      <c r="D234" s="1">
        <v>779877</v>
      </c>
      <c r="E234" s="1">
        <v>0</v>
      </c>
      <c r="F234" s="1">
        <v>180</v>
      </c>
      <c r="G234" s="1">
        <v>0</v>
      </c>
      <c r="H234" s="1">
        <v>1</v>
      </c>
      <c r="I234" s="1">
        <v>2.364</v>
      </c>
      <c r="J234" s="1">
        <v>2.47</v>
      </c>
      <c r="K234" s="1">
        <v>0</v>
      </c>
      <c r="L234" s="1" t="s">
        <v>380</v>
      </c>
      <c r="M234" s="1">
        <v>404715</v>
      </c>
      <c r="N234" s="1">
        <v>0.07000000000000001</v>
      </c>
      <c r="O234" s="1" t="s">
        <v>384</v>
      </c>
      <c r="P234" s="1">
        <v>2.47</v>
      </c>
      <c r="Q234" s="1">
        <v>0</v>
      </c>
      <c r="R234" s="1">
        <v>259389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>
        <v>105</v>
      </c>
      <c r="C235" s="1">
        <v>1</v>
      </c>
      <c r="D235" s="1">
        <v>1066275</v>
      </c>
      <c r="E235" s="1">
        <v>0</v>
      </c>
      <c r="F235" s="1">
        <v>245</v>
      </c>
      <c r="G235" s="1">
        <v>0</v>
      </c>
      <c r="H235" s="1">
        <v>1</v>
      </c>
      <c r="I235" s="1">
        <v>3.3</v>
      </c>
      <c r="J235" s="1">
        <v>3.48</v>
      </c>
      <c r="K235" s="1">
        <v>0</v>
      </c>
      <c r="L235" s="1" t="s">
        <v>380</v>
      </c>
      <c r="M235" s="1">
        <v>533890</v>
      </c>
      <c r="N235" s="1">
        <v>0.11</v>
      </c>
      <c r="O235" s="1" t="s">
        <v>384</v>
      </c>
      <c r="P235" s="1">
        <v>3.48</v>
      </c>
      <c r="Q235" s="1">
        <v>0</v>
      </c>
      <c r="R235" s="1">
        <v>350452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>
        <v>149</v>
      </c>
      <c r="C236" s="1">
        <v>1</v>
      </c>
      <c r="D236" s="1">
        <v>1295494</v>
      </c>
      <c r="E236" s="1">
        <v>0</v>
      </c>
      <c r="F236" s="1">
        <v>282</v>
      </c>
      <c r="G236" s="1">
        <v>0</v>
      </c>
      <c r="H236" s="1">
        <v>1</v>
      </c>
      <c r="I236" s="1">
        <v>3.934</v>
      </c>
      <c r="J236" s="1">
        <v>4.11</v>
      </c>
      <c r="K236" s="1">
        <v>0</v>
      </c>
      <c r="L236" s="1" t="s">
        <v>380</v>
      </c>
      <c r="M236" s="1">
        <v>653708</v>
      </c>
      <c r="N236" s="1">
        <v>0.14</v>
      </c>
      <c r="O236" s="1" t="s">
        <v>384</v>
      </c>
      <c r="P236" s="1">
        <v>4.11</v>
      </c>
      <c r="Q236" s="1">
        <v>0</v>
      </c>
      <c r="R236" s="1">
        <v>417026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>
        <v>111</v>
      </c>
      <c r="C237" s="1">
        <v>1</v>
      </c>
      <c r="D237" s="1">
        <v>1305042</v>
      </c>
      <c r="E237" s="1">
        <v>0</v>
      </c>
      <c r="F237" s="1">
        <v>292</v>
      </c>
      <c r="G237" s="1">
        <v>0</v>
      </c>
      <c r="H237" s="1">
        <v>1</v>
      </c>
      <c r="I237" s="1">
        <v>3.678</v>
      </c>
      <c r="J237" s="1">
        <v>3.84</v>
      </c>
      <c r="K237" s="1">
        <v>0</v>
      </c>
      <c r="L237" s="1" t="s">
        <v>380</v>
      </c>
      <c r="M237" s="1">
        <v>654723</v>
      </c>
      <c r="N237" s="1">
        <v>0.14</v>
      </c>
      <c r="O237" s="1" t="s">
        <v>384</v>
      </c>
      <c r="P237" s="1">
        <v>3.84</v>
      </c>
      <c r="Q237" s="1">
        <v>0</v>
      </c>
      <c r="R237" s="1">
        <v>419093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>
        <v>104</v>
      </c>
      <c r="C238" s="1">
        <v>2</v>
      </c>
      <c r="D238" s="1">
        <v>1648457</v>
      </c>
      <c r="E238" s="1">
        <v>0</v>
      </c>
      <c r="F238" s="1">
        <v>326</v>
      </c>
      <c r="G238" s="1">
        <v>0</v>
      </c>
      <c r="H238" s="1">
        <v>1</v>
      </c>
      <c r="I238" s="1">
        <v>4.242</v>
      </c>
      <c r="J238" s="1">
        <v>4.44</v>
      </c>
      <c r="K238" s="1">
        <v>0</v>
      </c>
      <c r="L238" s="1" t="s">
        <v>380</v>
      </c>
      <c r="M238" s="1">
        <v>779323</v>
      </c>
      <c r="N238" s="1">
        <v>0.18</v>
      </c>
      <c r="O238" s="1" t="s">
        <v>384</v>
      </c>
      <c r="P238" s="1">
        <v>4.44</v>
      </c>
      <c r="Q238" s="1">
        <v>0</v>
      </c>
      <c r="R238" s="1">
        <v>514035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>
        <v>36</v>
      </c>
      <c r="C239" s="1">
        <v>0</v>
      </c>
      <c r="D239" s="1">
        <v>1283201</v>
      </c>
      <c r="E239" s="1">
        <v>0</v>
      </c>
      <c r="F239" s="1">
        <v>279</v>
      </c>
      <c r="G239" s="1">
        <v>0</v>
      </c>
      <c r="H239" s="1">
        <v>1</v>
      </c>
      <c r="I239" s="1">
        <v>3.748</v>
      </c>
      <c r="J239" s="1">
        <v>3.95</v>
      </c>
      <c r="K239" s="1">
        <v>0</v>
      </c>
      <c r="L239" s="1" t="s">
        <v>380</v>
      </c>
      <c r="M239" s="1">
        <v>623052</v>
      </c>
      <c r="N239" s="1">
        <v>0.13</v>
      </c>
      <c r="O239" s="1" t="s">
        <v>384</v>
      </c>
      <c r="P239" s="1">
        <v>3.95</v>
      </c>
      <c r="Q239" s="1">
        <v>0</v>
      </c>
      <c r="R239" s="1">
        <v>413918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>
        <v>58</v>
      </c>
      <c r="C240" s="1">
        <v>0</v>
      </c>
      <c r="D240" s="1">
        <v>1736674</v>
      </c>
      <c r="E240" s="1">
        <v>0</v>
      </c>
      <c r="F240" s="1">
        <v>391</v>
      </c>
      <c r="G240" s="1">
        <v>0</v>
      </c>
      <c r="H240" s="1">
        <v>1</v>
      </c>
      <c r="I240" s="1">
        <v>5.103</v>
      </c>
      <c r="J240" s="1">
        <v>5.34</v>
      </c>
      <c r="K240" s="1">
        <v>0</v>
      </c>
      <c r="L240" s="1" t="s">
        <v>380</v>
      </c>
      <c r="M240" s="1">
        <v>875707</v>
      </c>
      <c r="N240" s="1">
        <v>0.18</v>
      </c>
      <c r="O240" s="1" t="s">
        <v>384</v>
      </c>
      <c r="P240" s="1">
        <v>5.34</v>
      </c>
      <c r="Q240" s="1">
        <v>0</v>
      </c>
      <c r="R240" s="1">
        <v>557463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>
        <v>45</v>
      </c>
      <c r="C241" s="1">
        <v>0</v>
      </c>
      <c r="D241" s="1">
        <v>1813578</v>
      </c>
      <c r="E241" s="1">
        <v>0</v>
      </c>
      <c r="F241" s="1">
        <v>389</v>
      </c>
      <c r="G241" s="1">
        <v>0</v>
      </c>
      <c r="H241" s="1">
        <v>1</v>
      </c>
      <c r="I241" s="1">
        <v>5.196</v>
      </c>
      <c r="J241" s="1">
        <v>5.44</v>
      </c>
      <c r="K241" s="1">
        <v>0</v>
      </c>
      <c r="L241" s="1" t="s">
        <v>380</v>
      </c>
      <c r="M241" s="1">
        <v>874259</v>
      </c>
      <c r="N241" s="1">
        <v>0.18</v>
      </c>
      <c r="O241" s="1" t="s">
        <v>384</v>
      </c>
      <c r="P241" s="1">
        <v>5.44</v>
      </c>
      <c r="Q241" s="1">
        <v>0</v>
      </c>
      <c r="R241" s="1">
        <v>580045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>
        <v>41</v>
      </c>
      <c r="C242" s="1">
        <v>0</v>
      </c>
      <c r="D242" s="1">
        <v>1644888</v>
      </c>
      <c r="E242" s="1">
        <v>0</v>
      </c>
      <c r="F242" s="1">
        <v>370</v>
      </c>
      <c r="G242" s="1">
        <v>0</v>
      </c>
      <c r="H242" s="1">
        <v>1</v>
      </c>
      <c r="I242" s="1">
        <v>4.881</v>
      </c>
      <c r="J242" s="1">
        <v>5.13</v>
      </c>
      <c r="K242" s="1">
        <v>0</v>
      </c>
      <c r="L242" s="1" t="s">
        <v>380</v>
      </c>
      <c r="M242" s="1">
        <v>806828</v>
      </c>
      <c r="N242" s="1">
        <v>0.16</v>
      </c>
      <c r="O242" s="1" t="s">
        <v>384</v>
      </c>
      <c r="P242" s="1">
        <v>5.13</v>
      </c>
      <c r="Q242" s="1">
        <v>0</v>
      </c>
      <c r="R242" s="1">
        <v>541883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>
        <v>126</v>
      </c>
      <c r="C243" s="1">
        <v>2</v>
      </c>
      <c r="D243" s="1">
        <v>2018935</v>
      </c>
      <c r="E243" s="1">
        <v>0</v>
      </c>
      <c r="F243" s="1">
        <v>445</v>
      </c>
      <c r="G243" s="1">
        <v>0</v>
      </c>
      <c r="H243" s="1">
        <v>1</v>
      </c>
      <c r="I243" s="1">
        <v>5.984</v>
      </c>
      <c r="J243" s="1">
        <v>6.26</v>
      </c>
      <c r="K243" s="1">
        <v>0</v>
      </c>
      <c r="L243" s="1" t="s">
        <v>380</v>
      </c>
      <c r="M243" s="1">
        <v>986003</v>
      </c>
      <c r="N243" s="1">
        <v>0.23</v>
      </c>
      <c r="O243" s="1" t="s">
        <v>384</v>
      </c>
      <c r="P243" s="1">
        <v>6.26</v>
      </c>
      <c r="Q243" s="1">
        <v>0</v>
      </c>
      <c r="R243" s="1">
        <v>652134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>
        <v>93</v>
      </c>
      <c r="C244" s="1">
        <v>0</v>
      </c>
      <c r="D244" s="1">
        <v>2106816</v>
      </c>
      <c r="E244" s="1">
        <v>0</v>
      </c>
      <c r="F244" s="1">
        <v>441</v>
      </c>
      <c r="G244" s="1">
        <v>0</v>
      </c>
      <c r="H244" s="1">
        <v>1</v>
      </c>
      <c r="I244" s="1">
        <v>5.822</v>
      </c>
      <c r="J244" s="1">
        <v>6.09</v>
      </c>
      <c r="K244" s="1">
        <v>0</v>
      </c>
      <c r="L244" s="1" t="s">
        <v>380</v>
      </c>
      <c r="M244" s="1">
        <v>983523</v>
      </c>
      <c r="N244" s="1">
        <v>0.24</v>
      </c>
      <c r="O244" s="1" t="s">
        <v>384</v>
      </c>
      <c r="P244" s="1">
        <v>6.09</v>
      </c>
      <c r="Q244" s="1">
        <v>0</v>
      </c>
      <c r="R244" s="1">
        <v>678669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>
        <v>126</v>
      </c>
      <c r="C245" s="1">
        <v>3</v>
      </c>
      <c r="D245" s="1">
        <v>2445665</v>
      </c>
      <c r="E245" s="1">
        <v>0</v>
      </c>
      <c r="F245" s="1">
        <v>506</v>
      </c>
      <c r="G245" s="1">
        <v>0</v>
      </c>
      <c r="H245" s="1">
        <v>1</v>
      </c>
      <c r="I245" s="1">
        <v>6.815</v>
      </c>
      <c r="J245" s="1">
        <v>7.16</v>
      </c>
      <c r="K245" s="1">
        <v>0</v>
      </c>
      <c r="L245" s="1" t="s">
        <v>380</v>
      </c>
      <c r="M245" s="1">
        <v>1145148</v>
      </c>
      <c r="N245" s="1">
        <v>0.28</v>
      </c>
      <c r="O245" s="1" t="s">
        <v>384</v>
      </c>
      <c r="P245" s="1">
        <v>7.16</v>
      </c>
      <c r="Q245" s="1">
        <v>0</v>
      </c>
      <c r="R245" s="1">
        <v>773153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>
        <v>39</v>
      </c>
      <c r="C246" s="1">
        <v>0</v>
      </c>
      <c r="D246" s="1">
        <v>2005826</v>
      </c>
      <c r="E246" s="1">
        <v>0</v>
      </c>
      <c r="F246" s="1">
        <v>425</v>
      </c>
      <c r="G246" s="1">
        <v>0</v>
      </c>
      <c r="H246" s="1">
        <v>1</v>
      </c>
      <c r="I246" s="1">
        <v>5.622</v>
      </c>
      <c r="J246" s="1">
        <v>5.88</v>
      </c>
      <c r="K246" s="1">
        <v>0</v>
      </c>
      <c r="L246" s="1" t="s">
        <v>380</v>
      </c>
      <c r="M246" s="1">
        <v>950807</v>
      </c>
      <c r="N246" s="1">
        <v>0.21</v>
      </c>
      <c r="O246" s="1" t="s">
        <v>384</v>
      </c>
      <c r="P246" s="1">
        <v>5.88</v>
      </c>
      <c r="Q246" s="1">
        <v>0</v>
      </c>
      <c r="R246" s="1">
        <v>649515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>
        <v>60</v>
      </c>
      <c r="C247" s="1">
        <v>0</v>
      </c>
      <c r="D247" s="1">
        <v>2438887</v>
      </c>
      <c r="E247" s="1">
        <v>0</v>
      </c>
      <c r="F247" s="1">
        <v>531</v>
      </c>
      <c r="G247" s="1">
        <v>0</v>
      </c>
      <c r="H247" s="1">
        <v>1</v>
      </c>
      <c r="I247" s="1">
        <v>7.121</v>
      </c>
      <c r="J247" s="1">
        <v>7.53</v>
      </c>
      <c r="K247" s="1">
        <v>0</v>
      </c>
      <c r="L247" s="1" t="s">
        <v>380</v>
      </c>
      <c r="M247" s="1">
        <v>1206608</v>
      </c>
      <c r="N247" s="1">
        <v>0.27</v>
      </c>
      <c r="O247" s="1" t="s">
        <v>384</v>
      </c>
      <c r="P247" s="1">
        <v>7.53</v>
      </c>
      <c r="Q247" s="1">
        <v>0</v>
      </c>
      <c r="R247" s="1">
        <v>788027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>
        <v>152</v>
      </c>
      <c r="C248" s="1">
        <v>2</v>
      </c>
      <c r="D248" s="1">
        <v>3281297</v>
      </c>
      <c r="E248" s="1">
        <v>0</v>
      </c>
      <c r="F248" s="1">
        <v>684</v>
      </c>
      <c r="G248" s="1">
        <v>0</v>
      </c>
      <c r="H248" s="1">
        <v>1</v>
      </c>
      <c r="I248" s="1">
        <v>9.49</v>
      </c>
      <c r="J248" s="1">
        <v>9.94</v>
      </c>
      <c r="K248" s="1">
        <v>0</v>
      </c>
      <c r="L248" s="1" t="s">
        <v>380</v>
      </c>
      <c r="M248" s="1">
        <v>1578551</v>
      </c>
      <c r="N248" s="1">
        <v>0.39</v>
      </c>
      <c r="O248" s="1" t="s">
        <v>384</v>
      </c>
      <c r="P248" s="1">
        <v>9.94</v>
      </c>
      <c r="Q248" s="1">
        <v>0</v>
      </c>
      <c r="R248" s="1">
        <v>1047807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>
        <v>149</v>
      </c>
      <c r="C249" s="1">
        <v>2</v>
      </c>
      <c r="D249" s="1">
        <v>2892595</v>
      </c>
      <c r="E249" s="1">
        <v>0</v>
      </c>
      <c r="F249" s="1">
        <v>635</v>
      </c>
      <c r="G249" s="1">
        <v>0</v>
      </c>
      <c r="H249" s="1">
        <v>1</v>
      </c>
      <c r="I249" s="1">
        <v>7.892</v>
      </c>
      <c r="J249" s="1">
        <v>8.279999999999999</v>
      </c>
      <c r="K249" s="1">
        <v>0</v>
      </c>
      <c r="L249" s="1" t="s">
        <v>380</v>
      </c>
      <c r="M249" s="1">
        <v>1386748</v>
      </c>
      <c r="N249" s="1">
        <v>0.35</v>
      </c>
      <c r="O249" s="1" t="s">
        <v>384</v>
      </c>
      <c r="P249" s="1">
        <v>8.279999999999999</v>
      </c>
      <c r="Q249" s="1">
        <v>0</v>
      </c>
      <c r="R249" s="1">
        <v>937643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>
        <v>124</v>
      </c>
      <c r="C250" s="1">
        <v>2</v>
      </c>
      <c r="D250" s="1">
        <v>2890727</v>
      </c>
      <c r="E250" s="1">
        <v>0</v>
      </c>
      <c r="F250" s="1">
        <v>633</v>
      </c>
      <c r="G250" s="1">
        <v>0</v>
      </c>
      <c r="H250" s="1">
        <v>1</v>
      </c>
      <c r="I250" s="1">
        <v>8.331</v>
      </c>
      <c r="J250" s="1">
        <v>8.73</v>
      </c>
      <c r="K250" s="1">
        <v>0</v>
      </c>
      <c r="L250" s="1" t="s">
        <v>380</v>
      </c>
      <c r="M250" s="1">
        <v>1383543</v>
      </c>
      <c r="N250" s="1">
        <v>0.36</v>
      </c>
      <c r="O250" s="1" t="s">
        <v>384</v>
      </c>
      <c r="P250" s="1">
        <v>8.73</v>
      </c>
      <c r="Q250" s="1">
        <v>0</v>
      </c>
      <c r="R250" s="1">
        <v>936448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>
        <v>151</v>
      </c>
      <c r="C251" s="1">
        <v>2</v>
      </c>
      <c r="D251" s="1">
        <v>3281297</v>
      </c>
      <c r="E251" s="1">
        <v>0</v>
      </c>
      <c r="F251" s="1">
        <v>700</v>
      </c>
      <c r="G251" s="1">
        <v>0</v>
      </c>
      <c r="H251" s="1">
        <v>1</v>
      </c>
      <c r="I251" s="1">
        <v>8.827</v>
      </c>
      <c r="J251" s="1">
        <v>9.25</v>
      </c>
      <c r="K251" s="1">
        <v>0</v>
      </c>
      <c r="L251" s="1" t="s">
        <v>380</v>
      </c>
      <c r="M251" s="1">
        <v>1578551</v>
      </c>
      <c r="N251" s="1">
        <v>0.37</v>
      </c>
      <c r="O251" s="1" t="s">
        <v>384</v>
      </c>
      <c r="P251" s="1">
        <v>9.25</v>
      </c>
      <c r="Q251" s="1">
        <v>0</v>
      </c>
      <c r="R251" s="1">
        <v>1047807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>
        <v>135</v>
      </c>
      <c r="C252" s="1">
        <v>4</v>
      </c>
      <c r="D252" s="1">
        <v>3400772</v>
      </c>
      <c r="E252" s="1">
        <v>0</v>
      </c>
      <c r="F252" s="1">
        <v>708</v>
      </c>
      <c r="G252" s="1">
        <v>0</v>
      </c>
      <c r="H252" s="1">
        <v>1</v>
      </c>
      <c r="I252" s="1">
        <v>8.984999999999999</v>
      </c>
      <c r="J252" s="1">
        <v>9.43</v>
      </c>
      <c r="K252" s="1">
        <v>0</v>
      </c>
      <c r="L252" s="1" t="s">
        <v>380</v>
      </c>
      <c r="M252" s="1">
        <v>1577233</v>
      </c>
      <c r="N252" s="1">
        <v>0.4</v>
      </c>
      <c r="O252" s="1" t="s">
        <v>384</v>
      </c>
      <c r="P252" s="1">
        <v>9.43</v>
      </c>
      <c r="Q252" s="1">
        <v>0</v>
      </c>
      <c r="R252" s="1">
        <v>1083544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>
        <v>49</v>
      </c>
      <c r="C253" s="1">
        <v>0</v>
      </c>
      <c r="D253" s="1">
        <v>2766516</v>
      </c>
      <c r="E253" s="1">
        <v>0</v>
      </c>
      <c r="F253" s="1">
        <v>599</v>
      </c>
      <c r="G253" s="1">
        <v>0</v>
      </c>
      <c r="H253" s="1">
        <v>1</v>
      </c>
      <c r="I253" s="1">
        <v>7.679</v>
      </c>
      <c r="J253" s="1">
        <v>8.06</v>
      </c>
      <c r="K253" s="1">
        <v>0</v>
      </c>
      <c r="L253" s="1" t="s">
        <v>380</v>
      </c>
      <c r="M253" s="1">
        <v>1343117</v>
      </c>
      <c r="N253" s="1">
        <v>0.3</v>
      </c>
      <c r="O253" s="1" t="s">
        <v>384</v>
      </c>
      <c r="P253" s="1">
        <v>8.06</v>
      </c>
      <c r="Q253" s="1">
        <v>0</v>
      </c>
      <c r="R253" s="1">
        <v>900473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>
        <v>153</v>
      </c>
      <c r="C254" s="1">
        <v>3</v>
      </c>
      <c r="D254" s="1">
        <v>4368376</v>
      </c>
      <c r="E254" s="1">
        <v>0</v>
      </c>
      <c r="F254" s="1">
        <v>946</v>
      </c>
      <c r="G254" s="1">
        <v>0</v>
      </c>
      <c r="H254" s="1">
        <v>1</v>
      </c>
      <c r="I254" s="1">
        <v>12.584</v>
      </c>
      <c r="J254" s="1">
        <v>13.25</v>
      </c>
      <c r="K254" s="1">
        <v>0</v>
      </c>
      <c r="L254" s="1" t="s">
        <v>380</v>
      </c>
      <c r="M254" s="1">
        <v>2075060</v>
      </c>
      <c r="N254" s="1">
        <v>0.53</v>
      </c>
      <c r="O254" s="1" t="s">
        <v>384</v>
      </c>
      <c r="P254" s="1">
        <v>13.25</v>
      </c>
      <c r="Q254" s="1">
        <v>0</v>
      </c>
      <c r="R254" s="1">
        <v>1401753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>
        <v>24</v>
      </c>
      <c r="C255" s="1">
        <v>0</v>
      </c>
      <c r="D255" s="1">
        <v>42496</v>
      </c>
      <c r="E255" s="1">
        <v>0</v>
      </c>
      <c r="F255" s="1">
        <v>12</v>
      </c>
      <c r="G255" s="1">
        <v>0</v>
      </c>
      <c r="H255" s="1">
        <v>1</v>
      </c>
      <c r="I255" s="1">
        <v>0.495</v>
      </c>
      <c r="J255" s="1">
        <v>0.5</v>
      </c>
      <c r="K255" s="1">
        <v>0</v>
      </c>
      <c r="L255" s="1" t="s">
        <v>380</v>
      </c>
      <c r="M255" s="1">
        <v>34501</v>
      </c>
      <c r="N255" s="1">
        <v>0</v>
      </c>
      <c r="O255" s="1" t="s">
        <v>384</v>
      </c>
      <c r="P255" s="1">
        <v>0.5</v>
      </c>
      <c r="Q255" s="1">
        <v>0</v>
      </c>
      <c r="R255" s="1">
        <v>15324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>
        <v>17</v>
      </c>
      <c r="C256" s="1">
        <v>0</v>
      </c>
      <c r="D256" s="1">
        <v>49899</v>
      </c>
      <c r="E256" s="1">
        <v>0</v>
      </c>
      <c r="F256" s="1">
        <v>22</v>
      </c>
      <c r="G256" s="1">
        <v>0</v>
      </c>
      <c r="H256" s="1">
        <v>1</v>
      </c>
      <c r="I256" s="1">
        <v>0.509</v>
      </c>
      <c r="J256" s="1">
        <v>0.52</v>
      </c>
      <c r="K256" s="1">
        <v>0</v>
      </c>
      <c r="L256" s="1" t="s">
        <v>380</v>
      </c>
      <c r="M256" s="1">
        <v>34168</v>
      </c>
      <c r="N256" s="1">
        <v>0</v>
      </c>
      <c r="O256" s="1" t="s">
        <v>384</v>
      </c>
      <c r="P256" s="1">
        <v>0.52</v>
      </c>
      <c r="Q256" s="1">
        <v>0</v>
      </c>
      <c r="R256" s="1">
        <v>17617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>
        <v>17</v>
      </c>
      <c r="C257" s="1">
        <v>0</v>
      </c>
      <c r="D257" s="1">
        <v>37985</v>
      </c>
      <c r="E257" s="1">
        <v>0</v>
      </c>
      <c r="F257" s="1">
        <v>17</v>
      </c>
      <c r="G257" s="1">
        <v>0</v>
      </c>
      <c r="H257" s="1">
        <v>1</v>
      </c>
      <c r="I257" s="1">
        <v>0.504</v>
      </c>
      <c r="J257" s="1">
        <v>0.51</v>
      </c>
      <c r="K257" s="1">
        <v>0</v>
      </c>
      <c r="L257" s="1" t="s">
        <v>380</v>
      </c>
      <c r="M257" s="1">
        <v>28779</v>
      </c>
      <c r="N257" s="1">
        <v>0</v>
      </c>
      <c r="O257" s="1" t="s">
        <v>384</v>
      </c>
      <c r="P257" s="1">
        <v>0.51</v>
      </c>
      <c r="Q257" s="1">
        <v>0</v>
      </c>
      <c r="R257" s="1">
        <v>13729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>
        <v>31</v>
      </c>
      <c r="C258" s="1">
        <v>1</v>
      </c>
      <c r="D258" s="1">
        <v>71195</v>
      </c>
      <c r="E258" s="1">
        <v>0</v>
      </c>
      <c r="F258" s="1">
        <v>26</v>
      </c>
      <c r="G258" s="1">
        <v>0</v>
      </c>
      <c r="H258" s="1">
        <v>1</v>
      </c>
      <c r="I258" s="1">
        <v>0.5669999999999999</v>
      </c>
      <c r="J258" s="1">
        <v>0.63</v>
      </c>
      <c r="K258" s="1">
        <v>0</v>
      </c>
      <c r="L258" s="1" t="s">
        <v>380</v>
      </c>
      <c r="M258" s="1">
        <v>48935</v>
      </c>
      <c r="N258" s="1">
        <v>0</v>
      </c>
      <c r="O258" s="1" t="s">
        <v>384</v>
      </c>
      <c r="P258" s="1">
        <v>0.63</v>
      </c>
      <c r="Q258" s="1">
        <v>0</v>
      </c>
      <c r="R258" s="1">
        <v>23364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>
        <v>53</v>
      </c>
      <c r="C259" s="1">
        <v>2</v>
      </c>
      <c r="D259" s="1">
        <v>48758</v>
      </c>
      <c r="E259" s="1">
        <v>0</v>
      </c>
      <c r="F259" s="1">
        <v>14</v>
      </c>
      <c r="G259" s="1">
        <v>0</v>
      </c>
      <c r="H259" s="1">
        <v>1</v>
      </c>
      <c r="I259" s="1">
        <v>0.491</v>
      </c>
      <c r="J259" s="1">
        <v>0.5</v>
      </c>
      <c r="K259" s="1">
        <v>0</v>
      </c>
      <c r="L259" s="1" t="s">
        <v>380</v>
      </c>
      <c r="M259" s="1">
        <v>33537</v>
      </c>
      <c r="N259" s="1">
        <v>0.01</v>
      </c>
      <c r="O259" s="1" t="s">
        <v>384</v>
      </c>
      <c r="P259" s="1">
        <v>0.5</v>
      </c>
      <c r="Q259" s="1">
        <v>0</v>
      </c>
      <c r="R259" s="1">
        <v>17206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>
        <v>31</v>
      </c>
      <c r="C260" s="1">
        <v>0</v>
      </c>
      <c r="D260" s="1">
        <v>75772</v>
      </c>
      <c r="E260" s="1">
        <v>0</v>
      </c>
      <c r="F260" s="1">
        <v>25</v>
      </c>
      <c r="G260" s="1">
        <v>0</v>
      </c>
      <c r="H260" s="1">
        <v>1</v>
      </c>
      <c r="I260" s="1">
        <v>0.524</v>
      </c>
      <c r="J260" s="1">
        <v>0.54</v>
      </c>
      <c r="K260" s="1">
        <v>0</v>
      </c>
      <c r="L260" s="1" t="s">
        <v>380</v>
      </c>
      <c r="M260" s="1">
        <v>43232</v>
      </c>
      <c r="N260" s="1">
        <v>0</v>
      </c>
      <c r="O260" s="1" t="s">
        <v>384</v>
      </c>
      <c r="P260" s="1">
        <v>0.54</v>
      </c>
      <c r="Q260" s="1">
        <v>0</v>
      </c>
      <c r="R260" s="1">
        <v>24928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>
        <v>13</v>
      </c>
      <c r="C261" s="1">
        <v>0</v>
      </c>
      <c r="D261" s="1">
        <v>45176</v>
      </c>
      <c r="E261" s="1">
        <v>0</v>
      </c>
      <c r="F261" s="1">
        <v>13</v>
      </c>
      <c r="G261" s="1">
        <v>0</v>
      </c>
      <c r="H261" s="1">
        <v>1</v>
      </c>
      <c r="I261" s="1">
        <v>0.493</v>
      </c>
      <c r="J261" s="1">
        <v>0.5</v>
      </c>
      <c r="K261" s="1">
        <v>0</v>
      </c>
      <c r="L261" s="1" t="s">
        <v>380</v>
      </c>
      <c r="M261" s="1">
        <v>34582</v>
      </c>
      <c r="N261" s="1">
        <v>0.01</v>
      </c>
      <c r="O261" s="1" t="s">
        <v>384</v>
      </c>
      <c r="P261" s="1">
        <v>0.5</v>
      </c>
      <c r="Q261" s="1">
        <v>0</v>
      </c>
      <c r="R261" s="1">
        <v>15976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>
        <v>23</v>
      </c>
      <c r="C262" s="1">
        <v>0</v>
      </c>
      <c r="D262" s="1">
        <v>106478</v>
      </c>
      <c r="E262" s="1">
        <v>0</v>
      </c>
      <c r="F262" s="1">
        <v>36</v>
      </c>
      <c r="G262" s="1">
        <v>0</v>
      </c>
      <c r="H262" s="1">
        <v>1</v>
      </c>
      <c r="I262" s="1">
        <v>0.619</v>
      </c>
      <c r="J262" s="1">
        <v>0.63</v>
      </c>
      <c r="K262" s="1">
        <v>0</v>
      </c>
      <c r="L262" s="1" t="s">
        <v>380</v>
      </c>
      <c r="M262" s="1">
        <v>63253</v>
      </c>
      <c r="N262" s="1">
        <v>0.01</v>
      </c>
      <c r="O262" s="1" t="s">
        <v>384</v>
      </c>
      <c r="P262" s="1">
        <v>0.63</v>
      </c>
      <c r="Q262" s="1">
        <v>0</v>
      </c>
      <c r="R262" s="1">
        <v>37615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>
        <v>83</v>
      </c>
      <c r="C263" s="1">
        <v>1</v>
      </c>
      <c r="D263" s="1">
        <v>115304</v>
      </c>
      <c r="E263" s="1">
        <v>0</v>
      </c>
      <c r="F263" s="1">
        <v>37</v>
      </c>
      <c r="G263" s="1">
        <v>0</v>
      </c>
      <c r="H263" s="1">
        <v>1</v>
      </c>
      <c r="I263" s="1">
        <v>0.72</v>
      </c>
      <c r="J263" s="1">
        <v>0.74</v>
      </c>
      <c r="K263" s="1">
        <v>0</v>
      </c>
      <c r="L263" s="1" t="s">
        <v>380</v>
      </c>
      <c r="M263" s="1">
        <v>67186</v>
      </c>
      <c r="N263" s="1">
        <v>0.01</v>
      </c>
      <c r="O263" s="1" t="s">
        <v>384</v>
      </c>
      <c r="P263" s="1">
        <v>0.74</v>
      </c>
      <c r="Q263" s="1">
        <v>0</v>
      </c>
      <c r="R263" s="1">
        <v>40503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>
        <v>43</v>
      </c>
      <c r="C264" s="1">
        <v>0</v>
      </c>
      <c r="D264" s="1">
        <v>154613</v>
      </c>
      <c r="E264" s="1">
        <v>0</v>
      </c>
      <c r="F264" s="1">
        <v>44</v>
      </c>
      <c r="G264" s="1">
        <v>0</v>
      </c>
      <c r="H264" s="1">
        <v>1</v>
      </c>
      <c r="I264" s="1">
        <v>0.764</v>
      </c>
      <c r="J264" s="1">
        <v>0.78</v>
      </c>
      <c r="K264" s="1">
        <v>0</v>
      </c>
      <c r="L264" s="1" t="s">
        <v>380</v>
      </c>
      <c r="M264" s="1">
        <v>87272</v>
      </c>
      <c r="N264" s="1">
        <v>0.02</v>
      </c>
      <c r="O264" s="1" t="s">
        <v>384</v>
      </c>
      <c r="P264" s="1">
        <v>0.78</v>
      </c>
      <c r="Q264" s="1">
        <v>0</v>
      </c>
      <c r="R264" s="1">
        <v>52103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>
        <v>36</v>
      </c>
      <c r="C265" s="1">
        <v>0</v>
      </c>
      <c r="D265" s="1">
        <v>172646</v>
      </c>
      <c r="E265" s="1">
        <v>0</v>
      </c>
      <c r="F265" s="1">
        <v>47</v>
      </c>
      <c r="G265" s="1">
        <v>0</v>
      </c>
      <c r="H265" s="1">
        <v>1</v>
      </c>
      <c r="I265" s="1">
        <v>0.735</v>
      </c>
      <c r="J265" s="1">
        <v>0.76</v>
      </c>
      <c r="K265" s="1">
        <v>0</v>
      </c>
      <c r="L265" s="1" t="s">
        <v>380</v>
      </c>
      <c r="M265" s="1">
        <v>90064</v>
      </c>
      <c r="N265" s="1">
        <v>0.01</v>
      </c>
      <c r="O265" s="1" t="s">
        <v>384</v>
      </c>
      <c r="P265" s="1">
        <v>0.76</v>
      </c>
      <c r="Q265" s="1">
        <v>0</v>
      </c>
      <c r="R265" s="1">
        <v>58181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>
        <v>36</v>
      </c>
      <c r="C266" s="1">
        <v>0</v>
      </c>
      <c r="D266" s="1">
        <v>159577</v>
      </c>
      <c r="E266" s="1">
        <v>0</v>
      </c>
      <c r="F266" s="1">
        <v>45</v>
      </c>
      <c r="G266" s="1">
        <v>0</v>
      </c>
      <c r="H266" s="1">
        <v>1</v>
      </c>
      <c r="I266" s="1">
        <v>0.725</v>
      </c>
      <c r="J266" s="1">
        <v>0.75</v>
      </c>
      <c r="K266" s="1">
        <v>0</v>
      </c>
      <c r="L266" s="1" t="s">
        <v>380</v>
      </c>
      <c r="M266" s="1">
        <v>89648</v>
      </c>
      <c r="N266" s="1">
        <v>0.01</v>
      </c>
      <c r="O266" s="1" t="s">
        <v>384</v>
      </c>
      <c r="P266" s="1">
        <v>0.75</v>
      </c>
      <c r="Q266" s="1">
        <v>0</v>
      </c>
      <c r="R266" s="1">
        <v>53720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>
        <v>38</v>
      </c>
      <c r="C267" s="1">
        <v>0</v>
      </c>
      <c r="D267" s="1">
        <v>154613</v>
      </c>
      <c r="E267" s="1">
        <v>0</v>
      </c>
      <c r="F267" s="1">
        <v>44</v>
      </c>
      <c r="G267" s="1">
        <v>0</v>
      </c>
      <c r="H267" s="1">
        <v>1</v>
      </c>
      <c r="I267" s="1">
        <v>0.748</v>
      </c>
      <c r="J267" s="1">
        <v>0.77</v>
      </c>
      <c r="K267" s="1">
        <v>0</v>
      </c>
      <c r="L267" s="1" t="s">
        <v>380</v>
      </c>
      <c r="M267" s="1">
        <v>87272</v>
      </c>
      <c r="N267" s="1">
        <v>0.02</v>
      </c>
      <c r="O267" s="1" t="s">
        <v>384</v>
      </c>
      <c r="P267" s="1">
        <v>0.77</v>
      </c>
      <c r="Q267" s="1">
        <v>0</v>
      </c>
      <c r="R267" s="1">
        <v>52103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>
        <v>43</v>
      </c>
      <c r="C268" s="1">
        <v>1</v>
      </c>
      <c r="D268" s="1">
        <v>212845</v>
      </c>
      <c r="E268" s="1">
        <v>0</v>
      </c>
      <c r="F268" s="1">
        <v>54</v>
      </c>
      <c r="G268" s="1">
        <v>0</v>
      </c>
      <c r="H268" s="1">
        <v>1</v>
      </c>
      <c r="I268" s="1">
        <v>0.914</v>
      </c>
      <c r="J268" s="1">
        <v>0.9399999999999999</v>
      </c>
      <c r="K268" s="1">
        <v>0</v>
      </c>
      <c r="L268" s="1" t="s">
        <v>380</v>
      </c>
      <c r="M268" s="1">
        <v>109027</v>
      </c>
      <c r="N268" s="1">
        <v>0.02</v>
      </c>
      <c r="O268" s="1" t="s">
        <v>384</v>
      </c>
      <c r="P268" s="1">
        <v>0.9399999999999999</v>
      </c>
      <c r="Q268" s="1">
        <v>0</v>
      </c>
      <c r="R268" s="1">
        <v>68740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>
        <v>124</v>
      </c>
      <c r="C269" s="1">
        <v>2</v>
      </c>
      <c r="D269" s="1">
        <v>268677</v>
      </c>
      <c r="E269" s="1">
        <v>0</v>
      </c>
      <c r="F269" s="1">
        <v>73</v>
      </c>
      <c r="G269" s="1">
        <v>0</v>
      </c>
      <c r="H269" s="1">
        <v>1</v>
      </c>
      <c r="I269" s="1">
        <v>1.125</v>
      </c>
      <c r="J269" s="1">
        <v>1.16</v>
      </c>
      <c r="K269" s="1">
        <v>0</v>
      </c>
      <c r="L269" s="1" t="s">
        <v>380</v>
      </c>
      <c r="M269" s="1">
        <v>155246</v>
      </c>
      <c r="N269" s="1">
        <v>0.04</v>
      </c>
      <c r="O269" s="1" t="s">
        <v>384</v>
      </c>
      <c r="P269" s="1">
        <v>1.16</v>
      </c>
      <c r="Q269" s="1">
        <v>0</v>
      </c>
      <c r="R269" s="1">
        <v>91545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>
        <v>139</v>
      </c>
      <c r="C270" s="1">
        <v>1</v>
      </c>
      <c r="D270" s="1">
        <v>271862</v>
      </c>
      <c r="E270" s="1">
        <v>0</v>
      </c>
      <c r="F270" s="1">
        <v>72</v>
      </c>
      <c r="G270" s="1">
        <v>0</v>
      </c>
      <c r="H270" s="1">
        <v>1</v>
      </c>
      <c r="I270" s="1">
        <v>1.117</v>
      </c>
      <c r="J270" s="1">
        <v>1.15</v>
      </c>
      <c r="K270" s="1">
        <v>0</v>
      </c>
      <c r="L270" s="1" t="s">
        <v>380</v>
      </c>
      <c r="M270" s="1">
        <v>147791</v>
      </c>
      <c r="N270" s="1">
        <v>0.03</v>
      </c>
      <c r="O270" s="1" t="s">
        <v>384</v>
      </c>
      <c r="P270" s="1">
        <v>1.15</v>
      </c>
      <c r="Q270" s="1">
        <v>0</v>
      </c>
      <c r="R270" s="1">
        <v>92657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>
        <v>54</v>
      </c>
      <c r="C271" s="1">
        <v>1</v>
      </c>
      <c r="D271" s="1">
        <v>322660</v>
      </c>
      <c r="E271" s="1">
        <v>0</v>
      </c>
      <c r="F271" s="1">
        <v>79</v>
      </c>
      <c r="G271" s="1">
        <v>0</v>
      </c>
      <c r="H271" s="1">
        <v>1</v>
      </c>
      <c r="I271" s="1">
        <v>1.167</v>
      </c>
      <c r="J271" s="1">
        <v>1.21</v>
      </c>
      <c r="K271" s="1">
        <v>0</v>
      </c>
      <c r="L271" s="1" t="s">
        <v>380</v>
      </c>
      <c r="M271" s="1">
        <v>166268</v>
      </c>
      <c r="N271" s="1">
        <v>0.03</v>
      </c>
      <c r="O271" s="1" t="s">
        <v>384</v>
      </c>
      <c r="P271" s="1">
        <v>1.21</v>
      </c>
      <c r="Q271" s="1">
        <v>0</v>
      </c>
      <c r="R271" s="1">
        <v>107215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>
        <v>637</v>
      </c>
      <c r="C272" s="1">
        <v>1</v>
      </c>
      <c r="D272" s="1">
        <v>271862</v>
      </c>
      <c r="E272" s="1">
        <v>0</v>
      </c>
      <c r="F272" s="1">
        <v>72</v>
      </c>
      <c r="G272" s="1">
        <v>0</v>
      </c>
      <c r="H272" s="1">
        <v>1</v>
      </c>
      <c r="I272" s="1">
        <v>1.098</v>
      </c>
      <c r="J272" s="1">
        <v>1.13</v>
      </c>
      <c r="K272" s="1">
        <v>0</v>
      </c>
      <c r="L272" s="1" t="s">
        <v>380</v>
      </c>
      <c r="M272" s="1">
        <v>147791</v>
      </c>
      <c r="N272" s="1">
        <v>0.05</v>
      </c>
      <c r="O272" s="1" t="s">
        <v>384</v>
      </c>
      <c r="P272" s="1">
        <v>1.13</v>
      </c>
      <c r="Q272" s="1">
        <v>0</v>
      </c>
      <c r="R272" s="1">
        <v>92657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>
        <v>117</v>
      </c>
      <c r="C273" s="1">
        <v>2</v>
      </c>
      <c r="D273" s="1">
        <v>268677</v>
      </c>
      <c r="E273" s="1">
        <v>0</v>
      </c>
      <c r="F273" s="1">
        <v>73</v>
      </c>
      <c r="G273" s="1">
        <v>0</v>
      </c>
      <c r="H273" s="1">
        <v>1</v>
      </c>
      <c r="I273" s="1">
        <v>1.126</v>
      </c>
      <c r="J273" s="1">
        <v>1.16</v>
      </c>
      <c r="K273" s="1">
        <v>0</v>
      </c>
      <c r="L273" s="1" t="s">
        <v>380</v>
      </c>
      <c r="M273" s="1">
        <v>155246</v>
      </c>
      <c r="N273" s="1">
        <v>0.04</v>
      </c>
      <c r="O273" s="1" t="s">
        <v>384</v>
      </c>
      <c r="P273" s="1">
        <v>1.16</v>
      </c>
      <c r="Q273" s="1">
        <v>0</v>
      </c>
      <c r="R273" s="1">
        <v>91545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>
        <v>56</v>
      </c>
      <c r="C274" s="1">
        <v>0</v>
      </c>
      <c r="D274" s="1">
        <v>348610</v>
      </c>
      <c r="E274" s="1">
        <v>0</v>
      </c>
      <c r="F274" s="1">
        <v>85</v>
      </c>
      <c r="G274" s="1">
        <v>0</v>
      </c>
      <c r="H274" s="1">
        <v>1</v>
      </c>
      <c r="I274" s="1">
        <v>1.317</v>
      </c>
      <c r="J274" s="1">
        <v>1.36</v>
      </c>
      <c r="K274" s="1">
        <v>0</v>
      </c>
      <c r="L274" s="1" t="s">
        <v>380</v>
      </c>
      <c r="M274" s="1">
        <v>186281</v>
      </c>
      <c r="N274" s="1">
        <v>0.03</v>
      </c>
      <c r="O274" s="1" t="s">
        <v>384</v>
      </c>
      <c r="P274" s="1">
        <v>1.36</v>
      </c>
      <c r="Q274" s="1">
        <v>0</v>
      </c>
      <c r="R274" s="1">
        <v>115233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>
        <v>143</v>
      </c>
      <c r="C275" s="1">
        <v>7</v>
      </c>
      <c r="D275" s="1">
        <v>333533</v>
      </c>
      <c r="E275" s="1">
        <v>0</v>
      </c>
      <c r="F275" s="1">
        <v>85</v>
      </c>
      <c r="G275" s="1">
        <v>0</v>
      </c>
      <c r="H275" s="1">
        <v>1</v>
      </c>
      <c r="I275" s="1">
        <v>1.257</v>
      </c>
      <c r="J275" s="1">
        <v>1.3</v>
      </c>
      <c r="K275" s="1">
        <v>0</v>
      </c>
      <c r="L275" s="1" t="s">
        <v>380</v>
      </c>
      <c r="M275" s="1">
        <v>180164</v>
      </c>
      <c r="N275" s="1">
        <v>0.04</v>
      </c>
      <c r="O275" s="1" t="s">
        <v>384</v>
      </c>
      <c r="P275" s="1">
        <v>1.3</v>
      </c>
      <c r="Q275" s="1">
        <v>0</v>
      </c>
      <c r="R275" s="1">
        <v>110356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>
        <v>77</v>
      </c>
      <c r="C276" s="1">
        <v>1</v>
      </c>
      <c r="D276" s="1">
        <v>569927</v>
      </c>
      <c r="E276" s="1">
        <v>0</v>
      </c>
      <c r="F276" s="1">
        <v>134</v>
      </c>
      <c r="G276" s="1">
        <v>0</v>
      </c>
      <c r="H276" s="1">
        <v>1</v>
      </c>
      <c r="I276" s="1">
        <v>1.916</v>
      </c>
      <c r="J276" s="1">
        <v>1.99</v>
      </c>
      <c r="K276" s="1">
        <v>0</v>
      </c>
      <c r="L276" s="1" t="s">
        <v>380</v>
      </c>
      <c r="M276" s="1">
        <v>288572</v>
      </c>
      <c r="N276" s="1">
        <v>0.07000000000000001</v>
      </c>
      <c r="O276" s="1" t="s">
        <v>384</v>
      </c>
      <c r="P276" s="1">
        <v>1.99</v>
      </c>
      <c r="Q276" s="1">
        <v>0</v>
      </c>
      <c r="R276" s="1">
        <v>186945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>
        <v>135</v>
      </c>
      <c r="C277" s="1">
        <v>2</v>
      </c>
      <c r="D277" s="1">
        <v>495126</v>
      </c>
      <c r="E277" s="1">
        <v>0</v>
      </c>
      <c r="F277" s="1">
        <v>127</v>
      </c>
      <c r="G277" s="1">
        <v>0</v>
      </c>
      <c r="H277" s="1">
        <v>1</v>
      </c>
      <c r="I277" s="1">
        <v>1.805</v>
      </c>
      <c r="J277" s="1">
        <v>1.87</v>
      </c>
      <c r="K277" s="1">
        <v>0</v>
      </c>
      <c r="L277" s="1" t="s">
        <v>380</v>
      </c>
      <c r="M277" s="1">
        <v>273827</v>
      </c>
      <c r="N277" s="1">
        <v>0.06</v>
      </c>
      <c r="O277" s="1" t="s">
        <v>384</v>
      </c>
      <c r="P277" s="1">
        <v>1.87</v>
      </c>
      <c r="Q277" s="1">
        <v>0</v>
      </c>
      <c r="R277" s="1">
        <v>165640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>
        <v>135</v>
      </c>
      <c r="C278" s="1">
        <v>4</v>
      </c>
      <c r="D278" s="1">
        <v>564836</v>
      </c>
      <c r="E278" s="1">
        <v>0</v>
      </c>
      <c r="F278" s="1">
        <v>137</v>
      </c>
      <c r="G278" s="1">
        <v>0</v>
      </c>
      <c r="H278" s="1">
        <v>1</v>
      </c>
      <c r="I278" s="1">
        <v>1.914</v>
      </c>
      <c r="J278" s="1">
        <v>1.99</v>
      </c>
      <c r="K278" s="1">
        <v>0</v>
      </c>
      <c r="L278" s="1" t="s">
        <v>380</v>
      </c>
      <c r="M278" s="1">
        <v>300378</v>
      </c>
      <c r="N278" s="1">
        <v>0.09</v>
      </c>
      <c r="O278" s="1" t="s">
        <v>384</v>
      </c>
      <c r="P278" s="1">
        <v>1.99</v>
      </c>
      <c r="Q278" s="1">
        <v>0</v>
      </c>
      <c r="R278" s="1">
        <v>185377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>
        <v>110</v>
      </c>
      <c r="C279" s="1">
        <v>1</v>
      </c>
      <c r="D279" s="1">
        <v>498068</v>
      </c>
      <c r="E279" s="1">
        <v>0</v>
      </c>
      <c r="F279" s="1">
        <v>124</v>
      </c>
      <c r="G279" s="1">
        <v>0</v>
      </c>
      <c r="H279" s="1">
        <v>1</v>
      </c>
      <c r="I279" s="1">
        <v>1.815</v>
      </c>
      <c r="J279" s="1">
        <v>1.89</v>
      </c>
      <c r="K279" s="1">
        <v>0</v>
      </c>
      <c r="L279" s="1" t="s">
        <v>380</v>
      </c>
      <c r="M279" s="1">
        <v>262775</v>
      </c>
      <c r="N279" s="1">
        <v>0.05</v>
      </c>
      <c r="O279" s="1" t="s">
        <v>384</v>
      </c>
      <c r="P279" s="1">
        <v>1.89</v>
      </c>
      <c r="Q279" s="1">
        <v>0</v>
      </c>
      <c r="R279" s="1">
        <v>166696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>
        <v>193</v>
      </c>
      <c r="C280" s="1">
        <v>3</v>
      </c>
      <c r="D280" s="1">
        <v>498068</v>
      </c>
      <c r="E280" s="1">
        <v>0</v>
      </c>
      <c r="F280" s="1">
        <v>124</v>
      </c>
      <c r="G280" s="1">
        <v>0</v>
      </c>
      <c r="H280" s="1">
        <v>1</v>
      </c>
      <c r="I280" s="1">
        <v>1.691</v>
      </c>
      <c r="J280" s="1">
        <v>1.76</v>
      </c>
      <c r="K280" s="1">
        <v>0</v>
      </c>
      <c r="L280" s="1" t="s">
        <v>380</v>
      </c>
      <c r="M280" s="1">
        <v>262775</v>
      </c>
      <c r="N280" s="1">
        <v>0.06</v>
      </c>
      <c r="O280" s="1" t="s">
        <v>384</v>
      </c>
      <c r="P280" s="1">
        <v>1.76</v>
      </c>
      <c r="Q280" s="1">
        <v>0</v>
      </c>
      <c r="R280" s="1">
        <v>166696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>
        <v>65</v>
      </c>
      <c r="C281" s="1">
        <v>0</v>
      </c>
      <c r="D281" s="1">
        <v>564972</v>
      </c>
      <c r="E281" s="1">
        <v>0</v>
      </c>
      <c r="F281" s="1">
        <v>135</v>
      </c>
      <c r="G281" s="1">
        <v>0</v>
      </c>
      <c r="H281" s="1">
        <v>1</v>
      </c>
      <c r="I281" s="1">
        <v>1.799</v>
      </c>
      <c r="J281" s="1">
        <v>1.87</v>
      </c>
      <c r="K281" s="1">
        <v>0</v>
      </c>
      <c r="L281" s="1" t="s">
        <v>380</v>
      </c>
      <c r="M281" s="1">
        <v>293001</v>
      </c>
      <c r="N281" s="1">
        <v>0.06</v>
      </c>
      <c r="O281" s="1" t="s">
        <v>384</v>
      </c>
      <c r="P281" s="1">
        <v>1.87</v>
      </c>
      <c r="Q281" s="1">
        <v>0</v>
      </c>
      <c r="R281" s="1">
        <v>184660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>
        <v>73</v>
      </c>
      <c r="C282" s="1">
        <v>2</v>
      </c>
      <c r="D282" s="1">
        <v>569927</v>
      </c>
      <c r="E282" s="1">
        <v>0</v>
      </c>
      <c r="F282" s="1">
        <v>133</v>
      </c>
      <c r="G282" s="1">
        <v>0</v>
      </c>
      <c r="H282" s="1">
        <v>1</v>
      </c>
      <c r="I282" s="1">
        <v>1.887</v>
      </c>
      <c r="J282" s="1">
        <v>1.96</v>
      </c>
      <c r="K282" s="1">
        <v>0</v>
      </c>
      <c r="L282" s="1" t="s">
        <v>380</v>
      </c>
      <c r="M282" s="1">
        <v>288572</v>
      </c>
      <c r="N282" s="1">
        <v>0.06</v>
      </c>
      <c r="O282" s="1" t="s">
        <v>384</v>
      </c>
      <c r="P282" s="1">
        <v>1.96</v>
      </c>
      <c r="Q282" s="1">
        <v>0</v>
      </c>
      <c r="R282" s="1">
        <v>186945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>
        <v>147</v>
      </c>
      <c r="C283" s="1">
        <v>1</v>
      </c>
      <c r="D283" s="1">
        <v>784675</v>
      </c>
      <c r="E283" s="1">
        <v>0</v>
      </c>
      <c r="F283" s="1">
        <v>177</v>
      </c>
      <c r="G283" s="1">
        <v>0</v>
      </c>
      <c r="H283" s="1">
        <v>1</v>
      </c>
      <c r="I283" s="1">
        <v>2.516</v>
      </c>
      <c r="J283" s="1">
        <v>2.62</v>
      </c>
      <c r="K283" s="1">
        <v>0</v>
      </c>
      <c r="L283" s="1" t="s">
        <v>380</v>
      </c>
      <c r="M283" s="1">
        <v>394806</v>
      </c>
      <c r="N283" s="1">
        <v>0.12</v>
      </c>
      <c r="O283" s="1" t="s">
        <v>384</v>
      </c>
      <c r="P283" s="1">
        <v>2.62</v>
      </c>
      <c r="Q283" s="1">
        <v>0</v>
      </c>
      <c r="R283" s="1">
        <v>260389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>
        <v>146</v>
      </c>
      <c r="C284" s="1">
        <v>2</v>
      </c>
      <c r="D284" s="1">
        <v>776414</v>
      </c>
      <c r="E284" s="1">
        <v>0</v>
      </c>
      <c r="F284" s="1">
        <v>181</v>
      </c>
      <c r="G284" s="1">
        <v>0</v>
      </c>
      <c r="H284" s="1">
        <v>1</v>
      </c>
      <c r="I284" s="1">
        <v>2.589</v>
      </c>
      <c r="J284" s="1">
        <v>2.7</v>
      </c>
      <c r="K284" s="1">
        <v>0</v>
      </c>
      <c r="L284" s="1" t="s">
        <v>380</v>
      </c>
      <c r="M284" s="1">
        <v>407386</v>
      </c>
      <c r="N284" s="1">
        <v>0.14</v>
      </c>
      <c r="O284" s="1" t="s">
        <v>384</v>
      </c>
      <c r="P284" s="1">
        <v>2.7</v>
      </c>
      <c r="Q284" s="1">
        <v>0</v>
      </c>
      <c r="R284" s="1">
        <v>257683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>
        <v>133</v>
      </c>
      <c r="C285" s="1">
        <v>2</v>
      </c>
      <c r="D285" s="1">
        <v>784675</v>
      </c>
      <c r="E285" s="1">
        <v>0</v>
      </c>
      <c r="F285" s="1">
        <v>179</v>
      </c>
      <c r="G285" s="1">
        <v>0</v>
      </c>
      <c r="H285" s="1">
        <v>1</v>
      </c>
      <c r="I285" s="1">
        <v>2.478</v>
      </c>
      <c r="J285" s="1">
        <v>2.58</v>
      </c>
      <c r="K285" s="1">
        <v>0</v>
      </c>
      <c r="L285" s="1" t="s">
        <v>380</v>
      </c>
      <c r="M285" s="1">
        <v>394806</v>
      </c>
      <c r="N285" s="1">
        <v>0.12</v>
      </c>
      <c r="O285" s="1" t="s">
        <v>384</v>
      </c>
      <c r="P285" s="1">
        <v>2.58</v>
      </c>
      <c r="Q285" s="1">
        <v>0</v>
      </c>
      <c r="R285" s="1">
        <v>260389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>
        <v>2599</v>
      </c>
      <c r="C286" s="1">
        <v>12</v>
      </c>
      <c r="D286" s="1">
        <v>793922</v>
      </c>
      <c r="E286" s="1">
        <v>0</v>
      </c>
      <c r="F286" s="1">
        <v>182</v>
      </c>
      <c r="G286" s="1">
        <v>0</v>
      </c>
      <c r="H286" s="1">
        <v>1</v>
      </c>
      <c r="I286" s="1">
        <v>2.646</v>
      </c>
      <c r="J286" s="1">
        <v>2.76</v>
      </c>
      <c r="K286" s="1">
        <v>0</v>
      </c>
      <c r="L286" s="1" t="s">
        <v>380</v>
      </c>
      <c r="M286" s="1">
        <v>412138</v>
      </c>
      <c r="N286" s="1">
        <v>0.2</v>
      </c>
      <c r="O286" s="1" t="s">
        <v>384</v>
      </c>
      <c r="P286" s="1">
        <v>2.76</v>
      </c>
      <c r="Q286" s="1">
        <v>0</v>
      </c>
      <c r="R286" s="1">
        <v>262620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>
        <v>127</v>
      </c>
      <c r="C287" s="1">
        <v>2</v>
      </c>
      <c r="D287" s="1">
        <v>784675</v>
      </c>
      <c r="E287" s="1">
        <v>0</v>
      </c>
      <c r="F287" s="1">
        <v>184</v>
      </c>
      <c r="G287" s="1">
        <v>0</v>
      </c>
      <c r="H287" s="1">
        <v>1</v>
      </c>
      <c r="I287" s="1">
        <v>2.506</v>
      </c>
      <c r="J287" s="1">
        <v>2.61</v>
      </c>
      <c r="K287" s="1">
        <v>0</v>
      </c>
      <c r="L287" s="1" t="s">
        <v>380</v>
      </c>
      <c r="M287" s="1">
        <v>394806</v>
      </c>
      <c r="N287" s="1">
        <v>0.09</v>
      </c>
      <c r="O287" s="1" t="s">
        <v>384</v>
      </c>
      <c r="P287" s="1">
        <v>2.61</v>
      </c>
      <c r="Q287" s="1">
        <v>0</v>
      </c>
      <c r="R287" s="1">
        <v>260389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>
        <v>147</v>
      </c>
      <c r="C288" s="1">
        <v>1</v>
      </c>
      <c r="D288" s="1">
        <v>944375</v>
      </c>
      <c r="E288" s="1">
        <v>0</v>
      </c>
      <c r="F288" s="1">
        <v>211</v>
      </c>
      <c r="G288" s="1">
        <v>0</v>
      </c>
      <c r="H288" s="1">
        <v>1</v>
      </c>
      <c r="I288" s="1">
        <v>2.849</v>
      </c>
      <c r="J288" s="1">
        <v>2.97</v>
      </c>
      <c r="K288" s="1">
        <v>0</v>
      </c>
      <c r="L288" s="1" t="s">
        <v>380</v>
      </c>
      <c r="M288" s="1">
        <v>467110</v>
      </c>
      <c r="N288" s="1">
        <v>0.11</v>
      </c>
      <c r="O288" s="1" t="s">
        <v>384</v>
      </c>
      <c r="P288" s="1">
        <v>2.97</v>
      </c>
      <c r="Q288" s="1">
        <v>0</v>
      </c>
      <c r="R288" s="1">
        <v>306257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>
        <v>645</v>
      </c>
      <c r="C289" s="1">
        <v>2</v>
      </c>
      <c r="D289" s="1">
        <v>889669</v>
      </c>
      <c r="E289" s="1">
        <v>0</v>
      </c>
      <c r="F289" s="1">
        <v>198</v>
      </c>
      <c r="G289" s="1">
        <v>0</v>
      </c>
      <c r="H289" s="1">
        <v>1</v>
      </c>
      <c r="I289" s="1">
        <v>2.696</v>
      </c>
      <c r="J289" s="1">
        <v>2.81</v>
      </c>
      <c r="K289" s="1">
        <v>0</v>
      </c>
      <c r="L289" s="1" t="s">
        <v>380</v>
      </c>
      <c r="M289" s="1">
        <v>446585</v>
      </c>
      <c r="N289" s="1">
        <v>0.12</v>
      </c>
      <c r="O289" s="1" t="s">
        <v>384</v>
      </c>
      <c r="P289" s="1">
        <v>2.81</v>
      </c>
      <c r="Q289" s="1">
        <v>0</v>
      </c>
      <c r="R289" s="1">
        <v>289415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>
        <v>158</v>
      </c>
      <c r="C290" s="1">
        <v>1</v>
      </c>
      <c r="D290" s="1">
        <v>1152112</v>
      </c>
      <c r="E290" s="1">
        <v>0</v>
      </c>
      <c r="F290" s="1">
        <v>257</v>
      </c>
      <c r="G290" s="1">
        <v>0</v>
      </c>
      <c r="H290" s="1">
        <v>1</v>
      </c>
      <c r="I290" s="1">
        <v>3.554</v>
      </c>
      <c r="J290" s="1">
        <v>3.75</v>
      </c>
      <c r="K290" s="1">
        <v>0</v>
      </c>
      <c r="L290" s="1" t="s">
        <v>380</v>
      </c>
      <c r="M290" s="1">
        <v>576997</v>
      </c>
      <c r="N290" s="1">
        <v>0.15</v>
      </c>
      <c r="O290" s="1" t="s">
        <v>384</v>
      </c>
      <c r="P290" s="1">
        <v>3.75</v>
      </c>
      <c r="Q290" s="1">
        <v>0</v>
      </c>
      <c r="R290" s="1">
        <v>378999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>
        <v>25</v>
      </c>
      <c r="C291" s="1">
        <v>0</v>
      </c>
      <c r="D291" s="1">
        <v>247086</v>
      </c>
      <c r="E291" s="1">
        <v>0</v>
      </c>
      <c r="F291" s="1">
        <v>64</v>
      </c>
      <c r="G291" s="1">
        <v>0</v>
      </c>
      <c r="H291" s="1">
        <v>1</v>
      </c>
      <c r="I291" s="1">
        <v>0.995</v>
      </c>
      <c r="J291" s="1">
        <v>1.02</v>
      </c>
      <c r="K291" s="1">
        <v>0</v>
      </c>
      <c r="L291" s="1" t="s">
        <v>380</v>
      </c>
      <c r="M291" s="1">
        <v>127342</v>
      </c>
      <c r="N291" s="1">
        <v>0.02</v>
      </c>
      <c r="O291" s="1" t="s">
        <v>384</v>
      </c>
      <c r="P291" s="1">
        <v>1.02</v>
      </c>
      <c r="Q291" s="1">
        <v>0</v>
      </c>
      <c r="R291" s="1">
        <v>82805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>
        <v>16</v>
      </c>
      <c r="C292" s="1">
        <v>0</v>
      </c>
      <c r="D292" s="1">
        <v>77576</v>
      </c>
      <c r="E292" s="1">
        <v>0</v>
      </c>
      <c r="F292" s="1">
        <v>24</v>
      </c>
      <c r="G292" s="1">
        <v>0</v>
      </c>
      <c r="H292" s="1">
        <v>1</v>
      </c>
      <c r="I292" s="1">
        <v>0.578</v>
      </c>
      <c r="J292" s="1">
        <v>0.59</v>
      </c>
      <c r="K292" s="1">
        <v>0</v>
      </c>
      <c r="L292" s="1" t="s">
        <v>380</v>
      </c>
      <c r="M292" s="1">
        <v>50711</v>
      </c>
      <c r="N292" s="1">
        <v>0.01</v>
      </c>
      <c r="O292" s="1" t="s">
        <v>384</v>
      </c>
      <c r="P292" s="1">
        <v>0.59</v>
      </c>
      <c r="Q292" s="1">
        <v>0</v>
      </c>
      <c r="R292" s="1">
        <v>27583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>
        <v>32</v>
      </c>
      <c r="C293" s="1">
        <v>0</v>
      </c>
      <c r="D293" s="1">
        <v>209208</v>
      </c>
      <c r="E293" s="1">
        <v>0</v>
      </c>
      <c r="F293" s="1">
        <v>58</v>
      </c>
      <c r="G293" s="1">
        <v>0</v>
      </c>
      <c r="H293" s="1">
        <v>1</v>
      </c>
      <c r="I293" s="1">
        <v>0.905</v>
      </c>
      <c r="J293" s="1">
        <v>0.93</v>
      </c>
      <c r="K293" s="1">
        <v>0</v>
      </c>
      <c r="L293" s="1" t="s">
        <v>380</v>
      </c>
      <c r="M293" s="1">
        <v>113745</v>
      </c>
      <c r="N293" s="1">
        <v>0.02</v>
      </c>
      <c r="O293" s="1" t="s">
        <v>384</v>
      </c>
      <c r="P293" s="1">
        <v>0.93</v>
      </c>
      <c r="Q293" s="1">
        <v>0</v>
      </c>
      <c r="R293" s="1">
        <v>71388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>
        <v>39</v>
      </c>
      <c r="C294" s="1">
        <v>0</v>
      </c>
      <c r="D294" s="1">
        <v>272756</v>
      </c>
      <c r="E294" s="1">
        <v>0</v>
      </c>
      <c r="F294" s="1">
        <v>59</v>
      </c>
      <c r="G294" s="1">
        <v>0</v>
      </c>
      <c r="H294" s="1">
        <v>1</v>
      </c>
      <c r="I294" s="1">
        <v>0.911</v>
      </c>
      <c r="J294" s="1">
        <v>0.9399999999999999</v>
      </c>
      <c r="K294" s="1">
        <v>0</v>
      </c>
      <c r="L294" s="1" t="s">
        <v>380</v>
      </c>
      <c r="M294" s="1">
        <v>121723</v>
      </c>
      <c r="N294" s="1">
        <v>0.02</v>
      </c>
      <c r="O294" s="1" t="s">
        <v>384</v>
      </c>
      <c r="P294" s="1">
        <v>0.9399999999999999</v>
      </c>
      <c r="Q294" s="1">
        <v>0</v>
      </c>
      <c r="R294" s="1">
        <v>84160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>
        <v>23</v>
      </c>
      <c r="C295" s="1">
        <v>0</v>
      </c>
      <c r="D295" s="1">
        <v>97770</v>
      </c>
      <c r="E295" s="1">
        <v>0</v>
      </c>
      <c r="F295" s="1">
        <v>34</v>
      </c>
      <c r="G295" s="1">
        <v>0</v>
      </c>
      <c r="H295" s="1">
        <v>1</v>
      </c>
      <c r="I295" s="1">
        <v>0.633</v>
      </c>
      <c r="J295" s="1">
        <v>0.65</v>
      </c>
      <c r="K295" s="1">
        <v>0</v>
      </c>
      <c r="L295" s="1" t="s">
        <v>380</v>
      </c>
      <c r="M295" s="1">
        <v>59326</v>
      </c>
      <c r="N295" s="1">
        <v>0.01</v>
      </c>
      <c r="O295" s="1" t="s">
        <v>384</v>
      </c>
      <c r="P295" s="1">
        <v>0.65</v>
      </c>
      <c r="Q295" s="1">
        <v>0</v>
      </c>
      <c r="R295" s="1">
        <v>34070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>
        <v>8</v>
      </c>
      <c r="C296" s="1">
        <v>0</v>
      </c>
      <c r="D296" s="1">
        <v>38116</v>
      </c>
      <c r="E296" s="1">
        <v>0</v>
      </c>
      <c r="F296" s="1">
        <v>19</v>
      </c>
      <c r="G296" s="1">
        <v>0</v>
      </c>
      <c r="H296" s="1">
        <v>1</v>
      </c>
      <c r="I296" s="1">
        <v>0.525</v>
      </c>
      <c r="J296" s="1">
        <v>0.53</v>
      </c>
      <c r="K296" s="1">
        <v>0</v>
      </c>
      <c r="L296" s="1" t="s">
        <v>380</v>
      </c>
      <c r="M296" s="1">
        <v>28817</v>
      </c>
      <c r="N296" s="1">
        <v>0</v>
      </c>
      <c r="O296" s="1" t="s">
        <v>384</v>
      </c>
      <c r="P296" s="1">
        <v>0.53</v>
      </c>
      <c r="Q296" s="1">
        <v>0</v>
      </c>
      <c r="R296" s="1">
        <v>13794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>
        <v>21</v>
      </c>
      <c r="C297" s="1">
        <v>1</v>
      </c>
      <c r="D297" s="1">
        <v>143338</v>
      </c>
      <c r="E297" s="1">
        <v>0</v>
      </c>
      <c r="F297" s="1">
        <v>42</v>
      </c>
      <c r="G297" s="1">
        <v>0</v>
      </c>
      <c r="H297" s="1">
        <v>1</v>
      </c>
      <c r="I297" s="1">
        <v>0.703</v>
      </c>
      <c r="J297" s="1">
        <v>0.72</v>
      </c>
      <c r="K297" s="1">
        <v>0</v>
      </c>
      <c r="L297" s="1" t="s">
        <v>380</v>
      </c>
      <c r="M297" s="1">
        <v>81206</v>
      </c>
      <c r="N297" s="1">
        <v>0.01</v>
      </c>
      <c r="O297" s="1" t="s">
        <v>384</v>
      </c>
      <c r="P297" s="1">
        <v>0.72</v>
      </c>
      <c r="Q297" s="1">
        <v>0</v>
      </c>
      <c r="R297" s="1">
        <v>49271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>
        <v>54</v>
      </c>
      <c r="C298" s="1">
        <v>0</v>
      </c>
      <c r="D298" s="1">
        <v>1340833</v>
      </c>
      <c r="E298" s="1">
        <v>0</v>
      </c>
      <c r="F298" s="1">
        <v>228</v>
      </c>
      <c r="G298" s="1">
        <v>0</v>
      </c>
      <c r="H298" s="1">
        <v>1</v>
      </c>
      <c r="I298" s="1">
        <v>2.931</v>
      </c>
      <c r="J298" s="1">
        <v>3.05</v>
      </c>
      <c r="K298" s="1">
        <v>0</v>
      </c>
      <c r="L298" s="1" t="s">
        <v>380</v>
      </c>
      <c r="M298" s="1">
        <v>510350</v>
      </c>
      <c r="N298" s="1">
        <v>0.08</v>
      </c>
      <c r="O298" s="1" t="s">
        <v>384</v>
      </c>
      <c r="P298" s="1">
        <v>3.05</v>
      </c>
      <c r="Q298" s="1">
        <v>0</v>
      </c>
      <c r="R298" s="1">
        <v>400454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>
        <v>48</v>
      </c>
      <c r="C299" s="1">
        <v>0</v>
      </c>
      <c r="D299" s="1">
        <v>969654</v>
      </c>
      <c r="E299" s="1">
        <v>0</v>
      </c>
      <c r="F299" s="1">
        <v>192</v>
      </c>
      <c r="G299" s="1">
        <v>0</v>
      </c>
      <c r="H299" s="1">
        <v>1</v>
      </c>
      <c r="I299" s="1">
        <v>2.429</v>
      </c>
      <c r="J299" s="1">
        <v>2.53</v>
      </c>
      <c r="K299" s="1">
        <v>0</v>
      </c>
      <c r="L299" s="1" t="s">
        <v>380</v>
      </c>
      <c r="M299" s="1">
        <v>409627</v>
      </c>
      <c r="N299" s="1">
        <v>0.08</v>
      </c>
      <c r="O299" s="1" t="s">
        <v>384</v>
      </c>
      <c r="P299" s="1">
        <v>2.53</v>
      </c>
      <c r="Q299" s="1">
        <v>0</v>
      </c>
      <c r="R299" s="1">
        <v>304874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>
        <v>42</v>
      </c>
      <c r="C300" s="1">
        <v>1</v>
      </c>
      <c r="D300" s="1">
        <v>585791</v>
      </c>
      <c r="E300" s="1">
        <v>0</v>
      </c>
      <c r="F300" s="1">
        <v>137</v>
      </c>
      <c r="G300" s="1">
        <v>0</v>
      </c>
      <c r="H300" s="1">
        <v>1</v>
      </c>
      <c r="I300" s="1">
        <v>1.878</v>
      </c>
      <c r="J300" s="1">
        <v>1.95</v>
      </c>
      <c r="K300" s="1">
        <v>0</v>
      </c>
      <c r="L300" s="1" t="s">
        <v>380</v>
      </c>
      <c r="M300" s="1">
        <v>281272</v>
      </c>
      <c r="N300" s="1">
        <v>0.05</v>
      </c>
      <c r="O300" s="1" t="s">
        <v>384</v>
      </c>
      <c r="P300" s="1">
        <v>1.95</v>
      </c>
      <c r="Q300" s="1">
        <v>0</v>
      </c>
      <c r="R300" s="1">
        <v>195937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>
        <v>56</v>
      </c>
      <c r="C301" s="1">
        <v>0</v>
      </c>
      <c r="D301" s="1">
        <v>904712</v>
      </c>
      <c r="E301" s="1">
        <v>0</v>
      </c>
      <c r="F301" s="1">
        <v>176</v>
      </c>
      <c r="G301" s="1">
        <v>0</v>
      </c>
      <c r="H301" s="1">
        <v>1</v>
      </c>
      <c r="I301" s="1">
        <v>2.366</v>
      </c>
      <c r="J301" s="1">
        <v>2.46</v>
      </c>
      <c r="K301" s="1">
        <v>0</v>
      </c>
      <c r="L301" s="1" t="s">
        <v>380</v>
      </c>
      <c r="M301" s="1">
        <v>385304</v>
      </c>
      <c r="N301" s="1">
        <v>0.07000000000000001</v>
      </c>
      <c r="O301" s="1" t="s">
        <v>384</v>
      </c>
      <c r="P301" s="1">
        <v>2.46</v>
      </c>
      <c r="Q301" s="1">
        <v>0</v>
      </c>
      <c r="R301" s="1">
        <v>285246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>
        <v>40</v>
      </c>
      <c r="C302" s="1">
        <v>0</v>
      </c>
      <c r="D302" s="1">
        <v>608045</v>
      </c>
      <c r="E302" s="1">
        <v>0</v>
      </c>
      <c r="F302" s="1">
        <v>140</v>
      </c>
      <c r="G302" s="1">
        <v>0</v>
      </c>
      <c r="H302" s="1">
        <v>1</v>
      </c>
      <c r="I302" s="1">
        <v>1.935</v>
      </c>
      <c r="J302" s="1">
        <v>2.02</v>
      </c>
      <c r="K302" s="1">
        <v>0</v>
      </c>
      <c r="L302" s="1" t="s">
        <v>380</v>
      </c>
      <c r="M302" s="1">
        <v>287882</v>
      </c>
      <c r="N302" s="1">
        <v>0.06</v>
      </c>
      <c r="O302" s="1" t="s">
        <v>384</v>
      </c>
      <c r="P302" s="1">
        <v>2.02</v>
      </c>
      <c r="Q302" s="1">
        <v>0</v>
      </c>
      <c r="R302" s="1">
        <v>202383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>
        <v>71</v>
      </c>
      <c r="C303" s="1">
        <v>2</v>
      </c>
      <c r="D303" s="1">
        <v>943101</v>
      </c>
      <c r="E303" s="1">
        <v>0</v>
      </c>
      <c r="F303" s="1">
        <v>184</v>
      </c>
      <c r="G303" s="1">
        <v>0</v>
      </c>
      <c r="H303" s="1">
        <v>1</v>
      </c>
      <c r="I303" s="1">
        <v>2.491</v>
      </c>
      <c r="J303" s="1">
        <v>2.6</v>
      </c>
      <c r="K303" s="1">
        <v>0</v>
      </c>
      <c r="L303" s="1" t="s">
        <v>380</v>
      </c>
      <c r="M303" s="1">
        <v>398074</v>
      </c>
      <c r="N303" s="1">
        <v>0.09</v>
      </c>
      <c r="O303" s="1" t="s">
        <v>384</v>
      </c>
      <c r="P303" s="1">
        <v>2.6</v>
      </c>
      <c r="Q303" s="1">
        <v>0</v>
      </c>
      <c r="R303" s="1">
        <v>296151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>
        <v>46</v>
      </c>
      <c r="C304" s="1">
        <v>1</v>
      </c>
      <c r="D304" s="1">
        <v>631417</v>
      </c>
      <c r="E304" s="1">
        <v>0</v>
      </c>
      <c r="F304" s="1">
        <v>148</v>
      </c>
      <c r="G304" s="1">
        <v>0</v>
      </c>
      <c r="H304" s="1">
        <v>1</v>
      </c>
      <c r="I304" s="1">
        <v>1.868</v>
      </c>
      <c r="J304" s="1">
        <v>1.94</v>
      </c>
      <c r="K304" s="1">
        <v>0</v>
      </c>
      <c r="L304" s="1" t="s">
        <v>380</v>
      </c>
      <c r="M304" s="1">
        <v>297113</v>
      </c>
      <c r="N304" s="1">
        <v>0.06</v>
      </c>
      <c r="O304" s="1" t="s">
        <v>384</v>
      </c>
      <c r="P304" s="1">
        <v>1.94</v>
      </c>
      <c r="Q304" s="1">
        <v>0</v>
      </c>
      <c r="R304" s="1">
        <v>209620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>
        <v>59</v>
      </c>
      <c r="C305" s="1">
        <v>0</v>
      </c>
      <c r="D305" s="1">
        <v>1488011</v>
      </c>
      <c r="E305" s="1">
        <v>0</v>
      </c>
      <c r="F305" s="1">
        <v>297</v>
      </c>
      <c r="G305" s="1">
        <v>0</v>
      </c>
      <c r="H305" s="1">
        <v>1</v>
      </c>
      <c r="I305" s="1">
        <v>4.103</v>
      </c>
      <c r="J305" s="1">
        <v>4.31</v>
      </c>
      <c r="K305" s="1">
        <v>0</v>
      </c>
      <c r="L305" s="1" t="s">
        <v>380</v>
      </c>
      <c r="M305" s="1">
        <v>644323</v>
      </c>
      <c r="N305" s="1">
        <v>0.15</v>
      </c>
      <c r="O305" s="1" t="s">
        <v>384</v>
      </c>
      <c r="P305" s="1">
        <v>4.31</v>
      </c>
      <c r="Q305" s="1">
        <v>0</v>
      </c>
      <c r="R305" s="1">
        <v>478232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>
        <v>65</v>
      </c>
      <c r="C306" s="1">
        <v>0</v>
      </c>
      <c r="D306" s="1">
        <v>1488011</v>
      </c>
      <c r="E306" s="1">
        <v>0</v>
      </c>
      <c r="F306" s="1">
        <v>307</v>
      </c>
      <c r="G306" s="1">
        <v>0</v>
      </c>
      <c r="H306" s="1">
        <v>1</v>
      </c>
      <c r="I306" s="1">
        <v>4.047</v>
      </c>
      <c r="J306" s="1">
        <v>4.23</v>
      </c>
      <c r="K306" s="1">
        <v>0</v>
      </c>
      <c r="L306" s="1" t="s">
        <v>380</v>
      </c>
      <c r="M306" s="1">
        <v>644323</v>
      </c>
      <c r="N306" s="1">
        <v>0.13</v>
      </c>
      <c r="O306" s="1" t="s">
        <v>384</v>
      </c>
      <c r="P306" s="1">
        <v>4.23</v>
      </c>
      <c r="Q306" s="1">
        <v>0</v>
      </c>
      <c r="R306" s="1">
        <v>478232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>
        <v>60</v>
      </c>
      <c r="C307" s="1">
        <v>0</v>
      </c>
      <c r="D307" s="1">
        <v>1560925</v>
      </c>
      <c r="E307" s="1">
        <v>0</v>
      </c>
      <c r="F307" s="1">
        <v>310</v>
      </c>
      <c r="G307" s="1">
        <v>0</v>
      </c>
      <c r="H307" s="1">
        <v>1</v>
      </c>
      <c r="I307" s="1">
        <v>4.017</v>
      </c>
      <c r="J307" s="1">
        <v>4.2</v>
      </c>
      <c r="K307" s="1">
        <v>0</v>
      </c>
      <c r="L307" s="1" t="s">
        <v>380</v>
      </c>
      <c r="M307" s="1">
        <v>669050</v>
      </c>
      <c r="N307" s="1">
        <v>0.14</v>
      </c>
      <c r="O307" s="1" t="s">
        <v>384</v>
      </c>
      <c r="P307" s="1">
        <v>4.2</v>
      </c>
      <c r="Q307" s="1">
        <v>0</v>
      </c>
      <c r="R307" s="1">
        <v>499995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>
        <v>43</v>
      </c>
      <c r="C308" s="1">
        <v>0</v>
      </c>
      <c r="D308" s="1">
        <v>1040706</v>
      </c>
      <c r="E308" s="1">
        <v>0</v>
      </c>
      <c r="F308" s="1">
        <v>238</v>
      </c>
      <c r="G308" s="1">
        <v>0</v>
      </c>
      <c r="H308" s="1">
        <v>1</v>
      </c>
      <c r="I308" s="1">
        <v>3.13</v>
      </c>
      <c r="J308" s="1">
        <v>3.29</v>
      </c>
      <c r="K308" s="1">
        <v>0</v>
      </c>
      <c r="L308" s="1" t="s">
        <v>380</v>
      </c>
      <c r="M308" s="1">
        <v>485245</v>
      </c>
      <c r="N308" s="1">
        <v>0.11</v>
      </c>
      <c r="O308" s="1" t="s">
        <v>384</v>
      </c>
      <c r="P308" s="1">
        <v>3.29</v>
      </c>
      <c r="Q308" s="1">
        <v>0</v>
      </c>
      <c r="R308" s="1">
        <v>347677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>
        <v>52</v>
      </c>
      <c r="C309" s="1">
        <v>0</v>
      </c>
      <c r="D309" s="1">
        <v>1069732</v>
      </c>
      <c r="E309" s="1">
        <v>0</v>
      </c>
      <c r="F309" s="1">
        <v>241</v>
      </c>
      <c r="G309" s="1">
        <v>0</v>
      </c>
      <c r="H309" s="1">
        <v>1</v>
      </c>
      <c r="I309" s="1">
        <v>3.151</v>
      </c>
      <c r="J309" s="1">
        <v>3.31</v>
      </c>
      <c r="K309" s="1">
        <v>0</v>
      </c>
      <c r="L309" s="1" t="s">
        <v>380</v>
      </c>
      <c r="M309" s="1">
        <v>497370</v>
      </c>
      <c r="N309" s="1">
        <v>0.11</v>
      </c>
      <c r="O309" s="1" t="s">
        <v>384</v>
      </c>
      <c r="P309" s="1">
        <v>3.31</v>
      </c>
      <c r="Q309" s="1">
        <v>0</v>
      </c>
      <c r="R309" s="1">
        <v>356931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>
        <v>71</v>
      </c>
      <c r="C310" s="1">
        <v>0</v>
      </c>
      <c r="D310" s="1">
        <v>2050910</v>
      </c>
      <c r="E310" s="1">
        <v>0</v>
      </c>
      <c r="F310" s="1">
        <v>369</v>
      </c>
      <c r="G310" s="1">
        <v>0</v>
      </c>
      <c r="H310" s="1">
        <v>1</v>
      </c>
      <c r="I310" s="1">
        <v>4.77</v>
      </c>
      <c r="J310" s="1">
        <v>4.98</v>
      </c>
      <c r="K310" s="1">
        <v>0</v>
      </c>
      <c r="L310" s="1" t="s">
        <v>380</v>
      </c>
      <c r="M310" s="1">
        <v>814169</v>
      </c>
      <c r="N310" s="1">
        <v>0.17</v>
      </c>
      <c r="O310" s="1" t="s">
        <v>384</v>
      </c>
      <c r="P310" s="1">
        <v>4.98</v>
      </c>
      <c r="Q310" s="1">
        <v>0</v>
      </c>
      <c r="R310" s="1">
        <v>631486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>
        <v>69</v>
      </c>
      <c r="C311" s="1">
        <v>0</v>
      </c>
      <c r="D311" s="1">
        <v>1560925</v>
      </c>
      <c r="E311" s="1">
        <v>0</v>
      </c>
      <c r="F311" s="1">
        <v>311</v>
      </c>
      <c r="G311" s="1">
        <v>0</v>
      </c>
      <c r="H311" s="1">
        <v>1</v>
      </c>
      <c r="I311" s="1">
        <v>4.211</v>
      </c>
      <c r="J311" s="1">
        <v>4.42</v>
      </c>
      <c r="K311" s="1">
        <v>0</v>
      </c>
      <c r="L311" s="1" t="s">
        <v>380</v>
      </c>
      <c r="M311" s="1">
        <v>669050</v>
      </c>
      <c r="N311" s="1">
        <v>0.15</v>
      </c>
      <c r="O311" s="1" t="s">
        <v>384</v>
      </c>
      <c r="P311" s="1">
        <v>4.42</v>
      </c>
      <c r="Q311" s="1">
        <v>0</v>
      </c>
      <c r="R311" s="1">
        <v>499995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>
        <v>88</v>
      </c>
      <c r="C312" s="1">
        <v>0</v>
      </c>
      <c r="D312" s="1">
        <v>3472931</v>
      </c>
      <c r="E312" s="1">
        <v>0</v>
      </c>
      <c r="F312" s="1">
        <v>618</v>
      </c>
      <c r="G312" s="1">
        <v>0</v>
      </c>
      <c r="H312" s="1">
        <v>1</v>
      </c>
      <c r="I312" s="1">
        <v>8.045</v>
      </c>
      <c r="J312" s="1">
        <v>8.449999999999999</v>
      </c>
      <c r="K312" s="1">
        <v>0</v>
      </c>
      <c r="L312" s="1" t="s">
        <v>380</v>
      </c>
      <c r="M312" s="1">
        <v>1342517</v>
      </c>
      <c r="N312" s="1">
        <v>0.29</v>
      </c>
      <c r="O312" s="1" t="s">
        <v>384</v>
      </c>
      <c r="P312" s="1">
        <v>8.449999999999999</v>
      </c>
      <c r="Q312" s="1">
        <v>0</v>
      </c>
      <c r="R312" s="1">
        <v>1059449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>
        <v>112</v>
      </c>
      <c r="C313" s="1">
        <v>1</v>
      </c>
      <c r="D313" s="1">
        <v>2907712</v>
      </c>
      <c r="E313" s="1">
        <v>0</v>
      </c>
      <c r="F313" s="1">
        <v>549</v>
      </c>
      <c r="G313" s="1">
        <v>0</v>
      </c>
      <c r="H313" s="1">
        <v>1</v>
      </c>
      <c r="I313" s="1">
        <v>7.118</v>
      </c>
      <c r="J313" s="1">
        <v>7.5</v>
      </c>
      <c r="K313" s="1">
        <v>0</v>
      </c>
      <c r="L313" s="1" t="s">
        <v>380</v>
      </c>
      <c r="M313" s="1">
        <v>1187169</v>
      </c>
      <c r="N313" s="1">
        <v>0.35</v>
      </c>
      <c r="O313" s="1" t="s">
        <v>384</v>
      </c>
      <c r="P313" s="1">
        <v>7.5</v>
      </c>
      <c r="Q313" s="1">
        <v>0</v>
      </c>
      <c r="R313" s="1">
        <v>912404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>
        <v>129</v>
      </c>
      <c r="C314" s="1">
        <v>1</v>
      </c>
      <c r="D314" s="1">
        <v>2679581</v>
      </c>
      <c r="E314" s="1">
        <v>0</v>
      </c>
      <c r="F314" s="1">
        <v>532</v>
      </c>
      <c r="G314" s="1">
        <v>0</v>
      </c>
      <c r="H314" s="1">
        <v>1</v>
      </c>
      <c r="I314" s="1">
        <v>6.739</v>
      </c>
      <c r="J314" s="1">
        <v>7.11</v>
      </c>
      <c r="K314" s="1">
        <v>0</v>
      </c>
      <c r="L314" s="1" t="s">
        <v>380</v>
      </c>
      <c r="M314" s="1">
        <v>1103655</v>
      </c>
      <c r="N314" s="1">
        <v>0.29</v>
      </c>
      <c r="O314" s="1" t="s">
        <v>384</v>
      </c>
      <c r="P314" s="1">
        <v>7.11</v>
      </c>
      <c r="Q314" s="1">
        <v>0</v>
      </c>
      <c r="R314" s="1">
        <v>844191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>
        <v>93</v>
      </c>
      <c r="C315" s="1">
        <v>0</v>
      </c>
      <c r="D315" s="1">
        <v>3581351</v>
      </c>
      <c r="E315" s="1">
        <v>0</v>
      </c>
      <c r="F315" s="1">
        <v>632</v>
      </c>
      <c r="G315" s="1">
        <v>0</v>
      </c>
      <c r="H315" s="1">
        <v>1</v>
      </c>
      <c r="I315" s="1">
        <v>8.172000000000001</v>
      </c>
      <c r="J315" s="1">
        <v>8.58</v>
      </c>
      <c r="K315" s="1">
        <v>0</v>
      </c>
      <c r="L315" s="1" t="s">
        <v>380</v>
      </c>
      <c r="M315" s="1">
        <v>1378404</v>
      </c>
      <c r="N315" s="1">
        <v>0.3</v>
      </c>
      <c r="O315" s="1" t="s">
        <v>384</v>
      </c>
      <c r="P315" s="1">
        <v>8.58</v>
      </c>
      <c r="Q315" s="1">
        <v>0</v>
      </c>
      <c r="R315" s="1">
        <v>1091556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>
        <v>83</v>
      </c>
      <c r="C316" s="1">
        <v>0</v>
      </c>
      <c r="D316" s="1">
        <v>2739986</v>
      </c>
      <c r="E316" s="1">
        <v>0</v>
      </c>
      <c r="F316" s="1">
        <v>524</v>
      </c>
      <c r="G316" s="1">
        <v>0</v>
      </c>
      <c r="H316" s="1">
        <v>1</v>
      </c>
      <c r="I316" s="1">
        <v>6.624</v>
      </c>
      <c r="J316" s="1">
        <v>6.97</v>
      </c>
      <c r="K316" s="1">
        <v>0</v>
      </c>
      <c r="L316" s="1" t="s">
        <v>380</v>
      </c>
      <c r="M316" s="1">
        <v>1124911</v>
      </c>
      <c r="N316" s="1">
        <v>0.25</v>
      </c>
      <c r="O316" s="1" t="s">
        <v>384</v>
      </c>
      <c r="P316" s="1">
        <v>6.97</v>
      </c>
      <c r="Q316" s="1">
        <v>0</v>
      </c>
      <c r="R316" s="1">
        <v>861775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>
        <v>91</v>
      </c>
      <c r="C317" s="1">
        <v>0</v>
      </c>
      <c r="D317" s="1">
        <v>2739986</v>
      </c>
      <c r="E317" s="1">
        <v>0</v>
      </c>
      <c r="F317" s="1">
        <v>540</v>
      </c>
      <c r="G317" s="1">
        <v>0</v>
      </c>
      <c r="H317" s="1">
        <v>1</v>
      </c>
      <c r="I317" s="1">
        <v>6.801</v>
      </c>
      <c r="J317" s="1">
        <v>7.17</v>
      </c>
      <c r="K317" s="1">
        <v>0</v>
      </c>
      <c r="L317" s="1" t="s">
        <v>380</v>
      </c>
      <c r="M317" s="1">
        <v>1124911</v>
      </c>
      <c r="N317" s="1">
        <v>0.25</v>
      </c>
      <c r="O317" s="1" t="s">
        <v>384</v>
      </c>
      <c r="P317" s="1">
        <v>7.17</v>
      </c>
      <c r="Q317" s="1">
        <v>0</v>
      </c>
      <c r="R317" s="1">
        <v>861775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>
        <v>80</v>
      </c>
      <c r="C318" s="1">
        <v>0</v>
      </c>
      <c r="D318" s="1">
        <v>2195800</v>
      </c>
      <c r="E318" s="1">
        <v>0</v>
      </c>
      <c r="F318" s="1">
        <v>443</v>
      </c>
      <c r="G318" s="1">
        <v>0</v>
      </c>
      <c r="H318" s="1">
        <v>1</v>
      </c>
      <c r="I318" s="1">
        <v>6.045</v>
      </c>
      <c r="J318" s="1">
        <v>6.34</v>
      </c>
      <c r="K318" s="1">
        <v>0</v>
      </c>
      <c r="L318" s="1" t="s">
        <v>380</v>
      </c>
      <c r="M318" s="1">
        <v>956259</v>
      </c>
      <c r="N318" s="1">
        <v>0.23</v>
      </c>
      <c r="O318" s="1" t="s">
        <v>384</v>
      </c>
      <c r="P318" s="1">
        <v>6.34</v>
      </c>
      <c r="Q318" s="1">
        <v>0</v>
      </c>
      <c r="R318" s="1">
        <v>712581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>
        <v>108</v>
      </c>
      <c r="C319" s="1">
        <v>0</v>
      </c>
      <c r="D319" s="1">
        <v>4716030</v>
      </c>
      <c r="E319" s="1">
        <v>0</v>
      </c>
      <c r="F319" s="1">
        <v>853</v>
      </c>
      <c r="G319" s="1">
        <v>0</v>
      </c>
      <c r="H319" s="1">
        <v>1</v>
      </c>
      <c r="I319" s="1">
        <v>11.067</v>
      </c>
      <c r="J319" s="1">
        <v>11.58</v>
      </c>
      <c r="K319" s="1">
        <v>0</v>
      </c>
      <c r="L319" s="1" t="s">
        <v>380</v>
      </c>
      <c r="M319" s="1">
        <v>1866580</v>
      </c>
      <c r="N319" s="1">
        <v>0.43</v>
      </c>
      <c r="O319" s="1" t="s">
        <v>384</v>
      </c>
      <c r="P319" s="1">
        <v>11.58</v>
      </c>
      <c r="Q319" s="1">
        <v>0</v>
      </c>
      <c r="R319" s="1">
        <v>1461426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>
        <v>91</v>
      </c>
      <c r="C320" s="1">
        <v>0</v>
      </c>
      <c r="D320" s="1">
        <v>3765074</v>
      </c>
      <c r="E320" s="1">
        <v>0</v>
      </c>
      <c r="F320" s="1">
        <v>726</v>
      </c>
      <c r="G320" s="1">
        <v>0</v>
      </c>
      <c r="H320" s="1">
        <v>1</v>
      </c>
      <c r="I320" s="1">
        <v>9.393000000000001</v>
      </c>
      <c r="J320" s="1">
        <v>9.84</v>
      </c>
      <c r="K320" s="1">
        <v>0</v>
      </c>
      <c r="L320" s="1" t="s">
        <v>380</v>
      </c>
      <c r="M320" s="1">
        <v>1570050</v>
      </c>
      <c r="N320" s="1">
        <v>0.37</v>
      </c>
      <c r="O320" s="1" t="s">
        <v>384</v>
      </c>
      <c r="P320" s="1">
        <v>9.84</v>
      </c>
      <c r="Q320" s="1">
        <v>0</v>
      </c>
      <c r="R320" s="1">
        <v>1198825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>
        <v>112</v>
      </c>
      <c r="C321" s="1">
        <v>0</v>
      </c>
      <c r="D321" s="1">
        <v>4844330</v>
      </c>
      <c r="E321" s="1">
        <v>0</v>
      </c>
      <c r="F321" s="1">
        <v>892</v>
      </c>
      <c r="G321" s="1">
        <v>0</v>
      </c>
      <c r="H321" s="1">
        <v>1</v>
      </c>
      <c r="I321" s="1">
        <v>11.728</v>
      </c>
      <c r="J321" s="1">
        <v>12.27</v>
      </c>
      <c r="K321" s="1">
        <v>0</v>
      </c>
      <c r="L321" s="1" t="s">
        <v>380</v>
      </c>
      <c r="M321" s="1">
        <v>1909230</v>
      </c>
      <c r="N321" s="1">
        <v>0.45</v>
      </c>
      <c r="O321" s="1" t="s">
        <v>384</v>
      </c>
      <c r="P321" s="1">
        <v>12.27</v>
      </c>
      <c r="Q321" s="1">
        <v>0</v>
      </c>
      <c r="R321" s="1">
        <v>1499520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>
        <v>106</v>
      </c>
      <c r="C322" s="1">
        <v>0</v>
      </c>
      <c r="D322" s="1">
        <v>4458831</v>
      </c>
      <c r="E322" s="1">
        <v>0</v>
      </c>
      <c r="F322" s="1">
        <v>830</v>
      </c>
      <c r="G322" s="1">
        <v>0</v>
      </c>
      <c r="H322" s="1">
        <v>1</v>
      </c>
      <c r="I322" s="1">
        <v>10.272</v>
      </c>
      <c r="J322" s="1">
        <v>10.75</v>
      </c>
      <c r="K322" s="1">
        <v>0</v>
      </c>
      <c r="L322" s="1" t="s">
        <v>380</v>
      </c>
      <c r="M322" s="1">
        <v>1772649</v>
      </c>
      <c r="N322" s="1">
        <v>0.4</v>
      </c>
      <c r="O322" s="1" t="s">
        <v>384</v>
      </c>
      <c r="P322" s="1">
        <v>10.75</v>
      </c>
      <c r="Q322" s="1">
        <v>0</v>
      </c>
      <c r="R322" s="1">
        <v>1384464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>
        <v>109</v>
      </c>
      <c r="C323" s="1">
        <v>0</v>
      </c>
      <c r="D323" s="1">
        <v>3845813</v>
      </c>
      <c r="E323" s="1">
        <v>0</v>
      </c>
      <c r="F323" s="1">
        <v>737</v>
      </c>
      <c r="G323" s="1">
        <v>0</v>
      </c>
      <c r="H323" s="1">
        <v>1</v>
      </c>
      <c r="I323" s="1">
        <v>9.803000000000001</v>
      </c>
      <c r="J323" s="1">
        <v>10.27</v>
      </c>
      <c r="K323" s="1">
        <v>0</v>
      </c>
      <c r="L323" s="1" t="s">
        <v>380</v>
      </c>
      <c r="M323" s="1">
        <v>1597988</v>
      </c>
      <c r="N323" s="1">
        <v>0.38</v>
      </c>
      <c r="O323" s="1" t="s">
        <v>384</v>
      </c>
      <c r="P323" s="1">
        <v>10.27</v>
      </c>
      <c r="Q323" s="1">
        <v>0</v>
      </c>
      <c r="R323" s="1">
        <v>1222296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>
        <v>96</v>
      </c>
      <c r="C324" s="1">
        <v>0</v>
      </c>
      <c r="D324" s="1">
        <v>3765074</v>
      </c>
      <c r="E324" s="1">
        <v>0</v>
      </c>
      <c r="F324" s="1">
        <v>744</v>
      </c>
      <c r="G324" s="1">
        <v>0</v>
      </c>
      <c r="H324" s="1">
        <v>1</v>
      </c>
      <c r="I324" s="1">
        <v>9.763999999999999</v>
      </c>
      <c r="J324" s="1">
        <v>10.24</v>
      </c>
      <c r="K324" s="1">
        <v>0</v>
      </c>
      <c r="L324" s="1" t="s">
        <v>380</v>
      </c>
      <c r="M324" s="1">
        <v>1570050</v>
      </c>
      <c r="N324" s="1">
        <v>0.39</v>
      </c>
      <c r="O324" s="1" t="s">
        <v>384</v>
      </c>
      <c r="P324" s="1">
        <v>10.24</v>
      </c>
      <c r="Q324" s="1">
        <v>0</v>
      </c>
      <c r="R324" s="1">
        <v>1198825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>
        <v>113</v>
      </c>
      <c r="C325" s="1">
        <v>0</v>
      </c>
      <c r="D325" s="1">
        <v>3845813</v>
      </c>
      <c r="E325" s="1">
        <v>0</v>
      </c>
      <c r="F325" s="1">
        <v>733</v>
      </c>
      <c r="G325" s="1">
        <v>0</v>
      </c>
      <c r="H325" s="1">
        <v>1</v>
      </c>
      <c r="I325" s="1">
        <v>9.99</v>
      </c>
      <c r="J325" s="1">
        <v>10.47</v>
      </c>
      <c r="K325" s="1">
        <v>0</v>
      </c>
      <c r="L325" s="1" t="s">
        <v>380</v>
      </c>
      <c r="M325" s="1">
        <v>1597988</v>
      </c>
      <c r="N325" s="1">
        <v>0.39</v>
      </c>
      <c r="O325" s="1" t="s">
        <v>384</v>
      </c>
      <c r="P325" s="1">
        <v>10.47</v>
      </c>
      <c r="Q325" s="1">
        <v>0</v>
      </c>
      <c r="R325" s="1">
        <v>1222296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>
        <v>126</v>
      </c>
      <c r="C326" s="1">
        <v>0</v>
      </c>
      <c r="D326" s="1">
        <v>5877979</v>
      </c>
      <c r="E326" s="1">
        <v>0</v>
      </c>
      <c r="F326" s="1">
        <v>1117</v>
      </c>
      <c r="G326" s="1">
        <v>0</v>
      </c>
      <c r="H326" s="1">
        <v>1</v>
      </c>
      <c r="I326" s="1">
        <v>14.856</v>
      </c>
      <c r="J326" s="1">
        <v>15.65</v>
      </c>
      <c r="K326" s="1">
        <v>0</v>
      </c>
      <c r="L326" s="1" t="s">
        <v>380</v>
      </c>
      <c r="M326" s="1">
        <v>2373237</v>
      </c>
      <c r="N326" s="1">
        <v>0.6</v>
      </c>
      <c r="O326" s="1" t="s">
        <v>384</v>
      </c>
      <c r="P326" s="1">
        <v>15.65</v>
      </c>
      <c r="Q326" s="1">
        <v>0</v>
      </c>
      <c r="R326" s="1">
        <v>1844673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>
        <v>89</v>
      </c>
      <c r="C327" s="1">
        <v>0</v>
      </c>
      <c r="D327" s="1">
        <v>978399</v>
      </c>
      <c r="E327" s="1">
        <v>0</v>
      </c>
      <c r="F327" s="1">
        <v>169</v>
      </c>
      <c r="G327" s="1">
        <v>0</v>
      </c>
      <c r="H327" s="1">
        <v>1</v>
      </c>
      <c r="I327" s="1">
        <v>2.408</v>
      </c>
      <c r="J327" s="1">
        <v>2.48</v>
      </c>
      <c r="K327" s="1">
        <v>0</v>
      </c>
      <c r="L327" s="1" t="s">
        <v>380</v>
      </c>
      <c r="M327" s="1">
        <v>407237</v>
      </c>
      <c r="N327" s="1">
        <v>0.07000000000000001</v>
      </c>
      <c r="O327" s="1" t="s">
        <v>384</v>
      </c>
      <c r="P327" s="1">
        <v>2.48</v>
      </c>
      <c r="Q327" s="1">
        <v>0</v>
      </c>
      <c r="R327" s="1">
        <v>285430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>
        <v>91</v>
      </c>
      <c r="C328" s="1">
        <v>0</v>
      </c>
      <c r="D328" s="1">
        <v>904357</v>
      </c>
      <c r="E328" s="1">
        <v>0</v>
      </c>
      <c r="F328" s="1">
        <v>160</v>
      </c>
      <c r="G328" s="1">
        <v>0</v>
      </c>
      <c r="H328" s="1">
        <v>1</v>
      </c>
      <c r="I328" s="1">
        <v>2.22</v>
      </c>
      <c r="J328" s="1">
        <v>2.29</v>
      </c>
      <c r="K328" s="1">
        <v>0</v>
      </c>
      <c r="L328" s="1" t="s">
        <v>380</v>
      </c>
      <c r="M328" s="1">
        <v>392434</v>
      </c>
      <c r="N328" s="1">
        <v>0.05</v>
      </c>
      <c r="O328" s="1" t="s">
        <v>384</v>
      </c>
      <c r="P328" s="1">
        <v>2.29</v>
      </c>
      <c r="Q328" s="1">
        <v>0</v>
      </c>
      <c r="R328" s="1">
        <v>264798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>
        <v>193</v>
      </c>
      <c r="C329" s="1">
        <v>1</v>
      </c>
      <c r="D329" s="1">
        <v>956840</v>
      </c>
      <c r="E329" s="1">
        <v>0</v>
      </c>
      <c r="F329" s="1">
        <v>165</v>
      </c>
      <c r="G329" s="1">
        <v>0</v>
      </c>
      <c r="H329" s="1">
        <v>1</v>
      </c>
      <c r="I329" s="1">
        <v>2.07</v>
      </c>
      <c r="J329" s="1">
        <v>2.14</v>
      </c>
      <c r="K329" s="1">
        <v>0</v>
      </c>
      <c r="L329" s="1" t="s">
        <v>380</v>
      </c>
      <c r="M329" s="1">
        <v>399798</v>
      </c>
      <c r="N329" s="1">
        <v>0.07000000000000001</v>
      </c>
      <c r="O329" s="1" t="s">
        <v>384</v>
      </c>
      <c r="P329" s="1">
        <v>2.14</v>
      </c>
      <c r="Q329" s="1">
        <v>0</v>
      </c>
      <c r="R329" s="1">
        <v>279412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>
        <v>218</v>
      </c>
      <c r="C330" s="1">
        <v>4</v>
      </c>
      <c r="D330" s="1">
        <v>1368379</v>
      </c>
      <c r="E330" s="1">
        <v>0</v>
      </c>
      <c r="F330" s="1">
        <v>216</v>
      </c>
      <c r="G330" s="1">
        <v>0</v>
      </c>
      <c r="H330" s="1">
        <v>1</v>
      </c>
      <c r="I330" s="1">
        <v>2.744</v>
      </c>
      <c r="J330" s="1">
        <v>2.83</v>
      </c>
      <c r="K330" s="1">
        <v>0</v>
      </c>
      <c r="L330" s="1" t="s">
        <v>380</v>
      </c>
      <c r="M330" s="1">
        <v>495267</v>
      </c>
      <c r="N330" s="1">
        <v>0.15</v>
      </c>
      <c r="O330" s="1" t="s">
        <v>384</v>
      </c>
      <c r="P330" s="1">
        <v>2.83</v>
      </c>
      <c r="Q330" s="1">
        <v>0</v>
      </c>
      <c r="R330" s="1">
        <v>388451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>
        <v>54</v>
      </c>
      <c r="C331" s="1">
        <v>0</v>
      </c>
      <c r="D331" s="1">
        <v>889431</v>
      </c>
      <c r="E331" s="1">
        <v>0</v>
      </c>
      <c r="F331" s="1">
        <v>158</v>
      </c>
      <c r="G331" s="1">
        <v>0</v>
      </c>
      <c r="H331" s="1">
        <v>1</v>
      </c>
      <c r="I331" s="1">
        <v>2.083</v>
      </c>
      <c r="J331" s="1">
        <v>2.15</v>
      </c>
      <c r="K331" s="1">
        <v>0</v>
      </c>
      <c r="L331" s="1" t="s">
        <v>380</v>
      </c>
      <c r="M331" s="1">
        <v>401980</v>
      </c>
      <c r="N331" s="1">
        <v>0.05</v>
      </c>
      <c r="O331" s="1" t="s">
        <v>384</v>
      </c>
      <c r="P331" s="1">
        <v>2.15</v>
      </c>
      <c r="Q331" s="1">
        <v>0</v>
      </c>
      <c r="R331" s="1">
        <v>260660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>
        <v>55</v>
      </c>
      <c r="C332" s="1">
        <v>0</v>
      </c>
      <c r="D332" s="1">
        <v>937205</v>
      </c>
      <c r="E332" s="1">
        <v>0</v>
      </c>
      <c r="F332" s="1">
        <v>158</v>
      </c>
      <c r="G332" s="1">
        <v>0</v>
      </c>
      <c r="H332" s="1">
        <v>1</v>
      </c>
      <c r="I332" s="1">
        <v>2.405</v>
      </c>
      <c r="J332" s="1">
        <v>2.47</v>
      </c>
      <c r="K332" s="1">
        <v>0</v>
      </c>
      <c r="L332" s="1" t="s">
        <v>380</v>
      </c>
      <c r="M332" s="1">
        <v>401296</v>
      </c>
      <c r="N332" s="1">
        <v>0.05</v>
      </c>
      <c r="O332" s="1" t="s">
        <v>384</v>
      </c>
      <c r="P332" s="1">
        <v>2.47</v>
      </c>
      <c r="Q332" s="1">
        <v>0</v>
      </c>
      <c r="R332" s="1">
        <v>270649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>
        <v>146</v>
      </c>
      <c r="C333" s="1">
        <v>0</v>
      </c>
      <c r="D333" s="1">
        <v>1342745</v>
      </c>
      <c r="E333" s="1">
        <v>0</v>
      </c>
      <c r="F333" s="1">
        <v>212</v>
      </c>
      <c r="G333" s="1">
        <v>0</v>
      </c>
      <c r="H333" s="1">
        <v>1</v>
      </c>
      <c r="I333" s="1">
        <v>2.752</v>
      </c>
      <c r="J333" s="1">
        <v>2.83</v>
      </c>
      <c r="K333" s="1">
        <v>0</v>
      </c>
      <c r="L333" s="1" t="s">
        <v>380</v>
      </c>
      <c r="M333" s="1">
        <v>507112</v>
      </c>
      <c r="N333" s="1">
        <v>0.1</v>
      </c>
      <c r="O333" s="1" t="s">
        <v>384</v>
      </c>
      <c r="P333" s="1">
        <v>2.83</v>
      </c>
      <c r="Q333" s="1">
        <v>0</v>
      </c>
      <c r="R333" s="1">
        <v>381832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>
        <v>150</v>
      </c>
      <c r="C334" s="1">
        <v>0</v>
      </c>
      <c r="D334" s="1">
        <v>2958723</v>
      </c>
      <c r="E334" s="1">
        <v>0</v>
      </c>
      <c r="F334" s="1">
        <v>455</v>
      </c>
      <c r="G334" s="1">
        <v>0</v>
      </c>
      <c r="H334" s="1">
        <v>1</v>
      </c>
      <c r="I334" s="1">
        <v>6.051</v>
      </c>
      <c r="J334" s="1">
        <v>6.25</v>
      </c>
      <c r="K334" s="1">
        <v>0</v>
      </c>
      <c r="L334" s="1" t="s">
        <v>380</v>
      </c>
      <c r="M334" s="1">
        <v>1172086</v>
      </c>
      <c r="N334" s="1">
        <v>0.17</v>
      </c>
      <c r="O334" s="1" t="s">
        <v>384</v>
      </c>
      <c r="P334" s="1">
        <v>6.25</v>
      </c>
      <c r="Q334" s="1">
        <v>0</v>
      </c>
      <c r="R334" s="1">
        <v>845466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>
        <v>136</v>
      </c>
      <c r="C335" s="1">
        <v>0</v>
      </c>
      <c r="D335" s="1">
        <v>2507669</v>
      </c>
      <c r="E335" s="1">
        <v>0</v>
      </c>
      <c r="F335" s="1">
        <v>403</v>
      </c>
      <c r="G335" s="1">
        <v>0</v>
      </c>
      <c r="H335" s="1">
        <v>1</v>
      </c>
      <c r="I335" s="1">
        <v>5.201</v>
      </c>
      <c r="J335" s="1">
        <v>5.38</v>
      </c>
      <c r="K335" s="1">
        <v>0</v>
      </c>
      <c r="L335" s="1" t="s">
        <v>380</v>
      </c>
      <c r="M335" s="1">
        <v>1032031</v>
      </c>
      <c r="N335" s="1">
        <v>0.16</v>
      </c>
      <c r="O335" s="1" t="s">
        <v>384</v>
      </c>
      <c r="P335" s="1">
        <v>5.38</v>
      </c>
      <c r="Q335" s="1">
        <v>0</v>
      </c>
      <c r="R335" s="1">
        <v>725005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>
        <v>116</v>
      </c>
      <c r="C336" s="1">
        <v>0</v>
      </c>
      <c r="D336" s="1">
        <v>3904149</v>
      </c>
      <c r="E336" s="1">
        <v>0</v>
      </c>
      <c r="F336" s="1">
        <v>568</v>
      </c>
      <c r="G336" s="1">
        <v>0</v>
      </c>
      <c r="H336" s="1">
        <v>1</v>
      </c>
      <c r="I336" s="1">
        <v>7.032</v>
      </c>
      <c r="J336" s="1">
        <v>7.27</v>
      </c>
      <c r="K336" s="1">
        <v>0</v>
      </c>
      <c r="L336" s="1" t="s">
        <v>380</v>
      </c>
      <c r="M336" s="1">
        <v>1420277</v>
      </c>
      <c r="N336" s="1">
        <v>0.2</v>
      </c>
      <c r="O336" s="1" t="s">
        <v>384</v>
      </c>
      <c r="P336" s="1">
        <v>7.27</v>
      </c>
      <c r="Q336" s="1">
        <v>0</v>
      </c>
      <c r="R336" s="1">
        <v>1095833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>
        <v>107</v>
      </c>
      <c r="C337" s="1">
        <v>0</v>
      </c>
      <c r="D337" s="1">
        <v>3359427</v>
      </c>
      <c r="E337" s="1">
        <v>0</v>
      </c>
      <c r="F337" s="1">
        <v>503</v>
      </c>
      <c r="G337" s="1">
        <v>0</v>
      </c>
      <c r="H337" s="1">
        <v>1</v>
      </c>
      <c r="I337" s="1">
        <v>6.352</v>
      </c>
      <c r="J337" s="1">
        <v>6.56</v>
      </c>
      <c r="K337" s="1">
        <v>0</v>
      </c>
      <c r="L337" s="1" t="s">
        <v>380</v>
      </c>
      <c r="M337" s="1">
        <v>1262093</v>
      </c>
      <c r="N337" s="1">
        <v>0.2</v>
      </c>
      <c r="O337" s="1" t="s">
        <v>384</v>
      </c>
      <c r="P337" s="1">
        <v>6.56</v>
      </c>
      <c r="Q337" s="1">
        <v>0</v>
      </c>
      <c r="R337" s="1">
        <v>952827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>
        <v>97</v>
      </c>
      <c r="C338" s="1">
        <v>0</v>
      </c>
      <c r="D338" s="1">
        <v>2263677</v>
      </c>
      <c r="E338" s="1">
        <v>0</v>
      </c>
      <c r="F338" s="1">
        <v>367</v>
      </c>
      <c r="G338" s="1">
        <v>0</v>
      </c>
      <c r="H338" s="1">
        <v>1</v>
      </c>
      <c r="I338" s="1">
        <v>5.048</v>
      </c>
      <c r="J338" s="1">
        <v>5.23</v>
      </c>
      <c r="K338" s="1">
        <v>0</v>
      </c>
      <c r="L338" s="1" t="s">
        <v>380</v>
      </c>
      <c r="M338" s="1">
        <v>949087</v>
      </c>
      <c r="N338" s="1">
        <v>0.15</v>
      </c>
      <c r="O338" s="1" t="s">
        <v>384</v>
      </c>
      <c r="P338" s="1">
        <v>5.23</v>
      </c>
      <c r="Q338" s="1">
        <v>0</v>
      </c>
      <c r="R338" s="1">
        <v>653151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>
        <v>107</v>
      </c>
      <c r="C339" s="1">
        <v>0</v>
      </c>
      <c r="D339" s="1">
        <v>4041121</v>
      </c>
      <c r="E339" s="1">
        <v>0</v>
      </c>
      <c r="F339" s="1">
        <v>564</v>
      </c>
      <c r="G339" s="1">
        <v>0</v>
      </c>
      <c r="H339" s="1">
        <v>1</v>
      </c>
      <c r="I339" s="1">
        <v>7.374</v>
      </c>
      <c r="J339" s="1">
        <v>7.61</v>
      </c>
      <c r="K339" s="1">
        <v>0</v>
      </c>
      <c r="L339" s="1" t="s">
        <v>380</v>
      </c>
      <c r="M339" s="1">
        <v>1397262</v>
      </c>
      <c r="N339" s="1">
        <v>0.21</v>
      </c>
      <c r="O339" s="1" t="s">
        <v>384</v>
      </c>
      <c r="P339" s="1">
        <v>7.61</v>
      </c>
      <c r="Q339" s="1">
        <v>0</v>
      </c>
      <c r="R339" s="1">
        <v>1131456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>
        <v>307</v>
      </c>
      <c r="C340" s="1">
        <v>4</v>
      </c>
      <c r="D340" s="1">
        <v>3876694</v>
      </c>
      <c r="E340" s="1">
        <v>0</v>
      </c>
      <c r="F340" s="1">
        <v>543</v>
      </c>
      <c r="G340" s="1">
        <v>0</v>
      </c>
      <c r="H340" s="1">
        <v>1</v>
      </c>
      <c r="I340" s="1">
        <v>7.144</v>
      </c>
      <c r="J340" s="1">
        <v>7.39</v>
      </c>
      <c r="K340" s="1">
        <v>0</v>
      </c>
      <c r="L340" s="1" t="s">
        <v>380</v>
      </c>
      <c r="M340" s="1">
        <v>1373915</v>
      </c>
      <c r="N340" s="1">
        <v>0.37</v>
      </c>
      <c r="O340" s="1" t="s">
        <v>384</v>
      </c>
      <c r="P340" s="1">
        <v>7.39</v>
      </c>
      <c r="Q340" s="1">
        <v>0</v>
      </c>
      <c r="R340" s="1">
        <v>1087766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>
        <v>571</v>
      </c>
      <c r="C341" s="1">
        <v>8</v>
      </c>
      <c r="D341" s="1">
        <v>6484529</v>
      </c>
      <c r="E341" s="1">
        <v>0</v>
      </c>
      <c r="F341" s="1">
        <v>955</v>
      </c>
      <c r="G341" s="1">
        <v>0</v>
      </c>
      <c r="H341" s="1">
        <v>1</v>
      </c>
      <c r="I341" s="1">
        <v>13.822</v>
      </c>
      <c r="J341" s="1">
        <v>14.33</v>
      </c>
      <c r="K341" s="1">
        <v>0</v>
      </c>
      <c r="L341" s="1" t="s">
        <v>380</v>
      </c>
      <c r="M341" s="1">
        <v>2385815</v>
      </c>
      <c r="N341" s="1">
        <v>0.8100000000000001</v>
      </c>
      <c r="O341" s="1" t="s">
        <v>384</v>
      </c>
      <c r="P341" s="1">
        <v>14.33</v>
      </c>
      <c r="Q341" s="1">
        <v>0</v>
      </c>
      <c r="R341" s="1">
        <v>1831235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>
        <v>215</v>
      </c>
      <c r="C342" s="1">
        <v>0</v>
      </c>
      <c r="D342" s="1">
        <v>7925983</v>
      </c>
      <c r="E342" s="1">
        <v>0</v>
      </c>
      <c r="F342" s="1">
        <v>1110</v>
      </c>
      <c r="G342" s="1">
        <v>0</v>
      </c>
      <c r="H342" s="1">
        <v>1</v>
      </c>
      <c r="I342" s="1">
        <v>14.75</v>
      </c>
      <c r="J342" s="1">
        <v>15.2</v>
      </c>
      <c r="K342" s="1">
        <v>0</v>
      </c>
      <c r="L342" s="1" t="s">
        <v>380</v>
      </c>
      <c r="M342" s="1">
        <v>2694208</v>
      </c>
      <c r="N342" s="1">
        <v>0.41</v>
      </c>
      <c r="O342" s="1" t="s">
        <v>384</v>
      </c>
      <c r="P342" s="1">
        <v>15.2</v>
      </c>
      <c r="Q342" s="1">
        <v>0</v>
      </c>
      <c r="R342" s="1">
        <v>2209763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>
        <v>851</v>
      </c>
      <c r="C343" s="1">
        <v>5</v>
      </c>
      <c r="D343" s="1">
        <v>5760047</v>
      </c>
      <c r="E343" s="1">
        <v>0</v>
      </c>
      <c r="F343" s="1">
        <v>895</v>
      </c>
      <c r="G343" s="1">
        <v>0</v>
      </c>
      <c r="H343" s="1">
        <v>1</v>
      </c>
      <c r="I343" s="1">
        <v>12.884</v>
      </c>
      <c r="J343" s="1">
        <v>13.32</v>
      </c>
      <c r="K343" s="1">
        <v>0</v>
      </c>
      <c r="L343" s="1" t="s">
        <v>380</v>
      </c>
      <c r="M343" s="1">
        <v>2173030</v>
      </c>
      <c r="N343" s="1">
        <v>0.76</v>
      </c>
      <c r="O343" s="1" t="s">
        <v>384</v>
      </c>
      <c r="P343" s="1">
        <v>13.32</v>
      </c>
      <c r="Q343" s="1">
        <v>0</v>
      </c>
      <c r="R343" s="1">
        <v>1640137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>
        <v>159</v>
      </c>
      <c r="C344" s="1">
        <v>0</v>
      </c>
      <c r="D344" s="1">
        <v>6182148</v>
      </c>
      <c r="E344" s="1">
        <v>0</v>
      </c>
      <c r="F344" s="1">
        <v>945</v>
      </c>
      <c r="G344" s="1">
        <v>0</v>
      </c>
      <c r="H344" s="1">
        <v>1</v>
      </c>
      <c r="I344" s="1">
        <v>13.574</v>
      </c>
      <c r="J344" s="1">
        <v>13.98</v>
      </c>
      <c r="K344" s="1">
        <v>0</v>
      </c>
      <c r="L344" s="1" t="s">
        <v>380</v>
      </c>
      <c r="M344" s="1">
        <v>2373920</v>
      </c>
      <c r="N344" s="1">
        <v>0.38</v>
      </c>
      <c r="O344" s="1" t="s">
        <v>384</v>
      </c>
      <c r="P344" s="1">
        <v>13.98</v>
      </c>
      <c r="Q344" s="1">
        <v>0</v>
      </c>
      <c r="R344" s="1">
        <v>1750625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>
        <v>149</v>
      </c>
      <c r="C345" s="1">
        <v>0</v>
      </c>
      <c r="D345" s="1">
        <v>6737515</v>
      </c>
      <c r="E345" s="1">
        <v>0</v>
      </c>
      <c r="F345" s="1">
        <v>1003</v>
      </c>
      <c r="G345" s="1">
        <v>0</v>
      </c>
      <c r="H345" s="1">
        <v>1</v>
      </c>
      <c r="I345" s="1">
        <v>12.46</v>
      </c>
      <c r="J345" s="1">
        <v>12.87</v>
      </c>
      <c r="K345" s="1">
        <v>0</v>
      </c>
      <c r="L345" s="1" t="s">
        <v>380</v>
      </c>
      <c r="M345" s="1">
        <v>2428986</v>
      </c>
      <c r="N345" s="1">
        <v>0.42</v>
      </c>
      <c r="O345" s="1" t="s">
        <v>384</v>
      </c>
      <c r="P345" s="1">
        <v>12.87</v>
      </c>
      <c r="Q345" s="1">
        <v>0</v>
      </c>
      <c r="R345" s="1">
        <v>1898911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>
        <v>169</v>
      </c>
      <c r="C346" s="1">
        <v>0</v>
      </c>
      <c r="D346" s="1">
        <v>7853589</v>
      </c>
      <c r="E346" s="1">
        <v>0</v>
      </c>
      <c r="F346" s="1">
        <v>1108</v>
      </c>
      <c r="G346" s="1">
        <v>0</v>
      </c>
      <c r="H346" s="1">
        <v>1</v>
      </c>
      <c r="I346" s="1">
        <v>13.997</v>
      </c>
      <c r="J346" s="1">
        <v>14.45</v>
      </c>
      <c r="K346" s="1">
        <v>0</v>
      </c>
      <c r="L346" s="1" t="s">
        <v>380</v>
      </c>
      <c r="M346" s="1">
        <v>2727776</v>
      </c>
      <c r="N346" s="1">
        <v>0.44</v>
      </c>
      <c r="O346" s="1" t="s">
        <v>384</v>
      </c>
      <c r="P346" s="1">
        <v>14.45</v>
      </c>
      <c r="Q346" s="1">
        <v>0</v>
      </c>
      <c r="R346" s="1">
        <v>2191127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>
        <v>425</v>
      </c>
      <c r="C347" s="1">
        <v>8</v>
      </c>
      <c r="D347" s="1">
        <v>6713761</v>
      </c>
      <c r="E347" s="1">
        <v>0</v>
      </c>
      <c r="F347" s="1">
        <v>1008</v>
      </c>
      <c r="G347" s="1">
        <v>0</v>
      </c>
      <c r="H347" s="1">
        <v>1</v>
      </c>
      <c r="I347" s="1">
        <v>13.952</v>
      </c>
      <c r="J347" s="1">
        <v>14.39</v>
      </c>
      <c r="K347" s="1">
        <v>0</v>
      </c>
      <c r="L347" s="1" t="s">
        <v>380</v>
      </c>
      <c r="M347" s="1">
        <v>2484902</v>
      </c>
      <c r="N347" s="1">
        <v>0.6899999999999999</v>
      </c>
      <c r="O347" s="1" t="s">
        <v>384</v>
      </c>
      <c r="P347" s="1">
        <v>14.39</v>
      </c>
      <c r="Q347" s="1">
        <v>0</v>
      </c>
      <c r="R347" s="1">
        <v>1891862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>
        <v>261</v>
      </c>
      <c r="C348" s="1">
        <v>0</v>
      </c>
      <c r="D348" s="1">
        <v>11498268</v>
      </c>
      <c r="E348" s="1">
        <v>0</v>
      </c>
      <c r="F348" s="1">
        <v>1642</v>
      </c>
      <c r="G348" s="1">
        <v>0</v>
      </c>
      <c r="H348" s="1">
        <v>1</v>
      </c>
      <c r="I348" s="1">
        <v>22.207</v>
      </c>
      <c r="J348" s="1">
        <v>23.01</v>
      </c>
      <c r="K348" s="1">
        <v>0</v>
      </c>
      <c r="L348" s="1" t="s">
        <v>380</v>
      </c>
      <c r="M348" s="1">
        <v>4057757</v>
      </c>
      <c r="N348" s="1">
        <v>0.6899999999999999</v>
      </c>
      <c r="O348" s="1" t="s">
        <v>384</v>
      </c>
      <c r="P348" s="1">
        <v>23.01</v>
      </c>
      <c r="Q348" s="1">
        <v>0</v>
      </c>
      <c r="R348" s="1">
        <v>3225827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>
        <v>255</v>
      </c>
      <c r="C349" s="1">
        <v>0</v>
      </c>
      <c r="D349" s="1">
        <v>11895435</v>
      </c>
      <c r="E349" s="1">
        <v>0</v>
      </c>
      <c r="F349" s="1">
        <v>1688</v>
      </c>
      <c r="G349" s="1">
        <v>0</v>
      </c>
      <c r="H349" s="1">
        <v>1</v>
      </c>
      <c r="I349" s="1">
        <v>24.885</v>
      </c>
      <c r="J349" s="1">
        <v>25.73</v>
      </c>
      <c r="K349" s="1">
        <v>0</v>
      </c>
      <c r="L349" s="1" t="s">
        <v>380</v>
      </c>
      <c r="M349" s="1">
        <v>4148011</v>
      </c>
      <c r="N349" s="1">
        <v>0.77</v>
      </c>
      <c r="O349" s="1" t="s">
        <v>384</v>
      </c>
      <c r="P349" s="1">
        <v>25.73</v>
      </c>
      <c r="Q349" s="1">
        <v>0</v>
      </c>
      <c r="R349" s="1">
        <v>3330427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>
        <v>194</v>
      </c>
      <c r="C350" s="1">
        <v>0</v>
      </c>
      <c r="D350" s="1">
        <v>10411292</v>
      </c>
      <c r="E350" s="1">
        <v>0</v>
      </c>
      <c r="F350" s="1">
        <v>1559</v>
      </c>
      <c r="G350" s="1">
        <v>0</v>
      </c>
      <c r="H350" s="1">
        <v>1</v>
      </c>
      <c r="I350" s="1">
        <v>21.853</v>
      </c>
      <c r="J350" s="1">
        <v>22.66</v>
      </c>
      <c r="K350" s="1">
        <v>0</v>
      </c>
      <c r="L350" s="1" t="s">
        <v>380</v>
      </c>
      <c r="M350" s="1">
        <v>3810259</v>
      </c>
      <c r="N350" s="1">
        <v>0.63</v>
      </c>
      <c r="O350" s="1" t="s">
        <v>384</v>
      </c>
      <c r="P350" s="1">
        <v>22.66</v>
      </c>
      <c r="Q350" s="1">
        <v>0</v>
      </c>
      <c r="R350" s="1">
        <v>2940850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>
        <v>216</v>
      </c>
      <c r="C351" s="1">
        <v>0</v>
      </c>
      <c r="D351" s="1">
        <v>11805742</v>
      </c>
      <c r="E351" s="1">
        <v>0</v>
      </c>
      <c r="F351" s="1">
        <v>1707</v>
      </c>
      <c r="G351" s="1">
        <v>0</v>
      </c>
      <c r="H351" s="1">
        <v>1</v>
      </c>
      <c r="I351" s="1">
        <v>21.853</v>
      </c>
      <c r="J351" s="1">
        <v>22.64</v>
      </c>
      <c r="K351" s="1">
        <v>0</v>
      </c>
      <c r="L351" s="1" t="s">
        <v>380</v>
      </c>
      <c r="M351" s="1">
        <v>4190117</v>
      </c>
      <c r="N351" s="1">
        <v>0.74</v>
      </c>
      <c r="O351" s="1" t="s">
        <v>384</v>
      </c>
      <c r="P351" s="1">
        <v>22.64</v>
      </c>
      <c r="Q351" s="1">
        <v>0</v>
      </c>
      <c r="R351" s="1">
        <v>3307114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>
        <v>35491</v>
      </c>
      <c r="C352" s="1">
        <v>1808</v>
      </c>
      <c r="D352" s="1">
        <v>11026276</v>
      </c>
      <c r="E352" s="1">
        <v>0</v>
      </c>
      <c r="F352" s="1">
        <v>1619</v>
      </c>
      <c r="G352" s="1">
        <v>0</v>
      </c>
      <c r="H352" s="1">
        <v>1</v>
      </c>
      <c r="I352" s="1">
        <v>80.598</v>
      </c>
      <c r="J352" s="1">
        <v>81.70999999999999</v>
      </c>
      <c r="K352" s="1">
        <v>12</v>
      </c>
      <c r="L352" s="1" t="s">
        <v>380</v>
      </c>
      <c r="M352" s="1">
        <v>4027476</v>
      </c>
      <c r="N352" s="1">
        <v>58.58</v>
      </c>
      <c r="O352" s="1" t="s">
        <v>384</v>
      </c>
      <c r="P352" s="1">
        <v>81.70999999999999</v>
      </c>
      <c r="Q352" s="1">
        <v>0</v>
      </c>
      <c r="R352" s="1">
        <v>3100472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>
        <v>203</v>
      </c>
      <c r="C353" s="1">
        <v>0</v>
      </c>
      <c r="D353" s="1">
        <v>11895435</v>
      </c>
      <c r="E353" s="1">
        <v>0</v>
      </c>
      <c r="F353" s="1">
        <v>1710</v>
      </c>
      <c r="G353" s="1">
        <v>0</v>
      </c>
      <c r="H353" s="1">
        <v>1</v>
      </c>
      <c r="I353" s="1">
        <v>21.944</v>
      </c>
      <c r="J353" s="1">
        <v>22.77</v>
      </c>
      <c r="K353" s="1">
        <v>0</v>
      </c>
      <c r="L353" s="1" t="s">
        <v>380</v>
      </c>
      <c r="M353" s="1">
        <v>4148011</v>
      </c>
      <c r="N353" s="1">
        <v>0.76</v>
      </c>
      <c r="O353" s="1" t="s">
        <v>384</v>
      </c>
      <c r="P353" s="1">
        <v>22.77</v>
      </c>
      <c r="Q353" s="1">
        <v>0</v>
      </c>
      <c r="R353" s="1">
        <v>3330427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>
        <v>10825</v>
      </c>
      <c r="C354" s="1">
        <v>59</v>
      </c>
      <c r="D354" s="1">
        <v>11412006</v>
      </c>
      <c r="E354" s="1">
        <v>0</v>
      </c>
      <c r="F354" s="1">
        <v>1659</v>
      </c>
      <c r="G354" s="1">
        <v>0</v>
      </c>
      <c r="H354" s="1">
        <v>1</v>
      </c>
      <c r="I354" s="1">
        <v>25.582</v>
      </c>
      <c r="J354" s="1">
        <v>26.44</v>
      </c>
      <c r="K354" s="1">
        <v>0</v>
      </c>
      <c r="L354" s="1" t="s">
        <v>380</v>
      </c>
      <c r="M354" s="1">
        <v>4117058</v>
      </c>
      <c r="N354" s="1">
        <v>2.35</v>
      </c>
      <c r="O354" s="1" t="s">
        <v>384</v>
      </c>
      <c r="P354" s="1">
        <v>26.44</v>
      </c>
      <c r="Q354" s="1">
        <v>0</v>
      </c>
      <c r="R354" s="1">
        <v>3202160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>
        <v>327</v>
      </c>
      <c r="C355" s="1">
        <v>0</v>
      </c>
      <c r="D355" s="1">
        <v>16144954</v>
      </c>
      <c r="E355" s="1">
        <v>0</v>
      </c>
      <c r="F355" s="1">
        <v>2250</v>
      </c>
      <c r="G355" s="1">
        <v>0</v>
      </c>
      <c r="H355" s="1">
        <v>1</v>
      </c>
      <c r="I355" s="1">
        <v>31.095</v>
      </c>
      <c r="J355" s="1">
        <v>32.1</v>
      </c>
      <c r="K355" s="1">
        <v>0</v>
      </c>
      <c r="L355" s="1" t="s">
        <v>380</v>
      </c>
      <c r="M355" s="1">
        <v>5792619</v>
      </c>
      <c r="N355" s="1">
        <v>1.08</v>
      </c>
      <c r="O355" s="1" t="s">
        <v>384</v>
      </c>
      <c r="P355" s="1">
        <v>32.1</v>
      </c>
      <c r="Q355" s="1">
        <v>0</v>
      </c>
      <c r="R355" s="1">
        <v>4541835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>
        <v>263</v>
      </c>
      <c r="C356" s="1">
        <v>0</v>
      </c>
      <c r="D356" s="1">
        <v>15847115</v>
      </c>
      <c r="E356" s="1">
        <v>0</v>
      </c>
      <c r="F356" s="1">
        <v>2256</v>
      </c>
      <c r="G356" s="1">
        <v>0</v>
      </c>
      <c r="H356" s="1">
        <v>1</v>
      </c>
      <c r="I356" s="1">
        <v>31.259</v>
      </c>
      <c r="J356" s="1">
        <v>32.29</v>
      </c>
      <c r="K356" s="1">
        <v>0</v>
      </c>
      <c r="L356" s="1" t="s">
        <v>380</v>
      </c>
      <c r="M356" s="1">
        <v>5843004</v>
      </c>
      <c r="N356" s="1">
        <v>1.07</v>
      </c>
      <c r="O356" s="1" t="s">
        <v>384</v>
      </c>
      <c r="P356" s="1">
        <v>32.29</v>
      </c>
      <c r="Q356" s="1">
        <v>0</v>
      </c>
      <c r="R356" s="1">
        <v>4464086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>
        <v>258</v>
      </c>
      <c r="C357" s="1">
        <v>0</v>
      </c>
      <c r="D357" s="1">
        <v>16039921</v>
      </c>
      <c r="E357" s="1">
        <v>0</v>
      </c>
      <c r="F357" s="1">
        <v>2242</v>
      </c>
      <c r="G357" s="1">
        <v>0</v>
      </c>
      <c r="H357" s="1">
        <v>1</v>
      </c>
      <c r="I357" s="1">
        <v>33.485</v>
      </c>
      <c r="J357" s="1">
        <v>34.49</v>
      </c>
      <c r="K357" s="1">
        <v>0</v>
      </c>
      <c r="L357" s="1" t="s">
        <v>380</v>
      </c>
      <c r="M357" s="1">
        <v>5842992</v>
      </c>
      <c r="N357" s="1">
        <v>1.08</v>
      </c>
      <c r="O357" s="1" t="s">
        <v>384</v>
      </c>
      <c r="P357" s="1">
        <v>34.49</v>
      </c>
      <c r="Q357" s="1">
        <v>0</v>
      </c>
      <c r="R357" s="1">
        <v>4514381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>
        <v>292</v>
      </c>
      <c r="C358" s="1">
        <v>0</v>
      </c>
      <c r="D358" s="1">
        <v>17407362</v>
      </c>
      <c r="E358" s="1">
        <v>0</v>
      </c>
      <c r="F358" s="1">
        <v>2410</v>
      </c>
      <c r="G358" s="1">
        <v>0</v>
      </c>
      <c r="H358" s="1">
        <v>1</v>
      </c>
      <c r="I358" s="1">
        <v>32.985</v>
      </c>
      <c r="J358" s="1">
        <v>34.03</v>
      </c>
      <c r="K358" s="1">
        <v>0</v>
      </c>
      <c r="L358" s="1" t="s">
        <v>380</v>
      </c>
      <c r="M358" s="1">
        <v>6154068</v>
      </c>
      <c r="N358" s="1">
        <v>1.08</v>
      </c>
      <c r="O358" s="1" t="s">
        <v>384</v>
      </c>
      <c r="P358" s="1">
        <v>34.03</v>
      </c>
      <c r="Q358" s="1">
        <v>0</v>
      </c>
      <c r="R358" s="1">
        <v>4872309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>
        <v>268</v>
      </c>
      <c r="C359" s="1">
        <v>0</v>
      </c>
      <c r="D359" s="1">
        <v>16144954</v>
      </c>
      <c r="E359" s="1">
        <v>0</v>
      </c>
      <c r="F359" s="1">
        <v>2263</v>
      </c>
      <c r="G359" s="1">
        <v>0</v>
      </c>
      <c r="H359" s="1">
        <v>1</v>
      </c>
      <c r="I359" s="1">
        <v>31.549</v>
      </c>
      <c r="J359" s="1">
        <v>32.54</v>
      </c>
      <c r="K359" s="1">
        <v>0</v>
      </c>
      <c r="L359" s="1" t="s">
        <v>380</v>
      </c>
      <c r="M359" s="1">
        <v>5792619</v>
      </c>
      <c r="N359" s="1">
        <v>1.08</v>
      </c>
      <c r="O359" s="1" t="s">
        <v>384</v>
      </c>
      <c r="P359" s="1">
        <v>32.54</v>
      </c>
      <c r="Q359" s="1">
        <v>0</v>
      </c>
      <c r="R359" s="1">
        <v>4541835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>
        <v>5989</v>
      </c>
      <c r="C360" s="1">
        <v>46</v>
      </c>
      <c r="D360" s="1">
        <v>15522009</v>
      </c>
      <c r="E360" s="1">
        <v>0</v>
      </c>
      <c r="F360" s="1">
        <v>2212</v>
      </c>
      <c r="G360" s="1">
        <v>0</v>
      </c>
      <c r="H360" s="1">
        <v>1</v>
      </c>
      <c r="I360" s="1">
        <v>34.296</v>
      </c>
      <c r="J360" s="1">
        <v>35.38</v>
      </c>
      <c r="K360" s="1">
        <v>0</v>
      </c>
      <c r="L360" s="1" t="s">
        <v>380</v>
      </c>
      <c r="M360" s="1">
        <v>5737730</v>
      </c>
      <c r="N360" s="1">
        <v>2.27</v>
      </c>
      <c r="O360" s="1" t="s">
        <v>384</v>
      </c>
      <c r="P360" s="1">
        <v>35.38</v>
      </c>
      <c r="Q360" s="1">
        <v>0</v>
      </c>
      <c r="R360" s="1">
        <v>4375679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>
        <v>273</v>
      </c>
      <c r="C361" s="1">
        <v>0</v>
      </c>
      <c r="D361" s="1">
        <v>17899588</v>
      </c>
      <c r="E361" s="1">
        <v>0</v>
      </c>
      <c r="F361" s="1">
        <v>2466</v>
      </c>
      <c r="G361" s="1">
        <v>0</v>
      </c>
      <c r="H361" s="1">
        <v>1</v>
      </c>
      <c r="I361" s="1">
        <v>38.605</v>
      </c>
      <c r="J361" s="1">
        <v>39.72</v>
      </c>
      <c r="K361" s="1">
        <v>0</v>
      </c>
      <c r="L361" s="1" t="s">
        <v>380</v>
      </c>
      <c r="M361" s="1">
        <v>6266357</v>
      </c>
      <c r="N361" s="1">
        <v>1.17</v>
      </c>
      <c r="O361" s="1" t="s">
        <v>384</v>
      </c>
      <c r="P361" s="1">
        <v>39.72</v>
      </c>
      <c r="Q361" s="1">
        <v>0</v>
      </c>
      <c r="R361" s="1">
        <v>5001833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>
        <v>348</v>
      </c>
      <c r="C362" s="1">
        <v>0</v>
      </c>
      <c r="D362" s="1">
        <v>23009658</v>
      </c>
      <c r="E362" s="1">
        <v>0</v>
      </c>
      <c r="F362" s="1">
        <v>3226</v>
      </c>
      <c r="G362" s="1">
        <v>0</v>
      </c>
      <c r="H362" s="1">
        <v>1</v>
      </c>
      <c r="I362" s="1">
        <v>44.737</v>
      </c>
      <c r="J362" s="1">
        <v>46.13</v>
      </c>
      <c r="K362" s="1">
        <v>0</v>
      </c>
      <c r="L362" s="1" t="s">
        <v>380</v>
      </c>
      <c r="M362" s="1">
        <v>8251057</v>
      </c>
      <c r="N362" s="1">
        <v>1.55</v>
      </c>
      <c r="O362" s="1" t="s">
        <v>384</v>
      </c>
      <c r="P362" s="1">
        <v>46.13</v>
      </c>
      <c r="Q362" s="1">
        <v>0</v>
      </c>
      <c r="R362" s="1">
        <v>6457709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37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 t="s">
        <v>391</v>
      </c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389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2" t="s">
        <v>389</v>
      </c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385</v>
      </c>
      <c r="Q2" s="1" t="s">
        <v>386</v>
      </c>
      <c r="R2" s="1" t="s">
        <v>387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385</v>
      </c>
      <c r="AF2" s="1" t="s">
        <v>386</v>
      </c>
      <c r="AG2" s="1" t="s">
        <v>387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385</v>
      </c>
      <c r="AU2" s="1" t="s">
        <v>386</v>
      </c>
      <c r="AV2" s="1" t="s">
        <v>387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385</v>
      </c>
      <c r="BJ2" s="1" t="s">
        <v>386</v>
      </c>
      <c r="BK2" s="1" t="s">
        <v>387</v>
      </c>
    </row>
    <row r="3" spans="1:6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/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/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/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/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/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/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/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/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/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/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/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/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/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/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 cm="1">
        <f t="array" ref="R10">_xlfn.SWITCH($A$2,"average", AVERAGE(Instances!R10:Instances!R10),"median", MEDIAN(Instances!R10:Instances!R10),"min", MIN(Instances!R10:Instances!R10),"max", MAX(Instances!R10:Instances!R10),"diff", MAX(Instances!R10:Instances!R10)-MIN(Instances!R10:Instances!R10))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/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/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/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/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 cm="1">
        <f t="array" ref="R12">_xlfn.SWITCH($A$2,"average", AVERAGE(Instances!R12:Instances!R12),"median", MEDIAN(Instances!R12:Instances!R12),"min", MIN(Instances!R12:Instances!R12),"max", MAX(Instances!R12:Instances!R12),"diff", MAX(Instances!R12:Instances!R12)-MIN(Instances!R12:Instances!R12))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/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/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 cm="1">
        <f t="array" ref="R13">_xlfn.SWITCH($A$2,"average", AVERAGE(Instances!R13:Instances!R13),"median", MEDIAN(Instances!R13:Instances!R13),"min", MIN(Instances!R13:Instances!R13),"max", MAX(Instances!R13:Instances!R13),"diff", MAX(Instances!R13:Instances!R13)-MIN(Instances!R13:Instances!R13))</f>
        <v>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/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/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 cm="1">
        <f t="array" ref="R14">_xlfn.SWITCH($A$2,"average", AVERAGE(Instances!R14:Instances!R14),"median", MEDIAN(Instances!R14:Instances!R14),"min", MIN(Instances!R14:Instances!R14),"max", MAX(Instances!R14:Instances!R14),"diff", MAX(Instances!R14:Instances!R14)-MIN(Instances!R14:Instances!R14))</f>
        <v>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/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/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 cm="1">
        <f t="array" ref="R15">_xlfn.SWITCH($A$2,"average", AVERAGE(Instances!R15:Instances!R15),"median", MEDIAN(Instances!R15:Instances!R15),"min", MIN(Instances!R15:Instances!R15),"max", MAX(Instances!R15:Instances!R15),"diff", MAX(Instances!R15:Instances!R15)-MIN(Instances!R15:Instances!R15))</f>
        <v>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/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/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 cm="1">
        <f t="array" ref="R16">_xlfn.SWITCH($A$2,"average", AVERAGE(Instances!R16:Instances!R16),"median", MEDIAN(Instances!R16:Instances!R16),"min", MIN(Instances!R16:Instances!R16),"max", MAX(Instances!R16:Instances!R16),"diff", MAX(Instances!R16:Instances!R16)-MIN(Instances!R16:Instances!R16))</f>
        <v>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/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/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 cm="1">
        <f t="array" ref="R17">_xlfn.SWITCH($A$2,"average", AVERAGE(Instances!R17:Instances!R17),"median", MEDIAN(Instances!R17:Instances!R17),"min", MIN(Instances!R17:Instances!R17),"max", MAX(Instances!R17:Instances!R17),"diff", MAX(Instances!R17:Instances!R17)-MIN(Instances!R17:Instances!R17))</f>
        <v>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/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/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 cm="1">
        <f t="array" ref="R18">_xlfn.SWITCH($A$2,"average", AVERAGE(Instances!R18:Instances!R18),"median", MEDIAN(Instances!R18:Instances!R18),"min", MIN(Instances!R18:Instances!R18),"max", MAX(Instances!R18:Instances!R18),"diff", MAX(Instances!R18:Instances!R18)-MIN(Instances!R18:Instances!R18))</f>
        <v>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/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/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 cm="1">
        <f t="array" ref="R19">_xlfn.SWITCH($A$2,"average", AVERAGE(Instances!R19:Instances!R19),"median", MEDIAN(Instances!R19:Instances!R19),"min", MIN(Instances!R19:Instances!R19),"max", MAX(Instances!R19:Instances!R19),"diff", MAX(Instances!R19:Instances!R19)-MIN(Instances!R19:Instances!R19))</f>
        <v>0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/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/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 cm="1">
        <f t="array" ref="R20">_xlfn.SWITCH($A$2,"average", AVERAGE(Instances!R20:Instances!R20),"median", MEDIAN(Instances!R20:Instances!R20),"min", MIN(Instances!R20:Instances!R20),"max", MAX(Instances!R20:Instances!R20),"diff", MAX(Instances!R20:Instances!R20)-MIN(Instances!R20:Instances!R20))</f>
        <v>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/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/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 cm="1">
        <f t="array" ref="R21">_xlfn.SWITCH($A$2,"average", AVERAGE(Instances!R21:Instances!R21),"median", MEDIAN(Instances!R21:Instances!R21),"min", MIN(Instances!R21:Instances!R21),"max", MAX(Instances!R21:Instances!R21),"diff", MAX(Instances!R21:Instances!R21)-MIN(Instances!R21:Instances!R21))</f>
        <v>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/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/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 cm="1">
        <f t="array" ref="R22">_xlfn.SWITCH($A$2,"average", AVERAGE(Instances!R22:Instances!R22),"median", MEDIAN(Instances!R22:Instances!R22),"min", MIN(Instances!R22:Instances!R22),"max", MAX(Instances!R22:Instances!R22),"diff", MAX(Instances!R22:Instances!R22)-MIN(Instances!R22:Instances!R22))</f>
        <v>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/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/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 cm="1">
        <f t="array" ref="R23">_xlfn.SWITCH($A$2,"average", AVERAGE(Instances!R23:Instances!R23),"median", MEDIAN(Instances!R23:Instances!R23),"min", MIN(Instances!R23:Instances!R23),"max", MAX(Instances!R23:Instances!R23),"diff", MAX(Instances!R23:Instances!R23)-MIN(Instances!R23:Instances!R23))</f>
        <v>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/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/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 cm="1">
        <f t="array" ref="R24">_xlfn.SWITCH($A$2,"average", AVERAGE(Instances!R24:Instances!R24),"median", MEDIAN(Instances!R24:Instances!R24),"min", MIN(Instances!R24:Instances!R24),"max", MAX(Instances!R24:Instances!R24),"diff", MAX(Instances!R24:Instances!R24)-MIN(Instances!R24:Instances!R24))</f>
        <v>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/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/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 cm="1">
        <f t="array" ref="R25">_xlfn.SWITCH($A$2,"average", AVERAGE(Instances!R25:Instances!R25),"median", MEDIAN(Instances!R25:Instances!R25),"min", MIN(Instances!R25:Instances!R25),"max", MAX(Instances!R25:Instances!R25),"diff", MAX(Instances!R25:Instances!R25)-MIN(Instances!R25:Instances!R25))</f>
        <v>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/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/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 cm="1">
        <f t="array" ref="R26">_xlfn.SWITCH($A$2,"average", AVERAGE(Instances!R26:Instances!R26),"median", MEDIAN(Instances!R26:Instances!R26),"min", MIN(Instances!R26:Instances!R26),"max", MAX(Instances!R26:Instances!R26),"diff", MAX(Instances!R26:Instances!R26)-MIN(Instances!R26:Instances!R26))</f>
        <v>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/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/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 cm="1">
        <f t="array" ref="R27">_xlfn.SWITCH($A$2,"average", AVERAGE(Instances!R27:Instances!R27),"median", MEDIAN(Instances!R27:Instances!R27),"min", MIN(Instances!R27:Instances!R27),"max", MAX(Instances!R27:Instances!R27),"diff", MAX(Instances!R27:Instances!R27)-MIN(Instances!R27:Instances!R27))</f>
        <v>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/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/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 cm="1">
        <f t="array" ref="R28">_xlfn.SWITCH($A$2,"average", AVERAGE(Instances!R28:Instances!R28),"median", MEDIAN(Instances!R28:Instances!R28),"min", MIN(Instances!R28:Instances!R28),"max", MAX(Instances!R28:Instances!R28),"diff", MAX(Instances!R28:Instances!R28)-MIN(Instances!R28:Instances!R28))</f>
        <v>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/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/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/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/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/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/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 cm="1">
        <f t="array" ref="R31">_xlfn.SWITCH($A$2,"average", AVERAGE(Instances!R31:Instances!R31),"median", MEDIAN(Instances!R31:Instances!R31),"min", MIN(Instances!R31:Instances!R31),"max", MAX(Instances!R31:Instances!R31),"diff", MAX(Instances!R31:Instances!R31)-MIN(Instances!R31:Instances!R31))</f>
        <v>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/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/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 cm="1">
        <f t="array" ref="K33">_xlfn.SWITCH($A$2,"average", AVERAGE(Instances!K33:Instances!K33),"median", MEDIAN(Instances!K33:Instances!K33),"min", MIN(Instances!K33:Instances!K33),"max", MAX(Instances!K33:Instances!K33),"diff", MAX(Instances!K33:Instances!K33)-MIN(Instances!K33:Instances!K33))</f>
        <v>0</v>
      </c>
      <c r="L33" s="1"/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/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 cm="1">
        <f t="array" ref="R33">_xlfn.SWITCH($A$2,"average", AVERAGE(Instances!R33:Instances!R33),"median", MEDIAN(Instances!R33:Instances!R33),"min", MIN(Instances!R33:Instances!R33),"max", MAX(Instances!R33:Instances!R33),"diff", MAX(Instances!R33:Instances!R33)-MIN(Instances!R33:Instances!R33))</f>
        <v>0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 cm="1">
        <f t="array" ref="K34">_xlfn.SWITCH($A$2,"average", AVERAGE(Instances!K34:Instances!K34),"median", MEDIAN(Instances!K34:Instances!K34),"min", MIN(Instances!K34:Instances!K34),"max", MAX(Instances!K34:Instances!K34),"diff", MAX(Instances!K34:Instances!K34)-MIN(Instances!K34:Instances!K34))</f>
        <v>0</v>
      </c>
      <c r="L34" s="1"/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/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 cm="1">
        <f t="array" ref="R34">_xlfn.SWITCH($A$2,"average", AVERAGE(Instances!R34:Instances!R34),"median", MEDIAN(Instances!R34:Instances!R34),"min", MIN(Instances!R34:Instances!R34),"max", MAX(Instances!R34:Instances!R34),"diff", MAX(Instances!R34:Instances!R34)-MIN(Instances!R34:Instances!R34))</f>
        <v>0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 cm="1">
        <f t="array" ref="K35">_xlfn.SWITCH($A$2,"average", AVERAGE(Instances!K35:Instances!K35),"median", MEDIAN(Instances!K35:Instances!K35),"min", MIN(Instances!K35:Instances!K35),"max", MAX(Instances!K35:Instances!K35),"diff", MAX(Instances!K35:Instances!K35)-MIN(Instances!K35:Instances!K35))</f>
        <v>0</v>
      </c>
      <c r="L35" s="1"/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/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 cm="1">
        <f t="array" ref="R35">_xlfn.SWITCH($A$2,"average", AVERAGE(Instances!R35:Instances!R35),"median", MEDIAN(Instances!R35:Instances!R35),"min", MIN(Instances!R35:Instances!R35),"max", MAX(Instances!R35:Instances!R35),"diff", MAX(Instances!R35:Instances!R35)-MIN(Instances!R35:Instances!R35))</f>
        <v>0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 cm="1">
        <f t="array" ref="K36">_xlfn.SWITCH($A$2,"average", AVERAGE(Instances!K36:Instances!K36),"median", MEDIAN(Instances!K36:Instances!K36),"min", MIN(Instances!K36:Instances!K36),"max", MAX(Instances!K36:Instances!K36),"diff", MAX(Instances!K36:Instances!K36)-MIN(Instances!K36:Instances!K36))</f>
        <v>0</v>
      </c>
      <c r="L36" s="1"/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/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 cm="1">
        <f t="array" ref="R36">_xlfn.SWITCH($A$2,"average", AVERAGE(Instances!R36:Instances!R36),"median", MEDIAN(Instances!R36:Instances!R36),"min", MIN(Instances!R36:Instances!R36),"max", MAX(Instances!R36:Instances!R36),"diff", MAX(Instances!R36:Instances!R36)-MIN(Instances!R36:Instances!R36))</f>
        <v>0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 cm="1">
        <f t="array" ref="K37">_xlfn.SWITCH($A$2,"average", AVERAGE(Instances!K37:Instances!K37),"median", MEDIAN(Instances!K37:Instances!K37),"min", MIN(Instances!K37:Instances!K37),"max", MAX(Instances!K37:Instances!K37),"diff", MAX(Instances!K37:Instances!K37)-MIN(Instances!K37:Instances!K37))</f>
        <v>0</v>
      </c>
      <c r="L37" s="1"/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/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 cm="1">
        <f t="array" ref="R37">_xlfn.SWITCH($A$2,"average", AVERAGE(Instances!R37:Instances!R37),"median", MEDIAN(Instances!R37:Instances!R37),"min", MIN(Instances!R37:Instances!R37),"max", MAX(Instances!R37:Instances!R37),"diff", MAX(Instances!R37:Instances!R37)-MIN(Instances!R37:Instances!R37))</f>
        <v>0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 cm="1">
        <f t="array" ref="K38">_xlfn.SWITCH($A$2,"average", AVERAGE(Instances!K38:Instances!K38),"median", MEDIAN(Instances!K38:Instances!K38),"min", MIN(Instances!K38:Instances!K38),"max", MAX(Instances!K38:Instances!K38),"diff", MAX(Instances!K38:Instances!K38)-MIN(Instances!K38:Instances!K38))</f>
        <v>0</v>
      </c>
      <c r="L38" s="1"/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/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 cm="1">
        <f t="array" ref="R38">_xlfn.SWITCH($A$2,"average", AVERAGE(Instances!R38:Instances!R38),"median", MEDIAN(Instances!R38:Instances!R38),"min", MIN(Instances!R38:Instances!R38),"max", MAX(Instances!R38:Instances!R38),"diff", MAX(Instances!R38:Instances!R38)-MIN(Instances!R38:Instances!R38))</f>
        <v>0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 cm="1">
        <f t="array" ref="J39">_xlfn.SWITCH($A$2,"average", AVERAGE(Instances!J39:Instances!J39),"median", MEDIAN(Instances!J39:Instances!J39),"min", MIN(Instances!J39:Instances!J39),"max", MAX(Instances!J39:Instances!J39),"diff", MAX(Instances!J39:Instances!J39)-MIN(Instances!J39:Instances!J39))</f>
        <v>0</v>
      </c>
      <c r="K39" s="1" cm="1">
        <f t="array" ref="K39">_xlfn.SWITCH($A$2,"average", AVERAGE(Instances!K39:Instances!K39),"median", MEDIAN(Instances!K39:Instances!K39),"min", MIN(Instances!K39:Instances!K39),"max", MAX(Instances!K39:Instances!K39),"diff", MAX(Instances!K39:Instances!K39)-MIN(Instances!K39:Instances!K39))</f>
        <v>0</v>
      </c>
      <c r="L39" s="1"/>
      <c r="M39" s="1" cm="1">
        <f t="array" ref="M39">_xlfn.SWITCH($A$2,"average", AVERAGE(Instances!M39:Instances!M39),"median", MEDIAN(Instances!M39:Instances!M39),"min", MIN(Instances!M39:Instances!M39),"max", MAX(Instances!M39:Instances!M39),"diff", MAX(Instances!M39:Instances!M39)-MIN(Instances!M39:Instances!M39))</f>
        <v>0</v>
      </c>
      <c r="N39" s="1" cm="1">
        <f t="array" ref="N39">_xlfn.SWITCH($A$2,"average", AVERAGE(Instances!N39:Instances!N39),"median", MEDIAN(Instances!N39:Instances!N39),"min", MIN(Instances!N39:Instances!N39),"max", MAX(Instances!N39:Instances!N39),"diff", MAX(Instances!N39:Instances!N39)-MIN(Instances!N39:Instances!N39))</f>
        <v>0</v>
      </c>
      <c r="O39" s="1"/>
      <c r="P39" s="1" cm="1">
        <f t="array" ref="P39">_xlfn.SWITCH($A$2,"average", AVERAGE(Instances!P39:Instances!P39),"median", MEDIAN(Instances!P39:Instances!P39),"min", MIN(Instances!P39:Instances!P39),"max", MAX(Instances!P39:Instances!P39),"diff", MAX(Instances!P39:Instances!P39)-MIN(Instances!P39:Instances!P39))</f>
        <v>0</v>
      </c>
      <c r="Q39" s="1" cm="1">
        <f t="array" ref="Q39">_xlfn.SWITCH($A$2,"average", AVERAGE(Instances!Q39:Instances!Q39),"median", MEDIAN(Instances!Q39:Instances!Q39),"min", MIN(Instances!Q39:Instances!Q39),"max", MAX(Instances!Q39:Instances!Q39),"diff", MAX(Instances!Q39:Instances!Q39)-MIN(Instances!Q39:Instances!Q39))</f>
        <v>0</v>
      </c>
      <c r="R39" s="1" cm="1">
        <f t="array" ref="R39">_xlfn.SWITCH($A$2,"average", AVERAGE(Instances!R39:Instances!R39),"median", MEDIAN(Instances!R39:Instances!R39),"min", MIN(Instances!R39:Instances!R39),"max", MAX(Instances!R39:Instances!R39),"diff", MAX(Instances!R39:Instances!R39)-MIN(Instances!R39:Instances!R39))</f>
        <v>0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 cm="1">
        <f t="array" ref="J40">_xlfn.SWITCH($A$2,"average", AVERAGE(Instances!J40:Instances!J40),"median", MEDIAN(Instances!J40:Instances!J40),"min", MIN(Instances!J40:Instances!J40),"max", MAX(Instances!J40:Instances!J40),"diff", MAX(Instances!J40:Instances!J40)-MIN(Instances!J40:Instances!J40))</f>
        <v>0</v>
      </c>
      <c r="K40" s="1" cm="1">
        <f t="array" ref="K40">_xlfn.SWITCH($A$2,"average", AVERAGE(Instances!K40:Instances!K40),"median", MEDIAN(Instances!K40:Instances!K40),"min", MIN(Instances!K40:Instances!K40),"max", MAX(Instances!K40:Instances!K40),"diff", MAX(Instances!K40:Instances!K40)-MIN(Instances!K40:Instances!K40))</f>
        <v>0</v>
      </c>
      <c r="L40" s="1"/>
      <c r="M40" s="1" cm="1">
        <f t="array" ref="M40">_xlfn.SWITCH($A$2,"average", AVERAGE(Instances!M40:Instances!M40),"median", MEDIAN(Instances!M40:Instances!M40),"min", MIN(Instances!M40:Instances!M40),"max", MAX(Instances!M40:Instances!M40),"diff", MAX(Instances!M40:Instances!M40)-MIN(Instances!M40:Instances!M40))</f>
        <v>0</v>
      </c>
      <c r="N40" s="1" cm="1">
        <f t="array" ref="N40">_xlfn.SWITCH($A$2,"average", AVERAGE(Instances!N40:Instances!N40),"median", MEDIAN(Instances!N40:Instances!N40),"min", MIN(Instances!N40:Instances!N40),"max", MAX(Instances!N40:Instances!N40),"diff", MAX(Instances!N40:Instances!N40)-MIN(Instances!N40:Instances!N40))</f>
        <v>0</v>
      </c>
      <c r="O40" s="1"/>
      <c r="P40" s="1" cm="1">
        <f t="array" ref="P40">_xlfn.SWITCH($A$2,"average", AVERAGE(Instances!P40:Instances!P40),"median", MEDIAN(Instances!P40:Instances!P40),"min", MIN(Instances!P40:Instances!P40),"max", MAX(Instances!P40:Instances!P40),"diff", MAX(Instances!P40:Instances!P40)-MIN(Instances!P40:Instances!P40))</f>
        <v>0</v>
      </c>
      <c r="Q40" s="1" cm="1">
        <f t="array" ref="Q40">_xlfn.SWITCH($A$2,"average", AVERAGE(Instances!Q40:Instances!Q40),"median", MEDIAN(Instances!Q40:Instances!Q40),"min", MIN(Instances!Q40:Instances!Q40),"max", MAX(Instances!Q40:Instances!Q40),"diff", MAX(Instances!Q40:Instances!Q40)-MIN(Instances!Q40:Instances!Q40))</f>
        <v>0</v>
      </c>
      <c r="R40" s="1" cm="1">
        <f t="array" ref="R40">_xlfn.SWITCH($A$2,"average", AVERAGE(Instances!R40:Instances!R40),"median", MEDIAN(Instances!R40:Instances!R40),"min", MIN(Instances!R40:Instances!R40),"max", MAX(Instances!R40:Instances!R40),"diff", MAX(Instances!R40:Instances!R40)-MIN(Instances!R40:Instances!R40))</f>
        <v>0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 cm="1">
        <f t="array" ref="J41">_xlfn.SWITCH($A$2,"average", AVERAGE(Instances!J41:Instances!J41),"median", MEDIAN(Instances!J41:Instances!J41),"min", MIN(Instances!J41:Instances!J41),"max", MAX(Instances!J41:Instances!J41),"diff", MAX(Instances!J41:Instances!J41)-MIN(Instances!J41:Instances!J41))</f>
        <v>0</v>
      </c>
      <c r="K41" s="1" cm="1">
        <f t="array" ref="K41">_xlfn.SWITCH($A$2,"average", AVERAGE(Instances!K41:Instances!K41),"median", MEDIAN(Instances!K41:Instances!K41),"min", MIN(Instances!K41:Instances!K41),"max", MAX(Instances!K41:Instances!K41),"diff", MAX(Instances!K41:Instances!K41)-MIN(Instances!K41:Instances!K41))</f>
        <v>0</v>
      </c>
      <c r="L41" s="1"/>
      <c r="M41" s="1" cm="1">
        <f t="array" ref="M41">_xlfn.SWITCH($A$2,"average", AVERAGE(Instances!M41:Instances!M41),"median", MEDIAN(Instances!M41:Instances!M41),"min", MIN(Instances!M41:Instances!M41),"max", MAX(Instances!M41:Instances!M41),"diff", MAX(Instances!M41:Instances!M41)-MIN(Instances!M41:Instances!M41))</f>
        <v>0</v>
      </c>
      <c r="N41" s="1" cm="1">
        <f t="array" ref="N41">_xlfn.SWITCH($A$2,"average", AVERAGE(Instances!N41:Instances!N41),"median", MEDIAN(Instances!N41:Instances!N41),"min", MIN(Instances!N41:Instances!N41),"max", MAX(Instances!N41:Instances!N41),"diff", MAX(Instances!N41:Instances!N41)-MIN(Instances!N41:Instances!N41))</f>
        <v>0</v>
      </c>
      <c r="O41" s="1"/>
      <c r="P41" s="1" cm="1">
        <f t="array" ref="P41">_xlfn.SWITCH($A$2,"average", AVERAGE(Instances!P41:Instances!P41),"median", MEDIAN(Instances!P41:Instances!P41),"min", MIN(Instances!P41:Instances!P41),"max", MAX(Instances!P41:Instances!P41),"diff", MAX(Instances!P41:Instances!P41)-MIN(Instances!P41:Instances!P41))</f>
        <v>0</v>
      </c>
      <c r="Q41" s="1" cm="1">
        <f t="array" ref="Q41">_xlfn.SWITCH($A$2,"average", AVERAGE(Instances!Q41:Instances!Q41),"median", MEDIAN(Instances!Q41:Instances!Q41),"min", MIN(Instances!Q41:Instances!Q41),"max", MAX(Instances!Q41:Instances!Q41),"diff", MAX(Instances!Q41:Instances!Q41)-MIN(Instances!Q41:Instances!Q41))</f>
        <v>0</v>
      </c>
      <c r="R41" s="1" cm="1">
        <f t="array" ref="R41">_xlfn.SWITCH($A$2,"average", AVERAGE(Instances!R41:Instances!R41),"median", MEDIAN(Instances!R41:Instances!R41),"min", MIN(Instances!R41:Instances!R41),"max", MAX(Instances!R41:Instances!R41),"diff", MAX(Instances!R41:Instances!R41)-MIN(Instances!R41:Instances!R41))</f>
        <v>0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 cm="1">
        <f t="array" ref="J42">_xlfn.SWITCH($A$2,"average", AVERAGE(Instances!J42:Instances!J42),"median", MEDIAN(Instances!J42:Instances!J42),"min", MIN(Instances!J42:Instances!J42),"max", MAX(Instances!J42:Instances!J42),"diff", MAX(Instances!J42:Instances!J42)-MIN(Instances!J42:Instances!J42))</f>
        <v>0</v>
      </c>
      <c r="K42" s="1" cm="1">
        <f t="array" ref="K42">_xlfn.SWITCH($A$2,"average", AVERAGE(Instances!K42:Instances!K42),"median", MEDIAN(Instances!K42:Instances!K42),"min", MIN(Instances!K42:Instances!K42),"max", MAX(Instances!K42:Instances!K42),"diff", MAX(Instances!K42:Instances!K42)-MIN(Instances!K42:Instances!K42))</f>
        <v>0</v>
      </c>
      <c r="L42" s="1"/>
      <c r="M42" s="1" cm="1">
        <f t="array" ref="M42">_xlfn.SWITCH($A$2,"average", AVERAGE(Instances!M42:Instances!M42),"median", MEDIAN(Instances!M42:Instances!M42),"min", MIN(Instances!M42:Instances!M42),"max", MAX(Instances!M42:Instances!M42),"diff", MAX(Instances!M42:Instances!M42)-MIN(Instances!M42:Instances!M42))</f>
        <v>0</v>
      </c>
      <c r="N42" s="1" cm="1">
        <f t="array" ref="N42">_xlfn.SWITCH($A$2,"average", AVERAGE(Instances!N42:Instances!N42),"median", MEDIAN(Instances!N42:Instances!N42),"min", MIN(Instances!N42:Instances!N42),"max", MAX(Instances!N42:Instances!N42),"diff", MAX(Instances!N42:Instances!N42)-MIN(Instances!N42:Instances!N42))</f>
        <v>0</v>
      </c>
      <c r="O42" s="1"/>
      <c r="P42" s="1" cm="1">
        <f t="array" ref="P42">_xlfn.SWITCH($A$2,"average", AVERAGE(Instances!P42:Instances!P42),"median", MEDIAN(Instances!P42:Instances!P42),"min", MIN(Instances!P42:Instances!P42),"max", MAX(Instances!P42:Instances!P42),"diff", MAX(Instances!P42:Instances!P42)-MIN(Instances!P42:Instances!P42))</f>
        <v>0</v>
      </c>
      <c r="Q42" s="1" cm="1">
        <f t="array" ref="Q42">_xlfn.SWITCH($A$2,"average", AVERAGE(Instances!Q42:Instances!Q42),"median", MEDIAN(Instances!Q42:Instances!Q42),"min", MIN(Instances!Q42:Instances!Q42),"max", MAX(Instances!Q42:Instances!Q42),"diff", MAX(Instances!Q42:Instances!Q42)-MIN(Instances!Q42:Instances!Q42))</f>
        <v>0</v>
      </c>
      <c r="R42" s="1" cm="1">
        <f t="array" ref="R42">_xlfn.SWITCH($A$2,"average", AVERAGE(Instances!R42:Instances!R42),"median", MEDIAN(Instances!R42:Instances!R42),"min", MIN(Instances!R42:Instances!R42),"max", MAX(Instances!R42:Instances!R42),"diff", MAX(Instances!R42:Instances!R42)-MIN(Instances!R42:Instances!R42))</f>
        <v>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 cm="1">
        <f t="array" ref="J43">_xlfn.SWITCH($A$2,"average", AVERAGE(Instances!J43:Instances!J43),"median", MEDIAN(Instances!J43:Instances!J43),"min", MIN(Instances!J43:Instances!J43),"max", MAX(Instances!J43:Instances!J43),"diff", MAX(Instances!J43:Instances!J43)-MIN(Instances!J43:Instances!J43))</f>
        <v>0</v>
      </c>
      <c r="K43" s="1" cm="1">
        <f t="array" ref="K43">_xlfn.SWITCH($A$2,"average", AVERAGE(Instances!K43:Instances!K43),"median", MEDIAN(Instances!K43:Instances!K43),"min", MIN(Instances!K43:Instances!K43),"max", MAX(Instances!K43:Instances!K43),"diff", MAX(Instances!K43:Instances!K43)-MIN(Instances!K43:Instances!K43))</f>
        <v>0</v>
      </c>
      <c r="L43" s="1"/>
      <c r="M43" s="1" cm="1">
        <f t="array" ref="M43">_xlfn.SWITCH($A$2,"average", AVERAGE(Instances!M43:Instances!M43),"median", MEDIAN(Instances!M43:Instances!M43),"min", MIN(Instances!M43:Instances!M43),"max", MAX(Instances!M43:Instances!M43),"diff", MAX(Instances!M43:Instances!M43)-MIN(Instances!M43:Instances!M43))</f>
        <v>0</v>
      </c>
      <c r="N43" s="1" cm="1">
        <f t="array" ref="N43">_xlfn.SWITCH($A$2,"average", AVERAGE(Instances!N43:Instances!N43),"median", MEDIAN(Instances!N43:Instances!N43),"min", MIN(Instances!N43:Instances!N43),"max", MAX(Instances!N43:Instances!N43),"diff", MAX(Instances!N43:Instances!N43)-MIN(Instances!N43:Instances!N43))</f>
        <v>0</v>
      </c>
      <c r="O43" s="1"/>
      <c r="P43" s="1" cm="1">
        <f t="array" ref="P43">_xlfn.SWITCH($A$2,"average", AVERAGE(Instances!P43:Instances!P43),"median", MEDIAN(Instances!P43:Instances!P43),"min", MIN(Instances!P43:Instances!P43),"max", MAX(Instances!P43:Instances!P43),"diff", MAX(Instances!P43:Instances!P43)-MIN(Instances!P43:Instances!P43))</f>
        <v>0</v>
      </c>
      <c r="Q43" s="1" cm="1">
        <f t="array" ref="Q43">_xlfn.SWITCH($A$2,"average", AVERAGE(Instances!Q43:Instances!Q43),"median", MEDIAN(Instances!Q43:Instances!Q43),"min", MIN(Instances!Q43:Instances!Q43),"max", MAX(Instances!Q43:Instances!Q43),"diff", MAX(Instances!Q43:Instances!Q43)-MIN(Instances!Q43:Instances!Q43))</f>
        <v>0</v>
      </c>
      <c r="R43" s="1" cm="1">
        <f t="array" ref="R43">_xlfn.SWITCH($A$2,"average", AVERAGE(Instances!R43:Instances!R43),"median", MEDIAN(Instances!R43:Instances!R43),"min", MIN(Instances!R43:Instances!R43),"max", MAX(Instances!R43:Instances!R43),"diff", MAX(Instances!R43:Instances!R43)-MIN(Instances!R43:Instances!R43))</f>
        <v>0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 cm="1">
        <f t="array" ref="J44">_xlfn.SWITCH($A$2,"average", AVERAGE(Instances!J44:Instances!J44),"median", MEDIAN(Instances!J44:Instances!J44),"min", MIN(Instances!J44:Instances!J44),"max", MAX(Instances!J44:Instances!J44),"diff", MAX(Instances!J44:Instances!J44)-MIN(Instances!J44:Instances!J44))</f>
        <v>0</v>
      </c>
      <c r="K44" s="1" cm="1">
        <f t="array" ref="K44">_xlfn.SWITCH($A$2,"average", AVERAGE(Instances!K44:Instances!K44),"median", MEDIAN(Instances!K44:Instances!K44),"min", MIN(Instances!K44:Instances!K44),"max", MAX(Instances!K44:Instances!K44),"diff", MAX(Instances!K44:Instances!K44)-MIN(Instances!K44:Instances!K44))</f>
        <v>0</v>
      </c>
      <c r="L44" s="1"/>
      <c r="M44" s="1" cm="1">
        <f t="array" ref="M44">_xlfn.SWITCH($A$2,"average", AVERAGE(Instances!M44:Instances!M44),"median", MEDIAN(Instances!M44:Instances!M44),"min", MIN(Instances!M44:Instances!M44),"max", MAX(Instances!M44:Instances!M44),"diff", MAX(Instances!M44:Instances!M44)-MIN(Instances!M44:Instances!M44))</f>
        <v>0</v>
      </c>
      <c r="N44" s="1" cm="1">
        <f t="array" ref="N44">_xlfn.SWITCH($A$2,"average", AVERAGE(Instances!N44:Instances!N44),"median", MEDIAN(Instances!N44:Instances!N44),"min", MIN(Instances!N44:Instances!N44),"max", MAX(Instances!N44:Instances!N44),"diff", MAX(Instances!N44:Instances!N44)-MIN(Instances!N44:Instances!N44))</f>
        <v>0</v>
      </c>
      <c r="O44" s="1"/>
      <c r="P44" s="1" cm="1">
        <f t="array" ref="P44">_xlfn.SWITCH($A$2,"average", AVERAGE(Instances!P44:Instances!P44),"median", MEDIAN(Instances!P44:Instances!P44),"min", MIN(Instances!P44:Instances!P44),"max", MAX(Instances!P44:Instances!P44),"diff", MAX(Instances!P44:Instances!P44)-MIN(Instances!P44:Instances!P44))</f>
        <v>0</v>
      </c>
      <c r="Q44" s="1" cm="1">
        <f t="array" ref="Q44">_xlfn.SWITCH($A$2,"average", AVERAGE(Instances!Q44:Instances!Q44),"median", MEDIAN(Instances!Q44:Instances!Q44),"min", MIN(Instances!Q44:Instances!Q44),"max", MAX(Instances!Q44:Instances!Q44),"diff", MAX(Instances!Q44:Instances!Q44)-MIN(Instances!Q44:Instances!Q44))</f>
        <v>0</v>
      </c>
      <c r="R44" s="1" cm="1">
        <f t="array" ref="R44">_xlfn.SWITCH($A$2,"average", AVERAGE(Instances!R44:Instances!R44),"median", MEDIAN(Instances!R44:Instances!R44),"min", MIN(Instances!R44:Instances!R44),"max", MAX(Instances!R44:Instances!R44),"diff", MAX(Instances!R44:Instances!R44)-MIN(Instances!R44:Instances!R44))</f>
        <v>0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 cm="1">
        <f t="array" ref="J45">_xlfn.SWITCH($A$2,"average", AVERAGE(Instances!J45:Instances!J45),"median", MEDIAN(Instances!J45:Instances!J45),"min", MIN(Instances!J45:Instances!J45),"max", MAX(Instances!J45:Instances!J45),"diff", MAX(Instances!J45:Instances!J45)-MIN(Instances!J45:Instances!J45))</f>
        <v>0</v>
      </c>
      <c r="K45" s="1" cm="1">
        <f t="array" ref="K45">_xlfn.SWITCH($A$2,"average", AVERAGE(Instances!K45:Instances!K45),"median", MEDIAN(Instances!K45:Instances!K45),"min", MIN(Instances!K45:Instances!K45),"max", MAX(Instances!K45:Instances!K45),"diff", MAX(Instances!K45:Instances!K45)-MIN(Instances!K45:Instances!K45))</f>
        <v>0</v>
      </c>
      <c r="L45" s="1"/>
      <c r="M45" s="1" cm="1">
        <f t="array" ref="M45">_xlfn.SWITCH($A$2,"average", AVERAGE(Instances!M45:Instances!M45),"median", MEDIAN(Instances!M45:Instances!M45),"min", MIN(Instances!M45:Instances!M45),"max", MAX(Instances!M45:Instances!M45),"diff", MAX(Instances!M45:Instances!M45)-MIN(Instances!M45:Instances!M45))</f>
        <v>0</v>
      </c>
      <c r="N45" s="1" cm="1">
        <f t="array" ref="N45">_xlfn.SWITCH($A$2,"average", AVERAGE(Instances!N45:Instances!N45),"median", MEDIAN(Instances!N45:Instances!N45),"min", MIN(Instances!N45:Instances!N45),"max", MAX(Instances!N45:Instances!N45),"diff", MAX(Instances!N45:Instances!N45)-MIN(Instances!N45:Instances!N45))</f>
        <v>0</v>
      </c>
      <c r="O45" s="1"/>
      <c r="P45" s="1" cm="1">
        <f t="array" ref="P45">_xlfn.SWITCH($A$2,"average", AVERAGE(Instances!P45:Instances!P45),"median", MEDIAN(Instances!P45:Instances!P45),"min", MIN(Instances!P45:Instances!P45),"max", MAX(Instances!P45:Instances!P45),"diff", MAX(Instances!P45:Instances!P45)-MIN(Instances!P45:Instances!P45))</f>
        <v>0</v>
      </c>
      <c r="Q45" s="1" cm="1">
        <f t="array" ref="Q45">_xlfn.SWITCH($A$2,"average", AVERAGE(Instances!Q45:Instances!Q45),"median", MEDIAN(Instances!Q45:Instances!Q45),"min", MIN(Instances!Q45:Instances!Q45),"max", MAX(Instances!Q45:Instances!Q45),"diff", MAX(Instances!Q45:Instances!Q45)-MIN(Instances!Q45:Instances!Q45))</f>
        <v>0</v>
      </c>
      <c r="R45" s="1" cm="1">
        <f t="array" ref="R45">_xlfn.SWITCH($A$2,"average", AVERAGE(Instances!R45:Instances!R45),"median", MEDIAN(Instances!R45:Instances!R45),"min", MIN(Instances!R45:Instances!R45),"max", MAX(Instances!R45:Instances!R45),"diff", MAX(Instances!R45:Instances!R45)-MIN(Instances!R45:Instances!R45))</f>
        <v>0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 cm="1">
        <f t="array" ref="J46">_xlfn.SWITCH($A$2,"average", AVERAGE(Instances!J46:Instances!J46),"median", MEDIAN(Instances!J46:Instances!J46),"min", MIN(Instances!J46:Instances!J46),"max", MAX(Instances!J46:Instances!J46),"diff", MAX(Instances!J46:Instances!J46)-MIN(Instances!J46:Instances!J46))</f>
        <v>0</v>
      </c>
      <c r="K46" s="1" cm="1">
        <f t="array" ref="K46">_xlfn.SWITCH($A$2,"average", AVERAGE(Instances!K46:Instances!K46),"median", MEDIAN(Instances!K46:Instances!K46),"min", MIN(Instances!K46:Instances!K46),"max", MAX(Instances!K46:Instances!K46),"diff", MAX(Instances!K46:Instances!K46)-MIN(Instances!K46:Instances!K46))</f>
        <v>0</v>
      </c>
      <c r="L46" s="1"/>
      <c r="M46" s="1" cm="1">
        <f t="array" ref="M46">_xlfn.SWITCH($A$2,"average", AVERAGE(Instances!M46:Instances!M46),"median", MEDIAN(Instances!M46:Instances!M46),"min", MIN(Instances!M46:Instances!M46),"max", MAX(Instances!M46:Instances!M46),"diff", MAX(Instances!M46:Instances!M46)-MIN(Instances!M46:Instances!M46))</f>
        <v>0</v>
      </c>
      <c r="N46" s="1" cm="1">
        <f t="array" ref="N46">_xlfn.SWITCH($A$2,"average", AVERAGE(Instances!N46:Instances!N46),"median", MEDIAN(Instances!N46:Instances!N46),"min", MIN(Instances!N46:Instances!N46),"max", MAX(Instances!N46:Instances!N46),"diff", MAX(Instances!N46:Instances!N46)-MIN(Instances!N46:Instances!N46))</f>
        <v>0</v>
      </c>
      <c r="O46" s="1"/>
      <c r="P46" s="1" cm="1">
        <f t="array" ref="P46">_xlfn.SWITCH($A$2,"average", AVERAGE(Instances!P46:Instances!P46),"median", MEDIAN(Instances!P46:Instances!P46),"min", MIN(Instances!P46:Instances!P46),"max", MAX(Instances!P46:Instances!P46),"diff", MAX(Instances!P46:Instances!P46)-MIN(Instances!P46:Instances!P46))</f>
        <v>0</v>
      </c>
      <c r="Q46" s="1" cm="1">
        <f t="array" ref="Q46">_xlfn.SWITCH($A$2,"average", AVERAGE(Instances!Q46:Instances!Q46),"median", MEDIAN(Instances!Q46:Instances!Q46),"min", MIN(Instances!Q46:Instances!Q46),"max", MAX(Instances!Q46:Instances!Q46),"diff", MAX(Instances!Q46:Instances!Q46)-MIN(Instances!Q46:Instances!Q46))</f>
        <v>0</v>
      </c>
      <c r="R46" s="1" cm="1">
        <f t="array" ref="R46">_xlfn.SWITCH($A$2,"average", AVERAGE(Instances!R46:Instances!R46),"median", MEDIAN(Instances!R46:Instances!R46),"min", MIN(Instances!R46:Instances!R46),"max", MAX(Instances!R46:Instances!R46),"diff", MAX(Instances!R46:Instances!R46)-MIN(Instances!R46:Instances!R46))</f>
        <v>0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 cm="1">
        <f t="array" ref="F47">_xlfn.SWITCH($A$2,"average", AVERAGE(Instances!F47:Instances!F47),"median", MEDIAN(Instances!F47:Instances!F47),"min", MIN(Instances!F47:Instances!F47),"max", MAX(Instances!F47:Instances!F47),"diff", MAX(Instances!F47:Instances!F47)-MIN(Instances!F47:Instances!F47))</f>
        <v>0</v>
      </c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 cm="1">
        <f t="array" ref="I47">_xlfn.SWITCH($A$2,"average", AVERAGE(Instances!I47:Instances!I47),"median", MEDIAN(Instances!I47:Instances!I47),"min", MIN(Instances!I47:Instances!I47),"max", MAX(Instances!I47:Instances!I47),"diff", MAX(Instances!I47:Instances!I47)-MIN(Instances!I47:Instances!I47))</f>
        <v>0</v>
      </c>
      <c r="J47" s="1" cm="1">
        <f t="array" ref="J47">_xlfn.SWITCH($A$2,"average", AVERAGE(Instances!J47:Instances!J47),"median", MEDIAN(Instances!J47:Instances!J47),"min", MIN(Instances!J47:Instances!J47),"max", MAX(Instances!J47:Instances!J47),"diff", MAX(Instances!J47:Instances!J47)-MIN(Instances!J47:Instances!J47))</f>
        <v>0</v>
      </c>
      <c r="K47" s="1" cm="1">
        <f t="array" ref="K47">_xlfn.SWITCH($A$2,"average", AVERAGE(Instances!K47:Instances!K47),"median", MEDIAN(Instances!K47:Instances!K47),"min", MIN(Instances!K47:Instances!K47),"max", MAX(Instances!K47:Instances!K47),"diff", MAX(Instances!K47:Instances!K47)-MIN(Instances!K47:Instances!K47))</f>
        <v>0</v>
      </c>
      <c r="L47" s="1"/>
      <c r="M47" s="1" cm="1">
        <f t="array" ref="M47">_xlfn.SWITCH($A$2,"average", AVERAGE(Instances!M47:Instances!M47),"median", MEDIAN(Instances!M47:Instances!M47),"min", MIN(Instances!M47:Instances!M47),"max", MAX(Instances!M47:Instances!M47),"diff", MAX(Instances!M47:Instances!M47)-MIN(Instances!M47:Instances!M47))</f>
        <v>0</v>
      </c>
      <c r="N47" s="1" cm="1">
        <f t="array" ref="N47">_xlfn.SWITCH($A$2,"average", AVERAGE(Instances!N47:Instances!N47),"median", MEDIAN(Instances!N47:Instances!N47),"min", MIN(Instances!N47:Instances!N47),"max", MAX(Instances!N47:Instances!N47),"diff", MAX(Instances!N47:Instances!N47)-MIN(Instances!N47:Instances!N47))</f>
        <v>0</v>
      </c>
      <c r="O47" s="1"/>
      <c r="P47" s="1" cm="1">
        <f t="array" ref="P47">_xlfn.SWITCH($A$2,"average", AVERAGE(Instances!P47:Instances!P47),"median", MEDIAN(Instances!P47:Instances!P47),"min", MIN(Instances!P47:Instances!P47),"max", MAX(Instances!P47:Instances!P47),"diff", MAX(Instances!P47:Instances!P47)-MIN(Instances!P47:Instances!P47))</f>
        <v>0</v>
      </c>
      <c r="Q47" s="1" cm="1">
        <f t="array" ref="Q47">_xlfn.SWITCH($A$2,"average", AVERAGE(Instances!Q47:Instances!Q47),"median", MEDIAN(Instances!Q47:Instances!Q47),"min", MIN(Instances!Q47:Instances!Q47),"max", MAX(Instances!Q47:Instances!Q47),"diff", MAX(Instances!Q47:Instances!Q47)-MIN(Instances!Q47:Instances!Q47))</f>
        <v>0</v>
      </c>
      <c r="R47" s="1" cm="1">
        <f t="array" ref="R47">_xlfn.SWITCH($A$2,"average", AVERAGE(Instances!R47:Instances!R47),"median", MEDIAN(Instances!R47:Instances!R47),"min", MIN(Instances!R47:Instances!R47),"max", MAX(Instances!R47:Instances!R47),"diff", MAX(Instances!R47:Instances!R47)-MIN(Instances!R47:Instances!R47))</f>
        <v>0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 cm="1">
        <f t="array" ref="F48">_xlfn.SWITCH($A$2,"average", AVERAGE(Instances!F48:Instances!F48),"median", MEDIAN(Instances!F48:Instances!F48),"min", MIN(Instances!F48:Instances!F48),"max", MAX(Instances!F48:Instances!F48),"diff", MAX(Instances!F48:Instances!F48)-MIN(Instances!F48:Instances!F48))</f>
        <v>0</v>
      </c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 cm="1">
        <f t="array" ref="I48">_xlfn.SWITCH($A$2,"average", AVERAGE(Instances!I48:Instances!I48),"median", MEDIAN(Instances!I48:Instances!I48),"min", MIN(Instances!I48:Instances!I48),"max", MAX(Instances!I48:Instances!I48),"diff", MAX(Instances!I48:Instances!I48)-MIN(Instances!I48:Instances!I48))</f>
        <v>0</v>
      </c>
      <c r="J48" s="1" cm="1">
        <f t="array" ref="J48">_xlfn.SWITCH($A$2,"average", AVERAGE(Instances!J48:Instances!J48),"median", MEDIAN(Instances!J48:Instances!J48),"min", MIN(Instances!J48:Instances!J48),"max", MAX(Instances!J48:Instances!J48),"diff", MAX(Instances!J48:Instances!J48)-MIN(Instances!J48:Instances!J48))</f>
        <v>0</v>
      </c>
      <c r="K48" s="1" cm="1">
        <f t="array" ref="K48">_xlfn.SWITCH($A$2,"average", AVERAGE(Instances!K48:Instances!K48),"median", MEDIAN(Instances!K48:Instances!K48),"min", MIN(Instances!K48:Instances!K48),"max", MAX(Instances!K48:Instances!K48),"diff", MAX(Instances!K48:Instances!K48)-MIN(Instances!K48:Instances!K48))</f>
        <v>0</v>
      </c>
      <c r="L48" s="1"/>
      <c r="M48" s="1" cm="1">
        <f t="array" ref="M48">_xlfn.SWITCH($A$2,"average", AVERAGE(Instances!M48:Instances!M48),"median", MEDIAN(Instances!M48:Instances!M48),"min", MIN(Instances!M48:Instances!M48),"max", MAX(Instances!M48:Instances!M48),"diff", MAX(Instances!M48:Instances!M48)-MIN(Instances!M48:Instances!M48))</f>
        <v>0</v>
      </c>
      <c r="N48" s="1" cm="1">
        <f t="array" ref="N48">_xlfn.SWITCH($A$2,"average", AVERAGE(Instances!N48:Instances!N48),"median", MEDIAN(Instances!N48:Instances!N48),"min", MIN(Instances!N48:Instances!N48),"max", MAX(Instances!N48:Instances!N48),"diff", MAX(Instances!N48:Instances!N48)-MIN(Instances!N48:Instances!N48))</f>
        <v>0</v>
      </c>
      <c r="O48" s="1"/>
      <c r="P48" s="1" cm="1">
        <f t="array" ref="P48">_xlfn.SWITCH($A$2,"average", AVERAGE(Instances!P48:Instances!P48),"median", MEDIAN(Instances!P48:Instances!P48),"min", MIN(Instances!P48:Instances!P48),"max", MAX(Instances!P48:Instances!P48),"diff", MAX(Instances!P48:Instances!P48)-MIN(Instances!P48:Instances!P48))</f>
        <v>0</v>
      </c>
      <c r="Q48" s="1" cm="1">
        <f t="array" ref="Q48">_xlfn.SWITCH($A$2,"average", AVERAGE(Instances!Q48:Instances!Q48),"median", MEDIAN(Instances!Q48:Instances!Q48),"min", MIN(Instances!Q48:Instances!Q48),"max", MAX(Instances!Q48:Instances!Q48),"diff", MAX(Instances!Q48:Instances!Q48)-MIN(Instances!Q48:Instances!Q48))</f>
        <v>0</v>
      </c>
      <c r="R48" s="1" cm="1">
        <f t="array" ref="R48">_xlfn.SWITCH($A$2,"average", AVERAGE(Instances!R48:Instances!R48),"median", MEDIAN(Instances!R48:Instances!R48),"min", MIN(Instances!R48:Instances!R48),"max", MAX(Instances!R48:Instances!R48),"diff", MAX(Instances!R48:Instances!R48)-MIN(Instances!R48:Instances!R48))</f>
        <v>0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 cm="1">
        <f t="array" ref="F49">_xlfn.SWITCH($A$2,"average", AVERAGE(Instances!F49:Instances!F49),"median", MEDIAN(Instances!F49:Instances!F49),"min", MIN(Instances!F49:Instances!F49),"max", MAX(Instances!F49:Instances!F49),"diff", MAX(Instances!F49:Instances!F49)-MIN(Instances!F49:Instances!F49))</f>
        <v>0</v>
      </c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 cm="1">
        <f t="array" ref="I49">_xlfn.SWITCH($A$2,"average", AVERAGE(Instances!I49:Instances!I49),"median", MEDIAN(Instances!I49:Instances!I49),"min", MIN(Instances!I49:Instances!I49),"max", MAX(Instances!I49:Instances!I49),"diff", MAX(Instances!I49:Instances!I49)-MIN(Instances!I49:Instances!I49))</f>
        <v>0</v>
      </c>
      <c r="J49" s="1" cm="1">
        <f t="array" ref="J49">_xlfn.SWITCH($A$2,"average", AVERAGE(Instances!J49:Instances!J49),"median", MEDIAN(Instances!J49:Instances!J49),"min", MIN(Instances!J49:Instances!J49),"max", MAX(Instances!J49:Instances!J49),"diff", MAX(Instances!J49:Instances!J49)-MIN(Instances!J49:Instances!J49))</f>
        <v>0</v>
      </c>
      <c r="K49" s="1" cm="1">
        <f t="array" ref="K49">_xlfn.SWITCH($A$2,"average", AVERAGE(Instances!K49:Instances!K49),"median", MEDIAN(Instances!K49:Instances!K49),"min", MIN(Instances!K49:Instances!K49),"max", MAX(Instances!K49:Instances!K49),"diff", MAX(Instances!K49:Instances!K49)-MIN(Instances!K49:Instances!K49))</f>
        <v>0</v>
      </c>
      <c r="L49" s="1"/>
      <c r="M49" s="1" cm="1">
        <f t="array" ref="M49">_xlfn.SWITCH($A$2,"average", AVERAGE(Instances!M49:Instances!M49),"median", MEDIAN(Instances!M49:Instances!M49),"min", MIN(Instances!M49:Instances!M49),"max", MAX(Instances!M49:Instances!M49),"diff", MAX(Instances!M49:Instances!M49)-MIN(Instances!M49:Instances!M49))</f>
        <v>0</v>
      </c>
      <c r="N49" s="1" cm="1">
        <f t="array" ref="N49">_xlfn.SWITCH($A$2,"average", AVERAGE(Instances!N49:Instances!N49),"median", MEDIAN(Instances!N49:Instances!N49),"min", MIN(Instances!N49:Instances!N49),"max", MAX(Instances!N49:Instances!N49),"diff", MAX(Instances!N49:Instances!N49)-MIN(Instances!N49:Instances!N49))</f>
        <v>0</v>
      </c>
      <c r="O49" s="1"/>
      <c r="P49" s="1" cm="1">
        <f t="array" ref="P49">_xlfn.SWITCH($A$2,"average", AVERAGE(Instances!P49:Instances!P49),"median", MEDIAN(Instances!P49:Instances!P49),"min", MIN(Instances!P49:Instances!P49),"max", MAX(Instances!P49:Instances!P49),"diff", MAX(Instances!P49:Instances!P49)-MIN(Instances!P49:Instances!P49))</f>
        <v>0</v>
      </c>
      <c r="Q49" s="1" cm="1">
        <f t="array" ref="Q49">_xlfn.SWITCH($A$2,"average", AVERAGE(Instances!Q49:Instances!Q49),"median", MEDIAN(Instances!Q49:Instances!Q49),"min", MIN(Instances!Q49:Instances!Q49),"max", MAX(Instances!Q49:Instances!Q49),"diff", MAX(Instances!Q49:Instances!Q49)-MIN(Instances!Q49:Instances!Q49))</f>
        <v>0</v>
      </c>
      <c r="R49" s="1" cm="1">
        <f t="array" ref="R49">_xlfn.SWITCH($A$2,"average", AVERAGE(Instances!R49:Instances!R49),"median", MEDIAN(Instances!R49:Instances!R49),"min", MIN(Instances!R49:Instances!R49),"max", MAX(Instances!R49:Instances!R49),"diff", MAX(Instances!R49:Instances!R49)-MIN(Instances!R49:Instances!R49))</f>
        <v>0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 cm="1">
        <f t="array" ref="F50">_xlfn.SWITCH($A$2,"average", AVERAGE(Instances!F50:Instances!F50),"median", MEDIAN(Instances!F50:Instances!F50),"min", MIN(Instances!F50:Instances!F50),"max", MAX(Instances!F50:Instances!F50),"diff", MAX(Instances!F50:Instances!F50)-MIN(Instances!F50:Instances!F50))</f>
        <v>0</v>
      </c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 cm="1">
        <f t="array" ref="I50">_xlfn.SWITCH($A$2,"average", AVERAGE(Instances!I50:Instances!I50),"median", MEDIAN(Instances!I50:Instances!I50),"min", MIN(Instances!I50:Instances!I50),"max", MAX(Instances!I50:Instances!I50),"diff", MAX(Instances!I50:Instances!I50)-MIN(Instances!I50:Instances!I50))</f>
        <v>0</v>
      </c>
      <c r="J50" s="1" cm="1">
        <f t="array" ref="J50">_xlfn.SWITCH($A$2,"average", AVERAGE(Instances!J50:Instances!J50),"median", MEDIAN(Instances!J50:Instances!J50),"min", MIN(Instances!J50:Instances!J50),"max", MAX(Instances!J50:Instances!J50),"diff", MAX(Instances!J50:Instances!J50)-MIN(Instances!J50:Instances!J50))</f>
        <v>0</v>
      </c>
      <c r="K50" s="1" cm="1">
        <f t="array" ref="K50">_xlfn.SWITCH($A$2,"average", AVERAGE(Instances!K50:Instances!K50),"median", MEDIAN(Instances!K50:Instances!K50),"min", MIN(Instances!K50:Instances!K50),"max", MAX(Instances!K50:Instances!K50),"diff", MAX(Instances!K50:Instances!K50)-MIN(Instances!K50:Instances!K50))</f>
        <v>0</v>
      </c>
      <c r="L50" s="1"/>
      <c r="M50" s="1" cm="1">
        <f t="array" ref="M50">_xlfn.SWITCH($A$2,"average", AVERAGE(Instances!M50:Instances!M50),"median", MEDIAN(Instances!M50:Instances!M50),"min", MIN(Instances!M50:Instances!M50),"max", MAX(Instances!M50:Instances!M50),"diff", MAX(Instances!M50:Instances!M50)-MIN(Instances!M50:Instances!M50))</f>
        <v>0</v>
      </c>
      <c r="N50" s="1" cm="1">
        <f t="array" ref="N50">_xlfn.SWITCH($A$2,"average", AVERAGE(Instances!N50:Instances!N50),"median", MEDIAN(Instances!N50:Instances!N50),"min", MIN(Instances!N50:Instances!N50),"max", MAX(Instances!N50:Instances!N50),"diff", MAX(Instances!N50:Instances!N50)-MIN(Instances!N50:Instances!N50))</f>
        <v>0</v>
      </c>
      <c r="O50" s="1"/>
      <c r="P50" s="1" cm="1">
        <f t="array" ref="P50">_xlfn.SWITCH($A$2,"average", AVERAGE(Instances!P50:Instances!P50),"median", MEDIAN(Instances!P50:Instances!P50),"min", MIN(Instances!P50:Instances!P50),"max", MAX(Instances!P50:Instances!P50),"diff", MAX(Instances!P50:Instances!P50)-MIN(Instances!P50:Instances!P50))</f>
        <v>0</v>
      </c>
      <c r="Q50" s="1" cm="1">
        <f t="array" ref="Q50">_xlfn.SWITCH($A$2,"average", AVERAGE(Instances!Q50:Instances!Q50),"median", MEDIAN(Instances!Q50:Instances!Q50),"min", MIN(Instances!Q50:Instances!Q50),"max", MAX(Instances!Q50:Instances!Q50),"diff", MAX(Instances!Q50:Instances!Q50)-MIN(Instances!Q50:Instances!Q50))</f>
        <v>0</v>
      </c>
      <c r="R50" s="1" cm="1">
        <f t="array" ref="R50">_xlfn.SWITCH($A$2,"average", AVERAGE(Instances!R50:Instances!R50),"median", MEDIAN(Instances!R50:Instances!R50),"min", MIN(Instances!R50:Instances!R50),"max", MAX(Instances!R50:Instances!R50),"diff", MAX(Instances!R50:Instances!R50)-MIN(Instances!R50:Instances!R50))</f>
        <v>0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 cm="1">
        <f t="array" ref="F51">_xlfn.SWITCH($A$2,"average", AVERAGE(Instances!F51:Instances!F51),"median", MEDIAN(Instances!F51:Instances!F51),"min", MIN(Instances!F51:Instances!F51),"max", MAX(Instances!F51:Instances!F51),"diff", MAX(Instances!F51:Instances!F51)-MIN(Instances!F51:Instances!F51))</f>
        <v>0</v>
      </c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 cm="1">
        <f t="array" ref="I51">_xlfn.SWITCH($A$2,"average", AVERAGE(Instances!I51:Instances!I51),"median", MEDIAN(Instances!I51:Instances!I51),"min", MIN(Instances!I51:Instances!I51),"max", MAX(Instances!I51:Instances!I51),"diff", MAX(Instances!I51:Instances!I51)-MIN(Instances!I51:Instances!I51))</f>
        <v>0</v>
      </c>
      <c r="J51" s="1" cm="1">
        <f t="array" ref="J51">_xlfn.SWITCH($A$2,"average", AVERAGE(Instances!J51:Instances!J51),"median", MEDIAN(Instances!J51:Instances!J51),"min", MIN(Instances!J51:Instances!J51),"max", MAX(Instances!J51:Instances!J51),"diff", MAX(Instances!J51:Instances!J51)-MIN(Instances!J51:Instances!J51))</f>
        <v>0</v>
      </c>
      <c r="K51" s="1" cm="1">
        <f t="array" ref="K51">_xlfn.SWITCH($A$2,"average", AVERAGE(Instances!K51:Instances!K51),"median", MEDIAN(Instances!K51:Instances!K51),"min", MIN(Instances!K51:Instances!K51),"max", MAX(Instances!K51:Instances!K51),"diff", MAX(Instances!K51:Instances!K51)-MIN(Instances!K51:Instances!K51))</f>
        <v>0</v>
      </c>
      <c r="L51" s="1"/>
      <c r="M51" s="1" cm="1">
        <f t="array" ref="M51">_xlfn.SWITCH($A$2,"average", AVERAGE(Instances!M51:Instances!M51),"median", MEDIAN(Instances!M51:Instances!M51),"min", MIN(Instances!M51:Instances!M51),"max", MAX(Instances!M51:Instances!M51),"diff", MAX(Instances!M51:Instances!M51)-MIN(Instances!M51:Instances!M51))</f>
        <v>0</v>
      </c>
      <c r="N51" s="1" cm="1">
        <f t="array" ref="N51">_xlfn.SWITCH($A$2,"average", AVERAGE(Instances!N51:Instances!N51),"median", MEDIAN(Instances!N51:Instances!N51),"min", MIN(Instances!N51:Instances!N51),"max", MAX(Instances!N51:Instances!N51),"diff", MAX(Instances!N51:Instances!N51)-MIN(Instances!N51:Instances!N51))</f>
        <v>0</v>
      </c>
      <c r="O51" s="1"/>
      <c r="P51" s="1" cm="1">
        <f t="array" ref="P51">_xlfn.SWITCH($A$2,"average", AVERAGE(Instances!P51:Instances!P51),"median", MEDIAN(Instances!P51:Instances!P51),"min", MIN(Instances!P51:Instances!P51),"max", MAX(Instances!P51:Instances!P51),"diff", MAX(Instances!P51:Instances!P51)-MIN(Instances!P51:Instances!P51))</f>
        <v>0</v>
      </c>
      <c r="Q51" s="1" cm="1">
        <f t="array" ref="Q51">_xlfn.SWITCH($A$2,"average", AVERAGE(Instances!Q51:Instances!Q51),"median", MEDIAN(Instances!Q51:Instances!Q51),"min", MIN(Instances!Q51:Instances!Q51),"max", MAX(Instances!Q51:Instances!Q51),"diff", MAX(Instances!Q51:Instances!Q51)-MIN(Instances!Q51:Instances!Q51))</f>
        <v>0</v>
      </c>
      <c r="R51" s="1" cm="1">
        <f t="array" ref="R51">_xlfn.SWITCH($A$2,"average", AVERAGE(Instances!R51:Instances!R51),"median", MEDIAN(Instances!R51:Instances!R51),"min", MIN(Instances!R51:Instances!R51),"max", MAX(Instances!R51:Instances!R51),"diff", MAX(Instances!R51:Instances!R51)-MIN(Instances!R51:Instances!R51))</f>
        <v>0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 cm="1">
        <f t="array" ref="F52">_xlfn.SWITCH($A$2,"average", AVERAGE(Instances!F52:Instances!F52),"median", MEDIAN(Instances!F52:Instances!F52),"min", MIN(Instances!F52:Instances!F52),"max", MAX(Instances!F52:Instances!F52),"diff", MAX(Instances!F52:Instances!F52)-MIN(Instances!F52:Instances!F52))</f>
        <v>0</v>
      </c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 cm="1">
        <f t="array" ref="I52">_xlfn.SWITCH($A$2,"average", AVERAGE(Instances!I52:Instances!I52),"median", MEDIAN(Instances!I52:Instances!I52),"min", MIN(Instances!I52:Instances!I52),"max", MAX(Instances!I52:Instances!I52),"diff", MAX(Instances!I52:Instances!I52)-MIN(Instances!I52:Instances!I52))</f>
        <v>0</v>
      </c>
      <c r="J52" s="1" cm="1">
        <f t="array" ref="J52">_xlfn.SWITCH($A$2,"average", AVERAGE(Instances!J52:Instances!J52),"median", MEDIAN(Instances!J52:Instances!J52),"min", MIN(Instances!J52:Instances!J52),"max", MAX(Instances!J52:Instances!J52),"diff", MAX(Instances!J52:Instances!J52)-MIN(Instances!J52:Instances!J52))</f>
        <v>0</v>
      </c>
      <c r="K52" s="1" cm="1">
        <f t="array" ref="K52">_xlfn.SWITCH($A$2,"average", AVERAGE(Instances!K52:Instances!K52),"median", MEDIAN(Instances!K52:Instances!K52),"min", MIN(Instances!K52:Instances!K52),"max", MAX(Instances!K52:Instances!K52),"diff", MAX(Instances!K52:Instances!K52)-MIN(Instances!K52:Instances!K52))</f>
        <v>0</v>
      </c>
      <c r="L52" s="1"/>
      <c r="M52" s="1" cm="1">
        <f t="array" ref="M52">_xlfn.SWITCH($A$2,"average", AVERAGE(Instances!M52:Instances!M52),"median", MEDIAN(Instances!M52:Instances!M52),"min", MIN(Instances!M52:Instances!M52),"max", MAX(Instances!M52:Instances!M52),"diff", MAX(Instances!M52:Instances!M52)-MIN(Instances!M52:Instances!M52))</f>
        <v>0</v>
      </c>
      <c r="N52" s="1" cm="1">
        <f t="array" ref="N52">_xlfn.SWITCH($A$2,"average", AVERAGE(Instances!N52:Instances!N52),"median", MEDIAN(Instances!N52:Instances!N52),"min", MIN(Instances!N52:Instances!N52),"max", MAX(Instances!N52:Instances!N52),"diff", MAX(Instances!N52:Instances!N52)-MIN(Instances!N52:Instances!N52))</f>
        <v>0</v>
      </c>
      <c r="O52" s="1"/>
      <c r="P52" s="1" cm="1">
        <f t="array" ref="P52">_xlfn.SWITCH($A$2,"average", AVERAGE(Instances!P52:Instances!P52),"median", MEDIAN(Instances!P52:Instances!P52),"min", MIN(Instances!P52:Instances!P52),"max", MAX(Instances!P52:Instances!P52),"diff", MAX(Instances!P52:Instances!P52)-MIN(Instances!P52:Instances!P52))</f>
        <v>0</v>
      </c>
      <c r="Q52" s="1" cm="1">
        <f t="array" ref="Q52">_xlfn.SWITCH($A$2,"average", AVERAGE(Instances!Q52:Instances!Q52),"median", MEDIAN(Instances!Q52:Instances!Q52),"min", MIN(Instances!Q52:Instances!Q52),"max", MAX(Instances!Q52:Instances!Q52),"diff", MAX(Instances!Q52:Instances!Q52)-MIN(Instances!Q52:Instances!Q52))</f>
        <v>0</v>
      </c>
      <c r="R52" s="1" cm="1">
        <f t="array" ref="R52">_xlfn.SWITCH($A$2,"average", AVERAGE(Instances!R52:Instances!R52),"median", MEDIAN(Instances!R52:Instances!R52),"min", MIN(Instances!R52:Instances!R52),"max", MAX(Instances!R52:Instances!R52),"diff", MAX(Instances!R52:Instances!R52)-MIN(Instances!R52:Instances!R52))</f>
        <v>0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 cm="1">
        <f t="array" ref="F53">_xlfn.SWITCH($A$2,"average", AVERAGE(Instances!F53:Instances!F53),"median", MEDIAN(Instances!F53:Instances!F53),"min", MIN(Instances!F53:Instances!F53),"max", MAX(Instances!F53:Instances!F53),"diff", MAX(Instances!F53:Instances!F53)-MIN(Instances!F53:Instances!F53))</f>
        <v>0</v>
      </c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 cm="1">
        <f t="array" ref="I53">_xlfn.SWITCH($A$2,"average", AVERAGE(Instances!I53:Instances!I53),"median", MEDIAN(Instances!I53:Instances!I53),"min", MIN(Instances!I53:Instances!I53),"max", MAX(Instances!I53:Instances!I53),"diff", MAX(Instances!I53:Instances!I53)-MIN(Instances!I53:Instances!I53))</f>
        <v>0</v>
      </c>
      <c r="J53" s="1" cm="1">
        <f t="array" ref="J53">_xlfn.SWITCH($A$2,"average", AVERAGE(Instances!J53:Instances!J53),"median", MEDIAN(Instances!J53:Instances!J53),"min", MIN(Instances!J53:Instances!J53),"max", MAX(Instances!J53:Instances!J53),"diff", MAX(Instances!J53:Instances!J53)-MIN(Instances!J53:Instances!J53))</f>
        <v>0</v>
      </c>
      <c r="K53" s="1" cm="1">
        <f t="array" ref="K53">_xlfn.SWITCH($A$2,"average", AVERAGE(Instances!K53:Instances!K53),"median", MEDIAN(Instances!K53:Instances!K53),"min", MIN(Instances!K53:Instances!K53),"max", MAX(Instances!K53:Instances!K53),"diff", MAX(Instances!K53:Instances!K53)-MIN(Instances!K53:Instances!K53))</f>
        <v>0</v>
      </c>
      <c r="L53" s="1"/>
      <c r="M53" s="1" cm="1">
        <f t="array" ref="M53">_xlfn.SWITCH($A$2,"average", AVERAGE(Instances!M53:Instances!M53),"median", MEDIAN(Instances!M53:Instances!M53),"min", MIN(Instances!M53:Instances!M53),"max", MAX(Instances!M53:Instances!M53),"diff", MAX(Instances!M53:Instances!M53)-MIN(Instances!M53:Instances!M53))</f>
        <v>0</v>
      </c>
      <c r="N53" s="1" cm="1">
        <f t="array" ref="N53">_xlfn.SWITCH($A$2,"average", AVERAGE(Instances!N53:Instances!N53),"median", MEDIAN(Instances!N53:Instances!N53),"min", MIN(Instances!N53:Instances!N53),"max", MAX(Instances!N53:Instances!N53),"diff", MAX(Instances!N53:Instances!N53)-MIN(Instances!N53:Instances!N53))</f>
        <v>0</v>
      </c>
      <c r="O53" s="1"/>
      <c r="P53" s="1" cm="1">
        <f t="array" ref="P53">_xlfn.SWITCH($A$2,"average", AVERAGE(Instances!P53:Instances!P53),"median", MEDIAN(Instances!P53:Instances!P53),"min", MIN(Instances!P53:Instances!P53),"max", MAX(Instances!P53:Instances!P53),"diff", MAX(Instances!P53:Instances!P53)-MIN(Instances!P53:Instances!P53))</f>
        <v>0</v>
      </c>
      <c r="Q53" s="1" cm="1">
        <f t="array" ref="Q53">_xlfn.SWITCH($A$2,"average", AVERAGE(Instances!Q53:Instances!Q53),"median", MEDIAN(Instances!Q53:Instances!Q53),"min", MIN(Instances!Q53:Instances!Q53),"max", MAX(Instances!Q53:Instances!Q53),"diff", MAX(Instances!Q53:Instances!Q53)-MIN(Instances!Q53:Instances!Q53))</f>
        <v>0</v>
      </c>
      <c r="R53" s="1" cm="1">
        <f t="array" ref="R53">_xlfn.SWITCH($A$2,"average", AVERAGE(Instances!R53:Instances!R53),"median", MEDIAN(Instances!R53:Instances!R53),"min", MIN(Instances!R53:Instances!R53),"max", MAX(Instances!R53:Instances!R53),"diff", MAX(Instances!R53:Instances!R53)-MIN(Instances!R53:Instances!R53))</f>
        <v>0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 cm="1">
        <f t="array" ref="F54">_xlfn.SWITCH($A$2,"average", AVERAGE(Instances!F54:Instances!F54),"median", MEDIAN(Instances!F54:Instances!F54),"min", MIN(Instances!F54:Instances!F54),"max", MAX(Instances!F54:Instances!F54),"diff", MAX(Instances!F54:Instances!F54)-MIN(Instances!F54:Instances!F54))</f>
        <v>0</v>
      </c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 cm="1">
        <f t="array" ref="I54">_xlfn.SWITCH($A$2,"average", AVERAGE(Instances!I54:Instances!I54),"median", MEDIAN(Instances!I54:Instances!I54),"min", MIN(Instances!I54:Instances!I54),"max", MAX(Instances!I54:Instances!I54),"diff", MAX(Instances!I54:Instances!I54)-MIN(Instances!I54:Instances!I54))</f>
        <v>0</v>
      </c>
      <c r="J54" s="1" cm="1">
        <f t="array" ref="J54">_xlfn.SWITCH($A$2,"average", AVERAGE(Instances!J54:Instances!J54),"median", MEDIAN(Instances!J54:Instances!J54),"min", MIN(Instances!J54:Instances!J54),"max", MAX(Instances!J54:Instances!J54),"diff", MAX(Instances!J54:Instances!J54)-MIN(Instances!J54:Instances!J54))</f>
        <v>0</v>
      </c>
      <c r="K54" s="1" cm="1">
        <f t="array" ref="K54">_xlfn.SWITCH($A$2,"average", AVERAGE(Instances!K54:Instances!K54),"median", MEDIAN(Instances!K54:Instances!K54),"min", MIN(Instances!K54:Instances!K54),"max", MAX(Instances!K54:Instances!K54),"diff", MAX(Instances!K54:Instances!K54)-MIN(Instances!K54:Instances!K54))</f>
        <v>0</v>
      </c>
      <c r="L54" s="1"/>
      <c r="M54" s="1" cm="1">
        <f t="array" ref="M54">_xlfn.SWITCH($A$2,"average", AVERAGE(Instances!M54:Instances!M54),"median", MEDIAN(Instances!M54:Instances!M54),"min", MIN(Instances!M54:Instances!M54),"max", MAX(Instances!M54:Instances!M54),"diff", MAX(Instances!M54:Instances!M54)-MIN(Instances!M54:Instances!M54))</f>
        <v>0</v>
      </c>
      <c r="N54" s="1" cm="1">
        <f t="array" ref="N54">_xlfn.SWITCH($A$2,"average", AVERAGE(Instances!N54:Instances!N54),"median", MEDIAN(Instances!N54:Instances!N54),"min", MIN(Instances!N54:Instances!N54),"max", MAX(Instances!N54:Instances!N54),"diff", MAX(Instances!N54:Instances!N54)-MIN(Instances!N54:Instances!N54))</f>
        <v>0</v>
      </c>
      <c r="O54" s="1"/>
      <c r="P54" s="1" cm="1">
        <f t="array" ref="P54">_xlfn.SWITCH($A$2,"average", AVERAGE(Instances!P54:Instances!P54),"median", MEDIAN(Instances!P54:Instances!P54),"min", MIN(Instances!P54:Instances!P54),"max", MAX(Instances!P54:Instances!P54),"diff", MAX(Instances!P54:Instances!P54)-MIN(Instances!P54:Instances!P54))</f>
        <v>0</v>
      </c>
      <c r="Q54" s="1" cm="1">
        <f t="array" ref="Q54">_xlfn.SWITCH($A$2,"average", AVERAGE(Instances!Q54:Instances!Q54),"median", MEDIAN(Instances!Q54:Instances!Q54),"min", MIN(Instances!Q54:Instances!Q54),"max", MAX(Instances!Q54:Instances!Q54),"diff", MAX(Instances!Q54:Instances!Q54)-MIN(Instances!Q54:Instances!Q54))</f>
        <v>0</v>
      </c>
      <c r="R54" s="1" cm="1">
        <f t="array" ref="R54">_xlfn.SWITCH($A$2,"average", AVERAGE(Instances!R54:Instances!R54),"median", MEDIAN(Instances!R54:Instances!R54),"min", MIN(Instances!R54:Instances!R54),"max", MAX(Instances!R54:Instances!R54),"diff", MAX(Instances!R54:Instances!R54)-MIN(Instances!R54:Instances!R54))</f>
        <v>0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 cm="1">
        <f t="array" ref="F55">_xlfn.SWITCH($A$2,"average", AVERAGE(Instances!F55:Instances!F55),"median", MEDIAN(Instances!F55:Instances!F55),"min", MIN(Instances!F55:Instances!F55),"max", MAX(Instances!F55:Instances!F55),"diff", MAX(Instances!F55:Instances!F55)-MIN(Instances!F55:Instances!F55))</f>
        <v>0</v>
      </c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 cm="1">
        <f t="array" ref="I55">_xlfn.SWITCH($A$2,"average", AVERAGE(Instances!I55:Instances!I55),"median", MEDIAN(Instances!I55:Instances!I55),"min", MIN(Instances!I55:Instances!I55),"max", MAX(Instances!I55:Instances!I55),"diff", MAX(Instances!I55:Instances!I55)-MIN(Instances!I55:Instances!I55))</f>
        <v>0</v>
      </c>
      <c r="J55" s="1" cm="1">
        <f t="array" ref="J55">_xlfn.SWITCH($A$2,"average", AVERAGE(Instances!J55:Instances!J55),"median", MEDIAN(Instances!J55:Instances!J55),"min", MIN(Instances!J55:Instances!J55),"max", MAX(Instances!J55:Instances!J55),"diff", MAX(Instances!J55:Instances!J55)-MIN(Instances!J55:Instances!J55))</f>
        <v>0</v>
      </c>
      <c r="K55" s="1" cm="1">
        <f t="array" ref="K55">_xlfn.SWITCH($A$2,"average", AVERAGE(Instances!K55:Instances!K55),"median", MEDIAN(Instances!K55:Instances!K55),"min", MIN(Instances!K55:Instances!K55),"max", MAX(Instances!K55:Instances!K55),"diff", MAX(Instances!K55:Instances!K55)-MIN(Instances!K55:Instances!K55))</f>
        <v>0</v>
      </c>
      <c r="L55" s="1"/>
      <c r="M55" s="1" cm="1">
        <f t="array" ref="M55">_xlfn.SWITCH($A$2,"average", AVERAGE(Instances!M55:Instances!M55),"median", MEDIAN(Instances!M55:Instances!M55),"min", MIN(Instances!M55:Instances!M55),"max", MAX(Instances!M55:Instances!M55),"diff", MAX(Instances!M55:Instances!M55)-MIN(Instances!M55:Instances!M55))</f>
        <v>0</v>
      </c>
      <c r="N55" s="1" cm="1">
        <f t="array" ref="N55">_xlfn.SWITCH($A$2,"average", AVERAGE(Instances!N55:Instances!N55),"median", MEDIAN(Instances!N55:Instances!N55),"min", MIN(Instances!N55:Instances!N55),"max", MAX(Instances!N55:Instances!N55),"diff", MAX(Instances!N55:Instances!N55)-MIN(Instances!N55:Instances!N55))</f>
        <v>0</v>
      </c>
      <c r="O55" s="1"/>
      <c r="P55" s="1" cm="1">
        <f t="array" ref="P55">_xlfn.SWITCH($A$2,"average", AVERAGE(Instances!P55:Instances!P55),"median", MEDIAN(Instances!P55:Instances!P55),"min", MIN(Instances!P55:Instances!P55),"max", MAX(Instances!P55:Instances!P55),"diff", MAX(Instances!P55:Instances!P55)-MIN(Instances!P55:Instances!P55))</f>
        <v>0</v>
      </c>
      <c r="Q55" s="1" cm="1">
        <f t="array" ref="Q55">_xlfn.SWITCH($A$2,"average", AVERAGE(Instances!Q55:Instances!Q55),"median", MEDIAN(Instances!Q55:Instances!Q55),"min", MIN(Instances!Q55:Instances!Q55),"max", MAX(Instances!Q55:Instances!Q55),"diff", MAX(Instances!Q55:Instances!Q55)-MIN(Instances!Q55:Instances!Q55))</f>
        <v>0</v>
      </c>
      <c r="R55" s="1" cm="1">
        <f t="array" ref="R55">_xlfn.SWITCH($A$2,"average", AVERAGE(Instances!R55:Instances!R55),"median", MEDIAN(Instances!R55:Instances!R55),"min", MIN(Instances!R55:Instances!R55),"max", MAX(Instances!R55:Instances!R55),"diff", MAX(Instances!R55:Instances!R55)-MIN(Instances!R55:Instances!R55))</f>
        <v>0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 cm="1">
        <f t="array" ref="F56">_xlfn.SWITCH($A$2,"average", AVERAGE(Instances!F56:Instances!F56),"median", MEDIAN(Instances!F56:Instances!F56),"min", MIN(Instances!F56:Instances!F56),"max", MAX(Instances!F56:Instances!F56),"diff", MAX(Instances!F56:Instances!F56)-MIN(Instances!F56:Instances!F56))</f>
        <v>0</v>
      </c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 cm="1">
        <f t="array" ref="I56">_xlfn.SWITCH($A$2,"average", AVERAGE(Instances!I56:Instances!I56),"median", MEDIAN(Instances!I56:Instances!I56),"min", MIN(Instances!I56:Instances!I56),"max", MAX(Instances!I56:Instances!I56),"diff", MAX(Instances!I56:Instances!I56)-MIN(Instances!I56:Instances!I56))</f>
        <v>0</v>
      </c>
      <c r="J56" s="1" cm="1">
        <f t="array" ref="J56">_xlfn.SWITCH($A$2,"average", AVERAGE(Instances!J56:Instances!J56),"median", MEDIAN(Instances!J56:Instances!J56),"min", MIN(Instances!J56:Instances!J56),"max", MAX(Instances!J56:Instances!J56),"diff", MAX(Instances!J56:Instances!J56)-MIN(Instances!J56:Instances!J56))</f>
        <v>0</v>
      </c>
      <c r="K56" s="1" cm="1">
        <f t="array" ref="K56">_xlfn.SWITCH($A$2,"average", AVERAGE(Instances!K56:Instances!K56),"median", MEDIAN(Instances!K56:Instances!K56),"min", MIN(Instances!K56:Instances!K56),"max", MAX(Instances!K56:Instances!K56),"diff", MAX(Instances!K56:Instances!K56)-MIN(Instances!K56:Instances!K56))</f>
        <v>0</v>
      </c>
      <c r="L56" s="1"/>
      <c r="M56" s="1" cm="1">
        <f t="array" ref="M56">_xlfn.SWITCH($A$2,"average", AVERAGE(Instances!M56:Instances!M56),"median", MEDIAN(Instances!M56:Instances!M56),"min", MIN(Instances!M56:Instances!M56),"max", MAX(Instances!M56:Instances!M56),"diff", MAX(Instances!M56:Instances!M56)-MIN(Instances!M56:Instances!M56))</f>
        <v>0</v>
      </c>
      <c r="N56" s="1" cm="1">
        <f t="array" ref="N56">_xlfn.SWITCH($A$2,"average", AVERAGE(Instances!N56:Instances!N56),"median", MEDIAN(Instances!N56:Instances!N56),"min", MIN(Instances!N56:Instances!N56),"max", MAX(Instances!N56:Instances!N56),"diff", MAX(Instances!N56:Instances!N56)-MIN(Instances!N56:Instances!N56))</f>
        <v>0</v>
      </c>
      <c r="O56" s="1"/>
      <c r="P56" s="1" cm="1">
        <f t="array" ref="P56">_xlfn.SWITCH($A$2,"average", AVERAGE(Instances!P56:Instances!P56),"median", MEDIAN(Instances!P56:Instances!P56),"min", MIN(Instances!P56:Instances!P56),"max", MAX(Instances!P56:Instances!P56),"diff", MAX(Instances!P56:Instances!P56)-MIN(Instances!P56:Instances!P56))</f>
        <v>0</v>
      </c>
      <c r="Q56" s="1" cm="1">
        <f t="array" ref="Q56">_xlfn.SWITCH($A$2,"average", AVERAGE(Instances!Q56:Instances!Q56),"median", MEDIAN(Instances!Q56:Instances!Q56),"min", MIN(Instances!Q56:Instances!Q56),"max", MAX(Instances!Q56:Instances!Q56),"diff", MAX(Instances!Q56:Instances!Q56)-MIN(Instances!Q56:Instances!Q56))</f>
        <v>0</v>
      </c>
      <c r="R56" s="1" cm="1">
        <f t="array" ref="R56">_xlfn.SWITCH($A$2,"average", AVERAGE(Instances!R56:Instances!R56),"median", MEDIAN(Instances!R56:Instances!R56),"min", MIN(Instances!R56:Instances!R56),"max", MAX(Instances!R56:Instances!R56),"diff", MAX(Instances!R56:Instances!R56)-MIN(Instances!R56:Instances!R56))</f>
        <v>0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 cm="1">
        <f t="array" ref="F57">_xlfn.SWITCH($A$2,"average", AVERAGE(Instances!F57:Instances!F57),"median", MEDIAN(Instances!F57:Instances!F57),"min", MIN(Instances!F57:Instances!F57),"max", MAX(Instances!F57:Instances!F57),"diff", MAX(Instances!F57:Instances!F57)-MIN(Instances!F57:Instances!F57))</f>
        <v>0</v>
      </c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 cm="1">
        <f t="array" ref="I57">_xlfn.SWITCH($A$2,"average", AVERAGE(Instances!I57:Instances!I57),"median", MEDIAN(Instances!I57:Instances!I57),"min", MIN(Instances!I57:Instances!I57),"max", MAX(Instances!I57:Instances!I57),"diff", MAX(Instances!I57:Instances!I57)-MIN(Instances!I57:Instances!I57))</f>
        <v>0</v>
      </c>
      <c r="J57" s="1" cm="1">
        <f t="array" ref="J57">_xlfn.SWITCH($A$2,"average", AVERAGE(Instances!J57:Instances!J57),"median", MEDIAN(Instances!J57:Instances!J57),"min", MIN(Instances!J57:Instances!J57),"max", MAX(Instances!J57:Instances!J57),"diff", MAX(Instances!J57:Instances!J57)-MIN(Instances!J57:Instances!J57))</f>
        <v>0</v>
      </c>
      <c r="K57" s="1" cm="1">
        <f t="array" ref="K57">_xlfn.SWITCH($A$2,"average", AVERAGE(Instances!K57:Instances!K57),"median", MEDIAN(Instances!K57:Instances!K57),"min", MIN(Instances!K57:Instances!K57),"max", MAX(Instances!K57:Instances!K57),"diff", MAX(Instances!K57:Instances!K57)-MIN(Instances!K57:Instances!K57))</f>
        <v>0</v>
      </c>
      <c r="L57" s="1"/>
      <c r="M57" s="1" cm="1">
        <f t="array" ref="M57">_xlfn.SWITCH($A$2,"average", AVERAGE(Instances!M57:Instances!M57),"median", MEDIAN(Instances!M57:Instances!M57),"min", MIN(Instances!M57:Instances!M57),"max", MAX(Instances!M57:Instances!M57),"diff", MAX(Instances!M57:Instances!M57)-MIN(Instances!M57:Instances!M57))</f>
        <v>0</v>
      </c>
      <c r="N57" s="1" cm="1">
        <f t="array" ref="N57">_xlfn.SWITCH($A$2,"average", AVERAGE(Instances!N57:Instances!N57),"median", MEDIAN(Instances!N57:Instances!N57),"min", MIN(Instances!N57:Instances!N57),"max", MAX(Instances!N57:Instances!N57),"diff", MAX(Instances!N57:Instances!N57)-MIN(Instances!N57:Instances!N57))</f>
        <v>0</v>
      </c>
      <c r="O57" s="1"/>
      <c r="P57" s="1" cm="1">
        <f t="array" ref="P57">_xlfn.SWITCH($A$2,"average", AVERAGE(Instances!P57:Instances!P57),"median", MEDIAN(Instances!P57:Instances!P57),"min", MIN(Instances!P57:Instances!P57),"max", MAX(Instances!P57:Instances!P57),"diff", MAX(Instances!P57:Instances!P57)-MIN(Instances!P57:Instances!P57))</f>
        <v>0</v>
      </c>
      <c r="Q57" s="1" cm="1">
        <f t="array" ref="Q57">_xlfn.SWITCH($A$2,"average", AVERAGE(Instances!Q57:Instances!Q57),"median", MEDIAN(Instances!Q57:Instances!Q57),"min", MIN(Instances!Q57:Instances!Q57),"max", MAX(Instances!Q57:Instances!Q57),"diff", MAX(Instances!Q57:Instances!Q57)-MIN(Instances!Q57:Instances!Q57))</f>
        <v>0</v>
      </c>
      <c r="R57" s="1" cm="1">
        <f t="array" ref="R57">_xlfn.SWITCH($A$2,"average", AVERAGE(Instances!R57:Instances!R57),"median", MEDIAN(Instances!R57:Instances!R57),"min", MIN(Instances!R57:Instances!R57),"max", MAX(Instances!R57:Instances!R57),"diff", MAX(Instances!R57:Instances!R57)-MIN(Instances!R57:Instances!R57))</f>
        <v>0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 cm="1">
        <f t="array" ref="F58">_xlfn.SWITCH($A$2,"average", AVERAGE(Instances!F58:Instances!F58),"median", MEDIAN(Instances!F58:Instances!F58),"min", MIN(Instances!F58:Instances!F58),"max", MAX(Instances!F58:Instances!F58),"diff", MAX(Instances!F58:Instances!F58)-MIN(Instances!F58:Instances!F58))</f>
        <v>0</v>
      </c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 cm="1">
        <f t="array" ref="I58">_xlfn.SWITCH($A$2,"average", AVERAGE(Instances!I58:Instances!I58),"median", MEDIAN(Instances!I58:Instances!I58),"min", MIN(Instances!I58:Instances!I58),"max", MAX(Instances!I58:Instances!I58),"diff", MAX(Instances!I58:Instances!I58)-MIN(Instances!I58:Instances!I58))</f>
        <v>0</v>
      </c>
      <c r="J58" s="1" cm="1">
        <f t="array" ref="J58">_xlfn.SWITCH($A$2,"average", AVERAGE(Instances!J58:Instances!J58),"median", MEDIAN(Instances!J58:Instances!J58),"min", MIN(Instances!J58:Instances!J58),"max", MAX(Instances!J58:Instances!J58),"diff", MAX(Instances!J58:Instances!J58)-MIN(Instances!J58:Instances!J58))</f>
        <v>0</v>
      </c>
      <c r="K58" s="1" cm="1">
        <f t="array" ref="K58">_xlfn.SWITCH($A$2,"average", AVERAGE(Instances!K58:Instances!K58),"median", MEDIAN(Instances!K58:Instances!K58),"min", MIN(Instances!K58:Instances!K58),"max", MAX(Instances!K58:Instances!K58),"diff", MAX(Instances!K58:Instances!K58)-MIN(Instances!K58:Instances!K58))</f>
        <v>0</v>
      </c>
      <c r="L58" s="1"/>
      <c r="M58" s="1" cm="1">
        <f t="array" ref="M58">_xlfn.SWITCH($A$2,"average", AVERAGE(Instances!M58:Instances!M58),"median", MEDIAN(Instances!M58:Instances!M58),"min", MIN(Instances!M58:Instances!M58),"max", MAX(Instances!M58:Instances!M58),"diff", MAX(Instances!M58:Instances!M58)-MIN(Instances!M58:Instances!M58))</f>
        <v>0</v>
      </c>
      <c r="N58" s="1" cm="1">
        <f t="array" ref="N58">_xlfn.SWITCH($A$2,"average", AVERAGE(Instances!N58:Instances!N58),"median", MEDIAN(Instances!N58:Instances!N58),"min", MIN(Instances!N58:Instances!N58),"max", MAX(Instances!N58:Instances!N58),"diff", MAX(Instances!N58:Instances!N58)-MIN(Instances!N58:Instances!N58))</f>
        <v>0</v>
      </c>
      <c r="O58" s="1"/>
      <c r="P58" s="1" cm="1">
        <f t="array" ref="P58">_xlfn.SWITCH($A$2,"average", AVERAGE(Instances!P58:Instances!P58),"median", MEDIAN(Instances!P58:Instances!P58),"min", MIN(Instances!P58:Instances!P58),"max", MAX(Instances!P58:Instances!P58),"diff", MAX(Instances!P58:Instances!P58)-MIN(Instances!P58:Instances!P58))</f>
        <v>0</v>
      </c>
      <c r="Q58" s="1" cm="1">
        <f t="array" ref="Q58">_xlfn.SWITCH($A$2,"average", AVERAGE(Instances!Q58:Instances!Q58),"median", MEDIAN(Instances!Q58:Instances!Q58),"min", MIN(Instances!Q58:Instances!Q58),"max", MAX(Instances!Q58:Instances!Q58),"diff", MAX(Instances!Q58:Instances!Q58)-MIN(Instances!Q58:Instances!Q58))</f>
        <v>0</v>
      </c>
      <c r="R58" s="1" cm="1">
        <f t="array" ref="R58">_xlfn.SWITCH($A$2,"average", AVERAGE(Instances!R58:Instances!R58),"median", MEDIAN(Instances!R58:Instances!R58),"min", MIN(Instances!R58:Instances!R58),"max", MAX(Instances!R58:Instances!R58),"diff", MAX(Instances!R58:Instances!R58)-MIN(Instances!R58:Instances!R58))</f>
        <v>0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 cm="1">
        <f t="array" ref="F59">_xlfn.SWITCH($A$2,"average", AVERAGE(Instances!F59:Instances!F59),"median", MEDIAN(Instances!F59:Instances!F59),"min", MIN(Instances!F59:Instances!F59),"max", MAX(Instances!F59:Instances!F59),"diff", MAX(Instances!F59:Instances!F59)-MIN(Instances!F59:Instances!F59))</f>
        <v>0</v>
      </c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 cm="1">
        <f t="array" ref="I59">_xlfn.SWITCH($A$2,"average", AVERAGE(Instances!I59:Instances!I59),"median", MEDIAN(Instances!I59:Instances!I59),"min", MIN(Instances!I59:Instances!I59),"max", MAX(Instances!I59:Instances!I59),"diff", MAX(Instances!I59:Instances!I59)-MIN(Instances!I59:Instances!I59))</f>
        <v>0</v>
      </c>
      <c r="J59" s="1" cm="1">
        <f t="array" ref="J59">_xlfn.SWITCH($A$2,"average", AVERAGE(Instances!J59:Instances!J59),"median", MEDIAN(Instances!J59:Instances!J59),"min", MIN(Instances!J59:Instances!J59),"max", MAX(Instances!J59:Instances!J59),"diff", MAX(Instances!J59:Instances!J59)-MIN(Instances!J59:Instances!J59))</f>
        <v>0</v>
      </c>
      <c r="K59" s="1" cm="1">
        <f t="array" ref="K59">_xlfn.SWITCH($A$2,"average", AVERAGE(Instances!K59:Instances!K59),"median", MEDIAN(Instances!K59:Instances!K59),"min", MIN(Instances!K59:Instances!K59),"max", MAX(Instances!K59:Instances!K59),"diff", MAX(Instances!K59:Instances!K59)-MIN(Instances!K59:Instances!K59))</f>
        <v>0</v>
      </c>
      <c r="L59" s="1"/>
      <c r="M59" s="1" cm="1">
        <f t="array" ref="M59">_xlfn.SWITCH($A$2,"average", AVERAGE(Instances!M59:Instances!M59),"median", MEDIAN(Instances!M59:Instances!M59),"min", MIN(Instances!M59:Instances!M59),"max", MAX(Instances!M59:Instances!M59),"diff", MAX(Instances!M59:Instances!M59)-MIN(Instances!M59:Instances!M59))</f>
        <v>0</v>
      </c>
      <c r="N59" s="1" cm="1">
        <f t="array" ref="N59">_xlfn.SWITCH($A$2,"average", AVERAGE(Instances!N59:Instances!N59),"median", MEDIAN(Instances!N59:Instances!N59),"min", MIN(Instances!N59:Instances!N59),"max", MAX(Instances!N59:Instances!N59),"diff", MAX(Instances!N59:Instances!N59)-MIN(Instances!N59:Instances!N59))</f>
        <v>0</v>
      </c>
      <c r="O59" s="1"/>
      <c r="P59" s="1" cm="1">
        <f t="array" ref="P59">_xlfn.SWITCH($A$2,"average", AVERAGE(Instances!P59:Instances!P59),"median", MEDIAN(Instances!P59:Instances!P59),"min", MIN(Instances!P59:Instances!P59),"max", MAX(Instances!P59:Instances!P59),"diff", MAX(Instances!P59:Instances!P59)-MIN(Instances!P59:Instances!P59))</f>
        <v>0</v>
      </c>
      <c r="Q59" s="1" cm="1">
        <f t="array" ref="Q59">_xlfn.SWITCH($A$2,"average", AVERAGE(Instances!Q59:Instances!Q59),"median", MEDIAN(Instances!Q59:Instances!Q59),"min", MIN(Instances!Q59:Instances!Q59),"max", MAX(Instances!Q59:Instances!Q59),"diff", MAX(Instances!Q59:Instances!Q59)-MIN(Instances!Q59:Instances!Q59))</f>
        <v>0</v>
      </c>
      <c r="R59" s="1" cm="1">
        <f t="array" ref="R59">_xlfn.SWITCH($A$2,"average", AVERAGE(Instances!R59:Instances!R59),"median", MEDIAN(Instances!R59:Instances!R59),"min", MIN(Instances!R59:Instances!R59),"max", MAX(Instances!R59:Instances!R59),"diff", MAX(Instances!R59:Instances!R59)-MIN(Instances!R59:Instances!R59))</f>
        <v>0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 cm="1">
        <f t="array" ref="F60">_xlfn.SWITCH($A$2,"average", AVERAGE(Instances!F60:Instances!F60),"median", MEDIAN(Instances!F60:Instances!F60),"min", MIN(Instances!F60:Instances!F60),"max", MAX(Instances!F60:Instances!F60),"diff", MAX(Instances!F60:Instances!F60)-MIN(Instances!F60:Instances!F60))</f>
        <v>0</v>
      </c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 cm="1">
        <f t="array" ref="I60">_xlfn.SWITCH($A$2,"average", AVERAGE(Instances!I60:Instances!I60),"median", MEDIAN(Instances!I60:Instances!I60),"min", MIN(Instances!I60:Instances!I60),"max", MAX(Instances!I60:Instances!I60),"diff", MAX(Instances!I60:Instances!I60)-MIN(Instances!I60:Instances!I60))</f>
        <v>0</v>
      </c>
      <c r="J60" s="1" cm="1">
        <f t="array" ref="J60">_xlfn.SWITCH($A$2,"average", AVERAGE(Instances!J60:Instances!J60),"median", MEDIAN(Instances!J60:Instances!J60),"min", MIN(Instances!J60:Instances!J60),"max", MAX(Instances!J60:Instances!J60),"diff", MAX(Instances!J60:Instances!J60)-MIN(Instances!J60:Instances!J60))</f>
        <v>0</v>
      </c>
      <c r="K60" s="1" cm="1">
        <f t="array" ref="K60">_xlfn.SWITCH($A$2,"average", AVERAGE(Instances!K60:Instances!K60),"median", MEDIAN(Instances!K60:Instances!K60),"min", MIN(Instances!K60:Instances!K60),"max", MAX(Instances!K60:Instances!K60),"diff", MAX(Instances!K60:Instances!K60)-MIN(Instances!K60:Instances!K60))</f>
        <v>0</v>
      </c>
      <c r="L60" s="1"/>
      <c r="M60" s="1" cm="1">
        <f t="array" ref="M60">_xlfn.SWITCH($A$2,"average", AVERAGE(Instances!M60:Instances!M60),"median", MEDIAN(Instances!M60:Instances!M60),"min", MIN(Instances!M60:Instances!M60),"max", MAX(Instances!M60:Instances!M60),"diff", MAX(Instances!M60:Instances!M60)-MIN(Instances!M60:Instances!M60))</f>
        <v>0</v>
      </c>
      <c r="N60" s="1" cm="1">
        <f t="array" ref="N60">_xlfn.SWITCH($A$2,"average", AVERAGE(Instances!N60:Instances!N60),"median", MEDIAN(Instances!N60:Instances!N60),"min", MIN(Instances!N60:Instances!N60),"max", MAX(Instances!N60:Instances!N60),"diff", MAX(Instances!N60:Instances!N60)-MIN(Instances!N60:Instances!N60))</f>
        <v>0</v>
      </c>
      <c r="O60" s="1"/>
      <c r="P60" s="1" cm="1">
        <f t="array" ref="P60">_xlfn.SWITCH($A$2,"average", AVERAGE(Instances!P60:Instances!P60),"median", MEDIAN(Instances!P60:Instances!P60),"min", MIN(Instances!P60:Instances!P60),"max", MAX(Instances!P60:Instances!P60),"diff", MAX(Instances!P60:Instances!P60)-MIN(Instances!P60:Instances!P60))</f>
        <v>0</v>
      </c>
      <c r="Q60" s="1" cm="1">
        <f t="array" ref="Q60">_xlfn.SWITCH($A$2,"average", AVERAGE(Instances!Q60:Instances!Q60),"median", MEDIAN(Instances!Q60:Instances!Q60),"min", MIN(Instances!Q60:Instances!Q60),"max", MAX(Instances!Q60:Instances!Q60),"diff", MAX(Instances!Q60:Instances!Q60)-MIN(Instances!Q60:Instances!Q60))</f>
        <v>0</v>
      </c>
      <c r="R60" s="1" cm="1">
        <f t="array" ref="R60">_xlfn.SWITCH($A$2,"average", AVERAGE(Instances!R60:Instances!R60),"median", MEDIAN(Instances!R60:Instances!R60),"min", MIN(Instances!R60:Instances!R60),"max", MAX(Instances!R60:Instances!R60),"diff", MAX(Instances!R60:Instances!R60)-MIN(Instances!R60:Instances!R60))</f>
        <v>0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 cm="1">
        <f t="array" ref="F61">_xlfn.SWITCH($A$2,"average", AVERAGE(Instances!F61:Instances!F61),"median", MEDIAN(Instances!F61:Instances!F61),"min", MIN(Instances!F61:Instances!F61),"max", MAX(Instances!F61:Instances!F61),"diff", MAX(Instances!F61:Instances!F61)-MIN(Instances!F61:Instances!F61))</f>
        <v>0</v>
      </c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 cm="1">
        <f t="array" ref="I61">_xlfn.SWITCH($A$2,"average", AVERAGE(Instances!I61:Instances!I61),"median", MEDIAN(Instances!I61:Instances!I61),"min", MIN(Instances!I61:Instances!I61),"max", MAX(Instances!I61:Instances!I61),"diff", MAX(Instances!I61:Instances!I61)-MIN(Instances!I61:Instances!I61))</f>
        <v>0</v>
      </c>
      <c r="J61" s="1" cm="1">
        <f t="array" ref="J61">_xlfn.SWITCH($A$2,"average", AVERAGE(Instances!J61:Instances!J61),"median", MEDIAN(Instances!J61:Instances!J61),"min", MIN(Instances!J61:Instances!J61),"max", MAX(Instances!J61:Instances!J61),"diff", MAX(Instances!J61:Instances!J61)-MIN(Instances!J61:Instances!J61))</f>
        <v>0</v>
      </c>
      <c r="K61" s="1" cm="1">
        <f t="array" ref="K61">_xlfn.SWITCH($A$2,"average", AVERAGE(Instances!K61:Instances!K61),"median", MEDIAN(Instances!K61:Instances!K61),"min", MIN(Instances!K61:Instances!K61),"max", MAX(Instances!K61:Instances!K61),"diff", MAX(Instances!K61:Instances!K61)-MIN(Instances!K61:Instances!K61))</f>
        <v>0</v>
      </c>
      <c r="L61" s="1"/>
      <c r="M61" s="1" cm="1">
        <f t="array" ref="M61">_xlfn.SWITCH($A$2,"average", AVERAGE(Instances!M61:Instances!M61),"median", MEDIAN(Instances!M61:Instances!M61),"min", MIN(Instances!M61:Instances!M61),"max", MAX(Instances!M61:Instances!M61),"diff", MAX(Instances!M61:Instances!M61)-MIN(Instances!M61:Instances!M61))</f>
        <v>0</v>
      </c>
      <c r="N61" s="1" cm="1">
        <f t="array" ref="N61">_xlfn.SWITCH($A$2,"average", AVERAGE(Instances!N61:Instances!N61),"median", MEDIAN(Instances!N61:Instances!N61),"min", MIN(Instances!N61:Instances!N61),"max", MAX(Instances!N61:Instances!N61),"diff", MAX(Instances!N61:Instances!N61)-MIN(Instances!N61:Instances!N61))</f>
        <v>0</v>
      </c>
      <c r="O61" s="1"/>
      <c r="P61" s="1" cm="1">
        <f t="array" ref="P61">_xlfn.SWITCH($A$2,"average", AVERAGE(Instances!P61:Instances!P61),"median", MEDIAN(Instances!P61:Instances!P61),"min", MIN(Instances!P61:Instances!P61),"max", MAX(Instances!P61:Instances!P61),"diff", MAX(Instances!P61:Instances!P61)-MIN(Instances!P61:Instances!P61))</f>
        <v>0</v>
      </c>
      <c r="Q61" s="1" cm="1">
        <f t="array" ref="Q61">_xlfn.SWITCH($A$2,"average", AVERAGE(Instances!Q61:Instances!Q61),"median", MEDIAN(Instances!Q61:Instances!Q61),"min", MIN(Instances!Q61:Instances!Q61),"max", MAX(Instances!Q61:Instances!Q61),"diff", MAX(Instances!Q61:Instances!Q61)-MIN(Instances!Q61:Instances!Q61))</f>
        <v>0</v>
      </c>
      <c r="R61" s="1" cm="1">
        <f t="array" ref="R61">_xlfn.SWITCH($A$2,"average", AVERAGE(Instances!R61:Instances!R61),"median", MEDIAN(Instances!R61:Instances!R61),"min", MIN(Instances!R61:Instances!R61),"max", MAX(Instances!R61:Instances!R61),"diff", MAX(Instances!R61:Instances!R61)-MIN(Instances!R61:Instances!R61))</f>
        <v>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 cm="1">
        <f t="array" ref="F62">_xlfn.SWITCH($A$2,"average", AVERAGE(Instances!F62:Instances!F62),"median", MEDIAN(Instances!F62:Instances!F62),"min", MIN(Instances!F62:Instances!F62),"max", MAX(Instances!F62:Instances!F62),"diff", MAX(Instances!F62:Instances!F62)-MIN(Instances!F62:Instances!F62))</f>
        <v>0</v>
      </c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 cm="1">
        <f t="array" ref="I62">_xlfn.SWITCH($A$2,"average", AVERAGE(Instances!I62:Instances!I62),"median", MEDIAN(Instances!I62:Instances!I62),"min", MIN(Instances!I62:Instances!I62),"max", MAX(Instances!I62:Instances!I62),"diff", MAX(Instances!I62:Instances!I62)-MIN(Instances!I62:Instances!I62))</f>
        <v>0</v>
      </c>
      <c r="J62" s="1" cm="1">
        <f t="array" ref="J62">_xlfn.SWITCH($A$2,"average", AVERAGE(Instances!J62:Instances!J62),"median", MEDIAN(Instances!J62:Instances!J62),"min", MIN(Instances!J62:Instances!J62),"max", MAX(Instances!J62:Instances!J62),"diff", MAX(Instances!J62:Instances!J62)-MIN(Instances!J62:Instances!J62))</f>
        <v>0</v>
      </c>
      <c r="K62" s="1" cm="1">
        <f t="array" ref="K62">_xlfn.SWITCH($A$2,"average", AVERAGE(Instances!K62:Instances!K62),"median", MEDIAN(Instances!K62:Instances!K62),"min", MIN(Instances!K62:Instances!K62),"max", MAX(Instances!K62:Instances!K62),"diff", MAX(Instances!K62:Instances!K62)-MIN(Instances!K62:Instances!K62))</f>
        <v>0</v>
      </c>
      <c r="L62" s="1"/>
      <c r="M62" s="1" cm="1">
        <f t="array" ref="M62">_xlfn.SWITCH($A$2,"average", AVERAGE(Instances!M62:Instances!M62),"median", MEDIAN(Instances!M62:Instances!M62),"min", MIN(Instances!M62:Instances!M62),"max", MAX(Instances!M62:Instances!M62),"diff", MAX(Instances!M62:Instances!M62)-MIN(Instances!M62:Instances!M62))</f>
        <v>0</v>
      </c>
      <c r="N62" s="1" cm="1">
        <f t="array" ref="N62">_xlfn.SWITCH($A$2,"average", AVERAGE(Instances!N62:Instances!N62),"median", MEDIAN(Instances!N62:Instances!N62),"min", MIN(Instances!N62:Instances!N62),"max", MAX(Instances!N62:Instances!N62),"diff", MAX(Instances!N62:Instances!N62)-MIN(Instances!N62:Instances!N62))</f>
        <v>0</v>
      </c>
      <c r="O62" s="1"/>
      <c r="P62" s="1" cm="1">
        <f t="array" ref="P62">_xlfn.SWITCH($A$2,"average", AVERAGE(Instances!P62:Instances!P62),"median", MEDIAN(Instances!P62:Instances!P62),"min", MIN(Instances!P62:Instances!P62),"max", MAX(Instances!P62:Instances!P62),"diff", MAX(Instances!P62:Instances!P62)-MIN(Instances!P62:Instances!P62))</f>
        <v>0</v>
      </c>
      <c r="Q62" s="1" cm="1">
        <f t="array" ref="Q62">_xlfn.SWITCH($A$2,"average", AVERAGE(Instances!Q62:Instances!Q62),"median", MEDIAN(Instances!Q62:Instances!Q62),"min", MIN(Instances!Q62:Instances!Q62),"max", MAX(Instances!Q62:Instances!Q62),"diff", MAX(Instances!Q62:Instances!Q62)-MIN(Instances!Q62:Instances!Q62))</f>
        <v>0</v>
      </c>
      <c r="R62" s="1" cm="1">
        <f t="array" ref="R62">_xlfn.SWITCH($A$2,"average", AVERAGE(Instances!R62:Instances!R62),"median", MEDIAN(Instances!R62:Instances!R62),"min", MIN(Instances!R62:Instances!R62),"max", MAX(Instances!R62:Instances!R62),"diff", MAX(Instances!R62:Instances!R62)-MIN(Instances!R62:Instances!R62))</f>
        <v>0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 cm="1">
        <f t="array" ref="F63">_xlfn.SWITCH($A$2,"average", AVERAGE(Instances!F63:Instances!F63),"median", MEDIAN(Instances!F63:Instances!F63),"min", MIN(Instances!F63:Instances!F63),"max", MAX(Instances!F63:Instances!F63),"diff", MAX(Instances!F63:Instances!F63)-MIN(Instances!F63:Instances!F63))</f>
        <v>0</v>
      </c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 cm="1">
        <f t="array" ref="H63">_xlfn.SWITCH($A$2,"average", AVERAGE(Instances!H63:Instances!H63),"median", MEDIAN(Instances!H63:Instances!H63),"min", MIN(Instances!H63:Instances!H63),"max", MAX(Instances!H63:Instances!H63),"diff", MAX(Instances!H63:Instances!H63)-MIN(Instances!H63:Instances!H63))</f>
        <v>0</v>
      </c>
      <c r="I63" s="1" cm="1">
        <f t="array" ref="I63">_xlfn.SWITCH($A$2,"average", AVERAGE(Instances!I63:Instances!I63),"median", MEDIAN(Instances!I63:Instances!I63),"min", MIN(Instances!I63:Instances!I63),"max", MAX(Instances!I63:Instances!I63),"diff", MAX(Instances!I63:Instances!I63)-MIN(Instances!I63:Instances!I63))</f>
        <v>0</v>
      </c>
      <c r="J63" s="1" cm="1">
        <f t="array" ref="J63">_xlfn.SWITCH($A$2,"average", AVERAGE(Instances!J63:Instances!J63),"median", MEDIAN(Instances!J63:Instances!J63),"min", MIN(Instances!J63:Instances!J63),"max", MAX(Instances!J63:Instances!J63),"diff", MAX(Instances!J63:Instances!J63)-MIN(Instances!J63:Instances!J63))</f>
        <v>0</v>
      </c>
      <c r="K63" s="1" cm="1">
        <f t="array" ref="K63">_xlfn.SWITCH($A$2,"average", AVERAGE(Instances!K63:Instances!K63),"median", MEDIAN(Instances!K63:Instances!K63),"min", MIN(Instances!K63:Instances!K63),"max", MAX(Instances!K63:Instances!K63),"diff", MAX(Instances!K63:Instances!K63)-MIN(Instances!K63:Instances!K63))</f>
        <v>0</v>
      </c>
      <c r="L63" s="1"/>
      <c r="M63" s="1" cm="1">
        <f t="array" ref="M63">_xlfn.SWITCH($A$2,"average", AVERAGE(Instances!M63:Instances!M63),"median", MEDIAN(Instances!M63:Instances!M63),"min", MIN(Instances!M63:Instances!M63),"max", MAX(Instances!M63:Instances!M63),"diff", MAX(Instances!M63:Instances!M63)-MIN(Instances!M63:Instances!M63))</f>
        <v>0</v>
      </c>
      <c r="N63" s="1" cm="1">
        <f t="array" ref="N63">_xlfn.SWITCH($A$2,"average", AVERAGE(Instances!N63:Instances!N63),"median", MEDIAN(Instances!N63:Instances!N63),"min", MIN(Instances!N63:Instances!N63),"max", MAX(Instances!N63:Instances!N63),"diff", MAX(Instances!N63:Instances!N63)-MIN(Instances!N63:Instances!N63))</f>
        <v>0</v>
      </c>
      <c r="O63" s="1"/>
      <c r="P63" s="1" cm="1">
        <f t="array" ref="P63">_xlfn.SWITCH($A$2,"average", AVERAGE(Instances!P63:Instances!P63),"median", MEDIAN(Instances!P63:Instances!P63),"min", MIN(Instances!P63:Instances!P63),"max", MAX(Instances!P63:Instances!P63),"diff", MAX(Instances!P63:Instances!P63)-MIN(Instances!P63:Instances!P63))</f>
        <v>0</v>
      </c>
      <c r="Q63" s="1" cm="1">
        <f t="array" ref="Q63">_xlfn.SWITCH($A$2,"average", AVERAGE(Instances!Q63:Instances!Q63),"median", MEDIAN(Instances!Q63:Instances!Q63),"min", MIN(Instances!Q63:Instances!Q63),"max", MAX(Instances!Q63:Instances!Q63),"diff", MAX(Instances!Q63:Instances!Q63)-MIN(Instances!Q63:Instances!Q63))</f>
        <v>0</v>
      </c>
      <c r="R63" s="1" cm="1">
        <f t="array" ref="R63">_xlfn.SWITCH($A$2,"average", AVERAGE(Instances!R63:Instances!R63),"median", MEDIAN(Instances!R63:Instances!R63),"min", MIN(Instances!R63:Instances!R63),"max", MAX(Instances!R63:Instances!R63),"diff", MAX(Instances!R63:Instances!R63)-MIN(Instances!R63:Instances!R63))</f>
        <v>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 cm="1">
        <f t="array" ref="F64">_xlfn.SWITCH($A$2,"average", AVERAGE(Instances!F64:Instances!F64),"median", MEDIAN(Instances!F64:Instances!F64),"min", MIN(Instances!F64:Instances!F64),"max", MAX(Instances!F64:Instances!F64),"diff", MAX(Instances!F64:Instances!F64)-MIN(Instances!F64:Instances!F64))</f>
        <v>0</v>
      </c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 cm="1">
        <f t="array" ref="H64">_xlfn.SWITCH($A$2,"average", AVERAGE(Instances!H64:Instances!H64),"median", MEDIAN(Instances!H64:Instances!H64),"min", MIN(Instances!H64:Instances!H64),"max", MAX(Instances!H64:Instances!H64),"diff", MAX(Instances!H64:Instances!H64)-MIN(Instances!H64:Instances!H64))</f>
        <v>0</v>
      </c>
      <c r="I64" s="1" cm="1">
        <f t="array" ref="I64">_xlfn.SWITCH($A$2,"average", AVERAGE(Instances!I64:Instances!I64),"median", MEDIAN(Instances!I64:Instances!I64),"min", MIN(Instances!I64:Instances!I64),"max", MAX(Instances!I64:Instances!I64),"diff", MAX(Instances!I64:Instances!I64)-MIN(Instances!I64:Instances!I64))</f>
        <v>0</v>
      </c>
      <c r="J64" s="1" cm="1">
        <f t="array" ref="J64">_xlfn.SWITCH($A$2,"average", AVERAGE(Instances!J64:Instances!J64),"median", MEDIAN(Instances!J64:Instances!J64),"min", MIN(Instances!J64:Instances!J64),"max", MAX(Instances!J64:Instances!J64),"diff", MAX(Instances!J64:Instances!J64)-MIN(Instances!J64:Instances!J64))</f>
        <v>0</v>
      </c>
      <c r="K64" s="1" cm="1">
        <f t="array" ref="K64">_xlfn.SWITCH($A$2,"average", AVERAGE(Instances!K64:Instances!K64),"median", MEDIAN(Instances!K64:Instances!K64),"min", MIN(Instances!K64:Instances!K64),"max", MAX(Instances!K64:Instances!K64),"diff", MAX(Instances!K64:Instances!K64)-MIN(Instances!K64:Instances!K64))</f>
        <v>0</v>
      </c>
      <c r="L64" s="1"/>
      <c r="M64" s="1" cm="1">
        <f t="array" ref="M64">_xlfn.SWITCH($A$2,"average", AVERAGE(Instances!M64:Instances!M64),"median", MEDIAN(Instances!M64:Instances!M64),"min", MIN(Instances!M64:Instances!M64),"max", MAX(Instances!M64:Instances!M64),"diff", MAX(Instances!M64:Instances!M64)-MIN(Instances!M64:Instances!M64))</f>
        <v>0</v>
      </c>
      <c r="N64" s="1" cm="1">
        <f t="array" ref="N64">_xlfn.SWITCH($A$2,"average", AVERAGE(Instances!N64:Instances!N64),"median", MEDIAN(Instances!N64:Instances!N64),"min", MIN(Instances!N64:Instances!N64),"max", MAX(Instances!N64:Instances!N64),"diff", MAX(Instances!N64:Instances!N64)-MIN(Instances!N64:Instances!N64))</f>
        <v>0</v>
      </c>
      <c r="O64" s="1"/>
      <c r="P64" s="1" cm="1">
        <f t="array" ref="P64">_xlfn.SWITCH($A$2,"average", AVERAGE(Instances!P64:Instances!P64),"median", MEDIAN(Instances!P64:Instances!P64),"min", MIN(Instances!P64:Instances!P64),"max", MAX(Instances!P64:Instances!P64),"diff", MAX(Instances!P64:Instances!P64)-MIN(Instances!P64:Instances!P64))</f>
        <v>0</v>
      </c>
      <c r="Q64" s="1" cm="1">
        <f t="array" ref="Q64">_xlfn.SWITCH($A$2,"average", AVERAGE(Instances!Q64:Instances!Q64),"median", MEDIAN(Instances!Q64:Instances!Q64),"min", MIN(Instances!Q64:Instances!Q64),"max", MAX(Instances!Q64:Instances!Q64),"diff", MAX(Instances!Q64:Instances!Q64)-MIN(Instances!Q64:Instances!Q64))</f>
        <v>0</v>
      </c>
      <c r="R64" s="1" cm="1">
        <f t="array" ref="R64">_xlfn.SWITCH($A$2,"average", AVERAGE(Instances!R64:Instances!R64),"median", MEDIAN(Instances!R64:Instances!R64),"min", MIN(Instances!R64:Instances!R64),"max", MAX(Instances!R64:Instances!R64),"diff", MAX(Instances!R64:Instances!R64)-MIN(Instances!R64:Instances!R64))</f>
        <v>0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 cm="1">
        <f t="array" ref="F65">_xlfn.SWITCH($A$2,"average", AVERAGE(Instances!F65:Instances!F65),"median", MEDIAN(Instances!F65:Instances!F65),"min", MIN(Instances!F65:Instances!F65),"max", MAX(Instances!F65:Instances!F65),"diff", MAX(Instances!F65:Instances!F65)-MIN(Instances!F65:Instances!F65))</f>
        <v>0</v>
      </c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 cm="1">
        <f t="array" ref="H65">_xlfn.SWITCH($A$2,"average", AVERAGE(Instances!H65:Instances!H65),"median", MEDIAN(Instances!H65:Instances!H65),"min", MIN(Instances!H65:Instances!H65),"max", MAX(Instances!H65:Instances!H65),"diff", MAX(Instances!H65:Instances!H65)-MIN(Instances!H65:Instances!H65))</f>
        <v>0</v>
      </c>
      <c r="I65" s="1" cm="1">
        <f t="array" ref="I65">_xlfn.SWITCH($A$2,"average", AVERAGE(Instances!I65:Instances!I65),"median", MEDIAN(Instances!I65:Instances!I65),"min", MIN(Instances!I65:Instances!I65),"max", MAX(Instances!I65:Instances!I65),"diff", MAX(Instances!I65:Instances!I65)-MIN(Instances!I65:Instances!I65))</f>
        <v>0</v>
      </c>
      <c r="J65" s="1" cm="1">
        <f t="array" ref="J65">_xlfn.SWITCH($A$2,"average", AVERAGE(Instances!J65:Instances!J65),"median", MEDIAN(Instances!J65:Instances!J65),"min", MIN(Instances!J65:Instances!J65),"max", MAX(Instances!J65:Instances!J65),"diff", MAX(Instances!J65:Instances!J65)-MIN(Instances!J65:Instances!J65))</f>
        <v>0</v>
      </c>
      <c r="K65" s="1" cm="1">
        <f t="array" ref="K65">_xlfn.SWITCH($A$2,"average", AVERAGE(Instances!K65:Instances!K65),"median", MEDIAN(Instances!K65:Instances!K65),"min", MIN(Instances!K65:Instances!K65),"max", MAX(Instances!K65:Instances!K65),"diff", MAX(Instances!K65:Instances!K65)-MIN(Instances!K65:Instances!K65))</f>
        <v>0</v>
      </c>
      <c r="L65" s="1"/>
      <c r="M65" s="1" cm="1">
        <f t="array" ref="M65">_xlfn.SWITCH($A$2,"average", AVERAGE(Instances!M65:Instances!M65),"median", MEDIAN(Instances!M65:Instances!M65),"min", MIN(Instances!M65:Instances!M65),"max", MAX(Instances!M65:Instances!M65),"diff", MAX(Instances!M65:Instances!M65)-MIN(Instances!M65:Instances!M65))</f>
        <v>0</v>
      </c>
      <c r="N65" s="1" cm="1">
        <f t="array" ref="N65">_xlfn.SWITCH($A$2,"average", AVERAGE(Instances!N65:Instances!N65),"median", MEDIAN(Instances!N65:Instances!N65),"min", MIN(Instances!N65:Instances!N65),"max", MAX(Instances!N65:Instances!N65),"diff", MAX(Instances!N65:Instances!N65)-MIN(Instances!N65:Instances!N65))</f>
        <v>0</v>
      </c>
      <c r="O65" s="1"/>
      <c r="P65" s="1" cm="1">
        <f t="array" ref="P65">_xlfn.SWITCH($A$2,"average", AVERAGE(Instances!P65:Instances!P65),"median", MEDIAN(Instances!P65:Instances!P65),"min", MIN(Instances!P65:Instances!P65),"max", MAX(Instances!P65:Instances!P65),"diff", MAX(Instances!P65:Instances!P65)-MIN(Instances!P65:Instances!P65))</f>
        <v>0</v>
      </c>
      <c r="Q65" s="1" cm="1">
        <f t="array" ref="Q65">_xlfn.SWITCH($A$2,"average", AVERAGE(Instances!Q65:Instances!Q65),"median", MEDIAN(Instances!Q65:Instances!Q65),"min", MIN(Instances!Q65:Instances!Q65),"max", MAX(Instances!Q65:Instances!Q65),"diff", MAX(Instances!Q65:Instances!Q65)-MIN(Instances!Q65:Instances!Q65))</f>
        <v>0</v>
      </c>
      <c r="R65" s="1" cm="1">
        <f t="array" ref="R65">_xlfn.SWITCH($A$2,"average", AVERAGE(Instances!R65:Instances!R65),"median", MEDIAN(Instances!R65:Instances!R65),"min", MIN(Instances!R65:Instances!R65),"max", MAX(Instances!R65:Instances!R65),"diff", MAX(Instances!R65:Instances!R65)-MIN(Instances!R65:Instances!R65))</f>
        <v>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 cm="1">
        <f t="array" ref="D66">_xlfn.SWITCH($A$2,"average", AVERAGE(Instances!D66:Instances!D66),"median", MEDIAN(Instances!D66:Instances!D66),"min", MIN(Instances!D66:Instances!D66),"max", MAX(Instances!D66:Instances!D66),"diff", MAX(Instances!D66:Instances!D66)-MIN(Instances!D66:Instances!D66))</f>
        <v>0</v>
      </c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 cm="1">
        <f t="array" ref="F66">_xlfn.SWITCH($A$2,"average", AVERAGE(Instances!F66:Instances!F66),"median", MEDIAN(Instances!F66:Instances!F66),"min", MIN(Instances!F66:Instances!F66),"max", MAX(Instances!F66:Instances!F66),"diff", MAX(Instances!F66:Instances!F66)-MIN(Instances!F66:Instances!F66))</f>
        <v>0</v>
      </c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 cm="1">
        <f t="array" ref="H66">_xlfn.SWITCH($A$2,"average", AVERAGE(Instances!H66:Instances!H66),"median", MEDIAN(Instances!H66:Instances!H66),"min", MIN(Instances!H66:Instances!H66),"max", MAX(Instances!H66:Instances!H66),"diff", MAX(Instances!H66:Instances!H66)-MIN(Instances!H66:Instances!H66))</f>
        <v>0</v>
      </c>
      <c r="I66" s="1" cm="1">
        <f t="array" ref="I66">_xlfn.SWITCH($A$2,"average", AVERAGE(Instances!I66:Instances!I66),"median", MEDIAN(Instances!I66:Instances!I66),"min", MIN(Instances!I66:Instances!I66),"max", MAX(Instances!I66:Instances!I66),"diff", MAX(Instances!I66:Instances!I66)-MIN(Instances!I66:Instances!I66))</f>
        <v>0</v>
      </c>
      <c r="J66" s="1" cm="1">
        <f t="array" ref="J66">_xlfn.SWITCH($A$2,"average", AVERAGE(Instances!J66:Instances!J66),"median", MEDIAN(Instances!J66:Instances!J66),"min", MIN(Instances!J66:Instances!J66),"max", MAX(Instances!J66:Instances!J66),"diff", MAX(Instances!J66:Instances!J66)-MIN(Instances!J66:Instances!J66))</f>
        <v>0</v>
      </c>
      <c r="K66" s="1" cm="1">
        <f t="array" ref="K66">_xlfn.SWITCH($A$2,"average", AVERAGE(Instances!K66:Instances!K66),"median", MEDIAN(Instances!K66:Instances!K66),"min", MIN(Instances!K66:Instances!K66),"max", MAX(Instances!K66:Instances!K66),"diff", MAX(Instances!K66:Instances!K66)-MIN(Instances!K66:Instances!K66))</f>
        <v>0</v>
      </c>
      <c r="L66" s="1"/>
      <c r="M66" s="1" cm="1">
        <f t="array" ref="M66">_xlfn.SWITCH($A$2,"average", AVERAGE(Instances!M66:Instances!M66),"median", MEDIAN(Instances!M66:Instances!M66),"min", MIN(Instances!M66:Instances!M66),"max", MAX(Instances!M66:Instances!M66),"diff", MAX(Instances!M66:Instances!M66)-MIN(Instances!M66:Instances!M66))</f>
        <v>0</v>
      </c>
      <c r="N66" s="1" cm="1">
        <f t="array" ref="N66">_xlfn.SWITCH($A$2,"average", AVERAGE(Instances!N66:Instances!N66),"median", MEDIAN(Instances!N66:Instances!N66),"min", MIN(Instances!N66:Instances!N66),"max", MAX(Instances!N66:Instances!N66),"diff", MAX(Instances!N66:Instances!N66)-MIN(Instances!N66:Instances!N66))</f>
        <v>0</v>
      </c>
      <c r="O66" s="1"/>
      <c r="P66" s="1" cm="1">
        <f t="array" ref="P66">_xlfn.SWITCH($A$2,"average", AVERAGE(Instances!P66:Instances!P66),"median", MEDIAN(Instances!P66:Instances!P66),"min", MIN(Instances!P66:Instances!P66),"max", MAX(Instances!P66:Instances!P66),"diff", MAX(Instances!P66:Instances!P66)-MIN(Instances!P66:Instances!P66))</f>
        <v>0</v>
      </c>
      <c r="Q66" s="1" cm="1">
        <f t="array" ref="Q66">_xlfn.SWITCH($A$2,"average", AVERAGE(Instances!Q66:Instances!Q66),"median", MEDIAN(Instances!Q66:Instances!Q66),"min", MIN(Instances!Q66:Instances!Q66),"max", MAX(Instances!Q66:Instances!Q66),"diff", MAX(Instances!Q66:Instances!Q66)-MIN(Instances!Q66:Instances!Q66))</f>
        <v>0</v>
      </c>
      <c r="R66" s="1" cm="1">
        <f t="array" ref="R66">_xlfn.SWITCH($A$2,"average", AVERAGE(Instances!R66:Instances!R66),"median", MEDIAN(Instances!R66:Instances!R66),"min", MIN(Instances!R66:Instances!R66),"max", MAX(Instances!R66:Instances!R66),"diff", MAX(Instances!R66:Instances!R66)-MIN(Instances!R66:Instances!R66))</f>
        <v>0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 cm="1">
        <f t="array" ref="F67">_xlfn.SWITCH($A$2,"average", AVERAGE(Instances!F67:Instances!F67),"median", MEDIAN(Instances!F67:Instances!F67),"min", MIN(Instances!F67:Instances!F67),"max", MAX(Instances!F67:Instances!F67),"diff", MAX(Instances!F67:Instances!F67)-MIN(Instances!F67:Instances!F67))</f>
        <v>0</v>
      </c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 cm="1">
        <f t="array" ref="H67">_xlfn.SWITCH($A$2,"average", AVERAGE(Instances!H67:Instances!H67),"median", MEDIAN(Instances!H67:Instances!H67),"min", MIN(Instances!H67:Instances!H67),"max", MAX(Instances!H67:Instances!H67),"diff", MAX(Instances!H67:Instances!H67)-MIN(Instances!H67:Instances!H67))</f>
        <v>0</v>
      </c>
      <c r="I67" s="1" cm="1">
        <f t="array" ref="I67">_xlfn.SWITCH($A$2,"average", AVERAGE(Instances!I67:Instances!I67),"median", MEDIAN(Instances!I67:Instances!I67),"min", MIN(Instances!I67:Instances!I67),"max", MAX(Instances!I67:Instances!I67),"diff", MAX(Instances!I67:Instances!I67)-MIN(Instances!I67:Instances!I67))</f>
        <v>0</v>
      </c>
      <c r="J67" s="1" cm="1">
        <f t="array" ref="J67">_xlfn.SWITCH($A$2,"average", AVERAGE(Instances!J67:Instances!J67),"median", MEDIAN(Instances!J67:Instances!J67),"min", MIN(Instances!J67:Instances!J67),"max", MAX(Instances!J67:Instances!J67),"diff", MAX(Instances!J67:Instances!J67)-MIN(Instances!J67:Instances!J67))</f>
        <v>0</v>
      </c>
      <c r="K67" s="1" cm="1">
        <f t="array" ref="K67">_xlfn.SWITCH($A$2,"average", AVERAGE(Instances!K67:Instances!K67),"median", MEDIAN(Instances!K67:Instances!K67),"min", MIN(Instances!K67:Instances!K67),"max", MAX(Instances!K67:Instances!K67),"diff", MAX(Instances!K67:Instances!K67)-MIN(Instances!K67:Instances!K67))</f>
        <v>0</v>
      </c>
      <c r="L67" s="1"/>
      <c r="M67" s="1" cm="1">
        <f t="array" ref="M67">_xlfn.SWITCH($A$2,"average", AVERAGE(Instances!M67:Instances!M67),"median", MEDIAN(Instances!M67:Instances!M67),"min", MIN(Instances!M67:Instances!M67),"max", MAX(Instances!M67:Instances!M67),"diff", MAX(Instances!M67:Instances!M67)-MIN(Instances!M67:Instances!M67))</f>
        <v>0</v>
      </c>
      <c r="N67" s="1" cm="1">
        <f t="array" ref="N67">_xlfn.SWITCH($A$2,"average", AVERAGE(Instances!N67:Instances!N67),"median", MEDIAN(Instances!N67:Instances!N67),"min", MIN(Instances!N67:Instances!N67),"max", MAX(Instances!N67:Instances!N67),"diff", MAX(Instances!N67:Instances!N67)-MIN(Instances!N67:Instances!N67))</f>
        <v>0</v>
      </c>
      <c r="O67" s="1"/>
      <c r="P67" s="1" cm="1">
        <f t="array" ref="P67">_xlfn.SWITCH($A$2,"average", AVERAGE(Instances!P67:Instances!P67),"median", MEDIAN(Instances!P67:Instances!P67),"min", MIN(Instances!P67:Instances!P67),"max", MAX(Instances!P67:Instances!P67),"diff", MAX(Instances!P67:Instances!P67)-MIN(Instances!P67:Instances!P67))</f>
        <v>0</v>
      </c>
      <c r="Q67" s="1" cm="1">
        <f t="array" ref="Q67">_xlfn.SWITCH($A$2,"average", AVERAGE(Instances!Q67:Instances!Q67),"median", MEDIAN(Instances!Q67:Instances!Q67),"min", MIN(Instances!Q67:Instances!Q67),"max", MAX(Instances!Q67:Instances!Q67),"diff", MAX(Instances!Q67:Instances!Q67)-MIN(Instances!Q67:Instances!Q67))</f>
        <v>0</v>
      </c>
      <c r="R67" s="1" cm="1">
        <f t="array" ref="R67">_xlfn.SWITCH($A$2,"average", AVERAGE(Instances!R67:Instances!R67),"median", MEDIAN(Instances!R67:Instances!R67),"min", MIN(Instances!R67:Instances!R67),"max", MAX(Instances!R67:Instances!R67),"diff", MAX(Instances!R67:Instances!R67)-MIN(Instances!R67:Instances!R67))</f>
        <v>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 cm="1">
        <f t="array" ref="F68">_xlfn.SWITCH($A$2,"average", AVERAGE(Instances!F68:Instances!F68),"median", MEDIAN(Instances!F68:Instances!F68),"min", MIN(Instances!F68:Instances!F68),"max", MAX(Instances!F68:Instances!F68),"diff", MAX(Instances!F68:Instances!F68)-MIN(Instances!F68:Instances!F68))</f>
        <v>0</v>
      </c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 cm="1">
        <f t="array" ref="H68">_xlfn.SWITCH($A$2,"average", AVERAGE(Instances!H68:Instances!H68),"median", MEDIAN(Instances!H68:Instances!H68),"min", MIN(Instances!H68:Instances!H68),"max", MAX(Instances!H68:Instances!H68),"diff", MAX(Instances!H68:Instances!H68)-MIN(Instances!H68:Instances!H68))</f>
        <v>0</v>
      </c>
      <c r="I68" s="1" cm="1">
        <f t="array" ref="I68">_xlfn.SWITCH($A$2,"average", AVERAGE(Instances!I68:Instances!I68),"median", MEDIAN(Instances!I68:Instances!I68),"min", MIN(Instances!I68:Instances!I68),"max", MAX(Instances!I68:Instances!I68),"diff", MAX(Instances!I68:Instances!I68)-MIN(Instances!I68:Instances!I68))</f>
        <v>0</v>
      </c>
      <c r="J68" s="1" cm="1">
        <f t="array" ref="J68">_xlfn.SWITCH($A$2,"average", AVERAGE(Instances!J68:Instances!J68),"median", MEDIAN(Instances!J68:Instances!J68),"min", MIN(Instances!J68:Instances!J68),"max", MAX(Instances!J68:Instances!J68),"diff", MAX(Instances!J68:Instances!J68)-MIN(Instances!J68:Instances!J68))</f>
        <v>0</v>
      </c>
      <c r="K68" s="1" cm="1">
        <f t="array" ref="K68">_xlfn.SWITCH($A$2,"average", AVERAGE(Instances!K68:Instances!K68),"median", MEDIAN(Instances!K68:Instances!K68),"min", MIN(Instances!K68:Instances!K68),"max", MAX(Instances!K68:Instances!K68),"diff", MAX(Instances!K68:Instances!K68)-MIN(Instances!K68:Instances!K68))</f>
        <v>0</v>
      </c>
      <c r="L68" s="1"/>
      <c r="M68" s="1" cm="1">
        <f t="array" ref="M68">_xlfn.SWITCH($A$2,"average", AVERAGE(Instances!M68:Instances!M68),"median", MEDIAN(Instances!M68:Instances!M68),"min", MIN(Instances!M68:Instances!M68),"max", MAX(Instances!M68:Instances!M68),"diff", MAX(Instances!M68:Instances!M68)-MIN(Instances!M68:Instances!M68))</f>
        <v>0</v>
      </c>
      <c r="N68" s="1" cm="1">
        <f t="array" ref="N68">_xlfn.SWITCH($A$2,"average", AVERAGE(Instances!N68:Instances!N68),"median", MEDIAN(Instances!N68:Instances!N68),"min", MIN(Instances!N68:Instances!N68),"max", MAX(Instances!N68:Instances!N68),"diff", MAX(Instances!N68:Instances!N68)-MIN(Instances!N68:Instances!N68))</f>
        <v>0</v>
      </c>
      <c r="O68" s="1"/>
      <c r="P68" s="1" cm="1">
        <f t="array" ref="P68">_xlfn.SWITCH($A$2,"average", AVERAGE(Instances!P68:Instances!P68),"median", MEDIAN(Instances!P68:Instances!P68),"min", MIN(Instances!P68:Instances!P68),"max", MAX(Instances!P68:Instances!P68),"diff", MAX(Instances!P68:Instances!P68)-MIN(Instances!P68:Instances!P68))</f>
        <v>0</v>
      </c>
      <c r="Q68" s="1" cm="1">
        <f t="array" ref="Q68">_xlfn.SWITCH($A$2,"average", AVERAGE(Instances!Q68:Instances!Q68),"median", MEDIAN(Instances!Q68:Instances!Q68),"min", MIN(Instances!Q68:Instances!Q68),"max", MAX(Instances!Q68:Instances!Q68),"diff", MAX(Instances!Q68:Instances!Q68)-MIN(Instances!Q68:Instances!Q68))</f>
        <v>0</v>
      </c>
      <c r="R68" s="1" cm="1">
        <f t="array" ref="R68">_xlfn.SWITCH($A$2,"average", AVERAGE(Instances!R68:Instances!R68),"median", MEDIAN(Instances!R68:Instances!R68),"min", MIN(Instances!R68:Instances!R68),"max", MAX(Instances!R68:Instances!R68),"diff", MAX(Instances!R68:Instances!R68)-MIN(Instances!R68:Instances!R68))</f>
        <v>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 cm="1">
        <f t="array" ref="F69">_xlfn.SWITCH($A$2,"average", AVERAGE(Instances!F69:Instances!F69),"median", MEDIAN(Instances!F69:Instances!F69),"min", MIN(Instances!F69:Instances!F69),"max", MAX(Instances!F69:Instances!F69),"diff", MAX(Instances!F69:Instances!F69)-MIN(Instances!F69:Instances!F69))</f>
        <v>0</v>
      </c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 cm="1">
        <f t="array" ref="H69">_xlfn.SWITCH($A$2,"average", AVERAGE(Instances!H69:Instances!H69),"median", MEDIAN(Instances!H69:Instances!H69),"min", MIN(Instances!H69:Instances!H69),"max", MAX(Instances!H69:Instances!H69),"diff", MAX(Instances!H69:Instances!H69)-MIN(Instances!H69:Instances!H69))</f>
        <v>0</v>
      </c>
      <c r="I69" s="1" cm="1">
        <f t="array" ref="I69">_xlfn.SWITCH($A$2,"average", AVERAGE(Instances!I69:Instances!I69),"median", MEDIAN(Instances!I69:Instances!I69),"min", MIN(Instances!I69:Instances!I69),"max", MAX(Instances!I69:Instances!I69),"diff", MAX(Instances!I69:Instances!I69)-MIN(Instances!I69:Instances!I69))</f>
        <v>0</v>
      </c>
      <c r="J69" s="1" cm="1">
        <f t="array" ref="J69">_xlfn.SWITCH($A$2,"average", AVERAGE(Instances!J69:Instances!J69),"median", MEDIAN(Instances!J69:Instances!J69),"min", MIN(Instances!J69:Instances!J69),"max", MAX(Instances!J69:Instances!J69),"diff", MAX(Instances!J69:Instances!J69)-MIN(Instances!J69:Instances!J69))</f>
        <v>0</v>
      </c>
      <c r="K69" s="1" cm="1">
        <f t="array" ref="K69">_xlfn.SWITCH($A$2,"average", AVERAGE(Instances!K69:Instances!K69),"median", MEDIAN(Instances!K69:Instances!K69),"min", MIN(Instances!K69:Instances!K69),"max", MAX(Instances!K69:Instances!K69),"diff", MAX(Instances!K69:Instances!K69)-MIN(Instances!K69:Instances!K69))</f>
        <v>0</v>
      </c>
      <c r="L69" s="1"/>
      <c r="M69" s="1" cm="1">
        <f t="array" ref="M69">_xlfn.SWITCH($A$2,"average", AVERAGE(Instances!M69:Instances!M69),"median", MEDIAN(Instances!M69:Instances!M69),"min", MIN(Instances!M69:Instances!M69),"max", MAX(Instances!M69:Instances!M69),"diff", MAX(Instances!M69:Instances!M69)-MIN(Instances!M69:Instances!M69))</f>
        <v>0</v>
      </c>
      <c r="N69" s="1" cm="1">
        <f t="array" ref="N69">_xlfn.SWITCH($A$2,"average", AVERAGE(Instances!N69:Instances!N69),"median", MEDIAN(Instances!N69:Instances!N69),"min", MIN(Instances!N69:Instances!N69),"max", MAX(Instances!N69:Instances!N69),"diff", MAX(Instances!N69:Instances!N69)-MIN(Instances!N69:Instances!N69))</f>
        <v>0</v>
      </c>
      <c r="O69" s="1"/>
      <c r="P69" s="1" cm="1">
        <f t="array" ref="P69">_xlfn.SWITCH($A$2,"average", AVERAGE(Instances!P69:Instances!P69),"median", MEDIAN(Instances!P69:Instances!P69),"min", MIN(Instances!P69:Instances!P69),"max", MAX(Instances!P69:Instances!P69),"diff", MAX(Instances!P69:Instances!P69)-MIN(Instances!P69:Instances!P69))</f>
        <v>0</v>
      </c>
      <c r="Q69" s="1" cm="1">
        <f t="array" ref="Q69">_xlfn.SWITCH($A$2,"average", AVERAGE(Instances!Q69:Instances!Q69),"median", MEDIAN(Instances!Q69:Instances!Q69),"min", MIN(Instances!Q69:Instances!Q69),"max", MAX(Instances!Q69:Instances!Q69),"diff", MAX(Instances!Q69:Instances!Q69)-MIN(Instances!Q69:Instances!Q69))</f>
        <v>0</v>
      </c>
      <c r="R69" s="1" cm="1">
        <f t="array" ref="R69">_xlfn.SWITCH($A$2,"average", AVERAGE(Instances!R69:Instances!R69),"median", MEDIAN(Instances!R69:Instances!R69),"min", MIN(Instances!R69:Instances!R69),"max", MAX(Instances!R69:Instances!R69),"diff", MAX(Instances!R69:Instances!R69)-MIN(Instances!R69:Instances!R69))</f>
        <v>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 cm="1">
        <f t="array" ref="D70">_xlfn.SWITCH($A$2,"average", AVERAGE(Instances!D70:Instances!D70),"median", MEDIAN(Instances!D70:Instances!D70),"min", MIN(Instances!D70:Instances!D70),"max", MAX(Instances!D70:Instances!D70),"diff", MAX(Instances!D70:Instances!D70)-MIN(Instances!D70:Instances!D70))</f>
        <v>0</v>
      </c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 cm="1">
        <f t="array" ref="F70">_xlfn.SWITCH($A$2,"average", AVERAGE(Instances!F70:Instances!F70),"median", MEDIAN(Instances!F70:Instances!F70),"min", MIN(Instances!F70:Instances!F70),"max", MAX(Instances!F70:Instances!F70),"diff", MAX(Instances!F70:Instances!F70)-MIN(Instances!F70:Instances!F70))</f>
        <v>0</v>
      </c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 cm="1">
        <f t="array" ref="H70">_xlfn.SWITCH($A$2,"average", AVERAGE(Instances!H70:Instances!H70),"median", MEDIAN(Instances!H70:Instances!H70),"min", MIN(Instances!H70:Instances!H70),"max", MAX(Instances!H70:Instances!H70),"diff", MAX(Instances!H70:Instances!H70)-MIN(Instances!H70:Instances!H70))</f>
        <v>0</v>
      </c>
      <c r="I70" s="1" cm="1">
        <f t="array" ref="I70">_xlfn.SWITCH($A$2,"average", AVERAGE(Instances!I70:Instances!I70),"median", MEDIAN(Instances!I70:Instances!I70),"min", MIN(Instances!I70:Instances!I70),"max", MAX(Instances!I70:Instances!I70),"diff", MAX(Instances!I70:Instances!I70)-MIN(Instances!I70:Instances!I70))</f>
        <v>0</v>
      </c>
      <c r="J70" s="1" cm="1">
        <f t="array" ref="J70">_xlfn.SWITCH($A$2,"average", AVERAGE(Instances!J70:Instances!J70),"median", MEDIAN(Instances!J70:Instances!J70),"min", MIN(Instances!J70:Instances!J70),"max", MAX(Instances!J70:Instances!J70),"diff", MAX(Instances!J70:Instances!J70)-MIN(Instances!J70:Instances!J70))</f>
        <v>0</v>
      </c>
      <c r="K70" s="1" cm="1">
        <f t="array" ref="K70">_xlfn.SWITCH($A$2,"average", AVERAGE(Instances!K70:Instances!K70),"median", MEDIAN(Instances!K70:Instances!K70),"min", MIN(Instances!K70:Instances!K70),"max", MAX(Instances!K70:Instances!K70),"diff", MAX(Instances!K70:Instances!K70)-MIN(Instances!K70:Instances!K70))</f>
        <v>0</v>
      </c>
      <c r="L70" s="1"/>
      <c r="M70" s="1" cm="1">
        <f t="array" ref="M70">_xlfn.SWITCH($A$2,"average", AVERAGE(Instances!M70:Instances!M70),"median", MEDIAN(Instances!M70:Instances!M70),"min", MIN(Instances!M70:Instances!M70),"max", MAX(Instances!M70:Instances!M70),"diff", MAX(Instances!M70:Instances!M70)-MIN(Instances!M70:Instances!M70))</f>
        <v>0</v>
      </c>
      <c r="N70" s="1" cm="1">
        <f t="array" ref="N70">_xlfn.SWITCH($A$2,"average", AVERAGE(Instances!N70:Instances!N70),"median", MEDIAN(Instances!N70:Instances!N70),"min", MIN(Instances!N70:Instances!N70),"max", MAX(Instances!N70:Instances!N70),"diff", MAX(Instances!N70:Instances!N70)-MIN(Instances!N70:Instances!N70))</f>
        <v>0</v>
      </c>
      <c r="O70" s="1"/>
      <c r="P70" s="1" cm="1">
        <f t="array" ref="P70">_xlfn.SWITCH($A$2,"average", AVERAGE(Instances!P70:Instances!P70),"median", MEDIAN(Instances!P70:Instances!P70),"min", MIN(Instances!P70:Instances!P70),"max", MAX(Instances!P70:Instances!P70),"diff", MAX(Instances!P70:Instances!P70)-MIN(Instances!P70:Instances!P70))</f>
        <v>0</v>
      </c>
      <c r="Q70" s="1" cm="1">
        <f t="array" ref="Q70">_xlfn.SWITCH($A$2,"average", AVERAGE(Instances!Q70:Instances!Q70),"median", MEDIAN(Instances!Q70:Instances!Q70),"min", MIN(Instances!Q70:Instances!Q70),"max", MAX(Instances!Q70:Instances!Q70),"diff", MAX(Instances!Q70:Instances!Q70)-MIN(Instances!Q70:Instances!Q70))</f>
        <v>0</v>
      </c>
      <c r="R70" s="1" cm="1">
        <f t="array" ref="R70">_xlfn.SWITCH($A$2,"average", AVERAGE(Instances!R70:Instances!R70),"median", MEDIAN(Instances!R70:Instances!R70),"min", MIN(Instances!R70:Instances!R70),"max", MAX(Instances!R70:Instances!R70),"diff", MAX(Instances!R70:Instances!R70)-MIN(Instances!R70:Instances!R70))</f>
        <v>0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 cm="1">
        <f t="array" ref="F71">_xlfn.SWITCH($A$2,"average", AVERAGE(Instances!F71:Instances!F71),"median", MEDIAN(Instances!F71:Instances!F71),"min", MIN(Instances!F71:Instances!F71),"max", MAX(Instances!F71:Instances!F71),"diff", MAX(Instances!F71:Instances!F71)-MIN(Instances!F71:Instances!F71))</f>
        <v>0</v>
      </c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 cm="1">
        <f t="array" ref="H71">_xlfn.SWITCH($A$2,"average", AVERAGE(Instances!H71:Instances!H71),"median", MEDIAN(Instances!H71:Instances!H71),"min", MIN(Instances!H71:Instances!H71),"max", MAX(Instances!H71:Instances!H71),"diff", MAX(Instances!H71:Instances!H71)-MIN(Instances!H71:Instances!H71))</f>
        <v>0</v>
      </c>
      <c r="I71" s="1" cm="1">
        <f t="array" ref="I71">_xlfn.SWITCH($A$2,"average", AVERAGE(Instances!I71:Instances!I71),"median", MEDIAN(Instances!I71:Instances!I71),"min", MIN(Instances!I71:Instances!I71),"max", MAX(Instances!I71:Instances!I71),"diff", MAX(Instances!I71:Instances!I71)-MIN(Instances!I71:Instances!I71))</f>
        <v>0</v>
      </c>
      <c r="J71" s="1" cm="1">
        <f t="array" ref="J71">_xlfn.SWITCH($A$2,"average", AVERAGE(Instances!J71:Instances!J71),"median", MEDIAN(Instances!J71:Instances!J71),"min", MIN(Instances!J71:Instances!J71),"max", MAX(Instances!J71:Instances!J71),"diff", MAX(Instances!J71:Instances!J71)-MIN(Instances!J71:Instances!J71))</f>
        <v>0</v>
      </c>
      <c r="K71" s="1" cm="1">
        <f t="array" ref="K71">_xlfn.SWITCH($A$2,"average", AVERAGE(Instances!K71:Instances!K71),"median", MEDIAN(Instances!K71:Instances!K71),"min", MIN(Instances!K71:Instances!K71),"max", MAX(Instances!K71:Instances!K71),"diff", MAX(Instances!K71:Instances!K71)-MIN(Instances!K71:Instances!K71))</f>
        <v>0</v>
      </c>
      <c r="L71" s="1"/>
      <c r="M71" s="1" cm="1">
        <f t="array" ref="M71">_xlfn.SWITCH($A$2,"average", AVERAGE(Instances!M71:Instances!M71),"median", MEDIAN(Instances!M71:Instances!M71),"min", MIN(Instances!M71:Instances!M71),"max", MAX(Instances!M71:Instances!M71),"diff", MAX(Instances!M71:Instances!M71)-MIN(Instances!M71:Instances!M71))</f>
        <v>0</v>
      </c>
      <c r="N71" s="1" cm="1">
        <f t="array" ref="N71">_xlfn.SWITCH($A$2,"average", AVERAGE(Instances!N71:Instances!N71),"median", MEDIAN(Instances!N71:Instances!N71),"min", MIN(Instances!N71:Instances!N71),"max", MAX(Instances!N71:Instances!N71),"diff", MAX(Instances!N71:Instances!N71)-MIN(Instances!N71:Instances!N71))</f>
        <v>0</v>
      </c>
      <c r="O71" s="1"/>
      <c r="P71" s="1" cm="1">
        <f t="array" ref="P71">_xlfn.SWITCH($A$2,"average", AVERAGE(Instances!P71:Instances!P71),"median", MEDIAN(Instances!P71:Instances!P71),"min", MIN(Instances!P71:Instances!P71),"max", MAX(Instances!P71:Instances!P71),"diff", MAX(Instances!P71:Instances!P71)-MIN(Instances!P71:Instances!P71))</f>
        <v>0</v>
      </c>
      <c r="Q71" s="1" cm="1">
        <f t="array" ref="Q71">_xlfn.SWITCH($A$2,"average", AVERAGE(Instances!Q71:Instances!Q71),"median", MEDIAN(Instances!Q71:Instances!Q71),"min", MIN(Instances!Q71:Instances!Q71),"max", MAX(Instances!Q71:Instances!Q71),"diff", MAX(Instances!Q71:Instances!Q71)-MIN(Instances!Q71:Instances!Q71))</f>
        <v>0</v>
      </c>
      <c r="R71" s="1" cm="1">
        <f t="array" ref="R71">_xlfn.SWITCH($A$2,"average", AVERAGE(Instances!R71:Instances!R71),"median", MEDIAN(Instances!R71:Instances!R71),"min", MIN(Instances!R71:Instances!R71),"max", MAX(Instances!R71:Instances!R71),"diff", MAX(Instances!R71:Instances!R71)-MIN(Instances!R71:Instances!R71))</f>
        <v>0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 cm="1">
        <f t="array" ref="D72">_xlfn.SWITCH($A$2,"average", AVERAGE(Instances!D72:Instances!D72),"median", MEDIAN(Instances!D72:Instances!D72),"min", MIN(Instances!D72:Instances!D72),"max", MAX(Instances!D72:Instances!D72),"diff", MAX(Instances!D72:Instances!D72)-MIN(Instances!D72:Instances!D72))</f>
        <v>0</v>
      </c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 cm="1">
        <f t="array" ref="F72">_xlfn.SWITCH($A$2,"average", AVERAGE(Instances!F72:Instances!F72),"median", MEDIAN(Instances!F72:Instances!F72),"min", MIN(Instances!F72:Instances!F72),"max", MAX(Instances!F72:Instances!F72),"diff", MAX(Instances!F72:Instances!F72)-MIN(Instances!F72:Instances!F72))</f>
        <v>0</v>
      </c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 cm="1">
        <f t="array" ref="H72">_xlfn.SWITCH($A$2,"average", AVERAGE(Instances!H72:Instances!H72),"median", MEDIAN(Instances!H72:Instances!H72),"min", MIN(Instances!H72:Instances!H72),"max", MAX(Instances!H72:Instances!H72),"diff", MAX(Instances!H72:Instances!H72)-MIN(Instances!H72:Instances!H72))</f>
        <v>0</v>
      </c>
      <c r="I72" s="1" cm="1">
        <f t="array" ref="I72">_xlfn.SWITCH($A$2,"average", AVERAGE(Instances!I72:Instances!I72),"median", MEDIAN(Instances!I72:Instances!I72),"min", MIN(Instances!I72:Instances!I72),"max", MAX(Instances!I72:Instances!I72),"diff", MAX(Instances!I72:Instances!I72)-MIN(Instances!I72:Instances!I72))</f>
        <v>0</v>
      </c>
      <c r="J72" s="1" cm="1">
        <f t="array" ref="J72">_xlfn.SWITCH($A$2,"average", AVERAGE(Instances!J72:Instances!J72),"median", MEDIAN(Instances!J72:Instances!J72),"min", MIN(Instances!J72:Instances!J72),"max", MAX(Instances!J72:Instances!J72),"diff", MAX(Instances!J72:Instances!J72)-MIN(Instances!J72:Instances!J72))</f>
        <v>0</v>
      </c>
      <c r="K72" s="1" cm="1">
        <f t="array" ref="K72">_xlfn.SWITCH($A$2,"average", AVERAGE(Instances!K72:Instances!K72),"median", MEDIAN(Instances!K72:Instances!K72),"min", MIN(Instances!K72:Instances!K72),"max", MAX(Instances!K72:Instances!K72),"diff", MAX(Instances!K72:Instances!K72)-MIN(Instances!K72:Instances!K72))</f>
        <v>0</v>
      </c>
      <c r="L72" s="1"/>
      <c r="M72" s="1" cm="1">
        <f t="array" ref="M72">_xlfn.SWITCH($A$2,"average", AVERAGE(Instances!M72:Instances!M72),"median", MEDIAN(Instances!M72:Instances!M72),"min", MIN(Instances!M72:Instances!M72),"max", MAX(Instances!M72:Instances!M72),"diff", MAX(Instances!M72:Instances!M72)-MIN(Instances!M72:Instances!M72))</f>
        <v>0</v>
      </c>
      <c r="N72" s="1" cm="1">
        <f t="array" ref="N72">_xlfn.SWITCH($A$2,"average", AVERAGE(Instances!N72:Instances!N72),"median", MEDIAN(Instances!N72:Instances!N72),"min", MIN(Instances!N72:Instances!N72),"max", MAX(Instances!N72:Instances!N72),"diff", MAX(Instances!N72:Instances!N72)-MIN(Instances!N72:Instances!N72))</f>
        <v>0</v>
      </c>
      <c r="O72" s="1"/>
      <c r="P72" s="1" cm="1">
        <f t="array" ref="P72">_xlfn.SWITCH($A$2,"average", AVERAGE(Instances!P72:Instances!P72),"median", MEDIAN(Instances!P72:Instances!P72),"min", MIN(Instances!P72:Instances!P72),"max", MAX(Instances!P72:Instances!P72),"diff", MAX(Instances!P72:Instances!P72)-MIN(Instances!P72:Instances!P72))</f>
        <v>0</v>
      </c>
      <c r="Q72" s="1" cm="1">
        <f t="array" ref="Q72">_xlfn.SWITCH($A$2,"average", AVERAGE(Instances!Q72:Instances!Q72),"median", MEDIAN(Instances!Q72:Instances!Q72),"min", MIN(Instances!Q72:Instances!Q72),"max", MAX(Instances!Q72:Instances!Q72),"diff", MAX(Instances!Q72:Instances!Q72)-MIN(Instances!Q72:Instances!Q72))</f>
        <v>0</v>
      </c>
      <c r="R72" s="1" cm="1">
        <f t="array" ref="R72">_xlfn.SWITCH($A$2,"average", AVERAGE(Instances!R72:Instances!R72),"median", MEDIAN(Instances!R72:Instances!R72),"min", MIN(Instances!R72:Instances!R72),"max", MAX(Instances!R72:Instances!R72),"diff", MAX(Instances!R72:Instances!R72)-MIN(Instances!R72:Instances!R72))</f>
        <v>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 cm="1">
        <f t="array" ref="D73">_xlfn.SWITCH($A$2,"average", AVERAGE(Instances!D73:Instances!D73),"median", MEDIAN(Instances!D73:Instances!D73),"min", MIN(Instances!D73:Instances!D73),"max", MAX(Instances!D73:Instances!D73),"diff", MAX(Instances!D73:Instances!D73)-MIN(Instances!D73:Instances!D73))</f>
        <v>0</v>
      </c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 cm="1">
        <f t="array" ref="F73">_xlfn.SWITCH($A$2,"average", AVERAGE(Instances!F73:Instances!F73),"median", MEDIAN(Instances!F73:Instances!F73),"min", MIN(Instances!F73:Instances!F73),"max", MAX(Instances!F73:Instances!F73),"diff", MAX(Instances!F73:Instances!F73)-MIN(Instances!F73:Instances!F73))</f>
        <v>0</v>
      </c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 cm="1">
        <f t="array" ref="H73">_xlfn.SWITCH($A$2,"average", AVERAGE(Instances!H73:Instances!H73),"median", MEDIAN(Instances!H73:Instances!H73),"min", MIN(Instances!H73:Instances!H73),"max", MAX(Instances!H73:Instances!H73),"diff", MAX(Instances!H73:Instances!H73)-MIN(Instances!H73:Instances!H73))</f>
        <v>0</v>
      </c>
      <c r="I73" s="1" cm="1">
        <f t="array" ref="I73">_xlfn.SWITCH($A$2,"average", AVERAGE(Instances!I73:Instances!I73),"median", MEDIAN(Instances!I73:Instances!I73),"min", MIN(Instances!I73:Instances!I73),"max", MAX(Instances!I73:Instances!I73),"diff", MAX(Instances!I73:Instances!I73)-MIN(Instances!I73:Instances!I73))</f>
        <v>0</v>
      </c>
      <c r="J73" s="1" cm="1">
        <f t="array" ref="J73">_xlfn.SWITCH($A$2,"average", AVERAGE(Instances!J73:Instances!J73),"median", MEDIAN(Instances!J73:Instances!J73),"min", MIN(Instances!J73:Instances!J73),"max", MAX(Instances!J73:Instances!J73),"diff", MAX(Instances!J73:Instances!J73)-MIN(Instances!J73:Instances!J73))</f>
        <v>0</v>
      </c>
      <c r="K73" s="1" cm="1">
        <f t="array" ref="K73">_xlfn.SWITCH($A$2,"average", AVERAGE(Instances!K73:Instances!K73),"median", MEDIAN(Instances!K73:Instances!K73),"min", MIN(Instances!K73:Instances!K73),"max", MAX(Instances!K73:Instances!K73),"diff", MAX(Instances!K73:Instances!K73)-MIN(Instances!K73:Instances!K73))</f>
        <v>0</v>
      </c>
      <c r="L73" s="1"/>
      <c r="M73" s="1" cm="1">
        <f t="array" ref="M73">_xlfn.SWITCH($A$2,"average", AVERAGE(Instances!M73:Instances!M73),"median", MEDIAN(Instances!M73:Instances!M73),"min", MIN(Instances!M73:Instances!M73),"max", MAX(Instances!M73:Instances!M73),"diff", MAX(Instances!M73:Instances!M73)-MIN(Instances!M73:Instances!M73))</f>
        <v>0</v>
      </c>
      <c r="N73" s="1" cm="1">
        <f t="array" ref="N73">_xlfn.SWITCH($A$2,"average", AVERAGE(Instances!N73:Instances!N73),"median", MEDIAN(Instances!N73:Instances!N73),"min", MIN(Instances!N73:Instances!N73),"max", MAX(Instances!N73:Instances!N73),"diff", MAX(Instances!N73:Instances!N73)-MIN(Instances!N73:Instances!N73))</f>
        <v>0</v>
      </c>
      <c r="O73" s="1"/>
      <c r="P73" s="1" cm="1">
        <f t="array" ref="P73">_xlfn.SWITCH($A$2,"average", AVERAGE(Instances!P73:Instances!P73),"median", MEDIAN(Instances!P73:Instances!P73),"min", MIN(Instances!P73:Instances!P73),"max", MAX(Instances!P73:Instances!P73),"diff", MAX(Instances!P73:Instances!P73)-MIN(Instances!P73:Instances!P73))</f>
        <v>0</v>
      </c>
      <c r="Q73" s="1" cm="1">
        <f t="array" ref="Q73">_xlfn.SWITCH($A$2,"average", AVERAGE(Instances!Q73:Instances!Q73),"median", MEDIAN(Instances!Q73:Instances!Q73),"min", MIN(Instances!Q73:Instances!Q73),"max", MAX(Instances!Q73:Instances!Q73),"diff", MAX(Instances!Q73:Instances!Q73)-MIN(Instances!Q73:Instances!Q73))</f>
        <v>0</v>
      </c>
      <c r="R73" s="1" cm="1">
        <f t="array" ref="R73">_xlfn.SWITCH($A$2,"average", AVERAGE(Instances!R73:Instances!R73),"median", MEDIAN(Instances!R73:Instances!R73),"min", MIN(Instances!R73:Instances!R73),"max", MAX(Instances!R73:Instances!R73),"diff", MAX(Instances!R73:Instances!R73)-MIN(Instances!R73:Instances!R73))</f>
        <v>0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 cm="1">
        <f t="array" ref="F74">_xlfn.SWITCH($A$2,"average", AVERAGE(Instances!F74:Instances!F74),"median", MEDIAN(Instances!F74:Instances!F74),"min", MIN(Instances!F74:Instances!F74),"max", MAX(Instances!F74:Instances!F74),"diff", MAX(Instances!F74:Instances!F74)-MIN(Instances!F74:Instances!F74))</f>
        <v>0</v>
      </c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 cm="1">
        <f t="array" ref="H74">_xlfn.SWITCH($A$2,"average", AVERAGE(Instances!H74:Instances!H74),"median", MEDIAN(Instances!H74:Instances!H74),"min", MIN(Instances!H74:Instances!H74),"max", MAX(Instances!H74:Instances!H74),"diff", MAX(Instances!H74:Instances!H74)-MIN(Instances!H74:Instances!H74))</f>
        <v>0</v>
      </c>
      <c r="I74" s="1" cm="1">
        <f t="array" ref="I74">_xlfn.SWITCH($A$2,"average", AVERAGE(Instances!I74:Instances!I74),"median", MEDIAN(Instances!I74:Instances!I74),"min", MIN(Instances!I74:Instances!I74),"max", MAX(Instances!I74:Instances!I74),"diff", MAX(Instances!I74:Instances!I74)-MIN(Instances!I74:Instances!I74))</f>
        <v>0</v>
      </c>
      <c r="J74" s="1" cm="1">
        <f t="array" ref="J74">_xlfn.SWITCH($A$2,"average", AVERAGE(Instances!J74:Instances!J74),"median", MEDIAN(Instances!J74:Instances!J74),"min", MIN(Instances!J74:Instances!J74),"max", MAX(Instances!J74:Instances!J74),"diff", MAX(Instances!J74:Instances!J74)-MIN(Instances!J74:Instances!J74))</f>
        <v>0</v>
      </c>
      <c r="K74" s="1" cm="1">
        <f t="array" ref="K74">_xlfn.SWITCH($A$2,"average", AVERAGE(Instances!K74:Instances!K74),"median", MEDIAN(Instances!K74:Instances!K74),"min", MIN(Instances!K74:Instances!K74),"max", MAX(Instances!K74:Instances!K74),"diff", MAX(Instances!K74:Instances!K74)-MIN(Instances!K74:Instances!K74))</f>
        <v>0</v>
      </c>
      <c r="L74" s="1"/>
      <c r="M74" s="1" cm="1">
        <f t="array" ref="M74">_xlfn.SWITCH($A$2,"average", AVERAGE(Instances!M74:Instances!M74),"median", MEDIAN(Instances!M74:Instances!M74),"min", MIN(Instances!M74:Instances!M74),"max", MAX(Instances!M74:Instances!M74),"diff", MAX(Instances!M74:Instances!M74)-MIN(Instances!M74:Instances!M74))</f>
        <v>0</v>
      </c>
      <c r="N74" s="1" cm="1">
        <f t="array" ref="N74">_xlfn.SWITCH($A$2,"average", AVERAGE(Instances!N74:Instances!N74),"median", MEDIAN(Instances!N74:Instances!N74),"min", MIN(Instances!N74:Instances!N74),"max", MAX(Instances!N74:Instances!N74),"diff", MAX(Instances!N74:Instances!N74)-MIN(Instances!N74:Instances!N74))</f>
        <v>0</v>
      </c>
      <c r="O74" s="1"/>
      <c r="P74" s="1" cm="1">
        <f t="array" ref="P74">_xlfn.SWITCH($A$2,"average", AVERAGE(Instances!P74:Instances!P74),"median", MEDIAN(Instances!P74:Instances!P74),"min", MIN(Instances!P74:Instances!P74),"max", MAX(Instances!P74:Instances!P74),"diff", MAX(Instances!P74:Instances!P74)-MIN(Instances!P74:Instances!P74))</f>
        <v>0</v>
      </c>
      <c r="Q74" s="1" cm="1">
        <f t="array" ref="Q74">_xlfn.SWITCH($A$2,"average", AVERAGE(Instances!Q74:Instances!Q74),"median", MEDIAN(Instances!Q74:Instances!Q74),"min", MIN(Instances!Q74:Instances!Q74),"max", MAX(Instances!Q74:Instances!Q74),"diff", MAX(Instances!Q74:Instances!Q74)-MIN(Instances!Q74:Instances!Q74))</f>
        <v>0</v>
      </c>
      <c r="R74" s="1" cm="1">
        <f t="array" ref="R74">_xlfn.SWITCH($A$2,"average", AVERAGE(Instances!R74:Instances!R74),"median", MEDIAN(Instances!R74:Instances!R74),"min", MIN(Instances!R74:Instances!R74),"max", MAX(Instances!R74:Instances!R74),"diff", MAX(Instances!R74:Instances!R74)-MIN(Instances!R74:Instances!R74))</f>
        <v>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 cm="1">
        <f t="array" ref="F75">_xlfn.SWITCH($A$2,"average", AVERAGE(Instances!F75:Instances!F75),"median", MEDIAN(Instances!F75:Instances!F75),"min", MIN(Instances!F75:Instances!F75),"max", MAX(Instances!F75:Instances!F75),"diff", MAX(Instances!F75:Instances!F75)-MIN(Instances!F75:Instances!F75))</f>
        <v>0</v>
      </c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 cm="1">
        <f t="array" ref="H75">_xlfn.SWITCH($A$2,"average", AVERAGE(Instances!H75:Instances!H75),"median", MEDIAN(Instances!H75:Instances!H75),"min", MIN(Instances!H75:Instances!H75),"max", MAX(Instances!H75:Instances!H75),"diff", MAX(Instances!H75:Instances!H75)-MIN(Instances!H75:Instances!H75))</f>
        <v>0</v>
      </c>
      <c r="I75" s="1" cm="1">
        <f t="array" ref="I75">_xlfn.SWITCH($A$2,"average", AVERAGE(Instances!I75:Instances!I75),"median", MEDIAN(Instances!I75:Instances!I75),"min", MIN(Instances!I75:Instances!I75),"max", MAX(Instances!I75:Instances!I75),"diff", MAX(Instances!I75:Instances!I75)-MIN(Instances!I75:Instances!I75))</f>
        <v>0</v>
      </c>
      <c r="J75" s="1" cm="1">
        <f t="array" ref="J75">_xlfn.SWITCH($A$2,"average", AVERAGE(Instances!J75:Instances!J75),"median", MEDIAN(Instances!J75:Instances!J75),"min", MIN(Instances!J75:Instances!J75),"max", MAX(Instances!J75:Instances!J75),"diff", MAX(Instances!J75:Instances!J75)-MIN(Instances!J75:Instances!J75))</f>
        <v>0</v>
      </c>
      <c r="K75" s="1" cm="1">
        <f t="array" ref="K75">_xlfn.SWITCH($A$2,"average", AVERAGE(Instances!K75:Instances!K75),"median", MEDIAN(Instances!K75:Instances!K75),"min", MIN(Instances!K75:Instances!K75),"max", MAX(Instances!K75:Instances!K75),"diff", MAX(Instances!K75:Instances!K75)-MIN(Instances!K75:Instances!K75))</f>
        <v>0</v>
      </c>
      <c r="L75" s="1"/>
      <c r="M75" s="1" cm="1">
        <f t="array" ref="M75">_xlfn.SWITCH($A$2,"average", AVERAGE(Instances!M75:Instances!M75),"median", MEDIAN(Instances!M75:Instances!M75),"min", MIN(Instances!M75:Instances!M75),"max", MAX(Instances!M75:Instances!M75),"diff", MAX(Instances!M75:Instances!M75)-MIN(Instances!M75:Instances!M75))</f>
        <v>0</v>
      </c>
      <c r="N75" s="1" cm="1">
        <f t="array" ref="N75">_xlfn.SWITCH($A$2,"average", AVERAGE(Instances!N75:Instances!N75),"median", MEDIAN(Instances!N75:Instances!N75),"min", MIN(Instances!N75:Instances!N75),"max", MAX(Instances!N75:Instances!N75),"diff", MAX(Instances!N75:Instances!N75)-MIN(Instances!N75:Instances!N75))</f>
        <v>0</v>
      </c>
      <c r="O75" s="1"/>
      <c r="P75" s="1" cm="1">
        <f t="array" ref="P75">_xlfn.SWITCH($A$2,"average", AVERAGE(Instances!P75:Instances!P75),"median", MEDIAN(Instances!P75:Instances!P75),"min", MIN(Instances!P75:Instances!P75),"max", MAX(Instances!P75:Instances!P75),"diff", MAX(Instances!P75:Instances!P75)-MIN(Instances!P75:Instances!P75))</f>
        <v>0</v>
      </c>
      <c r="Q75" s="1" cm="1">
        <f t="array" ref="Q75">_xlfn.SWITCH($A$2,"average", AVERAGE(Instances!Q75:Instances!Q75),"median", MEDIAN(Instances!Q75:Instances!Q75),"min", MIN(Instances!Q75:Instances!Q75),"max", MAX(Instances!Q75:Instances!Q75),"diff", MAX(Instances!Q75:Instances!Q75)-MIN(Instances!Q75:Instances!Q75))</f>
        <v>0</v>
      </c>
      <c r="R75" s="1" cm="1">
        <f t="array" ref="R75">_xlfn.SWITCH($A$2,"average", AVERAGE(Instances!R75:Instances!R75),"median", MEDIAN(Instances!R75:Instances!R75),"min", MIN(Instances!R75:Instances!R75),"max", MAX(Instances!R75:Instances!R75),"diff", MAX(Instances!R75:Instances!R75)-MIN(Instances!R75:Instances!R75))</f>
        <v>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 cm="1">
        <f t="array" ref="F76">_xlfn.SWITCH($A$2,"average", AVERAGE(Instances!F76:Instances!F76),"median", MEDIAN(Instances!F76:Instances!F76),"min", MIN(Instances!F76:Instances!F76),"max", MAX(Instances!F76:Instances!F76),"diff", MAX(Instances!F76:Instances!F76)-MIN(Instances!F76:Instances!F76))</f>
        <v>0</v>
      </c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 cm="1">
        <f t="array" ref="H76">_xlfn.SWITCH($A$2,"average", AVERAGE(Instances!H76:Instances!H76),"median", MEDIAN(Instances!H76:Instances!H76),"min", MIN(Instances!H76:Instances!H76),"max", MAX(Instances!H76:Instances!H76),"diff", MAX(Instances!H76:Instances!H76)-MIN(Instances!H76:Instances!H76))</f>
        <v>0</v>
      </c>
      <c r="I76" s="1" cm="1">
        <f t="array" ref="I76">_xlfn.SWITCH($A$2,"average", AVERAGE(Instances!I76:Instances!I76),"median", MEDIAN(Instances!I76:Instances!I76),"min", MIN(Instances!I76:Instances!I76),"max", MAX(Instances!I76:Instances!I76),"diff", MAX(Instances!I76:Instances!I76)-MIN(Instances!I76:Instances!I76))</f>
        <v>0</v>
      </c>
      <c r="J76" s="1" cm="1">
        <f t="array" ref="J76">_xlfn.SWITCH($A$2,"average", AVERAGE(Instances!J76:Instances!J76),"median", MEDIAN(Instances!J76:Instances!J76),"min", MIN(Instances!J76:Instances!J76),"max", MAX(Instances!J76:Instances!J76),"diff", MAX(Instances!J76:Instances!J76)-MIN(Instances!J76:Instances!J76))</f>
        <v>0</v>
      </c>
      <c r="K76" s="1" cm="1">
        <f t="array" ref="K76">_xlfn.SWITCH($A$2,"average", AVERAGE(Instances!K76:Instances!K76),"median", MEDIAN(Instances!K76:Instances!K76),"min", MIN(Instances!K76:Instances!K76),"max", MAX(Instances!K76:Instances!K76),"diff", MAX(Instances!K76:Instances!K76)-MIN(Instances!K76:Instances!K76))</f>
        <v>0</v>
      </c>
      <c r="L76" s="1"/>
      <c r="M76" s="1" cm="1">
        <f t="array" ref="M76">_xlfn.SWITCH($A$2,"average", AVERAGE(Instances!M76:Instances!M76),"median", MEDIAN(Instances!M76:Instances!M76),"min", MIN(Instances!M76:Instances!M76),"max", MAX(Instances!M76:Instances!M76),"diff", MAX(Instances!M76:Instances!M76)-MIN(Instances!M76:Instances!M76))</f>
        <v>0</v>
      </c>
      <c r="N76" s="1" cm="1">
        <f t="array" ref="N76">_xlfn.SWITCH($A$2,"average", AVERAGE(Instances!N76:Instances!N76),"median", MEDIAN(Instances!N76:Instances!N76),"min", MIN(Instances!N76:Instances!N76),"max", MAX(Instances!N76:Instances!N76),"diff", MAX(Instances!N76:Instances!N76)-MIN(Instances!N76:Instances!N76))</f>
        <v>0</v>
      </c>
      <c r="O76" s="1"/>
      <c r="P76" s="1" cm="1">
        <f t="array" ref="P76">_xlfn.SWITCH($A$2,"average", AVERAGE(Instances!P76:Instances!P76),"median", MEDIAN(Instances!P76:Instances!P76),"min", MIN(Instances!P76:Instances!P76),"max", MAX(Instances!P76:Instances!P76),"diff", MAX(Instances!P76:Instances!P76)-MIN(Instances!P76:Instances!P76))</f>
        <v>0</v>
      </c>
      <c r="Q76" s="1" cm="1">
        <f t="array" ref="Q76">_xlfn.SWITCH($A$2,"average", AVERAGE(Instances!Q76:Instances!Q76),"median", MEDIAN(Instances!Q76:Instances!Q76),"min", MIN(Instances!Q76:Instances!Q76),"max", MAX(Instances!Q76:Instances!Q76),"diff", MAX(Instances!Q76:Instances!Q76)-MIN(Instances!Q76:Instances!Q76))</f>
        <v>0</v>
      </c>
      <c r="R76" s="1" cm="1">
        <f t="array" ref="R76">_xlfn.SWITCH($A$2,"average", AVERAGE(Instances!R76:Instances!R76),"median", MEDIAN(Instances!R76:Instances!R76),"min", MIN(Instances!R76:Instances!R76),"max", MAX(Instances!R76:Instances!R76),"diff", MAX(Instances!R76:Instances!R76)-MIN(Instances!R76:Instances!R76))</f>
        <v>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 cm="1">
        <f t="array" ref="F77">_xlfn.SWITCH($A$2,"average", AVERAGE(Instances!F77:Instances!F77),"median", MEDIAN(Instances!F77:Instances!F77),"min", MIN(Instances!F77:Instances!F77),"max", MAX(Instances!F77:Instances!F77),"diff", MAX(Instances!F77:Instances!F77)-MIN(Instances!F77:Instances!F77))</f>
        <v>0</v>
      </c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 cm="1">
        <f t="array" ref="H77">_xlfn.SWITCH($A$2,"average", AVERAGE(Instances!H77:Instances!H77),"median", MEDIAN(Instances!H77:Instances!H77),"min", MIN(Instances!H77:Instances!H77),"max", MAX(Instances!H77:Instances!H77),"diff", MAX(Instances!H77:Instances!H77)-MIN(Instances!H77:Instances!H77))</f>
        <v>0</v>
      </c>
      <c r="I77" s="1" cm="1">
        <f t="array" ref="I77">_xlfn.SWITCH($A$2,"average", AVERAGE(Instances!I77:Instances!I77),"median", MEDIAN(Instances!I77:Instances!I77),"min", MIN(Instances!I77:Instances!I77),"max", MAX(Instances!I77:Instances!I77),"diff", MAX(Instances!I77:Instances!I77)-MIN(Instances!I77:Instances!I77))</f>
        <v>0</v>
      </c>
      <c r="J77" s="1" cm="1">
        <f t="array" ref="J77">_xlfn.SWITCH($A$2,"average", AVERAGE(Instances!J77:Instances!J77),"median", MEDIAN(Instances!J77:Instances!J77),"min", MIN(Instances!J77:Instances!J77),"max", MAX(Instances!J77:Instances!J77),"diff", MAX(Instances!J77:Instances!J77)-MIN(Instances!J77:Instances!J77))</f>
        <v>0</v>
      </c>
      <c r="K77" s="1" cm="1">
        <f t="array" ref="K77">_xlfn.SWITCH($A$2,"average", AVERAGE(Instances!K77:Instances!K77),"median", MEDIAN(Instances!K77:Instances!K77),"min", MIN(Instances!K77:Instances!K77),"max", MAX(Instances!K77:Instances!K77),"diff", MAX(Instances!K77:Instances!K77)-MIN(Instances!K77:Instances!K77))</f>
        <v>0</v>
      </c>
      <c r="L77" s="1"/>
      <c r="M77" s="1" cm="1">
        <f t="array" ref="M77">_xlfn.SWITCH($A$2,"average", AVERAGE(Instances!M77:Instances!M77),"median", MEDIAN(Instances!M77:Instances!M77),"min", MIN(Instances!M77:Instances!M77),"max", MAX(Instances!M77:Instances!M77),"diff", MAX(Instances!M77:Instances!M77)-MIN(Instances!M77:Instances!M77))</f>
        <v>0</v>
      </c>
      <c r="N77" s="1" cm="1">
        <f t="array" ref="N77">_xlfn.SWITCH($A$2,"average", AVERAGE(Instances!N77:Instances!N77),"median", MEDIAN(Instances!N77:Instances!N77),"min", MIN(Instances!N77:Instances!N77),"max", MAX(Instances!N77:Instances!N77),"diff", MAX(Instances!N77:Instances!N77)-MIN(Instances!N77:Instances!N77))</f>
        <v>0</v>
      </c>
      <c r="O77" s="1"/>
      <c r="P77" s="1" cm="1">
        <f t="array" ref="P77">_xlfn.SWITCH($A$2,"average", AVERAGE(Instances!P77:Instances!P77),"median", MEDIAN(Instances!P77:Instances!P77),"min", MIN(Instances!P77:Instances!P77),"max", MAX(Instances!P77:Instances!P77),"diff", MAX(Instances!P77:Instances!P77)-MIN(Instances!P77:Instances!P77))</f>
        <v>0</v>
      </c>
      <c r="Q77" s="1" cm="1">
        <f t="array" ref="Q77">_xlfn.SWITCH($A$2,"average", AVERAGE(Instances!Q77:Instances!Q77),"median", MEDIAN(Instances!Q77:Instances!Q77),"min", MIN(Instances!Q77:Instances!Q77),"max", MAX(Instances!Q77:Instances!Q77),"diff", MAX(Instances!Q77:Instances!Q77)-MIN(Instances!Q77:Instances!Q77))</f>
        <v>0</v>
      </c>
      <c r="R77" s="1" cm="1">
        <f t="array" ref="R77">_xlfn.SWITCH($A$2,"average", AVERAGE(Instances!R77:Instances!R77),"median", MEDIAN(Instances!R77:Instances!R77),"min", MIN(Instances!R77:Instances!R77),"max", MAX(Instances!R77:Instances!R77),"diff", MAX(Instances!R77:Instances!R77)-MIN(Instances!R77:Instances!R77))</f>
        <v>0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 cm="1">
        <f t="array" ref="F78">_xlfn.SWITCH($A$2,"average", AVERAGE(Instances!F78:Instances!F78),"median", MEDIAN(Instances!F78:Instances!F78),"min", MIN(Instances!F78:Instances!F78),"max", MAX(Instances!F78:Instances!F78),"diff", MAX(Instances!F78:Instances!F78)-MIN(Instances!F78:Instances!F78))</f>
        <v>0</v>
      </c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 cm="1">
        <f t="array" ref="H78">_xlfn.SWITCH($A$2,"average", AVERAGE(Instances!H78:Instances!H78),"median", MEDIAN(Instances!H78:Instances!H78),"min", MIN(Instances!H78:Instances!H78),"max", MAX(Instances!H78:Instances!H78),"diff", MAX(Instances!H78:Instances!H78)-MIN(Instances!H78:Instances!H78))</f>
        <v>0</v>
      </c>
      <c r="I78" s="1" cm="1">
        <f t="array" ref="I78">_xlfn.SWITCH($A$2,"average", AVERAGE(Instances!I78:Instances!I78),"median", MEDIAN(Instances!I78:Instances!I78),"min", MIN(Instances!I78:Instances!I78),"max", MAX(Instances!I78:Instances!I78),"diff", MAX(Instances!I78:Instances!I78)-MIN(Instances!I78:Instances!I78))</f>
        <v>0</v>
      </c>
      <c r="J78" s="1" cm="1">
        <f t="array" ref="J78">_xlfn.SWITCH($A$2,"average", AVERAGE(Instances!J78:Instances!J78),"median", MEDIAN(Instances!J78:Instances!J78),"min", MIN(Instances!J78:Instances!J78),"max", MAX(Instances!J78:Instances!J78),"diff", MAX(Instances!J78:Instances!J78)-MIN(Instances!J78:Instances!J78))</f>
        <v>0</v>
      </c>
      <c r="K78" s="1" cm="1">
        <f t="array" ref="K78">_xlfn.SWITCH($A$2,"average", AVERAGE(Instances!K78:Instances!K78),"median", MEDIAN(Instances!K78:Instances!K78),"min", MIN(Instances!K78:Instances!K78),"max", MAX(Instances!K78:Instances!K78),"diff", MAX(Instances!K78:Instances!K78)-MIN(Instances!K78:Instances!K78))</f>
        <v>0</v>
      </c>
      <c r="L78" s="1"/>
      <c r="M78" s="1" cm="1">
        <f t="array" ref="M78">_xlfn.SWITCH($A$2,"average", AVERAGE(Instances!M78:Instances!M78),"median", MEDIAN(Instances!M78:Instances!M78),"min", MIN(Instances!M78:Instances!M78),"max", MAX(Instances!M78:Instances!M78),"diff", MAX(Instances!M78:Instances!M78)-MIN(Instances!M78:Instances!M78))</f>
        <v>0</v>
      </c>
      <c r="N78" s="1" cm="1">
        <f t="array" ref="N78">_xlfn.SWITCH($A$2,"average", AVERAGE(Instances!N78:Instances!N78),"median", MEDIAN(Instances!N78:Instances!N78),"min", MIN(Instances!N78:Instances!N78),"max", MAX(Instances!N78:Instances!N78),"diff", MAX(Instances!N78:Instances!N78)-MIN(Instances!N78:Instances!N78))</f>
        <v>0</v>
      </c>
      <c r="O78" s="1"/>
      <c r="P78" s="1" cm="1">
        <f t="array" ref="P78">_xlfn.SWITCH($A$2,"average", AVERAGE(Instances!P78:Instances!P78),"median", MEDIAN(Instances!P78:Instances!P78),"min", MIN(Instances!P78:Instances!P78),"max", MAX(Instances!P78:Instances!P78),"diff", MAX(Instances!P78:Instances!P78)-MIN(Instances!P78:Instances!P78))</f>
        <v>0</v>
      </c>
      <c r="Q78" s="1" cm="1">
        <f t="array" ref="Q78">_xlfn.SWITCH($A$2,"average", AVERAGE(Instances!Q78:Instances!Q78),"median", MEDIAN(Instances!Q78:Instances!Q78),"min", MIN(Instances!Q78:Instances!Q78),"max", MAX(Instances!Q78:Instances!Q78),"diff", MAX(Instances!Q78:Instances!Q78)-MIN(Instances!Q78:Instances!Q78))</f>
        <v>0</v>
      </c>
      <c r="R78" s="1" cm="1">
        <f t="array" ref="R78">_xlfn.SWITCH($A$2,"average", AVERAGE(Instances!R78:Instances!R78),"median", MEDIAN(Instances!R78:Instances!R78),"min", MIN(Instances!R78:Instances!R78),"max", MAX(Instances!R78:Instances!R78),"diff", MAX(Instances!R78:Instances!R78)-MIN(Instances!R78:Instances!R78))</f>
        <v>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 cm="1">
        <f t="array" ref="F79">_xlfn.SWITCH($A$2,"average", AVERAGE(Instances!F79:Instances!F79),"median", MEDIAN(Instances!F79:Instances!F79),"min", MIN(Instances!F79:Instances!F79),"max", MAX(Instances!F79:Instances!F79),"diff", MAX(Instances!F79:Instances!F79)-MIN(Instances!F79:Instances!F79))</f>
        <v>0</v>
      </c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 cm="1">
        <f t="array" ref="H79">_xlfn.SWITCH($A$2,"average", AVERAGE(Instances!H79:Instances!H79),"median", MEDIAN(Instances!H79:Instances!H79),"min", MIN(Instances!H79:Instances!H79),"max", MAX(Instances!H79:Instances!H79),"diff", MAX(Instances!H79:Instances!H79)-MIN(Instances!H79:Instances!H79))</f>
        <v>0</v>
      </c>
      <c r="I79" s="1" cm="1">
        <f t="array" ref="I79">_xlfn.SWITCH($A$2,"average", AVERAGE(Instances!I79:Instances!I79),"median", MEDIAN(Instances!I79:Instances!I79),"min", MIN(Instances!I79:Instances!I79),"max", MAX(Instances!I79:Instances!I79),"diff", MAX(Instances!I79:Instances!I79)-MIN(Instances!I79:Instances!I79))</f>
        <v>0</v>
      </c>
      <c r="J79" s="1" cm="1">
        <f t="array" ref="J79">_xlfn.SWITCH($A$2,"average", AVERAGE(Instances!J79:Instances!J79),"median", MEDIAN(Instances!J79:Instances!J79),"min", MIN(Instances!J79:Instances!J79),"max", MAX(Instances!J79:Instances!J79),"diff", MAX(Instances!J79:Instances!J79)-MIN(Instances!J79:Instances!J79))</f>
        <v>0</v>
      </c>
      <c r="K79" s="1" cm="1">
        <f t="array" ref="K79">_xlfn.SWITCH($A$2,"average", AVERAGE(Instances!K79:Instances!K79),"median", MEDIAN(Instances!K79:Instances!K79),"min", MIN(Instances!K79:Instances!K79),"max", MAX(Instances!K79:Instances!K79),"diff", MAX(Instances!K79:Instances!K79)-MIN(Instances!K79:Instances!K79))</f>
        <v>0</v>
      </c>
      <c r="L79" s="1"/>
      <c r="M79" s="1" cm="1">
        <f t="array" ref="M79">_xlfn.SWITCH($A$2,"average", AVERAGE(Instances!M79:Instances!M79),"median", MEDIAN(Instances!M79:Instances!M79),"min", MIN(Instances!M79:Instances!M79),"max", MAX(Instances!M79:Instances!M79),"diff", MAX(Instances!M79:Instances!M79)-MIN(Instances!M79:Instances!M79))</f>
        <v>0</v>
      </c>
      <c r="N79" s="1" cm="1">
        <f t="array" ref="N79">_xlfn.SWITCH($A$2,"average", AVERAGE(Instances!N79:Instances!N79),"median", MEDIAN(Instances!N79:Instances!N79),"min", MIN(Instances!N79:Instances!N79),"max", MAX(Instances!N79:Instances!N79),"diff", MAX(Instances!N79:Instances!N79)-MIN(Instances!N79:Instances!N79))</f>
        <v>0</v>
      </c>
      <c r="O79" s="1"/>
      <c r="P79" s="1" cm="1">
        <f t="array" ref="P79">_xlfn.SWITCH($A$2,"average", AVERAGE(Instances!P79:Instances!P79),"median", MEDIAN(Instances!P79:Instances!P79),"min", MIN(Instances!P79:Instances!P79),"max", MAX(Instances!P79:Instances!P79),"diff", MAX(Instances!P79:Instances!P79)-MIN(Instances!P79:Instances!P79))</f>
        <v>0</v>
      </c>
      <c r="Q79" s="1" cm="1">
        <f t="array" ref="Q79">_xlfn.SWITCH($A$2,"average", AVERAGE(Instances!Q79:Instances!Q79),"median", MEDIAN(Instances!Q79:Instances!Q79),"min", MIN(Instances!Q79:Instances!Q79),"max", MAX(Instances!Q79:Instances!Q79),"diff", MAX(Instances!Q79:Instances!Q79)-MIN(Instances!Q79:Instances!Q79))</f>
        <v>0</v>
      </c>
      <c r="R79" s="1" cm="1">
        <f t="array" ref="R79">_xlfn.SWITCH($A$2,"average", AVERAGE(Instances!R79:Instances!R79),"median", MEDIAN(Instances!R79:Instances!R79),"min", MIN(Instances!R79:Instances!R79),"max", MAX(Instances!R79:Instances!R79),"diff", MAX(Instances!R79:Instances!R79)-MIN(Instances!R79:Instances!R79))</f>
        <v>0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 cm="1">
        <f t="array" ref="F80">_xlfn.SWITCH($A$2,"average", AVERAGE(Instances!F80:Instances!F80),"median", MEDIAN(Instances!F80:Instances!F80),"min", MIN(Instances!F80:Instances!F80),"max", MAX(Instances!F80:Instances!F80),"diff", MAX(Instances!F80:Instances!F80)-MIN(Instances!F80:Instances!F80))</f>
        <v>0</v>
      </c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 cm="1">
        <f t="array" ref="H80">_xlfn.SWITCH($A$2,"average", AVERAGE(Instances!H80:Instances!H80),"median", MEDIAN(Instances!H80:Instances!H80),"min", MIN(Instances!H80:Instances!H80),"max", MAX(Instances!H80:Instances!H80),"diff", MAX(Instances!H80:Instances!H80)-MIN(Instances!H80:Instances!H80))</f>
        <v>0</v>
      </c>
      <c r="I80" s="1" cm="1">
        <f t="array" ref="I80">_xlfn.SWITCH($A$2,"average", AVERAGE(Instances!I80:Instances!I80),"median", MEDIAN(Instances!I80:Instances!I80),"min", MIN(Instances!I80:Instances!I80),"max", MAX(Instances!I80:Instances!I80),"diff", MAX(Instances!I80:Instances!I80)-MIN(Instances!I80:Instances!I80))</f>
        <v>0</v>
      </c>
      <c r="J80" s="1" cm="1">
        <f t="array" ref="J80">_xlfn.SWITCH($A$2,"average", AVERAGE(Instances!J80:Instances!J80),"median", MEDIAN(Instances!J80:Instances!J80),"min", MIN(Instances!J80:Instances!J80),"max", MAX(Instances!J80:Instances!J80),"diff", MAX(Instances!J80:Instances!J80)-MIN(Instances!J80:Instances!J80))</f>
        <v>0</v>
      </c>
      <c r="K80" s="1" cm="1">
        <f t="array" ref="K80">_xlfn.SWITCH($A$2,"average", AVERAGE(Instances!K80:Instances!K80),"median", MEDIAN(Instances!K80:Instances!K80),"min", MIN(Instances!K80:Instances!K80),"max", MAX(Instances!K80:Instances!K80),"diff", MAX(Instances!K80:Instances!K80)-MIN(Instances!K80:Instances!K80))</f>
        <v>0</v>
      </c>
      <c r="L80" s="1"/>
      <c r="M80" s="1" cm="1">
        <f t="array" ref="M80">_xlfn.SWITCH($A$2,"average", AVERAGE(Instances!M80:Instances!M80),"median", MEDIAN(Instances!M80:Instances!M80),"min", MIN(Instances!M80:Instances!M80),"max", MAX(Instances!M80:Instances!M80),"diff", MAX(Instances!M80:Instances!M80)-MIN(Instances!M80:Instances!M80))</f>
        <v>0</v>
      </c>
      <c r="N80" s="1" cm="1">
        <f t="array" ref="N80">_xlfn.SWITCH($A$2,"average", AVERAGE(Instances!N80:Instances!N80),"median", MEDIAN(Instances!N80:Instances!N80),"min", MIN(Instances!N80:Instances!N80),"max", MAX(Instances!N80:Instances!N80),"diff", MAX(Instances!N80:Instances!N80)-MIN(Instances!N80:Instances!N80))</f>
        <v>0</v>
      </c>
      <c r="O80" s="1"/>
      <c r="P80" s="1" cm="1">
        <f t="array" ref="P80">_xlfn.SWITCH($A$2,"average", AVERAGE(Instances!P80:Instances!P80),"median", MEDIAN(Instances!P80:Instances!P80),"min", MIN(Instances!P80:Instances!P80),"max", MAX(Instances!P80:Instances!P80),"diff", MAX(Instances!P80:Instances!P80)-MIN(Instances!P80:Instances!P80))</f>
        <v>0</v>
      </c>
      <c r="Q80" s="1" cm="1">
        <f t="array" ref="Q80">_xlfn.SWITCH($A$2,"average", AVERAGE(Instances!Q80:Instances!Q80),"median", MEDIAN(Instances!Q80:Instances!Q80),"min", MIN(Instances!Q80:Instances!Q80),"max", MAX(Instances!Q80:Instances!Q80),"diff", MAX(Instances!Q80:Instances!Q80)-MIN(Instances!Q80:Instances!Q80))</f>
        <v>0</v>
      </c>
      <c r="R80" s="1" cm="1">
        <f t="array" ref="R80">_xlfn.SWITCH($A$2,"average", AVERAGE(Instances!R80:Instances!R80),"median", MEDIAN(Instances!R80:Instances!R80),"min", MIN(Instances!R80:Instances!R80),"max", MAX(Instances!R80:Instances!R80),"diff", MAX(Instances!R80:Instances!R80)-MIN(Instances!R80:Instances!R80))</f>
        <v>0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 cm="1">
        <f t="array" ref="F81">_xlfn.SWITCH($A$2,"average", AVERAGE(Instances!F81:Instances!F81),"median", MEDIAN(Instances!F81:Instances!F81),"min", MIN(Instances!F81:Instances!F81),"max", MAX(Instances!F81:Instances!F81),"diff", MAX(Instances!F81:Instances!F81)-MIN(Instances!F81:Instances!F81))</f>
        <v>0</v>
      </c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 cm="1">
        <f t="array" ref="H81">_xlfn.SWITCH($A$2,"average", AVERAGE(Instances!H81:Instances!H81),"median", MEDIAN(Instances!H81:Instances!H81),"min", MIN(Instances!H81:Instances!H81),"max", MAX(Instances!H81:Instances!H81),"diff", MAX(Instances!H81:Instances!H81)-MIN(Instances!H81:Instances!H81))</f>
        <v>0</v>
      </c>
      <c r="I81" s="1" cm="1">
        <f t="array" ref="I81">_xlfn.SWITCH($A$2,"average", AVERAGE(Instances!I81:Instances!I81),"median", MEDIAN(Instances!I81:Instances!I81),"min", MIN(Instances!I81:Instances!I81),"max", MAX(Instances!I81:Instances!I81),"diff", MAX(Instances!I81:Instances!I81)-MIN(Instances!I81:Instances!I81))</f>
        <v>0</v>
      </c>
      <c r="J81" s="1" cm="1">
        <f t="array" ref="J81">_xlfn.SWITCH($A$2,"average", AVERAGE(Instances!J81:Instances!J81),"median", MEDIAN(Instances!J81:Instances!J81),"min", MIN(Instances!J81:Instances!J81),"max", MAX(Instances!J81:Instances!J81),"diff", MAX(Instances!J81:Instances!J81)-MIN(Instances!J81:Instances!J81))</f>
        <v>0</v>
      </c>
      <c r="K81" s="1" cm="1">
        <f t="array" ref="K81">_xlfn.SWITCH($A$2,"average", AVERAGE(Instances!K81:Instances!K81),"median", MEDIAN(Instances!K81:Instances!K81),"min", MIN(Instances!K81:Instances!K81),"max", MAX(Instances!K81:Instances!K81),"diff", MAX(Instances!K81:Instances!K81)-MIN(Instances!K81:Instances!K81))</f>
        <v>0</v>
      </c>
      <c r="L81" s="1"/>
      <c r="M81" s="1" cm="1">
        <f t="array" ref="M81">_xlfn.SWITCH($A$2,"average", AVERAGE(Instances!M81:Instances!M81),"median", MEDIAN(Instances!M81:Instances!M81),"min", MIN(Instances!M81:Instances!M81),"max", MAX(Instances!M81:Instances!M81),"diff", MAX(Instances!M81:Instances!M81)-MIN(Instances!M81:Instances!M81))</f>
        <v>0</v>
      </c>
      <c r="N81" s="1" cm="1">
        <f t="array" ref="N81">_xlfn.SWITCH($A$2,"average", AVERAGE(Instances!N81:Instances!N81),"median", MEDIAN(Instances!N81:Instances!N81),"min", MIN(Instances!N81:Instances!N81),"max", MAX(Instances!N81:Instances!N81),"diff", MAX(Instances!N81:Instances!N81)-MIN(Instances!N81:Instances!N81))</f>
        <v>0</v>
      </c>
      <c r="O81" s="1"/>
      <c r="P81" s="1" cm="1">
        <f t="array" ref="P81">_xlfn.SWITCH($A$2,"average", AVERAGE(Instances!P81:Instances!P81),"median", MEDIAN(Instances!P81:Instances!P81),"min", MIN(Instances!P81:Instances!P81),"max", MAX(Instances!P81:Instances!P81),"diff", MAX(Instances!P81:Instances!P81)-MIN(Instances!P81:Instances!P81))</f>
        <v>0</v>
      </c>
      <c r="Q81" s="1" cm="1">
        <f t="array" ref="Q81">_xlfn.SWITCH($A$2,"average", AVERAGE(Instances!Q81:Instances!Q81),"median", MEDIAN(Instances!Q81:Instances!Q81),"min", MIN(Instances!Q81:Instances!Q81),"max", MAX(Instances!Q81:Instances!Q81),"diff", MAX(Instances!Q81:Instances!Q81)-MIN(Instances!Q81:Instances!Q81))</f>
        <v>0</v>
      </c>
      <c r="R81" s="1" cm="1">
        <f t="array" ref="R81">_xlfn.SWITCH($A$2,"average", AVERAGE(Instances!R81:Instances!R81),"median", MEDIAN(Instances!R81:Instances!R81),"min", MIN(Instances!R81:Instances!R81),"max", MAX(Instances!R81:Instances!R81),"diff", MAX(Instances!R81:Instances!R81)-MIN(Instances!R81:Instances!R81))</f>
        <v>0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 cm="1">
        <f t="array" ref="B82">_xlfn.SWITCH($A$2,"average", AVERAGE(Instances!B82:Instances!B82),"median", MEDIAN(Instances!B82:Instances!B82),"min", MIN(Instances!B82:Instances!B82),"max", MAX(Instances!B82:Instances!B82),"diff", MAX(Instances!B82:Instances!B82)-MIN(Instances!B82:Instances!B82))</f>
        <v>0</v>
      </c>
      <c r="C82" s="1" cm="1">
        <f t="array" ref="C82">_xlfn.SWITCH($A$2,"average", AVERAGE(Instances!C82:Instances!C82),"median", MEDIAN(Instances!C82:Instances!C82),"min", MIN(Instances!C82:Instances!C82),"max", MAX(Instances!C82:Instances!C82),"diff", MAX(Instances!C82:Instances!C82)-MIN(Instances!C82:Instances!C82))</f>
        <v>0</v>
      </c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 cm="1">
        <f t="array" ref="F82">_xlfn.SWITCH($A$2,"average", AVERAGE(Instances!F82:Instances!F82),"median", MEDIAN(Instances!F82:Instances!F82),"min", MIN(Instances!F82:Instances!F82),"max", MAX(Instances!F82:Instances!F82),"diff", MAX(Instances!F82:Instances!F82)-MIN(Instances!F82:Instances!F82))</f>
        <v>0</v>
      </c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 cm="1">
        <f t="array" ref="H82">_xlfn.SWITCH($A$2,"average", AVERAGE(Instances!H82:Instances!H82),"median", MEDIAN(Instances!H82:Instances!H82),"min", MIN(Instances!H82:Instances!H82),"max", MAX(Instances!H82:Instances!H82),"diff", MAX(Instances!H82:Instances!H82)-MIN(Instances!H82:Instances!H82))</f>
        <v>0</v>
      </c>
      <c r="I82" s="1" cm="1">
        <f t="array" ref="I82">_xlfn.SWITCH($A$2,"average", AVERAGE(Instances!I82:Instances!I82),"median", MEDIAN(Instances!I82:Instances!I82),"min", MIN(Instances!I82:Instances!I82),"max", MAX(Instances!I82:Instances!I82),"diff", MAX(Instances!I82:Instances!I82)-MIN(Instances!I82:Instances!I82))</f>
        <v>0</v>
      </c>
      <c r="J82" s="1" cm="1">
        <f t="array" ref="J82">_xlfn.SWITCH($A$2,"average", AVERAGE(Instances!J82:Instances!J82),"median", MEDIAN(Instances!J82:Instances!J82),"min", MIN(Instances!J82:Instances!J82),"max", MAX(Instances!J82:Instances!J82),"diff", MAX(Instances!J82:Instances!J82)-MIN(Instances!J82:Instances!J82))</f>
        <v>0</v>
      </c>
      <c r="K82" s="1" cm="1">
        <f t="array" ref="K82">_xlfn.SWITCH($A$2,"average", AVERAGE(Instances!K82:Instances!K82),"median", MEDIAN(Instances!K82:Instances!K82),"min", MIN(Instances!K82:Instances!K82),"max", MAX(Instances!K82:Instances!K82),"diff", MAX(Instances!K82:Instances!K82)-MIN(Instances!K82:Instances!K82))</f>
        <v>0</v>
      </c>
      <c r="L82" s="1"/>
      <c r="M82" s="1" cm="1">
        <f t="array" ref="M82">_xlfn.SWITCH($A$2,"average", AVERAGE(Instances!M82:Instances!M82),"median", MEDIAN(Instances!M82:Instances!M82),"min", MIN(Instances!M82:Instances!M82),"max", MAX(Instances!M82:Instances!M82),"diff", MAX(Instances!M82:Instances!M82)-MIN(Instances!M82:Instances!M82))</f>
        <v>0</v>
      </c>
      <c r="N82" s="1" cm="1">
        <f t="array" ref="N82">_xlfn.SWITCH($A$2,"average", AVERAGE(Instances!N82:Instances!N82),"median", MEDIAN(Instances!N82:Instances!N82),"min", MIN(Instances!N82:Instances!N82),"max", MAX(Instances!N82:Instances!N82),"diff", MAX(Instances!N82:Instances!N82)-MIN(Instances!N82:Instances!N82))</f>
        <v>0</v>
      </c>
      <c r="O82" s="1"/>
      <c r="P82" s="1" cm="1">
        <f t="array" ref="P82">_xlfn.SWITCH($A$2,"average", AVERAGE(Instances!P82:Instances!P82),"median", MEDIAN(Instances!P82:Instances!P82),"min", MIN(Instances!P82:Instances!P82),"max", MAX(Instances!P82:Instances!P82),"diff", MAX(Instances!P82:Instances!P82)-MIN(Instances!P82:Instances!P82))</f>
        <v>0</v>
      </c>
      <c r="Q82" s="1" cm="1">
        <f t="array" ref="Q82">_xlfn.SWITCH($A$2,"average", AVERAGE(Instances!Q82:Instances!Q82),"median", MEDIAN(Instances!Q82:Instances!Q82),"min", MIN(Instances!Q82:Instances!Q82),"max", MAX(Instances!Q82:Instances!Q82),"diff", MAX(Instances!Q82:Instances!Q82)-MIN(Instances!Q82:Instances!Q82))</f>
        <v>0</v>
      </c>
      <c r="R82" s="1" cm="1">
        <f t="array" ref="R82">_xlfn.SWITCH($A$2,"average", AVERAGE(Instances!R82:Instances!R82),"median", MEDIAN(Instances!R82:Instances!R82),"min", MIN(Instances!R82:Instances!R82),"max", MAX(Instances!R82:Instances!R82),"diff", MAX(Instances!R82:Instances!R82)-MIN(Instances!R82:Instances!R82))</f>
        <v>0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 cm="1">
        <f t="array" ref="B83">_xlfn.SWITCH($A$2,"average", AVERAGE(Instances!B83:Instances!B83),"median", MEDIAN(Instances!B83:Instances!B83),"min", MIN(Instances!B83:Instances!B83),"max", MAX(Instances!B83:Instances!B83),"diff", MAX(Instances!B83:Instances!B83)-MIN(Instances!B83:Instances!B83))</f>
        <v>0</v>
      </c>
      <c r="C83" s="1" cm="1">
        <f t="array" ref="C83">_xlfn.SWITCH($A$2,"average", AVERAGE(Instances!C83:Instances!C83),"median", MEDIAN(Instances!C83:Instances!C83),"min", MIN(Instances!C83:Instances!C83),"max", MAX(Instances!C83:Instances!C83),"diff", MAX(Instances!C83:Instances!C83)-MIN(Instances!C83:Instances!C83))</f>
        <v>0</v>
      </c>
      <c r="D83" s="1" cm="1">
        <f t="array" ref="D83">_xlfn.SWITCH($A$2,"average", AVERAGE(Instances!D83:Instances!D83),"median", MEDIAN(Instances!D83:Instances!D83),"min", MIN(Instances!D83:Instances!D83),"max", MAX(Instances!D83:Instances!D83),"diff", MAX(Instances!D83:Instances!D83)-MIN(Instances!D83:Instances!D83))</f>
        <v>0</v>
      </c>
      <c r="E83" s="1" cm="1">
        <f t="array" ref="E83">_xlfn.SWITCH($A$2,"average", AVERAGE(Instances!E83:Instances!E83),"median", MEDIAN(Instances!E83:Instances!E83),"min", MIN(Instances!E83:Instances!E83),"max", MAX(Instances!E83:Instances!E83),"diff", MAX(Instances!E83:Instances!E83)-MIN(Instances!E83:Instances!E83))</f>
        <v>0</v>
      </c>
      <c r="F83" s="1" cm="1">
        <f t="array" ref="F83">_xlfn.SWITCH($A$2,"average", AVERAGE(Instances!F83:Instances!F83),"median", MEDIAN(Instances!F83:Instances!F83),"min", MIN(Instances!F83:Instances!F83),"max", MAX(Instances!F83:Instances!F83),"diff", MAX(Instances!F83:Instances!F83)-MIN(Instances!F83:Instances!F83))</f>
        <v>0</v>
      </c>
      <c r="G83" s="1" cm="1">
        <f t="array" ref="G83">_xlfn.SWITCH($A$2,"average", AVERAGE(Instances!G83:Instances!G83),"median", MEDIAN(Instances!G83:Instances!G83),"min", MIN(Instances!G83:Instances!G83),"max", MAX(Instances!G83:Instances!G83),"diff", MAX(Instances!G83:Instances!G83)-MIN(Instances!G83:Instances!G83))</f>
        <v>0</v>
      </c>
      <c r="H83" s="1" cm="1">
        <f t="array" ref="H83">_xlfn.SWITCH($A$2,"average", AVERAGE(Instances!H83:Instances!H83),"median", MEDIAN(Instances!H83:Instances!H83),"min", MIN(Instances!H83:Instances!H83),"max", MAX(Instances!H83:Instances!H83),"diff", MAX(Instances!H83:Instances!H83)-MIN(Instances!H83:Instances!H83))</f>
        <v>0</v>
      </c>
      <c r="I83" s="1" cm="1">
        <f t="array" ref="I83">_xlfn.SWITCH($A$2,"average", AVERAGE(Instances!I83:Instances!I83),"median", MEDIAN(Instances!I83:Instances!I83),"min", MIN(Instances!I83:Instances!I83),"max", MAX(Instances!I83:Instances!I83),"diff", MAX(Instances!I83:Instances!I83)-MIN(Instances!I83:Instances!I83))</f>
        <v>0</v>
      </c>
      <c r="J83" s="1" cm="1">
        <f t="array" ref="J83">_xlfn.SWITCH($A$2,"average", AVERAGE(Instances!J83:Instances!J83),"median", MEDIAN(Instances!J83:Instances!J83),"min", MIN(Instances!J83:Instances!J83),"max", MAX(Instances!J83:Instances!J83),"diff", MAX(Instances!J83:Instances!J83)-MIN(Instances!J83:Instances!J83))</f>
        <v>0</v>
      </c>
      <c r="K83" s="1" cm="1">
        <f t="array" ref="K83">_xlfn.SWITCH($A$2,"average", AVERAGE(Instances!K83:Instances!K83),"median", MEDIAN(Instances!K83:Instances!K83),"min", MIN(Instances!K83:Instances!K83),"max", MAX(Instances!K83:Instances!K83),"diff", MAX(Instances!K83:Instances!K83)-MIN(Instances!K83:Instances!K83))</f>
        <v>0</v>
      </c>
      <c r="L83" s="1"/>
      <c r="M83" s="1" cm="1">
        <f t="array" ref="M83">_xlfn.SWITCH($A$2,"average", AVERAGE(Instances!M83:Instances!M83),"median", MEDIAN(Instances!M83:Instances!M83),"min", MIN(Instances!M83:Instances!M83),"max", MAX(Instances!M83:Instances!M83),"diff", MAX(Instances!M83:Instances!M83)-MIN(Instances!M83:Instances!M83))</f>
        <v>0</v>
      </c>
      <c r="N83" s="1" cm="1">
        <f t="array" ref="N83">_xlfn.SWITCH($A$2,"average", AVERAGE(Instances!N83:Instances!N83),"median", MEDIAN(Instances!N83:Instances!N83),"min", MIN(Instances!N83:Instances!N83),"max", MAX(Instances!N83:Instances!N83),"diff", MAX(Instances!N83:Instances!N83)-MIN(Instances!N83:Instances!N83))</f>
        <v>0</v>
      </c>
      <c r="O83" s="1"/>
      <c r="P83" s="1" cm="1">
        <f t="array" ref="P83">_xlfn.SWITCH($A$2,"average", AVERAGE(Instances!P83:Instances!P83),"median", MEDIAN(Instances!P83:Instances!P83),"min", MIN(Instances!P83:Instances!P83),"max", MAX(Instances!P83:Instances!P83),"diff", MAX(Instances!P83:Instances!P83)-MIN(Instances!P83:Instances!P83))</f>
        <v>0</v>
      </c>
      <c r="Q83" s="1" cm="1">
        <f t="array" ref="Q83">_xlfn.SWITCH($A$2,"average", AVERAGE(Instances!Q83:Instances!Q83),"median", MEDIAN(Instances!Q83:Instances!Q83),"min", MIN(Instances!Q83:Instances!Q83),"max", MAX(Instances!Q83:Instances!Q83),"diff", MAX(Instances!Q83:Instances!Q83)-MIN(Instances!Q83:Instances!Q83))</f>
        <v>0</v>
      </c>
      <c r="R83" s="1" cm="1">
        <f t="array" ref="R83">_xlfn.SWITCH($A$2,"average", AVERAGE(Instances!R83:Instances!R83),"median", MEDIAN(Instances!R83:Instances!R83),"min", MIN(Instances!R83:Instances!R83),"max", MAX(Instances!R83:Instances!R83),"diff", MAX(Instances!R83:Instances!R83)-MIN(Instances!R83:Instances!R83))</f>
        <v>0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 cm="1">
        <f t="array" ref="B84">_xlfn.SWITCH($A$2,"average", AVERAGE(Instances!B84:Instances!B84),"median", MEDIAN(Instances!B84:Instances!B84),"min", MIN(Instances!B84:Instances!B84),"max", MAX(Instances!B84:Instances!B84),"diff", MAX(Instances!B84:Instances!B84)-MIN(Instances!B84:Instances!B84))</f>
        <v>0</v>
      </c>
      <c r="C84" s="1" cm="1">
        <f t="array" ref="C84">_xlfn.SWITCH($A$2,"average", AVERAGE(Instances!C84:Instances!C84),"median", MEDIAN(Instances!C84:Instances!C84),"min", MIN(Instances!C84:Instances!C84),"max", MAX(Instances!C84:Instances!C84),"diff", MAX(Instances!C84:Instances!C84)-MIN(Instances!C84:Instances!C84))</f>
        <v>0</v>
      </c>
      <c r="D84" s="1" cm="1">
        <f t="array" ref="D84">_xlfn.SWITCH($A$2,"average", AVERAGE(Instances!D84:Instances!D84),"median", MEDIAN(Instances!D84:Instances!D84),"min", MIN(Instances!D84:Instances!D84),"max", MAX(Instances!D84:Instances!D84),"diff", MAX(Instances!D84:Instances!D84)-MIN(Instances!D84:Instances!D84))</f>
        <v>0</v>
      </c>
      <c r="E84" s="1" cm="1">
        <f t="array" ref="E84">_xlfn.SWITCH($A$2,"average", AVERAGE(Instances!E84:Instances!E84),"median", MEDIAN(Instances!E84:Instances!E84),"min", MIN(Instances!E84:Instances!E84),"max", MAX(Instances!E84:Instances!E84),"diff", MAX(Instances!E84:Instances!E84)-MIN(Instances!E84:Instances!E84))</f>
        <v>0</v>
      </c>
      <c r="F84" s="1" cm="1">
        <f t="array" ref="F84">_xlfn.SWITCH($A$2,"average", AVERAGE(Instances!F84:Instances!F84),"median", MEDIAN(Instances!F84:Instances!F84),"min", MIN(Instances!F84:Instances!F84),"max", MAX(Instances!F84:Instances!F84),"diff", MAX(Instances!F84:Instances!F84)-MIN(Instances!F84:Instances!F84))</f>
        <v>0</v>
      </c>
      <c r="G84" s="1" cm="1">
        <f t="array" ref="G84">_xlfn.SWITCH($A$2,"average", AVERAGE(Instances!G84:Instances!G84),"median", MEDIAN(Instances!G84:Instances!G84),"min", MIN(Instances!G84:Instances!G84),"max", MAX(Instances!G84:Instances!G84),"diff", MAX(Instances!G84:Instances!G84)-MIN(Instances!G84:Instances!G84))</f>
        <v>0</v>
      </c>
      <c r="H84" s="1" cm="1">
        <f t="array" ref="H84">_xlfn.SWITCH($A$2,"average", AVERAGE(Instances!H84:Instances!H84),"median", MEDIAN(Instances!H84:Instances!H84),"min", MIN(Instances!H84:Instances!H84),"max", MAX(Instances!H84:Instances!H84),"diff", MAX(Instances!H84:Instances!H84)-MIN(Instances!H84:Instances!H84))</f>
        <v>0</v>
      </c>
      <c r="I84" s="1" cm="1">
        <f t="array" ref="I84">_xlfn.SWITCH($A$2,"average", AVERAGE(Instances!I84:Instances!I84),"median", MEDIAN(Instances!I84:Instances!I84),"min", MIN(Instances!I84:Instances!I84),"max", MAX(Instances!I84:Instances!I84),"diff", MAX(Instances!I84:Instances!I84)-MIN(Instances!I84:Instances!I84))</f>
        <v>0</v>
      </c>
      <c r="J84" s="1" cm="1">
        <f t="array" ref="J84">_xlfn.SWITCH($A$2,"average", AVERAGE(Instances!J84:Instances!J84),"median", MEDIAN(Instances!J84:Instances!J84),"min", MIN(Instances!J84:Instances!J84),"max", MAX(Instances!J84:Instances!J84),"diff", MAX(Instances!J84:Instances!J84)-MIN(Instances!J84:Instances!J84))</f>
        <v>0</v>
      </c>
      <c r="K84" s="1" cm="1">
        <f t="array" ref="K84">_xlfn.SWITCH($A$2,"average", AVERAGE(Instances!K84:Instances!K84),"median", MEDIAN(Instances!K84:Instances!K84),"min", MIN(Instances!K84:Instances!K84),"max", MAX(Instances!K84:Instances!K84),"diff", MAX(Instances!K84:Instances!K84)-MIN(Instances!K84:Instances!K84))</f>
        <v>0</v>
      </c>
      <c r="L84" s="1"/>
      <c r="M84" s="1" cm="1">
        <f t="array" ref="M84">_xlfn.SWITCH($A$2,"average", AVERAGE(Instances!M84:Instances!M84),"median", MEDIAN(Instances!M84:Instances!M84),"min", MIN(Instances!M84:Instances!M84),"max", MAX(Instances!M84:Instances!M84),"diff", MAX(Instances!M84:Instances!M84)-MIN(Instances!M84:Instances!M84))</f>
        <v>0</v>
      </c>
      <c r="N84" s="1" cm="1">
        <f t="array" ref="N84">_xlfn.SWITCH($A$2,"average", AVERAGE(Instances!N84:Instances!N84),"median", MEDIAN(Instances!N84:Instances!N84),"min", MIN(Instances!N84:Instances!N84),"max", MAX(Instances!N84:Instances!N84),"diff", MAX(Instances!N84:Instances!N84)-MIN(Instances!N84:Instances!N84))</f>
        <v>0</v>
      </c>
      <c r="O84" s="1"/>
      <c r="P84" s="1" cm="1">
        <f t="array" ref="P84">_xlfn.SWITCH($A$2,"average", AVERAGE(Instances!P84:Instances!P84),"median", MEDIAN(Instances!P84:Instances!P84),"min", MIN(Instances!P84:Instances!P84),"max", MAX(Instances!P84:Instances!P84),"diff", MAX(Instances!P84:Instances!P84)-MIN(Instances!P84:Instances!P84))</f>
        <v>0</v>
      </c>
      <c r="Q84" s="1" cm="1">
        <f t="array" ref="Q84">_xlfn.SWITCH($A$2,"average", AVERAGE(Instances!Q84:Instances!Q84),"median", MEDIAN(Instances!Q84:Instances!Q84),"min", MIN(Instances!Q84:Instances!Q84),"max", MAX(Instances!Q84:Instances!Q84),"diff", MAX(Instances!Q84:Instances!Q84)-MIN(Instances!Q84:Instances!Q84))</f>
        <v>0</v>
      </c>
      <c r="R84" s="1" cm="1">
        <f t="array" ref="R84">_xlfn.SWITCH($A$2,"average", AVERAGE(Instances!R84:Instances!R84),"median", MEDIAN(Instances!R84:Instances!R84),"min", MIN(Instances!R84:Instances!R84),"max", MAX(Instances!R84:Instances!R84),"diff", MAX(Instances!R84:Instances!R84)-MIN(Instances!R84:Instances!R84))</f>
        <v>0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 cm="1">
        <f t="array" ref="B85">_xlfn.SWITCH($A$2,"average", AVERAGE(Instances!B85:Instances!B85),"median", MEDIAN(Instances!B85:Instances!B85),"min", MIN(Instances!B85:Instances!B85),"max", MAX(Instances!B85:Instances!B85),"diff", MAX(Instances!B85:Instances!B85)-MIN(Instances!B85:Instances!B85))</f>
        <v>0</v>
      </c>
      <c r="C85" s="1" cm="1">
        <f t="array" ref="C85">_xlfn.SWITCH($A$2,"average", AVERAGE(Instances!C85:Instances!C85),"median", MEDIAN(Instances!C85:Instances!C85),"min", MIN(Instances!C85:Instances!C85),"max", MAX(Instances!C85:Instances!C85),"diff", MAX(Instances!C85:Instances!C85)-MIN(Instances!C85:Instances!C85))</f>
        <v>0</v>
      </c>
      <c r="D85" s="1" cm="1">
        <f t="array" ref="D85">_xlfn.SWITCH($A$2,"average", AVERAGE(Instances!D85:Instances!D85),"median", MEDIAN(Instances!D85:Instances!D85),"min", MIN(Instances!D85:Instances!D85),"max", MAX(Instances!D85:Instances!D85),"diff", MAX(Instances!D85:Instances!D85)-MIN(Instances!D85:Instances!D85))</f>
        <v>0</v>
      </c>
      <c r="E85" s="1" cm="1">
        <f t="array" ref="E85">_xlfn.SWITCH($A$2,"average", AVERAGE(Instances!E85:Instances!E85),"median", MEDIAN(Instances!E85:Instances!E85),"min", MIN(Instances!E85:Instances!E85),"max", MAX(Instances!E85:Instances!E85),"diff", MAX(Instances!E85:Instances!E85)-MIN(Instances!E85:Instances!E85))</f>
        <v>0</v>
      </c>
      <c r="F85" s="1" cm="1">
        <f t="array" ref="F85">_xlfn.SWITCH($A$2,"average", AVERAGE(Instances!F85:Instances!F85),"median", MEDIAN(Instances!F85:Instances!F85),"min", MIN(Instances!F85:Instances!F85),"max", MAX(Instances!F85:Instances!F85),"diff", MAX(Instances!F85:Instances!F85)-MIN(Instances!F85:Instances!F85))</f>
        <v>0</v>
      </c>
      <c r="G85" s="1" cm="1">
        <f t="array" ref="G85">_xlfn.SWITCH($A$2,"average", AVERAGE(Instances!G85:Instances!G85),"median", MEDIAN(Instances!G85:Instances!G85),"min", MIN(Instances!G85:Instances!G85),"max", MAX(Instances!G85:Instances!G85),"diff", MAX(Instances!G85:Instances!G85)-MIN(Instances!G85:Instances!G85))</f>
        <v>0</v>
      </c>
      <c r="H85" s="1" cm="1">
        <f t="array" ref="H85">_xlfn.SWITCH($A$2,"average", AVERAGE(Instances!H85:Instances!H85),"median", MEDIAN(Instances!H85:Instances!H85),"min", MIN(Instances!H85:Instances!H85),"max", MAX(Instances!H85:Instances!H85),"diff", MAX(Instances!H85:Instances!H85)-MIN(Instances!H85:Instances!H85))</f>
        <v>0</v>
      </c>
      <c r="I85" s="1" cm="1">
        <f t="array" ref="I85">_xlfn.SWITCH($A$2,"average", AVERAGE(Instances!I85:Instances!I85),"median", MEDIAN(Instances!I85:Instances!I85),"min", MIN(Instances!I85:Instances!I85),"max", MAX(Instances!I85:Instances!I85),"diff", MAX(Instances!I85:Instances!I85)-MIN(Instances!I85:Instances!I85))</f>
        <v>0</v>
      </c>
      <c r="J85" s="1" cm="1">
        <f t="array" ref="J85">_xlfn.SWITCH($A$2,"average", AVERAGE(Instances!J85:Instances!J85),"median", MEDIAN(Instances!J85:Instances!J85),"min", MIN(Instances!J85:Instances!J85),"max", MAX(Instances!J85:Instances!J85),"diff", MAX(Instances!J85:Instances!J85)-MIN(Instances!J85:Instances!J85))</f>
        <v>0</v>
      </c>
      <c r="K85" s="1" cm="1">
        <f t="array" ref="K85">_xlfn.SWITCH($A$2,"average", AVERAGE(Instances!K85:Instances!K85),"median", MEDIAN(Instances!K85:Instances!K85),"min", MIN(Instances!K85:Instances!K85),"max", MAX(Instances!K85:Instances!K85),"diff", MAX(Instances!K85:Instances!K85)-MIN(Instances!K85:Instances!K85))</f>
        <v>0</v>
      </c>
      <c r="L85" s="1"/>
      <c r="M85" s="1" cm="1">
        <f t="array" ref="M85">_xlfn.SWITCH($A$2,"average", AVERAGE(Instances!M85:Instances!M85),"median", MEDIAN(Instances!M85:Instances!M85),"min", MIN(Instances!M85:Instances!M85),"max", MAX(Instances!M85:Instances!M85),"diff", MAX(Instances!M85:Instances!M85)-MIN(Instances!M85:Instances!M85))</f>
        <v>0</v>
      </c>
      <c r="N85" s="1" cm="1">
        <f t="array" ref="N85">_xlfn.SWITCH($A$2,"average", AVERAGE(Instances!N85:Instances!N85),"median", MEDIAN(Instances!N85:Instances!N85),"min", MIN(Instances!N85:Instances!N85),"max", MAX(Instances!N85:Instances!N85),"diff", MAX(Instances!N85:Instances!N85)-MIN(Instances!N85:Instances!N85))</f>
        <v>0</v>
      </c>
      <c r="O85" s="1"/>
      <c r="P85" s="1" cm="1">
        <f t="array" ref="P85">_xlfn.SWITCH($A$2,"average", AVERAGE(Instances!P85:Instances!P85),"median", MEDIAN(Instances!P85:Instances!P85),"min", MIN(Instances!P85:Instances!P85),"max", MAX(Instances!P85:Instances!P85),"diff", MAX(Instances!P85:Instances!P85)-MIN(Instances!P85:Instances!P85))</f>
        <v>0</v>
      </c>
      <c r="Q85" s="1" cm="1">
        <f t="array" ref="Q85">_xlfn.SWITCH($A$2,"average", AVERAGE(Instances!Q85:Instances!Q85),"median", MEDIAN(Instances!Q85:Instances!Q85),"min", MIN(Instances!Q85:Instances!Q85),"max", MAX(Instances!Q85:Instances!Q85),"diff", MAX(Instances!Q85:Instances!Q85)-MIN(Instances!Q85:Instances!Q85))</f>
        <v>0</v>
      </c>
      <c r="R85" s="1" cm="1">
        <f t="array" ref="R85">_xlfn.SWITCH($A$2,"average", AVERAGE(Instances!R85:Instances!R85),"median", MEDIAN(Instances!R85:Instances!R85),"min", MIN(Instances!R85:Instances!R85),"max", MAX(Instances!R85:Instances!R85),"diff", MAX(Instances!R85:Instances!R85)-MIN(Instances!R85:Instances!R85))</f>
        <v>0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 cm="1">
        <f t="array" ref="B86">_xlfn.SWITCH($A$2,"average", AVERAGE(Instances!B86:Instances!B86),"median", MEDIAN(Instances!B86:Instances!B86),"min", MIN(Instances!B86:Instances!B86),"max", MAX(Instances!B86:Instances!B86),"diff", MAX(Instances!B86:Instances!B86)-MIN(Instances!B86:Instances!B86))</f>
        <v>0</v>
      </c>
      <c r="C86" s="1" cm="1">
        <f t="array" ref="C86">_xlfn.SWITCH($A$2,"average", AVERAGE(Instances!C86:Instances!C86),"median", MEDIAN(Instances!C86:Instances!C86),"min", MIN(Instances!C86:Instances!C86),"max", MAX(Instances!C86:Instances!C86),"diff", MAX(Instances!C86:Instances!C86)-MIN(Instances!C86:Instances!C86))</f>
        <v>0</v>
      </c>
      <c r="D86" s="1" cm="1">
        <f t="array" ref="D86">_xlfn.SWITCH($A$2,"average", AVERAGE(Instances!D86:Instances!D86),"median", MEDIAN(Instances!D86:Instances!D86),"min", MIN(Instances!D86:Instances!D86),"max", MAX(Instances!D86:Instances!D86),"diff", MAX(Instances!D86:Instances!D86)-MIN(Instances!D86:Instances!D86))</f>
        <v>0</v>
      </c>
      <c r="E86" s="1" cm="1">
        <f t="array" ref="E86">_xlfn.SWITCH($A$2,"average", AVERAGE(Instances!E86:Instances!E86),"median", MEDIAN(Instances!E86:Instances!E86),"min", MIN(Instances!E86:Instances!E86),"max", MAX(Instances!E86:Instances!E86),"diff", MAX(Instances!E86:Instances!E86)-MIN(Instances!E86:Instances!E86))</f>
        <v>0</v>
      </c>
      <c r="F86" s="1" cm="1">
        <f t="array" ref="F86">_xlfn.SWITCH($A$2,"average", AVERAGE(Instances!F86:Instances!F86),"median", MEDIAN(Instances!F86:Instances!F86),"min", MIN(Instances!F86:Instances!F86),"max", MAX(Instances!F86:Instances!F86),"diff", MAX(Instances!F86:Instances!F86)-MIN(Instances!F86:Instances!F86))</f>
        <v>0</v>
      </c>
      <c r="G86" s="1" cm="1">
        <f t="array" ref="G86">_xlfn.SWITCH($A$2,"average", AVERAGE(Instances!G86:Instances!G86),"median", MEDIAN(Instances!G86:Instances!G86),"min", MIN(Instances!G86:Instances!G86),"max", MAX(Instances!G86:Instances!G86),"diff", MAX(Instances!G86:Instances!G86)-MIN(Instances!G86:Instances!G86))</f>
        <v>0</v>
      </c>
      <c r="H86" s="1" cm="1">
        <f t="array" ref="H86">_xlfn.SWITCH($A$2,"average", AVERAGE(Instances!H86:Instances!H86),"median", MEDIAN(Instances!H86:Instances!H86),"min", MIN(Instances!H86:Instances!H86),"max", MAX(Instances!H86:Instances!H86),"diff", MAX(Instances!H86:Instances!H86)-MIN(Instances!H86:Instances!H86))</f>
        <v>0</v>
      </c>
      <c r="I86" s="1" cm="1">
        <f t="array" ref="I86">_xlfn.SWITCH($A$2,"average", AVERAGE(Instances!I86:Instances!I86),"median", MEDIAN(Instances!I86:Instances!I86),"min", MIN(Instances!I86:Instances!I86),"max", MAX(Instances!I86:Instances!I86),"diff", MAX(Instances!I86:Instances!I86)-MIN(Instances!I86:Instances!I86))</f>
        <v>0</v>
      </c>
      <c r="J86" s="1" cm="1">
        <f t="array" ref="J86">_xlfn.SWITCH($A$2,"average", AVERAGE(Instances!J86:Instances!J86),"median", MEDIAN(Instances!J86:Instances!J86),"min", MIN(Instances!J86:Instances!J86),"max", MAX(Instances!J86:Instances!J86),"diff", MAX(Instances!J86:Instances!J86)-MIN(Instances!J86:Instances!J86))</f>
        <v>0</v>
      </c>
      <c r="K86" s="1" cm="1">
        <f t="array" ref="K86">_xlfn.SWITCH($A$2,"average", AVERAGE(Instances!K86:Instances!K86),"median", MEDIAN(Instances!K86:Instances!K86),"min", MIN(Instances!K86:Instances!K86),"max", MAX(Instances!K86:Instances!K86),"diff", MAX(Instances!K86:Instances!K86)-MIN(Instances!K86:Instances!K86))</f>
        <v>0</v>
      </c>
      <c r="L86" s="1"/>
      <c r="M86" s="1" cm="1">
        <f t="array" ref="M86">_xlfn.SWITCH($A$2,"average", AVERAGE(Instances!M86:Instances!M86),"median", MEDIAN(Instances!M86:Instances!M86),"min", MIN(Instances!M86:Instances!M86),"max", MAX(Instances!M86:Instances!M86),"diff", MAX(Instances!M86:Instances!M86)-MIN(Instances!M86:Instances!M86))</f>
        <v>0</v>
      </c>
      <c r="N86" s="1" cm="1">
        <f t="array" ref="N86">_xlfn.SWITCH($A$2,"average", AVERAGE(Instances!N86:Instances!N86),"median", MEDIAN(Instances!N86:Instances!N86),"min", MIN(Instances!N86:Instances!N86),"max", MAX(Instances!N86:Instances!N86),"diff", MAX(Instances!N86:Instances!N86)-MIN(Instances!N86:Instances!N86))</f>
        <v>0</v>
      </c>
      <c r="O86" s="1"/>
      <c r="P86" s="1" cm="1">
        <f t="array" ref="P86">_xlfn.SWITCH($A$2,"average", AVERAGE(Instances!P86:Instances!P86),"median", MEDIAN(Instances!P86:Instances!P86),"min", MIN(Instances!P86:Instances!P86),"max", MAX(Instances!P86:Instances!P86),"diff", MAX(Instances!P86:Instances!P86)-MIN(Instances!P86:Instances!P86))</f>
        <v>0</v>
      </c>
      <c r="Q86" s="1" cm="1">
        <f t="array" ref="Q86">_xlfn.SWITCH($A$2,"average", AVERAGE(Instances!Q86:Instances!Q86),"median", MEDIAN(Instances!Q86:Instances!Q86),"min", MIN(Instances!Q86:Instances!Q86),"max", MAX(Instances!Q86:Instances!Q86),"diff", MAX(Instances!Q86:Instances!Q86)-MIN(Instances!Q86:Instances!Q86))</f>
        <v>0</v>
      </c>
      <c r="R86" s="1" cm="1">
        <f t="array" ref="R86">_xlfn.SWITCH($A$2,"average", AVERAGE(Instances!R86:Instances!R86),"median", MEDIAN(Instances!R86:Instances!R86),"min", MIN(Instances!R86:Instances!R86),"max", MAX(Instances!R86:Instances!R86),"diff", MAX(Instances!R86:Instances!R86)-MIN(Instances!R86:Instances!R86))</f>
        <v>0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 cm="1">
        <f t="array" ref="B87">_xlfn.SWITCH($A$2,"average", AVERAGE(Instances!B87:Instances!B87),"median", MEDIAN(Instances!B87:Instances!B87),"min", MIN(Instances!B87:Instances!B87),"max", MAX(Instances!B87:Instances!B87),"diff", MAX(Instances!B87:Instances!B87)-MIN(Instances!B87:Instances!B87))</f>
        <v>0</v>
      </c>
      <c r="C87" s="1" cm="1">
        <f t="array" ref="C87">_xlfn.SWITCH($A$2,"average", AVERAGE(Instances!C87:Instances!C87),"median", MEDIAN(Instances!C87:Instances!C87),"min", MIN(Instances!C87:Instances!C87),"max", MAX(Instances!C87:Instances!C87),"diff", MAX(Instances!C87:Instances!C87)-MIN(Instances!C87:Instances!C87))</f>
        <v>0</v>
      </c>
      <c r="D87" s="1" cm="1">
        <f t="array" ref="D87">_xlfn.SWITCH($A$2,"average", AVERAGE(Instances!D87:Instances!D87),"median", MEDIAN(Instances!D87:Instances!D87),"min", MIN(Instances!D87:Instances!D87),"max", MAX(Instances!D87:Instances!D87),"diff", MAX(Instances!D87:Instances!D87)-MIN(Instances!D87:Instances!D87))</f>
        <v>0</v>
      </c>
      <c r="E87" s="1" cm="1">
        <f t="array" ref="E87">_xlfn.SWITCH($A$2,"average", AVERAGE(Instances!E87:Instances!E87),"median", MEDIAN(Instances!E87:Instances!E87),"min", MIN(Instances!E87:Instances!E87),"max", MAX(Instances!E87:Instances!E87),"diff", MAX(Instances!E87:Instances!E87)-MIN(Instances!E87:Instances!E87))</f>
        <v>0</v>
      </c>
      <c r="F87" s="1" cm="1">
        <f t="array" ref="F87">_xlfn.SWITCH($A$2,"average", AVERAGE(Instances!F87:Instances!F87),"median", MEDIAN(Instances!F87:Instances!F87),"min", MIN(Instances!F87:Instances!F87),"max", MAX(Instances!F87:Instances!F87),"diff", MAX(Instances!F87:Instances!F87)-MIN(Instances!F87:Instances!F87))</f>
        <v>0</v>
      </c>
      <c r="G87" s="1" cm="1">
        <f t="array" ref="G87">_xlfn.SWITCH($A$2,"average", AVERAGE(Instances!G87:Instances!G87),"median", MEDIAN(Instances!G87:Instances!G87),"min", MIN(Instances!G87:Instances!G87),"max", MAX(Instances!G87:Instances!G87),"diff", MAX(Instances!G87:Instances!G87)-MIN(Instances!G87:Instances!G87))</f>
        <v>0</v>
      </c>
      <c r="H87" s="1" cm="1">
        <f t="array" ref="H87">_xlfn.SWITCH($A$2,"average", AVERAGE(Instances!H87:Instances!H87),"median", MEDIAN(Instances!H87:Instances!H87),"min", MIN(Instances!H87:Instances!H87),"max", MAX(Instances!H87:Instances!H87),"diff", MAX(Instances!H87:Instances!H87)-MIN(Instances!H87:Instances!H87))</f>
        <v>0</v>
      </c>
      <c r="I87" s="1" cm="1">
        <f t="array" ref="I87">_xlfn.SWITCH($A$2,"average", AVERAGE(Instances!I87:Instances!I87),"median", MEDIAN(Instances!I87:Instances!I87),"min", MIN(Instances!I87:Instances!I87),"max", MAX(Instances!I87:Instances!I87),"diff", MAX(Instances!I87:Instances!I87)-MIN(Instances!I87:Instances!I87))</f>
        <v>0</v>
      </c>
      <c r="J87" s="1" cm="1">
        <f t="array" ref="J87">_xlfn.SWITCH($A$2,"average", AVERAGE(Instances!J87:Instances!J87),"median", MEDIAN(Instances!J87:Instances!J87),"min", MIN(Instances!J87:Instances!J87),"max", MAX(Instances!J87:Instances!J87),"diff", MAX(Instances!J87:Instances!J87)-MIN(Instances!J87:Instances!J87))</f>
        <v>0</v>
      </c>
      <c r="K87" s="1" cm="1">
        <f t="array" ref="K87">_xlfn.SWITCH($A$2,"average", AVERAGE(Instances!K87:Instances!K87),"median", MEDIAN(Instances!K87:Instances!K87),"min", MIN(Instances!K87:Instances!K87),"max", MAX(Instances!K87:Instances!K87),"diff", MAX(Instances!K87:Instances!K87)-MIN(Instances!K87:Instances!K87))</f>
        <v>0</v>
      </c>
      <c r="L87" s="1"/>
      <c r="M87" s="1" cm="1">
        <f t="array" ref="M87">_xlfn.SWITCH($A$2,"average", AVERAGE(Instances!M87:Instances!M87),"median", MEDIAN(Instances!M87:Instances!M87),"min", MIN(Instances!M87:Instances!M87),"max", MAX(Instances!M87:Instances!M87),"diff", MAX(Instances!M87:Instances!M87)-MIN(Instances!M87:Instances!M87))</f>
        <v>0</v>
      </c>
      <c r="N87" s="1" cm="1">
        <f t="array" ref="N87">_xlfn.SWITCH($A$2,"average", AVERAGE(Instances!N87:Instances!N87),"median", MEDIAN(Instances!N87:Instances!N87),"min", MIN(Instances!N87:Instances!N87),"max", MAX(Instances!N87:Instances!N87),"diff", MAX(Instances!N87:Instances!N87)-MIN(Instances!N87:Instances!N87))</f>
        <v>0</v>
      </c>
      <c r="O87" s="1"/>
      <c r="P87" s="1" cm="1">
        <f t="array" ref="P87">_xlfn.SWITCH($A$2,"average", AVERAGE(Instances!P87:Instances!P87),"median", MEDIAN(Instances!P87:Instances!P87),"min", MIN(Instances!P87:Instances!P87),"max", MAX(Instances!P87:Instances!P87),"diff", MAX(Instances!P87:Instances!P87)-MIN(Instances!P87:Instances!P87))</f>
        <v>0</v>
      </c>
      <c r="Q87" s="1" cm="1">
        <f t="array" ref="Q87">_xlfn.SWITCH($A$2,"average", AVERAGE(Instances!Q87:Instances!Q87),"median", MEDIAN(Instances!Q87:Instances!Q87),"min", MIN(Instances!Q87:Instances!Q87),"max", MAX(Instances!Q87:Instances!Q87),"diff", MAX(Instances!Q87:Instances!Q87)-MIN(Instances!Q87:Instances!Q87))</f>
        <v>0</v>
      </c>
      <c r="R87" s="1" cm="1">
        <f t="array" ref="R87">_xlfn.SWITCH($A$2,"average", AVERAGE(Instances!R87:Instances!R87),"median", MEDIAN(Instances!R87:Instances!R87),"min", MIN(Instances!R87:Instances!R87),"max", MAX(Instances!R87:Instances!R87),"diff", MAX(Instances!R87:Instances!R87)-MIN(Instances!R87:Instances!R87))</f>
        <v>0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 cm="1">
        <f t="array" ref="B88">_xlfn.SWITCH($A$2,"average", AVERAGE(Instances!B88:Instances!B88),"median", MEDIAN(Instances!B88:Instances!B88),"min", MIN(Instances!B88:Instances!B88),"max", MAX(Instances!B88:Instances!B88),"diff", MAX(Instances!B88:Instances!B88)-MIN(Instances!B88:Instances!B88))</f>
        <v>0</v>
      </c>
      <c r="C88" s="1" cm="1">
        <f t="array" ref="C88">_xlfn.SWITCH($A$2,"average", AVERAGE(Instances!C88:Instances!C88),"median", MEDIAN(Instances!C88:Instances!C88),"min", MIN(Instances!C88:Instances!C88),"max", MAX(Instances!C88:Instances!C88),"diff", MAX(Instances!C88:Instances!C88)-MIN(Instances!C88:Instances!C88))</f>
        <v>0</v>
      </c>
      <c r="D88" s="1" cm="1">
        <f t="array" ref="D88">_xlfn.SWITCH($A$2,"average", AVERAGE(Instances!D88:Instances!D88),"median", MEDIAN(Instances!D88:Instances!D88),"min", MIN(Instances!D88:Instances!D88),"max", MAX(Instances!D88:Instances!D88),"diff", MAX(Instances!D88:Instances!D88)-MIN(Instances!D88:Instances!D88))</f>
        <v>0</v>
      </c>
      <c r="E88" s="1" cm="1">
        <f t="array" ref="E88">_xlfn.SWITCH($A$2,"average", AVERAGE(Instances!E88:Instances!E88),"median", MEDIAN(Instances!E88:Instances!E88),"min", MIN(Instances!E88:Instances!E88),"max", MAX(Instances!E88:Instances!E88),"diff", MAX(Instances!E88:Instances!E88)-MIN(Instances!E88:Instances!E88))</f>
        <v>0</v>
      </c>
      <c r="F88" s="1" cm="1">
        <f t="array" ref="F88">_xlfn.SWITCH($A$2,"average", AVERAGE(Instances!F88:Instances!F88),"median", MEDIAN(Instances!F88:Instances!F88),"min", MIN(Instances!F88:Instances!F88),"max", MAX(Instances!F88:Instances!F88),"diff", MAX(Instances!F88:Instances!F88)-MIN(Instances!F88:Instances!F88))</f>
        <v>0</v>
      </c>
      <c r="G88" s="1" cm="1">
        <f t="array" ref="G88">_xlfn.SWITCH($A$2,"average", AVERAGE(Instances!G88:Instances!G88),"median", MEDIAN(Instances!G88:Instances!G88),"min", MIN(Instances!G88:Instances!G88),"max", MAX(Instances!G88:Instances!G88),"diff", MAX(Instances!G88:Instances!G88)-MIN(Instances!G88:Instances!G88))</f>
        <v>0</v>
      </c>
      <c r="H88" s="1" cm="1">
        <f t="array" ref="H88">_xlfn.SWITCH($A$2,"average", AVERAGE(Instances!H88:Instances!H88),"median", MEDIAN(Instances!H88:Instances!H88),"min", MIN(Instances!H88:Instances!H88),"max", MAX(Instances!H88:Instances!H88),"diff", MAX(Instances!H88:Instances!H88)-MIN(Instances!H88:Instances!H88))</f>
        <v>0</v>
      </c>
      <c r="I88" s="1" cm="1">
        <f t="array" ref="I88">_xlfn.SWITCH($A$2,"average", AVERAGE(Instances!I88:Instances!I88),"median", MEDIAN(Instances!I88:Instances!I88),"min", MIN(Instances!I88:Instances!I88),"max", MAX(Instances!I88:Instances!I88),"diff", MAX(Instances!I88:Instances!I88)-MIN(Instances!I88:Instances!I88))</f>
        <v>0</v>
      </c>
      <c r="J88" s="1" cm="1">
        <f t="array" ref="J88">_xlfn.SWITCH($A$2,"average", AVERAGE(Instances!J88:Instances!J88),"median", MEDIAN(Instances!J88:Instances!J88),"min", MIN(Instances!J88:Instances!J88),"max", MAX(Instances!J88:Instances!J88),"diff", MAX(Instances!J88:Instances!J88)-MIN(Instances!J88:Instances!J88))</f>
        <v>0</v>
      </c>
      <c r="K88" s="1" cm="1">
        <f t="array" ref="K88">_xlfn.SWITCH($A$2,"average", AVERAGE(Instances!K88:Instances!K88),"median", MEDIAN(Instances!K88:Instances!K88),"min", MIN(Instances!K88:Instances!K88),"max", MAX(Instances!K88:Instances!K88),"diff", MAX(Instances!K88:Instances!K88)-MIN(Instances!K88:Instances!K88))</f>
        <v>0</v>
      </c>
      <c r="L88" s="1"/>
      <c r="M88" s="1" cm="1">
        <f t="array" ref="M88">_xlfn.SWITCH($A$2,"average", AVERAGE(Instances!M88:Instances!M88),"median", MEDIAN(Instances!M88:Instances!M88),"min", MIN(Instances!M88:Instances!M88),"max", MAX(Instances!M88:Instances!M88),"diff", MAX(Instances!M88:Instances!M88)-MIN(Instances!M88:Instances!M88))</f>
        <v>0</v>
      </c>
      <c r="N88" s="1" cm="1">
        <f t="array" ref="N88">_xlfn.SWITCH($A$2,"average", AVERAGE(Instances!N88:Instances!N88),"median", MEDIAN(Instances!N88:Instances!N88),"min", MIN(Instances!N88:Instances!N88),"max", MAX(Instances!N88:Instances!N88),"diff", MAX(Instances!N88:Instances!N88)-MIN(Instances!N88:Instances!N88))</f>
        <v>0</v>
      </c>
      <c r="O88" s="1"/>
      <c r="P88" s="1" cm="1">
        <f t="array" ref="P88">_xlfn.SWITCH($A$2,"average", AVERAGE(Instances!P88:Instances!P88),"median", MEDIAN(Instances!P88:Instances!P88),"min", MIN(Instances!P88:Instances!P88),"max", MAX(Instances!P88:Instances!P88),"diff", MAX(Instances!P88:Instances!P88)-MIN(Instances!P88:Instances!P88))</f>
        <v>0</v>
      </c>
      <c r="Q88" s="1" cm="1">
        <f t="array" ref="Q88">_xlfn.SWITCH($A$2,"average", AVERAGE(Instances!Q88:Instances!Q88),"median", MEDIAN(Instances!Q88:Instances!Q88),"min", MIN(Instances!Q88:Instances!Q88),"max", MAX(Instances!Q88:Instances!Q88),"diff", MAX(Instances!Q88:Instances!Q88)-MIN(Instances!Q88:Instances!Q88))</f>
        <v>0</v>
      </c>
      <c r="R88" s="1" cm="1">
        <f t="array" ref="R88">_xlfn.SWITCH($A$2,"average", AVERAGE(Instances!R88:Instances!R88),"median", MEDIAN(Instances!R88:Instances!R88),"min", MIN(Instances!R88:Instances!R88),"max", MAX(Instances!R88:Instances!R88),"diff", MAX(Instances!R88:Instances!R88)-MIN(Instances!R88:Instances!R88))</f>
        <v>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 cm="1">
        <f t="array" ref="B89">_xlfn.SWITCH($A$2,"average", AVERAGE(Instances!B89:Instances!B89),"median", MEDIAN(Instances!B89:Instances!B89),"min", MIN(Instances!B89:Instances!B89),"max", MAX(Instances!B89:Instances!B89),"diff", MAX(Instances!B89:Instances!B89)-MIN(Instances!B89:Instances!B89))</f>
        <v>0</v>
      </c>
      <c r="C89" s="1" cm="1">
        <f t="array" ref="C89">_xlfn.SWITCH($A$2,"average", AVERAGE(Instances!C89:Instances!C89),"median", MEDIAN(Instances!C89:Instances!C89),"min", MIN(Instances!C89:Instances!C89),"max", MAX(Instances!C89:Instances!C89),"diff", MAX(Instances!C89:Instances!C89)-MIN(Instances!C89:Instances!C89))</f>
        <v>0</v>
      </c>
      <c r="D89" s="1" cm="1">
        <f t="array" ref="D89">_xlfn.SWITCH($A$2,"average", AVERAGE(Instances!D89:Instances!D89),"median", MEDIAN(Instances!D89:Instances!D89),"min", MIN(Instances!D89:Instances!D89),"max", MAX(Instances!D89:Instances!D89),"diff", MAX(Instances!D89:Instances!D89)-MIN(Instances!D89:Instances!D89))</f>
        <v>0</v>
      </c>
      <c r="E89" s="1" cm="1">
        <f t="array" ref="E89">_xlfn.SWITCH($A$2,"average", AVERAGE(Instances!E89:Instances!E89),"median", MEDIAN(Instances!E89:Instances!E89),"min", MIN(Instances!E89:Instances!E89),"max", MAX(Instances!E89:Instances!E89),"diff", MAX(Instances!E89:Instances!E89)-MIN(Instances!E89:Instances!E89))</f>
        <v>0</v>
      </c>
      <c r="F89" s="1" cm="1">
        <f t="array" ref="F89">_xlfn.SWITCH($A$2,"average", AVERAGE(Instances!F89:Instances!F89),"median", MEDIAN(Instances!F89:Instances!F89),"min", MIN(Instances!F89:Instances!F89),"max", MAX(Instances!F89:Instances!F89),"diff", MAX(Instances!F89:Instances!F89)-MIN(Instances!F89:Instances!F89))</f>
        <v>0</v>
      </c>
      <c r="G89" s="1" cm="1">
        <f t="array" ref="G89">_xlfn.SWITCH($A$2,"average", AVERAGE(Instances!G89:Instances!G89),"median", MEDIAN(Instances!G89:Instances!G89),"min", MIN(Instances!G89:Instances!G89),"max", MAX(Instances!G89:Instances!G89),"diff", MAX(Instances!G89:Instances!G89)-MIN(Instances!G89:Instances!G89))</f>
        <v>0</v>
      </c>
      <c r="H89" s="1" cm="1">
        <f t="array" ref="H89">_xlfn.SWITCH($A$2,"average", AVERAGE(Instances!H89:Instances!H89),"median", MEDIAN(Instances!H89:Instances!H89),"min", MIN(Instances!H89:Instances!H89),"max", MAX(Instances!H89:Instances!H89),"diff", MAX(Instances!H89:Instances!H89)-MIN(Instances!H89:Instances!H89))</f>
        <v>0</v>
      </c>
      <c r="I89" s="1" cm="1">
        <f t="array" ref="I89">_xlfn.SWITCH($A$2,"average", AVERAGE(Instances!I89:Instances!I89),"median", MEDIAN(Instances!I89:Instances!I89),"min", MIN(Instances!I89:Instances!I89),"max", MAX(Instances!I89:Instances!I89),"diff", MAX(Instances!I89:Instances!I89)-MIN(Instances!I89:Instances!I89))</f>
        <v>0</v>
      </c>
      <c r="J89" s="1" cm="1">
        <f t="array" ref="J89">_xlfn.SWITCH($A$2,"average", AVERAGE(Instances!J89:Instances!J89),"median", MEDIAN(Instances!J89:Instances!J89),"min", MIN(Instances!J89:Instances!J89),"max", MAX(Instances!J89:Instances!J89),"diff", MAX(Instances!J89:Instances!J89)-MIN(Instances!J89:Instances!J89))</f>
        <v>0</v>
      </c>
      <c r="K89" s="1" cm="1">
        <f t="array" ref="K89">_xlfn.SWITCH($A$2,"average", AVERAGE(Instances!K89:Instances!K89),"median", MEDIAN(Instances!K89:Instances!K89),"min", MIN(Instances!K89:Instances!K89),"max", MAX(Instances!K89:Instances!K89),"diff", MAX(Instances!K89:Instances!K89)-MIN(Instances!K89:Instances!K89))</f>
        <v>0</v>
      </c>
      <c r="L89" s="1"/>
      <c r="M89" s="1" cm="1">
        <f t="array" ref="M89">_xlfn.SWITCH($A$2,"average", AVERAGE(Instances!M89:Instances!M89),"median", MEDIAN(Instances!M89:Instances!M89),"min", MIN(Instances!M89:Instances!M89),"max", MAX(Instances!M89:Instances!M89),"diff", MAX(Instances!M89:Instances!M89)-MIN(Instances!M89:Instances!M89))</f>
        <v>0</v>
      </c>
      <c r="N89" s="1" cm="1">
        <f t="array" ref="N89">_xlfn.SWITCH($A$2,"average", AVERAGE(Instances!N89:Instances!N89),"median", MEDIAN(Instances!N89:Instances!N89),"min", MIN(Instances!N89:Instances!N89),"max", MAX(Instances!N89:Instances!N89),"diff", MAX(Instances!N89:Instances!N89)-MIN(Instances!N89:Instances!N89))</f>
        <v>0</v>
      </c>
      <c r="O89" s="1"/>
      <c r="P89" s="1" cm="1">
        <f t="array" ref="P89">_xlfn.SWITCH($A$2,"average", AVERAGE(Instances!P89:Instances!P89),"median", MEDIAN(Instances!P89:Instances!P89),"min", MIN(Instances!P89:Instances!P89),"max", MAX(Instances!P89:Instances!P89),"diff", MAX(Instances!P89:Instances!P89)-MIN(Instances!P89:Instances!P89))</f>
        <v>0</v>
      </c>
      <c r="Q89" s="1" cm="1">
        <f t="array" ref="Q89">_xlfn.SWITCH($A$2,"average", AVERAGE(Instances!Q89:Instances!Q89),"median", MEDIAN(Instances!Q89:Instances!Q89),"min", MIN(Instances!Q89:Instances!Q89),"max", MAX(Instances!Q89:Instances!Q89),"diff", MAX(Instances!Q89:Instances!Q89)-MIN(Instances!Q89:Instances!Q89))</f>
        <v>0</v>
      </c>
      <c r="R89" s="1" cm="1">
        <f t="array" ref="R89">_xlfn.SWITCH($A$2,"average", AVERAGE(Instances!R89:Instances!R89),"median", MEDIAN(Instances!R89:Instances!R89),"min", MIN(Instances!R89:Instances!R89),"max", MAX(Instances!R89:Instances!R89),"diff", MAX(Instances!R89:Instances!R89)-MIN(Instances!R89:Instances!R89))</f>
        <v>0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 cm="1">
        <f t="array" ref="B90">_xlfn.SWITCH($A$2,"average", AVERAGE(Instances!B90:Instances!B90),"median", MEDIAN(Instances!B90:Instances!B90),"min", MIN(Instances!B90:Instances!B90),"max", MAX(Instances!B90:Instances!B90),"diff", MAX(Instances!B90:Instances!B90)-MIN(Instances!B90:Instances!B90))</f>
        <v>0</v>
      </c>
      <c r="C90" s="1" cm="1">
        <f t="array" ref="C90">_xlfn.SWITCH($A$2,"average", AVERAGE(Instances!C90:Instances!C90),"median", MEDIAN(Instances!C90:Instances!C90),"min", MIN(Instances!C90:Instances!C90),"max", MAX(Instances!C90:Instances!C90),"diff", MAX(Instances!C90:Instances!C90)-MIN(Instances!C90:Instances!C90))</f>
        <v>0</v>
      </c>
      <c r="D90" s="1" cm="1">
        <f t="array" ref="D90">_xlfn.SWITCH($A$2,"average", AVERAGE(Instances!D90:Instances!D90),"median", MEDIAN(Instances!D90:Instances!D90),"min", MIN(Instances!D90:Instances!D90),"max", MAX(Instances!D90:Instances!D90),"diff", MAX(Instances!D90:Instances!D90)-MIN(Instances!D90:Instances!D90))</f>
        <v>0</v>
      </c>
      <c r="E90" s="1" cm="1">
        <f t="array" ref="E90">_xlfn.SWITCH($A$2,"average", AVERAGE(Instances!E90:Instances!E90),"median", MEDIAN(Instances!E90:Instances!E90),"min", MIN(Instances!E90:Instances!E90),"max", MAX(Instances!E90:Instances!E90),"diff", MAX(Instances!E90:Instances!E90)-MIN(Instances!E90:Instances!E90))</f>
        <v>0</v>
      </c>
      <c r="F90" s="1" cm="1">
        <f t="array" ref="F90">_xlfn.SWITCH($A$2,"average", AVERAGE(Instances!F90:Instances!F90),"median", MEDIAN(Instances!F90:Instances!F90),"min", MIN(Instances!F90:Instances!F90),"max", MAX(Instances!F90:Instances!F90),"diff", MAX(Instances!F90:Instances!F90)-MIN(Instances!F90:Instances!F90))</f>
        <v>0</v>
      </c>
      <c r="G90" s="1" cm="1">
        <f t="array" ref="G90">_xlfn.SWITCH($A$2,"average", AVERAGE(Instances!G90:Instances!G90),"median", MEDIAN(Instances!G90:Instances!G90),"min", MIN(Instances!G90:Instances!G90),"max", MAX(Instances!G90:Instances!G90),"diff", MAX(Instances!G90:Instances!G90)-MIN(Instances!G90:Instances!G90))</f>
        <v>0</v>
      </c>
      <c r="H90" s="1" cm="1">
        <f t="array" ref="H90">_xlfn.SWITCH($A$2,"average", AVERAGE(Instances!H90:Instances!H90),"median", MEDIAN(Instances!H90:Instances!H90),"min", MIN(Instances!H90:Instances!H90),"max", MAX(Instances!H90:Instances!H90),"diff", MAX(Instances!H90:Instances!H90)-MIN(Instances!H90:Instances!H90))</f>
        <v>0</v>
      </c>
      <c r="I90" s="1" cm="1">
        <f t="array" ref="I90">_xlfn.SWITCH($A$2,"average", AVERAGE(Instances!I90:Instances!I90),"median", MEDIAN(Instances!I90:Instances!I90),"min", MIN(Instances!I90:Instances!I90),"max", MAX(Instances!I90:Instances!I90),"diff", MAX(Instances!I90:Instances!I90)-MIN(Instances!I90:Instances!I90))</f>
        <v>0</v>
      </c>
      <c r="J90" s="1" cm="1">
        <f t="array" ref="J90">_xlfn.SWITCH($A$2,"average", AVERAGE(Instances!J90:Instances!J90),"median", MEDIAN(Instances!J90:Instances!J90),"min", MIN(Instances!J90:Instances!J90),"max", MAX(Instances!J90:Instances!J90),"diff", MAX(Instances!J90:Instances!J90)-MIN(Instances!J90:Instances!J90))</f>
        <v>0</v>
      </c>
      <c r="K90" s="1" cm="1">
        <f t="array" ref="K90">_xlfn.SWITCH($A$2,"average", AVERAGE(Instances!K90:Instances!K90),"median", MEDIAN(Instances!K90:Instances!K90),"min", MIN(Instances!K90:Instances!K90),"max", MAX(Instances!K90:Instances!K90),"diff", MAX(Instances!K90:Instances!K90)-MIN(Instances!K90:Instances!K90))</f>
        <v>0</v>
      </c>
      <c r="L90" s="1"/>
      <c r="M90" s="1" cm="1">
        <f t="array" ref="M90">_xlfn.SWITCH($A$2,"average", AVERAGE(Instances!M90:Instances!M90),"median", MEDIAN(Instances!M90:Instances!M90),"min", MIN(Instances!M90:Instances!M90),"max", MAX(Instances!M90:Instances!M90),"diff", MAX(Instances!M90:Instances!M90)-MIN(Instances!M90:Instances!M90))</f>
        <v>0</v>
      </c>
      <c r="N90" s="1" cm="1">
        <f t="array" ref="N90">_xlfn.SWITCH($A$2,"average", AVERAGE(Instances!N90:Instances!N90),"median", MEDIAN(Instances!N90:Instances!N90),"min", MIN(Instances!N90:Instances!N90),"max", MAX(Instances!N90:Instances!N90),"diff", MAX(Instances!N90:Instances!N90)-MIN(Instances!N90:Instances!N90))</f>
        <v>0</v>
      </c>
      <c r="O90" s="1"/>
      <c r="P90" s="1" cm="1">
        <f t="array" ref="P90">_xlfn.SWITCH($A$2,"average", AVERAGE(Instances!P90:Instances!P90),"median", MEDIAN(Instances!P90:Instances!P90),"min", MIN(Instances!P90:Instances!P90),"max", MAX(Instances!P90:Instances!P90),"diff", MAX(Instances!P90:Instances!P90)-MIN(Instances!P90:Instances!P90))</f>
        <v>0</v>
      </c>
      <c r="Q90" s="1" cm="1">
        <f t="array" ref="Q90">_xlfn.SWITCH($A$2,"average", AVERAGE(Instances!Q90:Instances!Q90),"median", MEDIAN(Instances!Q90:Instances!Q90),"min", MIN(Instances!Q90:Instances!Q90),"max", MAX(Instances!Q90:Instances!Q90),"diff", MAX(Instances!Q90:Instances!Q90)-MIN(Instances!Q90:Instances!Q90))</f>
        <v>0</v>
      </c>
      <c r="R90" s="1" cm="1">
        <f t="array" ref="R90">_xlfn.SWITCH($A$2,"average", AVERAGE(Instances!R90:Instances!R90),"median", MEDIAN(Instances!R90:Instances!R90),"min", MIN(Instances!R90:Instances!R90),"max", MAX(Instances!R90:Instances!R90),"diff", MAX(Instances!R90:Instances!R90)-MIN(Instances!R90:Instances!R90))</f>
        <v>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 cm="1">
        <f t="array" ref="B91">_xlfn.SWITCH($A$2,"average", AVERAGE(Instances!B91:Instances!B91),"median", MEDIAN(Instances!B91:Instances!B91),"min", MIN(Instances!B91:Instances!B91),"max", MAX(Instances!B91:Instances!B91),"diff", MAX(Instances!B91:Instances!B91)-MIN(Instances!B91:Instances!B91))</f>
        <v>0</v>
      </c>
      <c r="C91" s="1" cm="1">
        <f t="array" ref="C91">_xlfn.SWITCH($A$2,"average", AVERAGE(Instances!C91:Instances!C91),"median", MEDIAN(Instances!C91:Instances!C91),"min", MIN(Instances!C91:Instances!C91),"max", MAX(Instances!C91:Instances!C91),"diff", MAX(Instances!C91:Instances!C91)-MIN(Instances!C91:Instances!C91))</f>
        <v>0</v>
      </c>
      <c r="D91" s="1" cm="1">
        <f t="array" ref="D91">_xlfn.SWITCH($A$2,"average", AVERAGE(Instances!D91:Instances!D91),"median", MEDIAN(Instances!D91:Instances!D91),"min", MIN(Instances!D91:Instances!D91),"max", MAX(Instances!D91:Instances!D91),"diff", MAX(Instances!D91:Instances!D91)-MIN(Instances!D91:Instances!D91))</f>
        <v>0</v>
      </c>
      <c r="E91" s="1" cm="1">
        <f t="array" ref="E91">_xlfn.SWITCH($A$2,"average", AVERAGE(Instances!E91:Instances!E91),"median", MEDIAN(Instances!E91:Instances!E91),"min", MIN(Instances!E91:Instances!E91),"max", MAX(Instances!E91:Instances!E91),"diff", MAX(Instances!E91:Instances!E91)-MIN(Instances!E91:Instances!E91))</f>
        <v>0</v>
      </c>
      <c r="F91" s="1" cm="1">
        <f t="array" ref="F91">_xlfn.SWITCH($A$2,"average", AVERAGE(Instances!F91:Instances!F91),"median", MEDIAN(Instances!F91:Instances!F91),"min", MIN(Instances!F91:Instances!F91),"max", MAX(Instances!F91:Instances!F91),"diff", MAX(Instances!F91:Instances!F91)-MIN(Instances!F91:Instances!F91))</f>
        <v>0</v>
      </c>
      <c r="G91" s="1" cm="1">
        <f t="array" ref="G91">_xlfn.SWITCH($A$2,"average", AVERAGE(Instances!G91:Instances!G91),"median", MEDIAN(Instances!G91:Instances!G91),"min", MIN(Instances!G91:Instances!G91),"max", MAX(Instances!G91:Instances!G91),"diff", MAX(Instances!G91:Instances!G91)-MIN(Instances!G91:Instances!G91))</f>
        <v>0</v>
      </c>
      <c r="H91" s="1" cm="1">
        <f t="array" ref="H91">_xlfn.SWITCH($A$2,"average", AVERAGE(Instances!H91:Instances!H91),"median", MEDIAN(Instances!H91:Instances!H91),"min", MIN(Instances!H91:Instances!H91),"max", MAX(Instances!H91:Instances!H91),"diff", MAX(Instances!H91:Instances!H91)-MIN(Instances!H91:Instances!H91))</f>
        <v>0</v>
      </c>
      <c r="I91" s="1" cm="1">
        <f t="array" ref="I91">_xlfn.SWITCH($A$2,"average", AVERAGE(Instances!I91:Instances!I91),"median", MEDIAN(Instances!I91:Instances!I91),"min", MIN(Instances!I91:Instances!I91),"max", MAX(Instances!I91:Instances!I91),"diff", MAX(Instances!I91:Instances!I91)-MIN(Instances!I91:Instances!I91))</f>
        <v>0</v>
      </c>
      <c r="J91" s="1" cm="1">
        <f t="array" ref="J91">_xlfn.SWITCH($A$2,"average", AVERAGE(Instances!J91:Instances!J91),"median", MEDIAN(Instances!J91:Instances!J91),"min", MIN(Instances!J91:Instances!J91),"max", MAX(Instances!J91:Instances!J91),"diff", MAX(Instances!J91:Instances!J91)-MIN(Instances!J91:Instances!J91))</f>
        <v>0</v>
      </c>
      <c r="K91" s="1" cm="1">
        <f t="array" ref="K91">_xlfn.SWITCH($A$2,"average", AVERAGE(Instances!K91:Instances!K91),"median", MEDIAN(Instances!K91:Instances!K91),"min", MIN(Instances!K91:Instances!K91),"max", MAX(Instances!K91:Instances!K91),"diff", MAX(Instances!K91:Instances!K91)-MIN(Instances!K91:Instances!K91))</f>
        <v>0</v>
      </c>
      <c r="L91" s="1"/>
      <c r="M91" s="1" cm="1">
        <f t="array" ref="M91">_xlfn.SWITCH($A$2,"average", AVERAGE(Instances!M91:Instances!M91),"median", MEDIAN(Instances!M91:Instances!M91),"min", MIN(Instances!M91:Instances!M91),"max", MAX(Instances!M91:Instances!M91),"diff", MAX(Instances!M91:Instances!M91)-MIN(Instances!M91:Instances!M91))</f>
        <v>0</v>
      </c>
      <c r="N91" s="1" cm="1">
        <f t="array" ref="N91">_xlfn.SWITCH($A$2,"average", AVERAGE(Instances!N91:Instances!N91),"median", MEDIAN(Instances!N91:Instances!N91),"min", MIN(Instances!N91:Instances!N91),"max", MAX(Instances!N91:Instances!N91),"diff", MAX(Instances!N91:Instances!N91)-MIN(Instances!N91:Instances!N91))</f>
        <v>0</v>
      </c>
      <c r="O91" s="1"/>
      <c r="P91" s="1" cm="1">
        <f t="array" ref="P91">_xlfn.SWITCH($A$2,"average", AVERAGE(Instances!P91:Instances!P91),"median", MEDIAN(Instances!P91:Instances!P91),"min", MIN(Instances!P91:Instances!P91),"max", MAX(Instances!P91:Instances!P91),"diff", MAX(Instances!P91:Instances!P91)-MIN(Instances!P91:Instances!P91))</f>
        <v>0</v>
      </c>
      <c r="Q91" s="1" cm="1">
        <f t="array" ref="Q91">_xlfn.SWITCH($A$2,"average", AVERAGE(Instances!Q91:Instances!Q91),"median", MEDIAN(Instances!Q91:Instances!Q91),"min", MIN(Instances!Q91:Instances!Q91),"max", MAX(Instances!Q91:Instances!Q91),"diff", MAX(Instances!Q91:Instances!Q91)-MIN(Instances!Q91:Instances!Q91))</f>
        <v>0</v>
      </c>
      <c r="R91" s="1" cm="1">
        <f t="array" ref="R91">_xlfn.SWITCH($A$2,"average", AVERAGE(Instances!R91:Instances!R91),"median", MEDIAN(Instances!R91:Instances!R91),"min", MIN(Instances!R91:Instances!R91),"max", MAX(Instances!R91:Instances!R91),"diff", MAX(Instances!R91:Instances!R91)-MIN(Instances!R91:Instances!R91))</f>
        <v>0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 cm="1">
        <f t="array" ref="B92">_xlfn.SWITCH($A$2,"average", AVERAGE(Instances!B92:Instances!B92),"median", MEDIAN(Instances!B92:Instances!B92),"min", MIN(Instances!B92:Instances!B92),"max", MAX(Instances!B92:Instances!B92),"diff", MAX(Instances!B92:Instances!B92)-MIN(Instances!B92:Instances!B92))</f>
        <v>0</v>
      </c>
      <c r="C92" s="1" cm="1">
        <f t="array" ref="C92">_xlfn.SWITCH($A$2,"average", AVERAGE(Instances!C92:Instances!C92),"median", MEDIAN(Instances!C92:Instances!C92),"min", MIN(Instances!C92:Instances!C92),"max", MAX(Instances!C92:Instances!C92),"diff", MAX(Instances!C92:Instances!C92)-MIN(Instances!C92:Instances!C92))</f>
        <v>0</v>
      </c>
      <c r="D92" s="1" cm="1">
        <f t="array" ref="D92">_xlfn.SWITCH($A$2,"average", AVERAGE(Instances!D92:Instances!D92),"median", MEDIAN(Instances!D92:Instances!D92),"min", MIN(Instances!D92:Instances!D92),"max", MAX(Instances!D92:Instances!D92),"diff", MAX(Instances!D92:Instances!D92)-MIN(Instances!D92:Instances!D92))</f>
        <v>0</v>
      </c>
      <c r="E92" s="1" cm="1">
        <f t="array" ref="E92">_xlfn.SWITCH($A$2,"average", AVERAGE(Instances!E92:Instances!E92),"median", MEDIAN(Instances!E92:Instances!E92),"min", MIN(Instances!E92:Instances!E92),"max", MAX(Instances!E92:Instances!E92),"diff", MAX(Instances!E92:Instances!E92)-MIN(Instances!E92:Instances!E92))</f>
        <v>0</v>
      </c>
      <c r="F92" s="1" cm="1">
        <f t="array" ref="F92">_xlfn.SWITCH($A$2,"average", AVERAGE(Instances!F92:Instances!F92),"median", MEDIAN(Instances!F92:Instances!F92),"min", MIN(Instances!F92:Instances!F92),"max", MAX(Instances!F92:Instances!F92),"diff", MAX(Instances!F92:Instances!F92)-MIN(Instances!F92:Instances!F92))</f>
        <v>0</v>
      </c>
      <c r="G92" s="1" cm="1">
        <f t="array" ref="G92">_xlfn.SWITCH($A$2,"average", AVERAGE(Instances!G92:Instances!G92),"median", MEDIAN(Instances!G92:Instances!G92),"min", MIN(Instances!G92:Instances!G92),"max", MAX(Instances!G92:Instances!G92),"diff", MAX(Instances!G92:Instances!G92)-MIN(Instances!G92:Instances!G92))</f>
        <v>0</v>
      </c>
      <c r="H92" s="1" cm="1">
        <f t="array" ref="H92">_xlfn.SWITCH($A$2,"average", AVERAGE(Instances!H92:Instances!H92),"median", MEDIAN(Instances!H92:Instances!H92),"min", MIN(Instances!H92:Instances!H92),"max", MAX(Instances!H92:Instances!H92),"diff", MAX(Instances!H92:Instances!H92)-MIN(Instances!H92:Instances!H92))</f>
        <v>0</v>
      </c>
      <c r="I92" s="1" cm="1">
        <f t="array" ref="I92">_xlfn.SWITCH($A$2,"average", AVERAGE(Instances!I92:Instances!I92),"median", MEDIAN(Instances!I92:Instances!I92),"min", MIN(Instances!I92:Instances!I92),"max", MAX(Instances!I92:Instances!I92),"diff", MAX(Instances!I92:Instances!I92)-MIN(Instances!I92:Instances!I92))</f>
        <v>0</v>
      </c>
      <c r="J92" s="1" cm="1">
        <f t="array" ref="J92">_xlfn.SWITCH($A$2,"average", AVERAGE(Instances!J92:Instances!J92),"median", MEDIAN(Instances!J92:Instances!J92),"min", MIN(Instances!J92:Instances!J92),"max", MAX(Instances!J92:Instances!J92),"diff", MAX(Instances!J92:Instances!J92)-MIN(Instances!J92:Instances!J92))</f>
        <v>0</v>
      </c>
      <c r="K92" s="1" cm="1">
        <f t="array" ref="K92">_xlfn.SWITCH($A$2,"average", AVERAGE(Instances!K92:Instances!K92),"median", MEDIAN(Instances!K92:Instances!K92),"min", MIN(Instances!K92:Instances!K92),"max", MAX(Instances!K92:Instances!K92),"diff", MAX(Instances!K92:Instances!K92)-MIN(Instances!K92:Instances!K92))</f>
        <v>0</v>
      </c>
      <c r="L92" s="1"/>
      <c r="M92" s="1" cm="1">
        <f t="array" ref="M92">_xlfn.SWITCH($A$2,"average", AVERAGE(Instances!M92:Instances!M92),"median", MEDIAN(Instances!M92:Instances!M92),"min", MIN(Instances!M92:Instances!M92),"max", MAX(Instances!M92:Instances!M92),"diff", MAX(Instances!M92:Instances!M92)-MIN(Instances!M92:Instances!M92))</f>
        <v>0</v>
      </c>
      <c r="N92" s="1" cm="1">
        <f t="array" ref="N92">_xlfn.SWITCH($A$2,"average", AVERAGE(Instances!N92:Instances!N92),"median", MEDIAN(Instances!N92:Instances!N92),"min", MIN(Instances!N92:Instances!N92),"max", MAX(Instances!N92:Instances!N92),"diff", MAX(Instances!N92:Instances!N92)-MIN(Instances!N92:Instances!N92))</f>
        <v>0</v>
      </c>
      <c r="O92" s="1"/>
      <c r="P92" s="1" cm="1">
        <f t="array" ref="P92">_xlfn.SWITCH($A$2,"average", AVERAGE(Instances!P92:Instances!P92),"median", MEDIAN(Instances!P92:Instances!P92),"min", MIN(Instances!P92:Instances!P92),"max", MAX(Instances!P92:Instances!P92),"diff", MAX(Instances!P92:Instances!P92)-MIN(Instances!P92:Instances!P92))</f>
        <v>0</v>
      </c>
      <c r="Q92" s="1" cm="1">
        <f t="array" ref="Q92">_xlfn.SWITCH($A$2,"average", AVERAGE(Instances!Q92:Instances!Q92),"median", MEDIAN(Instances!Q92:Instances!Q92),"min", MIN(Instances!Q92:Instances!Q92),"max", MAX(Instances!Q92:Instances!Q92),"diff", MAX(Instances!Q92:Instances!Q92)-MIN(Instances!Q92:Instances!Q92))</f>
        <v>0</v>
      </c>
      <c r="R92" s="1" cm="1">
        <f t="array" ref="R92">_xlfn.SWITCH($A$2,"average", AVERAGE(Instances!R92:Instances!R92),"median", MEDIAN(Instances!R92:Instances!R92),"min", MIN(Instances!R92:Instances!R92),"max", MAX(Instances!R92:Instances!R92),"diff", MAX(Instances!R92:Instances!R92)-MIN(Instances!R92:Instances!R92))</f>
        <v>0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 cm="1">
        <f t="array" ref="B93">_xlfn.SWITCH($A$2,"average", AVERAGE(Instances!B93:Instances!B93),"median", MEDIAN(Instances!B93:Instances!B93),"min", MIN(Instances!B93:Instances!B93),"max", MAX(Instances!B93:Instances!B93),"diff", MAX(Instances!B93:Instances!B93)-MIN(Instances!B93:Instances!B93))</f>
        <v>0</v>
      </c>
      <c r="C93" s="1" cm="1">
        <f t="array" ref="C93">_xlfn.SWITCH($A$2,"average", AVERAGE(Instances!C93:Instances!C93),"median", MEDIAN(Instances!C93:Instances!C93),"min", MIN(Instances!C93:Instances!C93),"max", MAX(Instances!C93:Instances!C93),"diff", MAX(Instances!C93:Instances!C93)-MIN(Instances!C93:Instances!C93))</f>
        <v>0</v>
      </c>
      <c r="D93" s="1" cm="1">
        <f t="array" ref="D93">_xlfn.SWITCH($A$2,"average", AVERAGE(Instances!D93:Instances!D93),"median", MEDIAN(Instances!D93:Instances!D93),"min", MIN(Instances!D93:Instances!D93),"max", MAX(Instances!D93:Instances!D93),"diff", MAX(Instances!D93:Instances!D93)-MIN(Instances!D93:Instances!D93))</f>
        <v>0</v>
      </c>
      <c r="E93" s="1" cm="1">
        <f t="array" ref="E93">_xlfn.SWITCH($A$2,"average", AVERAGE(Instances!E93:Instances!E93),"median", MEDIAN(Instances!E93:Instances!E93),"min", MIN(Instances!E93:Instances!E93),"max", MAX(Instances!E93:Instances!E93),"diff", MAX(Instances!E93:Instances!E93)-MIN(Instances!E93:Instances!E93))</f>
        <v>0</v>
      </c>
      <c r="F93" s="1" cm="1">
        <f t="array" ref="F93">_xlfn.SWITCH($A$2,"average", AVERAGE(Instances!F93:Instances!F93),"median", MEDIAN(Instances!F93:Instances!F93),"min", MIN(Instances!F93:Instances!F93),"max", MAX(Instances!F93:Instances!F93),"diff", MAX(Instances!F93:Instances!F93)-MIN(Instances!F93:Instances!F93))</f>
        <v>0</v>
      </c>
      <c r="G93" s="1" cm="1">
        <f t="array" ref="G93">_xlfn.SWITCH($A$2,"average", AVERAGE(Instances!G93:Instances!G93),"median", MEDIAN(Instances!G93:Instances!G93),"min", MIN(Instances!G93:Instances!G93),"max", MAX(Instances!G93:Instances!G93),"diff", MAX(Instances!G93:Instances!G93)-MIN(Instances!G93:Instances!G93))</f>
        <v>0</v>
      </c>
      <c r="H93" s="1" cm="1">
        <f t="array" ref="H93">_xlfn.SWITCH($A$2,"average", AVERAGE(Instances!H93:Instances!H93),"median", MEDIAN(Instances!H93:Instances!H93),"min", MIN(Instances!H93:Instances!H93),"max", MAX(Instances!H93:Instances!H93),"diff", MAX(Instances!H93:Instances!H93)-MIN(Instances!H93:Instances!H93))</f>
        <v>0</v>
      </c>
      <c r="I93" s="1" cm="1">
        <f t="array" ref="I93">_xlfn.SWITCH($A$2,"average", AVERAGE(Instances!I93:Instances!I93),"median", MEDIAN(Instances!I93:Instances!I93),"min", MIN(Instances!I93:Instances!I93),"max", MAX(Instances!I93:Instances!I93),"diff", MAX(Instances!I93:Instances!I93)-MIN(Instances!I93:Instances!I93))</f>
        <v>0</v>
      </c>
      <c r="J93" s="1" cm="1">
        <f t="array" ref="J93">_xlfn.SWITCH($A$2,"average", AVERAGE(Instances!J93:Instances!J93),"median", MEDIAN(Instances!J93:Instances!J93),"min", MIN(Instances!J93:Instances!J93),"max", MAX(Instances!J93:Instances!J93),"diff", MAX(Instances!J93:Instances!J93)-MIN(Instances!J93:Instances!J93))</f>
        <v>0</v>
      </c>
      <c r="K93" s="1" cm="1">
        <f t="array" ref="K93">_xlfn.SWITCH($A$2,"average", AVERAGE(Instances!K93:Instances!K93),"median", MEDIAN(Instances!K93:Instances!K93),"min", MIN(Instances!K93:Instances!K93),"max", MAX(Instances!K93:Instances!K93),"diff", MAX(Instances!K93:Instances!K93)-MIN(Instances!K93:Instances!K93))</f>
        <v>0</v>
      </c>
      <c r="L93" s="1"/>
      <c r="M93" s="1" cm="1">
        <f t="array" ref="M93">_xlfn.SWITCH($A$2,"average", AVERAGE(Instances!M93:Instances!M93),"median", MEDIAN(Instances!M93:Instances!M93),"min", MIN(Instances!M93:Instances!M93),"max", MAX(Instances!M93:Instances!M93),"diff", MAX(Instances!M93:Instances!M93)-MIN(Instances!M93:Instances!M93))</f>
        <v>0</v>
      </c>
      <c r="N93" s="1" cm="1">
        <f t="array" ref="N93">_xlfn.SWITCH($A$2,"average", AVERAGE(Instances!N93:Instances!N93),"median", MEDIAN(Instances!N93:Instances!N93),"min", MIN(Instances!N93:Instances!N93),"max", MAX(Instances!N93:Instances!N93),"diff", MAX(Instances!N93:Instances!N93)-MIN(Instances!N93:Instances!N93))</f>
        <v>0</v>
      </c>
      <c r="O93" s="1"/>
      <c r="P93" s="1" cm="1">
        <f t="array" ref="P93">_xlfn.SWITCH($A$2,"average", AVERAGE(Instances!P93:Instances!P93),"median", MEDIAN(Instances!P93:Instances!P93),"min", MIN(Instances!P93:Instances!P93),"max", MAX(Instances!P93:Instances!P93),"diff", MAX(Instances!P93:Instances!P93)-MIN(Instances!P93:Instances!P93))</f>
        <v>0</v>
      </c>
      <c r="Q93" s="1" cm="1">
        <f t="array" ref="Q93">_xlfn.SWITCH($A$2,"average", AVERAGE(Instances!Q93:Instances!Q93),"median", MEDIAN(Instances!Q93:Instances!Q93),"min", MIN(Instances!Q93:Instances!Q93),"max", MAX(Instances!Q93:Instances!Q93),"diff", MAX(Instances!Q93:Instances!Q93)-MIN(Instances!Q93:Instances!Q93))</f>
        <v>0</v>
      </c>
      <c r="R93" s="1" cm="1">
        <f t="array" ref="R93">_xlfn.SWITCH($A$2,"average", AVERAGE(Instances!R93:Instances!R93),"median", MEDIAN(Instances!R93:Instances!R93),"min", MIN(Instances!R93:Instances!R93),"max", MAX(Instances!R93:Instances!R93),"diff", MAX(Instances!R93:Instances!R93)-MIN(Instances!R93:Instances!R93))</f>
        <v>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 cm="1">
        <f t="array" ref="B94">_xlfn.SWITCH($A$2,"average", AVERAGE(Instances!B94:Instances!B94),"median", MEDIAN(Instances!B94:Instances!B94),"min", MIN(Instances!B94:Instances!B94),"max", MAX(Instances!B94:Instances!B94),"diff", MAX(Instances!B94:Instances!B94)-MIN(Instances!B94:Instances!B94))</f>
        <v>0</v>
      </c>
      <c r="C94" s="1" cm="1">
        <f t="array" ref="C94">_xlfn.SWITCH($A$2,"average", AVERAGE(Instances!C94:Instances!C94),"median", MEDIAN(Instances!C94:Instances!C94),"min", MIN(Instances!C94:Instances!C94),"max", MAX(Instances!C94:Instances!C94),"diff", MAX(Instances!C94:Instances!C94)-MIN(Instances!C94:Instances!C94))</f>
        <v>0</v>
      </c>
      <c r="D94" s="1" cm="1">
        <f t="array" ref="D94">_xlfn.SWITCH($A$2,"average", AVERAGE(Instances!D94:Instances!D94),"median", MEDIAN(Instances!D94:Instances!D94),"min", MIN(Instances!D94:Instances!D94),"max", MAX(Instances!D94:Instances!D94),"diff", MAX(Instances!D94:Instances!D94)-MIN(Instances!D94:Instances!D94))</f>
        <v>0</v>
      </c>
      <c r="E94" s="1" cm="1">
        <f t="array" ref="E94">_xlfn.SWITCH($A$2,"average", AVERAGE(Instances!E94:Instances!E94),"median", MEDIAN(Instances!E94:Instances!E94),"min", MIN(Instances!E94:Instances!E94),"max", MAX(Instances!E94:Instances!E94),"diff", MAX(Instances!E94:Instances!E94)-MIN(Instances!E94:Instances!E94))</f>
        <v>0</v>
      </c>
      <c r="F94" s="1" cm="1">
        <f t="array" ref="F94">_xlfn.SWITCH($A$2,"average", AVERAGE(Instances!F94:Instances!F94),"median", MEDIAN(Instances!F94:Instances!F94),"min", MIN(Instances!F94:Instances!F94),"max", MAX(Instances!F94:Instances!F94),"diff", MAX(Instances!F94:Instances!F94)-MIN(Instances!F94:Instances!F94))</f>
        <v>0</v>
      </c>
      <c r="G94" s="1" cm="1">
        <f t="array" ref="G94">_xlfn.SWITCH($A$2,"average", AVERAGE(Instances!G94:Instances!G94),"median", MEDIAN(Instances!G94:Instances!G94),"min", MIN(Instances!G94:Instances!G94),"max", MAX(Instances!G94:Instances!G94),"diff", MAX(Instances!G94:Instances!G94)-MIN(Instances!G94:Instances!G94))</f>
        <v>0</v>
      </c>
      <c r="H94" s="1" cm="1">
        <f t="array" ref="H94">_xlfn.SWITCH($A$2,"average", AVERAGE(Instances!H94:Instances!H94),"median", MEDIAN(Instances!H94:Instances!H94),"min", MIN(Instances!H94:Instances!H94),"max", MAX(Instances!H94:Instances!H94),"diff", MAX(Instances!H94:Instances!H94)-MIN(Instances!H94:Instances!H94))</f>
        <v>0</v>
      </c>
      <c r="I94" s="1" cm="1">
        <f t="array" ref="I94">_xlfn.SWITCH($A$2,"average", AVERAGE(Instances!I94:Instances!I94),"median", MEDIAN(Instances!I94:Instances!I94),"min", MIN(Instances!I94:Instances!I94),"max", MAX(Instances!I94:Instances!I94),"diff", MAX(Instances!I94:Instances!I94)-MIN(Instances!I94:Instances!I94))</f>
        <v>0</v>
      </c>
      <c r="J94" s="1" cm="1">
        <f t="array" ref="J94">_xlfn.SWITCH($A$2,"average", AVERAGE(Instances!J94:Instances!J94),"median", MEDIAN(Instances!J94:Instances!J94),"min", MIN(Instances!J94:Instances!J94),"max", MAX(Instances!J94:Instances!J94),"diff", MAX(Instances!J94:Instances!J94)-MIN(Instances!J94:Instances!J94))</f>
        <v>0</v>
      </c>
      <c r="K94" s="1" cm="1">
        <f t="array" ref="K94">_xlfn.SWITCH($A$2,"average", AVERAGE(Instances!K94:Instances!K94),"median", MEDIAN(Instances!K94:Instances!K94),"min", MIN(Instances!K94:Instances!K94),"max", MAX(Instances!K94:Instances!K94),"diff", MAX(Instances!K94:Instances!K94)-MIN(Instances!K94:Instances!K94))</f>
        <v>0</v>
      </c>
      <c r="L94" s="1"/>
      <c r="M94" s="1" cm="1">
        <f t="array" ref="M94">_xlfn.SWITCH($A$2,"average", AVERAGE(Instances!M94:Instances!M94),"median", MEDIAN(Instances!M94:Instances!M94),"min", MIN(Instances!M94:Instances!M94),"max", MAX(Instances!M94:Instances!M94),"diff", MAX(Instances!M94:Instances!M94)-MIN(Instances!M94:Instances!M94))</f>
        <v>0</v>
      </c>
      <c r="N94" s="1" cm="1">
        <f t="array" ref="N94">_xlfn.SWITCH($A$2,"average", AVERAGE(Instances!N94:Instances!N94),"median", MEDIAN(Instances!N94:Instances!N94),"min", MIN(Instances!N94:Instances!N94),"max", MAX(Instances!N94:Instances!N94),"diff", MAX(Instances!N94:Instances!N94)-MIN(Instances!N94:Instances!N94))</f>
        <v>0</v>
      </c>
      <c r="O94" s="1"/>
      <c r="P94" s="1" cm="1">
        <f t="array" ref="P94">_xlfn.SWITCH($A$2,"average", AVERAGE(Instances!P94:Instances!P94),"median", MEDIAN(Instances!P94:Instances!P94),"min", MIN(Instances!P94:Instances!P94),"max", MAX(Instances!P94:Instances!P94),"diff", MAX(Instances!P94:Instances!P94)-MIN(Instances!P94:Instances!P94))</f>
        <v>0</v>
      </c>
      <c r="Q94" s="1" cm="1">
        <f t="array" ref="Q94">_xlfn.SWITCH($A$2,"average", AVERAGE(Instances!Q94:Instances!Q94),"median", MEDIAN(Instances!Q94:Instances!Q94),"min", MIN(Instances!Q94:Instances!Q94),"max", MAX(Instances!Q94:Instances!Q94),"diff", MAX(Instances!Q94:Instances!Q94)-MIN(Instances!Q94:Instances!Q94))</f>
        <v>0</v>
      </c>
      <c r="R94" s="1" cm="1">
        <f t="array" ref="R94">_xlfn.SWITCH($A$2,"average", AVERAGE(Instances!R94:Instances!R94),"median", MEDIAN(Instances!R94:Instances!R94),"min", MIN(Instances!R94:Instances!R94),"max", MAX(Instances!R94:Instances!R94),"diff", MAX(Instances!R94:Instances!R94)-MIN(Instances!R94:Instances!R94))</f>
        <v>0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 cm="1">
        <f t="array" ref="B95">_xlfn.SWITCH($A$2,"average", AVERAGE(Instances!B95:Instances!B95),"median", MEDIAN(Instances!B95:Instances!B95),"min", MIN(Instances!B95:Instances!B95),"max", MAX(Instances!B95:Instances!B95),"diff", MAX(Instances!B95:Instances!B95)-MIN(Instances!B95:Instances!B95))</f>
        <v>0</v>
      </c>
      <c r="C95" s="1" cm="1">
        <f t="array" ref="C95">_xlfn.SWITCH($A$2,"average", AVERAGE(Instances!C95:Instances!C95),"median", MEDIAN(Instances!C95:Instances!C95),"min", MIN(Instances!C95:Instances!C95),"max", MAX(Instances!C95:Instances!C95),"diff", MAX(Instances!C95:Instances!C95)-MIN(Instances!C95:Instances!C95))</f>
        <v>0</v>
      </c>
      <c r="D95" s="1" cm="1">
        <f t="array" ref="D95">_xlfn.SWITCH($A$2,"average", AVERAGE(Instances!D95:Instances!D95),"median", MEDIAN(Instances!D95:Instances!D95),"min", MIN(Instances!D95:Instances!D95),"max", MAX(Instances!D95:Instances!D95),"diff", MAX(Instances!D95:Instances!D95)-MIN(Instances!D95:Instances!D95))</f>
        <v>0</v>
      </c>
      <c r="E95" s="1" cm="1">
        <f t="array" ref="E95">_xlfn.SWITCH($A$2,"average", AVERAGE(Instances!E95:Instances!E95),"median", MEDIAN(Instances!E95:Instances!E95),"min", MIN(Instances!E95:Instances!E95),"max", MAX(Instances!E95:Instances!E95),"diff", MAX(Instances!E95:Instances!E95)-MIN(Instances!E95:Instances!E95))</f>
        <v>0</v>
      </c>
      <c r="F95" s="1" cm="1">
        <f t="array" ref="F95">_xlfn.SWITCH($A$2,"average", AVERAGE(Instances!F95:Instances!F95),"median", MEDIAN(Instances!F95:Instances!F95),"min", MIN(Instances!F95:Instances!F95),"max", MAX(Instances!F95:Instances!F95),"diff", MAX(Instances!F95:Instances!F95)-MIN(Instances!F95:Instances!F95))</f>
        <v>0</v>
      </c>
      <c r="G95" s="1" cm="1">
        <f t="array" ref="G95">_xlfn.SWITCH($A$2,"average", AVERAGE(Instances!G95:Instances!G95),"median", MEDIAN(Instances!G95:Instances!G95),"min", MIN(Instances!G95:Instances!G95),"max", MAX(Instances!G95:Instances!G95),"diff", MAX(Instances!G95:Instances!G95)-MIN(Instances!G95:Instances!G95))</f>
        <v>0</v>
      </c>
      <c r="H95" s="1" cm="1">
        <f t="array" ref="H95">_xlfn.SWITCH($A$2,"average", AVERAGE(Instances!H95:Instances!H95),"median", MEDIAN(Instances!H95:Instances!H95),"min", MIN(Instances!H95:Instances!H95),"max", MAX(Instances!H95:Instances!H95),"diff", MAX(Instances!H95:Instances!H95)-MIN(Instances!H95:Instances!H95))</f>
        <v>0</v>
      </c>
      <c r="I95" s="1" cm="1">
        <f t="array" ref="I95">_xlfn.SWITCH($A$2,"average", AVERAGE(Instances!I95:Instances!I95),"median", MEDIAN(Instances!I95:Instances!I95),"min", MIN(Instances!I95:Instances!I95),"max", MAX(Instances!I95:Instances!I95),"diff", MAX(Instances!I95:Instances!I95)-MIN(Instances!I95:Instances!I95))</f>
        <v>0</v>
      </c>
      <c r="J95" s="1" cm="1">
        <f t="array" ref="J95">_xlfn.SWITCH($A$2,"average", AVERAGE(Instances!J95:Instances!J95),"median", MEDIAN(Instances!J95:Instances!J95),"min", MIN(Instances!J95:Instances!J95),"max", MAX(Instances!J95:Instances!J95),"diff", MAX(Instances!J95:Instances!J95)-MIN(Instances!J95:Instances!J95))</f>
        <v>0</v>
      </c>
      <c r="K95" s="1" cm="1">
        <f t="array" ref="K95">_xlfn.SWITCH($A$2,"average", AVERAGE(Instances!K95:Instances!K95),"median", MEDIAN(Instances!K95:Instances!K95),"min", MIN(Instances!K95:Instances!K95),"max", MAX(Instances!K95:Instances!K95),"diff", MAX(Instances!K95:Instances!K95)-MIN(Instances!K95:Instances!K95))</f>
        <v>0</v>
      </c>
      <c r="L95" s="1"/>
      <c r="M95" s="1" cm="1">
        <f t="array" ref="M95">_xlfn.SWITCH($A$2,"average", AVERAGE(Instances!M95:Instances!M95),"median", MEDIAN(Instances!M95:Instances!M95),"min", MIN(Instances!M95:Instances!M95),"max", MAX(Instances!M95:Instances!M95),"diff", MAX(Instances!M95:Instances!M95)-MIN(Instances!M95:Instances!M95))</f>
        <v>0</v>
      </c>
      <c r="N95" s="1" cm="1">
        <f t="array" ref="N95">_xlfn.SWITCH($A$2,"average", AVERAGE(Instances!N95:Instances!N95),"median", MEDIAN(Instances!N95:Instances!N95),"min", MIN(Instances!N95:Instances!N95),"max", MAX(Instances!N95:Instances!N95),"diff", MAX(Instances!N95:Instances!N95)-MIN(Instances!N95:Instances!N95))</f>
        <v>0</v>
      </c>
      <c r="O95" s="1"/>
      <c r="P95" s="1" cm="1">
        <f t="array" ref="P95">_xlfn.SWITCH($A$2,"average", AVERAGE(Instances!P95:Instances!P95),"median", MEDIAN(Instances!P95:Instances!P95),"min", MIN(Instances!P95:Instances!P95),"max", MAX(Instances!P95:Instances!P95),"diff", MAX(Instances!P95:Instances!P95)-MIN(Instances!P95:Instances!P95))</f>
        <v>0</v>
      </c>
      <c r="Q95" s="1" cm="1">
        <f t="array" ref="Q95">_xlfn.SWITCH($A$2,"average", AVERAGE(Instances!Q95:Instances!Q95),"median", MEDIAN(Instances!Q95:Instances!Q95),"min", MIN(Instances!Q95:Instances!Q95),"max", MAX(Instances!Q95:Instances!Q95),"diff", MAX(Instances!Q95:Instances!Q95)-MIN(Instances!Q95:Instances!Q95))</f>
        <v>0</v>
      </c>
      <c r="R95" s="1" cm="1">
        <f t="array" ref="R95">_xlfn.SWITCH($A$2,"average", AVERAGE(Instances!R95:Instances!R95),"median", MEDIAN(Instances!R95:Instances!R95),"min", MIN(Instances!R95:Instances!R95),"max", MAX(Instances!R95:Instances!R95),"diff", MAX(Instances!R95:Instances!R95)-MIN(Instances!R95:Instances!R95))</f>
        <v>0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 cm="1">
        <f t="array" ref="B96">_xlfn.SWITCH($A$2,"average", AVERAGE(Instances!B96:Instances!B96),"median", MEDIAN(Instances!B96:Instances!B96),"min", MIN(Instances!B96:Instances!B96),"max", MAX(Instances!B96:Instances!B96),"diff", MAX(Instances!B96:Instances!B96)-MIN(Instances!B96:Instances!B96))</f>
        <v>0</v>
      </c>
      <c r="C96" s="1" cm="1">
        <f t="array" ref="C96">_xlfn.SWITCH($A$2,"average", AVERAGE(Instances!C96:Instances!C96),"median", MEDIAN(Instances!C96:Instances!C96),"min", MIN(Instances!C96:Instances!C96),"max", MAX(Instances!C96:Instances!C96),"diff", MAX(Instances!C96:Instances!C96)-MIN(Instances!C96:Instances!C96))</f>
        <v>0</v>
      </c>
      <c r="D96" s="1" cm="1">
        <f t="array" ref="D96">_xlfn.SWITCH($A$2,"average", AVERAGE(Instances!D96:Instances!D96),"median", MEDIAN(Instances!D96:Instances!D96),"min", MIN(Instances!D96:Instances!D96),"max", MAX(Instances!D96:Instances!D96),"diff", MAX(Instances!D96:Instances!D96)-MIN(Instances!D96:Instances!D96))</f>
        <v>0</v>
      </c>
      <c r="E96" s="1" cm="1">
        <f t="array" ref="E96">_xlfn.SWITCH($A$2,"average", AVERAGE(Instances!E96:Instances!E96),"median", MEDIAN(Instances!E96:Instances!E96),"min", MIN(Instances!E96:Instances!E96),"max", MAX(Instances!E96:Instances!E96),"diff", MAX(Instances!E96:Instances!E96)-MIN(Instances!E96:Instances!E96))</f>
        <v>0</v>
      </c>
      <c r="F96" s="1" cm="1">
        <f t="array" ref="F96">_xlfn.SWITCH($A$2,"average", AVERAGE(Instances!F96:Instances!F96),"median", MEDIAN(Instances!F96:Instances!F96),"min", MIN(Instances!F96:Instances!F96),"max", MAX(Instances!F96:Instances!F96),"diff", MAX(Instances!F96:Instances!F96)-MIN(Instances!F96:Instances!F96))</f>
        <v>0</v>
      </c>
      <c r="G96" s="1" cm="1">
        <f t="array" ref="G96">_xlfn.SWITCH($A$2,"average", AVERAGE(Instances!G96:Instances!G96),"median", MEDIAN(Instances!G96:Instances!G96),"min", MIN(Instances!G96:Instances!G96),"max", MAX(Instances!G96:Instances!G96),"diff", MAX(Instances!G96:Instances!G96)-MIN(Instances!G96:Instances!G96))</f>
        <v>0</v>
      </c>
      <c r="H96" s="1" cm="1">
        <f t="array" ref="H96">_xlfn.SWITCH($A$2,"average", AVERAGE(Instances!H96:Instances!H96),"median", MEDIAN(Instances!H96:Instances!H96),"min", MIN(Instances!H96:Instances!H96),"max", MAX(Instances!H96:Instances!H96),"diff", MAX(Instances!H96:Instances!H96)-MIN(Instances!H96:Instances!H96))</f>
        <v>0</v>
      </c>
      <c r="I96" s="1" cm="1">
        <f t="array" ref="I96">_xlfn.SWITCH($A$2,"average", AVERAGE(Instances!I96:Instances!I96),"median", MEDIAN(Instances!I96:Instances!I96),"min", MIN(Instances!I96:Instances!I96),"max", MAX(Instances!I96:Instances!I96),"diff", MAX(Instances!I96:Instances!I96)-MIN(Instances!I96:Instances!I96))</f>
        <v>0</v>
      </c>
      <c r="J96" s="1" cm="1">
        <f t="array" ref="J96">_xlfn.SWITCH($A$2,"average", AVERAGE(Instances!J96:Instances!J96),"median", MEDIAN(Instances!J96:Instances!J96),"min", MIN(Instances!J96:Instances!J96),"max", MAX(Instances!J96:Instances!J96),"diff", MAX(Instances!J96:Instances!J96)-MIN(Instances!J96:Instances!J96))</f>
        <v>0</v>
      </c>
      <c r="K96" s="1" cm="1">
        <f t="array" ref="K96">_xlfn.SWITCH($A$2,"average", AVERAGE(Instances!K96:Instances!K96),"median", MEDIAN(Instances!K96:Instances!K96),"min", MIN(Instances!K96:Instances!K96),"max", MAX(Instances!K96:Instances!K96),"diff", MAX(Instances!K96:Instances!K96)-MIN(Instances!K96:Instances!K96))</f>
        <v>0</v>
      </c>
      <c r="L96" s="1"/>
      <c r="M96" s="1" cm="1">
        <f t="array" ref="M96">_xlfn.SWITCH($A$2,"average", AVERAGE(Instances!M96:Instances!M96),"median", MEDIAN(Instances!M96:Instances!M96),"min", MIN(Instances!M96:Instances!M96),"max", MAX(Instances!M96:Instances!M96),"diff", MAX(Instances!M96:Instances!M96)-MIN(Instances!M96:Instances!M96))</f>
        <v>0</v>
      </c>
      <c r="N96" s="1" cm="1">
        <f t="array" ref="N96">_xlfn.SWITCH($A$2,"average", AVERAGE(Instances!N96:Instances!N96),"median", MEDIAN(Instances!N96:Instances!N96),"min", MIN(Instances!N96:Instances!N96),"max", MAX(Instances!N96:Instances!N96),"diff", MAX(Instances!N96:Instances!N96)-MIN(Instances!N96:Instances!N96))</f>
        <v>0</v>
      </c>
      <c r="O96" s="1"/>
      <c r="P96" s="1" cm="1">
        <f t="array" ref="P96">_xlfn.SWITCH($A$2,"average", AVERAGE(Instances!P96:Instances!P96),"median", MEDIAN(Instances!P96:Instances!P96),"min", MIN(Instances!P96:Instances!P96),"max", MAX(Instances!P96:Instances!P96),"diff", MAX(Instances!P96:Instances!P96)-MIN(Instances!P96:Instances!P96))</f>
        <v>0</v>
      </c>
      <c r="Q96" s="1" cm="1">
        <f t="array" ref="Q96">_xlfn.SWITCH($A$2,"average", AVERAGE(Instances!Q96:Instances!Q96),"median", MEDIAN(Instances!Q96:Instances!Q96),"min", MIN(Instances!Q96:Instances!Q96),"max", MAX(Instances!Q96:Instances!Q96),"diff", MAX(Instances!Q96:Instances!Q96)-MIN(Instances!Q96:Instances!Q96))</f>
        <v>0</v>
      </c>
      <c r="R96" s="1" cm="1">
        <f t="array" ref="R96">_xlfn.SWITCH($A$2,"average", AVERAGE(Instances!R96:Instances!R96),"median", MEDIAN(Instances!R96:Instances!R96),"min", MIN(Instances!R96:Instances!R96),"max", MAX(Instances!R96:Instances!R96),"diff", MAX(Instances!R96:Instances!R96)-MIN(Instances!R96:Instances!R96))</f>
        <v>0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 cm="1">
        <f t="array" ref="B97">_xlfn.SWITCH($A$2,"average", AVERAGE(Instances!B97:Instances!B97),"median", MEDIAN(Instances!B97:Instances!B97),"min", MIN(Instances!B97:Instances!B97),"max", MAX(Instances!B97:Instances!B97),"diff", MAX(Instances!B97:Instances!B97)-MIN(Instances!B97:Instances!B97))</f>
        <v>0</v>
      </c>
      <c r="C97" s="1" cm="1">
        <f t="array" ref="C97">_xlfn.SWITCH($A$2,"average", AVERAGE(Instances!C97:Instances!C97),"median", MEDIAN(Instances!C97:Instances!C97),"min", MIN(Instances!C97:Instances!C97),"max", MAX(Instances!C97:Instances!C97),"diff", MAX(Instances!C97:Instances!C97)-MIN(Instances!C97:Instances!C97))</f>
        <v>0</v>
      </c>
      <c r="D97" s="1" cm="1">
        <f t="array" ref="D97">_xlfn.SWITCH($A$2,"average", AVERAGE(Instances!D97:Instances!D97),"median", MEDIAN(Instances!D97:Instances!D97),"min", MIN(Instances!D97:Instances!D97),"max", MAX(Instances!D97:Instances!D97),"diff", MAX(Instances!D97:Instances!D97)-MIN(Instances!D97:Instances!D97))</f>
        <v>0</v>
      </c>
      <c r="E97" s="1" cm="1">
        <f t="array" ref="E97">_xlfn.SWITCH($A$2,"average", AVERAGE(Instances!E97:Instances!E97),"median", MEDIAN(Instances!E97:Instances!E97),"min", MIN(Instances!E97:Instances!E97),"max", MAX(Instances!E97:Instances!E97),"diff", MAX(Instances!E97:Instances!E97)-MIN(Instances!E97:Instances!E97))</f>
        <v>0</v>
      </c>
      <c r="F97" s="1" cm="1">
        <f t="array" ref="F97">_xlfn.SWITCH($A$2,"average", AVERAGE(Instances!F97:Instances!F97),"median", MEDIAN(Instances!F97:Instances!F97),"min", MIN(Instances!F97:Instances!F97),"max", MAX(Instances!F97:Instances!F97),"diff", MAX(Instances!F97:Instances!F97)-MIN(Instances!F97:Instances!F97))</f>
        <v>0</v>
      </c>
      <c r="G97" s="1" cm="1">
        <f t="array" ref="G97">_xlfn.SWITCH($A$2,"average", AVERAGE(Instances!G97:Instances!G97),"median", MEDIAN(Instances!G97:Instances!G97),"min", MIN(Instances!G97:Instances!G97),"max", MAX(Instances!G97:Instances!G97),"diff", MAX(Instances!G97:Instances!G97)-MIN(Instances!G97:Instances!G97))</f>
        <v>0</v>
      </c>
      <c r="H97" s="1" cm="1">
        <f t="array" ref="H97">_xlfn.SWITCH($A$2,"average", AVERAGE(Instances!H97:Instances!H97),"median", MEDIAN(Instances!H97:Instances!H97),"min", MIN(Instances!H97:Instances!H97),"max", MAX(Instances!H97:Instances!H97),"diff", MAX(Instances!H97:Instances!H97)-MIN(Instances!H97:Instances!H97))</f>
        <v>0</v>
      </c>
      <c r="I97" s="1" cm="1">
        <f t="array" ref="I97">_xlfn.SWITCH($A$2,"average", AVERAGE(Instances!I97:Instances!I97),"median", MEDIAN(Instances!I97:Instances!I97),"min", MIN(Instances!I97:Instances!I97),"max", MAX(Instances!I97:Instances!I97),"diff", MAX(Instances!I97:Instances!I97)-MIN(Instances!I97:Instances!I97))</f>
        <v>0</v>
      </c>
      <c r="J97" s="1" cm="1">
        <f t="array" ref="J97">_xlfn.SWITCH($A$2,"average", AVERAGE(Instances!J97:Instances!J97),"median", MEDIAN(Instances!J97:Instances!J97),"min", MIN(Instances!J97:Instances!J97),"max", MAX(Instances!J97:Instances!J97),"diff", MAX(Instances!J97:Instances!J97)-MIN(Instances!J97:Instances!J97))</f>
        <v>0</v>
      </c>
      <c r="K97" s="1" cm="1">
        <f t="array" ref="K97">_xlfn.SWITCH($A$2,"average", AVERAGE(Instances!K97:Instances!K97),"median", MEDIAN(Instances!K97:Instances!K97),"min", MIN(Instances!K97:Instances!K97),"max", MAX(Instances!K97:Instances!K97),"diff", MAX(Instances!K97:Instances!K97)-MIN(Instances!K97:Instances!K97))</f>
        <v>0</v>
      </c>
      <c r="L97" s="1"/>
      <c r="M97" s="1" cm="1">
        <f t="array" ref="M97">_xlfn.SWITCH($A$2,"average", AVERAGE(Instances!M97:Instances!M97),"median", MEDIAN(Instances!M97:Instances!M97),"min", MIN(Instances!M97:Instances!M97),"max", MAX(Instances!M97:Instances!M97),"diff", MAX(Instances!M97:Instances!M97)-MIN(Instances!M97:Instances!M97))</f>
        <v>0</v>
      </c>
      <c r="N97" s="1" cm="1">
        <f t="array" ref="N97">_xlfn.SWITCH($A$2,"average", AVERAGE(Instances!N97:Instances!N97),"median", MEDIAN(Instances!N97:Instances!N97),"min", MIN(Instances!N97:Instances!N97),"max", MAX(Instances!N97:Instances!N97),"diff", MAX(Instances!N97:Instances!N97)-MIN(Instances!N97:Instances!N97))</f>
        <v>0</v>
      </c>
      <c r="O97" s="1"/>
      <c r="P97" s="1" cm="1">
        <f t="array" ref="P97">_xlfn.SWITCH($A$2,"average", AVERAGE(Instances!P97:Instances!P97),"median", MEDIAN(Instances!P97:Instances!P97),"min", MIN(Instances!P97:Instances!P97),"max", MAX(Instances!P97:Instances!P97),"diff", MAX(Instances!P97:Instances!P97)-MIN(Instances!P97:Instances!P97))</f>
        <v>0</v>
      </c>
      <c r="Q97" s="1" cm="1">
        <f t="array" ref="Q97">_xlfn.SWITCH($A$2,"average", AVERAGE(Instances!Q97:Instances!Q97),"median", MEDIAN(Instances!Q97:Instances!Q97),"min", MIN(Instances!Q97:Instances!Q97),"max", MAX(Instances!Q97:Instances!Q97),"diff", MAX(Instances!Q97:Instances!Q97)-MIN(Instances!Q97:Instances!Q97))</f>
        <v>0</v>
      </c>
      <c r="R97" s="1" cm="1">
        <f t="array" ref="R97">_xlfn.SWITCH($A$2,"average", AVERAGE(Instances!R97:Instances!R97),"median", MEDIAN(Instances!R97:Instances!R97),"min", MIN(Instances!R97:Instances!R97),"max", MAX(Instances!R97:Instances!R97),"diff", MAX(Instances!R97:Instances!R97)-MIN(Instances!R97:Instances!R97))</f>
        <v>0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 cm="1">
        <f t="array" ref="B98">_xlfn.SWITCH($A$2,"average", AVERAGE(Instances!B98:Instances!B98),"median", MEDIAN(Instances!B98:Instances!B98),"min", MIN(Instances!B98:Instances!B98),"max", MAX(Instances!B98:Instances!B98),"diff", MAX(Instances!B98:Instances!B98)-MIN(Instances!B98:Instances!B98))</f>
        <v>0</v>
      </c>
      <c r="C98" s="1" cm="1">
        <f t="array" ref="C98">_xlfn.SWITCH($A$2,"average", AVERAGE(Instances!C98:Instances!C98),"median", MEDIAN(Instances!C98:Instances!C98),"min", MIN(Instances!C98:Instances!C98),"max", MAX(Instances!C98:Instances!C98),"diff", MAX(Instances!C98:Instances!C98)-MIN(Instances!C98:Instances!C98))</f>
        <v>0</v>
      </c>
      <c r="D98" s="1" cm="1">
        <f t="array" ref="D98">_xlfn.SWITCH($A$2,"average", AVERAGE(Instances!D98:Instances!D98),"median", MEDIAN(Instances!D98:Instances!D98),"min", MIN(Instances!D98:Instances!D98),"max", MAX(Instances!D98:Instances!D98),"diff", MAX(Instances!D98:Instances!D98)-MIN(Instances!D98:Instances!D98))</f>
        <v>0</v>
      </c>
      <c r="E98" s="1" cm="1">
        <f t="array" ref="E98">_xlfn.SWITCH($A$2,"average", AVERAGE(Instances!E98:Instances!E98),"median", MEDIAN(Instances!E98:Instances!E98),"min", MIN(Instances!E98:Instances!E98),"max", MAX(Instances!E98:Instances!E98),"diff", MAX(Instances!E98:Instances!E98)-MIN(Instances!E98:Instances!E98))</f>
        <v>0</v>
      </c>
      <c r="F98" s="1" cm="1">
        <f t="array" ref="F98">_xlfn.SWITCH($A$2,"average", AVERAGE(Instances!F98:Instances!F98),"median", MEDIAN(Instances!F98:Instances!F98),"min", MIN(Instances!F98:Instances!F98),"max", MAX(Instances!F98:Instances!F98),"diff", MAX(Instances!F98:Instances!F98)-MIN(Instances!F98:Instances!F98))</f>
        <v>0</v>
      </c>
      <c r="G98" s="1" cm="1">
        <f t="array" ref="G98">_xlfn.SWITCH($A$2,"average", AVERAGE(Instances!G98:Instances!G98),"median", MEDIAN(Instances!G98:Instances!G98),"min", MIN(Instances!G98:Instances!G98),"max", MAX(Instances!G98:Instances!G98),"diff", MAX(Instances!G98:Instances!G98)-MIN(Instances!G98:Instances!G98))</f>
        <v>0</v>
      </c>
      <c r="H98" s="1" cm="1">
        <f t="array" ref="H98">_xlfn.SWITCH($A$2,"average", AVERAGE(Instances!H98:Instances!H98),"median", MEDIAN(Instances!H98:Instances!H98),"min", MIN(Instances!H98:Instances!H98),"max", MAX(Instances!H98:Instances!H98),"diff", MAX(Instances!H98:Instances!H98)-MIN(Instances!H98:Instances!H98))</f>
        <v>0</v>
      </c>
      <c r="I98" s="1" cm="1">
        <f t="array" ref="I98">_xlfn.SWITCH($A$2,"average", AVERAGE(Instances!I98:Instances!I98),"median", MEDIAN(Instances!I98:Instances!I98),"min", MIN(Instances!I98:Instances!I98),"max", MAX(Instances!I98:Instances!I98),"diff", MAX(Instances!I98:Instances!I98)-MIN(Instances!I98:Instances!I98))</f>
        <v>0</v>
      </c>
      <c r="J98" s="1" cm="1">
        <f t="array" ref="J98">_xlfn.SWITCH($A$2,"average", AVERAGE(Instances!J98:Instances!J98),"median", MEDIAN(Instances!J98:Instances!J98),"min", MIN(Instances!J98:Instances!J98),"max", MAX(Instances!J98:Instances!J98),"diff", MAX(Instances!J98:Instances!J98)-MIN(Instances!J98:Instances!J98))</f>
        <v>0</v>
      </c>
      <c r="K98" s="1" cm="1">
        <f t="array" ref="K98">_xlfn.SWITCH($A$2,"average", AVERAGE(Instances!K98:Instances!K98),"median", MEDIAN(Instances!K98:Instances!K98),"min", MIN(Instances!K98:Instances!K98),"max", MAX(Instances!K98:Instances!K98),"diff", MAX(Instances!K98:Instances!K98)-MIN(Instances!K98:Instances!K98))</f>
        <v>0</v>
      </c>
      <c r="L98" s="1"/>
      <c r="M98" s="1" cm="1">
        <f t="array" ref="M98">_xlfn.SWITCH($A$2,"average", AVERAGE(Instances!M98:Instances!M98),"median", MEDIAN(Instances!M98:Instances!M98),"min", MIN(Instances!M98:Instances!M98),"max", MAX(Instances!M98:Instances!M98),"diff", MAX(Instances!M98:Instances!M98)-MIN(Instances!M98:Instances!M98))</f>
        <v>0</v>
      </c>
      <c r="N98" s="1" cm="1">
        <f t="array" ref="N98">_xlfn.SWITCH($A$2,"average", AVERAGE(Instances!N98:Instances!N98),"median", MEDIAN(Instances!N98:Instances!N98),"min", MIN(Instances!N98:Instances!N98),"max", MAX(Instances!N98:Instances!N98),"diff", MAX(Instances!N98:Instances!N98)-MIN(Instances!N98:Instances!N98))</f>
        <v>0</v>
      </c>
      <c r="O98" s="1"/>
      <c r="P98" s="1" cm="1">
        <f t="array" ref="P98">_xlfn.SWITCH($A$2,"average", AVERAGE(Instances!P98:Instances!P98),"median", MEDIAN(Instances!P98:Instances!P98),"min", MIN(Instances!P98:Instances!P98),"max", MAX(Instances!P98:Instances!P98),"diff", MAX(Instances!P98:Instances!P98)-MIN(Instances!P98:Instances!P98))</f>
        <v>0</v>
      </c>
      <c r="Q98" s="1" cm="1">
        <f t="array" ref="Q98">_xlfn.SWITCH($A$2,"average", AVERAGE(Instances!Q98:Instances!Q98),"median", MEDIAN(Instances!Q98:Instances!Q98),"min", MIN(Instances!Q98:Instances!Q98),"max", MAX(Instances!Q98:Instances!Q98),"diff", MAX(Instances!Q98:Instances!Q98)-MIN(Instances!Q98:Instances!Q98))</f>
        <v>0</v>
      </c>
      <c r="R98" s="1" cm="1">
        <f t="array" ref="R98">_xlfn.SWITCH($A$2,"average", AVERAGE(Instances!R98:Instances!R98),"median", MEDIAN(Instances!R98:Instances!R98),"min", MIN(Instances!R98:Instances!R98),"max", MAX(Instances!R98:Instances!R98),"diff", MAX(Instances!R98:Instances!R98)-MIN(Instances!R98:Instances!R98))</f>
        <v>0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 cm="1">
        <f t="array" ref="B99">_xlfn.SWITCH($A$2,"average", AVERAGE(Instances!B99:Instances!B99),"median", MEDIAN(Instances!B99:Instances!B99),"min", MIN(Instances!B99:Instances!B99),"max", MAX(Instances!B99:Instances!B99),"diff", MAX(Instances!B99:Instances!B99)-MIN(Instances!B99:Instances!B99))</f>
        <v>0</v>
      </c>
      <c r="C99" s="1" cm="1">
        <f t="array" ref="C99">_xlfn.SWITCH($A$2,"average", AVERAGE(Instances!C99:Instances!C99),"median", MEDIAN(Instances!C99:Instances!C99),"min", MIN(Instances!C99:Instances!C99),"max", MAX(Instances!C99:Instances!C99),"diff", MAX(Instances!C99:Instances!C99)-MIN(Instances!C99:Instances!C99))</f>
        <v>0</v>
      </c>
      <c r="D99" s="1" cm="1">
        <f t="array" ref="D99">_xlfn.SWITCH($A$2,"average", AVERAGE(Instances!D99:Instances!D99),"median", MEDIAN(Instances!D99:Instances!D99),"min", MIN(Instances!D99:Instances!D99),"max", MAX(Instances!D99:Instances!D99),"diff", MAX(Instances!D99:Instances!D99)-MIN(Instances!D99:Instances!D99))</f>
        <v>0</v>
      </c>
      <c r="E99" s="1" cm="1">
        <f t="array" ref="E99">_xlfn.SWITCH($A$2,"average", AVERAGE(Instances!E99:Instances!E99),"median", MEDIAN(Instances!E99:Instances!E99),"min", MIN(Instances!E99:Instances!E99),"max", MAX(Instances!E99:Instances!E99),"diff", MAX(Instances!E99:Instances!E99)-MIN(Instances!E99:Instances!E99))</f>
        <v>0</v>
      </c>
      <c r="F99" s="1" cm="1">
        <f t="array" ref="F99">_xlfn.SWITCH($A$2,"average", AVERAGE(Instances!F99:Instances!F99),"median", MEDIAN(Instances!F99:Instances!F99),"min", MIN(Instances!F99:Instances!F99),"max", MAX(Instances!F99:Instances!F99),"diff", MAX(Instances!F99:Instances!F99)-MIN(Instances!F99:Instances!F99))</f>
        <v>0</v>
      </c>
      <c r="G99" s="1" cm="1">
        <f t="array" ref="G99">_xlfn.SWITCH($A$2,"average", AVERAGE(Instances!G99:Instances!G99),"median", MEDIAN(Instances!G99:Instances!G99),"min", MIN(Instances!G99:Instances!G99),"max", MAX(Instances!G99:Instances!G99),"diff", MAX(Instances!G99:Instances!G99)-MIN(Instances!G99:Instances!G99))</f>
        <v>0</v>
      </c>
      <c r="H99" s="1" cm="1">
        <f t="array" ref="H99">_xlfn.SWITCH($A$2,"average", AVERAGE(Instances!H99:Instances!H99),"median", MEDIAN(Instances!H99:Instances!H99),"min", MIN(Instances!H99:Instances!H99),"max", MAX(Instances!H99:Instances!H99),"diff", MAX(Instances!H99:Instances!H99)-MIN(Instances!H99:Instances!H99))</f>
        <v>0</v>
      </c>
      <c r="I99" s="1" cm="1">
        <f t="array" ref="I99">_xlfn.SWITCH($A$2,"average", AVERAGE(Instances!I99:Instances!I99),"median", MEDIAN(Instances!I99:Instances!I99),"min", MIN(Instances!I99:Instances!I99),"max", MAX(Instances!I99:Instances!I99),"diff", MAX(Instances!I99:Instances!I99)-MIN(Instances!I99:Instances!I99))</f>
        <v>0</v>
      </c>
      <c r="J99" s="1" cm="1">
        <f t="array" ref="J99">_xlfn.SWITCH($A$2,"average", AVERAGE(Instances!J99:Instances!J99),"median", MEDIAN(Instances!J99:Instances!J99),"min", MIN(Instances!J99:Instances!J99),"max", MAX(Instances!J99:Instances!J99),"diff", MAX(Instances!J99:Instances!J99)-MIN(Instances!J99:Instances!J99))</f>
        <v>0</v>
      </c>
      <c r="K99" s="1" cm="1">
        <f t="array" ref="K99">_xlfn.SWITCH($A$2,"average", AVERAGE(Instances!K99:Instances!K99),"median", MEDIAN(Instances!K99:Instances!K99),"min", MIN(Instances!K99:Instances!K99),"max", MAX(Instances!K99:Instances!K99),"diff", MAX(Instances!K99:Instances!K99)-MIN(Instances!K99:Instances!K99))</f>
        <v>0</v>
      </c>
      <c r="L99" s="1"/>
      <c r="M99" s="1" cm="1">
        <f t="array" ref="M99">_xlfn.SWITCH($A$2,"average", AVERAGE(Instances!M99:Instances!M99),"median", MEDIAN(Instances!M99:Instances!M99),"min", MIN(Instances!M99:Instances!M99),"max", MAX(Instances!M99:Instances!M99),"diff", MAX(Instances!M99:Instances!M99)-MIN(Instances!M99:Instances!M99))</f>
        <v>0</v>
      </c>
      <c r="N99" s="1" cm="1">
        <f t="array" ref="N99">_xlfn.SWITCH($A$2,"average", AVERAGE(Instances!N99:Instances!N99),"median", MEDIAN(Instances!N99:Instances!N99),"min", MIN(Instances!N99:Instances!N99),"max", MAX(Instances!N99:Instances!N99),"diff", MAX(Instances!N99:Instances!N99)-MIN(Instances!N99:Instances!N99))</f>
        <v>0</v>
      </c>
      <c r="O99" s="1"/>
      <c r="P99" s="1" cm="1">
        <f t="array" ref="P99">_xlfn.SWITCH($A$2,"average", AVERAGE(Instances!P99:Instances!P99),"median", MEDIAN(Instances!P99:Instances!P99),"min", MIN(Instances!P99:Instances!P99),"max", MAX(Instances!P99:Instances!P99),"diff", MAX(Instances!P99:Instances!P99)-MIN(Instances!P99:Instances!P99))</f>
        <v>0</v>
      </c>
      <c r="Q99" s="1" cm="1">
        <f t="array" ref="Q99">_xlfn.SWITCH($A$2,"average", AVERAGE(Instances!Q99:Instances!Q99),"median", MEDIAN(Instances!Q99:Instances!Q99),"min", MIN(Instances!Q99:Instances!Q99),"max", MAX(Instances!Q99:Instances!Q99),"diff", MAX(Instances!Q99:Instances!Q99)-MIN(Instances!Q99:Instances!Q99))</f>
        <v>0</v>
      </c>
      <c r="R99" s="1" cm="1">
        <f t="array" ref="R99">_xlfn.SWITCH($A$2,"average", AVERAGE(Instances!R99:Instances!R99),"median", MEDIAN(Instances!R99:Instances!R99),"min", MIN(Instances!R99:Instances!R99),"max", MAX(Instances!R99:Instances!R99),"diff", MAX(Instances!R99:Instances!R99)-MIN(Instances!R99:Instances!R99))</f>
        <v>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 cm="1">
        <f t="array" ref="B100">_xlfn.SWITCH($A$2,"average", AVERAGE(Instances!B100:Instances!B100),"median", MEDIAN(Instances!B100:Instances!B100),"min", MIN(Instances!B100:Instances!B100),"max", MAX(Instances!B100:Instances!B100),"diff", MAX(Instances!B100:Instances!B100)-MIN(Instances!B100:Instances!B100))</f>
        <v>0</v>
      </c>
      <c r="C100" s="1" cm="1">
        <f t="array" ref="C100">_xlfn.SWITCH($A$2,"average", AVERAGE(Instances!C100:Instances!C100),"median", MEDIAN(Instances!C100:Instances!C100),"min", MIN(Instances!C100:Instances!C100),"max", MAX(Instances!C100:Instances!C100),"diff", MAX(Instances!C100:Instances!C100)-MIN(Instances!C100:Instances!C100))</f>
        <v>0</v>
      </c>
      <c r="D100" s="1" cm="1">
        <f t="array" ref="D100">_xlfn.SWITCH($A$2,"average", AVERAGE(Instances!D100:Instances!D100),"median", MEDIAN(Instances!D100:Instances!D100),"min", MIN(Instances!D100:Instances!D100),"max", MAX(Instances!D100:Instances!D100),"diff", MAX(Instances!D100:Instances!D100)-MIN(Instances!D100:Instances!D100))</f>
        <v>0</v>
      </c>
      <c r="E100" s="1" cm="1">
        <f t="array" ref="E100">_xlfn.SWITCH($A$2,"average", AVERAGE(Instances!E100:Instances!E100),"median", MEDIAN(Instances!E100:Instances!E100),"min", MIN(Instances!E100:Instances!E100),"max", MAX(Instances!E100:Instances!E100),"diff", MAX(Instances!E100:Instances!E100)-MIN(Instances!E100:Instances!E100))</f>
        <v>0</v>
      </c>
      <c r="F100" s="1" cm="1">
        <f t="array" ref="F100">_xlfn.SWITCH($A$2,"average", AVERAGE(Instances!F100:Instances!F100),"median", MEDIAN(Instances!F100:Instances!F100),"min", MIN(Instances!F100:Instances!F100),"max", MAX(Instances!F100:Instances!F100),"diff", MAX(Instances!F100:Instances!F100)-MIN(Instances!F100:Instances!F100))</f>
        <v>0</v>
      </c>
      <c r="G100" s="1" cm="1">
        <f t="array" ref="G100">_xlfn.SWITCH($A$2,"average", AVERAGE(Instances!G100:Instances!G100),"median", MEDIAN(Instances!G100:Instances!G100),"min", MIN(Instances!G100:Instances!G100),"max", MAX(Instances!G100:Instances!G100),"diff", MAX(Instances!G100:Instances!G100)-MIN(Instances!G100:Instances!G100))</f>
        <v>0</v>
      </c>
      <c r="H100" s="1" cm="1">
        <f t="array" ref="H100">_xlfn.SWITCH($A$2,"average", AVERAGE(Instances!H100:Instances!H100),"median", MEDIAN(Instances!H100:Instances!H100),"min", MIN(Instances!H100:Instances!H100),"max", MAX(Instances!H100:Instances!H100),"diff", MAX(Instances!H100:Instances!H100)-MIN(Instances!H100:Instances!H100))</f>
        <v>0</v>
      </c>
      <c r="I100" s="1" cm="1">
        <f t="array" ref="I100">_xlfn.SWITCH($A$2,"average", AVERAGE(Instances!I100:Instances!I100),"median", MEDIAN(Instances!I100:Instances!I100),"min", MIN(Instances!I100:Instances!I100),"max", MAX(Instances!I100:Instances!I100),"diff", MAX(Instances!I100:Instances!I100)-MIN(Instances!I100:Instances!I100))</f>
        <v>0</v>
      </c>
      <c r="J100" s="1" cm="1">
        <f t="array" ref="J100">_xlfn.SWITCH($A$2,"average", AVERAGE(Instances!J100:Instances!J100),"median", MEDIAN(Instances!J100:Instances!J100),"min", MIN(Instances!J100:Instances!J100),"max", MAX(Instances!J100:Instances!J100),"diff", MAX(Instances!J100:Instances!J100)-MIN(Instances!J100:Instances!J100))</f>
        <v>0</v>
      </c>
      <c r="K100" s="1" cm="1">
        <f t="array" ref="K100">_xlfn.SWITCH($A$2,"average", AVERAGE(Instances!K100:Instances!K100),"median", MEDIAN(Instances!K100:Instances!K100),"min", MIN(Instances!K100:Instances!K100),"max", MAX(Instances!K100:Instances!K100),"diff", MAX(Instances!K100:Instances!K100)-MIN(Instances!K100:Instances!K100))</f>
        <v>0</v>
      </c>
      <c r="L100" s="1"/>
      <c r="M100" s="1" cm="1">
        <f t="array" ref="M100">_xlfn.SWITCH($A$2,"average", AVERAGE(Instances!M100:Instances!M100),"median", MEDIAN(Instances!M100:Instances!M100),"min", MIN(Instances!M100:Instances!M100),"max", MAX(Instances!M100:Instances!M100),"diff", MAX(Instances!M100:Instances!M100)-MIN(Instances!M100:Instances!M100))</f>
        <v>0</v>
      </c>
      <c r="N100" s="1" cm="1">
        <f t="array" ref="N100">_xlfn.SWITCH($A$2,"average", AVERAGE(Instances!N100:Instances!N100),"median", MEDIAN(Instances!N100:Instances!N100),"min", MIN(Instances!N100:Instances!N100),"max", MAX(Instances!N100:Instances!N100),"diff", MAX(Instances!N100:Instances!N100)-MIN(Instances!N100:Instances!N100))</f>
        <v>0</v>
      </c>
      <c r="O100" s="1"/>
      <c r="P100" s="1" cm="1">
        <f t="array" ref="P100">_xlfn.SWITCH($A$2,"average", AVERAGE(Instances!P100:Instances!P100),"median", MEDIAN(Instances!P100:Instances!P100),"min", MIN(Instances!P100:Instances!P100),"max", MAX(Instances!P100:Instances!P100),"diff", MAX(Instances!P100:Instances!P100)-MIN(Instances!P100:Instances!P100))</f>
        <v>0</v>
      </c>
      <c r="Q100" s="1" cm="1">
        <f t="array" ref="Q100">_xlfn.SWITCH($A$2,"average", AVERAGE(Instances!Q100:Instances!Q100),"median", MEDIAN(Instances!Q100:Instances!Q100),"min", MIN(Instances!Q100:Instances!Q100),"max", MAX(Instances!Q100:Instances!Q100),"diff", MAX(Instances!Q100:Instances!Q100)-MIN(Instances!Q100:Instances!Q100))</f>
        <v>0</v>
      </c>
      <c r="R100" s="1" cm="1">
        <f t="array" ref="R100">_xlfn.SWITCH($A$2,"average", AVERAGE(Instances!R100:Instances!R100),"median", MEDIAN(Instances!R100:Instances!R100),"min", MIN(Instances!R100:Instances!R100),"max", MAX(Instances!R100:Instances!R100),"diff", MAX(Instances!R100:Instances!R100)-MIN(Instances!R100:Instances!R100))</f>
        <v>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 cm="1">
        <f t="array" ref="B101">_xlfn.SWITCH($A$2,"average", AVERAGE(Instances!B101:Instances!B101),"median", MEDIAN(Instances!B101:Instances!B101),"min", MIN(Instances!B101:Instances!B101),"max", MAX(Instances!B101:Instances!B101),"diff", MAX(Instances!B101:Instances!B101)-MIN(Instances!B101:Instances!B101))</f>
        <v>0</v>
      </c>
      <c r="C101" s="1" cm="1">
        <f t="array" ref="C101">_xlfn.SWITCH($A$2,"average", AVERAGE(Instances!C101:Instances!C101),"median", MEDIAN(Instances!C101:Instances!C101),"min", MIN(Instances!C101:Instances!C101),"max", MAX(Instances!C101:Instances!C101),"diff", MAX(Instances!C101:Instances!C101)-MIN(Instances!C101:Instances!C101))</f>
        <v>0</v>
      </c>
      <c r="D101" s="1" cm="1">
        <f t="array" ref="D101">_xlfn.SWITCH($A$2,"average", AVERAGE(Instances!D101:Instances!D101),"median", MEDIAN(Instances!D101:Instances!D101),"min", MIN(Instances!D101:Instances!D101),"max", MAX(Instances!D101:Instances!D101),"diff", MAX(Instances!D101:Instances!D101)-MIN(Instances!D101:Instances!D101))</f>
        <v>0</v>
      </c>
      <c r="E101" s="1" cm="1">
        <f t="array" ref="E101">_xlfn.SWITCH($A$2,"average", AVERAGE(Instances!E101:Instances!E101),"median", MEDIAN(Instances!E101:Instances!E101),"min", MIN(Instances!E101:Instances!E101),"max", MAX(Instances!E101:Instances!E101),"diff", MAX(Instances!E101:Instances!E101)-MIN(Instances!E101:Instances!E101))</f>
        <v>0</v>
      </c>
      <c r="F101" s="1" cm="1">
        <f t="array" ref="F101">_xlfn.SWITCH($A$2,"average", AVERAGE(Instances!F101:Instances!F101),"median", MEDIAN(Instances!F101:Instances!F101),"min", MIN(Instances!F101:Instances!F101),"max", MAX(Instances!F101:Instances!F101),"diff", MAX(Instances!F101:Instances!F101)-MIN(Instances!F101:Instances!F101))</f>
        <v>0</v>
      </c>
      <c r="G101" s="1" cm="1">
        <f t="array" ref="G101">_xlfn.SWITCH($A$2,"average", AVERAGE(Instances!G101:Instances!G101),"median", MEDIAN(Instances!G101:Instances!G101),"min", MIN(Instances!G101:Instances!G101),"max", MAX(Instances!G101:Instances!G101),"diff", MAX(Instances!G101:Instances!G101)-MIN(Instances!G101:Instances!G101))</f>
        <v>0</v>
      </c>
      <c r="H101" s="1" cm="1">
        <f t="array" ref="H101">_xlfn.SWITCH($A$2,"average", AVERAGE(Instances!H101:Instances!H101),"median", MEDIAN(Instances!H101:Instances!H101),"min", MIN(Instances!H101:Instances!H101),"max", MAX(Instances!H101:Instances!H101),"diff", MAX(Instances!H101:Instances!H101)-MIN(Instances!H101:Instances!H101))</f>
        <v>0</v>
      </c>
      <c r="I101" s="1" cm="1">
        <f t="array" ref="I101">_xlfn.SWITCH($A$2,"average", AVERAGE(Instances!I101:Instances!I101),"median", MEDIAN(Instances!I101:Instances!I101),"min", MIN(Instances!I101:Instances!I101),"max", MAX(Instances!I101:Instances!I101),"diff", MAX(Instances!I101:Instances!I101)-MIN(Instances!I101:Instances!I101))</f>
        <v>0</v>
      </c>
      <c r="J101" s="1" cm="1">
        <f t="array" ref="J101">_xlfn.SWITCH($A$2,"average", AVERAGE(Instances!J101:Instances!J101),"median", MEDIAN(Instances!J101:Instances!J101),"min", MIN(Instances!J101:Instances!J101),"max", MAX(Instances!J101:Instances!J101),"diff", MAX(Instances!J101:Instances!J101)-MIN(Instances!J101:Instances!J101))</f>
        <v>0</v>
      </c>
      <c r="K101" s="1" cm="1">
        <f t="array" ref="K101">_xlfn.SWITCH($A$2,"average", AVERAGE(Instances!K101:Instances!K101),"median", MEDIAN(Instances!K101:Instances!K101),"min", MIN(Instances!K101:Instances!K101),"max", MAX(Instances!K101:Instances!K101),"diff", MAX(Instances!K101:Instances!K101)-MIN(Instances!K101:Instances!K101))</f>
        <v>0</v>
      </c>
      <c r="L101" s="1"/>
      <c r="M101" s="1" cm="1">
        <f t="array" ref="M101">_xlfn.SWITCH($A$2,"average", AVERAGE(Instances!M101:Instances!M101),"median", MEDIAN(Instances!M101:Instances!M101),"min", MIN(Instances!M101:Instances!M101),"max", MAX(Instances!M101:Instances!M101),"diff", MAX(Instances!M101:Instances!M101)-MIN(Instances!M101:Instances!M101))</f>
        <v>0</v>
      </c>
      <c r="N101" s="1" cm="1">
        <f t="array" ref="N101">_xlfn.SWITCH($A$2,"average", AVERAGE(Instances!N101:Instances!N101),"median", MEDIAN(Instances!N101:Instances!N101),"min", MIN(Instances!N101:Instances!N101),"max", MAX(Instances!N101:Instances!N101),"diff", MAX(Instances!N101:Instances!N101)-MIN(Instances!N101:Instances!N101))</f>
        <v>0</v>
      </c>
      <c r="O101" s="1"/>
      <c r="P101" s="1" cm="1">
        <f t="array" ref="P101">_xlfn.SWITCH($A$2,"average", AVERAGE(Instances!P101:Instances!P101),"median", MEDIAN(Instances!P101:Instances!P101),"min", MIN(Instances!P101:Instances!P101),"max", MAX(Instances!P101:Instances!P101),"diff", MAX(Instances!P101:Instances!P101)-MIN(Instances!P101:Instances!P101))</f>
        <v>0</v>
      </c>
      <c r="Q101" s="1" cm="1">
        <f t="array" ref="Q101">_xlfn.SWITCH($A$2,"average", AVERAGE(Instances!Q101:Instances!Q101),"median", MEDIAN(Instances!Q101:Instances!Q101),"min", MIN(Instances!Q101:Instances!Q101),"max", MAX(Instances!Q101:Instances!Q101),"diff", MAX(Instances!Q101:Instances!Q101)-MIN(Instances!Q101:Instances!Q101))</f>
        <v>0</v>
      </c>
      <c r="R101" s="1" cm="1">
        <f t="array" ref="R101">_xlfn.SWITCH($A$2,"average", AVERAGE(Instances!R101:Instances!R101),"median", MEDIAN(Instances!R101:Instances!R101),"min", MIN(Instances!R101:Instances!R101),"max", MAX(Instances!R101:Instances!R101),"diff", MAX(Instances!R101:Instances!R101)-MIN(Instances!R101:Instances!R101))</f>
        <v>0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 cm="1">
        <f t="array" ref="B102">_xlfn.SWITCH($A$2,"average", AVERAGE(Instances!B102:Instances!B102),"median", MEDIAN(Instances!B102:Instances!B102),"min", MIN(Instances!B102:Instances!B102),"max", MAX(Instances!B102:Instances!B102),"diff", MAX(Instances!B102:Instances!B102)-MIN(Instances!B102:Instances!B102))</f>
        <v>0</v>
      </c>
      <c r="C102" s="1" cm="1">
        <f t="array" ref="C102">_xlfn.SWITCH($A$2,"average", AVERAGE(Instances!C102:Instances!C102),"median", MEDIAN(Instances!C102:Instances!C102),"min", MIN(Instances!C102:Instances!C102),"max", MAX(Instances!C102:Instances!C102),"diff", MAX(Instances!C102:Instances!C102)-MIN(Instances!C102:Instances!C102))</f>
        <v>0</v>
      </c>
      <c r="D102" s="1" cm="1">
        <f t="array" ref="D102">_xlfn.SWITCH($A$2,"average", AVERAGE(Instances!D102:Instances!D102),"median", MEDIAN(Instances!D102:Instances!D102),"min", MIN(Instances!D102:Instances!D102),"max", MAX(Instances!D102:Instances!D102),"diff", MAX(Instances!D102:Instances!D102)-MIN(Instances!D102:Instances!D102))</f>
        <v>0</v>
      </c>
      <c r="E102" s="1" cm="1">
        <f t="array" ref="E102">_xlfn.SWITCH($A$2,"average", AVERAGE(Instances!E102:Instances!E102),"median", MEDIAN(Instances!E102:Instances!E102),"min", MIN(Instances!E102:Instances!E102),"max", MAX(Instances!E102:Instances!E102),"diff", MAX(Instances!E102:Instances!E102)-MIN(Instances!E102:Instances!E102))</f>
        <v>0</v>
      </c>
      <c r="F102" s="1" cm="1">
        <f t="array" ref="F102">_xlfn.SWITCH($A$2,"average", AVERAGE(Instances!F102:Instances!F102),"median", MEDIAN(Instances!F102:Instances!F102),"min", MIN(Instances!F102:Instances!F102),"max", MAX(Instances!F102:Instances!F102),"diff", MAX(Instances!F102:Instances!F102)-MIN(Instances!F102:Instances!F102))</f>
        <v>0</v>
      </c>
      <c r="G102" s="1" cm="1">
        <f t="array" ref="G102">_xlfn.SWITCH($A$2,"average", AVERAGE(Instances!G102:Instances!G102),"median", MEDIAN(Instances!G102:Instances!G102),"min", MIN(Instances!G102:Instances!G102),"max", MAX(Instances!G102:Instances!G102),"diff", MAX(Instances!G102:Instances!G102)-MIN(Instances!G102:Instances!G102))</f>
        <v>0</v>
      </c>
      <c r="H102" s="1" cm="1">
        <f t="array" ref="H102">_xlfn.SWITCH($A$2,"average", AVERAGE(Instances!H102:Instances!H102),"median", MEDIAN(Instances!H102:Instances!H102),"min", MIN(Instances!H102:Instances!H102),"max", MAX(Instances!H102:Instances!H102),"diff", MAX(Instances!H102:Instances!H102)-MIN(Instances!H102:Instances!H102))</f>
        <v>0</v>
      </c>
      <c r="I102" s="1" cm="1">
        <f t="array" ref="I102">_xlfn.SWITCH($A$2,"average", AVERAGE(Instances!I102:Instances!I102),"median", MEDIAN(Instances!I102:Instances!I102),"min", MIN(Instances!I102:Instances!I102),"max", MAX(Instances!I102:Instances!I102),"diff", MAX(Instances!I102:Instances!I102)-MIN(Instances!I102:Instances!I102))</f>
        <v>0</v>
      </c>
      <c r="J102" s="1" cm="1">
        <f t="array" ref="J102">_xlfn.SWITCH($A$2,"average", AVERAGE(Instances!J102:Instances!J102),"median", MEDIAN(Instances!J102:Instances!J102),"min", MIN(Instances!J102:Instances!J102),"max", MAX(Instances!J102:Instances!J102),"diff", MAX(Instances!J102:Instances!J102)-MIN(Instances!J102:Instances!J102))</f>
        <v>0</v>
      </c>
      <c r="K102" s="1" cm="1">
        <f t="array" ref="K102">_xlfn.SWITCH($A$2,"average", AVERAGE(Instances!K102:Instances!K102),"median", MEDIAN(Instances!K102:Instances!K102),"min", MIN(Instances!K102:Instances!K102),"max", MAX(Instances!K102:Instances!K102),"diff", MAX(Instances!K102:Instances!K102)-MIN(Instances!K102:Instances!K102))</f>
        <v>0</v>
      </c>
      <c r="L102" s="1"/>
      <c r="M102" s="1" cm="1">
        <f t="array" ref="M102">_xlfn.SWITCH($A$2,"average", AVERAGE(Instances!M102:Instances!M102),"median", MEDIAN(Instances!M102:Instances!M102),"min", MIN(Instances!M102:Instances!M102),"max", MAX(Instances!M102:Instances!M102),"diff", MAX(Instances!M102:Instances!M102)-MIN(Instances!M102:Instances!M102))</f>
        <v>0</v>
      </c>
      <c r="N102" s="1" cm="1">
        <f t="array" ref="N102">_xlfn.SWITCH($A$2,"average", AVERAGE(Instances!N102:Instances!N102),"median", MEDIAN(Instances!N102:Instances!N102),"min", MIN(Instances!N102:Instances!N102),"max", MAX(Instances!N102:Instances!N102),"diff", MAX(Instances!N102:Instances!N102)-MIN(Instances!N102:Instances!N102))</f>
        <v>0</v>
      </c>
      <c r="O102" s="1"/>
      <c r="P102" s="1" cm="1">
        <f t="array" ref="P102">_xlfn.SWITCH($A$2,"average", AVERAGE(Instances!P102:Instances!P102),"median", MEDIAN(Instances!P102:Instances!P102),"min", MIN(Instances!P102:Instances!P102),"max", MAX(Instances!P102:Instances!P102),"diff", MAX(Instances!P102:Instances!P102)-MIN(Instances!P102:Instances!P102))</f>
        <v>0</v>
      </c>
      <c r="Q102" s="1" cm="1">
        <f t="array" ref="Q102">_xlfn.SWITCH($A$2,"average", AVERAGE(Instances!Q102:Instances!Q102),"median", MEDIAN(Instances!Q102:Instances!Q102),"min", MIN(Instances!Q102:Instances!Q102),"max", MAX(Instances!Q102:Instances!Q102),"diff", MAX(Instances!Q102:Instances!Q102)-MIN(Instances!Q102:Instances!Q102))</f>
        <v>0</v>
      </c>
      <c r="R102" s="1" cm="1">
        <f t="array" ref="R102">_xlfn.SWITCH($A$2,"average", AVERAGE(Instances!R102:Instances!R102),"median", MEDIAN(Instances!R102:Instances!R102),"min", MIN(Instances!R102:Instances!R102),"max", MAX(Instances!R102:Instances!R102),"diff", MAX(Instances!R102:Instances!R102)-MIN(Instances!R102:Instances!R102))</f>
        <v>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 cm="1">
        <f t="array" ref="B103">_xlfn.SWITCH($A$2,"average", AVERAGE(Instances!B103:Instances!B103),"median", MEDIAN(Instances!B103:Instances!B103),"min", MIN(Instances!B103:Instances!B103),"max", MAX(Instances!B103:Instances!B103),"diff", MAX(Instances!B103:Instances!B103)-MIN(Instances!B103:Instances!B103))</f>
        <v>0</v>
      </c>
      <c r="C103" s="1" cm="1">
        <f t="array" ref="C103">_xlfn.SWITCH($A$2,"average", AVERAGE(Instances!C103:Instances!C103),"median", MEDIAN(Instances!C103:Instances!C103),"min", MIN(Instances!C103:Instances!C103),"max", MAX(Instances!C103:Instances!C103),"diff", MAX(Instances!C103:Instances!C103)-MIN(Instances!C103:Instances!C103))</f>
        <v>0</v>
      </c>
      <c r="D103" s="1" cm="1">
        <f t="array" ref="D103">_xlfn.SWITCH($A$2,"average", AVERAGE(Instances!D103:Instances!D103),"median", MEDIAN(Instances!D103:Instances!D103),"min", MIN(Instances!D103:Instances!D103),"max", MAX(Instances!D103:Instances!D103),"diff", MAX(Instances!D103:Instances!D103)-MIN(Instances!D103:Instances!D103))</f>
        <v>0</v>
      </c>
      <c r="E103" s="1" cm="1">
        <f t="array" ref="E103">_xlfn.SWITCH($A$2,"average", AVERAGE(Instances!E103:Instances!E103),"median", MEDIAN(Instances!E103:Instances!E103),"min", MIN(Instances!E103:Instances!E103),"max", MAX(Instances!E103:Instances!E103),"diff", MAX(Instances!E103:Instances!E103)-MIN(Instances!E103:Instances!E103))</f>
        <v>0</v>
      </c>
      <c r="F103" s="1" cm="1">
        <f t="array" ref="F103">_xlfn.SWITCH($A$2,"average", AVERAGE(Instances!F103:Instances!F103),"median", MEDIAN(Instances!F103:Instances!F103),"min", MIN(Instances!F103:Instances!F103),"max", MAX(Instances!F103:Instances!F103),"diff", MAX(Instances!F103:Instances!F103)-MIN(Instances!F103:Instances!F103))</f>
        <v>0</v>
      </c>
      <c r="G103" s="1" cm="1">
        <f t="array" ref="G103">_xlfn.SWITCH($A$2,"average", AVERAGE(Instances!G103:Instances!G103),"median", MEDIAN(Instances!G103:Instances!G103),"min", MIN(Instances!G103:Instances!G103),"max", MAX(Instances!G103:Instances!G103),"diff", MAX(Instances!G103:Instances!G103)-MIN(Instances!G103:Instances!G103))</f>
        <v>0</v>
      </c>
      <c r="H103" s="1" cm="1">
        <f t="array" ref="H103">_xlfn.SWITCH($A$2,"average", AVERAGE(Instances!H103:Instances!H103),"median", MEDIAN(Instances!H103:Instances!H103),"min", MIN(Instances!H103:Instances!H103),"max", MAX(Instances!H103:Instances!H103),"diff", MAX(Instances!H103:Instances!H103)-MIN(Instances!H103:Instances!H103))</f>
        <v>0</v>
      </c>
      <c r="I103" s="1" cm="1">
        <f t="array" ref="I103">_xlfn.SWITCH($A$2,"average", AVERAGE(Instances!I103:Instances!I103),"median", MEDIAN(Instances!I103:Instances!I103),"min", MIN(Instances!I103:Instances!I103),"max", MAX(Instances!I103:Instances!I103),"diff", MAX(Instances!I103:Instances!I103)-MIN(Instances!I103:Instances!I103))</f>
        <v>0</v>
      </c>
      <c r="J103" s="1" cm="1">
        <f t="array" ref="J103">_xlfn.SWITCH($A$2,"average", AVERAGE(Instances!J103:Instances!J103),"median", MEDIAN(Instances!J103:Instances!J103),"min", MIN(Instances!J103:Instances!J103),"max", MAX(Instances!J103:Instances!J103),"diff", MAX(Instances!J103:Instances!J103)-MIN(Instances!J103:Instances!J103))</f>
        <v>0</v>
      </c>
      <c r="K103" s="1" cm="1">
        <f t="array" ref="K103">_xlfn.SWITCH($A$2,"average", AVERAGE(Instances!K103:Instances!K103),"median", MEDIAN(Instances!K103:Instances!K103),"min", MIN(Instances!K103:Instances!K103),"max", MAX(Instances!K103:Instances!K103),"diff", MAX(Instances!K103:Instances!K103)-MIN(Instances!K103:Instances!K103))</f>
        <v>0</v>
      </c>
      <c r="L103" s="1"/>
      <c r="M103" s="1" cm="1">
        <f t="array" ref="M103">_xlfn.SWITCH($A$2,"average", AVERAGE(Instances!M103:Instances!M103),"median", MEDIAN(Instances!M103:Instances!M103),"min", MIN(Instances!M103:Instances!M103),"max", MAX(Instances!M103:Instances!M103),"diff", MAX(Instances!M103:Instances!M103)-MIN(Instances!M103:Instances!M103))</f>
        <v>0</v>
      </c>
      <c r="N103" s="1" cm="1">
        <f t="array" ref="N103">_xlfn.SWITCH($A$2,"average", AVERAGE(Instances!N103:Instances!N103),"median", MEDIAN(Instances!N103:Instances!N103),"min", MIN(Instances!N103:Instances!N103),"max", MAX(Instances!N103:Instances!N103),"diff", MAX(Instances!N103:Instances!N103)-MIN(Instances!N103:Instances!N103))</f>
        <v>0</v>
      </c>
      <c r="O103" s="1"/>
      <c r="P103" s="1" cm="1">
        <f t="array" ref="P103">_xlfn.SWITCH($A$2,"average", AVERAGE(Instances!P103:Instances!P103),"median", MEDIAN(Instances!P103:Instances!P103),"min", MIN(Instances!P103:Instances!P103),"max", MAX(Instances!P103:Instances!P103),"diff", MAX(Instances!P103:Instances!P103)-MIN(Instances!P103:Instances!P103))</f>
        <v>0</v>
      </c>
      <c r="Q103" s="1" cm="1">
        <f t="array" ref="Q103">_xlfn.SWITCH($A$2,"average", AVERAGE(Instances!Q103:Instances!Q103),"median", MEDIAN(Instances!Q103:Instances!Q103),"min", MIN(Instances!Q103:Instances!Q103),"max", MAX(Instances!Q103:Instances!Q103),"diff", MAX(Instances!Q103:Instances!Q103)-MIN(Instances!Q103:Instances!Q103))</f>
        <v>0</v>
      </c>
      <c r="R103" s="1" cm="1">
        <f t="array" ref="R103">_xlfn.SWITCH($A$2,"average", AVERAGE(Instances!R103:Instances!R103),"median", MEDIAN(Instances!R103:Instances!R103),"min", MIN(Instances!R103:Instances!R103),"max", MAX(Instances!R103:Instances!R103),"diff", MAX(Instances!R103:Instances!R103)-MIN(Instances!R103:Instances!R103))</f>
        <v>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 cm="1">
        <f t="array" ref="B104">_xlfn.SWITCH($A$2,"average", AVERAGE(Instances!B104:Instances!B104),"median", MEDIAN(Instances!B104:Instances!B104),"min", MIN(Instances!B104:Instances!B104),"max", MAX(Instances!B104:Instances!B104),"diff", MAX(Instances!B104:Instances!B104)-MIN(Instances!B104:Instances!B104))</f>
        <v>0</v>
      </c>
      <c r="C104" s="1" cm="1">
        <f t="array" ref="C104">_xlfn.SWITCH($A$2,"average", AVERAGE(Instances!C104:Instances!C104),"median", MEDIAN(Instances!C104:Instances!C104),"min", MIN(Instances!C104:Instances!C104),"max", MAX(Instances!C104:Instances!C104),"diff", MAX(Instances!C104:Instances!C104)-MIN(Instances!C104:Instances!C104))</f>
        <v>0</v>
      </c>
      <c r="D104" s="1" cm="1">
        <f t="array" ref="D104">_xlfn.SWITCH($A$2,"average", AVERAGE(Instances!D104:Instances!D104),"median", MEDIAN(Instances!D104:Instances!D104),"min", MIN(Instances!D104:Instances!D104),"max", MAX(Instances!D104:Instances!D104),"diff", MAX(Instances!D104:Instances!D104)-MIN(Instances!D104:Instances!D104))</f>
        <v>0</v>
      </c>
      <c r="E104" s="1" cm="1">
        <f t="array" ref="E104">_xlfn.SWITCH($A$2,"average", AVERAGE(Instances!E104:Instances!E104),"median", MEDIAN(Instances!E104:Instances!E104),"min", MIN(Instances!E104:Instances!E104),"max", MAX(Instances!E104:Instances!E104),"diff", MAX(Instances!E104:Instances!E104)-MIN(Instances!E104:Instances!E104))</f>
        <v>0</v>
      </c>
      <c r="F104" s="1" cm="1">
        <f t="array" ref="F104">_xlfn.SWITCH($A$2,"average", AVERAGE(Instances!F104:Instances!F104),"median", MEDIAN(Instances!F104:Instances!F104),"min", MIN(Instances!F104:Instances!F104),"max", MAX(Instances!F104:Instances!F104),"diff", MAX(Instances!F104:Instances!F104)-MIN(Instances!F104:Instances!F104))</f>
        <v>0</v>
      </c>
      <c r="G104" s="1" cm="1">
        <f t="array" ref="G104">_xlfn.SWITCH($A$2,"average", AVERAGE(Instances!G104:Instances!G104),"median", MEDIAN(Instances!G104:Instances!G104),"min", MIN(Instances!G104:Instances!G104),"max", MAX(Instances!G104:Instances!G104),"diff", MAX(Instances!G104:Instances!G104)-MIN(Instances!G104:Instances!G104))</f>
        <v>0</v>
      </c>
      <c r="H104" s="1" cm="1">
        <f t="array" ref="H104">_xlfn.SWITCH($A$2,"average", AVERAGE(Instances!H104:Instances!H104),"median", MEDIAN(Instances!H104:Instances!H104),"min", MIN(Instances!H104:Instances!H104),"max", MAX(Instances!H104:Instances!H104),"diff", MAX(Instances!H104:Instances!H104)-MIN(Instances!H104:Instances!H104))</f>
        <v>0</v>
      </c>
      <c r="I104" s="1" cm="1">
        <f t="array" ref="I104">_xlfn.SWITCH($A$2,"average", AVERAGE(Instances!I104:Instances!I104),"median", MEDIAN(Instances!I104:Instances!I104),"min", MIN(Instances!I104:Instances!I104),"max", MAX(Instances!I104:Instances!I104),"diff", MAX(Instances!I104:Instances!I104)-MIN(Instances!I104:Instances!I104))</f>
        <v>0</v>
      </c>
      <c r="J104" s="1" cm="1">
        <f t="array" ref="J104">_xlfn.SWITCH($A$2,"average", AVERAGE(Instances!J104:Instances!J104),"median", MEDIAN(Instances!J104:Instances!J104),"min", MIN(Instances!J104:Instances!J104),"max", MAX(Instances!J104:Instances!J104),"diff", MAX(Instances!J104:Instances!J104)-MIN(Instances!J104:Instances!J104))</f>
        <v>0</v>
      </c>
      <c r="K104" s="1" cm="1">
        <f t="array" ref="K104">_xlfn.SWITCH($A$2,"average", AVERAGE(Instances!K104:Instances!K104),"median", MEDIAN(Instances!K104:Instances!K104),"min", MIN(Instances!K104:Instances!K104),"max", MAX(Instances!K104:Instances!K104),"diff", MAX(Instances!K104:Instances!K104)-MIN(Instances!K104:Instances!K104))</f>
        <v>0</v>
      </c>
      <c r="L104" s="1"/>
      <c r="M104" s="1" cm="1">
        <f t="array" ref="M104">_xlfn.SWITCH($A$2,"average", AVERAGE(Instances!M104:Instances!M104),"median", MEDIAN(Instances!M104:Instances!M104),"min", MIN(Instances!M104:Instances!M104),"max", MAX(Instances!M104:Instances!M104),"diff", MAX(Instances!M104:Instances!M104)-MIN(Instances!M104:Instances!M104))</f>
        <v>0</v>
      </c>
      <c r="N104" s="1" cm="1">
        <f t="array" ref="N104">_xlfn.SWITCH($A$2,"average", AVERAGE(Instances!N104:Instances!N104),"median", MEDIAN(Instances!N104:Instances!N104),"min", MIN(Instances!N104:Instances!N104),"max", MAX(Instances!N104:Instances!N104),"diff", MAX(Instances!N104:Instances!N104)-MIN(Instances!N104:Instances!N104))</f>
        <v>0</v>
      </c>
      <c r="O104" s="1"/>
      <c r="P104" s="1" cm="1">
        <f t="array" ref="P104">_xlfn.SWITCH($A$2,"average", AVERAGE(Instances!P104:Instances!P104),"median", MEDIAN(Instances!P104:Instances!P104),"min", MIN(Instances!P104:Instances!P104),"max", MAX(Instances!P104:Instances!P104),"diff", MAX(Instances!P104:Instances!P104)-MIN(Instances!P104:Instances!P104))</f>
        <v>0</v>
      </c>
      <c r="Q104" s="1" cm="1">
        <f t="array" ref="Q104">_xlfn.SWITCH($A$2,"average", AVERAGE(Instances!Q104:Instances!Q104),"median", MEDIAN(Instances!Q104:Instances!Q104),"min", MIN(Instances!Q104:Instances!Q104),"max", MAX(Instances!Q104:Instances!Q104),"diff", MAX(Instances!Q104:Instances!Q104)-MIN(Instances!Q104:Instances!Q104))</f>
        <v>0</v>
      </c>
      <c r="R104" s="1" cm="1">
        <f t="array" ref="R104">_xlfn.SWITCH($A$2,"average", AVERAGE(Instances!R104:Instances!R104),"median", MEDIAN(Instances!R104:Instances!R104),"min", MIN(Instances!R104:Instances!R104),"max", MAX(Instances!R104:Instances!R104),"diff", MAX(Instances!R104:Instances!R104)-MIN(Instances!R104:Instances!R104))</f>
        <v>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 cm="1">
        <f t="array" ref="B105">_xlfn.SWITCH($A$2,"average", AVERAGE(Instances!B105:Instances!B105),"median", MEDIAN(Instances!B105:Instances!B105),"min", MIN(Instances!B105:Instances!B105),"max", MAX(Instances!B105:Instances!B105),"diff", MAX(Instances!B105:Instances!B105)-MIN(Instances!B105:Instances!B105))</f>
        <v>0</v>
      </c>
      <c r="C105" s="1" cm="1">
        <f t="array" ref="C105">_xlfn.SWITCH($A$2,"average", AVERAGE(Instances!C105:Instances!C105),"median", MEDIAN(Instances!C105:Instances!C105),"min", MIN(Instances!C105:Instances!C105),"max", MAX(Instances!C105:Instances!C105),"diff", MAX(Instances!C105:Instances!C105)-MIN(Instances!C105:Instances!C105))</f>
        <v>0</v>
      </c>
      <c r="D105" s="1" cm="1">
        <f t="array" ref="D105">_xlfn.SWITCH($A$2,"average", AVERAGE(Instances!D105:Instances!D105),"median", MEDIAN(Instances!D105:Instances!D105),"min", MIN(Instances!D105:Instances!D105),"max", MAX(Instances!D105:Instances!D105),"diff", MAX(Instances!D105:Instances!D105)-MIN(Instances!D105:Instances!D105))</f>
        <v>0</v>
      </c>
      <c r="E105" s="1" cm="1">
        <f t="array" ref="E105">_xlfn.SWITCH($A$2,"average", AVERAGE(Instances!E105:Instances!E105),"median", MEDIAN(Instances!E105:Instances!E105),"min", MIN(Instances!E105:Instances!E105),"max", MAX(Instances!E105:Instances!E105),"diff", MAX(Instances!E105:Instances!E105)-MIN(Instances!E105:Instances!E105))</f>
        <v>0</v>
      </c>
      <c r="F105" s="1" cm="1">
        <f t="array" ref="F105">_xlfn.SWITCH($A$2,"average", AVERAGE(Instances!F105:Instances!F105),"median", MEDIAN(Instances!F105:Instances!F105),"min", MIN(Instances!F105:Instances!F105),"max", MAX(Instances!F105:Instances!F105),"diff", MAX(Instances!F105:Instances!F105)-MIN(Instances!F105:Instances!F105))</f>
        <v>0</v>
      </c>
      <c r="G105" s="1" cm="1">
        <f t="array" ref="G105">_xlfn.SWITCH($A$2,"average", AVERAGE(Instances!G105:Instances!G105),"median", MEDIAN(Instances!G105:Instances!G105),"min", MIN(Instances!G105:Instances!G105),"max", MAX(Instances!G105:Instances!G105),"diff", MAX(Instances!G105:Instances!G105)-MIN(Instances!G105:Instances!G105))</f>
        <v>0</v>
      </c>
      <c r="H105" s="1" cm="1">
        <f t="array" ref="H105">_xlfn.SWITCH($A$2,"average", AVERAGE(Instances!H105:Instances!H105),"median", MEDIAN(Instances!H105:Instances!H105),"min", MIN(Instances!H105:Instances!H105),"max", MAX(Instances!H105:Instances!H105),"diff", MAX(Instances!H105:Instances!H105)-MIN(Instances!H105:Instances!H105))</f>
        <v>0</v>
      </c>
      <c r="I105" s="1" cm="1">
        <f t="array" ref="I105">_xlfn.SWITCH($A$2,"average", AVERAGE(Instances!I105:Instances!I105),"median", MEDIAN(Instances!I105:Instances!I105),"min", MIN(Instances!I105:Instances!I105),"max", MAX(Instances!I105:Instances!I105),"diff", MAX(Instances!I105:Instances!I105)-MIN(Instances!I105:Instances!I105))</f>
        <v>0</v>
      </c>
      <c r="J105" s="1" cm="1">
        <f t="array" ref="J105">_xlfn.SWITCH($A$2,"average", AVERAGE(Instances!J105:Instances!J105),"median", MEDIAN(Instances!J105:Instances!J105),"min", MIN(Instances!J105:Instances!J105),"max", MAX(Instances!J105:Instances!J105),"diff", MAX(Instances!J105:Instances!J105)-MIN(Instances!J105:Instances!J105))</f>
        <v>0</v>
      </c>
      <c r="K105" s="1" cm="1">
        <f t="array" ref="K105">_xlfn.SWITCH($A$2,"average", AVERAGE(Instances!K105:Instances!K105),"median", MEDIAN(Instances!K105:Instances!K105),"min", MIN(Instances!K105:Instances!K105),"max", MAX(Instances!K105:Instances!K105),"diff", MAX(Instances!K105:Instances!K105)-MIN(Instances!K105:Instances!K105))</f>
        <v>0</v>
      </c>
      <c r="L105" s="1"/>
      <c r="M105" s="1" cm="1">
        <f t="array" ref="M105">_xlfn.SWITCH($A$2,"average", AVERAGE(Instances!M105:Instances!M105),"median", MEDIAN(Instances!M105:Instances!M105),"min", MIN(Instances!M105:Instances!M105),"max", MAX(Instances!M105:Instances!M105),"diff", MAX(Instances!M105:Instances!M105)-MIN(Instances!M105:Instances!M105))</f>
        <v>0</v>
      </c>
      <c r="N105" s="1" cm="1">
        <f t="array" ref="N105">_xlfn.SWITCH($A$2,"average", AVERAGE(Instances!N105:Instances!N105),"median", MEDIAN(Instances!N105:Instances!N105),"min", MIN(Instances!N105:Instances!N105),"max", MAX(Instances!N105:Instances!N105),"diff", MAX(Instances!N105:Instances!N105)-MIN(Instances!N105:Instances!N105))</f>
        <v>0</v>
      </c>
      <c r="O105" s="1"/>
      <c r="P105" s="1" cm="1">
        <f t="array" ref="P105">_xlfn.SWITCH($A$2,"average", AVERAGE(Instances!P105:Instances!P105),"median", MEDIAN(Instances!P105:Instances!P105),"min", MIN(Instances!P105:Instances!P105),"max", MAX(Instances!P105:Instances!P105),"diff", MAX(Instances!P105:Instances!P105)-MIN(Instances!P105:Instances!P105))</f>
        <v>0</v>
      </c>
      <c r="Q105" s="1" cm="1">
        <f t="array" ref="Q105">_xlfn.SWITCH($A$2,"average", AVERAGE(Instances!Q105:Instances!Q105),"median", MEDIAN(Instances!Q105:Instances!Q105),"min", MIN(Instances!Q105:Instances!Q105),"max", MAX(Instances!Q105:Instances!Q105),"diff", MAX(Instances!Q105:Instances!Q105)-MIN(Instances!Q105:Instances!Q105))</f>
        <v>0</v>
      </c>
      <c r="R105" s="1" cm="1">
        <f t="array" ref="R105">_xlfn.SWITCH($A$2,"average", AVERAGE(Instances!R105:Instances!R105),"median", MEDIAN(Instances!R105:Instances!R105),"min", MIN(Instances!R105:Instances!R105),"max", MAX(Instances!R105:Instances!R105),"diff", MAX(Instances!R105:Instances!R105)-MIN(Instances!R105:Instances!R105))</f>
        <v>0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 cm="1">
        <f t="array" ref="B106">_xlfn.SWITCH($A$2,"average", AVERAGE(Instances!B106:Instances!B106),"median", MEDIAN(Instances!B106:Instances!B106),"min", MIN(Instances!B106:Instances!B106),"max", MAX(Instances!B106:Instances!B106),"diff", MAX(Instances!B106:Instances!B106)-MIN(Instances!B106:Instances!B106))</f>
        <v>0</v>
      </c>
      <c r="C106" s="1" cm="1">
        <f t="array" ref="C106">_xlfn.SWITCH($A$2,"average", AVERAGE(Instances!C106:Instances!C106),"median", MEDIAN(Instances!C106:Instances!C106),"min", MIN(Instances!C106:Instances!C106),"max", MAX(Instances!C106:Instances!C106),"diff", MAX(Instances!C106:Instances!C106)-MIN(Instances!C106:Instances!C106))</f>
        <v>0</v>
      </c>
      <c r="D106" s="1" cm="1">
        <f t="array" ref="D106">_xlfn.SWITCH($A$2,"average", AVERAGE(Instances!D106:Instances!D106),"median", MEDIAN(Instances!D106:Instances!D106),"min", MIN(Instances!D106:Instances!D106),"max", MAX(Instances!D106:Instances!D106),"diff", MAX(Instances!D106:Instances!D106)-MIN(Instances!D106:Instances!D106))</f>
        <v>0</v>
      </c>
      <c r="E106" s="1" cm="1">
        <f t="array" ref="E106">_xlfn.SWITCH($A$2,"average", AVERAGE(Instances!E106:Instances!E106),"median", MEDIAN(Instances!E106:Instances!E106),"min", MIN(Instances!E106:Instances!E106),"max", MAX(Instances!E106:Instances!E106),"diff", MAX(Instances!E106:Instances!E106)-MIN(Instances!E106:Instances!E106))</f>
        <v>0</v>
      </c>
      <c r="F106" s="1" cm="1">
        <f t="array" ref="F106">_xlfn.SWITCH($A$2,"average", AVERAGE(Instances!F106:Instances!F106),"median", MEDIAN(Instances!F106:Instances!F106),"min", MIN(Instances!F106:Instances!F106),"max", MAX(Instances!F106:Instances!F106),"diff", MAX(Instances!F106:Instances!F106)-MIN(Instances!F106:Instances!F106))</f>
        <v>0</v>
      </c>
      <c r="G106" s="1" cm="1">
        <f t="array" ref="G106">_xlfn.SWITCH($A$2,"average", AVERAGE(Instances!G106:Instances!G106),"median", MEDIAN(Instances!G106:Instances!G106),"min", MIN(Instances!G106:Instances!G106),"max", MAX(Instances!G106:Instances!G106),"diff", MAX(Instances!G106:Instances!G106)-MIN(Instances!G106:Instances!G106))</f>
        <v>0</v>
      </c>
      <c r="H106" s="1" cm="1">
        <f t="array" ref="H106">_xlfn.SWITCH($A$2,"average", AVERAGE(Instances!H106:Instances!H106),"median", MEDIAN(Instances!H106:Instances!H106),"min", MIN(Instances!H106:Instances!H106),"max", MAX(Instances!H106:Instances!H106),"diff", MAX(Instances!H106:Instances!H106)-MIN(Instances!H106:Instances!H106))</f>
        <v>0</v>
      </c>
      <c r="I106" s="1" cm="1">
        <f t="array" ref="I106">_xlfn.SWITCH($A$2,"average", AVERAGE(Instances!I106:Instances!I106),"median", MEDIAN(Instances!I106:Instances!I106),"min", MIN(Instances!I106:Instances!I106),"max", MAX(Instances!I106:Instances!I106),"diff", MAX(Instances!I106:Instances!I106)-MIN(Instances!I106:Instances!I106))</f>
        <v>0</v>
      </c>
      <c r="J106" s="1" cm="1">
        <f t="array" ref="J106">_xlfn.SWITCH($A$2,"average", AVERAGE(Instances!J106:Instances!J106),"median", MEDIAN(Instances!J106:Instances!J106),"min", MIN(Instances!J106:Instances!J106),"max", MAX(Instances!J106:Instances!J106),"diff", MAX(Instances!J106:Instances!J106)-MIN(Instances!J106:Instances!J106))</f>
        <v>0</v>
      </c>
      <c r="K106" s="1" cm="1">
        <f t="array" ref="K106">_xlfn.SWITCH($A$2,"average", AVERAGE(Instances!K106:Instances!K106),"median", MEDIAN(Instances!K106:Instances!K106),"min", MIN(Instances!K106:Instances!K106),"max", MAX(Instances!K106:Instances!K106),"diff", MAX(Instances!K106:Instances!K106)-MIN(Instances!K106:Instances!K106))</f>
        <v>0</v>
      </c>
      <c r="L106" s="1"/>
      <c r="M106" s="1" cm="1">
        <f t="array" ref="M106">_xlfn.SWITCH($A$2,"average", AVERAGE(Instances!M106:Instances!M106),"median", MEDIAN(Instances!M106:Instances!M106),"min", MIN(Instances!M106:Instances!M106),"max", MAX(Instances!M106:Instances!M106),"diff", MAX(Instances!M106:Instances!M106)-MIN(Instances!M106:Instances!M106))</f>
        <v>0</v>
      </c>
      <c r="N106" s="1" cm="1">
        <f t="array" ref="N106">_xlfn.SWITCH($A$2,"average", AVERAGE(Instances!N106:Instances!N106),"median", MEDIAN(Instances!N106:Instances!N106),"min", MIN(Instances!N106:Instances!N106),"max", MAX(Instances!N106:Instances!N106),"diff", MAX(Instances!N106:Instances!N106)-MIN(Instances!N106:Instances!N106))</f>
        <v>0</v>
      </c>
      <c r="O106" s="1"/>
      <c r="P106" s="1" cm="1">
        <f t="array" ref="P106">_xlfn.SWITCH($A$2,"average", AVERAGE(Instances!P106:Instances!P106),"median", MEDIAN(Instances!P106:Instances!P106),"min", MIN(Instances!P106:Instances!P106),"max", MAX(Instances!P106:Instances!P106),"diff", MAX(Instances!P106:Instances!P106)-MIN(Instances!P106:Instances!P106))</f>
        <v>0</v>
      </c>
      <c r="Q106" s="1" cm="1">
        <f t="array" ref="Q106">_xlfn.SWITCH($A$2,"average", AVERAGE(Instances!Q106:Instances!Q106),"median", MEDIAN(Instances!Q106:Instances!Q106),"min", MIN(Instances!Q106:Instances!Q106),"max", MAX(Instances!Q106:Instances!Q106),"diff", MAX(Instances!Q106:Instances!Q106)-MIN(Instances!Q106:Instances!Q106))</f>
        <v>0</v>
      </c>
      <c r="R106" s="1" cm="1">
        <f t="array" ref="R106">_xlfn.SWITCH($A$2,"average", AVERAGE(Instances!R106:Instances!R106),"median", MEDIAN(Instances!R106:Instances!R106),"min", MIN(Instances!R106:Instances!R106),"max", MAX(Instances!R106:Instances!R106),"diff", MAX(Instances!R106:Instances!R106)-MIN(Instances!R106:Instances!R106))</f>
        <v>0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 cm="1">
        <f t="array" ref="B107">_xlfn.SWITCH($A$2,"average", AVERAGE(Instances!B107:Instances!B107),"median", MEDIAN(Instances!B107:Instances!B107),"min", MIN(Instances!B107:Instances!B107),"max", MAX(Instances!B107:Instances!B107),"diff", MAX(Instances!B107:Instances!B107)-MIN(Instances!B107:Instances!B107))</f>
        <v>0</v>
      </c>
      <c r="C107" s="1" cm="1">
        <f t="array" ref="C107">_xlfn.SWITCH($A$2,"average", AVERAGE(Instances!C107:Instances!C107),"median", MEDIAN(Instances!C107:Instances!C107),"min", MIN(Instances!C107:Instances!C107),"max", MAX(Instances!C107:Instances!C107),"diff", MAX(Instances!C107:Instances!C107)-MIN(Instances!C107:Instances!C107))</f>
        <v>0</v>
      </c>
      <c r="D107" s="1" cm="1">
        <f t="array" ref="D107">_xlfn.SWITCH($A$2,"average", AVERAGE(Instances!D107:Instances!D107),"median", MEDIAN(Instances!D107:Instances!D107),"min", MIN(Instances!D107:Instances!D107),"max", MAX(Instances!D107:Instances!D107),"diff", MAX(Instances!D107:Instances!D107)-MIN(Instances!D107:Instances!D107))</f>
        <v>0</v>
      </c>
      <c r="E107" s="1" cm="1">
        <f t="array" ref="E107">_xlfn.SWITCH($A$2,"average", AVERAGE(Instances!E107:Instances!E107),"median", MEDIAN(Instances!E107:Instances!E107),"min", MIN(Instances!E107:Instances!E107),"max", MAX(Instances!E107:Instances!E107),"diff", MAX(Instances!E107:Instances!E107)-MIN(Instances!E107:Instances!E107))</f>
        <v>0</v>
      </c>
      <c r="F107" s="1" cm="1">
        <f t="array" ref="F107">_xlfn.SWITCH($A$2,"average", AVERAGE(Instances!F107:Instances!F107),"median", MEDIAN(Instances!F107:Instances!F107),"min", MIN(Instances!F107:Instances!F107),"max", MAX(Instances!F107:Instances!F107),"diff", MAX(Instances!F107:Instances!F107)-MIN(Instances!F107:Instances!F107))</f>
        <v>0</v>
      </c>
      <c r="G107" s="1" cm="1">
        <f t="array" ref="G107">_xlfn.SWITCH($A$2,"average", AVERAGE(Instances!G107:Instances!G107),"median", MEDIAN(Instances!G107:Instances!G107),"min", MIN(Instances!G107:Instances!G107),"max", MAX(Instances!G107:Instances!G107),"diff", MAX(Instances!G107:Instances!G107)-MIN(Instances!G107:Instances!G107))</f>
        <v>0</v>
      </c>
      <c r="H107" s="1" cm="1">
        <f t="array" ref="H107">_xlfn.SWITCH($A$2,"average", AVERAGE(Instances!H107:Instances!H107),"median", MEDIAN(Instances!H107:Instances!H107),"min", MIN(Instances!H107:Instances!H107),"max", MAX(Instances!H107:Instances!H107),"diff", MAX(Instances!H107:Instances!H107)-MIN(Instances!H107:Instances!H107))</f>
        <v>0</v>
      </c>
      <c r="I107" s="1" cm="1">
        <f t="array" ref="I107">_xlfn.SWITCH($A$2,"average", AVERAGE(Instances!I107:Instances!I107),"median", MEDIAN(Instances!I107:Instances!I107),"min", MIN(Instances!I107:Instances!I107),"max", MAX(Instances!I107:Instances!I107),"diff", MAX(Instances!I107:Instances!I107)-MIN(Instances!I107:Instances!I107))</f>
        <v>0</v>
      </c>
      <c r="J107" s="1" cm="1">
        <f t="array" ref="J107">_xlfn.SWITCH($A$2,"average", AVERAGE(Instances!J107:Instances!J107),"median", MEDIAN(Instances!J107:Instances!J107),"min", MIN(Instances!J107:Instances!J107),"max", MAX(Instances!J107:Instances!J107),"diff", MAX(Instances!J107:Instances!J107)-MIN(Instances!J107:Instances!J107))</f>
        <v>0</v>
      </c>
      <c r="K107" s="1" cm="1">
        <f t="array" ref="K107">_xlfn.SWITCH($A$2,"average", AVERAGE(Instances!K107:Instances!K107),"median", MEDIAN(Instances!K107:Instances!K107),"min", MIN(Instances!K107:Instances!K107),"max", MAX(Instances!K107:Instances!K107),"diff", MAX(Instances!K107:Instances!K107)-MIN(Instances!K107:Instances!K107))</f>
        <v>0</v>
      </c>
      <c r="L107" s="1"/>
      <c r="M107" s="1" cm="1">
        <f t="array" ref="M107">_xlfn.SWITCH($A$2,"average", AVERAGE(Instances!M107:Instances!M107),"median", MEDIAN(Instances!M107:Instances!M107),"min", MIN(Instances!M107:Instances!M107),"max", MAX(Instances!M107:Instances!M107),"diff", MAX(Instances!M107:Instances!M107)-MIN(Instances!M107:Instances!M107))</f>
        <v>0</v>
      </c>
      <c r="N107" s="1" cm="1">
        <f t="array" ref="N107">_xlfn.SWITCH($A$2,"average", AVERAGE(Instances!N107:Instances!N107),"median", MEDIAN(Instances!N107:Instances!N107),"min", MIN(Instances!N107:Instances!N107),"max", MAX(Instances!N107:Instances!N107),"diff", MAX(Instances!N107:Instances!N107)-MIN(Instances!N107:Instances!N107))</f>
        <v>0</v>
      </c>
      <c r="O107" s="1"/>
      <c r="P107" s="1" cm="1">
        <f t="array" ref="P107">_xlfn.SWITCH($A$2,"average", AVERAGE(Instances!P107:Instances!P107),"median", MEDIAN(Instances!P107:Instances!P107),"min", MIN(Instances!P107:Instances!P107),"max", MAX(Instances!P107:Instances!P107),"diff", MAX(Instances!P107:Instances!P107)-MIN(Instances!P107:Instances!P107))</f>
        <v>0</v>
      </c>
      <c r="Q107" s="1" cm="1">
        <f t="array" ref="Q107">_xlfn.SWITCH($A$2,"average", AVERAGE(Instances!Q107:Instances!Q107),"median", MEDIAN(Instances!Q107:Instances!Q107),"min", MIN(Instances!Q107:Instances!Q107),"max", MAX(Instances!Q107:Instances!Q107),"diff", MAX(Instances!Q107:Instances!Q107)-MIN(Instances!Q107:Instances!Q107))</f>
        <v>0</v>
      </c>
      <c r="R107" s="1" cm="1">
        <f t="array" ref="R107">_xlfn.SWITCH($A$2,"average", AVERAGE(Instances!R107:Instances!R107),"median", MEDIAN(Instances!R107:Instances!R107),"min", MIN(Instances!R107:Instances!R107),"max", MAX(Instances!R107:Instances!R107),"diff", MAX(Instances!R107:Instances!R107)-MIN(Instances!R107:Instances!R107))</f>
        <v>0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 cm="1">
        <f t="array" ref="B108">_xlfn.SWITCH($A$2,"average", AVERAGE(Instances!B108:Instances!B108),"median", MEDIAN(Instances!B108:Instances!B108),"min", MIN(Instances!B108:Instances!B108),"max", MAX(Instances!B108:Instances!B108),"diff", MAX(Instances!B108:Instances!B108)-MIN(Instances!B108:Instances!B108))</f>
        <v>0</v>
      </c>
      <c r="C108" s="1" cm="1">
        <f t="array" ref="C108">_xlfn.SWITCH($A$2,"average", AVERAGE(Instances!C108:Instances!C108),"median", MEDIAN(Instances!C108:Instances!C108),"min", MIN(Instances!C108:Instances!C108),"max", MAX(Instances!C108:Instances!C108),"diff", MAX(Instances!C108:Instances!C108)-MIN(Instances!C108:Instances!C108))</f>
        <v>0</v>
      </c>
      <c r="D108" s="1" cm="1">
        <f t="array" ref="D108">_xlfn.SWITCH($A$2,"average", AVERAGE(Instances!D108:Instances!D108),"median", MEDIAN(Instances!D108:Instances!D108),"min", MIN(Instances!D108:Instances!D108),"max", MAX(Instances!D108:Instances!D108),"diff", MAX(Instances!D108:Instances!D108)-MIN(Instances!D108:Instances!D108))</f>
        <v>0</v>
      </c>
      <c r="E108" s="1" cm="1">
        <f t="array" ref="E108">_xlfn.SWITCH($A$2,"average", AVERAGE(Instances!E108:Instances!E108),"median", MEDIAN(Instances!E108:Instances!E108),"min", MIN(Instances!E108:Instances!E108),"max", MAX(Instances!E108:Instances!E108),"diff", MAX(Instances!E108:Instances!E108)-MIN(Instances!E108:Instances!E108))</f>
        <v>0</v>
      </c>
      <c r="F108" s="1" cm="1">
        <f t="array" ref="F108">_xlfn.SWITCH($A$2,"average", AVERAGE(Instances!F108:Instances!F108),"median", MEDIAN(Instances!F108:Instances!F108),"min", MIN(Instances!F108:Instances!F108),"max", MAX(Instances!F108:Instances!F108),"diff", MAX(Instances!F108:Instances!F108)-MIN(Instances!F108:Instances!F108))</f>
        <v>0</v>
      </c>
      <c r="G108" s="1" cm="1">
        <f t="array" ref="G108">_xlfn.SWITCH($A$2,"average", AVERAGE(Instances!G108:Instances!G108),"median", MEDIAN(Instances!G108:Instances!G108),"min", MIN(Instances!G108:Instances!G108),"max", MAX(Instances!G108:Instances!G108),"diff", MAX(Instances!G108:Instances!G108)-MIN(Instances!G108:Instances!G108))</f>
        <v>0</v>
      </c>
      <c r="H108" s="1" cm="1">
        <f t="array" ref="H108">_xlfn.SWITCH($A$2,"average", AVERAGE(Instances!H108:Instances!H108),"median", MEDIAN(Instances!H108:Instances!H108),"min", MIN(Instances!H108:Instances!H108),"max", MAX(Instances!H108:Instances!H108),"diff", MAX(Instances!H108:Instances!H108)-MIN(Instances!H108:Instances!H108))</f>
        <v>0</v>
      </c>
      <c r="I108" s="1" cm="1">
        <f t="array" ref="I108">_xlfn.SWITCH($A$2,"average", AVERAGE(Instances!I108:Instances!I108),"median", MEDIAN(Instances!I108:Instances!I108),"min", MIN(Instances!I108:Instances!I108),"max", MAX(Instances!I108:Instances!I108),"diff", MAX(Instances!I108:Instances!I108)-MIN(Instances!I108:Instances!I108))</f>
        <v>0</v>
      </c>
      <c r="J108" s="1" cm="1">
        <f t="array" ref="J108">_xlfn.SWITCH($A$2,"average", AVERAGE(Instances!J108:Instances!J108),"median", MEDIAN(Instances!J108:Instances!J108),"min", MIN(Instances!J108:Instances!J108),"max", MAX(Instances!J108:Instances!J108),"diff", MAX(Instances!J108:Instances!J108)-MIN(Instances!J108:Instances!J108))</f>
        <v>0</v>
      </c>
      <c r="K108" s="1" cm="1">
        <f t="array" ref="K108">_xlfn.SWITCH($A$2,"average", AVERAGE(Instances!K108:Instances!K108),"median", MEDIAN(Instances!K108:Instances!K108),"min", MIN(Instances!K108:Instances!K108),"max", MAX(Instances!K108:Instances!K108),"diff", MAX(Instances!K108:Instances!K108)-MIN(Instances!K108:Instances!K108))</f>
        <v>0</v>
      </c>
      <c r="L108" s="1"/>
      <c r="M108" s="1" cm="1">
        <f t="array" ref="M108">_xlfn.SWITCH($A$2,"average", AVERAGE(Instances!M108:Instances!M108),"median", MEDIAN(Instances!M108:Instances!M108),"min", MIN(Instances!M108:Instances!M108),"max", MAX(Instances!M108:Instances!M108),"diff", MAX(Instances!M108:Instances!M108)-MIN(Instances!M108:Instances!M108))</f>
        <v>0</v>
      </c>
      <c r="N108" s="1" cm="1">
        <f t="array" ref="N108">_xlfn.SWITCH($A$2,"average", AVERAGE(Instances!N108:Instances!N108),"median", MEDIAN(Instances!N108:Instances!N108),"min", MIN(Instances!N108:Instances!N108),"max", MAX(Instances!N108:Instances!N108),"diff", MAX(Instances!N108:Instances!N108)-MIN(Instances!N108:Instances!N108))</f>
        <v>0</v>
      </c>
      <c r="O108" s="1"/>
      <c r="P108" s="1" cm="1">
        <f t="array" ref="P108">_xlfn.SWITCH($A$2,"average", AVERAGE(Instances!P108:Instances!P108),"median", MEDIAN(Instances!P108:Instances!P108),"min", MIN(Instances!P108:Instances!P108),"max", MAX(Instances!P108:Instances!P108),"diff", MAX(Instances!P108:Instances!P108)-MIN(Instances!P108:Instances!P108))</f>
        <v>0</v>
      </c>
      <c r="Q108" s="1" cm="1">
        <f t="array" ref="Q108">_xlfn.SWITCH($A$2,"average", AVERAGE(Instances!Q108:Instances!Q108),"median", MEDIAN(Instances!Q108:Instances!Q108),"min", MIN(Instances!Q108:Instances!Q108),"max", MAX(Instances!Q108:Instances!Q108),"diff", MAX(Instances!Q108:Instances!Q108)-MIN(Instances!Q108:Instances!Q108))</f>
        <v>0</v>
      </c>
      <c r="R108" s="1" cm="1">
        <f t="array" ref="R108">_xlfn.SWITCH($A$2,"average", AVERAGE(Instances!R108:Instances!R108),"median", MEDIAN(Instances!R108:Instances!R108),"min", MIN(Instances!R108:Instances!R108),"max", MAX(Instances!R108:Instances!R108),"diff", MAX(Instances!R108:Instances!R108)-MIN(Instances!R108:Instances!R108))</f>
        <v>0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 cm="1">
        <f t="array" ref="B109">_xlfn.SWITCH($A$2,"average", AVERAGE(Instances!B109:Instances!B109),"median", MEDIAN(Instances!B109:Instances!B109),"min", MIN(Instances!B109:Instances!B109),"max", MAX(Instances!B109:Instances!B109),"diff", MAX(Instances!B109:Instances!B109)-MIN(Instances!B109:Instances!B109))</f>
        <v>0</v>
      </c>
      <c r="C109" s="1" cm="1">
        <f t="array" ref="C109">_xlfn.SWITCH($A$2,"average", AVERAGE(Instances!C109:Instances!C109),"median", MEDIAN(Instances!C109:Instances!C109),"min", MIN(Instances!C109:Instances!C109),"max", MAX(Instances!C109:Instances!C109),"diff", MAX(Instances!C109:Instances!C109)-MIN(Instances!C109:Instances!C109))</f>
        <v>0</v>
      </c>
      <c r="D109" s="1" cm="1">
        <f t="array" ref="D109">_xlfn.SWITCH($A$2,"average", AVERAGE(Instances!D109:Instances!D109),"median", MEDIAN(Instances!D109:Instances!D109),"min", MIN(Instances!D109:Instances!D109),"max", MAX(Instances!D109:Instances!D109),"diff", MAX(Instances!D109:Instances!D109)-MIN(Instances!D109:Instances!D109))</f>
        <v>0</v>
      </c>
      <c r="E109" s="1" cm="1">
        <f t="array" ref="E109">_xlfn.SWITCH($A$2,"average", AVERAGE(Instances!E109:Instances!E109),"median", MEDIAN(Instances!E109:Instances!E109),"min", MIN(Instances!E109:Instances!E109),"max", MAX(Instances!E109:Instances!E109),"diff", MAX(Instances!E109:Instances!E109)-MIN(Instances!E109:Instances!E109))</f>
        <v>0</v>
      </c>
      <c r="F109" s="1" cm="1">
        <f t="array" ref="F109">_xlfn.SWITCH($A$2,"average", AVERAGE(Instances!F109:Instances!F109),"median", MEDIAN(Instances!F109:Instances!F109),"min", MIN(Instances!F109:Instances!F109),"max", MAX(Instances!F109:Instances!F109),"diff", MAX(Instances!F109:Instances!F109)-MIN(Instances!F109:Instances!F109))</f>
        <v>0</v>
      </c>
      <c r="G109" s="1" cm="1">
        <f t="array" ref="G109">_xlfn.SWITCH($A$2,"average", AVERAGE(Instances!G109:Instances!G109),"median", MEDIAN(Instances!G109:Instances!G109),"min", MIN(Instances!G109:Instances!G109),"max", MAX(Instances!G109:Instances!G109),"diff", MAX(Instances!G109:Instances!G109)-MIN(Instances!G109:Instances!G109))</f>
        <v>0</v>
      </c>
      <c r="H109" s="1" cm="1">
        <f t="array" ref="H109">_xlfn.SWITCH($A$2,"average", AVERAGE(Instances!H109:Instances!H109),"median", MEDIAN(Instances!H109:Instances!H109),"min", MIN(Instances!H109:Instances!H109),"max", MAX(Instances!H109:Instances!H109),"diff", MAX(Instances!H109:Instances!H109)-MIN(Instances!H109:Instances!H109))</f>
        <v>0</v>
      </c>
      <c r="I109" s="1" cm="1">
        <f t="array" ref="I109">_xlfn.SWITCH($A$2,"average", AVERAGE(Instances!I109:Instances!I109),"median", MEDIAN(Instances!I109:Instances!I109),"min", MIN(Instances!I109:Instances!I109),"max", MAX(Instances!I109:Instances!I109),"diff", MAX(Instances!I109:Instances!I109)-MIN(Instances!I109:Instances!I109))</f>
        <v>0</v>
      </c>
      <c r="J109" s="1" cm="1">
        <f t="array" ref="J109">_xlfn.SWITCH($A$2,"average", AVERAGE(Instances!J109:Instances!J109),"median", MEDIAN(Instances!J109:Instances!J109),"min", MIN(Instances!J109:Instances!J109),"max", MAX(Instances!J109:Instances!J109),"diff", MAX(Instances!J109:Instances!J109)-MIN(Instances!J109:Instances!J109))</f>
        <v>0</v>
      </c>
      <c r="K109" s="1" cm="1">
        <f t="array" ref="K109">_xlfn.SWITCH($A$2,"average", AVERAGE(Instances!K109:Instances!K109),"median", MEDIAN(Instances!K109:Instances!K109),"min", MIN(Instances!K109:Instances!K109),"max", MAX(Instances!K109:Instances!K109),"diff", MAX(Instances!K109:Instances!K109)-MIN(Instances!K109:Instances!K109))</f>
        <v>0</v>
      </c>
      <c r="L109" s="1"/>
      <c r="M109" s="1" cm="1">
        <f t="array" ref="M109">_xlfn.SWITCH($A$2,"average", AVERAGE(Instances!M109:Instances!M109),"median", MEDIAN(Instances!M109:Instances!M109),"min", MIN(Instances!M109:Instances!M109),"max", MAX(Instances!M109:Instances!M109),"diff", MAX(Instances!M109:Instances!M109)-MIN(Instances!M109:Instances!M109))</f>
        <v>0</v>
      </c>
      <c r="N109" s="1" cm="1">
        <f t="array" ref="N109">_xlfn.SWITCH($A$2,"average", AVERAGE(Instances!N109:Instances!N109),"median", MEDIAN(Instances!N109:Instances!N109),"min", MIN(Instances!N109:Instances!N109),"max", MAX(Instances!N109:Instances!N109),"diff", MAX(Instances!N109:Instances!N109)-MIN(Instances!N109:Instances!N109))</f>
        <v>0</v>
      </c>
      <c r="O109" s="1"/>
      <c r="P109" s="1" cm="1">
        <f t="array" ref="P109">_xlfn.SWITCH($A$2,"average", AVERAGE(Instances!P109:Instances!P109),"median", MEDIAN(Instances!P109:Instances!P109),"min", MIN(Instances!P109:Instances!P109),"max", MAX(Instances!P109:Instances!P109),"diff", MAX(Instances!P109:Instances!P109)-MIN(Instances!P109:Instances!P109))</f>
        <v>0</v>
      </c>
      <c r="Q109" s="1" cm="1">
        <f t="array" ref="Q109">_xlfn.SWITCH($A$2,"average", AVERAGE(Instances!Q109:Instances!Q109),"median", MEDIAN(Instances!Q109:Instances!Q109),"min", MIN(Instances!Q109:Instances!Q109),"max", MAX(Instances!Q109:Instances!Q109),"diff", MAX(Instances!Q109:Instances!Q109)-MIN(Instances!Q109:Instances!Q109))</f>
        <v>0</v>
      </c>
      <c r="R109" s="1" cm="1">
        <f t="array" ref="R109">_xlfn.SWITCH($A$2,"average", AVERAGE(Instances!R109:Instances!R109),"median", MEDIAN(Instances!R109:Instances!R109),"min", MIN(Instances!R109:Instances!R109),"max", MAX(Instances!R109:Instances!R109),"diff", MAX(Instances!R109:Instances!R109)-MIN(Instances!R109:Instances!R109))</f>
        <v>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 cm="1">
        <f t="array" ref="B110">_xlfn.SWITCH($A$2,"average", AVERAGE(Instances!B110:Instances!B110),"median", MEDIAN(Instances!B110:Instances!B110),"min", MIN(Instances!B110:Instances!B110),"max", MAX(Instances!B110:Instances!B110),"diff", MAX(Instances!B110:Instances!B110)-MIN(Instances!B110:Instances!B110))</f>
        <v>0</v>
      </c>
      <c r="C110" s="1" cm="1">
        <f t="array" ref="C110">_xlfn.SWITCH($A$2,"average", AVERAGE(Instances!C110:Instances!C110),"median", MEDIAN(Instances!C110:Instances!C110),"min", MIN(Instances!C110:Instances!C110),"max", MAX(Instances!C110:Instances!C110),"diff", MAX(Instances!C110:Instances!C110)-MIN(Instances!C110:Instances!C110))</f>
        <v>0</v>
      </c>
      <c r="D110" s="1" cm="1">
        <f t="array" ref="D110">_xlfn.SWITCH($A$2,"average", AVERAGE(Instances!D110:Instances!D110),"median", MEDIAN(Instances!D110:Instances!D110),"min", MIN(Instances!D110:Instances!D110),"max", MAX(Instances!D110:Instances!D110),"diff", MAX(Instances!D110:Instances!D110)-MIN(Instances!D110:Instances!D110))</f>
        <v>0</v>
      </c>
      <c r="E110" s="1" cm="1">
        <f t="array" ref="E110">_xlfn.SWITCH($A$2,"average", AVERAGE(Instances!E110:Instances!E110),"median", MEDIAN(Instances!E110:Instances!E110),"min", MIN(Instances!E110:Instances!E110),"max", MAX(Instances!E110:Instances!E110),"diff", MAX(Instances!E110:Instances!E110)-MIN(Instances!E110:Instances!E110))</f>
        <v>0</v>
      </c>
      <c r="F110" s="1" cm="1">
        <f t="array" ref="F110">_xlfn.SWITCH($A$2,"average", AVERAGE(Instances!F110:Instances!F110),"median", MEDIAN(Instances!F110:Instances!F110),"min", MIN(Instances!F110:Instances!F110),"max", MAX(Instances!F110:Instances!F110),"diff", MAX(Instances!F110:Instances!F110)-MIN(Instances!F110:Instances!F110))</f>
        <v>0</v>
      </c>
      <c r="G110" s="1" cm="1">
        <f t="array" ref="G110">_xlfn.SWITCH($A$2,"average", AVERAGE(Instances!G110:Instances!G110),"median", MEDIAN(Instances!G110:Instances!G110),"min", MIN(Instances!G110:Instances!G110),"max", MAX(Instances!G110:Instances!G110),"diff", MAX(Instances!G110:Instances!G110)-MIN(Instances!G110:Instances!G110))</f>
        <v>0</v>
      </c>
      <c r="H110" s="1" cm="1">
        <f t="array" ref="H110">_xlfn.SWITCH($A$2,"average", AVERAGE(Instances!H110:Instances!H110),"median", MEDIAN(Instances!H110:Instances!H110),"min", MIN(Instances!H110:Instances!H110),"max", MAX(Instances!H110:Instances!H110),"diff", MAX(Instances!H110:Instances!H110)-MIN(Instances!H110:Instances!H110))</f>
        <v>0</v>
      </c>
      <c r="I110" s="1" cm="1">
        <f t="array" ref="I110">_xlfn.SWITCH($A$2,"average", AVERAGE(Instances!I110:Instances!I110),"median", MEDIAN(Instances!I110:Instances!I110),"min", MIN(Instances!I110:Instances!I110),"max", MAX(Instances!I110:Instances!I110),"diff", MAX(Instances!I110:Instances!I110)-MIN(Instances!I110:Instances!I110))</f>
        <v>0</v>
      </c>
      <c r="J110" s="1" cm="1">
        <f t="array" ref="J110">_xlfn.SWITCH($A$2,"average", AVERAGE(Instances!J110:Instances!J110),"median", MEDIAN(Instances!J110:Instances!J110),"min", MIN(Instances!J110:Instances!J110),"max", MAX(Instances!J110:Instances!J110),"diff", MAX(Instances!J110:Instances!J110)-MIN(Instances!J110:Instances!J110))</f>
        <v>0</v>
      </c>
      <c r="K110" s="1" cm="1">
        <f t="array" ref="K110">_xlfn.SWITCH($A$2,"average", AVERAGE(Instances!K110:Instances!K110),"median", MEDIAN(Instances!K110:Instances!K110),"min", MIN(Instances!K110:Instances!K110),"max", MAX(Instances!K110:Instances!K110),"diff", MAX(Instances!K110:Instances!K110)-MIN(Instances!K110:Instances!K110))</f>
        <v>0</v>
      </c>
      <c r="L110" s="1"/>
      <c r="M110" s="1" cm="1">
        <f t="array" ref="M110">_xlfn.SWITCH($A$2,"average", AVERAGE(Instances!M110:Instances!M110),"median", MEDIAN(Instances!M110:Instances!M110),"min", MIN(Instances!M110:Instances!M110),"max", MAX(Instances!M110:Instances!M110),"diff", MAX(Instances!M110:Instances!M110)-MIN(Instances!M110:Instances!M110))</f>
        <v>0</v>
      </c>
      <c r="N110" s="1" cm="1">
        <f t="array" ref="N110">_xlfn.SWITCH($A$2,"average", AVERAGE(Instances!N110:Instances!N110),"median", MEDIAN(Instances!N110:Instances!N110),"min", MIN(Instances!N110:Instances!N110),"max", MAX(Instances!N110:Instances!N110),"diff", MAX(Instances!N110:Instances!N110)-MIN(Instances!N110:Instances!N110))</f>
        <v>0</v>
      </c>
      <c r="O110" s="1"/>
      <c r="P110" s="1" cm="1">
        <f t="array" ref="P110">_xlfn.SWITCH($A$2,"average", AVERAGE(Instances!P110:Instances!P110),"median", MEDIAN(Instances!P110:Instances!P110),"min", MIN(Instances!P110:Instances!P110),"max", MAX(Instances!P110:Instances!P110),"diff", MAX(Instances!P110:Instances!P110)-MIN(Instances!P110:Instances!P110))</f>
        <v>0</v>
      </c>
      <c r="Q110" s="1" cm="1">
        <f t="array" ref="Q110">_xlfn.SWITCH($A$2,"average", AVERAGE(Instances!Q110:Instances!Q110),"median", MEDIAN(Instances!Q110:Instances!Q110),"min", MIN(Instances!Q110:Instances!Q110),"max", MAX(Instances!Q110:Instances!Q110),"diff", MAX(Instances!Q110:Instances!Q110)-MIN(Instances!Q110:Instances!Q110))</f>
        <v>0</v>
      </c>
      <c r="R110" s="1" cm="1">
        <f t="array" ref="R110">_xlfn.SWITCH($A$2,"average", AVERAGE(Instances!R110:Instances!R110),"median", MEDIAN(Instances!R110:Instances!R110),"min", MIN(Instances!R110:Instances!R110),"max", MAX(Instances!R110:Instances!R110),"diff", MAX(Instances!R110:Instances!R110)-MIN(Instances!R110:Instances!R110))</f>
        <v>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 cm="1">
        <f t="array" ref="B111">_xlfn.SWITCH($A$2,"average", AVERAGE(Instances!B111:Instances!B111),"median", MEDIAN(Instances!B111:Instances!B111),"min", MIN(Instances!B111:Instances!B111),"max", MAX(Instances!B111:Instances!B111),"diff", MAX(Instances!B111:Instances!B111)-MIN(Instances!B111:Instances!B111))</f>
        <v>0</v>
      </c>
      <c r="C111" s="1" cm="1">
        <f t="array" ref="C111">_xlfn.SWITCH($A$2,"average", AVERAGE(Instances!C111:Instances!C111),"median", MEDIAN(Instances!C111:Instances!C111),"min", MIN(Instances!C111:Instances!C111),"max", MAX(Instances!C111:Instances!C111),"diff", MAX(Instances!C111:Instances!C111)-MIN(Instances!C111:Instances!C111))</f>
        <v>0</v>
      </c>
      <c r="D111" s="1" cm="1">
        <f t="array" ref="D111">_xlfn.SWITCH($A$2,"average", AVERAGE(Instances!D111:Instances!D111),"median", MEDIAN(Instances!D111:Instances!D111),"min", MIN(Instances!D111:Instances!D111),"max", MAX(Instances!D111:Instances!D111),"diff", MAX(Instances!D111:Instances!D111)-MIN(Instances!D111:Instances!D111))</f>
        <v>0</v>
      </c>
      <c r="E111" s="1" cm="1">
        <f t="array" ref="E111">_xlfn.SWITCH($A$2,"average", AVERAGE(Instances!E111:Instances!E111),"median", MEDIAN(Instances!E111:Instances!E111),"min", MIN(Instances!E111:Instances!E111),"max", MAX(Instances!E111:Instances!E111),"diff", MAX(Instances!E111:Instances!E111)-MIN(Instances!E111:Instances!E111))</f>
        <v>0</v>
      </c>
      <c r="F111" s="1" cm="1">
        <f t="array" ref="F111">_xlfn.SWITCH($A$2,"average", AVERAGE(Instances!F111:Instances!F111),"median", MEDIAN(Instances!F111:Instances!F111),"min", MIN(Instances!F111:Instances!F111),"max", MAX(Instances!F111:Instances!F111),"diff", MAX(Instances!F111:Instances!F111)-MIN(Instances!F111:Instances!F111))</f>
        <v>0</v>
      </c>
      <c r="G111" s="1" cm="1">
        <f t="array" ref="G111">_xlfn.SWITCH($A$2,"average", AVERAGE(Instances!G111:Instances!G111),"median", MEDIAN(Instances!G111:Instances!G111),"min", MIN(Instances!G111:Instances!G111),"max", MAX(Instances!G111:Instances!G111),"diff", MAX(Instances!G111:Instances!G111)-MIN(Instances!G111:Instances!G111))</f>
        <v>0</v>
      </c>
      <c r="H111" s="1" cm="1">
        <f t="array" ref="H111">_xlfn.SWITCH($A$2,"average", AVERAGE(Instances!H111:Instances!H111),"median", MEDIAN(Instances!H111:Instances!H111),"min", MIN(Instances!H111:Instances!H111),"max", MAX(Instances!H111:Instances!H111),"diff", MAX(Instances!H111:Instances!H111)-MIN(Instances!H111:Instances!H111))</f>
        <v>0</v>
      </c>
      <c r="I111" s="1" cm="1">
        <f t="array" ref="I111">_xlfn.SWITCH($A$2,"average", AVERAGE(Instances!I111:Instances!I111),"median", MEDIAN(Instances!I111:Instances!I111),"min", MIN(Instances!I111:Instances!I111),"max", MAX(Instances!I111:Instances!I111),"diff", MAX(Instances!I111:Instances!I111)-MIN(Instances!I111:Instances!I111))</f>
        <v>0</v>
      </c>
      <c r="J111" s="1" cm="1">
        <f t="array" ref="J111">_xlfn.SWITCH($A$2,"average", AVERAGE(Instances!J111:Instances!J111),"median", MEDIAN(Instances!J111:Instances!J111),"min", MIN(Instances!J111:Instances!J111),"max", MAX(Instances!J111:Instances!J111),"diff", MAX(Instances!J111:Instances!J111)-MIN(Instances!J111:Instances!J111))</f>
        <v>0</v>
      </c>
      <c r="K111" s="1" cm="1">
        <f t="array" ref="K111">_xlfn.SWITCH($A$2,"average", AVERAGE(Instances!K111:Instances!K111),"median", MEDIAN(Instances!K111:Instances!K111),"min", MIN(Instances!K111:Instances!K111),"max", MAX(Instances!K111:Instances!K111),"diff", MAX(Instances!K111:Instances!K111)-MIN(Instances!K111:Instances!K111))</f>
        <v>0</v>
      </c>
      <c r="L111" s="1"/>
      <c r="M111" s="1" cm="1">
        <f t="array" ref="M111">_xlfn.SWITCH($A$2,"average", AVERAGE(Instances!M111:Instances!M111),"median", MEDIAN(Instances!M111:Instances!M111),"min", MIN(Instances!M111:Instances!M111),"max", MAX(Instances!M111:Instances!M111),"diff", MAX(Instances!M111:Instances!M111)-MIN(Instances!M111:Instances!M111))</f>
        <v>0</v>
      </c>
      <c r="N111" s="1" cm="1">
        <f t="array" ref="N111">_xlfn.SWITCH($A$2,"average", AVERAGE(Instances!N111:Instances!N111),"median", MEDIAN(Instances!N111:Instances!N111),"min", MIN(Instances!N111:Instances!N111),"max", MAX(Instances!N111:Instances!N111),"diff", MAX(Instances!N111:Instances!N111)-MIN(Instances!N111:Instances!N111))</f>
        <v>0</v>
      </c>
      <c r="O111" s="1"/>
      <c r="P111" s="1" cm="1">
        <f t="array" ref="P111">_xlfn.SWITCH($A$2,"average", AVERAGE(Instances!P111:Instances!P111),"median", MEDIAN(Instances!P111:Instances!P111),"min", MIN(Instances!P111:Instances!P111),"max", MAX(Instances!P111:Instances!P111),"diff", MAX(Instances!P111:Instances!P111)-MIN(Instances!P111:Instances!P111))</f>
        <v>0</v>
      </c>
      <c r="Q111" s="1" cm="1">
        <f t="array" ref="Q111">_xlfn.SWITCH($A$2,"average", AVERAGE(Instances!Q111:Instances!Q111),"median", MEDIAN(Instances!Q111:Instances!Q111),"min", MIN(Instances!Q111:Instances!Q111),"max", MAX(Instances!Q111:Instances!Q111),"diff", MAX(Instances!Q111:Instances!Q111)-MIN(Instances!Q111:Instances!Q111))</f>
        <v>0</v>
      </c>
      <c r="R111" s="1" cm="1">
        <f t="array" ref="R111">_xlfn.SWITCH($A$2,"average", AVERAGE(Instances!R111:Instances!R111),"median", MEDIAN(Instances!R111:Instances!R111),"min", MIN(Instances!R111:Instances!R111),"max", MAX(Instances!R111:Instances!R111),"diff", MAX(Instances!R111:Instances!R111)-MIN(Instances!R111:Instances!R111))</f>
        <v>0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 cm="1">
        <f t="array" ref="B112">_xlfn.SWITCH($A$2,"average", AVERAGE(Instances!B112:Instances!B112),"median", MEDIAN(Instances!B112:Instances!B112),"min", MIN(Instances!B112:Instances!B112),"max", MAX(Instances!B112:Instances!B112),"diff", MAX(Instances!B112:Instances!B112)-MIN(Instances!B112:Instances!B112))</f>
        <v>0</v>
      </c>
      <c r="C112" s="1" cm="1">
        <f t="array" ref="C112">_xlfn.SWITCH($A$2,"average", AVERAGE(Instances!C112:Instances!C112),"median", MEDIAN(Instances!C112:Instances!C112),"min", MIN(Instances!C112:Instances!C112),"max", MAX(Instances!C112:Instances!C112),"diff", MAX(Instances!C112:Instances!C112)-MIN(Instances!C112:Instances!C112))</f>
        <v>0</v>
      </c>
      <c r="D112" s="1" cm="1">
        <f t="array" ref="D112">_xlfn.SWITCH($A$2,"average", AVERAGE(Instances!D112:Instances!D112),"median", MEDIAN(Instances!D112:Instances!D112),"min", MIN(Instances!D112:Instances!D112),"max", MAX(Instances!D112:Instances!D112),"diff", MAX(Instances!D112:Instances!D112)-MIN(Instances!D112:Instances!D112))</f>
        <v>0</v>
      </c>
      <c r="E112" s="1" cm="1">
        <f t="array" ref="E112">_xlfn.SWITCH($A$2,"average", AVERAGE(Instances!E112:Instances!E112),"median", MEDIAN(Instances!E112:Instances!E112),"min", MIN(Instances!E112:Instances!E112),"max", MAX(Instances!E112:Instances!E112),"diff", MAX(Instances!E112:Instances!E112)-MIN(Instances!E112:Instances!E112))</f>
        <v>0</v>
      </c>
      <c r="F112" s="1" cm="1">
        <f t="array" ref="F112">_xlfn.SWITCH($A$2,"average", AVERAGE(Instances!F112:Instances!F112),"median", MEDIAN(Instances!F112:Instances!F112),"min", MIN(Instances!F112:Instances!F112),"max", MAX(Instances!F112:Instances!F112),"diff", MAX(Instances!F112:Instances!F112)-MIN(Instances!F112:Instances!F112))</f>
        <v>0</v>
      </c>
      <c r="G112" s="1" cm="1">
        <f t="array" ref="G112">_xlfn.SWITCH($A$2,"average", AVERAGE(Instances!G112:Instances!G112),"median", MEDIAN(Instances!G112:Instances!G112),"min", MIN(Instances!G112:Instances!G112),"max", MAX(Instances!G112:Instances!G112),"diff", MAX(Instances!G112:Instances!G112)-MIN(Instances!G112:Instances!G112))</f>
        <v>0</v>
      </c>
      <c r="H112" s="1" cm="1">
        <f t="array" ref="H112">_xlfn.SWITCH($A$2,"average", AVERAGE(Instances!H112:Instances!H112),"median", MEDIAN(Instances!H112:Instances!H112),"min", MIN(Instances!H112:Instances!H112),"max", MAX(Instances!H112:Instances!H112),"diff", MAX(Instances!H112:Instances!H112)-MIN(Instances!H112:Instances!H112))</f>
        <v>0</v>
      </c>
      <c r="I112" s="1" cm="1">
        <f t="array" ref="I112">_xlfn.SWITCH($A$2,"average", AVERAGE(Instances!I112:Instances!I112),"median", MEDIAN(Instances!I112:Instances!I112),"min", MIN(Instances!I112:Instances!I112),"max", MAX(Instances!I112:Instances!I112),"diff", MAX(Instances!I112:Instances!I112)-MIN(Instances!I112:Instances!I112))</f>
        <v>0</v>
      </c>
      <c r="J112" s="1" cm="1">
        <f t="array" ref="J112">_xlfn.SWITCH($A$2,"average", AVERAGE(Instances!J112:Instances!J112),"median", MEDIAN(Instances!J112:Instances!J112),"min", MIN(Instances!J112:Instances!J112),"max", MAX(Instances!J112:Instances!J112),"diff", MAX(Instances!J112:Instances!J112)-MIN(Instances!J112:Instances!J112))</f>
        <v>0</v>
      </c>
      <c r="K112" s="1" cm="1">
        <f t="array" ref="K112">_xlfn.SWITCH($A$2,"average", AVERAGE(Instances!K112:Instances!K112),"median", MEDIAN(Instances!K112:Instances!K112),"min", MIN(Instances!K112:Instances!K112),"max", MAX(Instances!K112:Instances!K112),"diff", MAX(Instances!K112:Instances!K112)-MIN(Instances!K112:Instances!K112))</f>
        <v>0</v>
      </c>
      <c r="L112" s="1"/>
      <c r="M112" s="1" cm="1">
        <f t="array" ref="M112">_xlfn.SWITCH($A$2,"average", AVERAGE(Instances!M112:Instances!M112),"median", MEDIAN(Instances!M112:Instances!M112),"min", MIN(Instances!M112:Instances!M112),"max", MAX(Instances!M112:Instances!M112),"diff", MAX(Instances!M112:Instances!M112)-MIN(Instances!M112:Instances!M112))</f>
        <v>0</v>
      </c>
      <c r="N112" s="1" cm="1">
        <f t="array" ref="N112">_xlfn.SWITCH($A$2,"average", AVERAGE(Instances!N112:Instances!N112),"median", MEDIAN(Instances!N112:Instances!N112),"min", MIN(Instances!N112:Instances!N112),"max", MAX(Instances!N112:Instances!N112),"diff", MAX(Instances!N112:Instances!N112)-MIN(Instances!N112:Instances!N112))</f>
        <v>0</v>
      </c>
      <c r="O112" s="1"/>
      <c r="P112" s="1" cm="1">
        <f t="array" ref="P112">_xlfn.SWITCH($A$2,"average", AVERAGE(Instances!P112:Instances!P112),"median", MEDIAN(Instances!P112:Instances!P112),"min", MIN(Instances!P112:Instances!P112),"max", MAX(Instances!P112:Instances!P112),"diff", MAX(Instances!P112:Instances!P112)-MIN(Instances!P112:Instances!P112))</f>
        <v>0</v>
      </c>
      <c r="Q112" s="1" cm="1">
        <f t="array" ref="Q112">_xlfn.SWITCH($A$2,"average", AVERAGE(Instances!Q112:Instances!Q112),"median", MEDIAN(Instances!Q112:Instances!Q112),"min", MIN(Instances!Q112:Instances!Q112),"max", MAX(Instances!Q112:Instances!Q112),"diff", MAX(Instances!Q112:Instances!Q112)-MIN(Instances!Q112:Instances!Q112))</f>
        <v>0</v>
      </c>
      <c r="R112" s="1" cm="1">
        <f t="array" ref="R112">_xlfn.SWITCH($A$2,"average", AVERAGE(Instances!R112:Instances!R112),"median", MEDIAN(Instances!R112:Instances!R112),"min", MIN(Instances!R112:Instances!R112),"max", MAX(Instances!R112:Instances!R112),"diff", MAX(Instances!R112:Instances!R112)-MIN(Instances!R112:Instances!R112))</f>
        <v>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 cm="1">
        <f t="array" ref="B113">_xlfn.SWITCH($A$2,"average", AVERAGE(Instances!B113:Instances!B113),"median", MEDIAN(Instances!B113:Instances!B113),"min", MIN(Instances!B113:Instances!B113),"max", MAX(Instances!B113:Instances!B113),"diff", MAX(Instances!B113:Instances!B113)-MIN(Instances!B113:Instances!B113))</f>
        <v>0</v>
      </c>
      <c r="C113" s="1" cm="1">
        <f t="array" ref="C113">_xlfn.SWITCH($A$2,"average", AVERAGE(Instances!C113:Instances!C113),"median", MEDIAN(Instances!C113:Instances!C113),"min", MIN(Instances!C113:Instances!C113),"max", MAX(Instances!C113:Instances!C113),"diff", MAX(Instances!C113:Instances!C113)-MIN(Instances!C113:Instances!C113))</f>
        <v>0</v>
      </c>
      <c r="D113" s="1" cm="1">
        <f t="array" ref="D113">_xlfn.SWITCH($A$2,"average", AVERAGE(Instances!D113:Instances!D113),"median", MEDIAN(Instances!D113:Instances!D113),"min", MIN(Instances!D113:Instances!D113),"max", MAX(Instances!D113:Instances!D113),"diff", MAX(Instances!D113:Instances!D113)-MIN(Instances!D113:Instances!D113))</f>
        <v>0</v>
      </c>
      <c r="E113" s="1" cm="1">
        <f t="array" ref="E113">_xlfn.SWITCH($A$2,"average", AVERAGE(Instances!E113:Instances!E113),"median", MEDIAN(Instances!E113:Instances!E113),"min", MIN(Instances!E113:Instances!E113),"max", MAX(Instances!E113:Instances!E113),"diff", MAX(Instances!E113:Instances!E113)-MIN(Instances!E113:Instances!E113))</f>
        <v>0</v>
      </c>
      <c r="F113" s="1" cm="1">
        <f t="array" ref="F113">_xlfn.SWITCH($A$2,"average", AVERAGE(Instances!F113:Instances!F113),"median", MEDIAN(Instances!F113:Instances!F113),"min", MIN(Instances!F113:Instances!F113),"max", MAX(Instances!F113:Instances!F113),"diff", MAX(Instances!F113:Instances!F113)-MIN(Instances!F113:Instances!F113))</f>
        <v>0</v>
      </c>
      <c r="G113" s="1" cm="1">
        <f t="array" ref="G113">_xlfn.SWITCH($A$2,"average", AVERAGE(Instances!G113:Instances!G113),"median", MEDIAN(Instances!G113:Instances!G113),"min", MIN(Instances!G113:Instances!G113),"max", MAX(Instances!G113:Instances!G113),"diff", MAX(Instances!G113:Instances!G113)-MIN(Instances!G113:Instances!G113))</f>
        <v>0</v>
      </c>
      <c r="H113" s="1" cm="1">
        <f t="array" ref="H113">_xlfn.SWITCH($A$2,"average", AVERAGE(Instances!H113:Instances!H113),"median", MEDIAN(Instances!H113:Instances!H113),"min", MIN(Instances!H113:Instances!H113),"max", MAX(Instances!H113:Instances!H113),"diff", MAX(Instances!H113:Instances!H113)-MIN(Instances!H113:Instances!H113))</f>
        <v>0</v>
      </c>
      <c r="I113" s="1" cm="1">
        <f t="array" ref="I113">_xlfn.SWITCH($A$2,"average", AVERAGE(Instances!I113:Instances!I113),"median", MEDIAN(Instances!I113:Instances!I113),"min", MIN(Instances!I113:Instances!I113),"max", MAX(Instances!I113:Instances!I113),"diff", MAX(Instances!I113:Instances!I113)-MIN(Instances!I113:Instances!I113))</f>
        <v>0</v>
      </c>
      <c r="J113" s="1" cm="1">
        <f t="array" ref="J113">_xlfn.SWITCH($A$2,"average", AVERAGE(Instances!J113:Instances!J113),"median", MEDIAN(Instances!J113:Instances!J113),"min", MIN(Instances!J113:Instances!J113),"max", MAX(Instances!J113:Instances!J113),"diff", MAX(Instances!J113:Instances!J113)-MIN(Instances!J113:Instances!J113))</f>
        <v>0</v>
      </c>
      <c r="K113" s="1" cm="1">
        <f t="array" ref="K113">_xlfn.SWITCH($A$2,"average", AVERAGE(Instances!K113:Instances!K113),"median", MEDIAN(Instances!K113:Instances!K113),"min", MIN(Instances!K113:Instances!K113),"max", MAX(Instances!K113:Instances!K113),"diff", MAX(Instances!K113:Instances!K113)-MIN(Instances!K113:Instances!K113))</f>
        <v>0</v>
      </c>
      <c r="L113" s="1"/>
      <c r="M113" s="1" cm="1">
        <f t="array" ref="M113">_xlfn.SWITCH($A$2,"average", AVERAGE(Instances!M113:Instances!M113),"median", MEDIAN(Instances!M113:Instances!M113),"min", MIN(Instances!M113:Instances!M113),"max", MAX(Instances!M113:Instances!M113),"diff", MAX(Instances!M113:Instances!M113)-MIN(Instances!M113:Instances!M113))</f>
        <v>0</v>
      </c>
      <c r="N113" s="1" cm="1">
        <f t="array" ref="N113">_xlfn.SWITCH($A$2,"average", AVERAGE(Instances!N113:Instances!N113),"median", MEDIAN(Instances!N113:Instances!N113),"min", MIN(Instances!N113:Instances!N113),"max", MAX(Instances!N113:Instances!N113),"diff", MAX(Instances!N113:Instances!N113)-MIN(Instances!N113:Instances!N113))</f>
        <v>0</v>
      </c>
      <c r="O113" s="1"/>
      <c r="P113" s="1" cm="1">
        <f t="array" ref="P113">_xlfn.SWITCH($A$2,"average", AVERAGE(Instances!P113:Instances!P113),"median", MEDIAN(Instances!P113:Instances!P113),"min", MIN(Instances!P113:Instances!P113),"max", MAX(Instances!P113:Instances!P113),"diff", MAX(Instances!P113:Instances!P113)-MIN(Instances!P113:Instances!P113))</f>
        <v>0</v>
      </c>
      <c r="Q113" s="1" cm="1">
        <f t="array" ref="Q113">_xlfn.SWITCH($A$2,"average", AVERAGE(Instances!Q113:Instances!Q113),"median", MEDIAN(Instances!Q113:Instances!Q113),"min", MIN(Instances!Q113:Instances!Q113),"max", MAX(Instances!Q113:Instances!Q113),"diff", MAX(Instances!Q113:Instances!Q113)-MIN(Instances!Q113:Instances!Q113))</f>
        <v>0</v>
      </c>
      <c r="R113" s="1" cm="1">
        <f t="array" ref="R113">_xlfn.SWITCH($A$2,"average", AVERAGE(Instances!R113:Instances!R113),"median", MEDIAN(Instances!R113:Instances!R113),"min", MIN(Instances!R113:Instances!R113),"max", MAX(Instances!R113:Instances!R113),"diff", MAX(Instances!R113:Instances!R113)-MIN(Instances!R113:Instances!R113))</f>
        <v>0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 cm="1">
        <f t="array" ref="B114">_xlfn.SWITCH($A$2,"average", AVERAGE(Instances!B114:Instances!B114),"median", MEDIAN(Instances!B114:Instances!B114),"min", MIN(Instances!B114:Instances!B114),"max", MAX(Instances!B114:Instances!B114),"diff", MAX(Instances!B114:Instances!B114)-MIN(Instances!B114:Instances!B114))</f>
        <v>0</v>
      </c>
      <c r="C114" s="1" cm="1">
        <f t="array" ref="C114">_xlfn.SWITCH($A$2,"average", AVERAGE(Instances!C114:Instances!C114),"median", MEDIAN(Instances!C114:Instances!C114),"min", MIN(Instances!C114:Instances!C114),"max", MAX(Instances!C114:Instances!C114),"diff", MAX(Instances!C114:Instances!C114)-MIN(Instances!C114:Instances!C114))</f>
        <v>0</v>
      </c>
      <c r="D114" s="1" cm="1">
        <f t="array" ref="D114">_xlfn.SWITCH($A$2,"average", AVERAGE(Instances!D114:Instances!D114),"median", MEDIAN(Instances!D114:Instances!D114),"min", MIN(Instances!D114:Instances!D114),"max", MAX(Instances!D114:Instances!D114),"diff", MAX(Instances!D114:Instances!D114)-MIN(Instances!D114:Instances!D114))</f>
        <v>0</v>
      </c>
      <c r="E114" s="1" cm="1">
        <f t="array" ref="E114">_xlfn.SWITCH($A$2,"average", AVERAGE(Instances!E114:Instances!E114),"median", MEDIAN(Instances!E114:Instances!E114),"min", MIN(Instances!E114:Instances!E114),"max", MAX(Instances!E114:Instances!E114),"diff", MAX(Instances!E114:Instances!E114)-MIN(Instances!E114:Instances!E114))</f>
        <v>0</v>
      </c>
      <c r="F114" s="1" cm="1">
        <f t="array" ref="F114">_xlfn.SWITCH($A$2,"average", AVERAGE(Instances!F114:Instances!F114),"median", MEDIAN(Instances!F114:Instances!F114),"min", MIN(Instances!F114:Instances!F114),"max", MAX(Instances!F114:Instances!F114),"diff", MAX(Instances!F114:Instances!F114)-MIN(Instances!F114:Instances!F114))</f>
        <v>0</v>
      </c>
      <c r="G114" s="1" cm="1">
        <f t="array" ref="G114">_xlfn.SWITCH($A$2,"average", AVERAGE(Instances!G114:Instances!G114),"median", MEDIAN(Instances!G114:Instances!G114),"min", MIN(Instances!G114:Instances!G114),"max", MAX(Instances!G114:Instances!G114),"diff", MAX(Instances!G114:Instances!G114)-MIN(Instances!G114:Instances!G114))</f>
        <v>0</v>
      </c>
      <c r="H114" s="1" cm="1">
        <f t="array" ref="H114">_xlfn.SWITCH($A$2,"average", AVERAGE(Instances!H114:Instances!H114),"median", MEDIAN(Instances!H114:Instances!H114),"min", MIN(Instances!H114:Instances!H114),"max", MAX(Instances!H114:Instances!H114),"diff", MAX(Instances!H114:Instances!H114)-MIN(Instances!H114:Instances!H114))</f>
        <v>0</v>
      </c>
      <c r="I114" s="1" cm="1">
        <f t="array" ref="I114">_xlfn.SWITCH($A$2,"average", AVERAGE(Instances!I114:Instances!I114),"median", MEDIAN(Instances!I114:Instances!I114),"min", MIN(Instances!I114:Instances!I114),"max", MAX(Instances!I114:Instances!I114),"diff", MAX(Instances!I114:Instances!I114)-MIN(Instances!I114:Instances!I114))</f>
        <v>0</v>
      </c>
      <c r="J114" s="1" cm="1">
        <f t="array" ref="J114">_xlfn.SWITCH($A$2,"average", AVERAGE(Instances!J114:Instances!J114),"median", MEDIAN(Instances!J114:Instances!J114),"min", MIN(Instances!J114:Instances!J114),"max", MAX(Instances!J114:Instances!J114),"diff", MAX(Instances!J114:Instances!J114)-MIN(Instances!J114:Instances!J114))</f>
        <v>0</v>
      </c>
      <c r="K114" s="1" cm="1">
        <f t="array" ref="K114">_xlfn.SWITCH($A$2,"average", AVERAGE(Instances!K114:Instances!K114),"median", MEDIAN(Instances!K114:Instances!K114),"min", MIN(Instances!K114:Instances!K114),"max", MAX(Instances!K114:Instances!K114),"diff", MAX(Instances!K114:Instances!K114)-MIN(Instances!K114:Instances!K114))</f>
        <v>0</v>
      </c>
      <c r="L114" s="1"/>
      <c r="M114" s="1" cm="1">
        <f t="array" ref="M114">_xlfn.SWITCH($A$2,"average", AVERAGE(Instances!M114:Instances!M114),"median", MEDIAN(Instances!M114:Instances!M114),"min", MIN(Instances!M114:Instances!M114),"max", MAX(Instances!M114:Instances!M114),"diff", MAX(Instances!M114:Instances!M114)-MIN(Instances!M114:Instances!M114))</f>
        <v>0</v>
      </c>
      <c r="N114" s="1" cm="1">
        <f t="array" ref="N114">_xlfn.SWITCH($A$2,"average", AVERAGE(Instances!N114:Instances!N114),"median", MEDIAN(Instances!N114:Instances!N114),"min", MIN(Instances!N114:Instances!N114),"max", MAX(Instances!N114:Instances!N114),"diff", MAX(Instances!N114:Instances!N114)-MIN(Instances!N114:Instances!N114))</f>
        <v>0</v>
      </c>
      <c r="O114" s="1"/>
      <c r="P114" s="1" cm="1">
        <f t="array" ref="P114">_xlfn.SWITCH($A$2,"average", AVERAGE(Instances!P114:Instances!P114),"median", MEDIAN(Instances!P114:Instances!P114),"min", MIN(Instances!P114:Instances!P114),"max", MAX(Instances!P114:Instances!P114),"diff", MAX(Instances!P114:Instances!P114)-MIN(Instances!P114:Instances!P114))</f>
        <v>0</v>
      </c>
      <c r="Q114" s="1" cm="1">
        <f t="array" ref="Q114">_xlfn.SWITCH($A$2,"average", AVERAGE(Instances!Q114:Instances!Q114),"median", MEDIAN(Instances!Q114:Instances!Q114),"min", MIN(Instances!Q114:Instances!Q114),"max", MAX(Instances!Q114:Instances!Q114),"diff", MAX(Instances!Q114:Instances!Q114)-MIN(Instances!Q114:Instances!Q114))</f>
        <v>0</v>
      </c>
      <c r="R114" s="1" cm="1">
        <f t="array" ref="R114">_xlfn.SWITCH($A$2,"average", AVERAGE(Instances!R114:Instances!R114),"median", MEDIAN(Instances!R114:Instances!R114),"min", MIN(Instances!R114:Instances!R114),"max", MAX(Instances!R114:Instances!R114),"diff", MAX(Instances!R114:Instances!R114)-MIN(Instances!R114:Instances!R114))</f>
        <v>0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 cm="1">
        <f t="array" ref="B115">_xlfn.SWITCH($A$2,"average", AVERAGE(Instances!B115:Instances!B115),"median", MEDIAN(Instances!B115:Instances!B115),"min", MIN(Instances!B115:Instances!B115),"max", MAX(Instances!B115:Instances!B115),"diff", MAX(Instances!B115:Instances!B115)-MIN(Instances!B115:Instances!B115))</f>
        <v>0</v>
      </c>
      <c r="C115" s="1" cm="1">
        <f t="array" ref="C115">_xlfn.SWITCH($A$2,"average", AVERAGE(Instances!C115:Instances!C115),"median", MEDIAN(Instances!C115:Instances!C115),"min", MIN(Instances!C115:Instances!C115),"max", MAX(Instances!C115:Instances!C115),"diff", MAX(Instances!C115:Instances!C115)-MIN(Instances!C115:Instances!C115))</f>
        <v>0</v>
      </c>
      <c r="D115" s="1" cm="1">
        <f t="array" ref="D115">_xlfn.SWITCH($A$2,"average", AVERAGE(Instances!D115:Instances!D115),"median", MEDIAN(Instances!D115:Instances!D115),"min", MIN(Instances!D115:Instances!D115),"max", MAX(Instances!D115:Instances!D115),"diff", MAX(Instances!D115:Instances!D115)-MIN(Instances!D115:Instances!D115))</f>
        <v>0</v>
      </c>
      <c r="E115" s="1" cm="1">
        <f t="array" ref="E115">_xlfn.SWITCH($A$2,"average", AVERAGE(Instances!E115:Instances!E115),"median", MEDIAN(Instances!E115:Instances!E115),"min", MIN(Instances!E115:Instances!E115),"max", MAX(Instances!E115:Instances!E115),"diff", MAX(Instances!E115:Instances!E115)-MIN(Instances!E115:Instances!E115))</f>
        <v>0</v>
      </c>
      <c r="F115" s="1" cm="1">
        <f t="array" ref="F115">_xlfn.SWITCH($A$2,"average", AVERAGE(Instances!F115:Instances!F115),"median", MEDIAN(Instances!F115:Instances!F115),"min", MIN(Instances!F115:Instances!F115),"max", MAX(Instances!F115:Instances!F115),"diff", MAX(Instances!F115:Instances!F115)-MIN(Instances!F115:Instances!F115))</f>
        <v>0</v>
      </c>
      <c r="G115" s="1" cm="1">
        <f t="array" ref="G115">_xlfn.SWITCH($A$2,"average", AVERAGE(Instances!G115:Instances!G115),"median", MEDIAN(Instances!G115:Instances!G115),"min", MIN(Instances!G115:Instances!G115),"max", MAX(Instances!G115:Instances!G115),"diff", MAX(Instances!G115:Instances!G115)-MIN(Instances!G115:Instances!G115))</f>
        <v>0</v>
      </c>
      <c r="H115" s="1" cm="1">
        <f t="array" ref="H115">_xlfn.SWITCH($A$2,"average", AVERAGE(Instances!H115:Instances!H115),"median", MEDIAN(Instances!H115:Instances!H115),"min", MIN(Instances!H115:Instances!H115),"max", MAX(Instances!H115:Instances!H115),"diff", MAX(Instances!H115:Instances!H115)-MIN(Instances!H115:Instances!H115))</f>
        <v>0</v>
      </c>
      <c r="I115" s="1" cm="1">
        <f t="array" ref="I115">_xlfn.SWITCH($A$2,"average", AVERAGE(Instances!I115:Instances!I115),"median", MEDIAN(Instances!I115:Instances!I115),"min", MIN(Instances!I115:Instances!I115),"max", MAX(Instances!I115:Instances!I115),"diff", MAX(Instances!I115:Instances!I115)-MIN(Instances!I115:Instances!I115))</f>
        <v>0</v>
      </c>
      <c r="J115" s="1" cm="1">
        <f t="array" ref="J115">_xlfn.SWITCH($A$2,"average", AVERAGE(Instances!J115:Instances!J115),"median", MEDIAN(Instances!J115:Instances!J115),"min", MIN(Instances!J115:Instances!J115),"max", MAX(Instances!J115:Instances!J115),"diff", MAX(Instances!J115:Instances!J115)-MIN(Instances!J115:Instances!J115))</f>
        <v>0</v>
      </c>
      <c r="K115" s="1" cm="1">
        <f t="array" ref="K115">_xlfn.SWITCH($A$2,"average", AVERAGE(Instances!K115:Instances!K115),"median", MEDIAN(Instances!K115:Instances!K115),"min", MIN(Instances!K115:Instances!K115),"max", MAX(Instances!K115:Instances!K115),"diff", MAX(Instances!K115:Instances!K115)-MIN(Instances!K115:Instances!K115))</f>
        <v>0</v>
      </c>
      <c r="L115" s="1"/>
      <c r="M115" s="1" cm="1">
        <f t="array" ref="M115">_xlfn.SWITCH($A$2,"average", AVERAGE(Instances!M115:Instances!M115),"median", MEDIAN(Instances!M115:Instances!M115),"min", MIN(Instances!M115:Instances!M115),"max", MAX(Instances!M115:Instances!M115),"diff", MAX(Instances!M115:Instances!M115)-MIN(Instances!M115:Instances!M115))</f>
        <v>0</v>
      </c>
      <c r="N115" s="1" cm="1">
        <f t="array" ref="N115">_xlfn.SWITCH($A$2,"average", AVERAGE(Instances!N115:Instances!N115),"median", MEDIAN(Instances!N115:Instances!N115),"min", MIN(Instances!N115:Instances!N115),"max", MAX(Instances!N115:Instances!N115),"diff", MAX(Instances!N115:Instances!N115)-MIN(Instances!N115:Instances!N115))</f>
        <v>0</v>
      </c>
      <c r="O115" s="1"/>
      <c r="P115" s="1" cm="1">
        <f t="array" ref="P115">_xlfn.SWITCH($A$2,"average", AVERAGE(Instances!P115:Instances!P115),"median", MEDIAN(Instances!P115:Instances!P115),"min", MIN(Instances!P115:Instances!P115),"max", MAX(Instances!P115:Instances!P115),"diff", MAX(Instances!P115:Instances!P115)-MIN(Instances!P115:Instances!P115))</f>
        <v>0</v>
      </c>
      <c r="Q115" s="1" cm="1">
        <f t="array" ref="Q115">_xlfn.SWITCH($A$2,"average", AVERAGE(Instances!Q115:Instances!Q115),"median", MEDIAN(Instances!Q115:Instances!Q115),"min", MIN(Instances!Q115:Instances!Q115),"max", MAX(Instances!Q115:Instances!Q115),"diff", MAX(Instances!Q115:Instances!Q115)-MIN(Instances!Q115:Instances!Q115))</f>
        <v>0</v>
      </c>
      <c r="R115" s="1" cm="1">
        <f t="array" ref="R115">_xlfn.SWITCH($A$2,"average", AVERAGE(Instances!R115:Instances!R115),"median", MEDIAN(Instances!R115:Instances!R115),"min", MIN(Instances!R115:Instances!R115),"max", MAX(Instances!R115:Instances!R115),"diff", MAX(Instances!R115:Instances!R115)-MIN(Instances!R115:Instances!R115))</f>
        <v>0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 cm="1">
        <f t="array" ref="B116">_xlfn.SWITCH($A$2,"average", AVERAGE(Instances!B116:Instances!B116),"median", MEDIAN(Instances!B116:Instances!B116),"min", MIN(Instances!B116:Instances!B116),"max", MAX(Instances!B116:Instances!B116),"diff", MAX(Instances!B116:Instances!B116)-MIN(Instances!B116:Instances!B116))</f>
        <v>0</v>
      </c>
      <c r="C116" s="1" cm="1">
        <f t="array" ref="C116">_xlfn.SWITCH($A$2,"average", AVERAGE(Instances!C116:Instances!C116),"median", MEDIAN(Instances!C116:Instances!C116),"min", MIN(Instances!C116:Instances!C116),"max", MAX(Instances!C116:Instances!C116),"diff", MAX(Instances!C116:Instances!C116)-MIN(Instances!C116:Instances!C116))</f>
        <v>0</v>
      </c>
      <c r="D116" s="1" cm="1">
        <f t="array" ref="D116">_xlfn.SWITCH($A$2,"average", AVERAGE(Instances!D116:Instances!D116),"median", MEDIAN(Instances!D116:Instances!D116),"min", MIN(Instances!D116:Instances!D116),"max", MAX(Instances!D116:Instances!D116),"diff", MAX(Instances!D116:Instances!D116)-MIN(Instances!D116:Instances!D116))</f>
        <v>0</v>
      </c>
      <c r="E116" s="1" cm="1">
        <f t="array" ref="E116">_xlfn.SWITCH($A$2,"average", AVERAGE(Instances!E116:Instances!E116),"median", MEDIAN(Instances!E116:Instances!E116),"min", MIN(Instances!E116:Instances!E116),"max", MAX(Instances!E116:Instances!E116),"diff", MAX(Instances!E116:Instances!E116)-MIN(Instances!E116:Instances!E116))</f>
        <v>0</v>
      </c>
      <c r="F116" s="1" cm="1">
        <f t="array" ref="F116">_xlfn.SWITCH($A$2,"average", AVERAGE(Instances!F116:Instances!F116),"median", MEDIAN(Instances!F116:Instances!F116),"min", MIN(Instances!F116:Instances!F116),"max", MAX(Instances!F116:Instances!F116),"diff", MAX(Instances!F116:Instances!F116)-MIN(Instances!F116:Instances!F116))</f>
        <v>0</v>
      </c>
      <c r="G116" s="1" cm="1">
        <f t="array" ref="G116">_xlfn.SWITCH($A$2,"average", AVERAGE(Instances!G116:Instances!G116),"median", MEDIAN(Instances!G116:Instances!G116),"min", MIN(Instances!G116:Instances!G116),"max", MAX(Instances!G116:Instances!G116),"diff", MAX(Instances!G116:Instances!G116)-MIN(Instances!G116:Instances!G116))</f>
        <v>0</v>
      </c>
      <c r="H116" s="1" cm="1">
        <f t="array" ref="H116">_xlfn.SWITCH($A$2,"average", AVERAGE(Instances!H116:Instances!H116),"median", MEDIAN(Instances!H116:Instances!H116),"min", MIN(Instances!H116:Instances!H116),"max", MAX(Instances!H116:Instances!H116),"diff", MAX(Instances!H116:Instances!H116)-MIN(Instances!H116:Instances!H116))</f>
        <v>0</v>
      </c>
      <c r="I116" s="1" cm="1">
        <f t="array" ref="I116">_xlfn.SWITCH($A$2,"average", AVERAGE(Instances!I116:Instances!I116),"median", MEDIAN(Instances!I116:Instances!I116),"min", MIN(Instances!I116:Instances!I116),"max", MAX(Instances!I116:Instances!I116),"diff", MAX(Instances!I116:Instances!I116)-MIN(Instances!I116:Instances!I116))</f>
        <v>0</v>
      </c>
      <c r="J116" s="1" cm="1">
        <f t="array" ref="J116">_xlfn.SWITCH($A$2,"average", AVERAGE(Instances!J116:Instances!J116),"median", MEDIAN(Instances!J116:Instances!J116),"min", MIN(Instances!J116:Instances!J116),"max", MAX(Instances!J116:Instances!J116),"diff", MAX(Instances!J116:Instances!J116)-MIN(Instances!J116:Instances!J116))</f>
        <v>0</v>
      </c>
      <c r="K116" s="1" cm="1">
        <f t="array" ref="K116">_xlfn.SWITCH($A$2,"average", AVERAGE(Instances!K116:Instances!K116),"median", MEDIAN(Instances!K116:Instances!K116),"min", MIN(Instances!K116:Instances!K116),"max", MAX(Instances!K116:Instances!K116),"diff", MAX(Instances!K116:Instances!K116)-MIN(Instances!K116:Instances!K116))</f>
        <v>0</v>
      </c>
      <c r="L116" s="1"/>
      <c r="M116" s="1" cm="1">
        <f t="array" ref="M116">_xlfn.SWITCH($A$2,"average", AVERAGE(Instances!M116:Instances!M116),"median", MEDIAN(Instances!M116:Instances!M116),"min", MIN(Instances!M116:Instances!M116),"max", MAX(Instances!M116:Instances!M116),"diff", MAX(Instances!M116:Instances!M116)-MIN(Instances!M116:Instances!M116))</f>
        <v>0</v>
      </c>
      <c r="N116" s="1" cm="1">
        <f t="array" ref="N116">_xlfn.SWITCH($A$2,"average", AVERAGE(Instances!N116:Instances!N116),"median", MEDIAN(Instances!N116:Instances!N116),"min", MIN(Instances!N116:Instances!N116),"max", MAX(Instances!N116:Instances!N116),"diff", MAX(Instances!N116:Instances!N116)-MIN(Instances!N116:Instances!N116))</f>
        <v>0</v>
      </c>
      <c r="O116" s="1"/>
      <c r="P116" s="1" cm="1">
        <f t="array" ref="P116">_xlfn.SWITCH($A$2,"average", AVERAGE(Instances!P116:Instances!P116),"median", MEDIAN(Instances!P116:Instances!P116),"min", MIN(Instances!P116:Instances!P116),"max", MAX(Instances!P116:Instances!P116),"diff", MAX(Instances!P116:Instances!P116)-MIN(Instances!P116:Instances!P116))</f>
        <v>0</v>
      </c>
      <c r="Q116" s="1" cm="1">
        <f t="array" ref="Q116">_xlfn.SWITCH($A$2,"average", AVERAGE(Instances!Q116:Instances!Q116),"median", MEDIAN(Instances!Q116:Instances!Q116),"min", MIN(Instances!Q116:Instances!Q116),"max", MAX(Instances!Q116:Instances!Q116),"diff", MAX(Instances!Q116:Instances!Q116)-MIN(Instances!Q116:Instances!Q116))</f>
        <v>0</v>
      </c>
      <c r="R116" s="1" cm="1">
        <f t="array" ref="R116">_xlfn.SWITCH($A$2,"average", AVERAGE(Instances!R116:Instances!R116),"median", MEDIAN(Instances!R116:Instances!R116),"min", MIN(Instances!R116:Instances!R116),"max", MAX(Instances!R116:Instances!R116),"diff", MAX(Instances!R116:Instances!R116)-MIN(Instances!R116:Instances!R116))</f>
        <v>0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 cm="1">
        <f t="array" ref="B117">_xlfn.SWITCH($A$2,"average", AVERAGE(Instances!B117:Instances!B117),"median", MEDIAN(Instances!B117:Instances!B117),"min", MIN(Instances!B117:Instances!B117),"max", MAX(Instances!B117:Instances!B117),"diff", MAX(Instances!B117:Instances!B117)-MIN(Instances!B117:Instances!B117))</f>
        <v>0</v>
      </c>
      <c r="C117" s="1" cm="1">
        <f t="array" ref="C117">_xlfn.SWITCH($A$2,"average", AVERAGE(Instances!C117:Instances!C117),"median", MEDIAN(Instances!C117:Instances!C117),"min", MIN(Instances!C117:Instances!C117),"max", MAX(Instances!C117:Instances!C117),"diff", MAX(Instances!C117:Instances!C117)-MIN(Instances!C117:Instances!C117))</f>
        <v>0</v>
      </c>
      <c r="D117" s="1" cm="1">
        <f t="array" ref="D117">_xlfn.SWITCH($A$2,"average", AVERAGE(Instances!D117:Instances!D117),"median", MEDIAN(Instances!D117:Instances!D117),"min", MIN(Instances!D117:Instances!D117),"max", MAX(Instances!D117:Instances!D117),"diff", MAX(Instances!D117:Instances!D117)-MIN(Instances!D117:Instances!D117))</f>
        <v>0</v>
      </c>
      <c r="E117" s="1" cm="1">
        <f t="array" ref="E117">_xlfn.SWITCH($A$2,"average", AVERAGE(Instances!E117:Instances!E117),"median", MEDIAN(Instances!E117:Instances!E117),"min", MIN(Instances!E117:Instances!E117),"max", MAX(Instances!E117:Instances!E117),"diff", MAX(Instances!E117:Instances!E117)-MIN(Instances!E117:Instances!E117))</f>
        <v>0</v>
      </c>
      <c r="F117" s="1" cm="1">
        <f t="array" ref="F117">_xlfn.SWITCH($A$2,"average", AVERAGE(Instances!F117:Instances!F117),"median", MEDIAN(Instances!F117:Instances!F117),"min", MIN(Instances!F117:Instances!F117),"max", MAX(Instances!F117:Instances!F117),"diff", MAX(Instances!F117:Instances!F117)-MIN(Instances!F117:Instances!F117))</f>
        <v>0</v>
      </c>
      <c r="G117" s="1" cm="1">
        <f t="array" ref="G117">_xlfn.SWITCH($A$2,"average", AVERAGE(Instances!G117:Instances!G117),"median", MEDIAN(Instances!G117:Instances!G117),"min", MIN(Instances!G117:Instances!G117),"max", MAX(Instances!G117:Instances!G117),"diff", MAX(Instances!G117:Instances!G117)-MIN(Instances!G117:Instances!G117))</f>
        <v>0</v>
      </c>
      <c r="H117" s="1" cm="1">
        <f t="array" ref="H117">_xlfn.SWITCH($A$2,"average", AVERAGE(Instances!H117:Instances!H117),"median", MEDIAN(Instances!H117:Instances!H117),"min", MIN(Instances!H117:Instances!H117),"max", MAX(Instances!H117:Instances!H117),"diff", MAX(Instances!H117:Instances!H117)-MIN(Instances!H117:Instances!H117))</f>
        <v>0</v>
      </c>
      <c r="I117" s="1" cm="1">
        <f t="array" ref="I117">_xlfn.SWITCH($A$2,"average", AVERAGE(Instances!I117:Instances!I117),"median", MEDIAN(Instances!I117:Instances!I117),"min", MIN(Instances!I117:Instances!I117),"max", MAX(Instances!I117:Instances!I117),"diff", MAX(Instances!I117:Instances!I117)-MIN(Instances!I117:Instances!I117))</f>
        <v>0</v>
      </c>
      <c r="J117" s="1" cm="1">
        <f t="array" ref="J117">_xlfn.SWITCH($A$2,"average", AVERAGE(Instances!J117:Instances!J117),"median", MEDIAN(Instances!J117:Instances!J117),"min", MIN(Instances!J117:Instances!J117),"max", MAX(Instances!J117:Instances!J117),"diff", MAX(Instances!J117:Instances!J117)-MIN(Instances!J117:Instances!J117))</f>
        <v>0</v>
      </c>
      <c r="K117" s="1" cm="1">
        <f t="array" ref="K117">_xlfn.SWITCH($A$2,"average", AVERAGE(Instances!K117:Instances!K117),"median", MEDIAN(Instances!K117:Instances!K117),"min", MIN(Instances!K117:Instances!K117),"max", MAX(Instances!K117:Instances!K117),"diff", MAX(Instances!K117:Instances!K117)-MIN(Instances!K117:Instances!K117))</f>
        <v>0</v>
      </c>
      <c r="L117" s="1"/>
      <c r="M117" s="1" cm="1">
        <f t="array" ref="M117">_xlfn.SWITCH($A$2,"average", AVERAGE(Instances!M117:Instances!M117),"median", MEDIAN(Instances!M117:Instances!M117),"min", MIN(Instances!M117:Instances!M117),"max", MAX(Instances!M117:Instances!M117),"diff", MAX(Instances!M117:Instances!M117)-MIN(Instances!M117:Instances!M117))</f>
        <v>0</v>
      </c>
      <c r="N117" s="1" cm="1">
        <f t="array" ref="N117">_xlfn.SWITCH($A$2,"average", AVERAGE(Instances!N117:Instances!N117),"median", MEDIAN(Instances!N117:Instances!N117),"min", MIN(Instances!N117:Instances!N117),"max", MAX(Instances!N117:Instances!N117),"diff", MAX(Instances!N117:Instances!N117)-MIN(Instances!N117:Instances!N117))</f>
        <v>0</v>
      </c>
      <c r="O117" s="1"/>
      <c r="P117" s="1" cm="1">
        <f t="array" ref="P117">_xlfn.SWITCH($A$2,"average", AVERAGE(Instances!P117:Instances!P117),"median", MEDIAN(Instances!P117:Instances!P117),"min", MIN(Instances!P117:Instances!P117),"max", MAX(Instances!P117:Instances!P117),"diff", MAX(Instances!P117:Instances!P117)-MIN(Instances!P117:Instances!P117))</f>
        <v>0</v>
      </c>
      <c r="Q117" s="1" cm="1">
        <f t="array" ref="Q117">_xlfn.SWITCH($A$2,"average", AVERAGE(Instances!Q117:Instances!Q117),"median", MEDIAN(Instances!Q117:Instances!Q117),"min", MIN(Instances!Q117:Instances!Q117),"max", MAX(Instances!Q117:Instances!Q117),"diff", MAX(Instances!Q117:Instances!Q117)-MIN(Instances!Q117:Instances!Q117))</f>
        <v>0</v>
      </c>
      <c r="R117" s="1" cm="1">
        <f t="array" ref="R117">_xlfn.SWITCH($A$2,"average", AVERAGE(Instances!R117:Instances!R117),"median", MEDIAN(Instances!R117:Instances!R117),"min", MIN(Instances!R117:Instances!R117),"max", MAX(Instances!R117:Instances!R117),"diff", MAX(Instances!R117:Instances!R117)-MIN(Instances!R117:Instances!R117))</f>
        <v>0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 cm="1">
        <f t="array" ref="B118">_xlfn.SWITCH($A$2,"average", AVERAGE(Instances!B118:Instances!B118),"median", MEDIAN(Instances!B118:Instances!B118),"min", MIN(Instances!B118:Instances!B118),"max", MAX(Instances!B118:Instances!B118),"diff", MAX(Instances!B118:Instances!B118)-MIN(Instances!B118:Instances!B118))</f>
        <v>0</v>
      </c>
      <c r="C118" s="1" cm="1">
        <f t="array" ref="C118">_xlfn.SWITCH($A$2,"average", AVERAGE(Instances!C118:Instances!C118),"median", MEDIAN(Instances!C118:Instances!C118),"min", MIN(Instances!C118:Instances!C118),"max", MAX(Instances!C118:Instances!C118),"diff", MAX(Instances!C118:Instances!C118)-MIN(Instances!C118:Instances!C118))</f>
        <v>0</v>
      </c>
      <c r="D118" s="1" cm="1">
        <f t="array" ref="D118">_xlfn.SWITCH($A$2,"average", AVERAGE(Instances!D118:Instances!D118),"median", MEDIAN(Instances!D118:Instances!D118),"min", MIN(Instances!D118:Instances!D118),"max", MAX(Instances!D118:Instances!D118),"diff", MAX(Instances!D118:Instances!D118)-MIN(Instances!D118:Instances!D118))</f>
        <v>0</v>
      </c>
      <c r="E118" s="1" cm="1">
        <f t="array" ref="E118">_xlfn.SWITCH($A$2,"average", AVERAGE(Instances!E118:Instances!E118),"median", MEDIAN(Instances!E118:Instances!E118),"min", MIN(Instances!E118:Instances!E118),"max", MAX(Instances!E118:Instances!E118),"diff", MAX(Instances!E118:Instances!E118)-MIN(Instances!E118:Instances!E118))</f>
        <v>0</v>
      </c>
      <c r="F118" s="1" cm="1">
        <f t="array" ref="F118">_xlfn.SWITCH($A$2,"average", AVERAGE(Instances!F118:Instances!F118),"median", MEDIAN(Instances!F118:Instances!F118),"min", MIN(Instances!F118:Instances!F118),"max", MAX(Instances!F118:Instances!F118),"diff", MAX(Instances!F118:Instances!F118)-MIN(Instances!F118:Instances!F118))</f>
        <v>0</v>
      </c>
      <c r="G118" s="1" cm="1">
        <f t="array" ref="G118">_xlfn.SWITCH($A$2,"average", AVERAGE(Instances!G118:Instances!G118),"median", MEDIAN(Instances!G118:Instances!G118),"min", MIN(Instances!G118:Instances!G118),"max", MAX(Instances!G118:Instances!G118),"diff", MAX(Instances!G118:Instances!G118)-MIN(Instances!G118:Instances!G118))</f>
        <v>0</v>
      </c>
      <c r="H118" s="1" cm="1">
        <f t="array" ref="H118">_xlfn.SWITCH($A$2,"average", AVERAGE(Instances!H118:Instances!H118),"median", MEDIAN(Instances!H118:Instances!H118),"min", MIN(Instances!H118:Instances!H118),"max", MAX(Instances!H118:Instances!H118),"diff", MAX(Instances!H118:Instances!H118)-MIN(Instances!H118:Instances!H118))</f>
        <v>0</v>
      </c>
      <c r="I118" s="1" cm="1">
        <f t="array" ref="I118">_xlfn.SWITCH($A$2,"average", AVERAGE(Instances!I118:Instances!I118),"median", MEDIAN(Instances!I118:Instances!I118),"min", MIN(Instances!I118:Instances!I118),"max", MAX(Instances!I118:Instances!I118),"diff", MAX(Instances!I118:Instances!I118)-MIN(Instances!I118:Instances!I118))</f>
        <v>0</v>
      </c>
      <c r="J118" s="1" cm="1">
        <f t="array" ref="J118">_xlfn.SWITCH($A$2,"average", AVERAGE(Instances!J118:Instances!J118),"median", MEDIAN(Instances!J118:Instances!J118),"min", MIN(Instances!J118:Instances!J118),"max", MAX(Instances!J118:Instances!J118),"diff", MAX(Instances!J118:Instances!J118)-MIN(Instances!J118:Instances!J118))</f>
        <v>0</v>
      </c>
      <c r="K118" s="1" cm="1">
        <f t="array" ref="K118">_xlfn.SWITCH($A$2,"average", AVERAGE(Instances!K118:Instances!K118),"median", MEDIAN(Instances!K118:Instances!K118),"min", MIN(Instances!K118:Instances!K118),"max", MAX(Instances!K118:Instances!K118),"diff", MAX(Instances!K118:Instances!K118)-MIN(Instances!K118:Instances!K118))</f>
        <v>0</v>
      </c>
      <c r="L118" s="1"/>
      <c r="M118" s="1" cm="1">
        <f t="array" ref="M118">_xlfn.SWITCH($A$2,"average", AVERAGE(Instances!M118:Instances!M118),"median", MEDIAN(Instances!M118:Instances!M118),"min", MIN(Instances!M118:Instances!M118),"max", MAX(Instances!M118:Instances!M118),"diff", MAX(Instances!M118:Instances!M118)-MIN(Instances!M118:Instances!M118))</f>
        <v>0</v>
      </c>
      <c r="N118" s="1" cm="1">
        <f t="array" ref="N118">_xlfn.SWITCH($A$2,"average", AVERAGE(Instances!N118:Instances!N118),"median", MEDIAN(Instances!N118:Instances!N118),"min", MIN(Instances!N118:Instances!N118),"max", MAX(Instances!N118:Instances!N118),"diff", MAX(Instances!N118:Instances!N118)-MIN(Instances!N118:Instances!N118))</f>
        <v>0</v>
      </c>
      <c r="O118" s="1"/>
      <c r="P118" s="1" cm="1">
        <f t="array" ref="P118">_xlfn.SWITCH($A$2,"average", AVERAGE(Instances!P118:Instances!P118),"median", MEDIAN(Instances!P118:Instances!P118),"min", MIN(Instances!P118:Instances!P118),"max", MAX(Instances!P118:Instances!P118),"diff", MAX(Instances!P118:Instances!P118)-MIN(Instances!P118:Instances!P118))</f>
        <v>0</v>
      </c>
      <c r="Q118" s="1" cm="1">
        <f t="array" ref="Q118">_xlfn.SWITCH($A$2,"average", AVERAGE(Instances!Q118:Instances!Q118),"median", MEDIAN(Instances!Q118:Instances!Q118),"min", MIN(Instances!Q118:Instances!Q118),"max", MAX(Instances!Q118:Instances!Q118),"diff", MAX(Instances!Q118:Instances!Q118)-MIN(Instances!Q118:Instances!Q118))</f>
        <v>0</v>
      </c>
      <c r="R118" s="1" cm="1">
        <f t="array" ref="R118">_xlfn.SWITCH($A$2,"average", AVERAGE(Instances!R118:Instances!R118),"median", MEDIAN(Instances!R118:Instances!R118),"min", MIN(Instances!R118:Instances!R118),"max", MAX(Instances!R118:Instances!R118),"diff", MAX(Instances!R118:Instances!R118)-MIN(Instances!R118:Instances!R118))</f>
        <v>0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 cm="1">
        <f t="array" ref="B119">_xlfn.SWITCH($A$2,"average", AVERAGE(Instances!B119:Instances!B119),"median", MEDIAN(Instances!B119:Instances!B119),"min", MIN(Instances!B119:Instances!B119),"max", MAX(Instances!B119:Instances!B119),"diff", MAX(Instances!B119:Instances!B119)-MIN(Instances!B119:Instances!B119))</f>
        <v>0</v>
      </c>
      <c r="C119" s="1" cm="1">
        <f t="array" ref="C119">_xlfn.SWITCH($A$2,"average", AVERAGE(Instances!C119:Instances!C119),"median", MEDIAN(Instances!C119:Instances!C119),"min", MIN(Instances!C119:Instances!C119),"max", MAX(Instances!C119:Instances!C119),"diff", MAX(Instances!C119:Instances!C119)-MIN(Instances!C119:Instances!C119))</f>
        <v>0</v>
      </c>
      <c r="D119" s="1" cm="1">
        <f t="array" ref="D119">_xlfn.SWITCH($A$2,"average", AVERAGE(Instances!D119:Instances!D119),"median", MEDIAN(Instances!D119:Instances!D119),"min", MIN(Instances!D119:Instances!D119),"max", MAX(Instances!D119:Instances!D119),"diff", MAX(Instances!D119:Instances!D119)-MIN(Instances!D119:Instances!D119))</f>
        <v>0</v>
      </c>
      <c r="E119" s="1" cm="1">
        <f t="array" ref="E119">_xlfn.SWITCH($A$2,"average", AVERAGE(Instances!E119:Instances!E119),"median", MEDIAN(Instances!E119:Instances!E119),"min", MIN(Instances!E119:Instances!E119),"max", MAX(Instances!E119:Instances!E119),"diff", MAX(Instances!E119:Instances!E119)-MIN(Instances!E119:Instances!E119))</f>
        <v>0</v>
      </c>
      <c r="F119" s="1" cm="1">
        <f t="array" ref="F119">_xlfn.SWITCH($A$2,"average", AVERAGE(Instances!F119:Instances!F119),"median", MEDIAN(Instances!F119:Instances!F119),"min", MIN(Instances!F119:Instances!F119),"max", MAX(Instances!F119:Instances!F119),"diff", MAX(Instances!F119:Instances!F119)-MIN(Instances!F119:Instances!F119))</f>
        <v>0</v>
      </c>
      <c r="G119" s="1" cm="1">
        <f t="array" ref="G119">_xlfn.SWITCH($A$2,"average", AVERAGE(Instances!G119:Instances!G119),"median", MEDIAN(Instances!G119:Instances!G119),"min", MIN(Instances!G119:Instances!G119),"max", MAX(Instances!G119:Instances!G119),"diff", MAX(Instances!G119:Instances!G119)-MIN(Instances!G119:Instances!G119))</f>
        <v>0</v>
      </c>
      <c r="H119" s="1" cm="1">
        <f t="array" ref="H119">_xlfn.SWITCH($A$2,"average", AVERAGE(Instances!H119:Instances!H119),"median", MEDIAN(Instances!H119:Instances!H119),"min", MIN(Instances!H119:Instances!H119),"max", MAX(Instances!H119:Instances!H119),"diff", MAX(Instances!H119:Instances!H119)-MIN(Instances!H119:Instances!H119))</f>
        <v>0</v>
      </c>
      <c r="I119" s="1" cm="1">
        <f t="array" ref="I119">_xlfn.SWITCH($A$2,"average", AVERAGE(Instances!I119:Instances!I119),"median", MEDIAN(Instances!I119:Instances!I119),"min", MIN(Instances!I119:Instances!I119),"max", MAX(Instances!I119:Instances!I119),"diff", MAX(Instances!I119:Instances!I119)-MIN(Instances!I119:Instances!I119))</f>
        <v>0</v>
      </c>
      <c r="J119" s="1" cm="1">
        <f t="array" ref="J119">_xlfn.SWITCH($A$2,"average", AVERAGE(Instances!J119:Instances!J119),"median", MEDIAN(Instances!J119:Instances!J119),"min", MIN(Instances!J119:Instances!J119),"max", MAX(Instances!J119:Instances!J119),"diff", MAX(Instances!J119:Instances!J119)-MIN(Instances!J119:Instances!J119))</f>
        <v>0</v>
      </c>
      <c r="K119" s="1" cm="1">
        <f t="array" ref="K119">_xlfn.SWITCH($A$2,"average", AVERAGE(Instances!K119:Instances!K119),"median", MEDIAN(Instances!K119:Instances!K119),"min", MIN(Instances!K119:Instances!K119),"max", MAX(Instances!K119:Instances!K119),"diff", MAX(Instances!K119:Instances!K119)-MIN(Instances!K119:Instances!K119))</f>
        <v>0</v>
      </c>
      <c r="L119" s="1"/>
      <c r="M119" s="1" cm="1">
        <f t="array" ref="M119">_xlfn.SWITCH($A$2,"average", AVERAGE(Instances!M119:Instances!M119),"median", MEDIAN(Instances!M119:Instances!M119),"min", MIN(Instances!M119:Instances!M119),"max", MAX(Instances!M119:Instances!M119),"diff", MAX(Instances!M119:Instances!M119)-MIN(Instances!M119:Instances!M119))</f>
        <v>0</v>
      </c>
      <c r="N119" s="1" cm="1">
        <f t="array" ref="N119">_xlfn.SWITCH($A$2,"average", AVERAGE(Instances!N119:Instances!N119),"median", MEDIAN(Instances!N119:Instances!N119),"min", MIN(Instances!N119:Instances!N119),"max", MAX(Instances!N119:Instances!N119),"diff", MAX(Instances!N119:Instances!N119)-MIN(Instances!N119:Instances!N119))</f>
        <v>0</v>
      </c>
      <c r="O119" s="1"/>
      <c r="P119" s="1" cm="1">
        <f t="array" ref="P119">_xlfn.SWITCH($A$2,"average", AVERAGE(Instances!P119:Instances!P119),"median", MEDIAN(Instances!P119:Instances!P119),"min", MIN(Instances!P119:Instances!P119),"max", MAX(Instances!P119:Instances!P119),"diff", MAX(Instances!P119:Instances!P119)-MIN(Instances!P119:Instances!P119))</f>
        <v>0</v>
      </c>
      <c r="Q119" s="1" cm="1">
        <f t="array" ref="Q119">_xlfn.SWITCH($A$2,"average", AVERAGE(Instances!Q119:Instances!Q119),"median", MEDIAN(Instances!Q119:Instances!Q119),"min", MIN(Instances!Q119:Instances!Q119),"max", MAX(Instances!Q119:Instances!Q119),"diff", MAX(Instances!Q119:Instances!Q119)-MIN(Instances!Q119:Instances!Q119))</f>
        <v>0</v>
      </c>
      <c r="R119" s="1" cm="1">
        <f t="array" ref="R119">_xlfn.SWITCH($A$2,"average", AVERAGE(Instances!R119:Instances!R119),"median", MEDIAN(Instances!R119:Instances!R119),"min", MIN(Instances!R119:Instances!R119),"max", MAX(Instances!R119:Instances!R119),"diff", MAX(Instances!R119:Instances!R119)-MIN(Instances!R119:Instances!R119))</f>
        <v>0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 cm="1">
        <f t="array" ref="B120">_xlfn.SWITCH($A$2,"average", AVERAGE(Instances!B120:Instances!B120),"median", MEDIAN(Instances!B120:Instances!B120),"min", MIN(Instances!B120:Instances!B120),"max", MAX(Instances!B120:Instances!B120),"diff", MAX(Instances!B120:Instances!B120)-MIN(Instances!B120:Instances!B120))</f>
        <v>0</v>
      </c>
      <c r="C120" s="1" cm="1">
        <f t="array" ref="C120">_xlfn.SWITCH($A$2,"average", AVERAGE(Instances!C120:Instances!C120),"median", MEDIAN(Instances!C120:Instances!C120),"min", MIN(Instances!C120:Instances!C120),"max", MAX(Instances!C120:Instances!C120),"diff", MAX(Instances!C120:Instances!C120)-MIN(Instances!C120:Instances!C120))</f>
        <v>0</v>
      </c>
      <c r="D120" s="1" cm="1">
        <f t="array" ref="D120">_xlfn.SWITCH($A$2,"average", AVERAGE(Instances!D120:Instances!D120),"median", MEDIAN(Instances!D120:Instances!D120),"min", MIN(Instances!D120:Instances!D120),"max", MAX(Instances!D120:Instances!D120),"diff", MAX(Instances!D120:Instances!D120)-MIN(Instances!D120:Instances!D120))</f>
        <v>0</v>
      </c>
      <c r="E120" s="1" cm="1">
        <f t="array" ref="E120">_xlfn.SWITCH($A$2,"average", AVERAGE(Instances!E120:Instances!E120),"median", MEDIAN(Instances!E120:Instances!E120),"min", MIN(Instances!E120:Instances!E120),"max", MAX(Instances!E120:Instances!E120),"diff", MAX(Instances!E120:Instances!E120)-MIN(Instances!E120:Instances!E120))</f>
        <v>0</v>
      </c>
      <c r="F120" s="1" cm="1">
        <f t="array" ref="F120">_xlfn.SWITCH($A$2,"average", AVERAGE(Instances!F120:Instances!F120),"median", MEDIAN(Instances!F120:Instances!F120),"min", MIN(Instances!F120:Instances!F120),"max", MAX(Instances!F120:Instances!F120),"diff", MAX(Instances!F120:Instances!F120)-MIN(Instances!F120:Instances!F120))</f>
        <v>0</v>
      </c>
      <c r="G120" s="1" cm="1">
        <f t="array" ref="G120">_xlfn.SWITCH($A$2,"average", AVERAGE(Instances!G120:Instances!G120),"median", MEDIAN(Instances!G120:Instances!G120),"min", MIN(Instances!G120:Instances!G120),"max", MAX(Instances!G120:Instances!G120),"diff", MAX(Instances!G120:Instances!G120)-MIN(Instances!G120:Instances!G120))</f>
        <v>0</v>
      </c>
      <c r="H120" s="1" cm="1">
        <f t="array" ref="H120">_xlfn.SWITCH($A$2,"average", AVERAGE(Instances!H120:Instances!H120),"median", MEDIAN(Instances!H120:Instances!H120),"min", MIN(Instances!H120:Instances!H120),"max", MAX(Instances!H120:Instances!H120),"diff", MAX(Instances!H120:Instances!H120)-MIN(Instances!H120:Instances!H120))</f>
        <v>0</v>
      </c>
      <c r="I120" s="1" cm="1">
        <f t="array" ref="I120">_xlfn.SWITCH($A$2,"average", AVERAGE(Instances!I120:Instances!I120),"median", MEDIAN(Instances!I120:Instances!I120),"min", MIN(Instances!I120:Instances!I120),"max", MAX(Instances!I120:Instances!I120),"diff", MAX(Instances!I120:Instances!I120)-MIN(Instances!I120:Instances!I120))</f>
        <v>0</v>
      </c>
      <c r="J120" s="1" cm="1">
        <f t="array" ref="J120">_xlfn.SWITCH($A$2,"average", AVERAGE(Instances!J120:Instances!J120),"median", MEDIAN(Instances!J120:Instances!J120),"min", MIN(Instances!J120:Instances!J120),"max", MAX(Instances!J120:Instances!J120),"diff", MAX(Instances!J120:Instances!J120)-MIN(Instances!J120:Instances!J120))</f>
        <v>0</v>
      </c>
      <c r="K120" s="1" cm="1">
        <f t="array" ref="K120">_xlfn.SWITCH($A$2,"average", AVERAGE(Instances!K120:Instances!K120),"median", MEDIAN(Instances!K120:Instances!K120),"min", MIN(Instances!K120:Instances!K120),"max", MAX(Instances!K120:Instances!K120),"diff", MAX(Instances!K120:Instances!K120)-MIN(Instances!K120:Instances!K120))</f>
        <v>0</v>
      </c>
      <c r="L120" s="1"/>
      <c r="M120" s="1" cm="1">
        <f t="array" ref="M120">_xlfn.SWITCH($A$2,"average", AVERAGE(Instances!M120:Instances!M120),"median", MEDIAN(Instances!M120:Instances!M120),"min", MIN(Instances!M120:Instances!M120),"max", MAX(Instances!M120:Instances!M120),"diff", MAX(Instances!M120:Instances!M120)-MIN(Instances!M120:Instances!M120))</f>
        <v>0</v>
      </c>
      <c r="N120" s="1" cm="1">
        <f t="array" ref="N120">_xlfn.SWITCH($A$2,"average", AVERAGE(Instances!N120:Instances!N120),"median", MEDIAN(Instances!N120:Instances!N120),"min", MIN(Instances!N120:Instances!N120),"max", MAX(Instances!N120:Instances!N120),"diff", MAX(Instances!N120:Instances!N120)-MIN(Instances!N120:Instances!N120))</f>
        <v>0</v>
      </c>
      <c r="O120" s="1"/>
      <c r="P120" s="1" cm="1">
        <f t="array" ref="P120">_xlfn.SWITCH($A$2,"average", AVERAGE(Instances!P120:Instances!P120),"median", MEDIAN(Instances!P120:Instances!P120),"min", MIN(Instances!P120:Instances!P120),"max", MAX(Instances!P120:Instances!P120),"diff", MAX(Instances!P120:Instances!P120)-MIN(Instances!P120:Instances!P120))</f>
        <v>0</v>
      </c>
      <c r="Q120" s="1" cm="1">
        <f t="array" ref="Q120">_xlfn.SWITCH($A$2,"average", AVERAGE(Instances!Q120:Instances!Q120),"median", MEDIAN(Instances!Q120:Instances!Q120),"min", MIN(Instances!Q120:Instances!Q120),"max", MAX(Instances!Q120:Instances!Q120),"diff", MAX(Instances!Q120:Instances!Q120)-MIN(Instances!Q120:Instances!Q120))</f>
        <v>0</v>
      </c>
      <c r="R120" s="1" cm="1">
        <f t="array" ref="R120">_xlfn.SWITCH($A$2,"average", AVERAGE(Instances!R120:Instances!R120),"median", MEDIAN(Instances!R120:Instances!R120),"min", MIN(Instances!R120:Instances!R120),"max", MAX(Instances!R120:Instances!R120),"diff", MAX(Instances!R120:Instances!R120)-MIN(Instances!R120:Instances!R120))</f>
        <v>0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 cm="1">
        <f t="array" ref="B121">_xlfn.SWITCH($A$2,"average", AVERAGE(Instances!B121:Instances!B121),"median", MEDIAN(Instances!B121:Instances!B121),"min", MIN(Instances!B121:Instances!B121),"max", MAX(Instances!B121:Instances!B121),"diff", MAX(Instances!B121:Instances!B121)-MIN(Instances!B121:Instances!B121))</f>
        <v>0</v>
      </c>
      <c r="C121" s="1" cm="1">
        <f t="array" ref="C121">_xlfn.SWITCH($A$2,"average", AVERAGE(Instances!C121:Instances!C121),"median", MEDIAN(Instances!C121:Instances!C121),"min", MIN(Instances!C121:Instances!C121),"max", MAX(Instances!C121:Instances!C121),"diff", MAX(Instances!C121:Instances!C121)-MIN(Instances!C121:Instances!C121))</f>
        <v>0</v>
      </c>
      <c r="D121" s="1" cm="1">
        <f t="array" ref="D121">_xlfn.SWITCH($A$2,"average", AVERAGE(Instances!D121:Instances!D121),"median", MEDIAN(Instances!D121:Instances!D121),"min", MIN(Instances!D121:Instances!D121),"max", MAX(Instances!D121:Instances!D121),"diff", MAX(Instances!D121:Instances!D121)-MIN(Instances!D121:Instances!D121))</f>
        <v>0</v>
      </c>
      <c r="E121" s="1" cm="1">
        <f t="array" ref="E121">_xlfn.SWITCH($A$2,"average", AVERAGE(Instances!E121:Instances!E121),"median", MEDIAN(Instances!E121:Instances!E121),"min", MIN(Instances!E121:Instances!E121),"max", MAX(Instances!E121:Instances!E121),"diff", MAX(Instances!E121:Instances!E121)-MIN(Instances!E121:Instances!E121))</f>
        <v>0</v>
      </c>
      <c r="F121" s="1" cm="1">
        <f t="array" ref="F121">_xlfn.SWITCH($A$2,"average", AVERAGE(Instances!F121:Instances!F121),"median", MEDIAN(Instances!F121:Instances!F121),"min", MIN(Instances!F121:Instances!F121),"max", MAX(Instances!F121:Instances!F121),"diff", MAX(Instances!F121:Instances!F121)-MIN(Instances!F121:Instances!F121))</f>
        <v>0</v>
      </c>
      <c r="G121" s="1" cm="1">
        <f t="array" ref="G121">_xlfn.SWITCH($A$2,"average", AVERAGE(Instances!G121:Instances!G121),"median", MEDIAN(Instances!G121:Instances!G121),"min", MIN(Instances!G121:Instances!G121),"max", MAX(Instances!G121:Instances!G121),"diff", MAX(Instances!G121:Instances!G121)-MIN(Instances!G121:Instances!G121))</f>
        <v>0</v>
      </c>
      <c r="H121" s="1" cm="1">
        <f t="array" ref="H121">_xlfn.SWITCH($A$2,"average", AVERAGE(Instances!H121:Instances!H121),"median", MEDIAN(Instances!H121:Instances!H121),"min", MIN(Instances!H121:Instances!H121),"max", MAX(Instances!H121:Instances!H121),"diff", MAX(Instances!H121:Instances!H121)-MIN(Instances!H121:Instances!H121))</f>
        <v>0</v>
      </c>
      <c r="I121" s="1" cm="1">
        <f t="array" ref="I121">_xlfn.SWITCH($A$2,"average", AVERAGE(Instances!I121:Instances!I121),"median", MEDIAN(Instances!I121:Instances!I121),"min", MIN(Instances!I121:Instances!I121),"max", MAX(Instances!I121:Instances!I121),"diff", MAX(Instances!I121:Instances!I121)-MIN(Instances!I121:Instances!I121))</f>
        <v>0</v>
      </c>
      <c r="J121" s="1" cm="1">
        <f t="array" ref="J121">_xlfn.SWITCH($A$2,"average", AVERAGE(Instances!J121:Instances!J121),"median", MEDIAN(Instances!J121:Instances!J121),"min", MIN(Instances!J121:Instances!J121),"max", MAX(Instances!J121:Instances!J121),"diff", MAX(Instances!J121:Instances!J121)-MIN(Instances!J121:Instances!J121))</f>
        <v>0</v>
      </c>
      <c r="K121" s="1" cm="1">
        <f t="array" ref="K121">_xlfn.SWITCH($A$2,"average", AVERAGE(Instances!K121:Instances!K121),"median", MEDIAN(Instances!K121:Instances!K121),"min", MIN(Instances!K121:Instances!K121),"max", MAX(Instances!K121:Instances!K121),"diff", MAX(Instances!K121:Instances!K121)-MIN(Instances!K121:Instances!K121))</f>
        <v>0</v>
      </c>
      <c r="L121" s="1"/>
      <c r="M121" s="1" cm="1">
        <f t="array" ref="M121">_xlfn.SWITCH($A$2,"average", AVERAGE(Instances!M121:Instances!M121),"median", MEDIAN(Instances!M121:Instances!M121),"min", MIN(Instances!M121:Instances!M121),"max", MAX(Instances!M121:Instances!M121),"diff", MAX(Instances!M121:Instances!M121)-MIN(Instances!M121:Instances!M121))</f>
        <v>0</v>
      </c>
      <c r="N121" s="1" cm="1">
        <f t="array" ref="N121">_xlfn.SWITCH($A$2,"average", AVERAGE(Instances!N121:Instances!N121),"median", MEDIAN(Instances!N121:Instances!N121),"min", MIN(Instances!N121:Instances!N121),"max", MAX(Instances!N121:Instances!N121),"diff", MAX(Instances!N121:Instances!N121)-MIN(Instances!N121:Instances!N121))</f>
        <v>0</v>
      </c>
      <c r="O121" s="1"/>
      <c r="P121" s="1" cm="1">
        <f t="array" ref="P121">_xlfn.SWITCH($A$2,"average", AVERAGE(Instances!P121:Instances!P121),"median", MEDIAN(Instances!P121:Instances!P121),"min", MIN(Instances!P121:Instances!P121),"max", MAX(Instances!P121:Instances!P121),"diff", MAX(Instances!P121:Instances!P121)-MIN(Instances!P121:Instances!P121))</f>
        <v>0</v>
      </c>
      <c r="Q121" s="1" cm="1">
        <f t="array" ref="Q121">_xlfn.SWITCH($A$2,"average", AVERAGE(Instances!Q121:Instances!Q121),"median", MEDIAN(Instances!Q121:Instances!Q121),"min", MIN(Instances!Q121:Instances!Q121),"max", MAX(Instances!Q121:Instances!Q121),"diff", MAX(Instances!Q121:Instances!Q121)-MIN(Instances!Q121:Instances!Q121))</f>
        <v>0</v>
      </c>
      <c r="R121" s="1" cm="1">
        <f t="array" ref="R121">_xlfn.SWITCH($A$2,"average", AVERAGE(Instances!R121:Instances!R121),"median", MEDIAN(Instances!R121:Instances!R121),"min", MIN(Instances!R121:Instances!R121),"max", MAX(Instances!R121:Instances!R121),"diff", MAX(Instances!R121:Instances!R121)-MIN(Instances!R121:Instances!R121))</f>
        <v>0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 cm="1">
        <f t="array" ref="B122">_xlfn.SWITCH($A$2,"average", AVERAGE(Instances!B122:Instances!B122),"median", MEDIAN(Instances!B122:Instances!B122),"min", MIN(Instances!B122:Instances!B122),"max", MAX(Instances!B122:Instances!B122),"diff", MAX(Instances!B122:Instances!B122)-MIN(Instances!B122:Instances!B122))</f>
        <v>0</v>
      </c>
      <c r="C122" s="1" cm="1">
        <f t="array" ref="C122">_xlfn.SWITCH($A$2,"average", AVERAGE(Instances!C122:Instances!C122),"median", MEDIAN(Instances!C122:Instances!C122),"min", MIN(Instances!C122:Instances!C122),"max", MAX(Instances!C122:Instances!C122),"diff", MAX(Instances!C122:Instances!C122)-MIN(Instances!C122:Instances!C122))</f>
        <v>0</v>
      </c>
      <c r="D122" s="1" cm="1">
        <f t="array" ref="D122">_xlfn.SWITCH($A$2,"average", AVERAGE(Instances!D122:Instances!D122),"median", MEDIAN(Instances!D122:Instances!D122),"min", MIN(Instances!D122:Instances!D122),"max", MAX(Instances!D122:Instances!D122),"diff", MAX(Instances!D122:Instances!D122)-MIN(Instances!D122:Instances!D122))</f>
        <v>0</v>
      </c>
      <c r="E122" s="1" cm="1">
        <f t="array" ref="E122">_xlfn.SWITCH($A$2,"average", AVERAGE(Instances!E122:Instances!E122),"median", MEDIAN(Instances!E122:Instances!E122),"min", MIN(Instances!E122:Instances!E122),"max", MAX(Instances!E122:Instances!E122),"diff", MAX(Instances!E122:Instances!E122)-MIN(Instances!E122:Instances!E122))</f>
        <v>0</v>
      </c>
      <c r="F122" s="1" cm="1">
        <f t="array" ref="F122">_xlfn.SWITCH($A$2,"average", AVERAGE(Instances!F122:Instances!F122),"median", MEDIAN(Instances!F122:Instances!F122),"min", MIN(Instances!F122:Instances!F122),"max", MAX(Instances!F122:Instances!F122),"diff", MAX(Instances!F122:Instances!F122)-MIN(Instances!F122:Instances!F122))</f>
        <v>0</v>
      </c>
      <c r="G122" s="1" cm="1">
        <f t="array" ref="G122">_xlfn.SWITCH($A$2,"average", AVERAGE(Instances!G122:Instances!G122),"median", MEDIAN(Instances!G122:Instances!G122),"min", MIN(Instances!G122:Instances!G122),"max", MAX(Instances!G122:Instances!G122),"diff", MAX(Instances!G122:Instances!G122)-MIN(Instances!G122:Instances!G122))</f>
        <v>0</v>
      </c>
      <c r="H122" s="1" cm="1">
        <f t="array" ref="H122">_xlfn.SWITCH($A$2,"average", AVERAGE(Instances!H122:Instances!H122),"median", MEDIAN(Instances!H122:Instances!H122),"min", MIN(Instances!H122:Instances!H122),"max", MAX(Instances!H122:Instances!H122),"diff", MAX(Instances!H122:Instances!H122)-MIN(Instances!H122:Instances!H122))</f>
        <v>0</v>
      </c>
      <c r="I122" s="1" cm="1">
        <f t="array" ref="I122">_xlfn.SWITCH($A$2,"average", AVERAGE(Instances!I122:Instances!I122),"median", MEDIAN(Instances!I122:Instances!I122),"min", MIN(Instances!I122:Instances!I122),"max", MAX(Instances!I122:Instances!I122),"diff", MAX(Instances!I122:Instances!I122)-MIN(Instances!I122:Instances!I122))</f>
        <v>0</v>
      </c>
      <c r="J122" s="1" cm="1">
        <f t="array" ref="J122">_xlfn.SWITCH($A$2,"average", AVERAGE(Instances!J122:Instances!J122),"median", MEDIAN(Instances!J122:Instances!J122),"min", MIN(Instances!J122:Instances!J122),"max", MAX(Instances!J122:Instances!J122),"diff", MAX(Instances!J122:Instances!J122)-MIN(Instances!J122:Instances!J122))</f>
        <v>0</v>
      </c>
      <c r="K122" s="1" cm="1">
        <f t="array" ref="K122">_xlfn.SWITCH($A$2,"average", AVERAGE(Instances!K122:Instances!K122),"median", MEDIAN(Instances!K122:Instances!K122),"min", MIN(Instances!K122:Instances!K122),"max", MAX(Instances!K122:Instances!K122),"diff", MAX(Instances!K122:Instances!K122)-MIN(Instances!K122:Instances!K122))</f>
        <v>0</v>
      </c>
      <c r="L122" s="1"/>
      <c r="M122" s="1" cm="1">
        <f t="array" ref="M122">_xlfn.SWITCH($A$2,"average", AVERAGE(Instances!M122:Instances!M122),"median", MEDIAN(Instances!M122:Instances!M122),"min", MIN(Instances!M122:Instances!M122),"max", MAX(Instances!M122:Instances!M122),"diff", MAX(Instances!M122:Instances!M122)-MIN(Instances!M122:Instances!M122))</f>
        <v>0</v>
      </c>
      <c r="N122" s="1" cm="1">
        <f t="array" ref="N122">_xlfn.SWITCH($A$2,"average", AVERAGE(Instances!N122:Instances!N122),"median", MEDIAN(Instances!N122:Instances!N122),"min", MIN(Instances!N122:Instances!N122),"max", MAX(Instances!N122:Instances!N122),"diff", MAX(Instances!N122:Instances!N122)-MIN(Instances!N122:Instances!N122))</f>
        <v>0</v>
      </c>
      <c r="O122" s="1"/>
      <c r="P122" s="1" cm="1">
        <f t="array" ref="P122">_xlfn.SWITCH($A$2,"average", AVERAGE(Instances!P122:Instances!P122),"median", MEDIAN(Instances!P122:Instances!P122),"min", MIN(Instances!P122:Instances!P122),"max", MAX(Instances!P122:Instances!P122),"diff", MAX(Instances!P122:Instances!P122)-MIN(Instances!P122:Instances!P122))</f>
        <v>0</v>
      </c>
      <c r="Q122" s="1" cm="1">
        <f t="array" ref="Q122">_xlfn.SWITCH($A$2,"average", AVERAGE(Instances!Q122:Instances!Q122),"median", MEDIAN(Instances!Q122:Instances!Q122),"min", MIN(Instances!Q122:Instances!Q122),"max", MAX(Instances!Q122:Instances!Q122),"diff", MAX(Instances!Q122:Instances!Q122)-MIN(Instances!Q122:Instances!Q122))</f>
        <v>0</v>
      </c>
      <c r="R122" s="1" cm="1">
        <f t="array" ref="R122">_xlfn.SWITCH($A$2,"average", AVERAGE(Instances!R122:Instances!R122),"median", MEDIAN(Instances!R122:Instances!R122),"min", MIN(Instances!R122:Instances!R122),"max", MAX(Instances!R122:Instances!R122),"diff", MAX(Instances!R122:Instances!R122)-MIN(Instances!R122:Instances!R122))</f>
        <v>0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 cm="1">
        <f t="array" ref="B123">_xlfn.SWITCH($A$2,"average", AVERAGE(Instances!B123:Instances!B123),"median", MEDIAN(Instances!B123:Instances!B123),"min", MIN(Instances!B123:Instances!B123),"max", MAX(Instances!B123:Instances!B123),"diff", MAX(Instances!B123:Instances!B123)-MIN(Instances!B123:Instances!B123))</f>
        <v>0</v>
      </c>
      <c r="C123" s="1" cm="1">
        <f t="array" ref="C123">_xlfn.SWITCH($A$2,"average", AVERAGE(Instances!C123:Instances!C123),"median", MEDIAN(Instances!C123:Instances!C123),"min", MIN(Instances!C123:Instances!C123),"max", MAX(Instances!C123:Instances!C123),"diff", MAX(Instances!C123:Instances!C123)-MIN(Instances!C123:Instances!C123))</f>
        <v>0</v>
      </c>
      <c r="D123" s="1" cm="1">
        <f t="array" ref="D123">_xlfn.SWITCH($A$2,"average", AVERAGE(Instances!D123:Instances!D123),"median", MEDIAN(Instances!D123:Instances!D123),"min", MIN(Instances!D123:Instances!D123),"max", MAX(Instances!D123:Instances!D123),"diff", MAX(Instances!D123:Instances!D123)-MIN(Instances!D123:Instances!D123))</f>
        <v>0</v>
      </c>
      <c r="E123" s="1" cm="1">
        <f t="array" ref="E123">_xlfn.SWITCH($A$2,"average", AVERAGE(Instances!E123:Instances!E123),"median", MEDIAN(Instances!E123:Instances!E123),"min", MIN(Instances!E123:Instances!E123),"max", MAX(Instances!E123:Instances!E123),"diff", MAX(Instances!E123:Instances!E123)-MIN(Instances!E123:Instances!E123))</f>
        <v>0</v>
      </c>
      <c r="F123" s="1" cm="1">
        <f t="array" ref="F123">_xlfn.SWITCH($A$2,"average", AVERAGE(Instances!F123:Instances!F123),"median", MEDIAN(Instances!F123:Instances!F123),"min", MIN(Instances!F123:Instances!F123),"max", MAX(Instances!F123:Instances!F123),"diff", MAX(Instances!F123:Instances!F123)-MIN(Instances!F123:Instances!F123))</f>
        <v>0</v>
      </c>
      <c r="G123" s="1" cm="1">
        <f t="array" ref="G123">_xlfn.SWITCH($A$2,"average", AVERAGE(Instances!G123:Instances!G123),"median", MEDIAN(Instances!G123:Instances!G123),"min", MIN(Instances!G123:Instances!G123),"max", MAX(Instances!G123:Instances!G123),"diff", MAX(Instances!G123:Instances!G123)-MIN(Instances!G123:Instances!G123))</f>
        <v>0</v>
      </c>
      <c r="H123" s="1" cm="1">
        <f t="array" ref="H123">_xlfn.SWITCH($A$2,"average", AVERAGE(Instances!H123:Instances!H123),"median", MEDIAN(Instances!H123:Instances!H123),"min", MIN(Instances!H123:Instances!H123),"max", MAX(Instances!H123:Instances!H123),"diff", MAX(Instances!H123:Instances!H123)-MIN(Instances!H123:Instances!H123))</f>
        <v>0</v>
      </c>
      <c r="I123" s="1" cm="1">
        <f t="array" ref="I123">_xlfn.SWITCH($A$2,"average", AVERAGE(Instances!I123:Instances!I123),"median", MEDIAN(Instances!I123:Instances!I123),"min", MIN(Instances!I123:Instances!I123),"max", MAX(Instances!I123:Instances!I123),"diff", MAX(Instances!I123:Instances!I123)-MIN(Instances!I123:Instances!I123))</f>
        <v>0</v>
      </c>
      <c r="J123" s="1" cm="1">
        <f t="array" ref="J123">_xlfn.SWITCH($A$2,"average", AVERAGE(Instances!J123:Instances!J123),"median", MEDIAN(Instances!J123:Instances!J123),"min", MIN(Instances!J123:Instances!J123),"max", MAX(Instances!J123:Instances!J123),"diff", MAX(Instances!J123:Instances!J123)-MIN(Instances!J123:Instances!J123))</f>
        <v>0</v>
      </c>
      <c r="K123" s="1" cm="1">
        <f t="array" ref="K123">_xlfn.SWITCH($A$2,"average", AVERAGE(Instances!K123:Instances!K123),"median", MEDIAN(Instances!K123:Instances!K123),"min", MIN(Instances!K123:Instances!K123),"max", MAX(Instances!K123:Instances!K123),"diff", MAX(Instances!K123:Instances!K123)-MIN(Instances!K123:Instances!K123))</f>
        <v>0</v>
      </c>
      <c r="L123" s="1"/>
      <c r="M123" s="1" cm="1">
        <f t="array" ref="M123">_xlfn.SWITCH($A$2,"average", AVERAGE(Instances!M123:Instances!M123),"median", MEDIAN(Instances!M123:Instances!M123),"min", MIN(Instances!M123:Instances!M123),"max", MAX(Instances!M123:Instances!M123),"diff", MAX(Instances!M123:Instances!M123)-MIN(Instances!M123:Instances!M123))</f>
        <v>0</v>
      </c>
      <c r="N123" s="1" cm="1">
        <f t="array" ref="N123">_xlfn.SWITCH($A$2,"average", AVERAGE(Instances!N123:Instances!N123),"median", MEDIAN(Instances!N123:Instances!N123),"min", MIN(Instances!N123:Instances!N123),"max", MAX(Instances!N123:Instances!N123),"diff", MAX(Instances!N123:Instances!N123)-MIN(Instances!N123:Instances!N123))</f>
        <v>0</v>
      </c>
      <c r="O123" s="1"/>
      <c r="P123" s="1" cm="1">
        <f t="array" ref="P123">_xlfn.SWITCH($A$2,"average", AVERAGE(Instances!P123:Instances!P123),"median", MEDIAN(Instances!P123:Instances!P123),"min", MIN(Instances!P123:Instances!P123),"max", MAX(Instances!P123:Instances!P123),"diff", MAX(Instances!P123:Instances!P123)-MIN(Instances!P123:Instances!P123))</f>
        <v>0</v>
      </c>
      <c r="Q123" s="1" cm="1">
        <f t="array" ref="Q123">_xlfn.SWITCH($A$2,"average", AVERAGE(Instances!Q123:Instances!Q123),"median", MEDIAN(Instances!Q123:Instances!Q123),"min", MIN(Instances!Q123:Instances!Q123),"max", MAX(Instances!Q123:Instances!Q123),"diff", MAX(Instances!Q123:Instances!Q123)-MIN(Instances!Q123:Instances!Q123))</f>
        <v>0</v>
      </c>
      <c r="R123" s="1" cm="1">
        <f t="array" ref="R123">_xlfn.SWITCH($A$2,"average", AVERAGE(Instances!R123:Instances!R123),"median", MEDIAN(Instances!R123:Instances!R123),"min", MIN(Instances!R123:Instances!R123),"max", MAX(Instances!R123:Instances!R123),"diff", MAX(Instances!R123:Instances!R123)-MIN(Instances!R123:Instances!R123))</f>
        <v>0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 cm="1">
        <f t="array" ref="B124">_xlfn.SWITCH($A$2,"average", AVERAGE(Instances!B124:Instances!B124),"median", MEDIAN(Instances!B124:Instances!B124),"min", MIN(Instances!B124:Instances!B124),"max", MAX(Instances!B124:Instances!B124),"diff", MAX(Instances!B124:Instances!B124)-MIN(Instances!B124:Instances!B124))</f>
        <v>0</v>
      </c>
      <c r="C124" s="1" cm="1">
        <f t="array" ref="C124">_xlfn.SWITCH($A$2,"average", AVERAGE(Instances!C124:Instances!C124),"median", MEDIAN(Instances!C124:Instances!C124),"min", MIN(Instances!C124:Instances!C124),"max", MAX(Instances!C124:Instances!C124),"diff", MAX(Instances!C124:Instances!C124)-MIN(Instances!C124:Instances!C124))</f>
        <v>0</v>
      </c>
      <c r="D124" s="1" cm="1">
        <f t="array" ref="D124">_xlfn.SWITCH($A$2,"average", AVERAGE(Instances!D124:Instances!D124),"median", MEDIAN(Instances!D124:Instances!D124),"min", MIN(Instances!D124:Instances!D124),"max", MAX(Instances!D124:Instances!D124),"diff", MAX(Instances!D124:Instances!D124)-MIN(Instances!D124:Instances!D124))</f>
        <v>0</v>
      </c>
      <c r="E124" s="1" cm="1">
        <f t="array" ref="E124">_xlfn.SWITCH($A$2,"average", AVERAGE(Instances!E124:Instances!E124),"median", MEDIAN(Instances!E124:Instances!E124),"min", MIN(Instances!E124:Instances!E124),"max", MAX(Instances!E124:Instances!E124),"diff", MAX(Instances!E124:Instances!E124)-MIN(Instances!E124:Instances!E124))</f>
        <v>0</v>
      </c>
      <c r="F124" s="1" cm="1">
        <f t="array" ref="F124">_xlfn.SWITCH($A$2,"average", AVERAGE(Instances!F124:Instances!F124),"median", MEDIAN(Instances!F124:Instances!F124),"min", MIN(Instances!F124:Instances!F124),"max", MAX(Instances!F124:Instances!F124),"diff", MAX(Instances!F124:Instances!F124)-MIN(Instances!F124:Instances!F124))</f>
        <v>0</v>
      </c>
      <c r="G124" s="1" cm="1">
        <f t="array" ref="G124">_xlfn.SWITCH($A$2,"average", AVERAGE(Instances!G124:Instances!G124),"median", MEDIAN(Instances!G124:Instances!G124),"min", MIN(Instances!G124:Instances!G124),"max", MAX(Instances!G124:Instances!G124),"diff", MAX(Instances!G124:Instances!G124)-MIN(Instances!G124:Instances!G124))</f>
        <v>0</v>
      </c>
      <c r="H124" s="1" cm="1">
        <f t="array" ref="H124">_xlfn.SWITCH($A$2,"average", AVERAGE(Instances!H124:Instances!H124),"median", MEDIAN(Instances!H124:Instances!H124),"min", MIN(Instances!H124:Instances!H124),"max", MAX(Instances!H124:Instances!H124),"diff", MAX(Instances!H124:Instances!H124)-MIN(Instances!H124:Instances!H124))</f>
        <v>0</v>
      </c>
      <c r="I124" s="1" cm="1">
        <f t="array" ref="I124">_xlfn.SWITCH($A$2,"average", AVERAGE(Instances!I124:Instances!I124),"median", MEDIAN(Instances!I124:Instances!I124),"min", MIN(Instances!I124:Instances!I124),"max", MAX(Instances!I124:Instances!I124),"diff", MAX(Instances!I124:Instances!I124)-MIN(Instances!I124:Instances!I124))</f>
        <v>0</v>
      </c>
      <c r="J124" s="1" cm="1">
        <f t="array" ref="J124">_xlfn.SWITCH($A$2,"average", AVERAGE(Instances!J124:Instances!J124),"median", MEDIAN(Instances!J124:Instances!J124),"min", MIN(Instances!J124:Instances!J124),"max", MAX(Instances!J124:Instances!J124),"diff", MAX(Instances!J124:Instances!J124)-MIN(Instances!J124:Instances!J124))</f>
        <v>0</v>
      </c>
      <c r="K124" s="1" cm="1">
        <f t="array" ref="K124">_xlfn.SWITCH($A$2,"average", AVERAGE(Instances!K124:Instances!K124),"median", MEDIAN(Instances!K124:Instances!K124),"min", MIN(Instances!K124:Instances!K124),"max", MAX(Instances!K124:Instances!K124),"diff", MAX(Instances!K124:Instances!K124)-MIN(Instances!K124:Instances!K124))</f>
        <v>0</v>
      </c>
      <c r="L124" s="1"/>
      <c r="M124" s="1" cm="1">
        <f t="array" ref="M124">_xlfn.SWITCH($A$2,"average", AVERAGE(Instances!M124:Instances!M124),"median", MEDIAN(Instances!M124:Instances!M124),"min", MIN(Instances!M124:Instances!M124),"max", MAX(Instances!M124:Instances!M124),"diff", MAX(Instances!M124:Instances!M124)-MIN(Instances!M124:Instances!M124))</f>
        <v>0</v>
      </c>
      <c r="N124" s="1" cm="1">
        <f t="array" ref="N124">_xlfn.SWITCH($A$2,"average", AVERAGE(Instances!N124:Instances!N124),"median", MEDIAN(Instances!N124:Instances!N124),"min", MIN(Instances!N124:Instances!N124),"max", MAX(Instances!N124:Instances!N124),"diff", MAX(Instances!N124:Instances!N124)-MIN(Instances!N124:Instances!N124))</f>
        <v>0</v>
      </c>
      <c r="O124" s="1"/>
      <c r="P124" s="1" cm="1">
        <f t="array" ref="P124">_xlfn.SWITCH($A$2,"average", AVERAGE(Instances!P124:Instances!P124),"median", MEDIAN(Instances!P124:Instances!P124),"min", MIN(Instances!P124:Instances!P124),"max", MAX(Instances!P124:Instances!P124),"diff", MAX(Instances!P124:Instances!P124)-MIN(Instances!P124:Instances!P124))</f>
        <v>0</v>
      </c>
      <c r="Q124" s="1" cm="1">
        <f t="array" ref="Q124">_xlfn.SWITCH($A$2,"average", AVERAGE(Instances!Q124:Instances!Q124),"median", MEDIAN(Instances!Q124:Instances!Q124),"min", MIN(Instances!Q124:Instances!Q124),"max", MAX(Instances!Q124:Instances!Q124),"diff", MAX(Instances!Q124:Instances!Q124)-MIN(Instances!Q124:Instances!Q124))</f>
        <v>0</v>
      </c>
      <c r="R124" s="1" cm="1">
        <f t="array" ref="R124">_xlfn.SWITCH($A$2,"average", AVERAGE(Instances!R124:Instances!R124),"median", MEDIAN(Instances!R124:Instances!R124),"min", MIN(Instances!R124:Instances!R124),"max", MAX(Instances!R124:Instances!R124),"diff", MAX(Instances!R124:Instances!R124)-MIN(Instances!R124:Instances!R124))</f>
        <v>0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 cm="1">
        <f t="array" ref="B125">_xlfn.SWITCH($A$2,"average", AVERAGE(Instances!B125:Instances!B125),"median", MEDIAN(Instances!B125:Instances!B125),"min", MIN(Instances!B125:Instances!B125),"max", MAX(Instances!B125:Instances!B125),"diff", MAX(Instances!B125:Instances!B125)-MIN(Instances!B125:Instances!B125))</f>
        <v>0</v>
      </c>
      <c r="C125" s="1" cm="1">
        <f t="array" ref="C125">_xlfn.SWITCH($A$2,"average", AVERAGE(Instances!C125:Instances!C125),"median", MEDIAN(Instances!C125:Instances!C125),"min", MIN(Instances!C125:Instances!C125),"max", MAX(Instances!C125:Instances!C125),"diff", MAX(Instances!C125:Instances!C125)-MIN(Instances!C125:Instances!C125))</f>
        <v>0</v>
      </c>
      <c r="D125" s="1" cm="1">
        <f t="array" ref="D125">_xlfn.SWITCH($A$2,"average", AVERAGE(Instances!D125:Instances!D125),"median", MEDIAN(Instances!D125:Instances!D125),"min", MIN(Instances!D125:Instances!D125),"max", MAX(Instances!D125:Instances!D125),"diff", MAX(Instances!D125:Instances!D125)-MIN(Instances!D125:Instances!D125))</f>
        <v>0</v>
      </c>
      <c r="E125" s="1" cm="1">
        <f t="array" ref="E125">_xlfn.SWITCH($A$2,"average", AVERAGE(Instances!E125:Instances!E125),"median", MEDIAN(Instances!E125:Instances!E125),"min", MIN(Instances!E125:Instances!E125),"max", MAX(Instances!E125:Instances!E125),"diff", MAX(Instances!E125:Instances!E125)-MIN(Instances!E125:Instances!E125))</f>
        <v>0</v>
      </c>
      <c r="F125" s="1" cm="1">
        <f t="array" ref="F125">_xlfn.SWITCH($A$2,"average", AVERAGE(Instances!F125:Instances!F125),"median", MEDIAN(Instances!F125:Instances!F125),"min", MIN(Instances!F125:Instances!F125),"max", MAX(Instances!F125:Instances!F125),"diff", MAX(Instances!F125:Instances!F125)-MIN(Instances!F125:Instances!F125))</f>
        <v>0</v>
      </c>
      <c r="G125" s="1" cm="1">
        <f t="array" ref="G125">_xlfn.SWITCH($A$2,"average", AVERAGE(Instances!G125:Instances!G125),"median", MEDIAN(Instances!G125:Instances!G125),"min", MIN(Instances!G125:Instances!G125),"max", MAX(Instances!G125:Instances!G125),"diff", MAX(Instances!G125:Instances!G125)-MIN(Instances!G125:Instances!G125))</f>
        <v>0</v>
      </c>
      <c r="H125" s="1" cm="1">
        <f t="array" ref="H125">_xlfn.SWITCH($A$2,"average", AVERAGE(Instances!H125:Instances!H125),"median", MEDIAN(Instances!H125:Instances!H125),"min", MIN(Instances!H125:Instances!H125),"max", MAX(Instances!H125:Instances!H125),"diff", MAX(Instances!H125:Instances!H125)-MIN(Instances!H125:Instances!H125))</f>
        <v>0</v>
      </c>
      <c r="I125" s="1" cm="1">
        <f t="array" ref="I125">_xlfn.SWITCH($A$2,"average", AVERAGE(Instances!I125:Instances!I125),"median", MEDIAN(Instances!I125:Instances!I125),"min", MIN(Instances!I125:Instances!I125),"max", MAX(Instances!I125:Instances!I125),"diff", MAX(Instances!I125:Instances!I125)-MIN(Instances!I125:Instances!I125))</f>
        <v>0</v>
      </c>
      <c r="J125" s="1" cm="1">
        <f t="array" ref="J125">_xlfn.SWITCH($A$2,"average", AVERAGE(Instances!J125:Instances!J125),"median", MEDIAN(Instances!J125:Instances!J125),"min", MIN(Instances!J125:Instances!J125),"max", MAX(Instances!J125:Instances!J125),"diff", MAX(Instances!J125:Instances!J125)-MIN(Instances!J125:Instances!J125))</f>
        <v>0</v>
      </c>
      <c r="K125" s="1" cm="1">
        <f t="array" ref="K125">_xlfn.SWITCH($A$2,"average", AVERAGE(Instances!K125:Instances!K125),"median", MEDIAN(Instances!K125:Instances!K125),"min", MIN(Instances!K125:Instances!K125),"max", MAX(Instances!K125:Instances!K125),"diff", MAX(Instances!K125:Instances!K125)-MIN(Instances!K125:Instances!K125))</f>
        <v>0</v>
      </c>
      <c r="L125" s="1"/>
      <c r="M125" s="1" cm="1">
        <f t="array" ref="M125">_xlfn.SWITCH($A$2,"average", AVERAGE(Instances!M125:Instances!M125),"median", MEDIAN(Instances!M125:Instances!M125),"min", MIN(Instances!M125:Instances!M125),"max", MAX(Instances!M125:Instances!M125),"diff", MAX(Instances!M125:Instances!M125)-MIN(Instances!M125:Instances!M125))</f>
        <v>0</v>
      </c>
      <c r="N125" s="1" cm="1">
        <f t="array" ref="N125">_xlfn.SWITCH($A$2,"average", AVERAGE(Instances!N125:Instances!N125),"median", MEDIAN(Instances!N125:Instances!N125),"min", MIN(Instances!N125:Instances!N125),"max", MAX(Instances!N125:Instances!N125),"diff", MAX(Instances!N125:Instances!N125)-MIN(Instances!N125:Instances!N125))</f>
        <v>0</v>
      </c>
      <c r="O125" s="1"/>
      <c r="P125" s="1" cm="1">
        <f t="array" ref="P125">_xlfn.SWITCH($A$2,"average", AVERAGE(Instances!P125:Instances!P125),"median", MEDIAN(Instances!P125:Instances!P125),"min", MIN(Instances!P125:Instances!P125),"max", MAX(Instances!P125:Instances!P125),"diff", MAX(Instances!P125:Instances!P125)-MIN(Instances!P125:Instances!P125))</f>
        <v>0</v>
      </c>
      <c r="Q125" s="1" cm="1">
        <f t="array" ref="Q125">_xlfn.SWITCH($A$2,"average", AVERAGE(Instances!Q125:Instances!Q125),"median", MEDIAN(Instances!Q125:Instances!Q125),"min", MIN(Instances!Q125:Instances!Q125),"max", MAX(Instances!Q125:Instances!Q125),"diff", MAX(Instances!Q125:Instances!Q125)-MIN(Instances!Q125:Instances!Q125))</f>
        <v>0</v>
      </c>
      <c r="R125" s="1" cm="1">
        <f t="array" ref="R125">_xlfn.SWITCH($A$2,"average", AVERAGE(Instances!R125:Instances!R125),"median", MEDIAN(Instances!R125:Instances!R125),"min", MIN(Instances!R125:Instances!R125),"max", MAX(Instances!R125:Instances!R125),"diff", MAX(Instances!R125:Instances!R125)-MIN(Instances!R125:Instances!R125))</f>
        <v>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 cm="1">
        <f t="array" ref="B126">_xlfn.SWITCH($A$2,"average", AVERAGE(Instances!B126:Instances!B126),"median", MEDIAN(Instances!B126:Instances!B126),"min", MIN(Instances!B126:Instances!B126),"max", MAX(Instances!B126:Instances!B126),"diff", MAX(Instances!B126:Instances!B126)-MIN(Instances!B126:Instances!B126))</f>
        <v>0</v>
      </c>
      <c r="C126" s="1" cm="1">
        <f t="array" ref="C126">_xlfn.SWITCH($A$2,"average", AVERAGE(Instances!C126:Instances!C126),"median", MEDIAN(Instances!C126:Instances!C126),"min", MIN(Instances!C126:Instances!C126),"max", MAX(Instances!C126:Instances!C126),"diff", MAX(Instances!C126:Instances!C126)-MIN(Instances!C126:Instances!C126))</f>
        <v>0</v>
      </c>
      <c r="D126" s="1" cm="1">
        <f t="array" ref="D126">_xlfn.SWITCH($A$2,"average", AVERAGE(Instances!D126:Instances!D126),"median", MEDIAN(Instances!D126:Instances!D126),"min", MIN(Instances!D126:Instances!D126),"max", MAX(Instances!D126:Instances!D126),"diff", MAX(Instances!D126:Instances!D126)-MIN(Instances!D126:Instances!D126))</f>
        <v>0</v>
      </c>
      <c r="E126" s="1" cm="1">
        <f t="array" ref="E126">_xlfn.SWITCH($A$2,"average", AVERAGE(Instances!E126:Instances!E126),"median", MEDIAN(Instances!E126:Instances!E126),"min", MIN(Instances!E126:Instances!E126),"max", MAX(Instances!E126:Instances!E126),"diff", MAX(Instances!E126:Instances!E126)-MIN(Instances!E126:Instances!E126))</f>
        <v>0</v>
      </c>
      <c r="F126" s="1" cm="1">
        <f t="array" ref="F126">_xlfn.SWITCH($A$2,"average", AVERAGE(Instances!F126:Instances!F126),"median", MEDIAN(Instances!F126:Instances!F126),"min", MIN(Instances!F126:Instances!F126),"max", MAX(Instances!F126:Instances!F126),"diff", MAX(Instances!F126:Instances!F126)-MIN(Instances!F126:Instances!F126))</f>
        <v>0</v>
      </c>
      <c r="G126" s="1" cm="1">
        <f t="array" ref="G126">_xlfn.SWITCH($A$2,"average", AVERAGE(Instances!G126:Instances!G126),"median", MEDIAN(Instances!G126:Instances!G126),"min", MIN(Instances!G126:Instances!G126),"max", MAX(Instances!G126:Instances!G126),"diff", MAX(Instances!G126:Instances!G126)-MIN(Instances!G126:Instances!G126))</f>
        <v>0</v>
      </c>
      <c r="H126" s="1" cm="1">
        <f t="array" ref="H126">_xlfn.SWITCH($A$2,"average", AVERAGE(Instances!H126:Instances!H126),"median", MEDIAN(Instances!H126:Instances!H126),"min", MIN(Instances!H126:Instances!H126),"max", MAX(Instances!H126:Instances!H126),"diff", MAX(Instances!H126:Instances!H126)-MIN(Instances!H126:Instances!H126))</f>
        <v>0</v>
      </c>
      <c r="I126" s="1" cm="1">
        <f t="array" ref="I126">_xlfn.SWITCH($A$2,"average", AVERAGE(Instances!I126:Instances!I126),"median", MEDIAN(Instances!I126:Instances!I126),"min", MIN(Instances!I126:Instances!I126),"max", MAX(Instances!I126:Instances!I126),"diff", MAX(Instances!I126:Instances!I126)-MIN(Instances!I126:Instances!I126))</f>
        <v>0</v>
      </c>
      <c r="J126" s="1" cm="1">
        <f t="array" ref="J126">_xlfn.SWITCH($A$2,"average", AVERAGE(Instances!J126:Instances!J126),"median", MEDIAN(Instances!J126:Instances!J126),"min", MIN(Instances!J126:Instances!J126),"max", MAX(Instances!J126:Instances!J126),"diff", MAX(Instances!J126:Instances!J126)-MIN(Instances!J126:Instances!J126))</f>
        <v>0</v>
      </c>
      <c r="K126" s="1" cm="1">
        <f t="array" ref="K126">_xlfn.SWITCH($A$2,"average", AVERAGE(Instances!K126:Instances!K126),"median", MEDIAN(Instances!K126:Instances!K126),"min", MIN(Instances!K126:Instances!K126),"max", MAX(Instances!K126:Instances!K126),"diff", MAX(Instances!K126:Instances!K126)-MIN(Instances!K126:Instances!K126))</f>
        <v>0</v>
      </c>
      <c r="L126" s="1"/>
      <c r="M126" s="1" cm="1">
        <f t="array" ref="M126">_xlfn.SWITCH($A$2,"average", AVERAGE(Instances!M126:Instances!M126),"median", MEDIAN(Instances!M126:Instances!M126),"min", MIN(Instances!M126:Instances!M126),"max", MAX(Instances!M126:Instances!M126),"diff", MAX(Instances!M126:Instances!M126)-MIN(Instances!M126:Instances!M126))</f>
        <v>0</v>
      </c>
      <c r="N126" s="1" cm="1">
        <f t="array" ref="N126">_xlfn.SWITCH($A$2,"average", AVERAGE(Instances!N126:Instances!N126),"median", MEDIAN(Instances!N126:Instances!N126),"min", MIN(Instances!N126:Instances!N126),"max", MAX(Instances!N126:Instances!N126),"diff", MAX(Instances!N126:Instances!N126)-MIN(Instances!N126:Instances!N126))</f>
        <v>0</v>
      </c>
      <c r="O126" s="1"/>
      <c r="P126" s="1" cm="1">
        <f t="array" ref="P126">_xlfn.SWITCH($A$2,"average", AVERAGE(Instances!P126:Instances!P126),"median", MEDIAN(Instances!P126:Instances!P126),"min", MIN(Instances!P126:Instances!P126),"max", MAX(Instances!P126:Instances!P126),"diff", MAX(Instances!P126:Instances!P126)-MIN(Instances!P126:Instances!P126))</f>
        <v>0</v>
      </c>
      <c r="Q126" s="1" cm="1">
        <f t="array" ref="Q126">_xlfn.SWITCH($A$2,"average", AVERAGE(Instances!Q126:Instances!Q126),"median", MEDIAN(Instances!Q126:Instances!Q126),"min", MIN(Instances!Q126:Instances!Q126),"max", MAX(Instances!Q126:Instances!Q126),"diff", MAX(Instances!Q126:Instances!Q126)-MIN(Instances!Q126:Instances!Q126))</f>
        <v>0</v>
      </c>
      <c r="R126" s="1" cm="1">
        <f t="array" ref="R126">_xlfn.SWITCH($A$2,"average", AVERAGE(Instances!R126:Instances!R126),"median", MEDIAN(Instances!R126:Instances!R126),"min", MIN(Instances!R126:Instances!R126),"max", MAX(Instances!R126:Instances!R126),"diff", MAX(Instances!R126:Instances!R126)-MIN(Instances!R126:Instances!R126))</f>
        <v>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 cm="1">
        <f t="array" ref="B127">_xlfn.SWITCH($A$2,"average", AVERAGE(Instances!B127:Instances!B127),"median", MEDIAN(Instances!B127:Instances!B127),"min", MIN(Instances!B127:Instances!B127),"max", MAX(Instances!B127:Instances!B127),"diff", MAX(Instances!B127:Instances!B127)-MIN(Instances!B127:Instances!B127))</f>
        <v>0</v>
      </c>
      <c r="C127" s="1" cm="1">
        <f t="array" ref="C127">_xlfn.SWITCH($A$2,"average", AVERAGE(Instances!C127:Instances!C127),"median", MEDIAN(Instances!C127:Instances!C127),"min", MIN(Instances!C127:Instances!C127),"max", MAX(Instances!C127:Instances!C127),"diff", MAX(Instances!C127:Instances!C127)-MIN(Instances!C127:Instances!C127))</f>
        <v>0</v>
      </c>
      <c r="D127" s="1" cm="1">
        <f t="array" ref="D127">_xlfn.SWITCH($A$2,"average", AVERAGE(Instances!D127:Instances!D127),"median", MEDIAN(Instances!D127:Instances!D127),"min", MIN(Instances!D127:Instances!D127),"max", MAX(Instances!D127:Instances!D127),"diff", MAX(Instances!D127:Instances!D127)-MIN(Instances!D127:Instances!D127))</f>
        <v>0</v>
      </c>
      <c r="E127" s="1" cm="1">
        <f t="array" ref="E127">_xlfn.SWITCH($A$2,"average", AVERAGE(Instances!E127:Instances!E127),"median", MEDIAN(Instances!E127:Instances!E127),"min", MIN(Instances!E127:Instances!E127),"max", MAX(Instances!E127:Instances!E127),"diff", MAX(Instances!E127:Instances!E127)-MIN(Instances!E127:Instances!E127))</f>
        <v>0</v>
      </c>
      <c r="F127" s="1" cm="1">
        <f t="array" ref="F127">_xlfn.SWITCH($A$2,"average", AVERAGE(Instances!F127:Instances!F127),"median", MEDIAN(Instances!F127:Instances!F127),"min", MIN(Instances!F127:Instances!F127),"max", MAX(Instances!F127:Instances!F127),"diff", MAX(Instances!F127:Instances!F127)-MIN(Instances!F127:Instances!F127))</f>
        <v>0</v>
      </c>
      <c r="G127" s="1" cm="1">
        <f t="array" ref="G127">_xlfn.SWITCH($A$2,"average", AVERAGE(Instances!G127:Instances!G127),"median", MEDIAN(Instances!G127:Instances!G127),"min", MIN(Instances!G127:Instances!G127),"max", MAX(Instances!G127:Instances!G127),"diff", MAX(Instances!G127:Instances!G127)-MIN(Instances!G127:Instances!G127))</f>
        <v>0</v>
      </c>
      <c r="H127" s="1" cm="1">
        <f t="array" ref="H127">_xlfn.SWITCH($A$2,"average", AVERAGE(Instances!H127:Instances!H127),"median", MEDIAN(Instances!H127:Instances!H127),"min", MIN(Instances!H127:Instances!H127),"max", MAX(Instances!H127:Instances!H127),"diff", MAX(Instances!H127:Instances!H127)-MIN(Instances!H127:Instances!H127))</f>
        <v>0</v>
      </c>
      <c r="I127" s="1" cm="1">
        <f t="array" ref="I127">_xlfn.SWITCH($A$2,"average", AVERAGE(Instances!I127:Instances!I127),"median", MEDIAN(Instances!I127:Instances!I127),"min", MIN(Instances!I127:Instances!I127),"max", MAX(Instances!I127:Instances!I127),"diff", MAX(Instances!I127:Instances!I127)-MIN(Instances!I127:Instances!I127))</f>
        <v>0</v>
      </c>
      <c r="J127" s="1" cm="1">
        <f t="array" ref="J127">_xlfn.SWITCH($A$2,"average", AVERAGE(Instances!J127:Instances!J127),"median", MEDIAN(Instances!J127:Instances!J127),"min", MIN(Instances!J127:Instances!J127),"max", MAX(Instances!J127:Instances!J127),"diff", MAX(Instances!J127:Instances!J127)-MIN(Instances!J127:Instances!J127))</f>
        <v>0</v>
      </c>
      <c r="K127" s="1" cm="1">
        <f t="array" ref="K127">_xlfn.SWITCH($A$2,"average", AVERAGE(Instances!K127:Instances!K127),"median", MEDIAN(Instances!K127:Instances!K127),"min", MIN(Instances!K127:Instances!K127),"max", MAX(Instances!K127:Instances!K127),"diff", MAX(Instances!K127:Instances!K127)-MIN(Instances!K127:Instances!K127))</f>
        <v>0</v>
      </c>
      <c r="L127" s="1"/>
      <c r="M127" s="1" cm="1">
        <f t="array" ref="M127">_xlfn.SWITCH($A$2,"average", AVERAGE(Instances!M127:Instances!M127),"median", MEDIAN(Instances!M127:Instances!M127),"min", MIN(Instances!M127:Instances!M127),"max", MAX(Instances!M127:Instances!M127),"diff", MAX(Instances!M127:Instances!M127)-MIN(Instances!M127:Instances!M127))</f>
        <v>0</v>
      </c>
      <c r="N127" s="1" cm="1">
        <f t="array" ref="N127">_xlfn.SWITCH($A$2,"average", AVERAGE(Instances!N127:Instances!N127),"median", MEDIAN(Instances!N127:Instances!N127),"min", MIN(Instances!N127:Instances!N127),"max", MAX(Instances!N127:Instances!N127),"diff", MAX(Instances!N127:Instances!N127)-MIN(Instances!N127:Instances!N127))</f>
        <v>0</v>
      </c>
      <c r="O127" s="1"/>
      <c r="P127" s="1" cm="1">
        <f t="array" ref="P127">_xlfn.SWITCH($A$2,"average", AVERAGE(Instances!P127:Instances!P127),"median", MEDIAN(Instances!P127:Instances!P127),"min", MIN(Instances!P127:Instances!P127),"max", MAX(Instances!P127:Instances!P127),"diff", MAX(Instances!P127:Instances!P127)-MIN(Instances!P127:Instances!P127))</f>
        <v>0</v>
      </c>
      <c r="Q127" s="1" cm="1">
        <f t="array" ref="Q127">_xlfn.SWITCH($A$2,"average", AVERAGE(Instances!Q127:Instances!Q127),"median", MEDIAN(Instances!Q127:Instances!Q127),"min", MIN(Instances!Q127:Instances!Q127),"max", MAX(Instances!Q127:Instances!Q127),"diff", MAX(Instances!Q127:Instances!Q127)-MIN(Instances!Q127:Instances!Q127))</f>
        <v>0</v>
      </c>
      <c r="R127" s="1" cm="1">
        <f t="array" ref="R127">_xlfn.SWITCH($A$2,"average", AVERAGE(Instances!R127:Instances!R127),"median", MEDIAN(Instances!R127:Instances!R127),"min", MIN(Instances!R127:Instances!R127),"max", MAX(Instances!R127:Instances!R127),"diff", MAX(Instances!R127:Instances!R127)-MIN(Instances!R127:Instances!R127))</f>
        <v>0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 cm="1">
        <f t="array" ref="B128">_xlfn.SWITCH($A$2,"average", AVERAGE(Instances!B128:Instances!B128),"median", MEDIAN(Instances!B128:Instances!B128),"min", MIN(Instances!B128:Instances!B128),"max", MAX(Instances!B128:Instances!B128),"diff", MAX(Instances!B128:Instances!B128)-MIN(Instances!B128:Instances!B128))</f>
        <v>0</v>
      </c>
      <c r="C128" s="1" cm="1">
        <f t="array" ref="C128">_xlfn.SWITCH($A$2,"average", AVERAGE(Instances!C128:Instances!C128),"median", MEDIAN(Instances!C128:Instances!C128),"min", MIN(Instances!C128:Instances!C128),"max", MAX(Instances!C128:Instances!C128),"diff", MAX(Instances!C128:Instances!C128)-MIN(Instances!C128:Instances!C128))</f>
        <v>0</v>
      </c>
      <c r="D128" s="1" cm="1">
        <f t="array" ref="D128">_xlfn.SWITCH($A$2,"average", AVERAGE(Instances!D128:Instances!D128),"median", MEDIAN(Instances!D128:Instances!D128),"min", MIN(Instances!D128:Instances!D128),"max", MAX(Instances!D128:Instances!D128),"diff", MAX(Instances!D128:Instances!D128)-MIN(Instances!D128:Instances!D128))</f>
        <v>0</v>
      </c>
      <c r="E128" s="1" cm="1">
        <f t="array" ref="E128">_xlfn.SWITCH($A$2,"average", AVERAGE(Instances!E128:Instances!E128),"median", MEDIAN(Instances!E128:Instances!E128),"min", MIN(Instances!E128:Instances!E128),"max", MAX(Instances!E128:Instances!E128),"diff", MAX(Instances!E128:Instances!E128)-MIN(Instances!E128:Instances!E128))</f>
        <v>0</v>
      </c>
      <c r="F128" s="1" cm="1">
        <f t="array" ref="F128">_xlfn.SWITCH($A$2,"average", AVERAGE(Instances!F128:Instances!F128),"median", MEDIAN(Instances!F128:Instances!F128),"min", MIN(Instances!F128:Instances!F128),"max", MAX(Instances!F128:Instances!F128),"diff", MAX(Instances!F128:Instances!F128)-MIN(Instances!F128:Instances!F128))</f>
        <v>0</v>
      </c>
      <c r="G128" s="1" cm="1">
        <f t="array" ref="G128">_xlfn.SWITCH($A$2,"average", AVERAGE(Instances!G128:Instances!G128),"median", MEDIAN(Instances!G128:Instances!G128),"min", MIN(Instances!G128:Instances!G128),"max", MAX(Instances!G128:Instances!G128),"diff", MAX(Instances!G128:Instances!G128)-MIN(Instances!G128:Instances!G128))</f>
        <v>0</v>
      </c>
      <c r="H128" s="1" cm="1">
        <f t="array" ref="H128">_xlfn.SWITCH($A$2,"average", AVERAGE(Instances!H128:Instances!H128),"median", MEDIAN(Instances!H128:Instances!H128),"min", MIN(Instances!H128:Instances!H128),"max", MAX(Instances!H128:Instances!H128),"diff", MAX(Instances!H128:Instances!H128)-MIN(Instances!H128:Instances!H128))</f>
        <v>0</v>
      </c>
      <c r="I128" s="1" cm="1">
        <f t="array" ref="I128">_xlfn.SWITCH($A$2,"average", AVERAGE(Instances!I128:Instances!I128),"median", MEDIAN(Instances!I128:Instances!I128),"min", MIN(Instances!I128:Instances!I128),"max", MAX(Instances!I128:Instances!I128),"diff", MAX(Instances!I128:Instances!I128)-MIN(Instances!I128:Instances!I128))</f>
        <v>0</v>
      </c>
      <c r="J128" s="1" cm="1">
        <f t="array" ref="J128">_xlfn.SWITCH($A$2,"average", AVERAGE(Instances!J128:Instances!J128),"median", MEDIAN(Instances!J128:Instances!J128),"min", MIN(Instances!J128:Instances!J128),"max", MAX(Instances!J128:Instances!J128),"diff", MAX(Instances!J128:Instances!J128)-MIN(Instances!J128:Instances!J128))</f>
        <v>0</v>
      </c>
      <c r="K128" s="1" cm="1">
        <f t="array" ref="K128">_xlfn.SWITCH($A$2,"average", AVERAGE(Instances!K128:Instances!K128),"median", MEDIAN(Instances!K128:Instances!K128),"min", MIN(Instances!K128:Instances!K128),"max", MAX(Instances!K128:Instances!K128),"diff", MAX(Instances!K128:Instances!K128)-MIN(Instances!K128:Instances!K128))</f>
        <v>0</v>
      </c>
      <c r="L128" s="1"/>
      <c r="M128" s="1" cm="1">
        <f t="array" ref="M128">_xlfn.SWITCH($A$2,"average", AVERAGE(Instances!M128:Instances!M128),"median", MEDIAN(Instances!M128:Instances!M128),"min", MIN(Instances!M128:Instances!M128),"max", MAX(Instances!M128:Instances!M128),"diff", MAX(Instances!M128:Instances!M128)-MIN(Instances!M128:Instances!M128))</f>
        <v>0</v>
      </c>
      <c r="N128" s="1" cm="1">
        <f t="array" ref="N128">_xlfn.SWITCH($A$2,"average", AVERAGE(Instances!N128:Instances!N128),"median", MEDIAN(Instances!N128:Instances!N128),"min", MIN(Instances!N128:Instances!N128),"max", MAX(Instances!N128:Instances!N128),"diff", MAX(Instances!N128:Instances!N128)-MIN(Instances!N128:Instances!N128))</f>
        <v>0</v>
      </c>
      <c r="O128" s="1"/>
      <c r="P128" s="1" cm="1">
        <f t="array" ref="P128">_xlfn.SWITCH($A$2,"average", AVERAGE(Instances!P128:Instances!P128),"median", MEDIAN(Instances!P128:Instances!P128),"min", MIN(Instances!P128:Instances!P128),"max", MAX(Instances!P128:Instances!P128),"diff", MAX(Instances!P128:Instances!P128)-MIN(Instances!P128:Instances!P128))</f>
        <v>0</v>
      </c>
      <c r="Q128" s="1" cm="1">
        <f t="array" ref="Q128">_xlfn.SWITCH($A$2,"average", AVERAGE(Instances!Q128:Instances!Q128),"median", MEDIAN(Instances!Q128:Instances!Q128),"min", MIN(Instances!Q128:Instances!Q128),"max", MAX(Instances!Q128:Instances!Q128),"diff", MAX(Instances!Q128:Instances!Q128)-MIN(Instances!Q128:Instances!Q128))</f>
        <v>0</v>
      </c>
      <c r="R128" s="1" cm="1">
        <f t="array" ref="R128">_xlfn.SWITCH($A$2,"average", AVERAGE(Instances!R128:Instances!R128),"median", MEDIAN(Instances!R128:Instances!R128),"min", MIN(Instances!R128:Instances!R128),"max", MAX(Instances!R128:Instances!R128),"diff", MAX(Instances!R128:Instances!R128)-MIN(Instances!R128:Instances!R128))</f>
        <v>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 cm="1">
        <f t="array" ref="B129">_xlfn.SWITCH($A$2,"average", AVERAGE(Instances!B129:Instances!B129),"median", MEDIAN(Instances!B129:Instances!B129),"min", MIN(Instances!B129:Instances!B129),"max", MAX(Instances!B129:Instances!B129),"diff", MAX(Instances!B129:Instances!B129)-MIN(Instances!B129:Instances!B129))</f>
        <v>0</v>
      </c>
      <c r="C129" s="1" cm="1">
        <f t="array" ref="C129">_xlfn.SWITCH($A$2,"average", AVERAGE(Instances!C129:Instances!C129),"median", MEDIAN(Instances!C129:Instances!C129),"min", MIN(Instances!C129:Instances!C129),"max", MAX(Instances!C129:Instances!C129),"diff", MAX(Instances!C129:Instances!C129)-MIN(Instances!C129:Instances!C129))</f>
        <v>0</v>
      </c>
      <c r="D129" s="1" cm="1">
        <f t="array" ref="D129">_xlfn.SWITCH($A$2,"average", AVERAGE(Instances!D129:Instances!D129),"median", MEDIAN(Instances!D129:Instances!D129),"min", MIN(Instances!D129:Instances!D129),"max", MAX(Instances!D129:Instances!D129),"diff", MAX(Instances!D129:Instances!D129)-MIN(Instances!D129:Instances!D129))</f>
        <v>0</v>
      </c>
      <c r="E129" s="1" cm="1">
        <f t="array" ref="E129">_xlfn.SWITCH($A$2,"average", AVERAGE(Instances!E129:Instances!E129),"median", MEDIAN(Instances!E129:Instances!E129),"min", MIN(Instances!E129:Instances!E129),"max", MAX(Instances!E129:Instances!E129),"diff", MAX(Instances!E129:Instances!E129)-MIN(Instances!E129:Instances!E129))</f>
        <v>0</v>
      </c>
      <c r="F129" s="1" cm="1">
        <f t="array" ref="F129">_xlfn.SWITCH($A$2,"average", AVERAGE(Instances!F129:Instances!F129),"median", MEDIAN(Instances!F129:Instances!F129),"min", MIN(Instances!F129:Instances!F129),"max", MAX(Instances!F129:Instances!F129),"diff", MAX(Instances!F129:Instances!F129)-MIN(Instances!F129:Instances!F129))</f>
        <v>0</v>
      </c>
      <c r="G129" s="1" cm="1">
        <f t="array" ref="G129">_xlfn.SWITCH($A$2,"average", AVERAGE(Instances!G129:Instances!G129),"median", MEDIAN(Instances!G129:Instances!G129),"min", MIN(Instances!G129:Instances!G129),"max", MAX(Instances!G129:Instances!G129),"diff", MAX(Instances!G129:Instances!G129)-MIN(Instances!G129:Instances!G129))</f>
        <v>0</v>
      </c>
      <c r="H129" s="1" cm="1">
        <f t="array" ref="H129">_xlfn.SWITCH($A$2,"average", AVERAGE(Instances!H129:Instances!H129),"median", MEDIAN(Instances!H129:Instances!H129),"min", MIN(Instances!H129:Instances!H129),"max", MAX(Instances!H129:Instances!H129),"diff", MAX(Instances!H129:Instances!H129)-MIN(Instances!H129:Instances!H129))</f>
        <v>0</v>
      </c>
      <c r="I129" s="1" cm="1">
        <f t="array" ref="I129">_xlfn.SWITCH($A$2,"average", AVERAGE(Instances!I129:Instances!I129),"median", MEDIAN(Instances!I129:Instances!I129),"min", MIN(Instances!I129:Instances!I129),"max", MAX(Instances!I129:Instances!I129),"diff", MAX(Instances!I129:Instances!I129)-MIN(Instances!I129:Instances!I129))</f>
        <v>0</v>
      </c>
      <c r="J129" s="1" cm="1">
        <f t="array" ref="J129">_xlfn.SWITCH($A$2,"average", AVERAGE(Instances!J129:Instances!J129),"median", MEDIAN(Instances!J129:Instances!J129),"min", MIN(Instances!J129:Instances!J129),"max", MAX(Instances!J129:Instances!J129),"diff", MAX(Instances!J129:Instances!J129)-MIN(Instances!J129:Instances!J129))</f>
        <v>0</v>
      </c>
      <c r="K129" s="1" cm="1">
        <f t="array" ref="K129">_xlfn.SWITCH($A$2,"average", AVERAGE(Instances!K129:Instances!K129),"median", MEDIAN(Instances!K129:Instances!K129),"min", MIN(Instances!K129:Instances!K129),"max", MAX(Instances!K129:Instances!K129),"diff", MAX(Instances!K129:Instances!K129)-MIN(Instances!K129:Instances!K129))</f>
        <v>0</v>
      </c>
      <c r="L129" s="1"/>
      <c r="M129" s="1" cm="1">
        <f t="array" ref="M129">_xlfn.SWITCH($A$2,"average", AVERAGE(Instances!M129:Instances!M129),"median", MEDIAN(Instances!M129:Instances!M129),"min", MIN(Instances!M129:Instances!M129),"max", MAX(Instances!M129:Instances!M129),"diff", MAX(Instances!M129:Instances!M129)-MIN(Instances!M129:Instances!M129))</f>
        <v>0</v>
      </c>
      <c r="N129" s="1" cm="1">
        <f t="array" ref="N129">_xlfn.SWITCH($A$2,"average", AVERAGE(Instances!N129:Instances!N129),"median", MEDIAN(Instances!N129:Instances!N129),"min", MIN(Instances!N129:Instances!N129),"max", MAX(Instances!N129:Instances!N129),"diff", MAX(Instances!N129:Instances!N129)-MIN(Instances!N129:Instances!N129))</f>
        <v>0</v>
      </c>
      <c r="O129" s="1"/>
      <c r="P129" s="1" cm="1">
        <f t="array" ref="P129">_xlfn.SWITCH($A$2,"average", AVERAGE(Instances!P129:Instances!P129),"median", MEDIAN(Instances!P129:Instances!P129),"min", MIN(Instances!P129:Instances!P129),"max", MAX(Instances!P129:Instances!P129),"diff", MAX(Instances!P129:Instances!P129)-MIN(Instances!P129:Instances!P129))</f>
        <v>0</v>
      </c>
      <c r="Q129" s="1" cm="1">
        <f t="array" ref="Q129">_xlfn.SWITCH($A$2,"average", AVERAGE(Instances!Q129:Instances!Q129),"median", MEDIAN(Instances!Q129:Instances!Q129),"min", MIN(Instances!Q129:Instances!Q129),"max", MAX(Instances!Q129:Instances!Q129),"diff", MAX(Instances!Q129:Instances!Q129)-MIN(Instances!Q129:Instances!Q129))</f>
        <v>0</v>
      </c>
      <c r="R129" s="1" cm="1">
        <f t="array" ref="R129">_xlfn.SWITCH($A$2,"average", AVERAGE(Instances!R129:Instances!R129),"median", MEDIAN(Instances!R129:Instances!R129),"min", MIN(Instances!R129:Instances!R129),"max", MAX(Instances!R129:Instances!R129),"diff", MAX(Instances!R129:Instances!R129)-MIN(Instances!R129:Instances!R129))</f>
        <v>0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 cm="1">
        <f t="array" ref="B130">_xlfn.SWITCH($A$2,"average", AVERAGE(Instances!B130:Instances!B130),"median", MEDIAN(Instances!B130:Instances!B130),"min", MIN(Instances!B130:Instances!B130),"max", MAX(Instances!B130:Instances!B130),"diff", MAX(Instances!B130:Instances!B130)-MIN(Instances!B130:Instances!B130))</f>
        <v>0</v>
      </c>
      <c r="C130" s="1" cm="1">
        <f t="array" ref="C130">_xlfn.SWITCH($A$2,"average", AVERAGE(Instances!C130:Instances!C130),"median", MEDIAN(Instances!C130:Instances!C130),"min", MIN(Instances!C130:Instances!C130),"max", MAX(Instances!C130:Instances!C130),"diff", MAX(Instances!C130:Instances!C130)-MIN(Instances!C130:Instances!C130))</f>
        <v>0</v>
      </c>
      <c r="D130" s="1" cm="1">
        <f t="array" ref="D130">_xlfn.SWITCH($A$2,"average", AVERAGE(Instances!D130:Instances!D130),"median", MEDIAN(Instances!D130:Instances!D130),"min", MIN(Instances!D130:Instances!D130),"max", MAX(Instances!D130:Instances!D130),"diff", MAX(Instances!D130:Instances!D130)-MIN(Instances!D130:Instances!D130))</f>
        <v>0</v>
      </c>
      <c r="E130" s="1" cm="1">
        <f t="array" ref="E130">_xlfn.SWITCH($A$2,"average", AVERAGE(Instances!E130:Instances!E130),"median", MEDIAN(Instances!E130:Instances!E130),"min", MIN(Instances!E130:Instances!E130),"max", MAX(Instances!E130:Instances!E130),"diff", MAX(Instances!E130:Instances!E130)-MIN(Instances!E130:Instances!E130))</f>
        <v>0</v>
      </c>
      <c r="F130" s="1" cm="1">
        <f t="array" ref="F130">_xlfn.SWITCH($A$2,"average", AVERAGE(Instances!F130:Instances!F130),"median", MEDIAN(Instances!F130:Instances!F130),"min", MIN(Instances!F130:Instances!F130),"max", MAX(Instances!F130:Instances!F130),"diff", MAX(Instances!F130:Instances!F130)-MIN(Instances!F130:Instances!F130))</f>
        <v>0</v>
      </c>
      <c r="G130" s="1" cm="1">
        <f t="array" ref="G130">_xlfn.SWITCH($A$2,"average", AVERAGE(Instances!G130:Instances!G130),"median", MEDIAN(Instances!G130:Instances!G130),"min", MIN(Instances!G130:Instances!G130),"max", MAX(Instances!G130:Instances!G130),"diff", MAX(Instances!G130:Instances!G130)-MIN(Instances!G130:Instances!G130))</f>
        <v>0</v>
      </c>
      <c r="H130" s="1" cm="1">
        <f t="array" ref="H130">_xlfn.SWITCH($A$2,"average", AVERAGE(Instances!H130:Instances!H130),"median", MEDIAN(Instances!H130:Instances!H130),"min", MIN(Instances!H130:Instances!H130),"max", MAX(Instances!H130:Instances!H130),"diff", MAX(Instances!H130:Instances!H130)-MIN(Instances!H130:Instances!H130))</f>
        <v>0</v>
      </c>
      <c r="I130" s="1" cm="1">
        <f t="array" ref="I130">_xlfn.SWITCH($A$2,"average", AVERAGE(Instances!I130:Instances!I130),"median", MEDIAN(Instances!I130:Instances!I130),"min", MIN(Instances!I130:Instances!I130),"max", MAX(Instances!I130:Instances!I130),"diff", MAX(Instances!I130:Instances!I130)-MIN(Instances!I130:Instances!I130))</f>
        <v>0</v>
      </c>
      <c r="J130" s="1" cm="1">
        <f t="array" ref="J130">_xlfn.SWITCH($A$2,"average", AVERAGE(Instances!J130:Instances!J130),"median", MEDIAN(Instances!J130:Instances!J130),"min", MIN(Instances!J130:Instances!J130),"max", MAX(Instances!J130:Instances!J130),"diff", MAX(Instances!J130:Instances!J130)-MIN(Instances!J130:Instances!J130))</f>
        <v>0</v>
      </c>
      <c r="K130" s="1" cm="1">
        <f t="array" ref="K130">_xlfn.SWITCH($A$2,"average", AVERAGE(Instances!K130:Instances!K130),"median", MEDIAN(Instances!K130:Instances!K130),"min", MIN(Instances!K130:Instances!K130),"max", MAX(Instances!K130:Instances!K130),"diff", MAX(Instances!K130:Instances!K130)-MIN(Instances!K130:Instances!K130))</f>
        <v>0</v>
      </c>
      <c r="L130" s="1"/>
      <c r="M130" s="1" cm="1">
        <f t="array" ref="M130">_xlfn.SWITCH($A$2,"average", AVERAGE(Instances!M130:Instances!M130),"median", MEDIAN(Instances!M130:Instances!M130),"min", MIN(Instances!M130:Instances!M130),"max", MAX(Instances!M130:Instances!M130),"diff", MAX(Instances!M130:Instances!M130)-MIN(Instances!M130:Instances!M130))</f>
        <v>0</v>
      </c>
      <c r="N130" s="1" cm="1">
        <f t="array" ref="N130">_xlfn.SWITCH($A$2,"average", AVERAGE(Instances!N130:Instances!N130),"median", MEDIAN(Instances!N130:Instances!N130),"min", MIN(Instances!N130:Instances!N130),"max", MAX(Instances!N130:Instances!N130),"diff", MAX(Instances!N130:Instances!N130)-MIN(Instances!N130:Instances!N130))</f>
        <v>0</v>
      </c>
      <c r="O130" s="1"/>
      <c r="P130" s="1" cm="1">
        <f t="array" ref="P130">_xlfn.SWITCH($A$2,"average", AVERAGE(Instances!P130:Instances!P130),"median", MEDIAN(Instances!P130:Instances!P130),"min", MIN(Instances!P130:Instances!P130),"max", MAX(Instances!P130:Instances!P130),"diff", MAX(Instances!P130:Instances!P130)-MIN(Instances!P130:Instances!P130))</f>
        <v>0</v>
      </c>
      <c r="Q130" s="1" cm="1">
        <f t="array" ref="Q130">_xlfn.SWITCH($A$2,"average", AVERAGE(Instances!Q130:Instances!Q130),"median", MEDIAN(Instances!Q130:Instances!Q130),"min", MIN(Instances!Q130:Instances!Q130),"max", MAX(Instances!Q130:Instances!Q130),"diff", MAX(Instances!Q130:Instances!Q130)-MIN(Instances!Q130:Instances!Q130))</f>
        <v>0</v>
      </c>
      <c r="R130" s="1" cm="1">
        <f t="array" ref="R130">_xlfn.SWITCH($A$2,"average", AVERAGE(Instances!R130:Instances!R130),"median", MEDIAN(Instances!R130:Instances!R130),"min", MIN(Instances!R130:Instances!R130),"max", MAX(Instances!R130:Instances!R130),"diff", MAX(Instances!R130:Instances!R130)-MIN(Instances!R130:Instances!R130))</f>
        <v>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 cm="1">
        <f t="array" ref="B131">_xlfn.SWITCH($A$2,"average", AVERAGE(Instances!B131:Instances!B131),"median", MEDIAN(Instances!B131:Instances!B131),"min", MIN(Instances!B131:Instances!B131),"max", MAX(Instances!B131:Instances!B131),"diff", MAX(Instances!B131:Instances!B131)-MIN(Instances!B131:Instances!B131))</f>
        <v>0</v>
      </c>
      <c r="C131" s="1" cm="1">
        <f t="array" ref="C131">_xlfn.SWITCH($A$2,"average", AVERAGE(Instances!C131:Instances!C131),"median", MEDIAN(Instances!C131:Instances!C131),"min", MIN(Instances!C131:Instances!C131),"max", MAX(Instances!C131:Instances!C131),"diff", MAX(Instances!C131:Instances!C131)-MIN(Instances!C131:Instances!C131))</f>
        <v>0</v>
      </c>
      <c r="D131" s="1" cm="1">
        <f t="array" ref="D131">_xlfn.SWITCH($A$2,"average", AVERAGE(Instances!D131:Instances!D131),"median", MEDIAN(Instances!D131:Instances!D131),"min", MIN(Instances!D131:Instances!D131),"max", MAX(Instances!D131:Instances!D131),"diff", MAX(Instances!D131:Instances!D131)-MIN(Instances!D131:Instances!D131))</f>
        <v>0</v>
      </c>
      <c r="E131" s="1" cm="1">
        <f t="array" ref="E131">_xlfn.SWITCH($A$2,"average", AVERAGE(Instances!E131:Instances!E131),"median", MEDIAN(Instances!E131:Instances!E131),"min", MIN(Instances!E131:Instances!E131),"max", MAX(Instances!E131:Instances!E131),"diff", MAX(Instances!E131:Instances!E131)-MIN(Instances!E131:Instances!E131))</f>
        <v>0</v>
      </c>
      <c r="F131" s="1" cm="1">
        <f t="array" ref="F131">_xlfn.SWITCH($A$2,"average", AVERAGE(Instances!F131:Instances!F131),"median", MEDIAN(Instances!F131:Instances!F131),"min", MIN(Instances!F131:Instances!F131),"max", MAX(Instances!F131:Instances!F131),"diff", MAX(Instances!F131:Instances!F131)-MIN(Instances!F131:Instances!F131))</f>
        <v>0</v>
      </c>
      <c r="G131" s="1" cm="1">
        <f t="array" ref="G131">_xlfn.SWITCH($A$2,"average", AVERAGE(Instances!G131:Instances!G131),"median", MEDIAN(Instances!G131:Instances!G131),"min", MIN(Instances!G131:Instances!G131),"max", MAX(Instances!G131:Instances!G131),"diff", MAX(Instances!G131:Instances!G131)-MIN(Instances!G131:Instances!G131))</f>
        <v>0</v>
      </c>
      <c r="H131" s="1" cm="1">
        <f t="array" ref="H131">_xlfn.SWITCH($A$2,"average", AVERAGE(Instances!H131:Instances!H131),"median", MEDIAN(Instances!H131:Instances!H131),"min", MIN(Instances!H131:Instances!H131),"max", MAX(Instances!H131:Instances!H131),"diff", MAX(Instances!H131:Instances!H131)-MIN(Instances!H131:Instances!H131))</f>
        <v>0</v>
      </c>
      <c r="I131" s="1" cm="1">
        <f t="array" ref="I131">_xlfn.SWITCH($A$2,"average", AVERAGE(Instances!I131:Instances!I131),"median", MEDIAN(Instances!I131:Instances!I131),"min", MIN(Instances!I131:Instances!I131),"max", MAX(Instances!I131:Instances!I131),"diff", MAX(Instances!I131:Instances!I131)-MIN(Instances!I131:Instances!I131))</f>
        <v>0</v>
      </c>
      <c r="J131" s="1" cm="1">
        <f t="array" ref="J131">_xlfn.SWITCH($A$2,"average", AVERAGE(Instances!J131:Instances!J131),"median", MEDIAN(Instances!J131:Instances!J131),"min", MIN(Instances!J131:Instances!J131),"max", MAX(Instances!J131:Instances!J131),"diff", MAX(Instances!J131:Instances!J131)-MIN(Instances!J131:Instances!J131))</f>
        <v>0</v>
      </c>
      <c r="K131" s="1" cm="1">
        <f t="array" ref="K131">_xlfn.SWITCH($A$2,"average", AVERAGE(Instances!K131:Instances!K131),"median", MEDIAN(Instances!K131:Instances!K131),"min", MIN(Instances!K131:Instances!K131),"max", MAX(Instances!K131:Instances!K131),"diff", MAX(Instances!K131:Instances!K131)-MIN(Instances!K131:Instances!K131))</f>
        <v>0</v>
      </c>
      <c r="L131" s="1"/>
      <c r="M131" s="1" cm="1">
        <f t="array" ref="M131">_xlfn.SWITCH($A$2,"average", AVERAGE(Instances!M131:Instances!M131),"median", MEDIAN(Instances!M131:Instances!M131),"min", MIN(Instances!M131:Instances!M131),"max", MAX(Instances!M131:Instances!M131),"diff", MAX(Instances!M131:Instances!M131)-MIN(Instances!M131:Instances!M131))</f>
        <v>0</v>
      </c>
      <c r="N131" s="1" cm="1">
        <f t="array" ref="N131">_xlfn.SWITCH($A$2,"average", AVERAGE(Instances!N131:Instances!N131),"median", MEDIAN(Instances!N131:Instances!N131),"min", MIN(Instances!N131:Instances!N131),"max", MAX(Instances!N131:Instances!N131),"diff", MAX(Instances!N131:Instances!N131)-MIN(Instances!N131:Instances!N131))</f>
        <v>0</v>
      </c>
      <c r="O131" s="1"/>
      <c r="P131" s="1" cm="1">
        <f t="array" ref="P131">_xlfn.SWITCH($A$2,"average", AVERAGE(Instances!P131:Instances!P131),"median", MEDIAN(Instances!P131:Instances!P131),"min", MIN(Instances!P131:Instances!P131),"max", MAX(Instances!P131:Instances!P131),"diff", MAX(Instances!P131:Instances!P131)-MIN(Instances!P131:Instances!P131))</f>
        <v>0</v>
      </c>
      <c r="Q131" s="1" cm="1">
        <f t="array" ref="Q131">_xlfn.SWITCH($A$2,"average", AVERAGE(Instances!Q131:Instances!Q131),"median", MEDIAN(Instances!Q131:Instances!Q131),"min", MIN(Instances!Q131:Instances!Q131),"max", MAX(Instances!Q131:Instances!Q131),"diff", MAX(Instances!Q131:Instances!Q131)-MIN(Instances!Q131:Instances!Q131))</f>
        <v>0</v>
      </c>
      <c r="R131" s="1" cm="1">
        <f t="array" ref="R131">_xlfn.SWITCH($A$2,"average", AVERAGE(Instances!R131:Instances!R131),"median", MEDIAN(Instances!R131:Instances!R131),"min", MIN(Instances!R131:Instances!R131),"max", MAX(Instances!R131:Instances!R131),"diff", MAX(Instances!R131:Instances!R131)-MIN(Instances!R131:Instances!R131))</f>
        <v>0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 cm="1">
        <f t="array" ref="B132">_xlfn.SWITCH($A$2,"average", AVERAGE(Instances!B132:Instances!B132),"median", MEDIAN(Instances!B132:Instances!B132),"min", MIN(Instances!B132:Instances!B132),"max", MAX(Instances!B132:Instances!B132),"diff", MAX(Instances!B132:Instances!B132)-MIN(Instances!B132:Instances!B132))</f>
        <v>0</v>
      </c>
      <c r="C132" s="1" cm="1">
        <f t="array" ref="C132">_xlfn.SWITCH($A$2,"average", AVERAGE(Instances!C132:Instances!C132),"median", MEDIAN(Instances!C132:Instances!C132),"min", MIN(Instances!C132:Instances!C132),"max", MAX(Instances!C132:Instances!C132),"diff", MAX(Instances!C132:Instances!C132)-MIN(Instances!C132:Instances!C132))</f>
        <v>0</v>
      </c>
      <c r="D132" s="1" cm="1">
        <f t="array" ref="D132">_xlfn.SWITCH($A$2,"average", AVERAGE(Instances!D132:Instances!D132),"median", MEDIAN(Instances!D132:Instances!D132),"min", MIN(Instances!D132:Instances!D132),"max", MAX(Instances!D132:Instances!D132),"diff", MAX(Instances!D132:Instances!D132)-MIN(Instances!D132:Instances!D132))</f>
        <v>0</v>
      </c>
      <c r="E132" s="1" cm="1">
        <f t="array" ref="E132">_xlfn.SWITCH($A$2,"average", AVERAGE(Instances!E132:Instances!E132),"median", MEDIAN(Instances!E132:Instances!E132),"min", MIN(Instances!E132:Instances!E132),"max", MAX(Instances!E132:Instances!E132),"diff", MAX(Instances!E132:Instances!E132)-MIN(Instances!E132:Instances!E132))</f>
        <v>0</v>
      </c>
      <c r="F132" s="1" cm="1">
        <f t="array" ref="F132">_xlfn.SWITCH($A$2,"average", AVERAGE(Instances!F132:Instances!F132),"median", MEDIAN(Instances!F132:Instances!F132),"min", MIN(Instances!F132:Instances!F132),"max", MAX(Instances!F132:Instances!F132),"diff", MAX(Instances!F132:Instances!F132)-MIN(Instances!F132:Instances!F132))</f>
        <v>0</v>
      </c>
      <c r="G132" s="1" cm="1">
        <f t="array" ref="G132">_xlfn.SWITCH($A$2,"average", AVERAGE(Instances!G132:Instances!G132),"median", MEDIAN(Instances!G132:Instances!G132),"min", MIN(Instances!G132:Instances!G132),"max", MAX(Instances!G132:Instances!G132),"diff", MAX(Instances!G132:Instances!G132)-MIN(Instances!G132:Instances!G132))</f>
        <v>0</v>
      </c>
      <c r="H132" s="1" cm="1">
        <f t="array" ref="H132">_xlfn.SWITCH($A$2,"average", AVERAGE(Instances!H132:Instances!H132),"median", MEDIAN(Instances!H132:Instances!H132),"min", MIN(Instances!H132:Instances!H132),"max", MAX(Instances!H132:Instances!H132),"diff", MAX(Instances!H132:Instances!H132)-MIN(Instances!H132:Instances!H132))</f>
        <v>0</v>
      </c>
      <c r="I132" s="1" cm="1">
        <f t="array" ref="I132">_xlfn.SWITCH($A$2,"average", AVERAGE(Instances!I132:Instances!I132),"median", MEDIAN(Instances!I132:Instances!I132),"min", MIN(Instances!I132:Instances!I132),"max", MAX(Instances!I132:Instances!I132),"diff", MAX(Instances!I132:Instances!I132)-MIN(Instances!I132:Instances!I132))</f>
        <v>0</v>
      </c>
      <c r="J132" s="1" cm="1">
        <f t="array" ref="J132">_xlfn.SWITCH($A$2,"average", AVERAGE(Instances!J132:Instances!J132),"median", MEDIAN(Instances!J132:Instances!J132),"min", MIN(Instances!J132:Instances!J132),"max", MAX(Instances!J132:Instances!J132),"diff", MAX(Instances!J132:Instances!J132)-MIN(Instances!J132:Instances!J132))</f>
        <v>0</v>
      </c>
      <c r="K132" s="1" cm="1">
        <f t="array" ref="K132">_xlfn.SWITCH($A$2,"average", AVERAGE(Instances!K132:Instances!K132),"median", MEDIAN(Instances!K132:Instances!K132),"min", MIN(Instances!K132:Instances!K132),"max", MAX(Instances!K132:Instances!K132),"diff", MAX(Instances!K132:Instances!K132)-MIN(Instances!K132:Instances!K132))</f>
        <v>0</v>
      </c>
      <c r="L132" s="1"/>
      <c r="M132" s="1" cm="1">
        <f t="array" ref="M132">_xlfn.SWITCH($A$2,"average", AVERAGE(Instances!M132:Instances!M132),"median", MEDIAN(Instances!M132:Instances!M132),"min", MIN(Instances!M132:Instances!M132),"max", MAX(Instances!M132:Instances!M132),"diff", MAX(Instances!M132:Instances!M132)-MIN(Instances!M132:Instances!M132))</f>
        <v>0</v>
      </c>
      <c r="N132" s="1" cm="1">
        <f t="array" ref="N132">_xlfn.SWITCH($A$2,"average", AVERAGE(Instances!N132:Instances!N132),"median", MEDIAN(Instances!N132:Instances!N132),"min", MIN(Instances!N132:Instances!N132),"max", MAX(Instances!N132:Instances!N132),"diff", MAX(Instances!N132:Instances!N132)-MIN(Instances!N132:Instances!N132))</f>
        <v>0</v>
      </c>
      <c r="O132" s="1"/>
      <c r="P132" s="1" cm="1">
        <f t="array" ref="P132">_xlfn.SWITCH($A$2,"average", AVERAGE(Instances!P132:Instances!P132),"median", MEDIAN(Instances!P132:Instances!P132),"min", MIN(Instances!P132:Instances!P132),"max", MAX(Instances!P132:Instances!P132),"diff", MAX(Instances!P132:Instances!P132)-MIN(Instances!P132:Instances!P132))</f>
        <v>0</v>
      </c>
      <c r="Q132" s="1" cm="1">
        <f t="array" ref="Q132">_xlfn.SWITCH($A$2,"average", AVERAGE(Instances!Q132:Instances!Q132),"median", MEDIAN(Instances!Q132:Instances!Q132),"min", MIN(Instances!Q132:Instances!Q132),"max", MAX(Instances!Q132:Instances!Q132),"diff", MAX(Instances!Q132:Instances!Q132)-MIN(Instances!Q132:Instances!Q132))</f>
        <v>0</v>
      </c>
      <c r="R132" s="1" cm="1">
        <f t="array" ref="R132">_xlfn.SWITCH($A$2,"average", AVERAGE(Instances!R132:Instances!R132),"median", MEDIAN(Instances!R132:Instances!R132),"min", MIN(Instances!R132:Instances!R132),"max", MAX(Instances!R132:Instances!R132),"diff", MAX(Instances!R132:Instances!R132)-MIN(Instances!R132:Instances!R132))</f>
        <v>0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 cm="1">
        <f t="array" ref="B133">_xlfn.SWITCH($A$2,"average", AVERAGE(Instances!B133:Instances!B133),"median", MEDIAN(Instances!B133:Instances!B133),"min", MIN(Instances!B133:Instances!B133),"max", MAX(Instances!B133:Instances!B133),"diff", MAX(Instances!B133:Instances!B133)-MIN(Instances!B133:Instances!B133))</f>
        <v>0</v>
      </c>
      <c r="C133" s="1" cm="1">
        <f t="array" ref="C133">_xlfn.SWITCH($A$2,"average", AVERAGE(Instances!C133:Instances!C133),"median", MEDIAN(Instances!C133:Instances!C133),"min", MIN(Instances!C133:Instances!C133),"max", MAX(Instances!C133:Instances!C133),"diff", MAX(Instances!C133:Instances!C133)-MIN(Instances!C133:Instances!C133))</f>
        <v>0</v>
      </c>
      <c r="D133" s="1" cm="1">
        <f t="array" ref="D133">_xlfn.SWITCH($A$2,"average", AVERAGE(Instances!D133:Instances!D133),"median", MEDIAN(Instances!D133:Instances!D133),"min", MIN(Instances!D133:Instances!D133),"max", MAX(Instances!D133:Instances!D133),"diff", MAX(Instances!D133:Instances!D133)-MIN(Instances!D133:Instances!D133))</f>
        <v>0</v>
      </c>
      <c r="E133" s="1" cm="1">
        <f t="array" ref="E133">_xlfn.SWITCH($A$2,"average", AVERAGE(Instances!E133:Instances!E133),"median", MEDIAN(Instances!E133:Instances!E133),"min", MIN(Instances!E133:Instances!E133),"max", MAX(Instances!E133:Instances!E133),"diff", MAX(Instances!E133:Instances!E133)-MIN(Instances!E133:Instances!E133))</f>
        <v>0</v>
      </c>
      <c r="F133" s="1" cm="1">
        <f t="array" ref="F133">_xlfn.SWITCH($A$2,"average", AVERAGE(Instances!F133:Instances!F133),"median", MEDIAN(Instances!F133:Instances!F133),"min", MIN(Instances!F133:Instances!F133),"max", MAX(Instances!F133:Instances!F133),"diff", MAX(Instances!F133:Instances!F133)-MIN(Instances!F133:Instances!F133))</f>
        <v>0</v>
      </c>
      <c r="G133" s="1" cm="1">
        <f t="array" ref="G133">_xlfn.SWITCH($A$2,"average", AVERAGE(Instances!G133:Instances!G133),"median", MEDIAN(Instances!G133:Instances!G133),"min", MIN(Instances!G133:Instances!G133),"max", MAX(Instances!G133:Instances!G133),"diff", MAX(Instances!G133:Instances!G133)-MIN(Instances!G133:Instances!G133))</f>
        <v>0</v>
      </c>
      <c r="H133" s="1" cm="1">
        <f t="array" ref="H133">_xlfn.SWITCH($A$2,"average", AVERAGE(Instances!H133:Instances!H133),"median", MEDIAN(Instances!H133:Instances!H133),"min", MIN(Instances!H133:Instances!H133),"max", MAX(Instances!H133:Instances!H133),"diff", MAX(Instances!H133:Instances!H133)-MIN(Instances!H133:Instances!H133))</f>
        <v>0</v>
      </c>
      <c r="I133" s="1" cm="1">
        <f t="array" ref="I133">_xlfn.SWITCH($A$2,"average", AVERAGE(Instances!I133:Instances!I133),"median", MEDIAN(Instances!I133:Instances!I133),"min", MIN(Instances!I133:Instances!I133),"max", MAX(Instances!I133:Instances!I133),"diff", MAX(Instances!I133:Instances!I133)-MIN(Instances!I133:Instances!I133))</f>
        <v>0</v>
      </c>
      <c r="J133" s="1" cm="1">
        <f t="array" ref="J133">_xlfn.SWITCH($A$2,"average", AVERAGE(Instances!J133:Instances!J133),"median", MEDIAN(Instances!J133:Instances!J133),"min", MIN(Instances!J133:Instances!J133),"max", MAX(Instances!J133:Instances!J133),"diff", MAX(Instances!J133:Instances!J133)-MIN(Instances!J133:Instances!J133))</f>
        <v>0</v>
      </c>
      <c r="K133" s="1" cm="1">
        <f t="array" ref="K133">_xlfn.SWITCH($A$2,"average", AVERAGE(Instances!K133:Instances!K133),"median", MEDIAN(Instances!K133:Instances!K133),"min", MIN(Instances!K133:Instances!K133),"max", MAX(Instances!K133:Instances!K133),"diff", MAX(Instances!K133:Instances!K133)-MIN(Instances!K133:Instances!K133))</f>
        <v>0</v>
      </c>
      <c r="L133" s="1"/>
      <c r="M133" s="1" cm="1">
        <f t="array" ref="M133">_xlfn.SWITCH($A$2,"average", AVERAGE(Instances!M133:Instances!M133),"median", MEDIAN(Instances!M133:Instances!M133),"min", MIN(Instances!M133:Instances!M133),"max", MAX(Instances!M133:Instances!M133),"diff", MAX(Instances!M133:Instances!M133)-MIN(Instances!M133:Instances!M133))</f>
        <v>0</v>
      </c>
      <c r="N133" s="1" cm="1">
        <f t="array" ref="N133">_xlfn.SWITCH($A$2,"average", AVERAGE(Instances!N133:Instances!N133),"median", MEDIAN(Instances!N133:Instances!N133),"min", MIN(Instances!N133:Instances!N133),"max", MAX(Instances!N133:Instances!N133),"diff", MAX(Instances!N133:Instances!N133)-MIN(Instances!N133:Instances!N133))</f>
        <v>0</v>
      </c>
      <c r="O133" s="1"/>
      <c r="P133" s="1" cm="1">
        <f t="array" ref="P133">_xlfn.SWITCH($A$2,"average", AVERAGE(Instances!P133:Instances!P133),"median", MEDIAN(Instances!P133:Instances!P133),"min", MIN(Instances!P133:Instances!P133),"max", MAX(Instances!P133:Instances!P133),"diff", MAX(Instances!P133:Instances!P133)-MIN(Instances!P133:Instances!P133))</f>
        <v>0</v>
      </c>
      <c r="Q133" s="1" cm="1">
        <f t="array" ref="Q133">_xlfn.SWITCH($A$2,"average", AVERAGE(Instances!Q133:Instances!Q133),"median", MEDIAN(Instances!Q133:Instances!Q133),"min", MIN(Instances!Q133:Instances!Q133),"max", MAX(Instances!Q133:Instances!Q133),"diff", MAX(Instances!Q133:Instances!Q133)-MIN(Instances!Q133:Instances!Q133))</f>
        <v>0</v>
      </c>
      <c r="R133" s="1" cm="1">
        <f t="array" ref="R133">_xlfn.SWITCH($A$2,"average", AVERAGE(Instances!R133:Instances!R133),"median", MEDIAN(Instances!R133:Instances!R133),"min", MIN(Instances!R133:Instances!R133),"max", MAX(Instances!R133:Instances!R133),"diff", MAX(Instances!R133:Instances!R133)-MIN(Instances!R133:Instances!R133))</f>
        <v>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 cm="1">
        <f t="array" ref="B134">_xlfn.SWITCH($A$2,"average", AVERAGE(Instances!B134:Instances!B134),"median", MEDIAN(Instances!B134:Instances!B134),"min", MIN(Instances!B134:Instances!B134),"max", MAX(Instances!B134:Instances!B134),"diff", MAX(Instances!B134:Instances!B134)-MIN(Instances!B134:Instances!B134))</f>
        <v>0</v>
      </c>
      <c r="C134" s="1" cm="1">
        <f t="array" ref="C134">_xlfn.SWITCH($A$2,"average", AVERAGE(Instances!C134:Instances!C134),"median", MEDIAN(Instances!C134:Instances!C134),"min", MIN(Instances!C134:Instances!C134),"max", MAX(Instances!C134:Instances!C134),"diff", MAX(Instances!C134:Instances!C134)-MIN(Instances!C134:Instances!C134))</f>
        <v>0</v>
      </c>
      <c r="D134" s="1" cm="1">
        <f t="array" ref="D134">_xlfn.SWITCH($A$2,"average", AVERAGE(Instances!D134:Instances!D134),"median", MEDIAN(Instances!D134:Instances!D134),"min", MIN(Instances!D134:Instances!D134),"max", MAX(Instances!D134:Instances!D134),"diff", MAX(Instances!D134:Instances!D134)-MIN(Instances!D134:Instances!D134))</f>
        <v>0</v>
      </c>
      <c r="E134" s="1" cm="1">
        <f t="array" ref="E134">_xlfn.SWITCH($A$2,"average", AVERAGE(Instances!E134:Instances!E134),"median", MEDIAN(Instances!E134:Instances!E134),"min", MIN(Instances!E134:Instances!E134),"max", MAX(Instances!E134:Instances!E134),"diff", MAX(Instances!E134:Instances!E134)-MIN(Instances!E134:Instances!E134))</f>
        <v>0</v>
      </c>
      <c r="F134" s="1" cm="1">
        <f t="array" ref="F134">_xlfn.SWITCH($A$2,"average", AVERAGE(Instances!F134:Instances!F134),"median", MEDIAN(Instances!F134:Instances!F134),"min", MIN(Instances!F134:Instances!F134),"max", MAX(Instances!F134:Instances!F134),"diff", MAX(Instances!F134:Instances!F134)-MIN(Instances!F134:Instances!F134))</f>
        <v>0</v>
      </c>
      <c r="G134" s="1" cm="1">
        <f t="array" ref="G134">_xlfn.SWITCH($A$2,"average", AVERAGE(Instances!G134:Instances!G134),"median", MEDIAN(Instances!G134:Instances!G134),"min", MIN(Instances!G134:Instances!G134),"max", MAX(Instances!G134:Instances!G134),"diff", MAX(Instances!G134:Instances!G134)-MIN(Instances!G134:Instances!G134))</f>
        <v>0</v>
      </c>
      <c r="H134" s="1" cm="1">
        <f t="array" ref="H134">_xlfn.SWITCH($A$2,"average", AVERAGE(Instances!H134:Instances!H134),"median", MEDIAN(Instances!H134:Instances!H134),"min", MIN(Instances!H134:Instances!H134),"max", MAX(Instances!H134:Instances!H134),"diff", MAX(Instances!H134:Instances!H134)-MIN(Instances!H134:Instances!H134))</f>
        <v>0</v>
      </c>
      <c r="I134" s="1" cm="1">
        <f t="array" ref="I134">_xlfn.SWITCH($A$2,"average", AVERAGE(Instances!I134:Instances!I134),"median", MEDIAN(Instances!I134:Instances!I134),"min", MIN(Instances!I134:Instances!I134),"max", MAX(Instances!I134:Instances!I134),"diff", MAX(Instances!I134:Instances!I134)-MIN(Instances!I134:Instances!I134))</f>
        <v>0</v>
      </c>
      <c r="J134" s="1" cm="1">
        <f t="array" ref="J134">_xlfn.SWITCH($A$2,"average", AVERAGE(Instances!J134:Instances!J134),"median", MEDIAN(Instances!J134:Instances!J134),"min", MIN(Instances!J134:Instances!J134),"max", MAX(Instances!J134:Instances!J134),"diff", MAX(Instances!J134:Instances!J134)-MIN(Instances!J134:Instances!J134))</f>
        <v>0</v>
      </c>
      <c r="K134" s="1" cm="1">
        <f t="array" ref="K134">_xlfn.SWITCH($A$2,"average", AVERAGE(Instances!K134:Instances!K134),"median", MEDIAN(Instances!K134:Instances!K134),"min", MIN(Instances!K134:Instances!K134),"max", MAX(Instances!K134:Instances!K134),"diff", MAX(Instances!K134:Instances!K134)-MIN(Instances!K134:Instances!K134))</f>
        <v>0</v>
      </c>
      <c r="L134" s="1"/>
      <c r="M134" s="1" cm="1">
        <f t="array" ref="M134">_xlfn.SWITCH($A$2,"average", AVERAGE(Instances!M134:Instances!M134),"median", MEDIAN(Instances!M134:Instances!M134),"min", MIN(Instances!M134:Instances!M134),"max", MAX(Instances!M134:Instances!M134),"diff", MAX(Instances!M134:Instances!M134)-MIN(Instances!M134:Instances!M134))</f>
        <v>0</v>
      </c>
      <c r="N134" s="1" cm="1">
        <f t="array" ref="N134">_xlfn.SWITCH($A$2,"average", AVERAGE(Instances!N134:Instances!N134),"median", MEDIAN(Instances!N134:Instances!N134),"min", MIN(Instances!N134:Instances!N134),"max", MAX(Instances!N134:Instances!N134),"diff", MAX(Instances!N134:Instances!N134)-MIN(Instances!N134:Instances!N134))</f>
        <v>0</v>
      </c>
      <c r="O134" s="1"/>
      <c r="P134" s="1" cm="1">
        <f t="array" ref="P134">_xlfn.SWITCH($A$2,"average", AVERAGE(Instances!P134:Instances!P134),"median", MEDIAN(Instances!P134:Instances!P134),"min", MIN(Instances!P134:Instances!P134),"max", MAX(Instances!P134:Instances!P134),"diff", MAX(Instances!P134:Instances!P134)-MIN(Instances!P134:Instances!P134))</f>
        <v>0</v>
      </c>
      <c r="Q134" s="1" cm="1">
        <f t="array" ref="Q134">_xlfn.SWITCH($A$2,"average", AVERAGE(Instances!Q134:Instances!Q134),"median", MEDIAN(Instances!Q134:Instances!Q134),"min", MIN(Instances!Q134:Instances!Q134),"max", MAX(Instances!Q134:Instances!Q134),"diff", MAX(Instances!Q134:Instances!Q134)-MIN(Instances!Q134:Instances!Q134))</f>
        <v>0</v>
      </c>
      <c r="R134" s="1" cm="1">
        <f t="array" ref="R134">_xlfn.SWITCH($A$2,"average", AVERAGE(Instances!R134:Instances!R134),"median", MEDIAN(Instances!R134:Instances!R134),"min", MIN(Instances!R134:Instances!R134),"max", MAX(Instances!R134:Instances!R134),"diff", MAX(Instances!R134:Instances!R134)-MIN(Instances!R134:Instances!R134))</f>
        <v>0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 cm="1">
        <f t="array" ref="B135">_xlfn.SWITCH($A$2,"average", AVERAGE(Instances!B135:Instances!B135),"median", MEDIAN(Instances!B135:Instances!B135),"min", MIN(Instances!B135:Instances!B135),"max", MAX(Instances!B135:Instances!B135),"diff", MAX(Instances!B135:Instances!B135)-MIN(Instances!B135:Instances!B135))</f>
        <v>0</v>
      </c>
      <c r="C135" s="1" cm="1">
        <f t="array" ref="C135">_xlfn.SWITCH($A$2,"average", AVERAGE(Instances!C135:Instances!C135),"median", MEDIAN(Instances!C135:Instances!C135),"min", MIN(Instances!C135:Instances!C135),"max", MAX(Instances!C135:Instances!C135),"diff", MAX(Instances!C135:Instances!C135)-MIN(Instances!C135:Instances!C135))</f>
        <v>0</v>
      </c>
      <c r="D135" s="1" cm="1">
        <f t="array" ref="D135">_xlfn.SWITCH($A$2,"average", AVERAGE(Instances!D135:Instances!D135),"median", MEDIAN(Instances!D135:Instances!D135),"min", MIN(Instances!D135:Instances!D135),"max", MAX(Instances!D135:Instances!D135),"diff", MAX(Instances!D135:Instances!D135)-MIN(Instances!D135:Instances!D135))</f>
        <v>0</v>
      </c>
      <c r="E135" s="1" cm="1">
        <f t="array" ref="E135">_xlfn.SWITCH($A$2,"average", AVERAGE(Instances!E135:Instances!E135),"median", MEDIAN(Instances!E135:Instances!E135),"min", MIN(Instances!E135:Instances!E135),"max", MAX(Instances!E135:Instances!E135),"diff", MAX(Instances!E135:Instances!E135)-MIN(Instances!E135:Instances!E135))</f>
        <v>0</v>
      </c>
      <c r="F135" s="1" cm="1">
        <f t="array" ref="F135">_xlfn.SWITCH($A$2,"average", AVERAGE(Instances!F135:Instances!F135),"median", MEDIAN(Instances!F135:Instances!F135),"min", MIN(Instances!F135:Instances!F135),"max", MAX(Instances!F135:Instances!F135),"diff", MAX(Instances!F135:Instances!F135)-MIN(Instances!F135:Instances!F135))</f>
        <v>0</v>
      </c>
      <c r="G135" s="1" cm="1">
        <f t="array" ref="G135">_xlfn.SWITCH($A$2,"average", AVERAGE(Instances!G135:Instances!G135),"median", MEDIAN(Instances!G135:Instances!G135),"min", MIN(Instances!G135:Instances!G135),"max", MAX(Instances!G135:Instances!G135),"diff", MAX(Instances!G135:Instances!G135)-MIN(Instances!G135:Instances!G135))</f>
        <v>0</v>
      </c>
      <c r="H135" s="1" cm="1">
        <f t="array" ref="H135">_xlfn.SWITCH($A$2,"average", AVERAGE(Instances!H135:Instances!H135),"median", MEDIAN(Instances!H135:Instances!H135),"min", MIN(Instances!H135:Instances!H135),"max", MAX(Instances!H135:Instances!H135),"diff", MAX(Instances!H135:Instances!H135)-MIN(Instances!H135:Instances!H135))</f>
        <v>0</v>
      </c>
      <c r="I135" s="1" cm="1">
        <f t="array" ref="I135">_xlfn.SWITCH($A$2,"average", AVERAGE(Instances!I135:Instances!I135),"median", MEDIAN(Instances!I135:Instances!I135),"min", MIN(Instances!I135:Instances!I135),"max", MAX(Instances!I135:Instances!I135),"diff", MAX(Instances!I135:Instances!I135)-MIN(Instances!I135:Instances!I135))</f>
        <v>0</v>
      </c>
      <c r="J135" s="1" cm="1">
        <f t="array" ref="J135">_xlfn.SWITCH($A$2,"average", AVERAGE(Instances!J135:Instances!J135),"median", MEDIAN(Instances!J135:Instances!J135),"min", MIN(Instances!J135:Instances!J135),"max", MAX(Instances!J135:Instances!J135),"diff", MAX(Instances!J135:Instances!J135)-MIN(Instances!J135:Instances!J135))</f>
        <v>0</v>
      </c>
      <c r="K135" s="1" cm="1">
        <f t="array" ref="K135">_xlfn.SWITCH($A$2,"average", AVERAGE(Instances!K135:Instances!K135),"median", MEDIAN(Instances!K135:Instances!K135),"min", MIN(Instances!K135:Instances!K135),"max", MAX(Instances!K135:Instances!K135),"diff", MAX(Instances!K135:Instances!K135)-MIN(Instances!K135:Instances!K135))</f>
        <v>0</v>
      </c>
      <c r="L135" s="1"/>
      <c r="M135" s="1" cm="1">
        <f t="array" ref="M135">_xlfn.SWITCH($A$2,"average", AVERAGE(Instances!M135:Instances!M135),"median", MEDIAN(Instances!M135:Instances!M135),"min", MIN(Instances!M135:Instances!M135),"max", MAX(Instances!M135:Instances!M135),"diff", MAX(Instances!M135:Instances!M135)-MIN(Instances!M135:Instances!M135))</f>
        <v>0</v>
      </c>
      <c r="N135" s="1" cm="1">
        <f t="array" ref="N135">_xlfn.SWITCH($A$2,"average", AVERAGE(Instances!N135:Instances!N135),"median", MEDIAN(Instances!N135:Instances!N135),"min", MIN(Instances!N135:Instances!N135),"max", MAX(Instances!N135:Instances!N135),"diff", MAX(Instances!N135:Instances!N135)-MIN(Instances!N135:Instances!N135))</f>
        <v>0</v>
      </c>
      <c r="O135" s="1"/>
      <c r="P135" s="1" cm="1">
        <f t="array" ref="P135">_xlfn.SWITCH($A$2,"average", AVERAGE(Instances!P135:Instances!P135),"median", MEDIAN(Instances!P135:Instances!P135),"min", MIN(Instances!P135:Instances!P135),"max", MAX(Instances!P135:Instances!P135),"diff", MAX(Instances!P135:Instances!P135)-MIN(Instances!P135:Instances!P135))</f>
        <v>0</v>
      </c>
      <c r="Q135" s="1" cm="1">
        <f t="array" ref="Q135">_xlfn.SWITCH($A$2,"average", AVERAGE(Instances!Q135:Instances!Q135),"median", MEDIAN(Instances!Q135:Instances!Q135),"min", MIN(Instances!Q135:Instances!Q135),"max", MAX(Instances!Q135:Instances!Q135),"diff", MAX(Instances!Q135:Instances!Q135)-MIN(Instances!Q135:Instances!Q135))</f>
        <v>0</v>
      </c>
      <c r="R135" s="1" cm="1">
        <f t="array" ref="R135">_xlfn.SWITCH($A$2,"average", AVERAGE(Instances!R135:Instances!R135),"median", MEDIAN(Instances!R135:Instances!R135),"min", MIN(Instances!R135:Instances!R135),"max", MAX(Instances!R135:Instances!R135),"diff", MAX(Instances!R135:Instances!R135)-MIN(Instances!R135:Instances!R135))</f>
        <v>0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 cm="1">
        <f t="array" ref="B136">_xlfn.SWITCH($A$2,"average", AVERAGE(Instances!B136:Instances!B136),"median", MEDIAN(Instances!B136:Instances!B136),"min", MIN(Instances!B136:Instances!B136),"max", MAX(Instances!B136:Instances!B136),"diff", MAX(Instances!B136:Instances!B136)-MIN(Instances!B136:Instances!B136))</f>
        <v>0</v>
      </c>
      <c r="C136" s="1" cm="1">
        <f t="array" ref="C136">_xlfn.SWITCH($A$2,"average", AVERAGE(Instances!C136:Instances!C136),"median", MEDIAN(Instances!C136:Instances!C136),"min", MIN(Instances!C136:Instances!C136),"max", MAX(Instances!C136:Instances!C136),"diff", MAX(Instances!C136:Instances!C136)-MIN(Instances!C136:Instances!C136))</f>
        <v>0</v>
      </c>
      <c r="D136" s="1" cm="1">
        <f t="array" ref="D136">_xlfn.SWITCH($A$2,"average", AVERAGE(Instances!D136:Instances!D136),"median", MEDIAN(Instances!D136:Instances!D136),"min", MIN(Instances!D136:Instances!D136),"max", MAX(Instances!D136:Instances!D136),"diff", MAX(Instances!D136:Instances!D136)-MIN(Instances!D136:Instances!D136))</f>
        <v>0</v>
      </c>
      <c r="E136" s="1" cm="1">
        <f t="array" ref="E136">_xlfn.SWITCH($A$2,"average", AVERAGE(Instances!E136:Instances!E136),"median", MEDIAN(Instances!E136:Instances!E136),"min", MIN(Instances!E136:Instances!E136),"max", MAX(Instances!E136:Instances!E136),"diff", MAX(Instances!E136:Instances!E136)-MIN(Instances!E136:Instances!E136))</f>
        <v>0</v>
      </c>
      <c r="F136" s="1" cm="1">
        <f t="array" ref="F136">_xlfn.SWITCH($A$2,"average", AVERAGE(Instances!F136:Instances!F136),"median", MEDIAN(Instances!F136:Instances!F136),"min", MIN(Instances!F136:Instances!F136),"max", MAX(Instances!F136:Instances!F136),"diff", MAX(Instances!F136:Instances!F136)-MIN(Instances!F136:Instances!F136))</f>
        <v>0</v>
      </c>
      <c r="G136" s="1" cm="1">
        <f t="array" ref="G136">_xlfn.SWITCH($A$2,"average", AVERAGE(Instances!G136:Instances!G136),"median", MEDIAN(Instances!G136:Instances!G136),"min", MIN(Instances!G136:Instances!G136),"max", MAX(Instances!G136:Instances!G136),"diff", MAX(Instances!G136:Instances!G136)-MIN(Instances!G136:Instances!G136))</f>
        <v>0</v>
      </c>
      <c r="H136" s="1" cm="1">
        <f t="array" ref="H136">_xlfn.SWITCH($A$2,"average", AVERAGE(Instances!H136:Instances!H136),"median", MEDIAN(Instances!H136:Instances!H136),"min", MIN(Instances!H136:Instances!H136),"max", MAX(Instances!H136:Instances!H136),"diff", MAX(Instances!H136:Instances!H136)-MIN(Instances!H136:Instances!H136))</f>
        <v>0</v>
      </c>
      <c r="I136" s="1" cm="1">
        <f t="array" ref="I136">_xlfn.SWITCH($A$2,"average", AVERAGE(Instances!I136:Instances!I136),"median", MEDIAN(Instances!I136:Instances!I136),"min", MIN(Instances!I136:Instances!I136),"max", MAX(Instances!I136:Instances!I136),"diff", MAX(Instances!I136:Instances!I136)-MIN(Instances!I136:Instances!I136))</f>
        <v>0</v>
      </c>
      <c r="J136" s="1" cm="1">
        <f t="array" ref="J136">_xlfn.SWITCH($A$2,"average", AVERAGE(Instances!J136:Instances!J136),"median", MEDIAN(Instances!J136:Instances!J136),"min", MIN(Instances!J136:Instances!J136),"max", MAX(Instances!J136:Instances!J136),"diff", MAX(Instances!J136:Instances!J136)-MIN(Instances!J136:Instances!J136))</f>
        <v>0</v>
      </c>
      <c r="K136" s="1" cm="1">
        <f t="array" ref="K136">_xlfn.SWITCH($A$2,"average", AVERAGE(Instances!K136:Instances!K136),"median", MEDIAN(Instances!K136:Instances!K136),"min", MIN(Instances!K136:Instances!K136),"max", MAX(Instances!K136:Instances!K136),"diff", MAX(Instances!K136:Instances!K136)-MIN(Instances!K136:Instances!K136))</f>
        <v>0</v>
      </c>
      <c r="L136" s="1"/>
      <c r="M136" s="1" cm="1">
        <f t="array" ref="M136">_xlfn.SWITCH($A$2,"average", AVERAGE(Instances!M136:Instances!M136),"median", MEDIAN(Instances!M136:Instances!M136),"min", MIN(Instances!M136:Instances!M136),"max", MAX(Instances!M136:Instances!M136),"diff", MAX(Instances!M136:Instances!M136)-MIN(Instances!M136:Instances!M136))</f>
        <v>0</v>
      </c>
      <c r="N136" s="1" cm="1">
        <f t="array" ref="N136">_xlfn.SWITCH($A$2,"average", AVERAGE(Instances!N136:Instances!N136),"median", MEDIAN(Instances!N136:Instances!N136),"min", MIN(Instances!N136:Instances!N136),"max", MAX(Instances!N136:Instances!N136),"diff", MAX(Instances!N136:Instances!N136)-MIN(Instances!N136:Instances!N136))</f>
        <v>0</v>
      </c>
      <c r="O136" s="1"/>
      <c r="P136" s="1" cm="1">
        <f t="array" ref="P136">_xlfn.SWITCH($A$2,"average", AVERAGE(Instances!P136:Instances!P136),"median", MEDIAN(Instances!P136:Instances!P136),"min", MIN(Instances!P136:Instances!P136),"max", MAX(Instances!P136:Instances!P136),"diff", MAX(Instances!P136:Instances!P136)-MIN(Instances!P136:Instances!P136))</f>
        <v>0</v>
      </c>
      <c r="Q136" s="1" cm="1">
        <f t="array" ref="Q136">_xlfn.SWITCH($A$2,"average", AVERAGE(Instances!Q136:Instances!Q136),"median", MEDIAN(Instances!Q136:Instances!Q136),"min", MIN(Instances!Q136:Instances!Q136),"max", MAX(Instances!Q136:Instances!Q136),"diff", MAX(Instances!Q136:Instances!Q136)-MIN(Instances!Q136:Instances!Q136))</f>
        <v>0</v>
      </c>
      <c r="R136" s="1" cm="1">
        <f t="array" ref="R136">_xlfn.SWITCH($A$2,"average", AVERAGE(Instances!R136:Instances!R136),"median", MEDIAN(Instances!R136:Instances!R136),"min", MIN(Instances!R136:Instances!R136),"max", MAX(Instances!R136:Instances!R136),"diff", MAX(Instances!R136:Instances!R136)-MIN(Instances!R136:Instances!R136))</f>
        <v>0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 cm="1">
        <f t="array" ref="B137">_xlfn.SWITCH($A$2,"average", AVERAGE(Instances!B137:Instances!B137),"median", MEDIAN(Instances!B137:Instances!B137),"min", MIN(Instances!B137:Instances!B137),"max", MAX(Instances!B137:Instances!B137),"diff", MAX(Instances!B137:Instances!B137)-MIN(Instances!B137:Instances!B137))</f>
        <v>0</v>
      </c>
      <c r="C137" s="1" cm="1">
        <f t="array" ref="C137">_xlfn.SWITCH($A$2,"average", AVERAGE(Instances!C137:Instances!C137),"median", MEDIAN(Instances!C137:Instances!C137),"min", MIN(Instances!C137:Instances!C137),"max", MAX(Instances!C137:Instances!C137),"diff", MAX(Instances!C137:Instances!C137)-MIN(Instances!C137:Instances!C137))</f>
        <v>0</v>
      </c>
      <c r="D137" s="1" cm="1">
        <f t="array" ref="D137">_xlfn.SWITCH($A$2,"average", AVERAGE(Instances!D137:Instances!D137),"median", MEDIAN(Instances!D137:Instances!D137),"min", MIN(Instances!D137:Instances!D137),"max", MAX(Instances!D137:Instances!D137),"diff", MAX(Instances!D137:Instances!D137)-MIN(Instances!D137:Instances!D137))</f>
        <v>0</v>
      </c>
      <c r="E137" s="1" cm="1">
        <f t="array" ref="E137">_xlfn.SWITCH($A$2,"average", AVERAGE(Instances!E137:Instances!E137),"median", MEDIAN(Instances!E137:Instances!E137),"min", MIN(Instances!E137:Instances!E137),"max", MAX(Instances!E137:Instances!E137),"diff", MAX(Instances!E137:Instances!E137)-MIN(Instances!E137:Instances!E137))</f>
        <v>0</v>
      </c>
      <c r="F137" s="1" cm="1">
        <f t="array" ref="F137">_xlfn.SWITCH($A$2,"average", AVERAGE(Instances!F137:Instances!F137),"median", MEDIAN(Instances!F137:Instances!F137),"min", MIN(Instances!F137:Instances!F137),"max", MAX(Instances!F137:Instances!F137),"diff", MAX(Instances!F137:Instances!F137)-MIN(Instances!F137:Instances!F137))</f>
        <v>0</v>
      </c>
      <c r="G137" s="1" cm="1">
        <f t="array" ref="G137">_xlfn.SWITCH($A$2,"average", AVERAGE(Instances!G137:Instances!G137),"median", MEDIAN(Instances!G137:Instances!G137),"min", MIN(Instances!G137:Instances!G137),"max", MAX(Instances!G137:Instances!G137),"diff", MAX(Instances!G137:Instances!G137)-MIN(Instances!G137:Instances!G137))</f>
        <v>0</v>
      </c>
      <c r="H137" s="1" cm="1">
        <f t="array" ref="H137">_xlfn.SWITCH($A$2,"average", AVERAGE(Instances!H137:Instances!H137),"median", MEDIAN(Instances!H137:Instances!H137),"min", MIN(Instances!H137:Instances!H137),"max", MAX(Instances!H137:Instances!H137),"diff", MAX(Instances!H137:Instances!H137)-MIN(Instances!H137:Instances!H137))</f>
        <v>0</v>
      </c>
      <c r="I137" s="1" cm="1">
        <f t="array" ref="I137">_xlfn.SWITCH($A$2,"average", AVERAGE(Instances!I137:Instances!I137),"median", MEDIAN(Instances!I137:Instances!I137),"min", MIN(Instances!I137:Instances!I137),"max", MAX(Instances!I137:Instances!I137),"diff", MAX(Instances!I137:Instances!I137)-MIN(Instances!I137:Instances!I137))</f>
        <v>0</v>
      </c>
      <c r="J137" s="1" cm="1">
        <f t="array" ref="J137">_xlfn.SWITCH($A$2,"average", AVERAGE(Instances!J137:Instances!J137),"median", MEDIAN(Instances!J137:Instances!J137),"min", MIN(Instances!J137:Instances!J137),"max", MAX(Instances!J137:Instances!J137),"diff", MAX(Instances!J137:Instances!J137)-MIN(Instances!J137:Instances!J137))</f>
        <v>0</v>
      </c>
      <c r="K137" s="1" cm="1">
        <f t="array" ref="K137">_xlfn.SWITCH($A$2,"average", AVERAGE(Instances!K137:Instances!K137),"median", MEDIAN(Instances!K137:Instances!K137),"min", MIN(Instances!K137:Instances!K137),"max", MAX(Instances!K137:Instances!K137),"diff", MAX(Instances!K137:Instances!K137)-MIN(Instances!K137:Instances!K137))</f>
        <v>0</v>
      </c>
      <c r="L137" s="1"/>
      <c r="M137" s="1" cm="1">
        <f t="array" ref="M137">_xlfn.SWITCH($A$2,"average", AVERAGE(Instances!M137:Instances!M137),"median", MEDIAN(Instances!M137:Instances!M137),"min", MIN(Instances!M137:Instances!M137),"max", MAX(Instances!M137:Instances!M137),"diff", MAX(Instances!M137:Instances!M137)-MIN(Instances!M137:Instances!M137))</f>
        <v>0</v>
      </c>
      <c r="N137" s="1" cm="1">
        <f t="array" ref="N137">_xlfn.SWITCH($A$2,"average", AVERAGE(Instances!N137:Instances!N137),"median", MEDIAN(Instances!N137:Instances!N137),"min", MIN(Instances!N137:Instances!N137),"max", MAX(Instances!N137:Instances!N137),"diff", MAX(Instances!N137:Instances!N137)-MIN(Instances!N137:Instances!N137))</f>
        <v>0</v>
      </c>
      <c r="O137" s="1"/>
      <c r="P137" s="1" cm="1">
        <f t="array" ref="P137">_xlfn.SWITCH($A$2,"average", AVERAGE(Instances!P137:Instances!P137),"median", MEDIAN(Instances!P137:Instances!P137),"min", MIN(Instances!P137:Instances!P137),"max", MAX(Instances!P137:Instances!P137),"diff", MAX(Instances!P137:Instances!P137)-MIN(Instances!P137:Instances!P137))</f>
        <v>0</v>
      </c>
      <c r="Q137" s="1" cm="1">
        <f t="array" ref="Q137">_xlfn.SWITCH($A$2,"average", AVERAGE(Instances!Q137:Instances!Q137),"median", MEDIAN(Instances!Q137:Instances!Q137),"min", MIN(Instances!Q137:Instances!Q137),"max", MAX(Instances!Q137:Instances!Q137),"diff", MAX(Instances!Q137:Instances!Q137)-MIN(Instances!Q137:Instances!Q137))</f>
        <v>0</v>
      </c>
      <c r="R137" s="1" cm="1">
        <f t="array" ref="R137">_xlfn.SWITCH($A$2,"average", AVERAGE(Instances!R137:Instances!R137),"median", MEDIAN(Instances!R137:Instances!R137),"min", MIN(Instances!R137:Instances!R137),"max", MAX(Instances!R137:Instances!R137),"diff", MAX(Instances!R137:Instances!R137)-MIN(Instances!R137:Instances!R137))</f>
        <v>0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 cm="1">
        <f t="array" ref="B138">_xlfn.SWITCH($A$2,"average", AVERAGE(Instances!B138:Instances!B138),"median", MEDIAN(Instances!B138:Instances!B138),"min", MIN(Instances!B138:Instances!B138),"max", MAX(Instances!B138:Instances!B138),"diff", MAX(Instances!B138:Instances!B138)-MIN(Instances!B138:Instances!B138))</f>
        <v>0</v>
      </c>
      <c r="C138" s="1" cm="1">
        <f t="array" ref="C138">_xlfn.SWITCH($A$2,"average", AVERAGE(Instances!C138:Instances!C138),"median", MEDIAN(Instances!C138:Instances!C138),"min", MIN(Instances!C138:Instances!C138),"max", MAX(Instances!C138:Instances!C138),"diff", MAX(Instances!C138:Instances!C138)-MIN(Instances!C138:Instances!C138))</f>
        <v>0</v>
      </c>
      <c r="D138" s="1" cm="1">
        <f t="array" ref="D138">_xlfn.SWITCH($A$2,"average", AVERAGE(Instances!D138:Instances!D138),"median", MEDIAN(Instances!D138:Instances!D138),"min", MIN(Instances!D138:Instances!D138),"max", MAX(Instances!D138:Instances!D138),"diff", MAX(Instances!D138:Instances!D138)-MIN(Instances!D138:Instances!D138))</f>
        <v>0</v>
      </c>
      <c r="E138" s="1" cm="1">
        <f t="array" ref="E138">_xlfn.SWITCH($A$2,"average", AVERAGE(Instances!E138:Instances!E138),"median", MEDIAN(Instances!E138:Instances!E138),"min", MIN(Instances!E138:Instances!E138),"max", MAX(Instances!E138:Instances!E138),"diff", MAX(Instances!E138:Instances!E138)-MIN(Instances!E138:Instances!E138))</f>
        <v>0</v>
      </c>
      <c r="F138" s="1" cm="1">
        <f t="array" ref="F138">_xlfn.SWITCH($A$2,"average", AVERAGE(Instances!F138:Instances!F138),"median", MEDIAN(Instances!F138:Instances!F138),"min", MIN(Instances!F138:Instances!F138),"max", MAX(Instances!F138:Instances!F138),"diff", MAX(Instances!F138:Instances!F138)-MIN(Instances!F138:Instances!F138))</f>
        <v>0</v>
      </c>
      <c r="G138" s="1" cm="1">
        <f t="array" ref="G138">_xlfn.SWITCH($A$2,"average", AVERAGE(Instances!G138:Instances!G138),"median", MEDIAN(Instances!G138:Instances!G138),"min", MIN(Instances!G138:Instances!G138),"max", MAX(Instances!G138:Instances!G138),"diff", MAX(Instances!G138:Instances!G138)-MIN(Instances!G138:Instances!G138))</f>
        <v>0</v>
      </c>
      <c r="H138" s="1" cm="1">
        <f t="array" ref="H138">_xlfn.SWITCH($A$2,"average", AVERAGE(Instances!H138:Instances!H138),"median", MEDIAN(Instances!H138:Instances!H138),"min", MIN(Instances!H138:Instances!H138),"max", MAX(Instances!H138:Instances!H138),"diff", MAX(Instances!H138:Instances!H138)-MIN(Instances!H138:Instances!H138))</f>
        <v>0</v>
      </c>
      <c r="I138" s="1" cm="1">
        <f t="array" ref="I138">_xlfn.SWITCH($A$2,"average", AVERAGE(Instances!I138:Instances!I138),"median", MEDIAN(Instances!I138:Instances!I138),"min", MIN(Instances!I138:Instances!I138),"max", MAX(Instances!I138:Instances!I138),"diff", MAX(Instances!I138:Instances!I138)-MIN(Instances!I138:Instances!I138))</f>
        <v>0</v>
      </c>
      <c r="J138" s="1" cm="1">
        <f t="array" ref="J138">_xlfn.SWITCH($A$2,"average", AVERAGE(Instances!J138:Instances!J138),"median", MEDIAN(Instances!J138:Instances!J138),"min", MIN(Instances!J138:Instances!J138),"max", MAX(Instances!J138:Instances!J138),"diff", MAX(Instances!J138:Instances!J138)-MIN(Instances!J138:Instances!J138))</f>
        <v>0</v>
      </c>
      <c r="K138" s="1" cm="1">
        <f t="array" ref="K138">_xlfn.SWITCH($A$2,"average", AVERAGE(Instances!K138:Instances!K138),"median", MEDIAN(Instances!K138:Instances!K138),"min", MIN(Instances!K138:Instances!K138),"max", MAX(Instances!K138:Instances!K138),"diff", MAX(Instances!K138:Instances!K138)-MIN(Instances!K138:Instances!K138))</f>
        <v>0</v>
      </c>
      <c r="L138" s="1"/>
      <c r="M138" s="1" cm="1">
        <f t="array" ref="M138">_xlfn.SWITCH($A$2,"average", AVERAGE(Instances!M138:Instances!M138),"median", MEDIAN(Instances!M138:Instances!M138),"min", MIN(Instances!M138:Instances!M138),"max", MAX(Instances!M138:Instances!M138),"diff", MAX(Instances!M138:Instances!M138)-MIN(Instances!M138:Instances!M138))</f>
        <v>0</v>
      </c>
      <c r="N138" s="1" cm="1">
        <f t="array" ref="N138">_xlfn.SWITCH($A$2,"average", AVERAGE(Instances!N138:Instances!N138),"median", MEDIAN(Instances!N138:Instances!N138),"min", MIN(Instances!N138:Instances!N138),"max", MAX(Instances!N138:Instances!N138),"diff", MAX(Instances!N138:Instances!N138)-MIN(Instances!N138:Instances!N138))</f>
        <v>0</v>
      </c>
      <c r="O138" s="1"/>
      <c r="P138" s="1" cm="1">
        <f t="array" ref="P138">_xlfn.SWITCH($A$2,"average", AVERAGE(Instances!P138:Instances!P138),"median", MEDIAN(Instances!P138:Instances!P138),"min", MIN(Instances!P138:Instances!P138),"max", MAX(Instances!P138:Instances!P138),"diff", MAX(Instances!P138:Instances!P138)-MIN(Instances!P138:Instances!P138))</f>
        <v>0</v>
      </c>
      <c r="Q138" s="1" cm="1">
        <f t="array" ref="Q138">_xlfn.SWITCH($A$2,"average", AVERAGE(Instances!Q138:Instances!Q138),"median", MEDIAN(Instances!Q138:Instances!Q138),"min", MIN(Instances!Q138:Instances!Q138),"max", MAX(Instances!Q138:Instances!Q138),"diff", MAX(Instances!Q138:Instances!Q138)-MIN(Instances!Q138:Instances!Q138))</f>
        <v>0</v>
      </c>
      <c r="R138" s="1" cm="1">
        <f t="array" ref="R138">_xlfn.SWITCH($A$2,"average", AVERAGE(Instances!R138:Instances!R138),"median", MEDIAN(Instances!R138:Instances!R138),"min", MIN(Instances!R138:Instances!R138),"max", MAX(Instances!R138:Instances!R138),"diff", MAX(Instances!R138:Instances!R138)-MIN(Instances!R138:Instances!R138))</f>
        <v>0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 cm="1">
        <f t="array" ref="B139">_xlfn.SWITCH($A$2,"average", AVERAGE(Instances!B139:Instances!B139),"median", MEDIAN(Instances!B139:Instances!B139),"min", MIN(Instances!B139:Instances!B139),"max", MAX(Instances!B139:Instances!B139),"diff", MAX(Instances!B139:Instances!B139)-MIN(Instances!B139:Instances!B139))</f>
        <v>0</v>
      </c>
      <c r="C139" s="1" cm="1">
        <f t="array" ref="C139">_xlfn.SWITCH($A$2,"average", AVERAGE(Instances!C139:Instances!C139),"median", MEDIAN(Instances!C139:Instances!C139),"min", MIN(Instances!C139:Instances!C139),"max", MAX(Instances!C139:Instances!C139),"diff", MAX(Instances!C139:Instances!C139)-MIN(Instances!C139:Instances!C139))</f>
        <v>0</v>
      </c>
      <c r="D139" s="1" cm="1">
        <f t="array" ref="D139">_xlfn.SWITCH($A$2,"average", AVERAGE(Instances!D139:Instances!D139),"median", MEDIAN(Instances!D139:Instances!D139),"min", MIN(Instances!D139:Instances!D139),"max", MAX(Instances!D139:Instances!D139),"diff", MAX(Instances!D139:Instances!D139)-MIN(Instances!D139:Instances!D139))</f>
        <v>0</v>
      </c>
      <c r="E139" s="1" cm="1">
        <f t="array" ref="E139">_xlfn.SWITCH($A$2,"average", AVERAGE(Instances!E139:Instances!E139),"median", MEDIAN(Instances!E139:Instances!E139),"min", MIN(Instances!E139:Instances!E139),"max", MAX(Instances!E139:Instances!E139),"diff", MAX(Instances!E139:Instances!E139)-MIN(Instances!E139:Instances!E139))</f>
        <v>0</v>
      </c>
      <c r="F139" s="1" cm="1">
        <f t="array" ref="F139">_xlfn.SWITCH($A$2,"average", AVERAGE(Instances!F139:Instances!F139),"median", MEDIAN(Instances!F139:Instances!F139),"min", MIN(Instances!F139:Instances!F139),"max", MAX(Instances!F139:Instances!F139),"diff", MAX(Instances!F139:Instances!F139)-MIN(Instances!F139:Instances!F139))</f>
        <v>0</v>
      </c>
      <c r="G139" s="1" cm="1">
        <f t="array" ref="G139">_xlfn.SWITCH($A$2,"average", AVERAGE(Instances!G139:Instances!G139),"median", MEDIAN(Instances!G139:Instances!G139),"min", MIN(Instances!G139:Instances!G139),"max", MAX(Instances!G139:Instances!G139),"diff", MAX(Instances!G139:Instances!G139)-MIN(Instances!G139:Instances!G139))</f>
        <v>0</v>
      </c>
      <c r="H139" s="1" cm="1">
        <f t="array" ref="H139">_xlfn.SWITCH($A$2,"average", AVERAGE(Instances!H139:Instances!H139),"median", MEDIAN(Instances!H139:Instances!H139),"min", MIN(Instances!H139:Instances!H139),"max", MAX(Instances!H139:Instances!H139),"diff", MAX(Instances!H139:Instances!H139)-MIN(Instances!H139:Instances!H139))</f>
        <v>0</v>
      </c>
      <c r="I139" s="1" cm="1">
        <f t="array" ref="I139">_xlfn.SWITCH($A$2,"average", AVERAGE(Instances!I139:Instances!I139),"median", MEDIAN(Instances!I139:Instances!I139),"min", MIN(Instances!I139:Instances!I139),"max", MAX(Instances!I139:Instances!I139),"diff", MAX(Instances!I139:Instances!I139)-MIN(Instances!I139:Instances!I139))</f>
        <v>0</v>
      </c>
      <c r="J139" s="1" cm="1">
        <f t="array" ref="J139">_xlfn.SWITCH($A$2,"average", AVERAGE(Instances!J139:Instances!J139),"median", MEDIAN(Instances!J139:Instances!J139),"min", MIN(Instances!J139:Instances!J139),"max", MAX(Instances!J139:Instances!J139),"diff", MAX(Instances!J139:Instances!J139)-MIN(Instances!J139:Instances!J139))</f>
        <v>0</v>
      </c>
      <c r="K139" s="1" cm="1">
        <f t="array" ref="K139">_xlfn.SWITCH($A$2,"average", AVERAGE(Instances!K139:Instances!K139),"median", MEDIAN(Instances!K139:Instances!K139),"min", MIN(Instances!K139:Instances!K139),"max", MAX(Instances!K139:Instances!K139),"diff", MAX(Instances!K139:Instances!K139)-MIN(Instances!K139:Instances!K139))</f>
        <v>0</v>
      </c>
      <c r="L139" s="1"/>
      <c r="M139" s="1" cm="1">
        <f t="array" ref="M139">_xlfn.SWITCH($A$2,"average", AVERAGE(Instances!M139:Instances!M139),"median", MEDIAN(Instances!M139:Instances!M139),"min", MIN(Instances!M139:Instances!M139),"max", MAX(Instances!M139:Instances!M139),"diff", MAX(Instances!M139:Instances!M139)-MIN(Instances!M139:Instances!M139))</f>
        <v>0</v>
      </c>
      <c r="N139" s="1" cm="1">
        <f t="array" ref="N139">_xlfn.SWITCH($A$2,"average", AVERAGE(Instances!N139:Instances!N139),"median", MEDIAN(Instances!N139:Instances!N139),"min", MIN(Instances!N139:Instances!N139),"max", MAX(Instances!N139:Instances!N139),"diff", MAX(Instances!N139:Instances!N139)-MIN(Instances!N139:Instances!N139))</f>
        <v>0</v>
      </c>
      <c r="O139" s="1"/>
      <c r="P139" s="1" cm="1">
        <f t="array" ref="P139">_xlfn.SWITCH($A$2,"average", AVERAGE(Instances!P139:Instances!P139),"median", MEDIAN(Instances!P139:Instances!P139),"min", MIN(Instances!P139:Instances!P139),"max", MAX(Instances!P139:Instances!P139),"diff", MAX(Instances!P139:Instances!P139)-MIN(Instances!P139:Instances!P139))</f>
        <v>0</v>
      </c>
      <c r="Q139" s="1" cm="1">
        <f t="array" ref="Q139">_xlfn.SWITCH($A$2,"average", AVERAGE(Instances!Q139:Instances!Q139),"median", MEDIAN(Instances!Q139:Instances!Q139),"min", MIN(Instances!Q139:Instances!Q139),"max", MAX(Instances!Q139:Instances!Q139),"diff", MAX(Instances!Q139:Instances!Q139)-MIN(Instances!Q139:Instances!Q139))</f>
        <v>0</v>
      </c>
      <c r="R139" s="1" cm="1">
        <f t="array" ref="R139">_xlfn.SWITCH($A$2,"average", AVERAGE(Instances!R139:Instances!R139),"median", MEDIAN(Instances!R139:Instances!R139),"min", MIN(Instances!R139:Instances!R139),"max", MAX(Instances!R139:Instances!R139),"diff", MAX(Instances!R139:Instances!R139)-MIN(Instances!R139:Instances!R139))</f>
        <v>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 cm="1">
        <f t="array" ref="B140">_xlfn.SWITCH($A$2,"average", AVERAGE(Instances!B140:Instances!B140),"median", MEDIAN(Instances!B140:Instances!B140),"min", MIN(Instances!B140:Instances!B140),"max", MAX(Instances!B140:Instances!B140),"diff", MAX(Instances!B140:Instances!B140)-MIN(Instances!B140:Instances!B140))</f>
        <v>0</v>
      </c>
      <c r="C140" s="1" cm="1">
        <f t="array" ref="C140">_xlfn.SWITCH($A$2,"average", AVERAGE(Instances!C140:Instances!C140),"median", MEDIAN(Instances!C140:Instances!C140),"min", MIN(Instances!C140:Instances!C140),"max", MAX(Instances!C140:Instances!C140),"diff", MAX(Instances!C140:Instances!C140)-MIN(Instances!C140:Instances!C140))</f>
        <v>0</v>
      </c>
      <c r="D140" s="1" cm="1">
        <f t="array" ref="D140">_xlfn.SWITCH($A$2,"average", AVERAGE(Instances!D140:Instances!D140),"median", MEDIAN(Instances!D140:Instances!D140),"min", MIN(Instances!D140:Instances!D140),"max", MAX(Instances!D140:Instances!D140),"diff", MAX(Instances!D140:Instances!D140)-MIN(Instances!D140:Instances!D140))</f>
        <v>0</v>
      </c>
      <c r="E140" s="1" cm="1">
        <f t="array" ref="E140">_xlfn.SWITCH($A$2,"average", AVERAGE(Instances!E140:Instances!E140),"median", MEDIAN(Instances!E140:Instances!E140),"min", MIN(Instances!E140:Instances!E140),"max", MAX(Instances!E140:Instances!E140),"diff", MAX(Instances!E140:Instances!E140)-MIN(Instances!E140:Instances!E140))</f>
        <v>0</v>
      </c>
      <c r="F140" s="1" cm="1">
        <f t="array" ref="F140">_xlfn.SWITCH($A$2,"average", AVERAGE(Instances!F140:Instances!F140),"median", MEDIAN(Instances!F140:Instances!F140),"min", MIN(Instances!F140:Instances!F140),"max", MAX(Instances!F140:Instances!F140),"diff", MAX(Instances!F140:Instances!F140)-MIN(Instances!F140:Instances!F140))</f>
        <v>0</v>
      </c>
      <c r="G140" s="1" cm="1">
        <f t="array" ref="G140">_xlfn.SWITCH($A$2,"average", AVERAGE(Instances!G140:Instances!G140),"median", MEDIAN(Instances!G140:Instances!G140),"min", MIN(Instances!G140:Instances!G140),"max", MAX(Instances!G140:Instances!G140),"diff", MAX(Instances!G140:Instances!G140)-MIN(Instances!G140:Instances!G140))</f>
        <v>0</v>
      </c>
      <c r="H140" s="1" cm="1">
        <f t="array" ref="H140">_xlfn.SWITCH($A$2,"average", AVERAGE(Instances!H140:Instances!H140),"median", MEDIAN(Instances!H140:Instances!H140),"min", MIN(Instances!H140:Instances!H140),"max", MAX(Instances!H140:Instances!H140),"diff", MAX(Instances!H140:Instances!H140)-MIN(Instances!H140:Instances!H140))</f>
        <v>0</v>
      </c>
      <c r="I140" s="1" cm="1">
        <f t="array" ref="I140">_xlfn.SWITCH($A$2,"average", AVERAGE(Instances!I140:Instances!I140),"median", MEDIAN(Instances!I140:Instances!I140),"min", MIN(Instances!I140:Instances!I140),"max", MAX(Instances!I140:Instances!I140),"diff", MAX(Instances!I140:Instances!I140)-MIN(Instances!I140:Instances!I140))</f>
        <v>0</v>
      </c>
      <c r="J140" s="1" cm="1">
        <f t="array" ref="J140">_xlfn.SWITCH($A$2,"average", AVERAGE(Instances!J140:Instances!J140),"median", MEDIAN(Instances!J140:Instances!J140),"min", MIN(Instances!J140:Instances!J140),"max", MAX(Instances!J140:Instances!J140),"diff", MAX(Instances!J140:Instances!J140)-MIN(Instances!J140:Instances!J140))</f>
        <v>0</v>
      </c>
      <c r="K140" s="1" cm="1">
        <f t="array" ref="K140">_xlfn.SWITCH($A$2,"average", AVERAGE(Instances!K140:Instances!K140),"median", MEDIAN(Instances!K140:Instances!K140),"min", MIN(Instances!K140:Instances!K140),"max", MAX(Instances!K140:Instances!K140),"diff", MAX(Instances!K140:Instances!K140)-MIN(Instances!K140:Instances!K140))</f>
        <v>0</v>
      </c>
      <c r="L140" s="1"/>
      <c r="M140" s="1" cm="1">
        <f t="array" ref="M140">_xlfn.SWITCH($A$2,"average", AVERAGE(Instances!M140:Instances!M140),"median", MEDIAN(Instances!M140:Instances!M140),"min", MIN(Instances!M140:Instances!M140),"max", MAX(Instances!M140:Instances!M140),"diff", MAX(Instances!M140:Instances!M140)-MIN(Instances!M140:Instances!M140))</f>
        <v>0</v>
      </c>
      <c r="N140" s="1" cm="1">
        <f t="array" ref="N140">_xlfn.SWITCH($A$2,"average", AVERAGE(Instances!N140:Instances!N140),"median", MEDIAN(Instances!N140:Instances!N140),"min", MIN(Instances!N140:Instances!N140),"max", MAX(Instances!N140:Instances!N140),"diff", MAX(Instances!N140:Instances!N140)-MIN(Instances!N140:Instances!N140))</f>
        <v>0</v>
      </c>
      <c r="O140" s="1"/>
      <c r="P140" s="1" cm="1">
        <f t="array" ref="P140">_xlfn.SWITCH($A$2,"average", AVERAGE(Instances!P140:Instances!P140),"median", MEDIAN(Instances!P140:Instances!P140),"min", MIN(Instances!P140:Instances!P140),"max", MAX(Instances!P140:Instances!P140),"diff", MAX(Instances!P140:Instances!P140)-MIN(Instances!P140:Instances!P140))</f>
        <v>0</v>
      </c>
      <c r="Q140" s="1" cm="1">
        <f t="array" ref="Q140">_xlfn.SWITCH($A$2,"average", AVERAGE(Instances!Q140:Instances!Q140),"median", MEDIAN(Instances!Q140:Instances!Q140),"min", MIN(Instances!Q140:Instances!Q140),"max", MAX(Instances!Q140:Instances!Q140),"diff", MAX(Instances!Q140:Instances!Q140)-MIN(Instances!Q140:Instances!Q140))</f>
        <v>0</v>
      </c>
      <c r="R140" s="1" cm="1">
        <f t="array" ref="R140">_xlfn.SWITCH($A$2,"average", AVERAGE(Instances!R140:Instances!R140),"median", MEDIAN(Instances!R140:Instances!R140),"min", MIN(Instances!R140:Instances!R140),"max", MAX(Instances!R140:Instances!R140),"diff", MAX(Instances!R140:Instances!R140)-MIN(Instances!R140:Instances!R140))</f>
        <v>0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 cm="1">
        <f t="array" ref="B141">_xlfn.SWITCH($A$2,"average", AVERAGE(Instances!B141:Instances!B141),"median", MEDIAN(Instances!B141:Instances!B141),"min", MIN(Instances!B141:Instances!B141),"max", MAX(Instances!B141:Instances!B141),"diff", MAX(Instances!B141:Instances!B141)-MIN(Instances!B141:Instances!B141))</f>
        <v>0</v>
      </c>
      <c r="C141" s="1" cm="1">
        <f t="array" ref="C141">_xlfn.SWITCH($A$2,"average", AVERAGE(Instances!C141:Instances!C141),"median", MEDIAN(Instances!C141:Instances!C141),"min", MIN(Instances!C141:Instances!C141),"max", MAX(Instances!C141:Instances!C141),"diff", MAX(Instances!C141:Instances!C141)-MIN(Instances!C141:Instances!C141))</f>
        <v>0</v>
      </c>
      <c r="D141" s="1" cm="1">
        <f t="array" ref="D141">_xlfn.SWITCH($A$2,"average", AVERAGE(Instances!D141:Instances!D141),"median", MEDIAN(Instances!D141:Instances!D141),"min", MIN(Instances!D141:Instances!D141),"max", MAX(Instances!D141:Instances!D141),"diff", MAX(Instances!D141:Instances!D141)-MIN(Instances!D141:Instances!D141))</f>
        <v>0</v>
      </c>
      <c r="E141" s="1" cm="1">
        <f t="array" ref="E141">_xlfn.SWITCH($A$2,"average", AVERAGE(Instances!E141:Instances!E141),"median", MEDIAN(Instances!E141:Instances!E141),"min", MIN(Instances!E141:Instances!E141),"max", MAX(Instances!E141:Instances!E141),"diff", MAX(Instances!E141:Instances!E141)-MIN(Instances!E141:Instances!E141))</f>
        <v>0</v>
      </c>
      <c r="F141" s="1" cm="1">
        <f t="array" ref="F141">_xlfn.SWITCH($A$2,"average", AVERAGE(Instances!F141:Instances!F141),"median", MEDIAN(Instances!F141:Instances!F141),"min", MIN(Instances!F141:Instances!F141),"max", MAX(Instances!F141:Instances!F141),"diff", MAX(Instances!F141:Instances!F141)-MIN(Instances!F141:Instances!F141))</f>
        <v>0</v>
      </c>
      <c r="G141" s="1" cm="1">
        <f t="array" ref="G141">_xlfn.SWITCH($A$2,"average", AVERAGE(Instances!G141:Instances!G141),"median", MEDIAN(Instances!G141:Instances!G141),"min", MIN(Instances!G141:Instances!G141),"max", MAX(Instances!G141:Instances!G141),"diff", MAX(Instances!G141:Instances!G141)-MIN(Instances!G141:Instances!G141))</f>
        <v>0</v>
      </c>
      <c r="H141" s="1" cm="1">
        <f t="array" ref="H141">_xlfn.SWITCH($A$2,"average", AVERAGE(Instances!H141:Instances!H141),"median", MEDIAN(Instances!H141:Instances!H141),"min", MIN(Instances!H141:Instances!H141),"max", MAX(Instances!H141:Instances!H141),"diff", MAX(Instances!H141:Instances!H141)-MIN(Instances!H141:Instances!H141))</f>
        <v>0</v>
      </c>
      <c r="I141" s="1" cm="1">
        <f t="array" ref="I141">_xlfn.SWITCH($A$2,"average", AVERAGE(Instances!I141:Instances!I141),"median", MEDIAN(Instances!I141:Instances!I141),"min", MIN(Instances!I141:Instances!I141),"max", MAX(Instances!I141:Instances!I141),"diff", MAX(Instances!I141:Instances!I141)-MIN(Instances!I141:Instances!I141))</f>
        <v>0</v>
      </c>
      <c r="J141" s="1" cm="1">
        <f t="array" ref="J141">_xlfn.SWITCH($A$2,"average", AVERAGE(Instances!J141:Instances!J141),"median", MEDIAN(Instances!J141:Instances!J141),"min", MIN(Instances!J141:Instances!J141),"max", MAX(Instances!J141:Instances!J141),"diff", MAX(Instances!J141:Instances!J141)-MIN(Instances!J141:Instances!J141))</f>
        <v>0</v>
      </c>
      <c r="K141" s="1" cm="1">
        <f t="array" ref="K141">_xlfn.SWITCH($A$2,"average", AVERAGE(Instances!K141:Instances!K141),"median", MEDIAN(Instances!K141:Instances!K141),"min", MIN(Instances!K141:Instances!K141),"max", MAX(Instances!K141:Instances!K141),"diff", MAX(Instances!K141:Instances!K141)-MIN(Instances!K141:Instances!K141))</f>
        <v>0</v>
      </c>
      <c r="L141" s="1"/>
      <c r="M141" s="1" cm="1">
        <f t="array" ref="M141">_xlfn.SWITCH($A$2,"average", AVERAGE(Instances!M141:Instances!M141),"median", MEDIAN(Instances!M141:Instances!M141),"min", MIN(Instances!M141:Instances!M141),"max", MAX(Instances!M141:Instances!M141),"diff", MAX(Instances!M141:Instances!M141)-MIN(Instances!M141:Instances!M141))</f>
        <v>0</v>
      </c>
      <c r="N141" s="1" cm="1">
        <f t="array" ref="N141">_xlfn.SWITCH($A$2,"average", AVERAGE(Instances!N141:Instances!N141),"median", MEDIAN(Instances!N141:Instances!N141),"min", MIN(Instances!N141:Instances!N141),"max", MAX(Instances!N141:Instances!N141),"diff", MAX(Instances!N141:Instances!N141)-MIN(Instances!N141:Instances!N141))</f>
        <v>0</v>
      </c>
      <c r="O141" s="1"/>
      <c r="P141" s="1" cm="1">
        <f t="array" ref="P141">_xlfn.SWITCH($A$2,"average", AVERAGE(Instances!P141:Instances!P141),"median", MEDIAN(Instances!P141:Instances!P141),"min", MIN(Instances!P141:Instances!P141),"max", MAX(Instances!P141:Instances!P141),"diff", MAX(Instances!P141:Instances!P141)-MIN(Instances!P141:Instances!P141))</f>
        <v>0</v>
      </c>
      <c r="Q141" s="1" cm="1">
        <f t="array" ref="Q141">_xlfn.SWITCH($A$2,"average", AVERAGE(Instances!Q141:Instances!Q141),"median", MEDIAN(Instances!Q141:Instances!Q141),"min", MIN(Instances!Q141:Instances!Q141),"max", MAX(Instances!Q141:Instances!Q141),"diff", MAX(Instances!Q141:Instances!Q141)-MIN(Instances!Q141:Instances!Q141))</f>
        <v>0</v>
      </c>
      <c r="R141" s="1" cm="1">
        <f t="array" ref="R141">_xlfn.SWITCH($A$2,"average", AVERAGE(Instances!R141:Instances!R141),"median", MEDIAN(Instances!R141:Instances!R141),"min", MIN(Instances!R141:Instances!R141),"max", MAX(Instances!R141:Instances!R141),"diff", MAX(Instances!R141:Instances!R141)-MIN(Instances!R141:Instances!R141))</f>
        <v>0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 cm="1">
        <f t="array" ref="B142">_xlfn.SWITCH($A$2,"average", AVERAGE(Instances!B142:Instances!B142),"median", MEDIAN(Instances!B142:Instances!B142),"min", MIN(Instances!B142:Instances!B142),"max", MAX(Instances!B142:Instances!B142),"diff", MAX(Instances!B142:Instances!B142)-MIN(Instances!B142:Instances!B142))</f>
        <v>0</v>
      </c>
      <c r="C142" s="1" cm="1">
        <f t="array" ref="C142">_xlfn.SWITCH($A$2,"average", AVERAGE(Instances!C142:Instances!C142),"median", MEDIAN(Instances!C142:Instances!C142),"min", MIN(Instances!C142:Instances!C142),"max", MAX(Instances!C142:Instances!C142),"diff", MAX(Instances!C142:Instances!C142)-MIN(Instances!C142:Instances!C142))</f>
        <v>0</v>
      </c>
      <c r="D142" s="1" cm="1">
        <f t="array" ref="D142">_xlfn.SWITCH($A$2,"average", AVERAGE(Instances!D142:Instances!D142),"median", MEDIAN(Instances!D142:Instances!D142),"min", MIN(Instances!D142:Instances!D142),"max", MAX(Instances!D142:Instances!D142),"diff", MAX(Instances!D142:Instances!D142)-MIN(Instances!D142:Instances!D142))</f>
        <v>0</v>
      </c>
      <c r="E142" s="1" cm="1">
        <f t="array" ref="E142">_xlfn.SWITCH($A$2,"average", AVERAGE(Instances!E142:Instances!E142),"median", MEDIAN(Instances!E142:Instances!E142),"min", MIN(Instances!E142:Instances!E142),"max", MAX(Instances!E142:Instances!E142),"diff", MAX(Instances!E142:Instances!E142)-MIN(Instances!E142:Instances!E142))</f>
        <v>0</v>
      </c>
      <c r="F142" s="1" cm="1">
        <f t="array" ref="F142">_xlfn.SWITCH($A$2,"average", AVERAGE(Instances!F142:Instances!F142),"median", MEDIAN(Instances!F142:Instances!F142),"min", MIN(Instances!F142:Instances!F142),"max", MAX(Instances!F142:Instances!F142),"diff", MAX(Instances!F142:Instances!F142)-MIN(Instances!F142:Instances!F142))</f>
        <v>0</v>
      </c>
      <c r="G142" s="1" cm="1">
        <f t="array" ref="G142">_xlfn.SWITCH($A$2,"average", AVERAGE(Instances!G142:Instances!G142),"median", MEDIAN(Instances!G142:Instances!G142),"min", MIN(Instances!G142:Instances!G142),"max", MAX(Instances!G142:Instances!G142),"diff", MAX(Instances!G142:Instances!G142)-MIN(Instances!G142:Instances!G142))</f>
        <v>0</v>
      </c>
      <c r="H142" s="1" cm="1">
        <f t="array" ref="H142">_xlfn.SWITCH($A$2,"average", AVERAGE(Instances!H142:Instances!H142),"median", MEDIAN(Instances!H142:Instances!H142),"min", MIN(Instances!H142:Instances!H142),"max", MAX(Instances!H142:Instances!H142),"diff", MAX(Instances!H142:Instances!H142)-MIN(Instances!H142:Instances!H142))</f>
        <v>0</v>
      </c>
      <c r="I142" s="1" cm="1">
        <f t="array" ref="I142">_xlfn.SWITCH($A$2,"average", AVERAGE(Instances!I142:Instances!I142),"median", MEDIAN(Instances!I142:Instances!I142),"min", MIN(Instances!I142:Instances!I142),"max", MAX(Instances!I142:Instances!I142),"diff", MAX(Instances!I142:Instances!I142)-MIN(Instances!I142:Instances!I142))</f>
        <v>0</v>
      </c>
      <c r="J142" s="1" cm="1">
        <f t="array" ref="J142">_xlfn.SWITCH($A$2,"average", AVERAGE(Instances!J142:Instances!J142),"median", MEDIAN(Instances!J142:Instances!J142),"min", MIN(Instances!J142:Instances!J142),"max", MAX(Instances!J142:Instances!J142),"diff", MAX(Instances!J142:Instances!J142)-MIN(Instances!J142:Instances!J142))</f>
        <v>0</v>
      </c>
      <c r="K142" s="1" cm="1">
        <f t="array" ref="K142">_xlfn.SWITCH($A$2,"average", AVERAGE(Instances!K142:Instances!K142),"median", MEDIAN(Instances!K142:Instances!K142),"min", MIN(Instances!K142:Instances!K142),"max", MAX(Instances!K142:Instances!K142),"diff", MAX(Instances!K142:Instances!K142)-MIN(Instances!K142:Instances!K142))</f>
        <v>0</v>
      </c>
      <c r="L142" s="1"/>
      <c r="M142" s="1" cm="1">
        <f t="array" ref="M142">_xlfn.SWITCH($A$2,"average", AVERAGE(Instances!M142:Instances!M142),"median", MEDIAN(Instances!M142:Instances!M142),"min", MIN(Instances!M142:Instances!M142),"max", MAX(Instances!M142:Instances!M142),"diff", MAX(Instances!M142:Instances!M142)-MIN(Instances!M142:Instances!M142))</f>
        <v>0</v>
      </c>
      <c r="N142" s="1" cm="1">
        <f t="array" ref="N142">_xlfn.SWITCH($A$2,"average", AVERAGE(Instances!N142:Instances!N142),"median", MEDIAN(Instances!N142:Instances!N142),"min", MIN(Instances!N142:Instances!N142),"max", MAX(Instances!N142:Instances!N142),"diff", MAX(Instances!N142:Instances!N142)-MIN(Instances!N142:Instances!N142))</f>
        <v>0</v>
      </c>
      <c r="O142" s="1"/>
      <c r="P142" s="1" cm="1">
        <f t="array" ref="P142">_xlfn.SWITCH($A$2,"average", AVERAGE(Instances!P142:Instances!P142),"median", MEDIAN(Instances!P142:Instances!P142),"min", MIN(Instances!P142:Instances!P142),"max", MAX(Instances!P142:Instances!P142),"diff", MAX(Instances!P142:Instances!P142)-MIN(Instances!P142:Instances!P142))</f>
        <v>0</v>
      </c>
      <c r="Q142" s="1" cm="1">
        <f t="array" ref="Q142">_xlfn.SWITCH($A$2,"average", AVERAGE(Instances!Q142:Instances!Q142),"median", MEDIAN(Instances!Q142:Instances!Q142),"min", MIN(Instances!Q142:Instances!Q142),"max", MAX(Instances!Q142:Instances!Q142),"diff", MAX(Instances!Q142:Instances!Q142)-MIN(Instances!Q142:Instances!Q142))</f>
        <v>0</v>
      </c>
      <c r="R142" s="1" cm="1">
        <f t="array" ref="R142">_xlfn.SWITCH($A$2,"average", AVERAGE(Instances!R142:Instances!R142),"median", MEDIAN(Instances!R142:Instances!R142),"min", MIN(Instances!R142:Instances!R142),"max", MAX(Instances!R142:Instances!R142),"diff", MAX(Instances!R142:Instances!R142)-MIN(Instances!R142:Instances!R142))</f>
        <v>0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 cm="1">
        <f t="array" ref="B143">_xlfn.SWITCH($A$2,"average", AVERAGE(Instances!B143:Instances!B143),"median", MEDIAN(Instances!B143:Instances!B143),"min", MIN(Instances!B143:Instances!B143),"max", MAX(Instances!B143:Instances!B143),"diff", MAX(Instances!B143:Instances!B143)-MIN(Instances!B143:Instances!B143))</f>
        <v>0</v>
      </c>
      <c r="C143" s="1" cm="1">
        <f t="array" ref="C143">_xlfn.SWITCH($A$2,"average", AVERAGE(Instances!C143:Instances!C143),"median", MEDIAN(Instances!C143:Instances!C143),"min", MIN(Instances!C143:Instances!C143),"max", MAX(Instances!C143:Instances!C143),"diff", MAX(Instances!C143:Instances!C143)-MIN(Instances!C143:Instances!C143))</f>
        <v>0</v>
      </c>
      <c r="D143" s="1" cm="1">
        <f t="array" ref="D143">_xlfn.SWITCH($A$2,"average", AVERAGE(Instances!D143:Instances!D143),"median", MEDIAN(Instances!D143:Instances!D143),"min", MIN(Instances!D143:Instances!D143),"max", MAX(Instances!D143:Instances!D143),"diff", MAX(Instances!D143:Instances!D143)-MIN(Instances!D143:Instances!D143))</f>
        <v>0</v>
      </c>
      <c r="E143" s="1" cm="1">
        <f t="array" ref="E143">_xlfn.SWITCH($A$2,"average", AVERAGE(Instances!E143:Instances!E143),"median", MEDIAN(Instances!E143:Instances!E143),"min", MIN(Instances!E143:Instances!E143),"max", MAX(Instances!E143:Instances!E143),"diff", MAX(Instances!E143:Instances!E143)-MIN(Instances!E143:Instances!E143))</f>
        <v>0</v>
      </c>
      <c r="F143" s="1" cm="1">
        <f t="array" ref="F143">_xlfn.SWITCH($A$2,"average", AVERAGE(Instances!F143:Instances!F143),"median", MEDIAN(Instances!F143:Instances!F143),"min", MIN(Instances!F143:Instances!F143),"max", MAX(Instances!F143:Instances!F143),"diff", MAX(Instances!F143:Instances!F143)-MIN(Instances!F143:Instances!F143))</f>
        <v>0</v>
      </c>
      <c r="G143" s="1" cm="1">
        <f t="array" ref="G143">_xlfn.SWITCH($A$2,"average", AVERAGE(Instances!G143:Instances!G143),"median", MEDIAN(Instances!G143:Instances!G143),"min", MIN(Instances!G143:Instances!G143),"max", MAX(Instances!G143:Instances!G143),"diff", MAX(Instances!G143:Instances!G143)-MIN(Instances!G143:Instances!G143))</f>
        <v>0</v>
      </c>
      <c r="H143" s="1" cm="1">
        <f t="array" ref="H143">_xlfn.SWITCH($A$2,"average", AVERAGE(Instances!H143:Instances!H143),"median", MEDIAN(Instances!H143:Instances!H143),"min", MIN(Instances!H143:Instances!H143),"max", MAX(Instances!H143:Instances!H143),"diff", MAX(Instances!H143:Instances!H143)-MIN(Instances!H143:Instances!H143))</f>
        <v>0</v>
      </c>
      <c r="I143" s="1" cm="1">
        <f t="array" ref="I143">_xlfn.SWITCH($A$2,"average", AVERAGE(Instances!I143:Instances!I143),"median", MEDIAN(Instances!I143:Instances!I143),"min", MIN(Instances!I143:Instances!I143),"max", MAX(Instances!I143:Instances!I143),"diff", MAX(Instances!I143:Instances!I143)-MIN(Instances!I143:Instances!I143))</f>
        <v>0</v>
      </c>
      <c r="J143" s="1" cm="1">
        <f t="array" ref="J143">_xlfn.SWITCH($A$2,"average", AVERAGE(Instances!J143:Instances!J143),"median", MEDIAN(Instances!J143:Instances!J143),"min", MIN(Instances!J143:Instances!J143),"max", MAX(Instances!J143:Instances!J143),"diff", MAX(Instances!J143:Instances!J143)-MIN(Instances!J143:Instances!J143))</f>
        <v>0</v>
      </c>
      <c r="K143" s="1" cm="1">
        <f t="array" ref="K143">_xlfn.SWITCH($A$2,"average", AVERAGE(Instances!K143:Instances!K143),"median", MEDIAN(Instances!K143:Instances!K143),"min", MIN(Instances!K143:Instances!K143),"max", MAX(Instances!K143:Instances!K143),"diff", MAX(Instances!K143:Instances!K143)-MIN(Instances!K143:Instances!K143))</f>
        <v>0</v>
      </c>
      <c r="L143" s="1"/>
      <c r="M143" s="1" cm="1">
        <f t="array" ref="M143">_xlfn.SWITCH($A$2,"average", AVERAGE(Instances!M143:Instances!M143),"median", MEDIAN(Instances!M143:Instances!M143),"min", MIN(Instances!M143:Instances!M143),"max", MAX(Instances!M143:Instances!M143),"diff", MAX(Instances!M143:Instances!M143)-MIN(Instances!M143:Instances!M143))</f>
        <v>0</v>
      </c>
      <c r="N143" s="1" cm="1">
        <f t="array" ref="N143">_xlfn.SWITCH($A$2,"average", AVERAGE(Instances!N143:Instances!N143),"median", MEDIAN(Instances!N143:Instances!N143),"min", MIN(Instances!N143:Instances!N143),"max", MAX(Instances!N143:Instances!N143),"diff", MAX(Instances!N143:Instances!N143)-MIN(Instances!N143:Instances!N143))</f>
        <v>0</v>
      </c>
      <c r="O143" s="1"/>
      <c r="P143" s="1" cm="1">
        <f t="array" ref="P143">_xlfn.SWITCH($A$2,"average", AVERAGE(Instances!P143:Instances!P143),"median", MEDIAN(Instances!P143:Instances!P143),"min", MIN(Instances!P143:Instances!P143),"max", MAX(Instances!P143:Instances!P143),"diff", MAX(Instances!P143:Instances!P143)-MIN(Instances!P143:Instances!P143))</f>
        <v>0</v>
      </c>
      <c r="Q143" s="1" cm="1">
        <f t="array" ref="Q143">_xlfn.SWITCH($A$2,"average", AVERAGE(Instances!Q143:Instances!Q143),"median", MEDIAN(Instances!Q143:Instances!Q143),"min", MIN(Instances!Q143:Instances!Q143),"max", MAX(Instances!Q143:Instances!Q143),"diff", MAX(Instances!Q143:Instances!Q143)-MIN(Instances!Q143:Instances!Q143))</f>
        <v>0</v>
      </c>
      <c r="R143" s="1" cm="1">
        <f t="array" ref="R143">_xlfn.SWITCH($A$2,"average", AVERAGE(Instances!R143:Instances!R143),"median", MEDIAN(Instances!R143:Instances!R143),"min", MIN(Instances!R143:Instances!R143),"max", MAX(Instances!R143:Instances!R143),"diff", MAX(Instances!R143:Instances!R143)-MIN(Instances!R143:Instances!R143))</f>
        <v>0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 cm="1">
        <f t="array" ref="B144">_xlfn.SWITCH($A$2,"average", AVERAGE(Instances!B144:Instances!B144),"median", MEDIAN(Instances!B144:Instances!B144),"min", MIN(Instances!B144:Instances!B144),"max", MAX(Instances!B144:Instances!B144),"diff", MAX(Instances!B144:Instances!B144)-MIN(Instances!B144:Instances!B144))</f>
        <v>0</v>
      </c>
      <c r="C144" s="1" cm="1">
        <f t="array" ref="C144">_xlfn.SWITCH($A$2,"average", AVERAGE(Instances!C144:Instances!C144),"median", MEDIAN(Instances!C144:Instances!C144),"min", MIN(Instances!C144:Instances!C144),"max", MAX(Instances!C144:Instances!C144),"diff", MAX(Instances!C144:Instances!C144)-MIN(Instances!C144:Instances!C144))</f>
        <v>0</v>
      </c>
      <c r="D144" s="1" cm="1">
        <f t="array" ref="D144">_xlfn.SWITCH($A$2,"average", AVERAGE(Instances!D144:Instances!D144),"median", MEDIAN(Instances!D144:Instances!D144),"min", MIN(Instances!D144:Instances!D144),"max", MAX(Instances!D144:Instances!D144),"diff", MAX(Instances!D144:Instances!D144)-MIN(Instances!D144:Instances!D144))</f>
        <v>0</v>
      </c>
      <c r="E144" s="1" cm="1">
        <f t="array" ref="E144">_xlfn.SWITCH($A$2,"average", AVERAGE(Instances!E144:Instances!E144),"median", MEDIAN(Instances!E144:Instances!E144),"min", MIN(Instances!E144:Instances!E144),"max", MAX(Instances!E144:Instances!E144),"diff", MAX(Instances!E144:Instances!E144)-MIN(Instances!E144:Instances!E144))</f>
        <v>0</v>
      </c>
      <c r="F144" s="1" cm="1">
        <f t="array" ref="F144">_xlfn.SWITCH($A$2,"average", AVERAGE(Instances!F144:Instances!F144),"median", MEDIAN(Instances!F144:Instances!F144),"min", MIN(Instances!F144:Instances!F144),"max", MAX(Instances!F144:Instances!F144),"diff", MAX(Instances!F144:Instances!F144)-MIN(Instances!F144:Instances!F144))</f>
        <v>0</v>
      </c>
      <c r="G144" s="1" cm="1">
        <f t="array" ref="G144">_xlfn.SWITCH($A$2,"average", AVERAGE(Instances!G144:Instances!G144),"median", MEDIAN(Instances!G144:Instances!G144),"min", MIN(Instances!G144:Instances!G144),"max", MAX(Instances!G144:Instances!G144),"diff", MAX(Instances!G144:Instances!G144)-MIN(Instances!G144:Instances!G144))</f>
        <v>0</v>
      </c>
      <c r="H144" s="1" cm="1">
        <f t="array" ref="H144">_xlfn.SWITCH($A$2,"average", AVERAGE(Instances!H144:Instances!H144),"median", MEDIAN(Instances!H144:Instances!H144),"min", MIN(Instances!H144:Instances!H144),"max", MAX(Instances!H144:Instances!H144),"diff", MAX(Instances!H144:Instances!H144)-MIN(Instances!H144:Instances!H144))</f>
        <v>0</v>
      </c>
      <c r="I144" s="1" cm="1">
        <f t="array" ref="I144">_xlfn.SWITCH($A$2,"average", AVERAGE(Instances!I144:Instances!I144),"median", MEDIAN(Instances!I144:Instances!I144),"min", MIN(Instances!I144:Instances!I144),"max", MAX(Instances!I144:Instances!I144),"diff", MAX(Instances!I144:Instances!I144)-MIN(Instances!I144:Instances!I144))</f>
        <v>0</v>
      </c>
      <c r="J144" s="1" cm="1">
        <f t="array" ref="J144">_xlfn.SWITCH($A$2,"average", AVERAGE(Instances!J144:Instances!J144),"median", MEDIAN(Instances!J144:Instances!J144),"min", MIN(Instances!J144:Instances!J144),"max", MAX(Instances!J144:Instances!J144),"diff", MAX(Instances!J144:Instances!J144)-MIN(Instances!J144:Instances!J144))</f>
        <v>0</v>
      </c>
      <c r="K144" s="1" cm="1">
        <f t="array" ref="K144">_xlfn.SWITCH($A$2,"average", AVERAGE(Instances!K144:Instances!K144),"median", MEDIAN(Instances!K144:Instances!K144),"min", MIN(Instances!K144:Instances!K144),"max", MAX(Instances!K144:Instances!K144),"diff", MAX(Instances!K144:Instances!K144)-MIN(Instances!K144:Instances!K144))</f>
        <v>0</v>
      </c>
      <c r="L144" s="1"/>
      <c r="M144" s="1" cm="1">
        <f t="array" ref="M144">_xlfn.SWITCH($A$2,"average", AVERAGE(Instances!M144:Instances!M144),"median", MEDIAN(Instances!M144:Instances!M144),"min", MIN(Instances!M144:Instances!M144),"max", MAX(Instances!M144:Instances!M144),"diff", MAX(Instances!M144:Instances!M144)-MIN(Instances!M144:Instances!M144))</f>
        <v>0</v>
      </c>
      <c r="N144" s="1" cm="1">
        <f t="array" ref="N144">_xlfn.SWITCH($A$2,"average", AVERAGE(Instances!N144:Instances!N144),"median", MEDIAN(Instances!N144:Instances!N144),"min", MIN(Instances!N144:Instances!N144),"max", MAX(Instances!N144:Instances!N144),"diff", MAX(Instances!N144:Instances!N144)-MIN(Instances!N144:Instances!N144))</f>
        <v>0</v>
      </c>
      <c r="O144" s="1"/>
      <c r="P144" s="1" cm="1">
        <f t="array" ref="P144">_xlfn.SWITCH($A$2,"average", AVERAGE(Instances!P144:Instances!P144),"median", MEDIAN(Instances!P144:Instances!P144),"min", MIN(Instances!P144:Instances!P144),"max", MAX(Instances!P144:Instances!P144),"diff", MAX(Instances!P144:Instances!P144)-MIN(Instances!P144:Instances!P144))</f>
        <v>0</v>
      </c>
      <c r="Q144" s="1" cm="1">
        <f t="array" ref="Q144">_xlfn.SWITCH($A$2,"average", AVERAGE(Instances!Q144:Instances!Q144),"median", MEDIAN(Instances!Q144:Instances!Q144),"min", MIN(Instances!Q144:Instances!Q144),"max", MAX(Instances!Q144:Instances!Q144),"diff", MAX(Instances!Q144:Instances!Q144)-MIN(Instances!Q144:Instances!Q144))</f>
        <v>0</v>
      </c>
      <c r="R144" s="1" cm="1">
        <f t="array" ref="R144">_xlfn.SWITCH($A$2,"average", AVERAGE(Instances!R144:Instances!R144),"median", MEDIAN(Instances!R144:Instances!R144),"min", MIN(Instances!R144:Instances!R144),"max", MAX(Instances!R144:Instances!R144),"diff", MAX(Instances!R144:Instances!R144)-MIN(Instances!R144:Instances!R144))</f>
        <v>0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 cm="1">
        <f t="array" ref="B145">_xlfn.SWITCH($A$2,"average", AVERAGE(Instances!B145:Instances!B145),"median", MEDIAN(Instances!B145:Instances!B145),"min", MIN(Instances!B145:Instances!B145),"max", MAX(Instances!B145:Instances!B145),"diff", MAX(Instances!B145:Instances!B145)-MIN(Instances!B145:Instances!B145))</f>
        <v>0</v>
      </c>
      <c r="C145" s="1" cm="1">
        <f t="array" ref="C145">_xlfn.SWITCH($A$2,"average", AVERAGE(Instances!C145:Instances!C145),"median", MEDIAN(Instances!C145:Instances!C145),"min", MIN(Instances!C145:Instances!C145),"max", MAX(Instances!C145:Instances!C145),"diff", MAX(Instances!C145:Instances!C145)-MIN(Instances!C145:Instances!C145))</f>
        <v>0</v>
      </c>
      <c r="D145" s="1" cm="1">
        <f t="array" ref="D145">_xlfn.SWITCH($A$2,"average", AVERAGE(Instances!D145:Instances!D145),"median", MEDIAN(Instances!D145:Instances!D145),"min", MIN(Instances!D145:Instances!D145),"max", MAX(Instances!D145:Instances!D145),"diff", MAX(Instances!D145:Instances!D145)-MIN(Instances!D145:Instances!D145))</f>
        <v>0</v>
      </c>
      <c r="E145" s="1" cm="1">
        <f t="array" ref="E145">_xlfn.SWITCH($A$2,"average", AVERAGE(Instances!E145:Instances!E145),"median", MEDIAN(Instances!E145:Instances!E145),"min", MIN(Instances!E145:Instances!E145),"max", MAX(Instances!E145:Instances!E145),"diff", MAX(Instances!E145:Instances!E145)-MIN(Instances!E145:Instances!E145))</f>
        <v>0</v>
      </c>
      <c r="F145" s="1" cm="1">
        <f t="array" ref="F145">_xlfn.SWITCH($A$2,"average", AVERAGE(Instances!F145:Instances!F145),"median", MEDIAN(Instances!F145:Instances!F145),"min", MIN(Instances!F145:Instances!F145),"max", MAX(Instances!F145:Instances!F145),"diff", MAX(Instances!F145:Instances!F145)-MIN(Instances!F145:Instances!F145))</f>
        <v>0</v>
      </c>
      <c r="G145" s="1" cm="1">
        <f t="array" ref="G145">_xlfn.SWITCH($A$2,"average", AVERAGE(Instances!G145:Instances!G145),"median", MEDIAN(Instances!G145:Instances!G145),"min", MIN(Instances!G145:Instances!G145),"max", MAX(Instances!G145:Instances!G145),"diff", MAX(Instances!G145:Instances!G145)-MIN(Instances!G145:Instances!G145))</f>
        <v>0</v>
      </c>
      <c r="H145" s="1" cm="1">
        <f t="array" ref="H145">_xlfn.SWITCH($A$2,"average", AVERAGE(Instances!H145:Instances!H145),"median", MEDIAN(Instances!H145:Instances!H145),"min", MIN(Instances!H145:Instances!H145),"max", MAX(Instances!H145:Instances!H145),"diff", MAX(Instances!H145:Instances!H145)-MIN(Instances!H145:Instances!H145))</f>
        <v>0</v>
      </c>
      <c r="I145" s="1" cm="1">
        <f t="array" ref="I145">_xlfn.SWITCH($A$2,"average", AVERAGE(Instances!I145:Instances!I145),"median", MEDIAN(Instances!I145:Instances!I145),"min", MIN(Instances!I145:Instances!I145),"max", MAX(Instances!I145:Instances!I145),"diff", MAX(Instances!I145:Instances!I145)-MIN(Instances!I145:Instances!I145))</f>
        <v>0</v>
      </c>
      <c r="J145" s="1" cm="1">
        <f t="array" ref="J145">_xlfn.SWITCH($A$2,"average", AVERAGE(Instances!J145:Instances!J145),"median", MEDIAN(Instances!J145:Instances!J145),"min", MIN(Instances!J145:Instances!J145),"max", MAX(Instances!J145:Instances!J145),"diff", MAX(Instances!J145:Instances!J145)-MIN(Instances!J145:Instances!J145))</f>
        <v>0</v>
      </c>
      <c r="K145" s="1" cm="1">
        <f t="array" ref="K145">_xlfn.SWITCH($A$2,"average", AVERAGE(Instances!K145:Instances!K145),"median", MEDIAN(Instances!K145:Instances!K145),"min", MIN(Instances!K145:Instances!K145),"max", MAX(Instances!K145:Instances!K145),"diff", MAX(Instances!K145:Instances!K145)-MIN(Instances!K145:Instances!K145))</f>
        <v>0</v>
      </c>
      <c r="L145" s="1"/>
      <c r="M145" s="1" cm="1">
        <f t="array" ref="M145">_xlfn.SWITCH($A$2,"average", AVERAGE(Instances!M145:Instances!M145),"median", MEDIAN(Instances!M145:Instances!M145),"min", MIN(Instances!M145:Instances!M145),"max", MAX(Instances!M145:Instances!M145),"diff", MAX(Instances!M145:Instances!M145)-MIN(Instances!M145:Instances!M145))</f>
        <v>0</v>
      </c>
      <c r="N145" s="1" cm="1">
        <f t="array" ref="N145">_xlfn.SWITCH($A$2,"average", AVERAGE(Instances!N145:Instances!N145),"median", MEDIAN(Instances!N145:Instances!N145),"min", MIN(Instances!N145:Instances!N145),"max", MAX(Instances!N145:Instances!N145),"diff", MAX(Instances!N145:Instances!N145)-MIN(Instances!N145:Instances!N145))</f>
        <v>0</v>
      </c>
      <c r="O145" s="1"/>
      <c r="P145" s="1" cm="1">
        <f t="array" ref="P145">_xlfn.SWITCH($A$2,"average", AVERAGE(Instances!P145:Instances!P145),"median", MEDIAN(Instances!P145:Instances!P145),"min", MIN(Instances!P145:Instances!P145),"max", MAX(Instances!P145:Instances!P145),"diff", MAX(Instances!P145:Instances!P145)-MIN(Instances!P145:Instances!P145))</f>
        <v>0</v>
      </c>
      <c r="Q145" s="1" cm="1">
        <f t="array" ref="Q145">_xlfn.SWITCH($A$2,"average", AVERAGE(Instances!Q145:Instances!Q145),"median", MEDIAN(Instances!Q145:Instances!Q145),"min", MIN(Instances!Q145:Instances!Q145),"max", MAX(Instances!Q145:Instances!Q145),"diff", MAX(Instances!Q145:Instances!Q145)-MIN(Instances!Q145:Instances!Q145))</f>
        <v>0</v>
      </c>
      <c r="R145" s="1" cm="1">
        <f t="array" ref="R145">_xlfn.SWITCH($A$2,"average", AVERAGE(Instances!R145:Instances!R145),"median", MEDIAN(Instances!R145:Instances!R145),"min", MIN(Instances!R145:Instances!R145),"max", MAX(Instances!R145:Instances!R145),"diff", MAX(Instances!R145:Instances!R145)-MIN(Instances!R145:Instances!R145))</f>
        <v>0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 cm="1">
        <f t="array" ref="B146">_xlfn.SWITCH($A$2,"average", AVERAGE(Instances!B146:Instances!B146),"median", MEDIAN(Instances!B146:Instances!B146),"min", MIN(Instances!B146:Instances!B146),"max", MAX(Instances!B146:Instances!B146),"diff", MAX(Instances!B146:Instances!B146)-MIN(Instances!B146:Instances!B146))</f>
        <v>0</v>
      </c>
      <c r="C146" s="1" cm="1">
        <f t="array" ref="C146">_xlfn.SWITCH($A$2,"average", AVERAGE(Instances!C146:Instances!C146),"median", MEDIAN(Instances!C146:Instances!C146),"min", MIN(Instances!C146:Instances!C146),"max", MAX(Instances!C146:Instances!C146),"diff", MAX(Instances!C146:Instances!C146)-MIN(Instances!C146:Instances!C146))</f>
        <v>0</v>
      </c>
      <c r="D146" s="1" cm="1">
        <f t="array" ref="D146">_xlfn.SWITCH($A$2,"average", AVERAGE(Instances!D146:Instances!D146),"median", MEDIAN(Instances!D146:Instances!D146),"min", MIN(Instances!D146:Instances!D146),"max", MAX(Instances!D146:Instances!D146),"diff", MAX(Instances!D146:Instances!D146)-MIN(Instances!D146:Instances!D146))</f>
        <v>0</v>
      </c>
      <c r="E146" s="1" cm="1">
        <f t="array" ref="E146">_xlfn.SWITCH($A$2,"average", AVERAGE(Instances!E146:Instances!E146),"median", MEDIAN(Instances!E146:Instances!E146),"min", MIN(Instances!E146:Instances!E146),"max", MAX(Instances!E146:Instances!E146),"diff", MAX(Instances!E146:Instances!E146)-MIN(Instances!E146:Instances!E146))</f>
        <v>0</v>
      </c>
      <c r="F146" s="1" cm="1">
        <f t="array" ref="F146">_xlfn.SWITCH($A$2,"average", AVERAGE(Instances!F146:Instances!F146),"median", MEDIAN(Instances!F146:Instances!F146),"min", MIN(Instances!F146:Instances!F146),"max", MAX(Instances!F146:Instances!F146),"diff", MAX(Instances!F146:Instances!F146)-MIN(Instances!F146:Instances!F146))</f>
        <v>0</v>
      </c>
      <c r="G146" s="1" cm="1">
        <f t="array" ref="G146">_xlfn.SWITCH($A$2,"average", AVERAGE(Instances!G146:Instances!G146),"median", MEDIAN(Instances!G146:Instances!G146),"min", MIN(Instances!G146:Instances!G146),"max", MAX(Instances!G146:Instances!G146),"diff", MAX(Instances!G146:Instances!G146)-MIN(Instances!G146:Instances!G146))</f>
        <v>0</v>
      </c>
      <c r="H146" s="1" cm="1">
        <f t="array" ref="H146">_xlfn.SWITCH($A$2,"average", AVERAGE(Instances!H146:Instances!H146),"median", MEDIAN(Instances!H146:Instances!H146),"min", MIN(Instances!H146:Instances!H146),"max", MAX(Instances!H146:Instances!H146),"diff", MAX(Instances!H146:Instances!H146)-MIN(Instances!H146:Instances!H146))</f>
        <v>0</v>
      </c>
      <c r="I146" s="1" cm="1">
        <f t="array" ref="I146">_xlfn.SWITCH($A$2,"average", AVERAGE(Instances!I146:Instances!I146),"median", MEDIAN(Instances!I146:Instances!I146),"min", MIN(Instances!I146:Instances!I146),"max", MAX(Instances!I146:Instances!I146),"diff", MAX(Instances!I146:Instances!I146)-MIN(Instances!I146:Instances!I146))</f>
        <v>0</v>
      </c>
      <c r="J146" s="1" cm="1">
        <f t="array" ref="J146">_xlfn.SWITCH($A$2,"average", AVERAGE(Instances!J146:Instances!J146),"median", MEDIAN(Instances!J146:Instances!J146),"min", MIN(Instances!J146:Instances!J146),"max", MAX(Instances!J146:Instances!J146),"diff", MAX(Instances!J146:Instances!J146)-MIN(Instances!J146:Instances!J146))</f>
        <v>0</v>
      </c>
      <c r="K146" s="1" cm="1">
        <f t="array" ref="K146">_xlfn.SWITCH($A$2,"average", AVERAGE(Instances!K146:Instances!K146),"median", MEDIAN(Instances!K146:Instances!K146),"min", MIN(Instances!K146:Instances!K146),"max", MAX(Instances!K146:Instances!K146),"diff", MAX(Instances!K146:Instances!K146)-MIN(Instances!K146:Instances!K146))</f>
        <v>0</v>
      </c>
      <c r="L146" s="1"/>
      <c r="M146" s="1" cm="1">
        <f t="array" ref="M146">_xlfn.SWITCH($A$2,"average", AVERAGE(Instances!M146:Instances!M146),"median", MEDIAN(Instances!M146:Instances!M146),"min", MIN(Instances!M146:Instances!M146),"max", MAX(Instances!M146:Instances!M146),"diff", MAX(Instances!M146:Instances!M146)-MIN(Instances!M146:Instances!M146))</f>
        <v>0</v>
      </c>
      <c r="N146" s="1" cm="1">
        <f t="array" ref="N146">_xlfn.SWITCH($A$2,"average", AVERAGE(Instances!N146:Instances!N146),"median", MEDIAN(Instances!N146:Instances!N146),"min", MIN(Instances!N146:Instances!N146),"max", MAX(Instances!N146:Instances!N146),"diff", MAX(Instances!N146:Instances!N146)-MIN(Instances!N146:Instances!N146))</f>
        <v>0</v>
      </c>
      <c r="O146" s="1"/>
      <c r="P146" s="1" cm="1">
        <f t="array" ref="P146">_xlfn.SWITCH($A$2,"average", AVERAGE(Instances!P146:Instances!P146),"median", MEDIAN(Instances!P146:Instances!P146),"min", MIN(Instances!P146:Instances!P146),"max", MAX(Instances!P146:Instances!P146),"diff", MAX(Instances!P146:Instances!P146)-MIN(Instances!P146:Instances!P146))</f>
        <v>0</v>
      </c>
      <c r="Q146" s="1" cm="1">
        <f t="array" ref="Q146">_xlfn.SWITCH($A$2,"average", AVERAGE(Instances!Q146:Instances!Q146),"median", MEDIAN(Instances!Q146:Instances!Q146),"min", MIN(Instances!Q146:Instances!Q146),"max", MAX(Instances!Q146:Instances!Q146),"diff", MAX(Instances!Q146:Instances!Q146)-MIN(Instances!Q146:Instances!Q146))</f>
        <v>0</v>
      </c>
      <c r="R146" s="1" cm="1">
        <f t="array" ref="R146">_xlfn.SWITCH($A$2,"average", AVERAGE(Instances!R146:Instances!R146),"median", MEDIAN(Instances!R146:Instances!R146),"min", MIN(Instances!R146:Instances!R146),"max", MAX(Instances!R146:Instances!R146),"diff", MAX(Instances!R146:Instances!R146)-MIN(Instances!R146:Instances!R146))</f>
        <v>0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 cm="1">
        <f t="array" ref="B147">_xlfn.SWITCH($A$2,"average", AVERAGE(Instances!B147:Instances!B147),"median", MEDIAN(Instances!B147:Instances!B147),"min", MIN(Instances!B147:Instances!B147),"max", MAX(Instances!B147:Instances!B147),"diff", MAX(Instances!B147:Instances!B147)-MIN(Instances!B147:Instances!B147))</f>
        <v>0</v>
      </c>
      <c r="C147" s="1" cm="1">
        <f t="array" ref="C147">_xlfn.SWITCH($A$2,"average", AVERAGE(Instances!C147:Instances!C147),"median", MEDIAN(Instances!C147:Instances!C147),"min", MIN(Instances!C147:Instances!C147),"max", MAX(Instances!C147:Instances!C147),"diff", MAX(Instances!C147:Instances!C147)-MIN(Instances!C147:Instances!C147))</f>
        <v>0</v>
      </c>
      <c r="D147" s="1" cm="1">
        <f t="array" ref="D147">_xlfn.SWITCH($A$2,"average", AVERAGE(Instances!D147:Instances!D147),"median", MEDIAN(Instances!D147:Instances!D147),"min", MIN(Instances!D147:Instances!D147),"max", MAX(Instances!D147:Instances!D147),"diff", MAX(Instances!D147:Instances!D147)-MIN(Instances!D147:Instances!D147))</f>
        <v>0</v>
      </c>
      <c r="E147" s="1" cm="1">
        <f t="array" ref="E147">_xlfn.SWITCH($A$2,"average", AVERAGE(Instances!E147:Instances!E147),"median", MEDIAN(Instances!E147:Instances!E147),"min", MIN(Instances!E147:Instances!E147),"max", MAX(Instances!E147:Instances!E147),"diff", MAX(Instances!E147:Instances!E147)-MIN(Instances!E147:Instances!E147))</f>
        <v>0</v>
      </c>
      <c r="F147" s="1" cm="1">
        <f t="array" ref="F147">_xlfn.SWITCH($A$2,"average", AVERAGE(Instances!F147:Instances!F147),"median", MEDIAN(Instances!F147:Instances!F147),"min", MIN(Instances!F147:Instances!F147),"max", MAX(Instances!F147:Instances!F147),"diff", MAX(Instances!F147:Instances!F147)-MIN(Instances!F147:Instances!F147))</f>
        <v>0</v>
      </c>
      <c r="G147" s="1" cm="1">
        <f t="array" ref="G147">_xlfn.SWITCH($A$2,"average", AVERAGE(Instances!G147:Instances!G147),"median", MEDIAN(Instances!G147:Instances!G147),"min", MIN(Instances!G147:Instances!G147),"max", MAX(Instances!G147:Instances!G147),"diff", MAX(Instances!G147:Instances!G147)-MIN(Instances!G147:Instances!G147))</f>
        <v>0</v>
      </c>
      <c r="H147" s="1" cm="1">
        <f t="array" ref="H147">_xlfn.SWITCH($A$2,"average", AVERAGE(Instances!H147:Instances!H147),"median", MEDIAN(Instances!H147:Instances!H147),"min", MIN(Instances!H147:Instances!H147),"max", MAX(Instances!H147:Instances!H147),"diff", MAX(Instances!H147:Instances!H147)-MIN(Instances!H147:Instances!H147))</f>
        <v>0</v>
      </c>
      <c r="I147" s="1" cm="1">
        <f t="array" ref="I147">_xlfn.SWITCH($A$2,"average", AVERAGE(Instances!I147:Instances!I147),"median", MEDIAN(Instances!I147:Instances!I147),"min", MIN(Instances!I147:Instances!I147),"max", MAX(Instances!I147:Instances!I147),"diff", MAX(Instances!I147:Instances!I147)-MIN(Instances!I147:Instances!I147))</f>
        <v>0</v>
      </c>
      <c r="J147" s="1" cm="1">
        <f t="array" ref="J147">_xlfn.SWITCH($A$2,"average", AVERAGE(Instances!J147:Instances!J147),"median", MEDIAN(Instances!J147:Instances!J147),"min", MIN(Instances!J147:Instances!J147),"max", MAX(Instances!J147:Instances!J147),"diff", MAX(Instances!J147:Instances!J147)-MIN(Instances!J147:Instances!J147))</f>
        <v>0</v>
      </c>
      <c r="K147" s="1" cm="1">
        <f t="array" ref="K147">_xlfn.SWITCH($A$2,"average", AVERAGE(Instances!K147:Instances!K147),"median", MEDIAN(Instances!K147:Instances!K147),"min", MIN(Instances!K147:Instances!K147),"max", MAX(Instances!K147:Instances!K147),"diff", MAX(Instances!K147:Instances!K147)-MIN(Instances!K147:Instances!K147))</f>
        <v>0</v>
      </c>
      <c r="L147" s="1"/>
      <c r="M147" s="1" cm="1">
        <f t="array" ref="M147">_xlfn.SWITCH($A$2,"average", AVERAGE(Instances!M147:Instances!M147),"median", MEDIAN(Instances!M147:Instances!M147),"min", MIN(Instances!M147:Instances!M147),"max", MAX(Instances!M147:Instances!M147),"diff", MAX(Instances!M147:Instances!M147)-MIN(Instances!M147:Instances!M147))</f>
        <v>0</v>
      </c>
      <c r="N147" s="1" cm="1">
        <f t="array" ref="N147">_xlfn.SWITCH($A$2,"average", AVERAGE(Instances!N147:Instances!N147),"median", MEDIAN(Instances!N147:Instances!N147),"min", MIN(Instances!N147:Instances!N147),"max", MAX(Instances!N147:Instances!N147),"diff", MAX(Instances!N147:Instances!N147)-MIN(Instances!N147:Instances!N147))</f>
        <v>0</v>
      </c>
      <c r="O147" s="1"/>
      <c r="P147" s="1" cm="1">
        <f t="array" ref="P147">_xlfn.SWITCH($A$2,"average", AVERAGE(Instances!P147:Instances!P147),"median", MEDIAN(Instances!P147:Instances!P147),"min", MIN(Instances!P147:Instances!P147),"max", MAX(Instances!P147:Instances!P147),"diff", MAX(Instances!P147:Instances!P147)-MIN(Instances!P147:Instances!P147))</f>
        <v>0</v>
      </c>
      <c r="Q147" s="1" cm="1">
        <f t="array" ref="Q147">_xlfn.SWITCH($A$2,"average", AVERAGE(Instances!Q147:Instances!Q147),"median", MEDIAN(Instances!Q147:Instances!Q147),"min", MIN(Instances!Q147:Instances!Q147),"max", MAX(Instances!Q147:Instances!Q147),"diff", MAX(Instances!Q147:Instances!Q147)-MIN(Instances!Q147:Instances!Q147))</f>
        <v>0</v>
      </c>
      <c r="R147" s="1" cm="1">
        <f t="array" ref="R147">_xlfn.SWITCH($A$2,"average", AVERAGE(Instances!R147:Instances!R147),"median", MEDIAN(Instances!R147:Instances!R147),"min", MIN(Instances!R147:Instances!R147),"max", MAX(Instances!R147:Instances!R147),"diff", MAX(Instances!R147:Instances!R147)-MIN(Instances!R147:Instances!R147))</f>
        <v>0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 cm="1">
        <f t="array" ref="B148">_xlfn.SWITCH($A$2,"average", AVERAGE(Instances!B148:Instances!B148),"median", MEDIAN(Instances!B148:Instances!B148),"min", MIN(Instances!B148:Instances!B148),"max", MAX(Instances!B148:Instances!B148),"diff", MAX(Instances!B148:Instances!B148)-MIN(Instances!B148:Instances!B148))</f>
        <v>0</v>
      </c>
      <c r="C148" s="1" cm="1">
        <f t="array" ref="C148">_xlfn.SWITCH($A$2,"average", AVERAGE(Instances!C148:Instances!C148),"median", MEDIAN(Instances!C148:Instances!C148),"min", MIN(Instances!C148:Instances!C148),"max", MAX(Instances!C148:Instances!C148),"diff", MAX(Instances!C148:Instances!C148)-MIN(Instances!C148:Instances!C148))</f>
        <v>0</v>
      </c>
      <c r="D148" s="1" cm="1">
        <f t="array" ref="D148">_xlfn.SWITCH($A$2,"average", AVERAGE(Instances!D148:Instances!D148),"median", MEDIAN(Instances!D148:Instances!D148),"min", MIN(Instances!D148:Instances!D148),"max", MAX(Instances!D148:Instances!D148),"diff", MAX(Instances!D148:Instances!D148)-MIN(Instances!D148:Instances!D148))</f>
        <v>0</v>
      </c>
      <c r="E148" s="1" cm="1">
        <f t="array" ref="E148">_xlfn.SWITCH($A$2,"average", AVERAGE(Instances!E148:Instances!E148),"median", MEDIAN(Instances!E148:Instances!E148),"min", MIN(Instances!E148:Instances!E148),"max", MAX(Instances!E148:Instances!E148),"diff", MAX(Instances!E148:Instances!E148)-MIN(Instances!E148:Instances!E148))</f>
        <v>0</v>
      </c>
      <c r="F148" s="1" cm="1">
        <f t="array" ref="F148">_xlfn.SWITCH($A$2,"average", AVERAGE(Instances!F148:Instances!F148),"median", MEDIAN(Instances!F148:Instances!F148),"min", MIN(Instances!F148:Instances!F148),"max", MAX(Instances!F148:Instances!F148),"diff", MAX(Instances!F148:Instances!F148)-MIN(Instances!F148:Instances!F148))</f>
        <v>0</v>
      </c>
      <c r="G148" s="1" cm="1">
        <f t="array" ref="G148">_xlfn.SWITCH($A$2,"average", AVERAGE(Instances!G148:Instances!G148),"median", MEDIAN(Instances!G148:Instances!G148),"min", MIN(Instances!G148:Instances!G148),"max", MAX(Instances!G148:Instances!G148),"diff", MAX(Instances!G148:Instances!G148)-MIN(Instances!G148:Instances!G148))</f>
        <v>0</v>
      </c>
      <c r="H148" s="1" cm="1">
        <f t="array" ref="H148">_xlfn.SWITCH($A$2,"average", AVERAGE(Instances!H148:Instances!H148),"median", MEDIAN(Instances!H148:Instances!H148),"min", MIN(Instances!H148:Instances!H148),"max", MAX(Instances!H148:Instances!H148),"diff", MAX(Instances!H148:Instances!H148)-MIN(Instances!H148:Instances!H148))</f>
        <v>0</v>
      </c>
      <c r="I148" s="1" cm="1">
        <f t="array" ref="I148">_xlfn.SWITCH($A$2,"average", AVERAGE(Instances!I148:Instances!I148),"median", MEDIAN(Instances!I148:Instances!I148),"min", MIN(Instances!I148:Instances!I148),"max", MAX(Instances!I148:Instances!I148),"diff", MAX(Instances!I148:Instances!I148)-MIN(Instances!I148:Instances!I148))</f>
        <v>0</v>
      </c>
      <c r="J148" s="1" cm="1">
        <f t="array" ref="J148">_xlfn.SWITCH($A$2,"average", AVERAGE(Instances!J148:Instances!J148),"median", MEDIAN(Instances!J148:Instances!J148),"min", MIN(Instances!J148:Instances!J148),"max", MAX(Instances!J148:Instances!J148),"diff", MAX(Instances!J148:Instances!J148)-MIN(Instances!J148:Instances!J148))</f>
        <v>0</v>
      </c>
      <c r="K148" s="1" cm="1">
        <f t="array" ref="K148">_xlfn.SWITCH($A$2,"average", AVERAGE(Instances!K148:Instances!K148),"median", MEDIAN(Instances!K148:Instances!K148),"min", MIN(Instances!K148:Instances!K148),"max", MAX(Instances!K148:Instances!K148),"diff", MAX(Instances!K148:Instances!K148)-MIN(Instances!K148:Instances!K148))</f>
        <v>0</v>
      </c>
      <c r="L148" s="1"/>
      <c r="M148" s="1" cm="1">
        <f t="array" ref="M148">_xlfn.SWITCH($A$2,"average", AVERAGE(Instances!M148:Instances!M148),"median", MEDIAN(Instances!M148:Instances!M148),"min", MIN(Instances!M148:Instances!M148),"max", MAX(Instances!M148:Instances!M148),"diff", MAX(Instances!M148:Instances!M148)-MIN(Instances!M148:Instances!M148))</f>
        <v>0</v>
      </c>
      <c r="N148" s="1" cm="1">
        <f t="array" ref="N148">_xlfn.SWITCH($A$2,"average", AVERAGE(Instances!N148:Instances!N148),"median", MEDIAN(Instances!N148:Instances!N148),"min", MIN(Instances!N148:Instances!N148),"max", MAX(Instances!N148:Instances!N148),"diff", MAX(Instances!N148:Instances!N148)-MIN(Instances!N148:Instances!N148))</f>
        <v>0</v>
      </c>
      <c r="O148" s="1"/>
      <c r="P148" s="1" cm="1">
        <f t="array" ref="P148">_xlfn.SWITCH($A$2,"average", AVERAGE(Instances!P148:Instances!P148),"median", MEDIAN(Instances!P148:Instances!P148),"min", MIN(Instances!P148:Instances!P148),"max", MAX(Instances!P148:Instances!P148),"diff", MAX(Instances!P148:Instances!P148)-MIN(Instances!P148:Instances!P148))</f>
        <v>0</v>
      </c>
      <c r="Q148" s="1" cm="1">
        <f t="array" ref="Q148">_xlfn.SWITCH($A$2,"average", AVERAGE(Instances!Q148:Instances!Q148),"median", MEDIAN(Instances!Q148:Instances!Q148),"min", MIN(Instances!Q148:Instances!Q148),"max", MAX(Instances!Q148:Instances!Q148),"diff", MAX(Instances!Q148:Instances!Q148)-MIN(Instances!Q148:Instances!Q148))</f>
        <v>0</v>
      </c>
      <c r="R148" s="1" cm="1">
        <f t="array" ref="R148">_xlfn.SWITCH($A$2,"average", AVERAGE(Instances!R148:Instances!R148),"median", MEDIAN(Instances!R148:Instances!R148),"min", MIN(Instances!R148:Instances!R148),"max", MAX(Instances!R148:Instances!R148),"diff", MAX(Instances!R148:Instances!R148)-MIN(Instances!R148:Instances!R148))</f>
        <v>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 cm="1">
        <f t="array" ref="B149">_xlfn.SWITCH($A$2,"average", AVERAGE(Instances!B149:Instances!B149),"median", MEDIAN(Instances!B149:Instances!B149),"min", MIN(Instances!B149:Instances!B149),"max", MAX(Instances!B149:Instances!B149),"diff", MAX(Instances!B149:Instances!B149)-MIN(Instances!B149:Instances!B149))</f>
        <v>0</v>
      </c>
      <c r="C149" s="1" cm="1">
        <f t="array" ref="C149">_xlfn.SWITCH($A$2,"average", AVERAGE(Instances!C149:Instances!C149),"median", MEDIAN(Instances!C149:Instances!C149),"min", MIN(Instances!C149:Instances!C149),"max", MAX(Instances!C149:Instances!C149),"diff", MAX(Instances!C149:Instances!C149)-MIN(Instances!C149:Instances!C149))</f>
        <v>0</v>
      </c>
      <c r="D149" s="1" cm="1">
        <f t="array" ref="D149">_xlfn.SWITCH($A$2,"average", AVERAGE(Instances!D149:Instances!D149),"median", MEDIAN(Instances!D149:Instances!D149),"min", MIN(Instances!D149:Instances!D149),"max", MAX(Instances!D149:Instances!D149),"diff", MAX(Instances!D149:Instances!D149)-MIN(Instances!D149:Instances!D149))</f>
        <v>0</v>
      </c>
      <c r="E149" s="1" cm="1">
        <f t="array" ref="E149">_xlfn.SWITCH($A$2,"average", AVERAGE(Instances!E149:Instances!E149),"median", MEDIAN(Instances!E149:Instances!E149),"min", MIN(Instances!E149:Instances!E149),"max", MAX(Instances!E149:Instances!E149),"diff", MAX(Instances!E149:Instances!E149)-MIN(Instances!E149:Instances!E149))</f>
        <v>0</v>
      </c>
      <c r="F149" s="1" cm="1">
        <f t="array" ref="F149">_xlfn.SWITCH($A$2,"average", AVERAGE(Instances!F149:Instances!F149),"median", MEDIAN(Instances!F149:Instances!F149),"min", MIN(Instances!F149:Instances!F149),"max", MAX(Instances!F149:Instances!F149),"diff", MAX(Instances!F149:Instances!F149)-MIN(Instances!F149:Instances!F149))</f>
        <v>0</v>
      </c>
      <c r="G149" s="1" cm="1">
        <f t="array" ref="G149">_xlfn.SWITCH($A$2,"average", AVERAGE(Instances!G149:Instances!G149),"median", MEDIAN(Instances!G149:Instances!G149),"min", MIN(Instances!G149:Instances!G149),"max", MAX(Instances!G149:Instances!G149),"diff", MAX(Instances!G149:Instances!G149)-MIN(Instances!G149:Instances!G149))</f>
        <v>0</v>
      </c>
      <c r="H149" s="1" cm="1">
        <f t="array" ref="H149">_xlfn.SWITCH($A$2,"average", AVERAGE(Instances!H149:Instances!H149),"median", MEDIAN(Instances!H149:Instances!H149),"min", MIN(Instances!H149:Instances!H149),"max", MAX(Instances!H149:Instances!H149),"diff", MAX(Instances!H149:Instances!H149)-MIN(Instances!H149:Instances!H149))</f>
        <v>0</v>
      </c>
      <c r="I149" s="1" cm="1">
        <f t="array" ref="I149">_xlfn.SWITCH($A$2,"average", AVERAGE(Instances!I149:Instances!I149),"median", MEDIAN(Instances!I149:Instances!I149),"min", MIN(Instances!I149:Instances!I149),"max", MAX(Instances!I149:Instances!I149),"diff", MAX(Instances!I149:Instances!I149)-MIN(Instances!I149:Instances!I149))</f>
        <v>0</v>
      </c>
      <c r="J149" s="1" cm="1">
        <f t="array" ref="J149">_xlfn.SWITCH($A$2,"average", AVERAGE(Instances!J149:Instances!J149),"median", MEDIAN(Instances!J149:Instances!J149),"min", MIN(Instances!J149:Instances!J149),"max", MAX(Instances!J149:Instances!J149),"diff", MAX(Instances!J149:Instances!J149)-MIN(Instances!J149:Instances!J149))</f>
        <v>0</v>
      </c>
      <c r="K149" s="1" cm="1">
        <f t="array" ref="K149">_xlfn.SWITCH($A$2,"average", AVERAGE(Instances!K149:Instances!K149),"median", MEDIAN(Instances!K149:Instances!K149),"min", MIN(Instances!K149:Instances!K149),"max", MAX(Instances!K149:Instances!K149),"diff", MAX(Instances!K149:Instances!K149)-MIN(Instances!K149:Instances!K149))</f>
        <v>0</v>
      </c>
      <c r="L149" s="1"/>
      <c r="M149" s="1" cm="1">
        <f t="array" ref="M149">_xlfn.SWITCH($A$2,"average", AVERAGE(Instances!M149:Instances!M149),"median", MEDIAN(Instances!M149:Instances!M149),"min", MIN(Instances!M149:Instances!M149),"max", MAX(Instances!M149:Instances!M149),"diff", MAX(Instances!M149:Instances!M149)-MIN(Instances!M149:Instances!M149))</f>
        <v>0</v>
      </c>
      <c r="N149" s="1" cm="1">
        <f t="array" ref="N149">_xlfn.SWITCH($A$2,"average", AVERAGE(Instances!N149:Instances!N149),"median", MEDIAN(Instances!N149:Instances!N149),"min", MIN(Instances!N149:Instances!N149),"max", MAX(Instances!N149:Instances!N149),"diff", MAX(Instances!N149:Instances!N149)-MIN(Instances!N149:Instances!N149))</f>
        <v>0</v>
      </c>
      <c r="O149" s="1"/>
      <c r="P149" s="1" cm="1">
        <f t="array" ref="P149">_xlfn.SWITCH($A$2,"average", AVERAGE(Instances!P149:Instances!P149),"median", MEDIAN(Instances!P149:Instances!P149),"min", MIN(Instances!P149:Instances!P149),"max", MAX(Instances!P149:Instances!P149),"diff", MAX(Instances!P149:Instances!P149)-MIN(Instances!P149:Instances!P149))</f>
        <v>0</v>
      </c>
      <c r="Q149" s="1" cm="1">
        <f t="array" ref="Q149">_xlfn.SWITCH($A$2,"average", AVERAGE(Instances!Q149:Instances!Q149),"median", MEDIAN(Instances!Q149:Instances!Q149),"min", MIN(Instances!Q149:Instances!Q149),"max", MAX(Instances!Q149:Instances!Q149),"diff", MAX(Instances!Q149:Instances!Q149)-MIN(Instances!Q149:Instances!Q149))</f>
        <v>0</v>
      </c>
      <c r="R149" s="1" cm="1">
        <f t="array" ref="R149">_xlfn.SWITCH($A$2,"average", AVERAGE(Instances!R149:Instances!R149),"median", MEDIAN(Instances!R149:Instances!R149),"min", MIN(Instances!R149:Instances!R149),"max", MAX(Instances!R149:Instances!R149),"diff", MAX(Instances!R149:Instances!R149)-MIN(Instances!R149:Instances!R149))</f>
        <v>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 cm="1">
        <f t="array" ref="B150">_xlfn.SWITCH($A$2,"average", AVERAGE(Instances!B150:Instances!B150),"median", MEDIAN(Instances!B150:Instances!B150),"min", MIN(Instances!B150:Instances!B150),"max", MAX(Instances!B150:Instances!B150),"diff", MAX(Instances!B150:Instances!B150)-MIN(Instances!B150:Instances!B150))</f>
        <v>0</v>
      </c>
      <c r="C150" s="1" cm="1">
        <f t="array" ref="C150">_xlfn.SWITCH($A$2,"average", AVERAGE(Instances!C150:Instances!C150),"median", MEDIAN(Instances!C150:Instances!C150),"min", MIN(Instances!C150:Instances!C150),"max", MAX(Instances!C150:Instances!C150),"diff", MAX(Instances!C150:Instances!C150)-MIN(Instances!C150:Instances!C150))</f>
        <v>0</v>
      </c>
      <c r="D150" s="1" cm="1">
        <f t="array" ref="D150">_xlfn.SWITCH($A$2,"average", AVERAGE(Instances!D150:Instances!D150),"median", MEDIAN(Instances!D150:Instances!D150),"min", MIN(Instances!D150:Instances!D150),"max", MAX(Instances!D150:Instances!D150),"diff", MAX(Instances!D150:Instances!D150)-MIN(Instances!D150:Instances!D150))</f>
        <v>0</v>
      </c>
      <c r="E150" s="1" cm="1">
        <f t="array" ref="E150">_xlfn.SWITCH($A$2,"average", AVERAGE(Instances!E150:Instances!E150),"median", MEDIAN(Instances!E150:Instances!E150),"min", MIN(Instances!E150:Instances!E150),"max", MAX(Instances!E150:Instances!E150),"diff", MAX(Instances!E150:Instances!E150)-MIN(Instances!E150:Instances!E150))</f>
        <v>0</v>
      </c>
      <c r="F150" s="1" cm="1">
        <f t="array" ref="F150">_xlfn.SWITCH($A$2,"average", AVERAGE(Instances!F150:Instances!F150),"median", MEDIAN(Instances!F150:Instances!F150),"min", MIN(Instances!F150:Instances!F150),"max", MAX(Instances!F150:Instances!F150),"diff", MAX(Instances!F150:Instances!F150)-MIN(Instances!F150:Instances!F150))</f>
        <v>0</v>
      </c>
      <c r="G150" s="1" cm="1">
        <f t="array" ref="G150">_xlfn.SWITCH($A$2,"average", AVERAGE(Instances!G150:Instances!G150),"median", MEDIAN(Instances!G150:Instances!G150),"min", MIN(Instances!G150:Instances!G150),"max", MAX(Instances!G150:Instances!G150),"diff", MAX(Instances!G150:Instances!G150)-MIN(Instances!G150:Instances!G150))</f>
        <v>0</v>
      </c>
      <c r="H150" s="1" cm="1">
        <f t="array" ref="H150">_xlfn.SWITCH($A$2,"average", AVERAGE(Instances!H150:Instances!H150),"median", MEDIAN(Instances!H150:Instances!H150),"min", MIN(Instances!H150:Instances!H150),"max", MAX(Instances!H150:Instances!H150),"diff", MAX(Instances!H150:Instances!H150)-MIN(Instances!H150:Instances!H150))</f>
        <v>0</v>
      </c>
      <c r="I150" s="1" cm="1">
        <f t="array" ref="I150">_xlfn.SWITCH($A$2,"average", AVERAGE(Instances!I150:Instances!I150),"median", MEDIAN(Instances!I150:Instances!I150),"min", MIN(Instances!I150:Instances!I150),"max", MAX(Instances!I150:Instances!I150),"diff", MAX(Instances!I150:Instances!I150)-MIN(Instances!I150:Instances!I150))</f>
        <v>0</v>
      </c>
      <c r="J150" s="1" cm="1">
        <f t="array" ref="J150">_xlfn.SWITCH($A$2,"average", AVERAGE(Instances!J150:Instances!J150),"median", MEDIAN(Instances!J150:Instances!J150),"min", MIN(Instances!J150:Instances!J150),"max", MAX(Instances!J150:Instances!J150),"diff", MAX(Instances!J150:Instances!J150)-MIN(Instances!J150:Instances!J150))</f>
        <v>0</v>
      </c>
      <c r="K150" s="1" cm="1">
        <f t="array" ref="K150">_xlfn.SWITCH($A$2,"average", AVERAGE(Instances!K150:Instances!K150),"median", MEDIAN(Instances!K150:Instances!K150),"min", MIN(Instances!K150:Instances!K150),"max", MAX(Instances!K150:Instances!K150),"diff", MAX(Instances!K150:Instances!K150)-MIN(Instances!K150:Instances!K150))</f>
        <v>0</v>
      </c>
      <c r="L150" s="1"/>
      <c r="M150" s="1" cm="1">
        <f t="array" ref="M150">_xlfn.SWITCH($A$2,"average", AVERAGE(Instances!M150:Instances!M150),"median", MEDIAN(Instances!M150:Instances!M150),"min", MIN(Instances!M150:Instances!M150),"max", MAX(Instances!M150:Instances!M150),"diff", MAX(Instances!M150:Instances!M150)-MIN(Instances!M150:Instances!M150))</f>
        <v>0</v>
      </c>
      <c r="N150" s="1" cm="1">
        <f t="array" ref="N150">_xlfn.SWITCH($A$2,"average", AVERAGE(Instances!N150:Instances!N150),"median", MEDIAN(Instances!N150:Instances!N150),"min", MIN(Instances!N150:Instances!N150),"max", MAX(Instances!N150:Instances!N150),"diff", MAX(Instances!N150:Instances!N150)-MIN(Instances!N150:Instances!N150))</f>
        <v>0</v>
      </c>
      <c r="O150" s="1"/>
      <c r="P150" s="1" cm="1">
        <f t="array" ref="P150">_xlfn.SWITCH($A$2,"average", AVERAGE(Instances!P150:Instances!P150),"median", MEDIAN(Instances!P150:Instances!P150),"min", MIN(Instances!P150:Instances!P150),"max", MAX(Instances!P150:Instances!P150),"diff", MAX(Instances!P150:Instances!P150)-MIN(Instances!P150:Instances!P150))</f>
        <v>0</v>
      </c>
      <c r="Q150" s="1" cm="1">
        <f t="array" ref="Q150">_xlfn.SWITCH($A$2,"average", AVERAGE(Instances!Q150:Instances!Q150),"median", MEDIAN(Instances!Q150:Instances!Q150),"min", MIN(Instances!Q150:Instances!Q150),"max", MAX(Instances!Q150:Instances!Q150),"diff", MAX(Instances!Q150:Instances!Q150)-MIN(Instances!Q150:Instances!Q150))</f>
        <v>0</v>
      </c>
      <c r="R150" s="1" cm="1">
        <f t="array" ref="R150">_xlfn.SWITCH($A$2,"average", AVERAGE(Instances!R150:Instances!R150),"median", MEDIAN(Instances!R150:Instances!R150),"min", MIN(Instances!R150:Instances!R150),"max", MAX(Instances!R150:Instances!R150),"diff", MAX(Instances!R150:Instances!R150)-MIN(Instances!R150:Instances!R150))</f>
        <v>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 cm="1">
        <f t="array" ref="B151">_xlfn.SWITCH($A$2,"average", AVERAGE(Instances!B151:Instances!B151),"median", MEDIAN(Instances!B151:Instances!B151),"min", MIN(Instances!B151:Instances!B151),"max", MAX(Instances!B151:Instances!B151),"diff", MAX(Instances!B151:Instances!B151)-MIN(Instances!B151:Instances!B151))</f>
        <v>0</v>
      </c>
      <c r="C151" s="1" cm="1">
        <f t="array" ref="C151">_xlfn.SWITCH($A$2,"average", AVERAGE(Instances!C151:Instances!C151),"median", MEDIAN(Instances!C151:Instances!C151),"min", MIN(Instances!C151:Instances!C151),"max", MAX(Instances!C151:Instances!C151),"diff", MAX(Instances!C151:Instances!C151)-MIN(Instances!C151:Instances!C151))</f>
        <v>0</v>
      </c>
      <c r="D151" s="1" cm="1">
        <f t="array" ref="D151">_xlfn.SWITCH($A$2,"average", AVERAGE(Instances!D151:Instances!D151),"median", MEDIAN(Instances!D151:Instances!D151),"min", MIN(Instances!D151:Instances!D151),"max", MAX(Instances!D151:Instances!D151),"diff", MAX(Instances!D151:Instances!D151)-MIN(Instances!D151:Instances!D151))</f>
        <v>0</v>
      </c>
      <c r="E151" s="1" cm="1">
        <f t="array" ref="E151">_xlfn.SWITCH($A$2,"average", AVERAGE(Instances!E151:Instances!E151),"median", MEDIAN(Instances!E151:Instances!E151),"min", MIN(Instances!E151:Instances!E151),"max", MAX(Instances!E151:Instances!E151),"diff", MAX(Instances!E151:Instances!E151)-MIN(Instances!E151:Instances!E151))</f>
        <v>0</v>
      </c>
      <c r="F151" s="1" cm="1">
        <f t="array" ref="F151">_xlfn.SWITCH($A$2,"average", AVERAGE(Instances!F151:Instances!F151),"median", MEDIAN(Instances!F151:Instances!F151),"min", MIN(Instances!F151:Instances!F151),"max", MAX(Instances!F151:Instances!F151),"diff", MAX(Instances!F151:Instances!F151)-MIN(Instances!F151:Instances!F151))</f>
        <v>0</v>
      </c>
      <c r="G151" s="1" cm="1">
        <f t="array" ref="G151">_xlfn.SWITCH($A$2,"average", AVERAGE(Instances!G151:Instances!G151),"median", MEDIAN(Instances!G151:Instances!G151),"min", MIN(Instances!G151:Instances!G151),"max", MAX(Instances!G151:Instances!G151),"diff", MAX(Instances!G151:Instances!G151)-MIN(Instances!G151:Instances!G151))</f>
        <v>0</v>
      </c>
      <c r="H151" s="1" cm="1">
        <f t="array" ref="H151">_xlfn.SWITCH($A$2,"average", AVERAGE(Instances!H151:Instances!H151),"median", MEDIAN(Instances!H151:Instances!H151),"min", MIN(Instances!H151:Instances!H151),"max", MAX(Instances!H151:Instances!H151),"diff", MAX(Instances!H151:Instances!H151)-MIN(Instances!H151:Instances!H151))</f>
        <v>0</v>
      </c>
      <c r="I151" s="1" cm="1">
        <f t="array" ref="I151">_xlfn.SWITCH($A$2,"average", AVERAGE(Instances!I151:Instances!I151),"median", MEDIAN(Instances!I151:Instances!I151),"min", MIN(Instances!I151:Instances!I151),"max", MAX(Instances!I151:Instances!I151),"diff", MAX(Instances!I151:Instances!I151)-MIN(Instances!I151:Instances!I151))</f>
        <v>0</v>
      </c>
      <c r="J151" s="1" cm="1">
        <f t="array" ref="J151">_xlfn.SWITCH($A$2,"average", AVERAGE(Instances!J151:Instances!J151),"median", MEDIAN(Instances!J151:Instances!J151),"min", MIN(Instances!J151:Instances!J151),"max", MAX(Instances!J151:Instances!J151),"diff", MAX(Instances!J151:Instances!J151)-MIN(Instances!J151:Instances!J151))</f>
        <v>0</v>
      </c>
      <c r="K151" s="1" cm="1">
        <f t="array" ref="K151">_xlfn.SWITCH($A$2,"average", AVERAGE(Instances!K151:Instances!K151),"median", MEDIAN(Instances!K151:Instances!K151),"min", MIN(Instances!K151:Instances!K151),"max", MAX(Instances!K151:Instances!K151),"diff", MAX(Instances!K151:Instances!K151)-MIN(Instances!K151:Instances!K151))</f>
        <v>0</v>
      </c>
      <c r="L151" s="1"/>
      <c r="M151" s="1" cm="1">
        <f t="array" ref="M151">_xlfn.SWITCH($A$2,"average", AVERAGE(Instances!M151:Instances!M151),"median", MEDIAN(Instances!M151:Instances!M151),"min", MIN(Instances!M151:Instances!M151),"max", MAX(Instances!M151:Instances!M151),"diff", MAX(Instances!M151:Instances!M151)-MIN(Instances!M151:Instances!M151))</f>
        <v>0</v>
      </c>
      <c r="N151" s="1" cm="1">
        <f t="array" ref="N151">_xlfn.SWITCH($A$2,"average", AVERAGE(Instances!N151:Instances!N151),"median", MEDIAN(Instances!N151:Instances!N151),"min", MIN(Instances!N151:Instances!N151),"max", MAX(Instances!N151:Instances!N151),"diff", MAX(Instances!N151:Instances!N151)-MIN(Instances!N151:Instances!N151))</f>
        <v>0</v>
      </c>
      <c r="O151" s="1"/>
      <c r="P151" s="1" cm="1">
        <f t="array" ref="P151">_xlfn.SWITCH($A$2,"average", AVERAGE(Instances!P151:Instances!P151),"median", MEDIAN(Instances!P151:Instances!P151),"min", MIN(Instances!P151:Instances!P151),"max", MAX(Instances!P151:Instances!P151),"diff", MAX(Instances!P151:Instances!P151)-MIN(Instances!P151:Instances!P151))</f>
        <v>0</v>
      </c>
      <c r="Q151" s="1" cm="1">
        <f t="array" ref="Q151">_xlfn.SWITCH($A$2,"average", AVERAGE(Instances!Q151:Instances!Q151),"median", MEDIAN(Instances!Q151:Instances!Q151),"min", MIN(Instances!Q151:Instances!Q151),"max", MAX(Instances!Q151:Instances!Q151),"diff", MAX(Instances!Q151:Instances!Q151)-MIN(Instances!Q151:Instances!Q151))</f>
        <v>0</v>
      </c>
      <c r="R151" s="1" cm="1">
        <f t="array" ref="R151">_xlfn.SWITCH($A$2,"average", AVERAGE(Instances!R151:Instances!R151),"median", MEDIAN(Instances!R151:Instances!R151),"min", MIN(Instances!R151:Instances!R151),"max", MAX(Instances!R151:Instances!R151),"diff", MAX(Instances!R151:Instances!R151)-MIN(Instances!R151:Instances!R151))</f>
        <v>0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 cm="1">
        <f t="array" ref="B152">_xlfn.SWITCH($A$2,"average", AVERAGE(Instances!B152:Instances!B152),"median", MEDIAN(Instances!B152:Instances!B152),"min", MIN(Instances!B152:Instances!B152),"max", MAX(Instances!B152:Instances!B152),"diff", MAX(Instances!B152:Instances!B152)-MIN(Instances!B152:Instances!B152))</f>
        <v>0</v>
      </c>
      <c r="C152" s="1" cm="1">
        <f t="array" ref="C152">_xlfn.SWITCH($A$2,"average", AVERAGE(Instances!C152:Instances!C152),"median", MEDIAN(Instances!C152:Instances!C152),"min", MIN(Instances!C152:Instances!C152),"max", MAX(Instances!C152:Instances!C152),"diff", MAX(Instances!C152:Instances!C152)-MIN(Instances!C152:Instances!C152))</f>
        <v>0</v>
      </c>
      <c r="D152" s="1" cm="1">
        <f t="array" ref="D152">_xlfn.SWITCH($A$2,"average", AVERAGE(Instances!D152:Instances!D152),"median", MEDIAN(Instances!D152:Instances!D152),"min", MIN(Instances!D152:Instances!D152),"max", MAX(Instances!D152:Instances!D152),"diff", MAX(Instances!D152:Instances!D152)-MIN(Instances!D152:Instances!D152))</f>
        <v>0</v>
      </c>
      <c r="E152" s="1" cm="1">
        <f t="array" ref="E152">_xlfn.SWITCH($A$2,"average", AVERAGE(Instances!E152:Instances!E152),"median", MEDIAN(Instances!E152:Instances!E152),"min", MIN(Instances!E152:Instances!E152),"max", MAX(Instances!E152:Instances!E152),"diff", MAX(Instances!E152:Instances!E152)-MIN(Instances!E152:Instances!E152))</f>
        <v>0</v>
      </c>
      <c r="F152" s="1" cm="1">
        <f t="array" ref="F152">_xlfn.SWITCH($A$2,"average", AVERAGE(Instances!F152:Instances!F152),"median", MEDIAN(Instances!F152:Instances!F152),"min", MIN(Instances!F152:Instances!F152),"max", MAX(Instances!F152:Instances!F152),"diff", MAX(Instances!F152:Instances!F152)-MIN(Instances!F152:Instances!F152))</f>
        <v>0</v>
      </c>
      <c r="G152" s="1" cm="1">
        <f t="array" ref="G152">_xlfn.SWITCH($A$2,"average", AVERAGE(Instances!G152:Instances!G152),"median", MEDIAN(Instances!G152:Instances!G152),"min", MIN(Instances!G152:Instances!G152),"max", MAX(Instances!G152:Instances!G152),"diff", MAX(Instances!G152:Instances!G152)-MIN(Instances!G152:Instances!G152))</f>
        <v>0</v>
      </c>
      <c r="H152" s="1" cm="1">
        <f t="array" ref="H152">_xlfn.SWITCH($A$2,"average", AVERAGE(Instances!H152:Instances!H152),"median", MEDIAN(Instances!H152:Instances!H152),"min", MIN(Instances!H152:Instances!H152),"max", MAX(Instances!H152:Instances!H152),"diff", MAX(Instances!H152:Instances!H152)-MIN(Instances!H152:Instances!H152))</f>
        <v>0</v>
      </c>
      <c r="I152" s="1" cm="1">
        <f t="array" ref="I152">_xlfn.SWITCH($A$2,"average", AVERAGE(Instances!I152:Instances!I152),"median", MEDIAN(Instances!I152:Instances!I152),"min", MIN(Instances!I152:Instances!I152),"max", MAX(Instances!I152:Instances!I152),"diff", MAX(Instances!I152:Instances!I152)-MIN(Instances!I152:Instances!I152))</f>
        <v>0</v>
      </c>
      <c r="J152" s="1" cm="1">
        <f t="array" ref="J152">_xlfn.SWITCH($A$2,"average", AVERAGE(Instances!J152:Instances!J152),"median", MEDIAN(Instances!J152:Instances!J152),"min", MIN(Instances!J152:Instances!J152),"max", MAX(Instances!J152:Instances!J152),"diff", MAX(Instances!J152:Instances!J152)-MIN(Instances!J152:Instances!J152))</f>
        <v>0</v>
      </c>
      <c r="K152" s="1" cm="1">
        <f t="array" ref="K152">_xlfn.SWITCH($A$2,"average", AVERAGE(Instances!K152:Instances!K152),"median", MEDIAN(Instances!K152:Instances!K152),"min", MIN(Instances!K152:Instances!K152),"max", MAX(Instances!K152:Instances!K152),"diff", MAX(Instances!K152:Instances!K152)-MIN(Instances!K152:Instances!K152))</f>
        <v>0</v>
      </c>
      <c r="L152" s="1"/>
      <c r="M152" s="1" cm="1">
        <f t="array" ref="M152">_xlfn.SWITCH($A$2,"average", AVERAGE(Instances!M152:Instances!M152),"median", MEDIAN(Instances!M152:Instances!M152),"min", MIN(Instances!M152:Instances!M152),"max", MAX(Instances!M152:Instances!M152),"diff", MAX(Instances!M152:Instances!M152)-MIN(Instances!M152:Instances!M152))</f>
        <v>0</v>
      </c>
      <c r="N152" s="1" cm="1">
        <f t="array" ref="N152">_xlfn.SWITCH($A$2,"average", AVERAGE(Instances!N152:Instances!N152),"median", MEDIAN(Instances!N152:Instances!N152),"min", MIN(Instances!N152:Instances!N152),"max", MAX(Instances!N152:Instances!N152),"diff", MAX(Instances!N152:Instances!N152)-MIN(Instances!N152:Instances!N152))</f>
        <v>0</v>
      </c>
      <c r="O152" s="1"/>
      <c r="P152" s="1" cm="1">
        <f t="array" ref="P152">_xlfn.SWITCH($A$2,"average", AVERAGE(Instances!P152:Instances!P152),"median", MEDIAN(Instances!P152:Instances!P152),"min", MIN(Instances!P152:Instances!P152),"max", MAX(Instances!P152:Instances!P152),"diff", MAX(Instances!P152:Instances!P152)-MIN(Instances!P152:Instances!P152))</f>
        <v>0</v>
      </c>
      <c r="Q152" s="1" cm="1">
        <f t="array" ref="Q152">_xlfn.SWITCH($A$2,"average", AVERAGE(Instances!Q152:Instances!Q152),"median", MEDIAN(Instances!Q152:Instances!Q152),"min", MIN(Instances!Q152:Instances!Q152),"max", MAX(Instances!Q152:Instances!Q152),"diff", MAX(Instances!Q152:Instances!Q152)-MIN(Instances!Q152:Instances!Q152))</f>
        <v>0</v>
      </c>
      <c r="R152" s="1" cm="1">
        <f t="array" ref="R152">_xlfn.SWITCH($A$2,"average", AVERAGE(Instances!R152:Instances!R152),"median", MEDIAN(Instances!R152:Instances!R152),"min", MIN(Instances!R152:Instances!R152),"max", MAX(Instances!R152:Instances!R152),"diff", MAX(Instances!R152:Instances!R152)-MIN(Instances!R152:Instances!R152))</f>
        <v>0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 cm="1">
        <f t="array" ref="B153">_xlfn.SWITCH($A$2,"average", AVERAGE(Instances!B153:Instances!B153),"median", MEDIAN(Instances!B153:Instances!B153),"min", MIN(Instances!B153:Instances!B153),"max", MAX(Instances!B153:Instances!B153),"diff", MAX(Instances!B153:Instances!B153)-MIN(Instances!B153:Instances!B153))</f>
        <v>0</v>
      </c>
      <c r="C153" s="1" cm="1">
        <f t="array" ref="C153">_xlfn.SWITCH($A$2,"average", AVERAGE(Instances!C153:Instances!C153),"median", MEDIAN(Instances!C153:Instances!C153),"min", MIN(Instances!C153:Instances!C153),"max", MAX(Instances!C153:Instances!C153),"diff", MAX(Instances!C153:Instances!C153)-MIN(Instances!C153:Instances!C153))</f>
        <v>0</v>
      </c>
      <c r="D153" s="1" cm="1">
        <f t="array" ref="D153">_xlfn.SWITCH($A$2,"average", AVERAGE(Instances!D153:Instances!D153),"median", MEDIAN(Instances!D153:Instances!D153),"min", MIN(Instances!D153:Instances!D153),"max", MAX(Instances!D153:Instances!D153),"diff", MAX(Instances!D153:Instances!D153)-MIN(Instances!D153:Instances!D153))</f>
        <v>0</v>
      </c>
      <c r="E153" s="1" cm="1">
        <f t="array" ref="E153">_xlfn.SWITCH($A$2,"average", AVERAGE(Instances!E153:Instances!E153),"median", MEDIAN(Instances!E153:Instances!E153),"min", MIN(Instances!E153:Instances!E153),"max", MAX(Instances!E153:Instances!E153),"diff", MAX(Instances!E153:Instances!E153)-MIN(Instances!E153:Instances!E153))</f>
        <v>0</v>
      </c>
      <c r="F153" s="1" cm="1">
        <f t="array" ref="F153">_xlfn.SWITCH($A$2,"average", AVERAGE(Instances!F153:Instances!F153),"median", MEDIAN(Instances!F153:Instances!F153),"min", MIN(Instances!F153:Instances!F153),"max", MAX(Instances!F153:Instances!F153),"diff", MAX(Instances!F153:Instances!F153)-MIN(Instances!F153:Instances!F153))</f>
        <v>0</v>
      </c>
      <c r="G153" s="1" cm="1">
        <f t="array" ref="G153">_xlfn.SWITCH($A$2,"average", AVERAGE(Instances!G153:Instances!G153),"median", MEDIAN(Instances!G153:Instances!G153),"min", MIN(Instances!G153:Instances!G153),"max", MAX(Instances!G153:Instances!G153),"diff", MAX(Instances!G153:Instances!G153)-MIN(Instances!G153:Instances!G153))</f>
        <v>0</v>
      </c>
      <c r="H153" s="1" cm="1">
        <f t="array" ref="H153">_xlfn.SWITCH($A$2,"average", AVERAGE(Instances!H153:Instances!H153),"median", MEDIAN(Instances!H153:Instances!H153),"min", MIN(Instances!H153:Instances!H153),"max", MAX(Instances!H153:Instances!H153),"diff", MAX(Instances!H153:Instances!H153)-MIN(Instances!H153:Instances!H153))</f>
        <v>0</v>
      </c>
      <c r="I153" s="1" cm="1">
        <f t="array" ref="I153">_xlfn.SWITCH($A$2,"average", AVERAGE(Instances!I153:Instances!I153),"median", MEDIAN(Instances!I153:Instances!I153),"min", MIN(Instances!I153:Instances!I153),"max", MAX(Instances!I153:Instances!I153),"diff", MAX(Instances!I153:Instances!I153)-MIN(Instances!I153:Instances!I153))</f>
        <v>0</v>
      </c>
      <c r="J153" s="1" cm="1">
        <f t="array" ref="J153">_xlfn.SWITCH($A$2,"average", AVERAGE(Instances!J153:Instances!J153),"median", MEDIAN(Instances!J153:Instances!J153),"min", MIN(Instances!J153:Instances!J153),"max", MAX(Instances!J153:Instances!J153),"diff", MAX(Instances!J153:Instances!J153)-MIN(Instances!J153:Instances!J153))</f>
        <v>0</v>
      </c>
      <c r="K153" s="1" cm="1">
        <f t="array" ref="K153">_xlfn.SWITCH($A$2,"average", AVERAGE(Instances!K153:Instances!K153),"median", MEDIAN(Instances!K153:Instances!K153),"min", MIN(Instances!K153:Instances!K153),"max", MAX(Instances!K153:Instances!K153),"diff", MAX(Instances!K153:Instances!K153)-MIN(Instances!K153:Instances!K153))</f>
        <v>0</v>
      </c>
      <c r="L153" s="1"/>
      <c r="M153" s="1" cm="1">
        <f t="array" ref="M153">_xlfn.SWITCH($A$2,"average", AVERAGE(Instances!M153:Instances!M153),"median", MEDIAN(Instances!M153:Instances!M153),"min", MIN(Instances!M153:Instances!M153),"max", MAX(Instances!M153:Instances!M153),"diff", MAX(Instances!M153:Instances!M153)-MIN(Instances!M153:Instances!M153))</f>
        <v>0</v>
      </c>
      <c r="N153" s="1" cm="1">
        <f t="array" ref="N153">_xlfn.SWITCH($A$2,"average", AVERAGE(Instances!N153:Instances!N153),"median", MEDIAN(Instances!N153:Instances!N153),"min", MIN(Instances!N153:Instances!N153),"max", MAX(Instances!N153:Instances!N153),"diff", MAX(Instances!N153:Instances!N153)-MIN(Instances!N153:Instances!N153))</f>
        <v>0</v>
      </c>
      <c r="O153" s="1"/>
      <c r="P153" s="1" cm="1">
        <f t="array" ref="P153">_xlfn.SWITCH($A$2,"average", AVERAGE(Instances!P153:Instances!P153),"median", MEDIAN(Instances!P153:Instances!P153),"min", MIN(Instances!P153:Instances!P153),"max", MAX(Instances!P153:Instances!P153),"diff", MAX(Instances!P153:Instances!P153)-MIN(Instances!P153:Instances!P153))</f>
        <v>0</v>
      </c>
      <c r="Q153" s="1" cm="1">
        <f t="array" ref="Q153">_xlfn.SWITCH($A$2,"average", AVERAGE(Instances!Q153:Instances!Q153),"median", MEDIAN(Instances!Q153:Instances!Q153),"min", MIN(Instances!Q153:Instances!Q153),"max", MAX(Instances!Q153:Instances!Q153),"diff", MAX(Instances!Q153:Instances!Q153)-MIN(Instances!Q153:Instances!Q153))</f>
        <v>0</v>
      </c>
      <c r="R153" s="1" cm="1">
        <f t="array" ref="R153">_xlfn.SWITCH($A$2,"average", AVERAGE(Instances!R153:Instances!R153),"median", MEDIAN(Instances!R153:Instances!R153),"min", MIN(Instances!R153:Instances!R153),"max", MAX(Instances!R153:Instances!R153),"diff", MAX(Instances!R153:Instances!R153)-MIN(Instances!R153:Instances!R153))</f>
        <v>0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 cm="1">
        <f t="array" ref="B154">_xlfn.SWITCH($A$2,"average", AVERAGE(Instances!B154:Instances!B154),"median", MEDIAN(Instances!B154:Instances!B154),"min", MIN(Instances!B154:Instances!B154),"max", MAX(Instances!B154:Instances!B154),"diff", MAX(Instances!B154:Instances!B154)-MIN(Instances!B154:Instances!B154))</f>
        <v>0</v>
      </c>
      <c r="C154" s="1" cm="1">
        <f t="array" ref="C154">_xlfn.SWITCH($A$2,"average", AVERAGE(Instances!C154:Instances!C154),"median", MEDIAN(Instances!C154:Instances!C154),"min", MIN(Instances!C154:Instances!C154),"max", MAX(Instances!C154:Instances!C154),"diff", MAX(Instances!C154:Instances!C154)-MIN(Instances!C154:Instances!C154))</f>
        <v>0</v>
      </c>
      <c r="D154" s="1" cm="1">
        <f t="array" ref="D154">_xlfn.SWITCH($A$2,"average", AVERAGE(Instances!D154:Instances!D154),"median", MEDIAN(Instances!D154:Instances!D154),"min", MIN(Instances!D154:Instances!D154),"max", MAX(Instances!D154:Instances!D154),"diff", MAX(Instances!D154:Instances!D154)-MIN(Instances!D154:Instances!D154))</f>
        <v>0</v>
      </c>
      <c r="E154" s="1" cm="1">
        <f t="array" ref="E154">_xlfn.SWITCH($A$2,"average", AVERAGE(Instances!E154:Instances!E154),"median", MEDIAN(Instances!E154:Instances!E154),"min", MIN(Instances!E154:Instances!E154),"max", MAX(Instances!E154:Instances!E154),"diff", MAX(Instances!E154:Instances!E154)-MIN(Instances!E154:Instances!E154))</f>
        <v>0</v>
      </c>
      <c r="F154" s="1" cm="1">
        <f t="array" ref="F154">_xlfn.SWITCH($A$2,"average", AVERAGE(Instances!F154:Instances!F154),"median", MEDIAN(Instances!F154:Instances!F154),"min", MIN(Instances!F154:Instances!F154),"max", MAX(Instances!F154:Instances!F154),"diff", MAX(Instances!F154:Instances!F154)-MIN(Instances!F154:Instances!F154))</f>
        <v>0</v>
      </c>
      <c r="G154" s="1" cm="1">
        <f t="array" ref="G154">_xlfn.SWITCH($A$2,"average", AVERAGE(Instances!G154:Instances!G154),"median", MEDIAN(Instances!G154:Instances!G154),"min", MIN(Instances!G154:Instances!G154),"max", MAX(Instances!G154:Instances!G154),"diff", MAX(Instances!G154:Instances!G154)-MIN(Instances!G154:Instances!G154))</f>
        <v>0</v>
      </c>
      <c r="H154" s="1" cm="1">
        <f t="array" ref="H154">_xlfn.SWITCH($A$2,"average", AVERAGE(Instances!H154:Instances!H154),"median", MEDIAN(Instances!H154:Instances!H154),"min", MIN(Instances!H154:Instances!H154),"max", MAX(Instances!H154:Instances!H154),"diff", MAX(Instances!H154:Instances!H154)-MIN(Instances!H154:Instances!H154))</f>
        <v>0</v>
      </c>
      <c r="I154" s="1" cm="1">
        <f t="array" ref="I154">_xlfn.SWITCH($A$2,"average", AVERAGE(Instances!I154:Instances!I154),"median", MEDIAN(Instances!I154:Instances!I154),"min", MIN(Instances!I154:Instances!I154),"max", MAX(Instances!I154:Instances!I154),"diff", MAX(Instances!I154:Instances!I154)-MIN(Instances!I154:Instances!I154))</f>
        <v>0</v>
      </c>
      <c r="J154" s="1" cm="1">
        <f t="array" ref="J154">_xlfn.SWITCH($A$2,"average", AVERAGE(Instances!J154:Instances!J154),"median", MEDIAN(Instances!J154:Instances!J154),"min", MIN(Instances!J154:Instances!J154),"max", MAX(Instances!J154:Instances!J154),"diff", MAX(Instances!J154:Instances!J154)-MIN(Instances!J154:Instances!J154))</f>
        <v>0</v>
      </c>
      <c r="K154" s="1" cm="1">
        <f t="array" ref="K154">_xlfn.SWITCH($A$2,"average", AVERAGE(Instances!K154:Instances!K154),"median", MEDIAN(Instances!K154:Instances!K154),"min", MIN(Instances!K154:Instances!K154),"max", MAX(Instances!K154:Instances!K154),"diff", MAX(Instances!K154:Instances!K154)-MIN(Instances!K154:Instances!K154))</f>
        <v>0</v>
      </c>
      <c r="L154" s="1"/>
      <c r="M154" s="1" cm="1">
        <f t="array" ref="M154">_xlfn.SWITCH($A$2,"average", AVERAGE(Instances!M154:Instances!M154),"median", MEDIAN(Instances!M154:Instances!M154),"min", MIN(Instances!M154:Instances!M154),"max", MAX(Instances!M154:Instances!M154),"diff", MAX(Instances!M154:Instances!M154)-MIN(Instances!M154:Instances!M154))</f>
        <v>0</v>
      </c>
      <c r="N154" s="1" cm="1">
        <f t="array" ref="N154">_xlfn.SWITCH($A$2,"average", AVERAGE(Instances!N154:Instances!N154),"median", MEDIAN(Instances!N154:Instances!N154),"min", MIN(Instances!N154:Instances!N154),"max", MAX(Instances!N154:Instances!N154),"diff", MAX(Instances!N154:Instances!N154)-MIN(Instances!N154:Instances!N154))</f>
        <v>0</v>
      </c>
      <c r="O154" s="1"/>
      <c r="P154" s="1" cm="1">
        <f t="array" ref="P154">_xlfn.SWITCH($A$2,"average", AVERAGE(Instances!P154:Instances!P154),"median", MEDIAN(Instances!P154:Instances!P154),"min", MIN(Instances!P154:Instances!P154),"max", MAX(Instances!P154:Instances!P154),"diff", MAX(Instances!P154:Instances!P154)-MIN(Instances!P154:Instances!P154))</f>
        <v>0</v>
      </c>
      <c r="Q154" s="1" cm="1">
        <f t="array" ref="Q154">_xlfn.SWITCH($A$2,"average", AVERAGE(Instances!Q154:Instances!Q154),"median", MEDIAN(Instances!Q154:Instances!Q154),"min", MIN(Instances!Q154:Instances!Q154),"max", MAX(Instances!Q154:Instances!Q154),"diff", MAX(Instances!Q154:Instances!Q154)-MIN(Instances!Q154:Instances!Q154))</f>
        <v>0</v>
      </c>
      <c r="R154" s="1" cm="1">
        <f t="array" ref="R154">_xlfn.SWITCH($A$2,"average", AVERAGE(Instances!R154:Instances!R154),"median", MEDIAN(Instances!R154:Instances!R154),"min", MIN(Instances!R154:Instances!R154),"max", MAX(Instances!R154:Instances!R154),"diff", MAX(Instances!R154:Instances!R154)-MIN(Instances!R154:Instances!R154))</f>
        <v>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 cm="1">
        <f t="array" ref="B155">_xlfn.SWITCH($A$2,"average", AVERAGE(Instances!B155:Instances!B155),"median", MEDIAN(Instances!B155:Instances!B155),"min", MIN(Instances!B155:Instances!B155),"max", MAX(Instances!B155:Instances!B155),"diff", MAX(Instances!B155:Instances!B155)-MIN(Instances!B155:Instances!B155))</f>
        <v>0</v>
      </c>
      <c r="C155" s="1" cm="1">
        <f t="array" ref="C155">_xlfn.SWITCH($A$2,"average", AVERAGE(Instances!C155:Instances!C155),"median", MEDIAN(Instances!C155:Instances!C155),"min", MIN(Instances!C155:Instances!C155),"max", MAX(Instances!C155:Instances!C155),"diff", MAX(Instances!C155:Instances!C155)-MIN(Instances!C155:Instances!C155))</f>
        <v>0</v>
      </c>
      <c r="D155" s="1" cm="1">
        <f t="array" ref="D155">_xlfn.SWITCH($A$2,"average", AVERAGE(Instances!D155:Instances!D155),"median", MEDIAN(Instances!D155:Instances!D155),"min", MIN(Instances!D155:Instances!D155),"max", MAX(Instances!D155:Instances!D155),"diff", MAX(Instances!D155:Instances!D155)-MIN(Instances!D155:Instances!D155))</f>
        <v>0</v>
      </c>
      <c r="E155" s="1" cm="1">
        <f t="array" ref="E155">_xlfn.SWITCH($A$2,"average", AVERAGE(Instances!E155:Instances!E155),"median", MEDIAN(Instances!E155:Instances!E155),"min", MIN(Instances!E155:Instances!E155),"max", MAX(Instances!E155:Instances!E155),"diff", MAX(Instances!E155:Instances!E155)-MIN(Instances!E155:Instances!E155))</f>
        <v>0</v>
      </c>
      <c r="F155" s="1" cm="1">
        <f t="array" ref="F155">_xlfn.SWITCH($A$2,"average", AVERAGE(Instances!F155:Instances!F155),"median", MEDIAN(Instances!F155:Instances!F155),"min", MIN(Instances!F155:Instances!F155),"max", MAX(Instances!F155:Instances!F155),"diff", MAX(Instances!F155:Instances!F155)-MIN(Instances!F155:Instances!F155))</f>
        <v>0</v>
      </c>
      <c r="G155" s="1" cm="1">
        <f t="array" ref="G155">_xlfn.SWITCH($A$2,"average", AVERAGE(Instances!G155:Instances!G155),"median", MEDIAN(Instances!G155:Instances!G155),"min", MIN(Instances!G155:Instances!G155),"max", MAX(Instances!G155:Instances!G155),"diff", MAX(Instances!G155:Instances!G155)-MIN(Instances!G155:Instances!G155))</f>
        <v>0</v>
      </c>
      <c r="H155" s="1" cm="1">
        <f t="array" ref="H155">_xlfn.SWITCH($A$2,"average", AVERAGE(Instances!H155:Instances!H155),"median", MEDIAN(Instances!H155:Instances!H155),"min", MIN(Instances!H155:Instances!H155),"max", MAX(Instances!H155:Instances!H155),"diff", MAX(Instances!H155:Instances!H155)-MIN(Instances!H155:Instances!H155))</f>
        <v>0</v>
      </c>
      <c r="I155" s="1" cm="1">
        <f t="array" ref="I155">_xlfn.SWITCH($A$2,"average", AVERAGE(Instances!I155:Instances!I155),"median", MEDIAN(Instances!I155:Instances!I155),"min", MIN(Instances!I155:Instances!I155),"max", MAX(Instances!I155:Instances!I155),"diff", MAX(Instances!I155:Instances!I155)-MIN(Instances!I155:Instances!I155))</f>
        <v>0</v>
      </c>
      <c r="J155" s="1" cm="1">
        <f t="array" ref="J155">_xlfn.SWITCH($A$2,"average", AVERAGE(Instances!J155:Instances!J155),"median", MEDIAN(Instances!J155:Instances!J155),"min", MIN(Instances!J155:Instances!J155),"max", MAX(Instances!J155:Instances!J155),"diff", MAX(Instances!J155:Instances!J155)-MIN(Instances!J155:Instances!J155))</f>
        <v>0</v>
      </c>
      <c r="K155" s="1" cm="1">
        <f t="array" ref="K155">_xlfn.SWITCH($A$2,"average", AVERAGE(Instances!K155:Instances!K155),"median", MEDIAN(Instances!K155:Instances!K155),"min", MIN(Instances!K155:Instances!K155),"max", MAX(Instances!K155:Instances!K155),"diff", MAX(Instances!K155:Instances!K155)-MIN(Instances!K155:Instances!K155))</f>
        <v>0</v>
      </c>
      <c r="L155" s="1"/>
      <c r="M155" s="1" cm="1">
        <f t="array" ref="M155">_xlfn.SWITCH($A$2,"average", AVERAGE(Instances!M155:Instances!M155),"median", MEDIAN(Instances!M155:Instances!M155),"min", MIN(Instances!M155:Instances!M155),"max", MAX(Instances!M155:Instances!M155),"diff", MAX(Instances!M155:Instances!M155)-MIN(Instances!M155:Instances!M155))</f>
        <v>0</v>
      </c>
      <c r="N155" s="1" cm="1">
        <f t="array" ref="N155">_xlfn.SWITCH($A$2,"average", AVERAGE(Instances!N155:Instances!N155),"median", MEDIAN(Instances!N155:Instances!N155),"min", MIN(Instances!N155:Instances!N155),"max", MAX(Instances!N155:Instances!N155),"diff", MAX(Instances!N155:Instances!N155)-MIN(Instances!N155:Instances!N155))</f>
        <v>0</v>
      </c>
      <c r="O155" s="1"/>
      <c r="P155" s="1" cm="1">
        <f t="array" ref="P155">_xlfn.SWITCH($A$2,"average", AVERAGE(Instances!P155:Instances!P155),"median", MEDIAN(Instances!P155:Instances!P155),"min", MIN(Instances!P155:Instances!P155),"max", MAX(Instances!P155:Instances!P155),"diff", MAX(Instances!P155:Instances!P155)-MIN(Instances!P155:Instances!P155))</f>
        <v>0</v>
      </c>
      <c r="Q155" s="1" cm="1">
        <f t="array" ref="Q155">_xlfn.SWITCH($A$2,"average", AVERAGE(Instances!Q155:Instances!Q155),"median", MEDIAN(Instances!Q155:Instances!Q155),"min", MIN(Instances!Q155:Instances!Q155),"max", MAX(Instances!Q155:Instances!Q155),"diff", MAX(Instances!Q155:Instances!Q155)-MIN(Instances!Q155:Instances!Q155))</f>
        <v>0</v>
      </c>
      <c r="R155" s="1" cm="1">
        <f t="array" ref="R155">_xlfn.SWITCH($A$2,"average", AVERAGE(Instances!R155:Instances!R155),"median", MEDIAN(Instances!R155:Instances!R155),"min", MIN(Instances!R155:Instances!R155),"max", MAX(Instances!R155:Instances!R155),"diff", MAX(Instances!R155:Instances!R155)-MIN(Instances!R155:Instances!R155))</f>
        <v>0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 cm="1">
        <f t="array" ref="B156">_xlfn.SWITCH($A$2,"average", AVERAGE(Instances!B156:Instances!B156),"median", MEDIAN(Instances!B156:Instances!B156),"min", MIN(Instances!B156:Instances!B156),"max", MAX(Instances!B156:Instances!B156),"diff", MAX(Instances!B156:Instances!B156)-MIN(Instances!B156:Instances!B156))</f>
        <v>0</v>
      </c>
      <c r="C156" s="1" cm="1">
        <f t="array" ref="C156">_xlfn.SWITCH($A$2,"average", AVERAGE(Instances!C156:Instances!C156),"median", MEDIAN(Instances!C156:Instances!C156),"min", MIN(Instances!C156:Instances!C156),"max", MAX(Instances!C156:Instances!C156),"diff", MAX(Instances!C156:Instances!C156)-MIN(Instances!C156:Instances!C156))</f>
        <v>0</v>
      </c>
      <c r="D156" s="1" cm="1">
        <f t="array" ref="D156">_xlfn.SWITCH($A$2,"average", AVERAGE(Instances!D156:Instances!D156),"median", MEDIAN(Instances!D156:Instances!D156),"min", MIN(Instances!D156:Instances!D156),"max", MAX(Instances!D156:Instances!D156),"diff", MAX(Instances!D156:Instances!D156)-MIN(Instances!D156:Instances!D156))</f>
        <v>0</v>
      </c>
      <c r="E156" s="1" cm="1">
        <f t="array" ref="E156">_xlfn.SWITCH($A$2,"average", AVERAGE(Instances!E156:Instances!E156),"median", MEDIAN(Instances!E156:Instances!E156),"min", MIN(Instances!E156:Instances!E156),"max", MAX(Instances!E156:Instances!E156),"diff", MAX(Instances!E156:Instances!E156)-MIN(Instances!E156:Instances!E156))</f>
        <v>0</v>
      </c>
      <c r="F156" s="1" cm="1">
        <f t="array" ref="F156">_xlfn.SWITCH($A$2,"average", AVERAGE(Instances!F156:Instances!F156),"median", MEDIAN(Instances!F156:Instances!F156),"min", MIN(Instances!F156:Instances!F156),"max", MAX(Instances!F156:Instances!F156),"diff", MAX(Instances!F156:Instances!F156)-MIN(Instances!F156:Instances!F156))</f>
        <v>0</v>
      </c>
      <c r="G156" s="1" cm="1">
        <f t="array" ref="G156">_xlfn.SWITCH($A$2,"average", AVERAGE(Instances!G156:Instances!G156),"median", MEDIAN(Instances!G156:Instances!G156),"min", MIN(Instances!G156:Instances!G156),"max", MAX(Instances!G156:Instances!G156),"diff", MAX(Instances!G156:Instances!G156)-MIN(Instances!G156:Instances!G156))</f>
        <v>0</v>
      </c>
      <c r="H156" s="1" cm="1">
        <f t="array" ref="H156">_xlfn.SWITCH($A$2,"average", AVERAGE(Instances!H156:Instances!H156),"median", MEDIAN(Instances!H156:Instances!H156),"min", MIN(Instances!H156:Instances!H156),"max", MAX(Instances!H156:Instances!H156),"diff", MAX(Instances!H156:Instances!H156)-MIN(Instances!H156:Instances!H156))</f>
        <v>0</v>
      </c>
      <c r="I156" s="1" cm="1">
        <f t="array" ref="I156">_xlfn.SWITCH($A$2,"average", AVERAGE(Instances!I156:Instances!I156),"median", MEDIAN(Instances!I156:Instances!I156),"min", MIN(Instances!I156:Instances!I156),"max", MAX(Instances!I156:Instances!I156),"diff", MAX(Instances!I156:Instances!I156)-MIN(Instances!I156:Instances!I156))</f>
        <v>0</v>
      </c>
      <c r="J156" s="1" cm="1">
        <f t="array" ref="J156">_xlfn.SWITCH($A$2,"average", AVERAGE(Instances!J156:Instances!J156),"median", MEDIAN(Instances!J156:Instances!J156),"min", MIN(Instances!J156:Instances!J156),"max", MAX(Instances!J156:Instances!J156),"diff", MAX(Instances!J156:Instances!J156)-MIN(Instances!J156:Instances!J156))</f>
        <v>0</v>
      </c>
      <c r="K156" s="1" cm="1">
        <f t="array" ref="K156">_xlfn.SWITCH($A$2,"average", AVERAGE(Instances!K156:Instances!K156),"median", MEDIAN(Instances!K156:Instances!K156),"min", MIN(Instances!K156:Instances!K156),"max", MAX(Instances!K156:Instances!K156),"diff", MAX(Instances!K156:Instances!K156)-MIN(Instances!K156:Instances!K156))</f>
        <v>0</v>
      </c>
      <c r="L156" s="1"/>
      <c r="M156" s="1" cm="1">
        <f t="array" ref="M156">_xlfn.SWITCH($A$2,"average", AVERAGE(Instances!M156:Instances!M156),"median", MEDIAN(Instances!M156:Instances!M156),"min", MIN(Instances!M156:Instances!M156),"max", MAX(Instances!M156:Instances!M156),"diff", MAX(Instances!M156:Instances!M156)-MIN(Instances!M156:Instances!M156))</f>
        <v>0</v>
      </c>
      <c r="N156" s="1" cm="1">
        <f t="array" ref="N156">_xlfn.SWITCH($A$2,"average", AVERAGE(Instances!N156:Instances!N156),"median", MEDIAN(Instances!N156:Instances!N156),"min", MIN(Instances!N156:Instances!N156),"max", MAX(Instances!N156:Instances!N156),"diff", MAX(Instances!N156:Instances!N156)-MIN(Instances!N156:Instances!N156))</f>
        <v>0</v>
      </c>
      <c r="O156" s="1"/>
      <c r="P156" s="1" cm="1">
        <f t="array" ref="P156">_xlfn.SWITCH($A$2,"average", AVERAGE(Instances!P156:Instances!P156),"median", MEDIAN(Instances!P156:Instances!P156),"min", MIN(Instances!P156:Instances!P156),"max", MAX(Instances!P156:Instances!P156),"diff", MAX(Instances!P156:Instances!P156)-MIN(Instances!P156:Instances!P156))</f>
        <v>0</v>
      </c>
      <c r="Q156" s="1" cm="1">
        <f t="array" ref="Q156">_xlfn.SWITCH($A$2,"average", AVERAGE(Instances!Q156:Instances!Q156),"median", MEDIAN(Instances!Q156:Instances!Q156),"min", MIN(Instances!Q156:Instances!Q156),"max", MAX(Instances!Q156:Instances!Q156),"diff", MAX(Instances!Q156:Instances!Q156)-MIN(Instances!Q156:Instances!Q156))</f>
        <v>0</v>
      </c>
      <c r="R156" s="1" cm="1">
        <f t="array" ref="R156">_xlfn.SWITCH($A$2,"average", AVERAGE(Instances!R156:Instances!R156),"median", MEDIAN(Instances!R156:Instances!R156),"min", MIN(Instances!R156:Instances!R156),"max", MAX(Instances!R156:Instances!R156),"diff", MAX(Instances!R156:Instances!R156)-MIN(Instances!R156:Instances!R156))</f>
        <v>0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 cm="1">
        <f t="array" ref="B157">_xlfn.SWITCH($A$2,"average", AVERAGE(Instances!B157:Instances!B157),"median", MEDIAN(Instances!B157:Instances!B157),"min", MIN(Instances!B157:Instances!B157),"max", MAX(Instances!B157:Instances!B157),"diff", MAX(Instances!B157:Instances!B157)-MIN(Instances!B157:Instances!B157))</f>
        <v>0</v>
      </c>
      <c r="C157" s="1" cm="1">
        <f t="array" ref="C157">_xlfn.SWITCH($A$2,"average", AVERAGE(Instances!C157:Instances!C157),"median", MEDIAN(Instances!C157:Instances!C157),"min", MIN(Instances!C157:Instances!C157),"max", MAX(Instances!C157:Instances!C157),"diff", MAX(Instances!C157:Instances!C157)-MIN(Instances!C157:Instances!C157))</f>
        <v>0</v>
      </c>
      <c r="D157" s="1" cm="1">
        <f t="array" ref="D157">_xlfn.SWITCH($A$2,"average", AVERAGE(Instances!D157:Instances!D157),"median", MEDIAN(Instances!D157:Instances!D157),"min", MIN(Instances!D157:Instances!D157),"max", MAX(Instances!D157:Instances!D157),"diff", MAX(Instances!D157:Instances!D157)-MIN(Instances!D157:Instances!D157))</f>
        <v>0</v>
      </c>
      <c r="E157" s="1" cm="1">
        <f t="array" ref="E157">_xlfn.SWITCH($A$2,"average", AVERAGE(Instances!E157:Instances!E157),"median", MEDIAN(Instances!E157:Instances!E157),"min", MIN(Instances!E157:Instances!E157),"max", MAX(Instances!E157:Instances!E157),"diff", MAX(Instances!E157:Instances!E157)-MIN(Instances!E157:Instances!E157))</f>
        <v>0</v>
      </c>
      <c r="F157" s="1" cm="1">
        <f t="array" ref="F157">_xlfn.SWITCH($A$2,"average", AVERAGE(Instances!F157:Instances!F157),"median", MEDIAN(Instances!F157:Instances!F157),"min", MIN(Instances!F157:Instances!F157),"max", MAX(Instances!F157:Instances!F157),"diff", MAX(Instances!F157:Instances!F157)-MIN(Instances!F157:Instances!F157))</f>
        <v>0</v>
      </c>
      <c r="G157" s="1" cm="1">
        <f t="array" ref="G157">_xlfn.SWITCH($A$2,"average", AVERAGE(Instances!G157:Instances!G157),"median", MEDIAN(Instances!G157:Instances!G157),"min", MIN(Instances!G157:Instances!G157),"max", MAX(Instances!G157:Instances!G157),"diff", MAX(Instances!G157:Instances!G157)-MIN(Instances!G157:Instances!G157))</f>
        <v>0</v>
      </c>
      <c r="H157" s="1" cm="1">
        <f t="array" ref="H157">_xlfn.SWITCH($A$2,"average", AVERAGE(Instances!H157:Instances!H157),"median", MEDIAN(Instances!H157:Instances!H157),"min", MIN(Instances!H157:Instances!H157),"max", MAX(Instances!H157:Instances!H157),"diff", MAX(Instances!H157:Instances!H157)-MIN(Instances!H157:Instances!H157))</f>
        <v>0</v>
      </c>
      <c r="I157" s="1" cm="1">
        <f t="array" ref="I157">_xlfn.SWITCH($A$2,"average", AVERAGE(Instances!I157:Instances!I157),"median", MEDIAN(Instances!I157:Instances!I157),"min", MIN(Instances!I157:Instances!I157),"max", MAX(Instances!I157:Instances!I157),"diff", MAX(Instances!I157:Instances!I157)-MIN(Instances!I157:Instances!I157))</f>
        <v>0</v>
      </c>
      <c r="J157" s="1" cm="1">
        <f t="array" ref="J157">_xlfn.SWITCH($A$2,"average", AVERAGE(Instances!J157:Instances!J157),"median", MEDIAN(Instances!J157:Instances!J157),"min", MIN(Instances!J157:Instances!J157),"max", MAX(Instances!J157:Instances!J157),"diff", MAX(Instances!J157:Instances!J157)-MIN(Instances!J157:Instances!J157))</f>
        <v>0</v>
      </c>
      <c r="K157" s="1" cm="1">
        <f t="array" ref="K157">_xlfn.SWITCH($A$2,"average", AVERAGE(Instances!K157:Instances!K157),"median", MEDIAN(Instances!K157:Instances!K157),"min", MIN(Instances!K157:Instances!K157),"max", MAX(Instances!K157:Instances!K157),"diff", MAX(Instances!K157:Instances!K157)-MIN(Instances!K157:Instances!K157))</f>
        <v>0</v>
      </c>
      <c r="L157" s="1"/>
      <c r="M157" s="1" cm="1">
        <f t="array" ref="M157">_xlfn.SWITCH($A$2,"average", AVERAGE(Instances!M157:Instances!M157),"median", MEDIAN(Instances!M157:Instances!M157),"min", MIN(Instances!M157:Instances!M157),"max", MAX(Instances!M157:Instances!M157),"diff", MAX(Instances!M157:Instances!M157)-MIN(Instances!M157:Instances!M157))</f>
        <v>0</v>
      </c>
      <c r="N157" s="1" cm="1">
        <f t="array" ref="N157">_xlfn.SWITCH($A$2,"average", AVERAGE(Instances!N157:Instances!N157),"median", MEDIAN(Instances!N157:Instances!N157),"min", MIN(Instances!N157:Instances!N157),"max", MAX(Instances!N157:Instances!N157),"diff", MAX(Instances!N157:Instances!N157)-MIN(Instances!N157:Instances!N157))</f>
        <v>0</v>
      </c>
      <c r="O157" s="1"/>
      <c r="P157" s="1" cm="1">
        <f t="array" ref="P157">_xlfn.SWITCH($A$2,"average", AVERAGE(Instances!P157:Instances!P157),"median", MEDIAN(Instances!P157:Instances!P157),"min", MIN(Instances!P157:Instances!P157),"max", MAX(Instances!P157:Instances!P157),"diff", MAX(Instances!P157:Instances!P157)-MIN(Instances!P157:Instances!P157))</f>
        <v>0</v>
      </c>
      <c r="Q157" s="1" cm="1">
        <f t="array" ref="Q157">_xlfn.SWITCH($A$2,"average", AVERAGE(Instances!Q157:Instances!Q157),"median", MEDIAN(Instances!Q157:Instances!Q157),"min", MIN(Instances!Q157:Instances!Q157),"max", MAX(Instances!Q157:Instances!Q157),"diff", MAX(Instances!Q157:Instances!Q157)-MIN(Instances!Q157:Instances!Q157))</f>
        <v>0</v>
      </c>
      <c r="R157" s="1" cm="1">
        <f t="array" ref="R157">_xlfn.SWITCH($A$2,"average", AVERAGE(Instances!R157:Instances!R157),"median", MEDIAN(Instances!R157:Instances!R157),"min", MIN(Instances!R157:Instances!R157),"max", MAX(Instances!R157:Instances!R157),"diff", MAX(Instances!R157:Instances!R157)-MIN(Instances!R157:Instances!R157))</f>
        <v>0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 cm="1">
        <f t="array" ref="B158">_xlfn.SWITCH($A$2,"average", AVERAGE(Instances!B158:Instances!B158),"median", MEDIAN(Instances!B158:Instances!B158),"min", MIN(Instances!B158:Instances!B158),"max", MAX(Instances!B158:Instances!B158),"diff", MAX(Instances!B158:Instances!B158)-MIN(Instances!B158:Instances!B158))</f>
        <v>0</v>
      </c>
      <c r="C158" s="1" cm="1">
        <f t="array" ref="C158">_xlfn.SWITCH($A$2,"average", AVERAGE(Instances!C158:Instances!C158),"median", MEDIAN(Instances!C158:Instances!C158),"min", MIN(Instances!C158:Instances!C158),"max", MAX(Instances!C158:Instances!C158),"diff", MAX(Instances!C158:Instances!C158)-MIN(Instances!C158:Instances!C158))</f>
        <v>0</v>
      </c>
      <c r="D158" s="1" cm="1">
        <f t="array" ref="D158">_xlfn.SWITCH($A$2,"average", AVERAGE(Instances!D158:Instances!D158),"median", MEDIAN(Instances!D158:Instances!D158),"min", MIN(Instances!D158:Instances!D158),"max", MAX(Instances!D158:Instances!D158),"diff", MAX(Instances!D158:Instances!D158)-MIN(Instances!D158:Instances!D158))</f>
        <v>0</v>
      </c>
      <c r="E158" s="1" cm="1">
        <f t="array" ref="E158">_xlfn.SWITCH($A$2,"average", AVERAGE(Instances!E158:Instances!E158),"median", MEDIAN(Instances!E158:Instances!E158),"min", MIN(Instances!E158:Instances!E158),"max", MAX(Instances!E158:Instances!E158),"diff", MAX(Instances!E158:Instances!E158)-MIN(Instances!E158:Instances!E158))</f>
        <v>0</v>
      </c>
      <c r="F158" s="1" cm="1">
        <f t="array" ref="F158">_xlfn.SWITCH($A$2,"average", AVERAGE(Instances!F158:Instances!F158),"median", MEDIAN(Instances!F158:Instances!F158),"min", MIN(Instances!F158:Instances!F158),"max", MAX(Instances!F158:Instances!F158),"diff", MAX(Instances!F158:Instances!F158)-MIN(Instances!F158:Instances!F158))</f>
        <v>0</v>
      </c>
      <c r="G158" s="1" cm="1">
        <f t="array" ref="G158">_xlfn.SWITCH($A$2,"average", AVERAGE(Instances!G158:Instances!G158),"median", MEDIAN(Instances!G158:Instances!G158),"min", MIN(Instances!G158:Instances!G158),"max", MAX(Instances!G158:Instances!G158),"diff", MAX(Instances!G158:Instances!G158)-MIN(Instances!G158:Instances!G158))</f>
        <v>0</v>
      </c>
      <c r="H158" s="1" cm="1">
        <f t="array" ref="H158">_xlfn.SWITCH($A$2,"average", AVERAGE(Instances!H158:Instances!H158),"median", MEDIAN(Instances!H158:Instances!H158),"min", MIN(Instances!H158:Instances!H158),"max", MAX(Instances!H158:Instances!H158),"diff", MAX(Instances!H158:Instances!H158)-MIN(Instances!H158:Instances!H158))</f>
        <v>0</v>
      </c>
      <c r="I158" s="1" cm="1">
        <f t="array" ref="I158">_xlfn.SWITCH($A$2,"average", AVERAGE(Instances!I158:Instances!I158),"median", MEDIAN(Instances!I158:Instances!I158),"min", MIN(Instances!I158:Instances!I158),"max", MAX(Instances!I158:Instances!I158),"diff", MAX(Instances!I158:Instances!I158)-MIN(Instances!I158:Instances!I158))</f>
        <v>0</v>
      </c>
      <c r="J158" s="1" cm="1">
        <f t="array" ref="J158">_xlfn.SWITCH($A$2,"average", AVERAGE(Instances!J158:Instances!J158),"median", MEDIAN(Instances!J158:Instances!J158),"min", MIN(Instances!J158:Instances!J158),"max", MAX(Instances!J158:Instances!J158),"diff", MAX(Instances!J158:Instances!J158)-MIN(Instances!J158:Instances!J158))</f>
        <v>0</v>
      </c>
      <c r="K158" s="1" cm="1">
        <f t="array" ref="K158">_xlfn.SWITCH($A$2,"average", AVERAGE(Instances!K158:Instances!K158),"median", MEDIAN(Instances!K158:Instances!K158),"min", MIN(Instances!K158:Instances!K158),"max", MAX(Instances!K158:Instances!K158),"diff", MAX(Instances!K158:Instances!K158)-MIN(Instances!K158:Instances!K158))</f>
        <v>0</v>
      </c>
      <c r="L158" s="1"/>
      <c r="M158" s="1" cm="1">
        <f t="array" ref="M158">_xlfn.SWITCH($A$2,"average", AVERAGE(Instances!M158:Instances!M158),"median", MEDIAN(Instances!M158:Instances!M158),"min", MIN(Instances!M158:Instances!M158),"max", MAX(Instances!M158:Instances!M158),"diff", MAX(Instances!M158:Instances!M158)-MIN(Instances!M158:Instances!M158))</f>
        <v>0</v>
      </c>
      <c r="N158" s="1" cm="1">
        <f t="array" ref="N158">_xlfn.SWITCH($A$2,"average", AVERAGE(Instances!N158:Instances!N158),"median", MEDIAN(Instances!N158:Instances!N158),"min", MIN(Instances!N158:Instances!N158),"max", MAX(Instances!N158:Instances!N158),"diff", MAX(Instances!N158:Instances!N158)-MIN(Instances!N158:Instances!N158))</f>
        <v>0</v>
      </c>
      <c r="O158" s="1"/>
      <c r="P158" s="1" cm="1">
        <f t="array" ref="P158">_xlfn.SWITCH($A$2,"average", AVERAGE(Instances!P158:Instances!P158),"median", MEDIAN(Instances!P158:Instances!P158),"min", MIN(Instances!P158:Instances!P158),"max", MAX(Instances!P158:Instances!P158),"diff", MAX(Instances!P158:Instances!P158)-MIN(Instances!P158:Instances!P158))</f>
        <v>0</v>
      </c>
      <c r="Q158" s="1" cm="1">
        <f t="array" ref="Q158">_xlfn.SWITCH($A$2,"average", AVERAGE(Instances!Q158:Instances!Q158),"median", MEDIAN(Instances!Q158:Instances!Q158),"min", MIN(Instances!Q158:Instances!Q158),"max", MAX(Instances!Q158:Instances!Q158),"diff", MAX(Instances!Q158:Instances!Q158)-MIN(Instances!Q158:Instances!Q158))</f>
        <v>0</v>
      </c>
      <c r="R158" s="1" cm="1">
        <f t="array" ref="R158">_xlfn.SWITCH($A$2,"average", AVERAGE(Instances!R158:Instances!R158),"median", MEDIAN(Instances!R158:Instances!R158),"min", MIN(Instances!R158:Instances!R158),"max", MAX(Instances!R158:Instances!R158),"diff", MAX(Instances!R158:Instances!R158)-MIN(Instances!R158:Instances!R158))</f>
        <v>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 cm="1">
        <f t="array" ref="B159">_xlfn.SWITCH($A$2,"average", AVERAGE(Instances!B159:Instances!B159),"median", MEDIAN(Instances!B159:Instances!B159),"min", MIN(Instances!B159:Instances!B159),"max", MAX(Instances!B159:Instances!B159),"diff", MAX(Instances!B159:Instances!B159)-MIN(Instances!B159:Instances!B159))</f>
        <v>0</v>
      </c>
      <c r="C159" s="1" cm="1">
        <f t="array" ref="C159">_xlfn.SWITCH($A$2,"average", AVERAGE(Instances!C159:Instances!C159),"median", MEDIAN(Instances!C159:Instances!C159),"min", MIN(Instances!C159:Instances!C159),"max", MAX(Instances!C159:Instances!C159),"diff", MAX(Instances!C159:Instances!C159)-MIN(Instances!C159:Instances!C159))</f>
        <v>0</v>
      </c>
      <c r="D159" s="1" cm="1">
        <f t="array" ref="D159">_xlfn.SWITCH($A$2,"average", AVERAGE(Instances!D159:Instances!D159),"median", MEDIAN(Instances!D159:Instances!D159),"min", MIN(Instances!D159:Instances!D159),"max", MAX(Instances!D159:Instances!D159),"diff", MAX(Instances!D159:Instances!D159)-MIN(Instances!D159:Instances!D159))</f>
        <v>0</v>
      </c>
      <c r="E159" s="1" cm="1">
        <f t="array" ref="E159">_xlfn.SWITCH($A$2,"average", AVERAGE(Instances!E159:Instances!E159),"median", MEDIAN(Instances!E159:Instances!E159),"min", MIN(Instances!E159:Instances!E159),"max", MAX(Instances!E159:Instances!E159),"diff", MAX(Instances!E159:Instances!E159)-MIN(Instances!E159:Instances!E159))</f>
        <v>0</v>
      </c>
      <c r="F159" s="1" cm="1">
        <f t="array" ref="F159">_xlfn.SWITCH($A$2,"average", AVERAGE(Instances!F159:Instances!F159),"median", MEDIAN(Instances!F159:Instances!F159),"min", MIN(Instances!F159:Instances!F159),"max", MAX(Instances!F159:Instances!F159),"diff", MAX(Instances!F159:Instances!F159)-MIN(Instances!F159:Instances!F159))</f>
        <v>0</v>
      </c>
      <c r="G159" s="1" cm="1">
        <f t="array" ref="G159">_xlfn.SWITCH($A$2,"average", AVERAGE(Instances!G159:Instances!G159),"median", MEDIAN(Instances!G159:Instances!G159),"min", MIN(Instances!G159:Instances!G159),"max", MAX(Instances!G159:Instances!G159),"diff", MAX(Instances!G159:Instances!G159)-MIN(Instances!G159:Instances!G159))</f>
        <v>0</v>
      </c>
      <c r="H159" s="1" cm="1">
        <f t="array" ref="H159">_xlfn.SWITCH($A$2,"average", AVERAGE(Instances!H159:Instances!H159),"median", MEDIAN(Instances!H159:Instances!H159),"min", MIN(Instances!H159:Instances!H159),"max", MAX(Instances!H159:Instances!H159),"diff", MAX(Instances!H159:Instances!H159)-MIN(Instances!H159:Instances!H159))</f>
        <v>0</v>
      </c>
      <c r="I159" s="1" cm="1">
        <f t="array" ref="I159">_xlfn.SWITCH($A$2,"average", AVERAGE(Instances!I159:Instances!I159),"median", MEDIAN(Instances!I159:Instances!I159),"min", MIN(Instances!I159:Instances!I159),"max", MAX(Instances!I159:Instances!I159),"diff", MAX(Instances!I159:Instances!I159)-MIN(Instances!I159:Instances!I159))</f>
        <v>0</v>
      </c>
      <c r="J159" s="1" cm="1">
        <f t="array" ref="J159">_xlfn.SWITCH($A$2,"average", AVERAGE(Instances!J159:Instances!J159),"median", MEDIAN(Instances!J159:Instances!J159),"min", MIN(Instances!J159:Instances!J159),"max", MAX(Instances!J159:Instances!J159),"diff", MAX(Instances!J159:Instances!J159)-MIN(Instances!J159:Instances!J159))</f>
        <v>0</v>
      </c>
      <c r="K159" s="1" cm="1">
        <f t="array" ref="K159">_xlfn.SWITCH($A$2,"average", AVERAGE(Instances!K159:Instances!K159),"median", MEDIAN(Instances!K159:Instances!K159),"min", MIN(Instances!K159:Instances!K159),"max", MAX(Instances!K159:Instances!K159),"diff", MAX(Instances!K159:Instances!K159)-MIN(Instances!K159:Instances!K159))</f>
        <v>0</v>
      </c>
      <c r="L159" s="1"/>
      <c r="M159" s="1" cm="1">
        <f t="array" ref="M159">_xlfn.SWITCH($A$2,"average", AVERAGE(Instances!M159:Instances!M159),"median", MEDIAN(Instances!M159:Instances!M159),"min", MIN(Instances!M159:Instances!M159),"max", MAX(Instances!M159:Instances!M159),"diff", MAX(Instances!M159:Instances!M159)-MIN(Instances!M159:Instances!M159))</f>
        <v>0</v>
      </c>
      <c r="N159" s="1" cm="1">
        <f t="array" ref="N159">_xlfn.SWITCH($A$2,"average", AVERAGE(Instances!N159:Instances!N159),"median", MEDIAN(Instances!N159:Instances!N159),"min", MIN(Instances!N159:Instances!N159),"max", MAX(Instances!N159:Instances!N159),"diff", MAX(Instances!N159:Instances!N159)-MIN(Instances!N159:Instances!N159))</f>
        <v>0</v>
      </c>
      <c r="O159" s="1"/>
      <c r="P159" s="1" cm="1">
        <f t="array" ref="P159">_xlfn.SWITCH($A$2,"average", AVERAGE(Instances!P159:Instances!P159),"median", MEDIAN(Instances!P159:Instances!P159),"min", MIN(Instances!P159:Instances!P159),"max", MAX(Instances!P159:Instances!P159),"diff", MAX(Instances!P159:Instances!P159)-MIN(Instances!P159:Instances!P159))</f>
        <v>0</v>
      </c>
      <c r="Q159" s="1" cm="1">
        <f t="array" ref="Q159">_xlfn.SWITCH($A$2,"average", AVERAGE(Instances!Q159:Instances!Q159),"median", MEDIAN(Instances!Q159:Instances!Q159),"min", MIN(Instances!Q159:Instances!Q159),"max", MAX(Instances!Q159:Instances!Q159),"diff", MAX(Instances!Q159:Instances!Q159)-MIN(Instances!Q159:Instances!Q159))</f>
        <v>0</v>
      </c>
      <c r="R159" s="1" cm="1">
        <f t="array" ref="R159">_xlfn.SWITCH($A$2,"average", AVERAGE(Instances!R159:Instances!R159),"median", MEDIAN(Instances!R159:Instances!R159),"min", MIN(Instances!R159:Instances!R159),"max", MAX(Instances!R159:Instances!R159),"diff", MAX(Instances!R159:Instances!R159)-MIN(Instances!R159:Instances!R159))</f>
        <v>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 cm="1">
        <f t="array" ref="B160">_xlfn.SWITCH($A$2,"average", AVERAGE(Instances!B160:Instances!B160),"median", MEDIAN(Instances!B160:Instances!B160),"min", MIN(Instances!B160:Instances!B160),"max", MAX(Instances!B160:Instances!B160),"diff", MAX(Instances!B160:Instances!B160)-MIN(Instances!B160:Instances!B160))</f>
        <v>0</v>
      </c>
      <c r="C160" s="1" cm="1">
        <f t="array" ref="C160">_xlfn.SWITCH($A$2,"average", AVERAGE(Instances!C160:Instances!C160),"median", MEDIAN(Instances!C160:Instances!C160),"min", MIN(Instances!C160:Instances!C160),"max", MAX(Instances!C160:Instances!C160),"diff", MAX(Instances!C160:Instances!C160)-MIN(Instances!C160:Instances!C160))</f>
        <v>0</v>
      </c>
      <c r="D160" s="1" cm="1">
        <f t="array" ref="D160">_xlfn.SWITCH($A$2,"average", AVERAGE(Instances!D160:Instances!D160),"median", MEDIAN(Instances!D160:Instances!D160),"min", MIN(Instances!D160:Instances!D160),"max", MAX(Instances!D160:Instances!D160),"diff", MAX(Instances!D160:Instances!D160)-MIN(Instances!D160:Instances!D160))</f>
        <v>0</v>
      </c>
      <c r="E160" s="1" cm="1">
        <f t="array" ref="E160">_xlfn.SWITCH($A$2,"average", AVERAGE(Instances!E160:Instances!E160),"median", MEDIAN(Instances!E160:Instances!E160),"min", MIN(Instances!E160:Instances!E160),"max", MAX(Instances!E160:Instances!E160),"diff", MAX(Instances!E160:Instances!E160)-MIN(Instances!E160:Instances!E160))</f>
        <v>0</v>
      </c>
      <c r="F160" s="1" cm="1">
        <f t="array" ref="F160">_xlfn.SWITCH($A$2,"average", AVERAGE(Instances!F160:Instances!F160),"median", MEDIAN(Instances!F160:Instances!F160),"min", MIN(Instances!F160:Instances!F160),"max", MAX(Instances!F160:Instances!F160),"diff", MAX(Instances!F160:Instances!F160)-MIN(Instances!F160:Instances!F160))</f>
        <v>0</v>
      </c>
      <c r="G160" s="1" cm="1">
        <f t="array" ref="G160">_xlfn.SWITCH($A$2,"average", AVERAGE(Instances!G160:Instances!G160),"median", MEDIAN(Instances!G160:Instances!G160),"min", MIN(Instances!G160:Instances!G160),"max", MAX(Instances!G160:Instances!G160),"diff", MAX(Instances!G160:Instances!G160)-MIN(Instances!G160:Instances!G160))</f>
        <v>0</v>
      </c>
      <c r="H160" s="1" cm="1">
        <f t="array" ref="H160">_xlfn.SWITCH($A$2,"average", AVERAGE(Instances!H160:Instances!H160),"median", MEDIAN(Instances!H160:Instances!H160),"min", MIN(Instances!H160:Instances!H160),"max", MAX(Instances!H160:Instances!H160),"diff", MAX(Instances!H160:Instances!H160)-MIN(Instances!H160:Instances!H160))</f>
        <v>0</v>
      </c>
      <c r="I160" s="1" cm="1">
        <f t="array" ref="I160">_xlfn.SWITCH($A$2,"average", AVERAGE(Instances!I160:Instances!I160),"median", MEDIAN(Instances!I160:Instances!I160),"min", MIN(Instances!I160:Instances!I160),"max", MAX(Instances!I160:Instances!I160),"diff", MAX(Instances!I160:Instances!I160)-MIN(Instances!I160:Instances!I160))</f>
        <v>0</v>
      </c>
      <c r="J160" s="1" cm="1">
        <f t="array" ref="J160">_xlfn.SWITCH($A$2,"average", AVERAGE(Instances!J160:Instances!J160),"median", MEDIAN(Instances!J160:Instances!J160),"min", MIN(Instances!J160:Instances!J160),"max", MAX(Instances!J160:Instances!J160),"diff", MAX(Instances!J160:Instances!J160)-MIN(Instances!J160:Instances!J160))</f>
        <v>0</v>
      </c>
      <c r="K160" s="1" cm="1">
        <f t="array" ref="K160">_xlfn.SWITCH($A$2,"average", AVERAGE(Instances!K160:Instances!K160),"median", MEDIAN(Instances!K160:Instances!K160),"min", MIN(Instances!K160:Instances!K160),"max", MAX(Instances!K160:Instances!K160),"diff", MAX(Instances!K160:Instances!K160)-MIN(Instances!K160:Instances!K160))</f>
        <v>0</v>
      </c>
      <c r="L160" s="1"/>
      <c r="M160" s="1" cm="1">
        <f t="array" ref="M160">_xlfn.SWITCH($A$2,"average", AVERAGE(Instances!M160:Instances!M160),"median", MEDIAN(Instances!M160:Instances!M160),"min", MIN(Instances!M160:Instances!M160),"max", MAX(Instances!M160:Instances!M160),"diff", MAX(Instances!M160:Instances!M160)-MIN(Instances!M160:Instances!M160))</f>
        <v>0</v>
      </c>
      <c r="N160" s="1" cm="1">
        <f t="array" ref="N160">_xlfn.SWITCH($A$2,"average", AVERAGE(Instances!N160:Instances!N160),"median", MEDIAN(Instances!N160:Instances!N160),"min", MIN(Instances!N160:Instances!N160),"max", MAX(Instances!N160:Instances!N160),"diff", MAX(Instances!N160:Instances!N160)-MIN(Instances!N160:Instances!N160))</f>
        <v>0</v>
      </c>
      <c r="O160" s="1"/>
      <c r="P160" s="1" cm="1">
        <f t="array" ref="P160">_xlfn.SWITCH($A$2,"average", AVERAGE(Instances!P160:Instances!P160),"median", MEDIAN(Instances!P160:Instances!P160),"min", MIN(Instances!P160:Instances!P160),"max", MAX(Instances!P160:Instances!P160),"diff", MAX(Instances!P160:Instances!P160)-MIN(Instances!P160:Instances!P160))</f>
        <v>0</v>
      </c>
      <c r="Q160" s="1" cm="1">
        <f t="array" ref="Q160">_xlfn.SWITCH($A$2,"average", AVERAGE(Instances!Q160:Instances!Q160),"median", MEDIAN(Instances!Q160:Instances!Q160),"min", MIN(Instances!Q160:Instances!Q160),"max", MAX(Instances!Q160:Instances!Q160),"diff", MAX(Instances!Q160:Instances!Q160)-MIN(Instances!Q160:Instances!Q160))</f>
        <v>0</v>
      </c>
      <c r="R160" s="1" cm="1">
        <f t="array" ref="R160">_xlfn.SWITCH($A$2,"average", AVERAGE(Instances!R160:Instances!R160),"median", MEDIAN(Instances!R160:Instances!R160),"min", MIN(Instances!R160:Instances!R160),"max", MAX(Instances!R160:Instances!R160),"diff", MAX(Instances!R160:Instances!R160)-MIN(Instances!R160:Instances!R160))</f>
        <v>0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 cm="1">
        <f t="array" ref="B161">_xlfn.SWITCH($A$2,"average", AVERAGE(Instances!B161:Instances!B161),"median", MEDIAN(Instances!B161:Instances!B161),"min", MIN(Instances!B161:Instances!B161),"max", MAX(Instances!B161:Instances!B161),"diff", MAX(Instances!B161:Instances!B161)-MIN(Instances!B161:Instances!B161))</f>
        <v>0</v>
      </c>
      <c r="C161" s="1" cm="1">
        <f t="array" ref="C161">_xlfn.SWITCH($A$2,"average", AVERAGE(Instances!C161:Instances!C161),"median", MEDIAN(Instances!C161:Instances!C161),"min", MIN(Instances!C161:Instances!C161),"max", MAX(Instances!C161:Instances!C161),"diff", MAX(Instances!C161:Instances!C161)-MIN(Instances!C161:Instances!C161))</f>
        <v>0</v>
      </c>
      <c r="D161" s="1" cm="1">
        <f t="array" ref="D161">_xlfn.SWITCH($A$2,"average", AVERAGE(Instances!D161:Instances!D161),"median", MEDIAN(Instances!D161:Instances!D161),"min", MIN(Instances!D161:Instances!D161),"max", MAX(Instances!D161:Instances!D161),"diff", MAX(Instances!D161:Instances!D161)-MIN(Instances!D161:Instances!D161))</f>
        <v>0</v>
      </c>
      <c r="E161" s="1" cm="1">
        <f t="array" ref="E161">_xlfn.SWITCH($A$2,"average", AVERAGE(Instances!E161:Instances!E161),"median", MEDIAN(Instances!E161:Instances!E161),"min", MIN(Instances!E161:Instances!E161),"max", MAX(Instances!E161:Instances!E161),"diff", MAX(Instances!E161:Instances!E161)-MIN(Instances!E161:Instances!E161))</f>
        <v>0</v>
      </c>
      <c r="F161" s="1" cm="1">
        <f t="array" ref="F161">_xlfn.SWITCH($A$2,"average", AVERAGE(Instances!F161:Instances!F161),"median", MEDIAN(Instances!F161:Instances!F161),"min", MIN(Instances!F161:Instances!F161),"max", MAX(Instances!F161:Instances!F161),"diff", MAX(Instances!F161:Instances!F161)-MIN(Instances!F161:Instances!F161))</f>
        <v>0</v>
      </c>
      <c r="G161" s="1" cm="1">
        <f t="array" ref="G161">_xlfn.SWITCH($A$2,"average", AVERAGE(Instances!G161:Instances!G161),"median", MEDIAN(Instances!G161:Instances!G161),"min", MIN(Instances!G161:Instances!G161),"max", MAX(Instances!G161:Instances!G161),"diff", MAX(Instances!G161:Instances!G161)-MIN(Instances!G161:Instances!G161))</f>
        <v>0</v>
      </c>
      <c r="H161" s="1" cm="1">
        <f t="array" ref="H161">_xlfn.SWITCH($A$2,"average", AVERAGE(Instances!H161:Instances!H161),"median", MEDIAN(Instances!H161:Instances!H161),"min", MIN(Instances!H161:Instances!H161),"max", MAX(Instances!H161:Instances!H161),"diff", MAX(Instances!H161:Instances!H161)-MIN(Instances!H161:Instances!H161))</f>
        <v>0</v>
      </c>
      <c r="I161" s="1" cm="1">
        <f t="array" ref="I161">_xlfn.SWITCH($A$2,"average", AVERAGE(Instances!I161:Instances!I161),"median", MEDIAN(Instances!I161:Instances!I161),"min", MIN(Instances!I161:Instances!I161),"max", MAX(Instances!I161:Instances!I161),"diff", MAX(Instances!I161:Instances!I161)-MIN(Instances!I161:Instances!I161))</f>
        <v>0</v>
      </c>
      <c r="J161" s="1" cm="1">
        <f t="array" ref="J161">_xlfn.SWITCH($A$2,"average", AVERAGE(Instances!J161:Instances!J161),"median", MEDIAN(Instances!J161:Instances!J161),"min", MIN(Instances!J161:Instances!J161),"max", MAX(Instances!J161:Instances!J161),"diff", MAX(Instances!J161:Instances!J161)-MIN(Instances!J161:Instances!J161))</f>
        <v>0</v>
      </c>
      <c r="K161" s="1" cm="1">
        <f t="array" ref="K161">_xlfn.SWITCH($A$2,"average", AVERAGE(Instances!K161:Instances!K161),"median", MEDIAN(Instances!K161:Instances!K161),"min", MIN(Instances!K161:Instances!K161),"max", MAX(Instances!K161:Instances!K161),"diff", MAX(Instances!K161:Instances!K161)-MIN(Instances!K161:Instances!K161))</f>
        <v>0</v>
      </c>
      <c r="L161" s="1"/>
      <c r="M161" s="1" cm="1">
        <f t="array" ref="M161">_xlfn.SWITCH($A$2,"average", AVERAGE(Instances!M161:Instances!M161),"median", MEDIAN(Instances!M161:Instances!M161),"min", MIN(Instances!M161:Instances!M161),"max", MAX(Instances!M161:Instances!M161),"diff", MAX(Instances!M161:Instances!M161)-MIN(Instances!M161:Instances!M161))</f>
        <v>0</v>
      </c>
      <c r="N161" s="1" cm="1">
        <f t="array" ref="N161">_xlfn.SWITCH($A$2,"average", AVERAGE(Instances!N161:Instances!N161),"median", MEDIAN(Instances!N161:Instances!N161),"min", MIN(Instances!N161:Instances!N161),"max", MAX(Instances!N161:Instances!N161),"diff", MAX(Instances!N161:Instances!N161)-MIN(Instances!N161:Instances!N161))</f>
        <v>0</v>
      </c>
      <c r="O161" s="1"/>
      <c r="P161" s="1" cm="1">
        <f t="array" ref="P161">_xlfn.SWITCH($A$2,"average", AVERAGE(Instances!P161:Instances!P161),"median", MEDIAN(Instances!P161:Instances!P161),"min", MIN(Instances!P161:Instances!P161),"max", MAX(Instances!P161:Instances!P161),"diff", MAX(Instances!P161:Instances!P161)-MIN(Instances!P161:Instances!P161))</f>
        <v>0</v>
      </c>
      <c r="Q161" s="1" cm="1">
        <f t="array" ref="Q161">_xlfn.SWITCH($A$2,"average", AVERAGE(Instances!Q161:Instances!Q161),"median", MEDIAN(Instances!Q161:Instances!Q161),"min", MIN(Instances!Q161:Instances!Q161),"max", MAX(Instances!Q161:Instances!Q161),"diff", MAX(Instances!Q161:Instances!Q161)-MIN(Instances!Q161:Instances!Q161))</f>
        <v>0</v>
      </c>
      <c r="R161" s="1" cm="1">
        <f t="array" ref="R161">_xlfn.SWITCH($A$2,"average", AVERAGE(Instances!R161:Instances!R161),"median", MEDIAN(Instances!R161:Instances!R161),"min", MIN(Instances!R161:Instances!R161),"max", MAX(Instances!R161:Instances!R161),"diff", MAX(Instances!R161:Instances!R161)-MIN(Instances!R161:Instances!R161))</f>
        <v>0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 cm="1">
        <f t="array" ref="B162">_xlfn.SWITCH($A$2,"average", AVERAGE(Instances!B162:Instances!B162),"median", MEDIAN(Instances!B162:Instances!B162),"min", MIN(Instances!B162:Instances!B162),"max", MAX(Instances!B162:Instances!B162),"diff", MAX(Instances!B162:Instances!B162)-MIN(Instances!B162:Instances!B162))</f>
        <v>0</v>
      </c>
      <c r="C162" s="1" cm="1">
        <f t="array" ref="C162">_xlfn.SWITCH($A$2,"average", AVERAGE(Instances!C162:Instances!C162),"median", MEDIAN(Instances!C162:Instances!C162),"min", MIN(Instances!C162:Instances!C162),"max", MAX(Instances!C162:Instances!C162),"diff", MAX(Instances!C162:Instances!C162)-MIN(Instances!C162:Instances!C162))</f>
        <v>0</v>
      </c>
      <c r="D162" s="1" cm="1">
        <f t="array" ref="D162">_xlfn.SWITCH($A$2,"average", AVERAGE(Instances!D162:Instances!D162),"median", MEDIAN(Instances!D162:Instances!D162),"min", MIN(Instances!D162:Instances!D162),"max", MAX(Instances!D162:Instances!D162),"diff", MAX(Instances!D162:Instances!D162)-MIN(Instances!D162:Instances!D162))</f>
        <v>0</v>
      </c>
      <c r="E162" s="1" cm="1">
        <f t="array" ref="E162">_xlfn.SWITCH($A$2,"average", AVERAGE(Instances!E162:Instances!E162),"median", MEDIAN(Instances!E162:Instances!E162),"min", MIN(Instances!E162:Instances!E162),"max", MAX(Instances!E162:Instances!E162),"diff", MAX(Instances!E162:Instances!E162)-MIN(Instances!E162:Instances!E162))</f>
        <v>0</v>
      </c>
      <c r="F162" s="1" cm="1">
        <f t="array" ref="F162">_xlfn.SWITCH($A$2,"average", AVERAGE(Instances!F162:Instances!F162),"median", MEDIAN(Instances!F162:Instances!F162),"min", MIN(Instances!F162:Instances!F162),"max", MAX(Instances!F162:Instances!F162),"diff", MAX(Instances!F162:Instances!F162)-MIN(Instances!F162:Instances!F162))</f>
        <v>0</v>
      </c>
      <c r="G162" s="1" cm="1">
        <f t="array" ref="G162">_xlfn.SWITCH($A$2,"average", AVERAGE(Instances!G162:Instances!G162),"median", MEDIAN(Instances!G162:Instances!G162),"min", MIN(Instances!G162:Instances!G162),"max", MAX(Instances!G162:Instances!G162),"diff", MAX(Instances!G162:Instances!G162)-MIN(Instances!G162:Instances!G162))</f>
        <v>0</v>
      </c>
      <c r="H162" s="1" cm="1">
        <f t="array" ref="H162">_xlfn.SWITCH($A$2,"average", AVERAGE(Instances!H162:Instances!H162),"median", MEDIAN(Instances!H162:Instances!H162),"min", MIN(Instances!H162:Instances!H162),"max", MAX(Instances!H162:Instances!H162),"diff", MAX(Instances!H162:Instances!H162)-MIN(Instances!H162:Instances!H162))</f>
        <v>0</v>
      </c>
      <c r="I162" s="1" cm="1">
        <f t="array" ref="I162">_xlfn.SWITCH($A$2,"average", AVERAGE(Instances!I162:Instances!I162),"median", MEDIAN(Instances!I162:Instances!I162),"min", MIN(Instances!I162:Instances!I162),"max", MAX(Instances!I162:Instances!I162),"diff", MAX(Instances!I162:Instances!I162)-MIN(Instances!I162:Instances!I162))</f>
        <v>0</v>
      </c>
      <c r="J162" s="1" cm="1">
        <f t="array" ref="J162">_xlfn.SWITCH($A$2,"average", AVERAGE(Instances!J162:Instances!J162),"median", MEDIAN(Instances!J162:Instances!J162),"min", MIN(Instances!J162:Instances!J162),"max", MAX(Instances!J162:Instances!J162),"diff", MAX(Instances!J162:Instances!J162)-MIN(Instances!J162:Instances!J162))</f>
        <v>0</v>
      </c>
      <c r="K162" s="1" cm="1">
        <f t="array" ref="K162">_xlfn.SWITCH($A$2,"average", AVERAGE(Instances!K162:Instances!K162),"median", MEDIAN(Instances!K162:Instances!K162),"min", MIN(Instances!K162:Instances!K162),"max", MAX(Instances!K162:Instances!K162),"diff", MAX(Instances!K162:Instances!K162)-MIN(Instances!K162:Instances!K162))</f>
        <v>0</v>
      </c>
      <c r="L162" s="1"/>
      <c r="M162" s="1" cm="1">
        <f t="array" ref="M162">_xlfn.SWITCH($A$2,"average", AVERAGE(Instances!M162:Instances!M162),"median", MEDIAN(Instances!M162:Instances!M162),"min", MIN(Instances!M162:Instances!M162),"max", MAX(Instances!M162:Instances!M162),"diff", MAX(Instances!M162:Instances!M162)-MIN(Instances!M162:Instances!M162))</f>
        <v>0</v>
      </c>
      <c r="N162" s="1" cm="1">
        <f t="array" ref="N162">_xlfn.SWITCH($A$2,"average", AVERAGE(Instances!N162:Instances!N162),"median", MEDIAN(Instances!N162:Instances!N162),"min", MIN(Instances!N162:Instances!N162),"max", MAX(Instances!N162:Instances!N162),"diff", MAX(Instances!N162:Instances!N162)-MIN(Instances!N162:Instances!N162))</f>
        <v>0</v>
      </c>
      <c r="O162" s="1"/>
      <c r="P162" s="1" cm="1">
        <f t="array" ref="P162">_xlfn.SWITCH($A$2,"average", AVERAGE(Instances!P162:Instances!P162),"median", MEDIAN(Instances!P162:Instances!P162),"min", MIN(Instances!P162:Instances!P162),"max", MAX(Instances!P162:Instances!P162),"diff", MAX(Instances!P162:Instances!P162)-MIN(Instances!P162:Instances!P162))</f>
        <v>0</v>
      </c>
      <c r="Q162" s="1" cm="1">
        <f t="array" ref="Q162">_xlfn.SWITCH($A$2,"average", AVERAGE(Instances!Q162:Instances!Q162),"median", MEDIAN(Instances!Q162:Instances!Q162),"min", MIN(Instances!Q162:Instances!Q162),"max", MAX(Instances!Q162:Instances!Q162),"diff", MAX(Instances!Q162:Instances!Q162)-MIN(Instances!Q162:Instances!Q162))</f>
        <v>0</v>
      </c>
      <c r="R162" s="1" cm="1">
        <f t="array" ref="R162">_xlfn.SWITCH($A$2,"average", AVERAGE(Instances!R162:Instances!R162),"median", MEDIAN(Instances!R162:Instances!R162),"min", MIN(Instances!R162:Instances!R162),"max", MAX(Instances!R162:Instances!R162),"diff", MAX(Instances!R162:Instances!R162)-MIN(Instances!R162:Instances!R162))</f>
        <v>0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 cm="1">
        <f t="array" ref="B163">_xlfn.SWITCH($A$2,"average", AVERAGE(Instances!B163:Instances!B163),"median", MEDIAN(Instances!B163:Instances!B163),"min", MIN(Instances!B163:Instances!B163),"max", MAX(Instances!B163:Instances!B163),"diff", MAX(Instances!B163:Instances!B163)-MIN(Instances!B163:Instances!B163))</f>
        <v>0</v>
      </c>
      <c r="C163" s="1" cm="1">
        <f t="array" ref="C163">_xlfn.SWITCH($A$2,"average", AVERAGE(Instances!C163:Instances!C163),"median", MEDIAN(Instances!C163:Instances!C163),"min", MIN(Instances!C163:Instances!C163),"max", MAX(Instances!C163:Instances!C163),"diff", MAX(Instances!C163:Instances!C163)-MIN(Instances!C163:Instances!C163))</f>
        <v>0</v>
      </c>
      <c r="D163" s="1" cm="1">
        <f t="array" ref="D163">_xlfn.SWITCH($A$2,"average", AVERAGE(Instances!D163:Instances!D163),"median", MEDIAN(Instances!D163:Instances!D163),"min", MIN(Instances!D163:Instances!D163),"max", MAX(Instances!D163:Instances!D163),"diff", MAX(Instances!D163:Instances!D163)-MIN(Instances!D163:Instances!D163))</f>
        <v>0</v>
      </c>
      <c r="E163" s="1" cm="1">
        <f t="array" ref="E163">_xlfn.SWITCH($A$2,"average", AVERAGE(Instances!E163:Instances!E163),"median", MEDIAN(Instances!E163:Instances!E163),"min", MIN(Instances!E163:Instances!E163),"max", MAX(Instances!E163:Instances!E163),"diff", MAX(Instances!E163:Instances!E163)-MIN(Instances!E163:Instances!E163))</f>
        <v>0</v>
      </c>
      <c r="F163" s="1" cm="1">
        <f t="array" ref="F163">_xlfn.SWITCH($A$2,"average", AVERAGE(Instances!F163:Instances!F163),"median", MEDIAN(Instances!F163:Instances!F163),"min", MIN(Instances!F163:Instances!F163),"max", MAX(Instances!F163:Instances!F163),"diff", MAX(Instances!F163:Instances!F163)-MIN(Instances!F163:Instances!F163))</f>
        <v>0</v>
      </c>
      <c r="G163" s="1" cm="1">
        <f t="array" ref="G163">_xlfn.SWITCH($A$2,"average", AVERAGE(Instances!G163:Instances!G163),"median", MEDIAN(Instances!G163:Instances!G163),"min", MIN(Instances!G163:Instances!G163),"max", MAX(Instances!G163:Instances!G163),"diff", MAX(Instances!G163:Instances!G163)-MIN(Instances!G163:Instances!G163))</f>
        <v>0</v>
      </c>
      <c r="H163" s="1" cm="1">
        <f t="array" ref="H163">_xlfn.SWITCH($A$2,"average", AVERAGE(Instances!H163:Instances!H163),"median", MEDIAN(Instances!H163:Instances!H163),"min", MIN(Instances!H163:Instances!H163),"max", MAX(Instances!H163:Instances!H163),"diff", MAX(Instances!H163:Instances!H163)-MIN(Instances!H163:Instances!H163))</f>
        <v>0</v>
      </c>
      <c r="I163" s="1" cm="1">
        <f t="array" ref="I163">_xlfn.SWITCH($A$2,"average", AVERAGE(Instances!I163:Instances!I163),"median", MEDIAN(Instances!I163:Instances!I163),"min", MIN(Instances!I163:Instances!I163),"max", MAX(Instances!I163:Instances!I163),"diff", MAX(Instances!I163:Instances!I163)-MIN(Instances!I163:Instances!I163))</f>
        <v>0</v>
      </c>
      <c r="J163" s="1" cm="1">
        <f t="array" ref="J163">_xlfn.SWITCH($A$2,"average", AVERAGE(Instances!J163:Instances!J163),"median", MEDIAN(Instances!J163:Instances!J163),"min", MIN(Instances!J163:Instances!J163),"max", MAX(Instances!J163:Instances!J163),"diff", MAX(Instances!J163:Instances!J163)-MIN(Instances!J163:Instances!J163))</f>
        <v>0</v>
      </c>
      <c r="K163" s="1" cm="1">
        <f t="array" ref="K163">_xlfn.SWITCH($A$2,"average", AVERAGE(Instances!K163:Instances!K163),"median", MEDIAN(Instances!K163:Instances!K163),"min", MIN(Instances!K163:Instances!K163),"max", MAX(Instances!K163:Instances!K163),"diff", MAX(Instances!K163:Instances!K163)-MIN(Instances!K163:Instances!K163))</f>
        <v>0</v>
      </c>
      <c r="L163" s="1"/>
      <c r="M163" s="1" cm="1">
        <f t="array" ref="M163">_xlfn.SWITCH($A$2,"average", AVERAGE(Instances!M163:Instances!M163),"median", MEDIAN(Instances!M163:Instances!M163),"min", MIN(Instances!M163:Instances!M163),"max", MAX(Instances!M163:Instances!M163),"diff", MAX(Instances!M163:Instances!M163)-MIN(Instances!M163:Instances!M163))</f>
        <v>0</v>
      </c>
      <c r="N163" s="1" cm="1">
        <f t="array" ref="N163">_xlfn.SWITCH($A$2,"average", AVERAGE(Instances!N163:Instances!N163),"median", MEDIAN(Instances!N163:Instances!N163),"min", MIN(Instances!N163:Instances!N163),"max", MAX(Instances!N163:Instances!N163),"diff", MAX(Instances!N163:Instances!N163)-MIN(Instances!N163:Instances!N163))</f>
        <v>0</v>
      </c>
      <c r="O163" s="1"/>
      <c r="P163" s="1" cm="1">
        <f t="array" ref="P163">_xlfn.SWITCH($A$2,"average", AVERAGE(Instances!P163:Instances!P163),"median", MEDIAN(Instances!P163:Instances!P163),"min", MIN(Instances!P163:Instances!P163),"max", MAX(Instances!P163:Instances!P163),"diff", MAX(Instances!P163:Instances!P163)-MIN(Instances!P163:Instances!P163))</f>
        <v>0</v>
      </c>
      <c r="Q163" s="1" cm="1">
        <f t="array" ref="Q163">_xlfn.SWITCH($A$2,"average", AVERAGE(Instances!Q163:Instances!Q163),"median", MEDIAN(Instances!Q163:Instances!Q163),"min", MIN(Instances!Q163:Instances!Q163),"max", MAX(Instances!Q163:Instances!Q163),"diff", MAX(Instances!Q163:Instances!Q163)-MIN(Instances!Q163:Instances!Q163))</f>
        <v>0</v>
      </c>
      <c r="R163" s="1" cm="1">
        <f t="array" ref="R163">_xlfn.SWITCH($A$2,"average", AVERAGE(Instances!R163:Instances!R163),"median", MEDIAN(Instances!R163:Instances!R163),"min", MIN(Instances!R163:Instances!R163),"max", MAX(Instances!R163:Instances!R163),"diff", MAX(Instances!R163:Instances!R163)-MIN(Instances!R163:Instances!R163))</f>
        <v>0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 cm="1">
        <f t="array" ref="B164">_xlfn.SWITCH($A$2,"average", AVERAGE(Instances!B164:Instances!B164),"median", MEDIAN(Instances!B164:Instances!B164),"min", MIN(Instances!B164:Instances!B164),"max", MAX(Instances!B164:Instances!B164),"diff", MAX(Instances!B164:Instances!B164)-MIN(Instances!B164:Instances!B164))</f>
        <v>0</v>
      </c>
      <c r="C164" s="1" cm="1">
        <f t="array" ref="C164">_xlfn.SWITCH($A$2,"average", AVERAGE(Instances!C164:Instances!C164),"median", MEDIAN(Instances!C164:Instances!C164),"min", MIN(Instances!C164:Instances!C164),"max", MAX(Instances!C164:Instances!C164),"diff", MAX(Instances!C164:Instances!C164)-MIN(Instances!C164:Instances!C164))</f>
        <v>0</v>
      </c>
      <c r="D164" s="1" cm="1">
        <f t="array" ref="D164">_xlfn.SWITCH($A$2,"average", AVERAGE(Instances!D164:Instances!D164),"median", MEDIAN(Instances!D164:Instances!D164),"min", MIN(Instances!D164:Instances!D164),"max", MAX(Instances!D164:Instances!D164),"diff", MAX(Instances!D164:Instances!D164)-MIN(Instances!D164:Instances!D164))</f>
        <v>0</v>
      </c>
      <c r="E164" s="1" cm="1">
        <f t="array" ref="E164">_xlfn.SWITCH($A$2,"average", AVERAGE(Instances!E164:Instances!E164),"median", MEDIAN(Instances!E164:Instances!E164),"min", MIN(Instances!E164:Instances!E164),"max", MAX(Instances!E164:Instances!E164),"diff", MAX(Instances!E164:Instances!E164)-MIN(Instances!E164:Instances!E164))</f>
        <v>0</v>
      </c>
      <c r="F164" s="1" cm="1">
        <f t="array" ref="F164">_xlfn.SWITCH($A$2,"average", AVERAGE(Instances!F164:Instances!F164),"median", MEDIAN(Instances!F164:Instances!F164),"min", MIN(Instances!F164:Instances!F164),"max", MAX(Instances!F164:Instances!F164),"diff", MAX(Instances!F164:Instances!F164)-MIN(Instances!F164:Instances!F164))</f>
        <v>0</v>
      </c>
      <c r="G164" s="1" cm="1">
        <f t="array" ref="G164">_xlfn.SWITCH($A$2,"average", AVERAGE(Instances!G164:Instances!G164),"median", MEDIAN(Instances!G164:Instances!G164),"min", MIN(Instances!G164:Instances!G164),"max", MAX(Instances!G164:Instances!G164),"diff", MAX(Instances!G164:Instances!G164)-MIN(Instances!G164:Instances!G164))</f>
        <v>0</v>
      </c>
      <c r="H164" s="1" cm="1">
        <f t="array" ref="H164">_xlfn.SWITCH($A$2,"average", AVERAGE(Instances!H164:Instances!H164),"median", MEDIAN(Instances!H164:Instances!H164),"min", MIN(Instances!H164:Instances!H164),"max", MAX(Instances!H164:Instances!H164),"diff", MAX(Instances!H164:Instances!H164)-MIN(Instances!H164:Instances!H164))</f>
        <v>0</v>
      </c>
      <c r="I164" s="1" cm="1">
        <f t="array" ref="I164">_xlfn.SWITCH($A$2,"average", AVERAGE(Instances!I164:Instances!I164),"median", MEDIAN(Instances!I164:Instances!I164),"min", MIN(Instances!I164:Instances!I164),"max", MAX(Instances!I164:Instances!I164),"diff", MAX(Instances!I164:Instances!I164)-MIN(Instances!I164:Instances!I164))</f>
        <v>0</v>
      </c>
      <c r="J164" s="1" cm="1">
        <f t="array" ref="J164">_xlfn.SWITCH($A$2,"average", AVERAGE(Instances!J164:Instances!J164),"median", MEDIAN(Instances!J164:Instances!J164),"min", MIN(Instances!J164:Instances!J164),"max", MAX(Instances!J164:Instances!J164),"diff", MAX(Instances!J164:Instances!J164)-MIN(Instances!J164:Instances!J164))</f>
        <v>0</v>
      </c>
      <c r="K164" s="1" cm="1">
        <f t="array" ref="K164">_xlfn.SWITCH($A$2,"average", AVERAGE(Instances!K164:Instances!K164),"median", MEDIAN(Instances!K164:Instances!K164),"min", MIN(Instances!K164:Instances!K164),"max", MAX(Instances!K164:Instances!K164),"diff", MAX(Instances!K164:Instances!K164)-MIN(Instances!K164:Instances!K164))</f>
        <v>0</v>
      </c>
      <c r="L164" s="1"/>
      <c r="M164" s="1" cm="1">
        <f t="array" ref="M164">_xlfn.SWITCH($A$2,"average", AVERAGE(Instances!M164:Instances!M164),"median", MEDIAN(Instances!M164:Instances!M164),"min", MIN(Instances!M164:Instances!M164),"max", MAX(Instances!M164:Instances!M164),"diff", MAX(Instances!M164:Instances!M164)-MIN(Instances!M164:Instances!M164))</f>
        <v>0</v>
      </c>
      <c r="N164" s="1" cm="1">
        <f t="array" ref="N164">_xlfn.SWITCH($A$2,"average", AVERAGE(Instances!N164:Instances!N164),"median", MEDIAN(Instances!N164:Instances!N164),"min", MIN(Instances!N164:Instances!N164),"max", MAX(Instances!N164:Instances!N164),"diff", MAX(Instances!N164:Instances!N164)-MIN(Instances!N164:Instances!N164))</f>
        <v>0</v>
      </c>
      <c r="O164" s="1"/>
      <c r="P164" s="1" cm="1">
        <f t="array" ref="P164">_xlfn.SWITCH($A$2,"average", AVERAGE(Instances!P164:Instances!P164),"median", MEDIAN(Instances!P164:Instances!P164),"min", MIN(Instances!P164:Instances!P164),"max", MAX(Instances!P164:Instances!P164),"diff", MAX(Instances!P164:Instances!P164)-MIN(Instances!P164:Instances!P164))</f>
        <v>0</v>
      </c>
      <c r="Q164" s="1" cm="1">
        <f t="array" ref="Q164">_xlfn.SWITCH($A$2,"average", AVERAGE(Instances!Q164:Instances!Q164),"median", MEDIAN(Instances!Q164:Instances!Q164),"min", MIN(Instances!Q164:Instances!Q164),"max", MAX(Instances!Q164:Instances!Q164),"diff", MAX(Instances!Q164:Instances!Q164)-MIN(Instances!Q164:Instances!Q164))</f>
        <v>0</v>
      </c>
      <c r="R164" s="1" cm="1">
        <f t="array" ref="R164">_xlfn.SWITCH($A$2,"average", AVERAGE(Instances!R164:Instances!R164),"median", MEDIAN(Instances!R164:Instances!R164),"min", MIN(Instances!R164:Instances!R164),"max", MAX(Instances!R164:Instances!R164),"diff", MAX(Instances!R164:Instances!R164)-MIN(Instances!R164:Instances!R164))</f>
        <v>0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 cm="1">
        <f t="array" ref="B165">_xlfn.SWITCH($A$2,"average", AVERAGE(Instances!B165:Instances!B165),"median", MEDIAN(Instances!B165:Instances!B165),"min", MIN(Instances!B165:Instances!B165),"max", MAX(Instances!B165:Instances!B165),"diff", MAX(Instances!B165:Instances!B165)-MIN(Instances!B165:Instances!B165))</f>
        <v>0</v>
      </c>
      <c r="C165" s="1" cm="1">
        <f t="array" ref="C165">_xlfn.SWITCH($A$2,"average", AVERAGE(Instances!C165:Instances!C165),"median", MEDIAN(Instances!C165:Instances!C165),"min", MIN(Instances!C165:Instances!C165),"max", MAX(Instances!C165:Instances!C165),"diff", MAX(Instances!C165:Instances!C165)-MIN(Instances!C165:Instances!C165))</f>
        <v>0</v>
      </c>
      <c r="D165" s="1" cm="1">
        <f t="array" ref="D165">_xlfn.SWITCH($A$2,"average", AVERAGE(Instances!D165:Instances!D165),"median", MEDIAN(Instances!D165:Instances!D165),"min", MIN(Instances!D165:Instances!D165),"max", MAX(Instances!D165:Instances!D165),"diff", MAX(Instances!D165:Instances!D165)-MIN(Instances!D165:Instances!D165))</f>
        <v>0</v>
      </c>
      <c r="E165" s="1" cm="1">
        <f t="array" ref="E165">_xlfn.SWITCH($A$2,"average", AVERAGE(Instances!E165:Instances!E165),"median", MEDIAN(Instances!E165:Instances!E165),"min", MIN(Instances!E165:Instances!E165),"max", MAX(Instances!E165:Instances!E165),"diff", MAX(Instances!E165:Instances!E165)-MIN(Instances!E165:Instances!E165))</f>
        <v>0</v>
      </c>
      <c r="F165" s="1" cm="1">
        <f t="array" ref="F165">_xlfn.SWITCH($A$2,"average", AVERAGE(Instances!F165:Instances!F165),"median", MEDIAN(Instances!F165:Instances!F165),"min", MIN(Instances!F165:Instances!F165),"max", MAX(Instances!F165:Instances!F165),"diff", MAX(Instances!F165:Instances!F165)-MIN(Instances!F165:Instances!F165))</f>
        <v>0</v>
      </c>
      <c r="G165" s="1" cm="1">
        <f t="array" ref="G165">_xlfn.SWITCH($A$2,"average", AVERAGE(Instances!G165:Instances!G165),"median", MEDIAN(Instances!G165:Instances!G165),"min", MIN(Instances!G165:Instances!G165),"max", MAX(Instances!G165:Instances!G165),"diff", MAX(Instances!G165:Instances!G165)-MIN(Instances!G165:Instances!G165))</f>
        <v>0</v>
      </c>
      <c r="H165" s="1" cm="1">
        <f t="array" ref="H165">_xlfn.SWITCH($A$2,"average", AVERAGE(Instances!H165:Instances!H165),"median", MEDIAN(Instances!H165:Instances!H165),"min", MIN(Instances!H165:Instances!H165),"max", MAX(Instances!H165:Instances!H165),"diff", MAX(Instances!H165:Instances!H165)-MIN(Instances!H165:Instances!H165))</f>
        <v>0</v>
      </c>
      <c r="I165" s="1" cm="1">
        <f t="array" ref="I165">_xlfn.SWITCH($A$2,"average", AVERAGE(Instances!I165:Instances!I165),"median", MEDIAN(Instances!I165:Instances!I165),"min", MIN(Instances!I165:Instances!I165),"max", MAX(Instances!I165:Instances!I165),"diff", MAX(Instances!I165:Instances!I165)-MIN(Instances!I165:Instances!I165))</f>
        <v>0</v>
      </c>
      <c r="J165" s="1" cm="1">
        <f t="array" ref="J165">_xlfn.SWITCH($A$2,"average", AVERAGE(Instances!J165:Instances!J165),"median", MEDIAN(Instances!J165:Instances!J165),"min", MIN(Instances!J165:Instances!J165),"max", MAX(Instances!J165:Instances!J165),"diff", MAX(Instances!J165:Instances!J165)-MIN(Instances!J165:Instances!J165))</f>
        <v>0</v>
      </c>
      <c r="K165" s="1" cm="1">
        <f t="array" ref="K165">_xlfn.SWITCH($A$2,"average", AVERAGE(Instances!K165:Instances!K165),"median", MEDIAN(Instances!K165:Instances!K165),"min", MIN(Instances!K165:Instances!K165),"max", MAX(Instances!K165:Instances!K165),"diff", MAX(Instances!K165:Instances!K165)-MIN(Instances!K165:Instances!K165))</f>
        <v>0</v>
      </c>
      <c r="L165" s="1"/>
      <c r="M165" s="1" cm="1">
        <f t="array" ref="M165">_xlfn.SWITCH($A$2,"average", AVERAGE(Instances!M165:Instances!M165),"median", MEDIAN(Instances!M165:Instances!M165),"min", MIN(Instances!M165:Instances!M165),"max", MAX(Instances!M165:Instances!M165),"diff", MAX(Instances!M165:Instances!M165)-MIN(Instances!M165:Instances!M165))</f>
        <v>0</v>
      </c>
      <c r="N165" s="1" cm="1">
        <f t="array" ref="N165">_xlfn.SWITCH($A$2,"average", AVERAGE(Instances!N165:Instances!N165),"median", MEDIAN(Instances!N165:Instances!N165),"min", MIN(Instances!N165:Instances!N165),"max", MAX(Instances!N165:Instances!N165),"diff", MAX(Instances!N165:Instances!N165)-MIN(Instances!N165:Instances!N165))</f>
        <v>0</v>
      </c>
      <c r="O165" s="1"/>
      <c r="P165" s="1" cm="1">
        <f t="array" ref="P165">_xlfn.SWITCH($A$2,"average", AVERAGE(Instances!P165:Instances!P165),"median", MEDIAN(Instances!P165:Instances!P165),"min", MIN(Instances!P165:Instances!P165),"max", MAX(Instances!P165:Instances!P165),"diff", MAX(Instances!P165:Instances!P165)-MIN(Instances!P165:Instances!P165))</f>
        <v>0</v>
      </c>
      <c r="Q165" s="1" cm="1">
        <f t="array" ref="Q165">_xlfn.SWITCH($A$2,"average", AVERAGE(Instances!Q165:Instances!Q165),"median", MEDIAN(Instances!Q165:Instances!Q165),"min", MIN(Instances!Q165:Instances!Q165),"max", MAX(Instances!Q165:Instances!Q165),"diff", MAX(Instances!Q165:Instances!Q165)-MIN(Instances!Q165:Instances!Q165))</f>
        <v>0</v>
      </c>
      <c r="R165" s="1" cm="1">
        <f t="array" ref="R165">_xlfn.SWITCH($A$2,"average", AVERAGE(Instances!R165:Instances!R165),"median", MEDIAN(Instances!R165:Instances!R165),"min", MIN(Instances!R165:Instances!R165),"max", MAX(Instances!R165:Instances!R165),"diff", MAX(Instances!R165:Instances!R165)-MIN(Instances!R165:Instances!R165))</f>
        <v>0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 cm="1">
        <f t="array" ref="B166">_xlfn.SWITCH($A$2,"average", AVERAGE(Instances!B166:Instances!B166),"median", MEDIAN(Instances!B166:Instances!B166),"min", MIN(Instances!B166:Instances!B166),"max", MAX(Instances!B166:Instances!B166),"diff", MAX(Instances!B166:Instances!B166)-MIN(Instances!B166:Instances!B166))</f>
        <v>0</v>
      </c>
      <c r="C166" s="1" cm="1">
        <f t="array" ref="C166">_xlfn.SWITCH($A$2,"average", AVERAGE(Instances!C166:Instances!C166),"median", MEDIAN(Instances!C166:Instances!C166),"min", MIN(Instances!C166:Instances!C166),"max", MAX(Instances!C166:Instances!C166),"diff", MAX(Instances!C166:Instances!C166)-MIN(Instances!C166:Instances!C166))</f>
        <v>0</v>
      </c>
      <c r="D166" s="1" cm="1">
        <f t="array" ref="D166">_xlfn.SWITCH($A$2,"average", AVERAGE(Instances!D166:Instances!D166),"median", MEDIAN(Instances!D166:Instances!D166),"min", MIN(Instances!D166:Instances!D166),"max", MAX(Instances!D166:Instances!D166),"diff", MAX(Instances!D166:Instances!D166)-MIN(Instances!D166:Instances!D166))</f>
        <v>0</v>
      </c>
      <c r="E166" s="1" cm="1">
        <f t="array" ref="E166">_xlfn.SWITCH($A$2,"average", AVERAGE(Instances!E166:Instances!E166),"median", MEDIAN(Instances!E166:Instances!E166),"min", MIN(Instances!E166:Instances!E166),"max", MAX(Instances!E166:Instances!E166),"diff", MAX(Instances!E166:Instances!E166)-MIN(Instances!E166:Instances!E166))</f>
        <v>0</v>
      </c>
      <c r="F166" s="1" cm="1">
        <f t="array" ref="F166">_xlfn.SWITCH($A$2,"average", AVERAGE(Instances!F166:Instances!F166),"median", MEDIAN(Instances!F166:Instances!F166),"min", MIN(Instances!F166:Instances!F166),"max", MAX(Instances!F166:Instances!F166),"diff", MAX(Instances!F166:Instances!F166)-MIN(Instances!F166:Instances!F166))</f>
        <v>0</v>
      </c>
      <c r="G166" s="1" cm="1">
        <f t="array" ref="G166">_xlfn.SWITCH($A$2,"average", AVERAGE(Instances!G166:Instances!G166),"median", MEDIAN(Instances!G166:Instances!G166),"min", MIN(Instances!G166:Instances!G166),"max", MAX(Instances!G166:Instances!G166),"diff", MAX(Instances!G166:Instances!G166)-MIN(Instances!G166:Instances!G166))</f>
        <v>0</v>
      </c>
      <c r="H166" s="1" cm="1">
        <f t="array" ref="H166">_xlfn.SWITCH($A$2,"average", AVERAGE(Instances!H166:Instances!H166),"median", MEDIAN(Instances!H166:Instances!H166),"min", MIN(Instances!H166:Instances!H166),"max", MAX(Instances!H166:Instances!H166),"diff", MAX(Instances!H166:Instances!H166)-MIN(Instances!H166:Instances!H166))</f>
        <v>0</v>
      </c>
      <c r="I166" s="1" cm="1">
        <f t="array" ref="I166">_xlfn.SWITCH($A$2,"average", AVERAGE(Instances!I166:Instances!I166),"median", MEDIAN(Instances!I166:Instances!I166),"min", MIN(Instances!I166:Instances!I166),"max", MAX(Instances!I166:Instances!I166),"diff", MAX(Instances!I166:Instances!I166)-MIN(Instances!I166:Instances!I166))</f>
        <v>0</v>
      </c>
      <c r="J166" s="1" cm="1">
        <f t="array" ref="J166">_xlfn.SWITCH($A$2,"average", AVERAGE(Instances!J166:Instances!J166),"median", MEDIAN(Instances!J166:Instances!J166),"min", MIN(Instances!J166:Instances!J166),"max", MAX(Instances!J166:Instances!J166),"diff", MAX(Instances!J166:Instances!J166)-MIN(Instances!J166:Instances!J166))</f>
        <v>0</v>
      </c>
      <c r="K166" s="1" cm="1">
        <f t="array" ref="K166">_xlfn.SWITCH($A$2,"average", AVERAGE(Instances!K166:Instances!K166),"median", MEDIAN(Instances!K166:Instances!K166),"min", MIN(Instances!K166:Instances!K166),"max", MAX(Instances!K166:Instances!K166),"diff", MAX(Instances!K166:Instances!K166)-MIN(Instances!K166:Instances!K166))</f>
        <v>0</v>
      </c>
      <c r="L166" s="1"/>
      <c r="M166" s="1" cm="1">
        <f t="array" ref="M166">_xlfn.SWITCH($A$2,"average", AVERAGE(Instances!M166:Instances!M166),"median", MEDIAN(Instances!M166:Instances!M166),"min", MIN(Instances!M166:Instances!M166),"max", MAX(Instances!M166:Instances!M166),"diff", MAX(Instances!M166:Instances!M166)-MIN(Instances!M166:Instances!M166))</f>
        <v>0</v>
      </c>
      <c r="N166" s="1" cm="1">
        <f t="array" ref="N166">_xlfn.SWITCH($A$2,"average", AVERAGE(Instances!N166:Instances!N166),"median", MEDIAN(Instances!N166:Instances!N166),"min", MIN(Instances!N166:Instances!N166),"max", MAX(Instances!N166:Instances!N166),"diff", MAX(Instances!N166:Instances!N166)-MIN(Instances!N166:Instances!N166))</f>
        <v>0</v>
      </c>
      <c r="O166" s="1"/>
      <c r="P166" s="1" cm="1">
        <f t="array" ref="P166">_xlfn.SWITCH($A$2,"average", AVERAGE(Instances!P166:Instances!P166),"median", MEDIAN(Instances!P166:Instances!P166),"min", MIN(Instances!P166:Instances!P166),"max", MAX(Instances!P166:Instances!P166),"diff", MAX(Instances!P166:Instances!P166)-MIN(Instances!P166:Instances!P166))</f>
        <v>0</v>
      </c>
      <c r="Q166" s="1" cm="1">
        <f t="array" ref="Q166">_xlfn.SWITCH($A$2,"average", AVERAGE(Instances!Q166:Instances!Q166),"median", MEDIAN(Instances!Q166:Instances!Q166),"min", MIN(Instances!Q166:Instances!Q166),"max", MAX(Instances!Q166:Instances!Q166),"diff", MAX(Instances!Q166:Instances!Q166)-MIN(Instances!Q166:Instances!Q166))</f>
        <v>0</v>
      </c>
      <c r="R166" s="1" cm="1">
        <f t="array" ref="R166">_xlfn.SWITCH($A$2,"average", AVERAGE(Instances!R166:Instances!R166),"median", MEDIAN(Instances!R166:Instances!R166),"min", MIN(Instances!R166:Instances!R166),"max", MAX(Instances!R166:Instances!R166),"diff", MAX(Instances!R166:Instances!R166)-MIN(Instances!R166:Instances!R166))</f>
        <v>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 cm="1">
        <f t="array" ref="B167">_xlfn.SWITCH($A$2,"average", AVERAGE(Instances!B167:Instances!B167),"median", MEDIAN(Instances!B167:Instances!B167),"min", MIN(Instances!B167:Instances!B167),"max", MAX(Instances!B167:Instances!B167),"diff", MAX(Instances!B167:Instances!B167)-MIN(Instances!B167:Instances!B167))</f>
        <v>0</v>
      </c>
      <c r="C167" s="1" cm="1">
        <f t="array" ref="C167">_xlfn.SWITCH($A$2,"average", AVERAGE(Instances!C167:Instances!C167),"median", MEDIAN(Instances!C167:Instances!C167),"min", MIN(Instances!C167:Instances!C167),"max", MAX(Instances!C167:Instances!C167),"diff", MAX(Instances!C167:Instances!C167)-MIN(Instances!C167:Instances!C167))</f>
        <v>0</v>
      </c>
      <c r="D167" s="1" cm="1">
        <f t="array" ref="D167">_xlfn.SWITCH($A$2,"average", AVERAGE(Instances!D167:Instances!D167),"median", MEDIAN(Instances!D167:Instances!D167),"min", MIN(Instances!D167:Instances!D167),"max", MAX(Instances!D167:Instances!D167),"diff", MAX(Instances!D167:Instances!D167)-MIN(Instances!D167:Instances!D167))</f>
        <v>0</v>
      </c>
      <c r="E167" s="1" cm="1">
        <f t="array" ref="E167">_xlfn.SWITCH($A$2,"average", AVERAGE(Instances!E167:Instances!E167),"median", MEDIAN(Instances!E167:Instances!E167),"min", MIN(Instances!E167:Instances!E167),"max", MAX(Instances!E167:Instances!E167),"diff", MAX(Instances!E167:Instances!E167)-MIN(Instances!E167:Instances!E167))</f>
        <v>0</v>
      </c>
      <c r="F167" s="1" cm="1">
        <f t="array" ref="F167">_xlfn.SWITCH($A$2,"average", AVERAGE(Instances!F167:Instances!F167),"median", MEDIAN(Instances!F167:Instances!F167),"min", MIN(Instances!F167:Instances!F167),"max", MAX(Instances!F167:Instances!F167),"diff", MAX(Instances!F167:Instances!F167)-MIN(Instances!F167:Instances!F167))</f>
        <v>0</v>
      </c>
      <c r="G167" s="1" cm="1">
        <f t="array" ref="G167">_xlfn.SWITCH($A$2,"average", AVERAGE(Instances!G167:Instances!G167),"median", MEDIAN(Instances!G167:Instances!G167),"min", MIN(Instances!G167:Instances!G167),"max", MAX(Instances!G167:Instances!G167),"diff", MAX(Instances!G167:Instances!G167)-MIN(Instances!G167:Instances!G167))</f>
        <v>0</v>
      </c>
      <c r="H167" s="1" cm="1">
        <f t="array" ref="H167">_xlfn.SWITCH($A$2,"average", AVERAGE(Instances!H167:Instances!H167),"median", MEDIAN(Instances!H167:Instances!H167),"min", MIN(Instances!H167:Instances!H167),"max", MAX(Instances!H167:Instances!H167),"diff", MAX(Instances!H167:Instances!H167)-MIN(Instances!H167:Instances!H167))</f>
        <v>0</v>
      </c>
      <c r="I167" s="1" cm="1">
        <f t="array" ref="I167">_xlfn.SWITCH($A$2,"average", AVERAGE(Instances!I167:Instances!I167),"median", MEDIAN(Instances!I167:Instances!I167),"min", MIN(Instances!I167:Instances!I167),"max", MAX(Instances!I167:Instances!I167),"diff", MAX(Instances!I167:Instances!I167)-MIN(Instances!I167:Instances!I167))</f>
        <v>0</v>
      </c>
      <c r="J167" s="1" cm="1">
        <f t="array" ref="J167">_xlfn.SWITCH($A$2,"average", AVERAGE(Instances!J167:Instances!J167),"median", MEDIAN(Instances!J167:Instances!J167),"min", MIN(Instances!J167:Instances!J167),"max", MAX(Instances!J167:Instances!J167),"diff", MAX(Instances!J167:Instances!J167)-MIN(Instances!J167:Instances!J167))</f>
        <v>0</v>
      </c>
      <c r="K167" s="1" cm="1">
        <f t="array" ref="K167">_xlfn.SWITCH($A$2,"average", AVERAGE(Instances!K167:Instances!K167),"median", MEDIAN(Instances!K167:Instances!K167),"min", MIN(Instances!K167:Instances!K167),"max", MAX(Instances!K167:Instances!K167),"diff", MAX(Instances!K167:Instances!K167)-MIN(Instances!K167:Instances!K167))</f>
        <v>0</v>
      </c>
      <c r="L167" s="1"/>
      <c r="M167" s="1" cm="1">
        <f t="array" ref="M167">_xlfn.SWITCH($A$2,"average", AVERAGE(Instances!M167:Instances!M167),"median", MEDIAN(Instances!M167:Instances!M167),"min", MIN(Instances!M167:Instances!M167),"max", MAX(Instances!M167:Instances!M167),"diff", MAX(Instances!M167:Instances!M167)-MIN(Instances!M167:Instances!M167))</f>
        <v>0</v>
      </c>
      <c r="N167" s="1" cm="1">
        <f t="array" ref="N167">_xlfn.SWITCH($A$2,"average", AVERAGE(Instances!N167:Instances!N167),"median", MEDIAN(Instances!N167:Instances!N167),"min", MIN(Instances!N167:Instances!N167),"max", MAX(Instances!N167:Instances!N167),"diff", MAX(Instances!N167:Instances!N167)-MIN(Instances!N167:Instances!N167))</f>
        <v>0</v>
      </c>
      <c r="O167" s="1"/>
      <c r="P167" s="1" cm="1">
        <f t="array" ref="P167">_xlfn.SWITCH($A$2,"average", AVERAGE(Instances!P167:Instances!P167),"median", MEDIAN(Instances!P167:Instances!P167),"min", MIN(Instances!P167:Instances!P167),"max", MAX(Instances!P167:Instances!P167),"diff", MAX(Instances!P167:Instances!P167)-MIN(Instances!P167:Instances!P167))</f>
        <v>0</v>
      </c>
      <c r="Q167" s="1" cm="1">
        <f t="array" ref="Q167">_xlfn.SWITCH($A$2,"average", AVERAGE(Instances!Q167:Instances!Q167),"median", MEDIAN(Instances!Q167:Instances!Q167),"min", MIN(Instances!Q167:Instances!Q167),"max", MAX(Instances!Q167:Instances!Q167),"diff", MAX(Instances!Q167:Instances!Q167)-MIN(Instances!Q167:Instances!Q167))</f>
        <v>0</v>
      </c>
      <c r="R167" s="1" cm="1">
        <f t="array" ref="R167">_xlfn.SWITCH($A$2,"average", AVERAGE(Instances!R167:Instances!R167),"median", MEDIAN(Instances!R167:Instances!R167),"min", MIN(Instances!R167:Instances!R167),"max", MAX(Instances!R167:Instances!R167),"diff", MAX(Instances!R167:Instances!R167)-MIN(Instances!R167:Instances!R167))</f>
        <v>0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 cm="1">
        <f t="array" ref="B168">_xlfn.SWITCH($A$2,"average", AVERAGE(Instances!B168:Instances!B168),"median", MEDIAN(Instances!B168:Instances!B168),"min", MIN(Instances!B168:Instances!B168),"max", MAX(Instances!B168:Instances!B168),"diff", MAX(Instances!B168:Instances!B168)-MIN(Instances!B168:Instances!B168))</f>
        <v>0</v>
      </c>
      <c r="C168" s="1" cm="1">
        <f t="array" ref="C168">_xlfn.SWITCH($A$2,"average", AVERAGE(Instances!C168:Instances!C168),"median", MEDIAN(Instances!C168:Instances!C168),"min", MIN(Instances!C168:Instances!C168),"max", MAX(Instances!C168:Instances!C168),"diff", MAX(Instances!C168:Instances!C168)-MIN(Instances!C168:Instances!C168))</f>
        <v>0</v>
      </c>
      <c r="D168" s="1" cm="1">
        <f t="array" ref="D168">_xlfn.SWITCH($A$2,"average", AVERAGE(Instances!D168:Instances!D168),"median", MEDIAN(Instances!D168:Instances!D168),"min", MIN(Instances!D168:Instances!D168),"max", MAX(Instances!D168:Instances!D168),"diff", MAX(Instances!D168:Instances!D168)-MIN(Instances!D168:Instances!D168))</f>
        <v>0</v>
      </c>
      <c r="E168" s="1" cm="1">
        <f t="array" ref="E168">_xlfn.SWITCH($A$2,"average", AVERAGE(Instances!E168:Instances!E168),"median", MEDIAN(Instances!E168:Instances!E168),"min", MIN(Instances!E168:Instances!E168),"max", MAX(Instances!E168:Instances!E168),"diff", MAX(Instances!E168:Instances!E168)-MIN(Instances!E168:Instances!E168))</f>
        <v>0</v>
      </c>
      <c r="F168" s="1" cm="1">
        <f t="array" ref="F168">_xlfn.SWITCH($A$2,"average", AVERAGE(Instances!F168:Instances!F168),"median", MEDIAN(Instances!F168:Instances!F168),"min", MIN(Instances!F168:Instances!F168),"max", MAX(Instances!F168:Instances!F168),"diff", MAX(Instances!F168:Instances!F168)-MIN(Instances!F168:Instances!F168))</f>
        <v>0</v>
      </c>
      <c r="G168" s="1" cm="1">
        <f t="array" ref="G168">_xlfn.SWITCH($A$2,"average", AVERAGE(Instances!G168:Instances!G168),"median", MEDIAN(Instances!G168:Instances!G168),"min", MIN(Instances!G168:Instances!G168),"max", MAX(Instances!G168:Instances!G168),"diff", MAX(Instances!G168:Instances!G168)-MIN(Instances!G168:Instances!G168))</f>
        <v>0</v>
      </c>
      <c r="H168" s="1" cm="1">
        <f t="array" ref="H168">_xlfn.SWITCH($A$2,"average", AVERAGE(Instances!H168:Instances!H168),"median", MEDIAN(Instances!H168:Instances!H168),"min", MIN(Instances!H168:Instances!H168),"max", MAX(Instances!H168:Instances!H168),"diff", MAX(Instances!H168:Instances!H168)-MIN(Instances!H168:Instances!H168))</f>
        <v>0</v>
      </c>
      <c r="I168" s="1" cm="1">
        <f t="array" ref="I168">_xlfn.SWITCH($A$2,"average", AVERAGE(Instances!I168:Instances!I168),"median", MEDIAN(Instances!I168:Instances!I168),"min", MIN(Instances!I168:Instances!I168),"max", MAX(Instances!I168:Instances!I168),"diff", MAX(Instances!I168:Instances!I168)-MIN(Instances!I168:Instances!I168))</f>
        <v>0</v>
      </c>
      <c r="J168" s="1" cm="1">
        <f t="array" ref="J168">_xlfn.SWITCH($A$2,"average", AVERAGE(Instances!J168:Instances!J168),"median", MEDIAN(Instances!J168:Instances!J168),"min", MIN(Instances!J168:Instances!J168),"max", MAX(Instances!J168:Instances!J168),"diff", MAX(Instances!J168:Instances!J168)-MIN(Instances!J168:Instances!J168))</f>
        <v>0</v>
      </c>
      <c r="K168" s="1" cm="1">
        <f t="array" ref="K168">_xlfn.SWITCH($A$2,"average", AVERAGE(Instances!K168:Instances!K168),"median", MEDIAN(Instances!K168:Instances!K168),"min", MIN(Instances!K168:Instances!K168),"max", MAX(Instances!K168:Instances!K168),"diff", MAX(Instances!K168:Instances!K168)-MIN(Instances!K168:Instances!K168))</f>
        <v>0</v>
      </c>
      <c r="L168" s="1"/>
      <c r="M168" s="1" cm="1">
        <f t="array" ref="M168">_xlfn.SWITCH($A$2,"average", AVERAGE(Instances!M168:Instances!M168),"median", MEDIAN(Instances!M168:Instances!M168),"min", MIN(Instances!M168:Instances!M168),"max", MAX(Instances!M168:Instances!M168),"diff", MAX(Instances!M168:Instances!M168)-MIN(Instances!M168:Instances!M168))</f>
        <v>0</v>
      </c>
      <c r="N168" s="1" cm="1">
        <f t="array" ref="N168">_xlfn.SWITCH($A$2,"average", AVERAGE(Instances!N168:Instances!N168),"median", MEDIAN(Instances!N168:Instances!N168),"min", MIN(Instances!N168:Instances!N168),"max", MAX(Instances!N168:Instances!N168),"diff", MAX(Instances!N168:Instances!N168)-MIN(Instances!N168:Instances!N168))</f>
        <v>0</v>
      </c>
      <c r="O168" s="1"/>
      <c r="P168" s="1" cm="1">
        <f t="array" ref="P168">_xlfn.SWITCH($A$2,"average", AVERAGE(Instances!P168:Instances!P168),"median", MEDIAN(Instances!P168:Instances!P168),"min", MIN(Instances!P168:Instances!P168),"max", MAX(Instances!P168:Instances!P168),"diff", MAX(Instances!P168:Instances!P168)-MIN(Instances!P168:Instances!P168))</f>
        <v>0</v>
      </c>
      <c r="Q168" s="1" cm="1">
        <f t="array" ref="Q168">_xlfn.SWITCH($A$2,"average", AVERAGE(Instances!Q168:Instances!Q168),"median", MEDIAN(Instances!Q168:Instances!Q168),"min", MIN(Instances!Q168:Instances!Q168),"max", MAX(Instances!Q168:Instances!Q168),"diff", MAX(Instances!Q168:Instances!Q168)-MIN(Instances!Q168:Instances!Q168))</f>
        <v>0</v>
      </c>
      <c r="R168" s="1" cm="1">
        <f t="array" ref="R168">_xlfn.SWITCH($A$2,"average", AVERAGE(Instances!R168:Instances!R168),"median", MEDIAN(Instances!R168:Instances!R168),"min", MIN(Instances!R168:Instances!R168),"max", MAX(Instances!R168:Instances!R168),"diff", MAX(Instances!R168:Instances!R168)-MIN(Instances!R168:Instances!R168))</f>
        <v>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 cm="1">
        <f t="array" ref="B169">_xlfn.SWITCH($A$2,"average", AVERAGE(Instances!B169:Instances!B169),"median", MEDIAN(Instances!B169:Instances!B169),"min", MIN(Instances!B169:Instances!B169),"max", MAX(Instances!B169:Instances!B169),"diff", MAX(Instances!B169:Instances!B169)-MIN(Instances!B169:Instances!B169))</f>
        <v>0</v>
      </c>
      <c r="C169" s="1" cm="1">
        <f t="array" ref="C169">_xlfn.SWITCH($A$2,"average", AVERAGE(Instances!C169:Instances!C169),"median", MEDIAN(Instances!C169:Instances!C169),"min", MIN(Instances!C169:Instances!C169),"max", MAX(Instances!C169:Instances!C169),"diff", MAX(Instances!C169:Instances!C169)-MIN(Instances!C169:Instances!C169))</f>
        <v>0</v>
      </c>
      <c r="D169" s="1" cm="1">
        <f t="array" ref="D169">_xlfn.SWITCH($A$2,"average", AVERAGE(Instances!D169:Instances!D169),"median", MEDIAN(Instances!D169:Instances!D169),"min", MIN(Instances!D169:Instances!D169),"max", MAX(Instances!D169:Instances!D169),"diff", MAX(Instances!D169:Instances!D169)-MIN(Instances!D169:Instances!D169))</f>
        <v>0</v>
      </c>
      <c r="E169" s="1" cm="1">
        <f t="array" ref="E169">_xlfn.SWITCH($A$2,"average", AVERAGE(Instances!E169:Instances!E169),"median", MEDIAN(Instances!E169:Instances!E169),"min", MIN(Instances!E169:Instances!E169),"max", MAX(Instances!E169:Instances!E169),"diff", MAX(Instances!E169:Instances!E169)-MIN(Instances!E169:Instances!E169))</f>
        <v>0</v>
      </c>
      <c r="F169" s="1" cm="1">
        <f t="array" ref="F169">_xlfn.SWITCH($A$2,"average", AVERAGE(Instances!F169:Instances!F169),"median", MEDIAN(Instances!F169:Instances!F169),"min", MIN(Instances!F169:Instances!F169),"max", MAX(Instances!F169:Instances!F169),"diff", MAX(Instances!F169:Instances!F169)-MIN(Instances!F169:Instances!F169))</f>
        <v>0</v>
      </c>
      <c r="G169" s="1" cm="1">
        <f t="array" ref="G169">_xlfn.SWITCH($A$2,"average", AVERAGE(Instances!G169:Instances!G169),"median", MEDIAN(Instances!G169:Instances!G169),"min", MIN(Instances!G169:Instances!G169),"max", MAX(Instances!G169:Instances!G169),"diff", MAX(Instances!G169:Instances!G169)-MIN(Instances!G169:Instances!G169))</f>
        <v>0</v>
      </c>
      <c r="H169" s="1" cm="1">
        <f t="array" ref="H169">_xlfn.SWITCH($A$2,"average", AVERAGE(Instances!H169:Instances!H169),"median", MEDIAN(Instances!H169:Instances!H169),"min", MIN(Instances!H169:Instances!H169),"max", MAX(Instances!H169:Instances!H169),"diff", MAX(Instances!H169:Instances!H169)-MIN(Instances!H169:Instances!H169))</f>
        <v>0</v>
      </c>
      <c r="I169" s="1" cm="1">
        <f t="array" ref="I169">_xlfn.SWITCH($A$2,"average", AVERAGE(Instances!I169:Instances!I169),"median", MEDIAN(Instances!I169:Instances!I169),"min", MIN(Instances!I169:Instances!I169),"max", MAX(Instances!I169:Instances!I169),"diff", MAX(Instances!I169:Instances!I169)-MIN(Instances!I169:Instances!I169))</f>
        <v>0</v>
      </c>
      <c r="J169" s="1" cm="1">
        <f t="array" ref="J169">_xlfn.SWITCH($A$2,"average", AVERAGE(Instances!J169:Instances!J169),"median", MEDIAN(Instances!J169:Instances!J169),"min", MIN(Instances!J169:Instances!J169),"max", MAX(Instances!J169:Instances!J169),"diff", MAX(Instances!J169:Instances!J169)-MIN(Instances!J169:Instances!J169))</f>
        <v>0</v>
      </c>
      <c r="K169" s="1" cm="1">
        <f t="array" ref="K169">_xlfn.SWITCH($A$2,"average", AVERAGE(Instances!K169:Instances!K169),"median", MEDIAN(Instances!K169:Instances!K169),"min", MIN(Instances!K169:Instances!K169),"max", MAX(Instances!K169:Instances!K169),"diff", MAX(Instances!K169:Instances!K169)-MIN(Instances!K169:Instances!K169))</f>
        <v>0</v>
      </c>
      <c r="L169" s="1"/>
      <c r="M169" s="1" cm="1">
        <f t="array" ref="M169">_xlfn.SWITCH($A$2,"average", AVERAGE(Instances!M169:Instances!M169),"median", MEDIAN(Instances!M169:Instances!M169),"min", MIN(Instances!M169:Instances!M169),"max", MAX(Instances!M169:Instances!M169),"diff", MAX(Instances!M169:Instances!M169)-MIN(Instances!M169:Instances!M169))</f>
        <v>0</v>
      </c>
      <c r="N169" s="1" cm="1">
        <f t="array" ref="N169">_xlfn.SWITCH($A$2,"average", AVERAGE(Instances!N169:Instances!N169),"median", MEDIAN(Instances!N169:Instances!N169),"min", MIN(Instances!N169:Instances!N169),"max", MAX(Instances!N169:Instances!N169),"diff", MAX(Instances!N169:Instances!N169)-MIN(Instances!N169:Instances!N169))</f>
        <v>0</v>
      </c>
      <c r="O169" s="1"/>
      <c r="P169" s="1" cm="1">
        <f t="array" ref="P169">_xlfn.SWITCH($A$2,"average", AVERAGE(Instances!P169:Instances!P169),"median", MEDIAN(Instances!P169:Instances!P169),"min", MIN(Instances!P169:Instances!P169),"max", MAX(Instances!P169:Instances!P169),"diff", MAX(Instances!P169:Instances!P169)-MIN(Instances!P169:Instances!P169))</f>
        <v>0</v>
      </c>
      <c r="Q169" s="1" cm="1">
        <f t="array" ref="Q169">_xlfn.SWITCH($A$2,"average", AVERAGE(Instances!Q169:Instances!Q169),"median", MEDIAN(Instances!Q169:Instances!Q169),"min", MIN(Instances!Q169:Instances!Q169),"max", MAX(Instances!Q169:Instances!Q169),"diff", MAX(Instances!Q169:Instances!Q169)-MIN(Instances!Q169:Instances!Q169))</f>
        <v>0</v>
      </c>
      <c r="R169" s="1" cm="1">
        <f t="array" ref="R169">_xlfn.SWITCH($A$2,"average", AVERAGE(Instances!R169:Instances!R169),"median", MEDIAN(Instances!R169:Instances!R169),"min", MIN(Instances!R169:Instances!R169),"max", MAX(Instances!R169:Instances!R169),"diff", MAX(Instances!R169:Instances!R169)-MIN(Instances!R169:Instances!R169))</f>
        <v>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 cm="1">
        <f t="array" ref="B170">_xlfn.SWITCH($A$2,"average", AVERAGE(Instances!B170:Instances!B170),"median", MEDIAN(Instances!B170:Instances!B170),"min", MIN(Instances!B170:Instances!B170),"max", MAX(Instances!B170:Instances!B170),"diff", MAX(Instances!B170:Instances!B170)-MIN(Instances!B170:Instances!B170))</f>
        <v>0</v>
      </c>
      <c r="C170" s="1" cm="1">
        <f t="array" ref="C170">_xlfn.SWITCH($A$2,"average", AVERAGE(Instances!C170:Instances!C170),"median", MEDIAN(Instances!C170:Instances!C170),"min", MIN(Instances!C170:Instances!C170),"max", MAX(Instances!C170:Instances!C170),"diff", MAX(Instances!C170:Instances!C170)-MIN(Instances!C170:Instances!C170))</f>
        <v>0</v>
      </c>
      <c r="D170" s="1" cm="1">
        <f t="array" ref="D170">_xlfn.SWITCH($A$2,"average", AVERAGE(Instances!D170:Instances!D170),"median", MEDIAN(Instances!D170:Instances!D170),"min", MIN(Instances!D170:Instances!D170),"max", MAX(Instances!D170:Instances!D170),"diff", MAX(Instances!D170:Instances!D170)-MIN(Instances!D170:Instances!D170))</f>
        <v>0</v>
      </c>
      <c r="E170" s="1" cm="1">
        <f t="array" ref="E170">_xlfn.SWITCH($A$2,"average", AVERAGE(Instances!E170:Instances!E170),"median", MEDIAN(Instances!E170:Instances!E170),"min", MIN(Instances!E170:Instances!E170),"max", MAX(Instances!E170:Instances!E170),"diff", MAX(Instances!E170:Instances!E170)-MIN(Instances!E170:Instances!E170))</f>
        <v>0</v>
      </c>
      <c r="F170" s="1" cm="1">
        <f t="array" ref="F170">_xlfn.SWITCH($A$2,"average", AVERAGE(Instances!F170:Instances!F170),"median", MEDIAN(Instances!F170:Instances!F170),"min", MIN(Instances!F170:Instances!F170),"max", MAX(Instances!F170:Instances!F170),"diff", MAX(Instances!F170:Instances!F170)-MIN(Instances!F170:Instances!F170))</f>
        <v>0</v>
      </c>
      <c r="G170" s="1" cm="1">
        <f t="array" ref="G170">_xlfn.SWITCH($A$2,"average", AVERAGE(Instances!G170:Instances!G170),"median", MEDIAN(Instances!G170:Instances!G170),"min", MIN(Instances!G170:Instances!G170),"max", MAX(Instances!G170:Instances!G170),"diff", MAX(Instances!G170:Instances!G170)-MIN(Instances!G170:Instances!G170))</f>
        <v>0</v>
      </c>
      <c r="H170" s="1" cm="1">
        <f t="array" ref="H170">_xlfn.SWITCH($A$2,"average", AVERAGE(Instances!H170:Instances!H170),"median", MEDIAN(Instances!H170:Instances!H170),"min", MIN(Instances!H170:Instances!H170),"max", MAX(Instances!H170:Instances!H170),"diff", MAX(Instances!H170:Instances!H170)-MIN(Instances!H170:Instances!H170))</f>
        <v>0</v>
      </c>
      <c r="I170" s="1" cm="1">
        <f t="array" ref="I170">_xlfn.SWITCH($A$2,"average", AVERAGE(Instances!I170:Instances!I170),"median", MEDIAN(Instances!I170:Instances!I170),"min", MIN(Instances!I170:Instances!I170),"max", MAX(Instances!I170:Instances!I170),"diff", MAX(Instances!I170:Instances!I170)-MIN(Instances!I170:Instances!I170))</f>
        <v>0</v>
      </c>
      <c r="J170" s="1" cm="1">
        <f t="array" ref="J170">_xlfn.SWITCH($A$2,"average", AVERAGE(Instances!J170:Instances!J170),"median", MEDIAN(Instances!J170:Instances!J170),"min", MIN(Instances!J170:Instances!J170),"max", MAX(Instances!J170:Instances!J170),"diff", MAX(Instances!J170:Instances!J170)-MIN(Instances!J170:Instances!J170))</f>
        <v>0</v>
      </c>
      <c r="K170" s="1" cm="1">
        <f t="array" ref="K170">_xlfn.SWITCH($A$2,"average", AVERAGE(Instances!K170:Instances!K170),"median", MEDIAN(Instances!K170:Instances!K170),"min", MIN(Instances!K170:Instances!K170),"max", MAX(Instances!K170:Instances!K170),"diff", MAX(Instances!K170:Instances!K170)-MIN(Instances!K170:Instances!K170))</f>
        <v>0</v>
      </c>
      <c r="L170" s="1"/>
      <c r="M170" s="1" cm="1">
        <f t="array" ref="M170">_xlfn.SWITCH($A$2,"average", AVERAGE(Instances!M170:Instances!M170),"median", MEDIAN(Instances!M170:Instances!M170),"min", MIN(Instances!M170:Instances!M170),"max", MAX(Instances!M170:Instances!M170),"diff", MAX(Instances!M170:Instances!M170)-MIN(Instances!M170:Instances!M170))</f>
        <v>0</v>
      </c>
      <c r="N170" s="1" cm="1">
        <f t="array" ref="N170">_xlfn.SWITCH($A$2,"average", AVERAGE(Instances!N170:Instances!N170),"median", MEDIAN(Instances!N170:Instances!N170),"min", MIN(Instances!N170:Instances!N170),"max", MAX(Instances!N170:Instances!N170),"diff", MAX(Instances!N170:Instances!N170)-MIN(Instances!N170:Instances!N170))</f>
        <v>0</v>
      </c>
      <c r="O170" s="1"/>
      <c r="P170" s="1" cm="1">
        <f t="array" ref="P170">_xlfn.SWITCH($A$2,"average", AVERAGE(Instances!P170:Instances!P170),"median", MEDIAN(Instances!P170:Instances!P170),"min", MIN(Instances!P170:Instances!P170),"max", MAX(Instances!P170:Instances!P170),"diff", MAX(Instances!P170:Instances!P170)-MIN(Instances!P170:Instances!P170))</f>
        <v>0</v>
      </c>
      <c r="Q170" s="1" cm="1">
        <f t="array" ref="Q170">_xlfn.SWITCH($A$2,"average", AVERAGE(Instances!Q170:Instances!Q170),"median", MEDIAN(Instances!Q170:Instances!Q170),"min", MIN(Instances!Q170:Instances!Q170),"max", MAX(Instances!Q170:Instances!Q170),"diff", MAX(Instances!Q170:Instances!Q170)-MIN(Instances!Q170:Instances!Q170))</f>
        <v>0</v>
      </c>
      <c r="R170" s="1" cm="1">
        <f t="array" ref="R170">_xlfn.SWITCH($A$2,"average", AVERAGE(Instances!R170:Instances!R170),"median", MEDIAN(Instances!R170:Instances!R170),"min", MIN(Instances!R170:Instances!R170),"max", MAX(Instances!R170:Instances!R170),"diff", MAX(Instances!R170:Instances!R170)-MIN(Instances!R170:Instances!R170))</f>
        <v>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 cm="1">
        <f t="array" ref="B171">_xlfn.SWITCH($A$2,"average", AVERAGE(Instances!B171:Instances!B171),"median", MEDIAN(Instances!B171:Instances!B171),"min", MIN(Instances!B171:Instances!B171),"max", MAX(Instances!B171:Instances!B171),"diff", MAX(Instances!B171:Instances!B171)-MIN(Instances!B171:Instances!B171))</f>
        <v>0</v>
      </c>
      <c r="C171" s="1" cm="1">
        <f t="array" ref="C171">_xlfn.SWITCH($A$2,"average", AVERAGE(Instances!C171:Instances!C171),"median", MEDIAN(Instances!C171:Instances!C171),"min", MIN(Instances!C171:Instances!C171),"max", MAX(Instances!C171:Instances!C171),"diff", MAX(Instances!C171:Instances!C171)-MIN(Instances!C171:Instances!C171))</f>
        <v>0</v>
      </c>
      <c r="D171" s="1" cm="1">
        <f t="array" ref="D171">_xlfn.SWITCH($A$2,"average", AVERAGE(Instances!D171:Instances!D171),"median", MEDIAN(Instances!D171:Instances!D171),"min", MIN(Instances!D171:Instances!D171),"max", MAX(Instances!D171:Instances!D171),"diff", MAX(Instances!D171:Instances!D171)-MIN(Instances!D171:Instances!D171))</f>
        <v>0</v>
      </c>
      <c r="E171" s="1" cm="1">
        <f t="array" ref="E171">_xlfn.SWITCH($A$2,"average", AVERAGE(Instances!E171:Instances!E171),"median", MEDIAN(Instances!E171:Instances!E171),"min", MIN(Instances!E171:Instances!E171),"max", MAX(Instances!E171:Instances!E171),"diff", MAX(Instances!E171:Instances!E171)-MIN(Instances!E171:Instances!E171))</f>
        <v>0</v>
      </c>
      <c r="F171" s="1" cm="1">
        <f t="array" ref="F171">_xlfn.SWITCH($A$2,"average", AVERAGE(Instances!F171:Instances!F171),"median", MEDIAN(Instances!F171:Instances!F171),"min", MIN(Instances!F171:Instances!F171),"max", MAX(Instances!F171:Instances!F171),"diff", MAX(Instances!F171:Instances!F171)-MIN(Instances!F171:Instances!F171))</f>
        <v>0</v>
      </c>
      <c r="G171" s="1" cm="1">
        <f t="array" ref="G171">_xlfn.SWITCH($A$2,"average", AVERAGE(Instances!G171:Instances!G171),"median", MEDIAN(Instances!G171:Instances!G171),"min", MIN(Instances!G171:Instances!G171),"max", MAX(Instances!G171:Instances!G171),"diff", MAX(Instances!G171:Instances!G171)-MIN(Instances!G171:Instances!G171))</f>
        <v>0</v>
      </c>
      <c r="H171" s="1" cm="1">
        <f t="array" ref="H171">_xlfn.SWITCH($A$2,"average", AVERAGE(Instances!H171:Instances!H171),"median", MEDIAN(Instances!H171:Instances!H171),"min", MIN(Instances!H171:Instances!H171),"max", MAX(Instances!H171:Instances!H171),"diff", MAX(Instances!H171:Instances!H171)-MIN(Instances!H171:Instances!H171))</f>
        <v>0</v>
      </c>
      <c r="I171" s="1" cm="1">
        <f t="array" ref="I171">_xlfn.SWITCH($A$2,"average", AVERAGE(Instances!I171:Instances!I171),"median", MEDIAN(Instances!I171:Instances!I171),"min", MIN(Instances!I171:Instances!I171),"max", MAX(Instances!I171:Instances!I171),"diff", MAX(Instances!I171:Instances!I171)-MIN(Instances!I171:Instances!I171))</f>
        <v>0</v>
      </c>
      <c r="J171" s="1" cm="1">
        <f t="array" ref="J171">_xlfn.SWITCH($A$2,"average", AVERAGE(Instances!J171:Instances!J171),"median", MEDIAN(Instances!J171:Instances!J171),"min", MIN(Instances!J171:Instances!J171),"max", MAX(Instances!J171:Instances!J171),"diff", MAX(Instances!J171:Instances!J171)-MIN(Instances!J171:Instances!J171))</f>
        <v>0</v>
      </c>
      <c r="K171" s="1" cm="1">
        <f t="array" ref="K171">_xlfn.SWITCH($A$2,"average", AVERAGE(Instances!K171:Instances!K171),"median", MEDIAN(Instances!K171:Instances!K171),"min", MIN(Instances!K171:Instances!K171),"max", MAX(Instances!K171:Instances!K171),"diff", MAX(Instances!K171:Instances!K171)-MIN(Instances!K171:Instances!K171))</f>
        <v>0</v>
      </c>
      <c r="L171" s="1"/>
      <c r="M171" s="1" cm="1">
        <f t="array" ref="M171">_xlfn.SWITCH($A$2,"average", AVERAGE(Instances!M171:Instances!M171),"median", MEDIAN(Instances!M171:Instances!M171),"min", MIN(Instances!M171:Instances!M171),"max", MAX(Instances!M171:Instances!M171),"diff", MAX(Instances!M171:Instances!M171)-MIN(Instances!M171:Instances!M171))</f>
        <v>0</v>
      </c>
      <c r="N171" s="1" cm="1">
        <f t="array" ref="N171">_xlfn.SWITCH($A$2,"average", AVERAGE(Instances!N171:Instances!N171),"median", MEDIAN(Instances!N171:Instances!N171),"min", MIN(Instances!N171:Instances!N171),"max", MAX(Instances!N171:Instances!N171),"diff", MAX(Instances!N171:Instances!N171)-MIN(Instances!N171:Instances!N171))</f>
        <v>0</v>
      </c>
      <c r="O171" s="1"/>
      <c r="P171" s="1" cm="1">
        <f t="array" ref="P171">_xlfn.SWITCH($A$2,"average", AVERAGE(Instances!P171:Instances!P171),"median", MEDIAN(Instances!P171:Instances!P171),"min", MIN(Instances!P171:Instances!P171),"max", MAX(Instances!P171:Instances!P171),"diff", MAX(Instances!P171:Instances!P171)-MIN(Instances!P171:Instances!P171))</f>
        <v>0</v>
      </c>
      <c r="Q171" s="1" cm="1">
        <f t="array" ref="Q171">_xlfn.SWITCH($A$2,"average", AVERAGE(Instances!Q171:Instances!Q171),"median", MEDIAN(Instances!Q171:Instances!Q171),"min", MIN(Instances!Q171:Instances!Q171),"max", MAX(Instances!Q171:Instances!Q171),"diff", MAX(Instances!Q171:Instances!Q171)-MIN(Instances!Q171:Instances!Q171))</f>
        <v>0</v>
      </c>
      <c r="R171" s="1" cm="1">
        <f t="array" ref="R171">_xlfn.SWITCH($A$2,"average", AVERAGE(Instances!R171:Instances!R171),"median", MEDIAN(Instances!R171:Instances!R171),"min", MIN(Instances!R171:Instances!R171),"max", MAX(Instances!R171:Instances!R171),"diff", MAX(Instances!R171:Instances!R171)-MIN(Instances!R171:Instances!R171))</f>
        <v>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 cm="1">
        <f t="array" ref="B172">_xlfn.SWITCH($A$2,"average", AVERAGE(Instances!B172:Instances!B172),"median", MEDIAN(Instances!B172:Instances!B172),"min", MIN(Instances!B172:Instances!B172),"max", MAX(Instances!B172:Instances!B172),"diff", MAX(Instances!B172:Instances!B172)-MIN(Instances!B172:Instances!B172))</f>
        <v>0</v>
      </c>
      <c r="C172" s="1" cm="1">
        <f t="array" ref="C172">_xlfn.SWITCH($A$2,"average", AVERAGE(Instances!C172:Instances!C172),"median", MEDIAN(Instances!C172:Instances!C172),"min", MIN(Instances!C172:Instances!C172),"max", MAX(Instances!C172:Instances!C172),"diff", MAX(Instances!C172:Instances!C172)-MIN(Instances!C172:Instances!C172))</f>
        <v>0</v>
      </c>
      <c r="D172" s="1" cm="1">
        <f t="array" ref="D172">_xlfn.SWITCH($A$2,"average", AVERAGE(Instances!D172:Instances!D172),"median", MEDIAN(Instances!D172:Instances!D172),"min", MIN(Instances!D172:Instances!D172),"max", MAX(Instances!D172:Instances!D172),"diff", MAX(Instances!D172:Instances!D172)-MIN(Instances!D172:Instances!D172))</f>
        <v>0</v>
      </c>
      <c r="E172" s="1" cm="1">
        <f t="array" ref="E172">_xlfn.SWITCH($A$2,"average", AVERAGE(Instances!E172:Instances!E172),"median", MEDIAN(Instances!E172:Instances!E172),"min", MIN(Instances!E172:Instances!E172),"max", MAX(Instances!E172:Instances!E172),"diff", MAX(Instances!E172:Instances!E172)-MIN(Instances!E172:Instances!E172))</f>
        <v>0</v>
      </c>
      <c r="F172" s="1" cm="1">
        <f t="array" ref="F172">_xlfn.SWITCH($A$2,"average", AVERAGE(Instances!F172:Instances!F172),"median", MEDIAN(Instances!F172:Instances!F172),"min", MIN(Instances!F172:Instances!F172),"max", MAX(Instances!F172:Instances!F172),"diff", MAX(Instances!F172:Instances!F172)-MIN(Instances!F172:Instances!F172))</f>
        <v>0</v>
      </c>
      <c r="G172" s="1" cm="1">
        <f t="array" ref="G172">_xlfn.SWITCH($A$2,"average", AVERAGE(Instances!G172:Instances!G172),"median", MEDIAN(Instances!G172:Instances!G172),"min", MIN(Instances!G172:Instances!G172),"max", MAX(Instances!G172:Instances!G172),"diff", MAX(Instances!G172:Instances!G172)-MIN(Instances!G172:Instances!G172))</f>
        <v>0</v>
      </c>
      <c r="H172" s="1" cm="1">
        <f t="array" ref="H172">_xlfn.SWITCH($A$2,"average", AVERAGE(Instances!H172:Instances!H172),"median", MEDIAN(Instances!H172:Instances!H172),"min", MIN(Instances!H172:Instances!H172),"max", MAX(Instances!H172:Instances!H172),"diff", MAX(Instances!H172:Instances!H172)-MIN(Instances!H172:Instances!H172))</f>
        <v>0</v>
      </c>
      <c r="I172" s="1" cm="1">
        <f t="array" ref="I172">_xlfn.SWITCH($A$2,"average", AVERAGE(Instances!I172:Instances!I172),"median", MEDIAN(Instances!I172:Instances!I172),"min", MIN(Instances!I172:Instances!I172),"max", MAX(Instances!I172:Instances!I172),"diff", MAX(Instances!I172:Instances!I172)-MIN(Instances!I172:Instances!I172))</f>
        <v>0</v>
      </c>
      <c r="J172" s="1" cm="1">
        <f t="array" ref="J172">_xlfn.SWITCH($A$2,"average", AVERAGE(Instances!J172:Instances!J172),"median", MEDIAN(Instances!J172:Instances!J172),"min", MIN(Instances!J172:Instances!J172),"max", MAX(Instances!J172:Instances!J172),"diff", MAX(Instances!J172:Instances!J172)-MIN(Instances!J172:Instances!J172))</f>
        <v>0</v>
      </c>
      <c r="K172" s="1" cm="1">
        <f t="array" ref="K172">_xlfn.SWITCH($A$2,"average", AVERAGE(Instances!K172:Instances!K172),"median", MEDIAN(Instances!K172:Instances!K172),"min", MIN(Instances!K172:Instances!K172),"max", MAX(Instances!K172:Instances!K172),"diff", MAX(Instances!K172:Instances!K172)-MIN(Instances!K172:Instances!K172))</f>
        <v>0</v>
      </c>
      <c r="L172" s="1"/>
      <c r="M172" s="1" cm="1">
        <f t="array" ref="M172">_xlfn.SWITCH($A$2,"average", AVERAGE(Instances!M172:Instances!M172),"median", MEDIAN(Instances!M172:Instances!M172),"min", MIN(Instances!M172:Instances!M172),"max", MAX(Instances!M172:Instances!M172),"diff", MAX(Instances!M172:Instances!M172)-MIN(Instances!M172:Instances!M172))</f>
        <v>0</v>
      </c>
      <c r="N172" s="1" cm="1">
        <f t="array" ref="N172">_xlfn.SWITCH($A$2,"average", AVERAGE(Instances!N172:Instances!N172),"median", MEDIAN(Instances!N172:Instances!N172),"min", MIN(Instances!N172:Instances!N172),"max", MAX(Instances!N172:Instances!N172),"diff", MAX(Instances!N172:Instances!N172)-MIN(Instances!N172:Instances!N172))</f>
        <v>0</v>
      </c>
      <c r="O172" s="1"/>
      <c r="P172" s="1" cm="1">
        <f t="array" ref="P172">_xlfn.SWITCH($A$2,"average", AVERAGE(Instances!P172:Instances!P172),"median", MEDIAN(Instances!P172:Instances!P172),"min", MIN(Instances!P172:Instances!P172),"max", MAX(Instances!P172:Instances!P172),"diff", MAX(Instances!P172:Instances!P172)-MIN(Instances!P172:Instances!P172))</f>
        <v>0</v>
      </c>
      <c r="Q172" s="1" cm="1">
        <f t="array" ref="Q172">_xlfn.SWITCH($A$2,"average", AVERAGE(Instances!Q172:Instances!Q172),"median", MEDIAN(Instances!Q172:Instances!Q172),"min", MIN(Instances!Q172:Instances!Q172),"max", MAX(Instances!Q172:Instances!Q172),"diff", MAX(Instances!Q172:Instances!Q172)-MIN(Instances!Q172:Instances!Q172))</f>
        <v>0</v>
      </c>
      <c r="R172" s="1" cm="1">
        <f t="array" ref="R172">_xlfn.SWITCH($A$2,"average", AVERAGE(Instances!R172:Instances!R172),"median", MEDIAN(Instances!R172:Instances!R172),"min", MIN(Instances!R172:Instances!R172),"max", MAX(Instances!R172:Instances!R172),"diff", MAX(Instances!R172:Instances!R172)-MIN(Instances!R172:Instances!R172))</f>
        <v>0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 cm="1">
        <f t="array" ref="B173">_xlfn.SWITCH($A$2,"average", AVERAGE(Instances!B173:Instances!B173),"median", MEDIAN(Instances!B173:Instances!B173),"min", MIN(Instances!B173:Instances!B173),"max", MAX(Instances!B173:Instances!B173),"diff", MAX(Instances!B173:Instances!B173)-MIN(Instances!B173:Instances!B173))</f>
        <v>0</v>
      </c>
      <c r="C173" s="1" cm="1">
        <f t="array" ref="C173">_xlfn.SWITCH($A$2,"average", AVERAGE(Instances!C173:Instances!C173),"median", MEDIAN(Instances!C173:Instances!C173),"min", MIN(Instances!C173:Instances!C173),"max", MAX(Instances!C173:Instances!C173),"diff", MAX(Instances!C173:Instances!C173)-MIN(Instances!C173:Instances!C173))</f>
        <v>0</v>
      </c>
      <c r="D173" s="1" cm="1">
        <f t="array" ref="D173">_xlfn.SWITCH($A$2,"average", AVERAGE(Instances!D173:Instances!D173),"median", MEDIAN(Instances!D173:Instances!D173),"min", MIN(Instances!D173:Instances!D173),"max", MAX(Instances!D173:Instances!D173),"diff", MAX(Instances!D173:Instances!D173)-MIN(Instances!D173:Instances!D173))</f>
        <v>0</v>
      </c>
      <c r="E173" s="1" cm="1">
        <f t="array" ref="E173">_xlfn.SWITCH($A$2,"average", AVERAGE(Instances!E173:Instances!E173),"median", MEDIAN(Instances!E173:Instances!E173),"min", MIN(Instances!E173:Instances!E173),"max", MAX(Instances!E173:Instances!E173),"diff", MAX(Instances!E173:Instances!E173)-MIN(Instances!E173:Instances!E173))</f>
        <v>0</v>
      </c>
      <c r="F173" s="1" cm="1">
        <f t="array" ref="F173">_xlfn.SWITCH($A$2,"average", AVERAGE(Instances!F173:Instances!F173),"median", MEDIAN(Instances!F173:Instances!F173),"min", MIN(Instances!F173:Instances!F173),"max", MAX(Instances!F173:Instances!F173),"diff", MAX(Instances!F173:Instances!F173)-MIN(Instances!F173:Instances!F173))</f>
        <v>0</v>
      </c>
      <c r="G173" s="1" cm="1">
        <f t="array" ref="G173">_xlfn.SWITCH($A$2,"average", AVERAGE(Instances!G173:Instances!G173),"median", MEDIAN(Instances!G173:Instances!G173),"min", MIN(Instances!G173:Instances!G173),"max", MAX(Instances!G173:Instances!G173),"diff", MAX(Instances!G173:Instances!G173)-MIN(Instances!G173:Instances!G173))</f>
        <v>0</v>
      </c>
      <c r="H173" s="1" cm="1">
        <f t="array" ref="H173">_xlfn.SWITCH($A$2,"average", AVERAGE(Instances!H173:Instances!H173),"median", MEDIAN(Instances!H173:Instances!H173),"min", MIN(Instances!H173:Instances!H173),"max", MAX(Instances!H173:Instances!H173),"diff", MAX(Instances!H173:Instances!H173)-MIN(Instances!H173:Instances!H173))</f>
        <v>0</v>
      </c>
      <c r="I173" s="1" cm="1">
        <f t="array" ref="I173">_xlfn.SWITCH($A$2,"average", AVERAGE(Instances!I173:Instances!I173),"median", MEDIAN(Instances!I173:Instances!I173),"min", MIN(Instances!I173:Instances!I173),"max", MAX(Instances!I173:Instances!I173),"diff", MAX(Instances!I173:Instances!I173)-MIN(Instances!I173:Instances!I173))</f>
        <v>0</v>
      </c>
      <c r="J173" s="1" cm="1">
        <f t="array" ref="J173">_xlfn.SWITCH($A$2,"average", AVERAGE(Instances!J173:Instances!J173),"median", MEDIAN(Instances!J173:Instances!J173),"min", MIN(Instances!J173:Instances!J173),"max", MAX(Instances!J173:Instances!J173),"diff", MAX(Instances!J173:Instances!J173)-MIN(Instances!J173:Instances!J173))</f>
        <v>0</v>
      </c>
      <c r="K173" s="1" cm="1">
        <f t="array" ref="K173">_xlfn.SWITCH($A$2,"average", AVERAGE(Instances!K173:Instances!K173),"median", MEDIAN(Instances!K173:Instances!K173),"min", MIN(Instances!K173:Instances!K173),"max", MAX(Instances!K173:Instances!K173),"diff", MAX(Instances!K173:Instances!K173)-MIN(Instances!K173:Instances!K173))</f>
        <v>0</v>
      </c>
      <c r="L173" s="1"/>
      <c r="M173" s="1" cm="1">
        <f t="array" ref="M173">_xlfn.SWITCH($A$2,"average", AVERAGE(Instances!M173:Instances!M173),"median", MEDIAN(Instances!M173:Instances!M173),"min", MIN(Instances!M173:Instances!M173),"max", MAX(Instances!M173:Instances!M173),"diff", MAX(Instances!M173:Instances!M173)-MIN(Instances!M173:Instances!M173))</f>
        <v>0</v>
      </c>
      <c r="N173" s="1" cm="1">
        <f t="array" ref="N173">_xlfn.SWITCH($A$2,"average", AVERAGE(Instances!N173:Instances!N173),"median", MEDIAN(Instances!N173:Instances!N173),"min", MIN(Instances!N173:Instances!N173),"max", MAX(Instances!N173:Instances!N173),"diff", MAX(Instances!N173:Instances!N173)-MIN(Instances!N173:Instances!N173))</f>
        <v>0</v>
      </c>
      <c r="O173" s="1"/>
      <c r="P173" s="1" cm="1">
        <f t="array" ref="P173">_xlfn.SWITCH($A$2,"average", AVERAGE(Instances!P173:Instances!P173),"median", MEDIAN(Instances!P173:Instances!P173),"min", MIN(Instances!P173:Instances!P173),"max", MAX(Instances!P173:Instances!P173),"diff", MAX(Instances!P173:Instances!P173)-MIN(Instances!P173:Instances!P173))</f>
        <v>0</v>
      </c>
      <c r="Q173" s="1" cm="1">
        <f t="array" ref="Q173">_xlfn.SWITCH($A$2,"average", AVERAGE(Instances!Q173:Instances!Q173),"median", MEDIAN(Instances!Q173:Instances!Q173),"min", MIN(Instances!Q173:Instances!Q173),"max", MAX(Instances!Q173:Instances!Q173),"diff", MAX(Instances!Q173:Instances!Q173)-MIN(Instances!Q173:Instances!Q173))</f>
        <v>0</v>
      </c>
      <c r="R173" s="1" cm="1">
        <f t="array" ref="R173">_xlfn.SWITCH($A$2,"average", AVERAGE(Instances!R173:Instances!R173),"median", MEDIAN(Instances!R173:Instances!R173),"min", MIN(Instances!R173:Instances!R173),"max", MAX(Instances!R173:Instances!R173),"diff", MAX(Instances!R173:Instances!R173)-MIN(Instances!R173:Instances!R173))</f>
        <v>0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 cm="1">
        <f t="array" ref="B174">_xlfn.SWITCH($A$2,"average", AVERAGE(Instances!B174:Instances!B174),"median", MEDIAN(Instances!B174:Instances!B174),"min", MIN(Instances!B174:Instances!B174),"max", MAX(Instances!B174:Instances!B174),"diff", MAX(Instances!B174:Instances!B174)-MIN(Instances!B174:Instances!B174))</f>
        <v>0</v>
      </c>
      <c r="C174" s="1" cm="1">
        <f t="array" ref="C174">_xlfn.SWITCH($A$2,"average", AVERAGE(Instances!C174:Instances!C174),"median", MEDIAN(Instances!C174:Instances!C174),"min", MIN(Instances!C174:Instances!C174),"max", MAX(Instances!C174:Instances!C174),"diff", MAX(Instances!C174:Instances!C174)-MIN(Instances!C174:Instances!C174))</f>
        <v>0</v>
      </c>
      <c r="D174" s="1" cm="1">
        <f t="array" ref="D174">_xlfn.SWITCH($A$2,"average", AVERAGE(Instances!D174:Instances!D174),"median", MEDIAN(Instances!D174:Instances!D174),"min", MIN(Instances!D174:Instances!D174),"max", MAX(Instances!D174:Instances!D174),"diff", MAX(Instances!D174:Instances!D174)-MIN(Instances!D174:Instances!D174))</f>
        <v>0</v>
      </c>
      <c r="E174" s="1" cm="1">
        <f t="array" ref="E174">_xlfn.SWITCH($A$2,"average", AVERAGE(Instances!E174:Instances!E174),"median", MEDIAN(Instances!E174:Instances!E174),"min", MIN(Instances!E174:Instances!E174),"max", MAX(Instances!E174:Instances!E174),"diff", MAX(Instances!E174:Instances!E174)-MIN(Instances!E174:Instances!E174))</f>
        <v>0</v>
      </c>
      <c r="F174" s="1" cm="1">
        <f t="array" ref="F174">_xlfn.SWITCH($A$2,"average", AVERAGE(Instances!F174:Instances!F174),"median", MEDIAN(Instances!F174:Instances!F174),"min", MIN(Instances!F174:Instances!F174),"max", MAX(Instances!F174:Instances!F174),"diff", MAX(Instances!F174:Instances!F174)-MIN(Instances!F174:Instances!F174))</f>
        <v>0</v>
      </c>
      <c r="G174" s="1" cm="1">
        <f t="array" ref="G174">_xlfn.SWITCH($A$2,"average", AVERAGE(Instances!G174:Instances!G174),"median", MEDIAN(Instances!G174:Instances!G174),"min", MIN(Instances!G174:Instances!G174),"max", MAX(Instances!G174:Instances!G174),"diff", MAX(Instances!G174:Instances!G174)-MIN(Instances!G174:Instances!G174))</f>
        <v>0</v>
      </c>
      <c r="H174" s="1" cm="1">
        <f t="array" ref="H174">_xlfn.SWITCH($A$2,"average", AVERAGE(Instances!H174:Instances!H174),"median", MEDIAN(Instances!H174:Instances!H174),"min", MIN(Instances!H174:Instances!H174),"max", MAX(Instances!H174:Instances!H174),"diff", MAX(Instances!H174:Instances!H174)-MIN(Instances!H174:Instances!H174))</f>
        <v>0</v>
      </c>
      <c r="I174" s="1" cm="1">
        <f t="array" ref="I174">_xlfn.SWITCH($A$2,"average", AVERAGE(Instances!I174:Instances!I174),"median", MEDIAN(Instances!I174:Instances!I174),"min", MIN(Instances!I174:Instances!I174),"max", MAX(Instances!I174:Instances!I174),"diff", MAX(Instances!I174:Instances!I174)-MIN(Instances!I174:Instances!I174))</f>
        <v>0</v>
      </c>
      <c r="J174" s="1" cm="1">
        <f t="array" ref="J174">_xlfn.SWITCH($A$2,"average", AVERAGE(Instances!J174:Instances!J174),"median", MEDIAN(Instances!J174:Instances!J174),"min", MIN(Instances!J174:Instances!J174),"max", MAX(Instances!J174:Instances!J174),"diff", MAX(Instances!J174:Instances!J174)-MIN(Instances!J174:Instances!J174))</f>
        <v>0</v>
      </c>
      <c r="K174" s="1" cm="1">
        <f t="array" ref="K174">_xlfn.SWITCH($A$2,"average", AVERAGE(Instances!K174:Instances!K174),"median", MEDIAN(Instances!K174:Instances!K174),"min", MIN(Instances!K174:Instances!K174),"max", MAX(Instances!K174:Instances!K174),"diff", MAX(Instances!K174:Instances!K174)-MIN(Instances!K174:Instances!K174))</f>
        <v>0</v>
      </c>
      <c r="L174" s="1"/>
      <c r="M174" s="1" cm="1">
        <f t="array" ref="M174">_xlfn.SWITCH($A$2,"average", AVERAGE(Instances!M174:Instances!M174),"median", MEDIAN(Instances!M174:Instances!M174),"min", MIN(Instances!M174:Instances!M174),"max", MAX(Instances!M174:Instances!M174),"diff", MAX(Instances!M174:Instances!M174)-MIN(Instances!M174:Instances!M174))</f>
        <v>0</v>
      </c>
      <c r="N174" s="1" cm="1">
        <f t="array" ref="N174">_xlfn.SWITCH($A$2,"average", AVERAGE(Instances!N174:Instances!N174),"median", MEDIAN(Instances!N174:Instances!N174),"min", MIN(Instances!N174:Instances!N174),"max", MAX(Instances!N174:Instances!N174),"diff", MAX(Instances!N174:Instances!N174)-MIN(Instances!N174:Instances!N174))</f>
        <v>0</v>
      </c>
      <c r="O174" s="1"/>
      <c r="P174" s="1" cm="1">
        <f t="array" ref="P174">_xlfn.SWITCH($A$2,"average", AVERAGE(Instances!P174:Instances!P174),"median", MEDIAN(Instances!P174:Instances!P174),"min", MIN(Instances!P174:Instances!P174),"max", MAX(Instances!P174:Instances!P174),"diff", MAX(Instances!P174:Instances!P174)-MIN(Instances!P174:Instances!P174))</f>
        <v>0</v>
      </c>
      <c r="Q174" s="1" cm="1">
        <f t="array" ref="Q174">_xlfn.SWITCH($A$2,"average", AVERAGE(Instances!Q174:Instances!Q174),"median", MEDIAN(Instances!Q174:Instances!Q174),"min", MIN(Instances!Q174:Instances!Q174),"max", MAX(Instances!Q174:Instances!Q174),"diff", MAX(Instances!Q174:Instances!Q174)-MIN(Instances!Q174:Instances!Q174))</f>
        <v>0</v>
      </c>
      <c r="R174" s="1" cm="1">
        <f t="array" ref="R174">_xlfn.SWITCH($A$2,"average", AVERAGE(Instances!R174:Instances!R174),"median", MEDIAN(Instances!R174:Instances!R174),"min", MIN(Instances!R174:Instances!R174),"max", MAX(Instances!R174:Instances!R174),"diff", MAX(Instances!R174:Instances!R174)-MIN(Instances!R174:Instances!R174))</f>
        <v>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 cm="1">
        <f t="array" ref="B175">_xlfn.SWITCH($A$2,"average", AVERAGE(Instances!B175:Instances!B175),"median", MEDIAN(Instances!B175:Instances!B175),"min", MIN(Instances!B175:Instances!B175),"max", MAX(Instances!B175:Instances!B175),"diff", MAX(Instances!B175:Instances!B175)-MIN(Instances!B175:Instances!B175))</f>
        <v>0</v>
      </c>
      <c r="C175" s="1" cm="1">
        <f t="array" ref="C175">_xlfn.SWITCH($A$2,"average", AVERAGE(Instances!C175:Instances!C175),"median", MEDIAN(Instances!C175:Instances!C175),"min", MIN(Instances!C175:Instances!C175),"max", MAX(Instances!C175:Instances!C175),"diff", MAX(Instances!C175:Instances!C175)-MIN(Instances!C175:Instances!C175))</f>
        <v>0</v>
      </c>
      <c r="D175" s="1" cm="1">
        <f t="array" ref="D175">_xlfn.SWITCH($A$2,"average", AVERAGE(Instances!D175:Instances!D175),"median", MEDIAN(Instances!D175:Instances!D175),"min", MIN(Instances!D175:Instances!D175),"max", MAX(Instances!D175:Instances!D175),"diff", MAX(Instances!D175:Instances!D175)-MIN(Instances!D175:Instances!D175))</f>
        <v>0</v>
      </c>
      <c r="E175" s="1" cm="1">
        <f t="array" ref="E175">_xlfn.SWITCH($A$2,"average", AVERAGE(Instances!E175:Instances!E175),"median", MEDIAN(Instances!E175:Instances!E175),"min", MIN(Instances!E175:Instances!E175),"max", MAX(Instances!E175:Instances!E175),"diff", MAX(Instances!E175:Instances!E175)-MIN(Instances!E175:Instances!E175))</f>
        <v>0</v>
      </c>
      <c r="F175" s="1" cm="1">
        <f t="array" ref="F175">_xlfn.SWITCH($A$2,"average", AVERAGE(Instances!F175:Instances!F175),"median", MEDIAN(Instances!F175:Instances!F175),"min", MIN(Instances!F175:Instances!F175),"max", MAX(Instances!F175:Instances!F175),"diff", MAX(Instances!F175:Instances!F175)-MIN(Instances!F175:Instances!F175))</f>
        <v>0</v>
      </c>
      <c r="G175" s="1" cm="1">
        <f t="array" ref="G175">_xlfn.SWITCH($A$2,"average", AVERAGE(Instances!G175:Instances!G175),"median", MEDIAN(Instances!G175:Instances!G175),"min", MIN(Instances!G175:Instances!G175),"max", MAX(Instances!G175:Instances!G175),"diff", MAX(Instances!G175:Instances!G175)-MIN(Instances!G175:Instances!G175))</f>
        <v>0</v>
      </c>
      <c r="H175" s="1" cm="1">
        <f t="array" ref="H175">_xlfn.SWITCH($A$2,"average", AVERAGE(Instances!H175:Instances!H175),"median", MEDIAN(Instances!H175:Instances!H175),"min", MIN(Instances!H175:Instances!H175),"max", MAX(Instances!H175:Instances!H175),"diff", MAX(Instances!H175:Instances!H175)-MIN(Instances!H175:Instances!H175))</f>
        <v>0</v>
      </c>
      <c r="I175" s="1" cm="1">
        <f t="array" ref="I175">_xlfn.SWITCH($A$2,"average", AVERAGE(Instances!I175:Instances!I175),"median", MEDIAN(Instances!I175:Instances!I175),"min", MIN(Instances!I175:Instances!I175),"max", MAX(Instances!I175:Instances!I175),"diff", MAX(Instances!I175:Instances!I175)-MIN(Instances!I175:Instances!I175))</f>
        <v>0</v>
      </c>
      <c r="J175" s="1" cm="1">
        <f t="array" ref="J175">_xlfn.SWITCH($A$2,"average", AVERAGE(Instances!J175:Instances!J175),"median", MEDIAN(Instances!J175:Instances!J175),"min", MIN(Instances!J175:Instances!J175),"max", MAX(Instances!J175:Instances!J175),"diff", MAX(Instances!J175:Instances!J175)-MIN(Instances!J175:Instances!J175))</f>
        <v>0</v>
      </c>
      <c r="K175" s="1" cm="1">
        <f t="array" ref="K175">_xlfn.SWITCH($A$2,"average", AVERAGE(Instances!K175:Instances!K175),"median", MEDIAN(Instances!K175:Instances!K175),"min", MIN(Instances!K175:Instances!K175),"max", MAX(Instances!K175:Instances!K175),"diff", MAX(Instances!K175:Instances!K175)-MIN(Instances!K175:Instances!K175))</f>
        <v>0</v>
      </c>
      <c r="L175" s="1"/>
      <c r="M175" s="1" cm="1">
        <f t="array" ref="M175">_xlfn.SWITCH($A$2,"average", AVERAGE(Instances!M175:Instances!M175),"median", MEDIAN(Instances!M175:Instances!M175),"min", MIN(Instances!M175:Instances!M175),"max", MAX(Instances!M175:Instances!M175),"diff", MAX(Instances!M175:Instances!M175)-MIN(Instances!M175:Instances!M175))</f>
        <v>0</v>
      </c>
      <c r="N175" s="1" cm="1">
        <f t="array" ref="N175">_xlfn.SWITCH($A$2,"average", AVERAGE(Instances!N175:Instances!N175),"median", MEDIAN(Instances!N175:Instances!N175),"min", MIN(Instances!N175:Instances!N175),"max", MAX(Instances!N175:Instances!N175),"diff", MAX(Instances!N175:Instances!N175)-MIN(Instances!N175:Instances!N175))</f>
        <v>0</v>
      </c>
      <c r="O175" s="1"/>
      <c r="P175" s="1" cm="1">
        <f t="array" ref="P175">_xlfn.SWITCH($A$2,"average", AVERAGE(Instances!P175:Instances!P175),"median", MEDIAN(Instances!P175:Instances!P175),"min", MIN(Instances!P175:Instances!P175),"max", MAX(Instances!P175:Instances!P175),"diff", MAX(Instances!P175:Instances!P175)-MIN(Instances!P175:Instances!P175))</f>
        <v>0</v>
      </c>
      <c r="Q175" s="1" cm="1">
        <f t="array" ref="Q175">_xlfn.SWITCH($A$2,"average", AVERAGE(Instances!Q175:Instances!Q175),"median", MEDIAN(Instances!Q175:Instances!Q175),"min", MIN(Instances!Q175:Instances!Q175),"max", MAX(Instances!Q175:Instances!Q175),"diff", MAX(Instances!Q175:Instances!Q175)-MIN(Instances!Q175:Instances!Q175))</f>
        <v>0</v>
      </c>
      <c r="R175" s="1" cm="1">
        <f t="array" ref="R175">_xlfn.SWITCH($A$2,"average", AVERAGE(Instances!R175:Instances!R175),"median", MEDIAN(Instances!R175:Instances!R175),"min", MIN(Instances!R175:Instances!R175),"max", MAX(Instances!R175:Instances!R175),"diff", MAX(Instances!R175:Instances!R175)-MIN(Instances!R175:Instances!R175))</f>
        <v>0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 cm="1">
        <f t="array" ref="B176">_xlfn.SWITCH($A$2,"average", AVERAGE(Instances!B176:Instances!B176),"median", MEDIAN(Instances!B176:Instances!B176),"min", MIN(Instances!B176:Instances!B176),"max", MAX(Instances!B176:Instances!B176),"diff", MAX(Instances!B176:Instances!B176)-MIN(Instances!B176:Instances!B176))</f>
        <v>0</v>
      </c>
      <c r="C176" s="1" cm="1">
        <f t="array" ref="C176">_xlfn.SWITCH($A$2,"average", AVERAGE(Instances!C176:Instances!C176),"median", MEDIAN(Instances!C176:Instances!C176),"min", MIN(Instances!C176:Instances!C176),"max", MAX(Instances!C176:Instances!C176),"diff", MAX(Instances!C176:Instances!C176)-MIN(Instances!C176:Instances!C176))</f>
        <v>0</v>
      </c>
      <c r="D176" s="1" cm="1">
        <f t="array" ref="D176">_xlfn.SWITCH($A$2,"average", AVERAGE(Instances!D176:Instances!D176),"median", MEDIAN(Instances!D176:Instances!D176),"min", MIN(Instances!D176:Instances!D176),"max", MAX(Instances!D176:Instances!D176),"diff", MAX(Instances!D176:Instances!D176)-MIN(Instances!D176:Instances!D176))</f>
        <v>0</v>
      </c>
      <c r="E176" s="1" cm="1">
        <f t="array" ref="E176">_xlfn.SWITCH($A$2,"average", AVERAGE(Instances!E176:Instances!E176),"median", MEDIAN(Instances!E176:Instances!E176),"min", MIN(Instances!E176:Instances!E176),"max", MAX(Instances!E176:Instances!E176),"diff", MAX(Instances!E176:Instances!E176)-MIN(Instances!E176:Instances!E176))</f>
        <v>0</v>
      </c>
      <c r="F176" s="1" cm="1">
        <f t="array" ref="F176">_xlfn.SWITCH($A$2,"average", AVERAGE(Instances!F176:Instances!F176),"median", MEDIAN(Instances!F176:Instances!F176),"min", MIN(Instances!F176:Instances!F176),"max", MAX(Instances!F176:Instances!F176),"diff", MAX(Instances!F176:Instances!F176)-MIN(Instances!F176:Instances!F176))</f>
        <v>0</v>
      </c>
      <c r="G176" s="1" cm="1">
        <f t="array" ref="G176">_xlfn.SWITCH($A$2,"average", AVERAGE(Instances!G176:Instances!G176),"median", MEDIAN(Instances!G176:Instances!G176),"min", MIN(Instances!G176:Instances!G176),"max", MAX(Instances!G176:Instances!G176),"diff", MAX(Instances!G176:Instances!G176)-MIN(Instances!G176:Instances!G176))</f>
        <v>0</v>
      </c>
      <c r="H176" s="1" cm="1">
        <f t="array" ref="H176">_xlfn.SWITCH($A$2,"average", AVERAGE(Instances!H176:Instances!H176),"median", MEDIAN(Instances!H176:Instances!H176),"min", MIN(Instances!H176:Instances!H176),"max", MAX(Instances!H176:Instances!H176),"diff", MAX(Instances!H176:Instances!H176)-MIN(Instances!H176:Instances!H176))</f>
        <v>0</v>
      </c>
      <c r="I176" s="1" cm="1">
        <f t="array" ref="I176">_xlfn.SWITCH($A$2,"average", AVERAGE(Instances!I176:Instances!I176),"median", MEDIAN(Instances!I176:Instances!I176),"min", MIN(Instances!I176:Instances!I176),"max", MAX(Instances!I176:Instances!I176),"diff", MAX(Instances!I176:Instances!I176)-MIN(Instances!I176:Instances!I176))</f>
        <v>0</v>
      </c>
      <c r="J176" s="1" cm="1">
        <f t="array" ref="J176">_xlfn.SWITCH($A$2,"average", AVERAGE(Instances!J176:Instances!J176),"median", MEDIAN(Instances!J176:Instances!J176),"min", MIN(Instances!J176:Instances!J176),"max", MAX(Instances!J176:Instances!J176),"diff", MAX(Instances!J176:Instances!J176)-MIN(Instances!J176:Instances!J176))</f>
        <v>0</v>
      </c>
      <c r="K176" s="1" cm="1">
        <f t="array" ref="K176">_xlfn.SWITCH($A$2,"average", AVERAGE(Instances!K176:Instances!K176),"median", MEDIAN(Instances!K176:Instances!K176),"min", MIN(Instances!K176:Instances!K176),"max", MAX(Instances!K176:Instances!K176),"diff", MAX(Instances!K176:Instances!K176)-MIN(Instances!K176:Instances!K176))</f>
        <v>0</v>
      </c>
      <c r="L176" s="1"/>
      <c r="M176" s="1" cm="1">
        <f t="array" ref="M176">_xlfn.SWITCH($A$2,"average", AVERAGE(Instances!M176:Instances!M176),"median", MEDIAN(Instances!M176:Instances!M176),"min", MIN(Instances!M176:Instances!M176),"max", MAX(Instances!M176:Instances!M176),"diff", MAX(Instances!M176:Instances!M176)-MIN(Instances!M176:Instances!M176))</f>
        <v>0</v>
      </c>
      <c r="N176" s="1" cm="1">
        <f t="array" ref="N176">_xlfn.SWITCH($A$2,"average", AVERAGE(Instances!N176:Instances!N176),"median", MEDIAN(Instances!N176:Instances!N176),"min", MIN(Instances!N176:Instances!N176),"max", MAX(Instances!N176:Instances!N176),"diff", MAX(Instances!N176:Instances!N176)-MIN(Instances!N176:Instances!N176))</f>
        <v>0</v>
      </c>
      <c r="O176" s="1"/>
      <c r="P176" s="1" cm="1">
        <f t="array" ref="P176">_xlfn.SWITCH($A$2,"average", AVERAGE(Instances!P176:Instances!P176),"median", MEDIAN(Instances!P176:Instances!P176),"min", MIN(Instances!P176:Instances!P176),"max", MAX(Instances!P176:Instances!P176),"diff", MAX(Instances!P176:Instances!P176)-MIN(Instances!P176:Instances!P176))</f>
        <v>0</v>
      </c>
      <c r="Q176" s="1" cm="1">
        <f t="array" ref="Q176">_xlfn.SWITCH($A$2,"average", AVERAGE(Instances!Q176:Instances!Q176),"median", MEDIAN(Instances!Q176:Instances!Q176),"min", MIN(Instances!Q176:Instances!Q176),"max", MAX(Instances!Q176:Instances!Q176),"diff", MAX(Instances!Q176:Instances!Q176)-MIN(Instances!Q176:Instances!Q176))</f>
        <v>0</v>
      </c>
      <c r="R176" s="1" cm="1">
        <f t="array" ref="R176">_xlfn.SWITCH($A$2,"average", AVERAGE(Instances!R176:Instances!R176),"median", MEDIAN(Instances!R176:Instances!R176),"min", MIN(Instances!R176:Instances!R176),"max", MAX(Instances!R176:Instances!R176),"diff", MAX(Instances!R176:Instances!R176)-MIN(Instances!R176:Instances!R176))</f>
        <v>0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 cm="1">
        <f t="array" ref="B177">_xlfn.SWITCH($A$2,"average", AVERAGE(Instances!B177:Instances!B177),"median", MEDIAN(Instances!B177:Instances!B177),"min", MIN(Instances!B177:Instances!B177),"max", MAX(Instances!B177:Instances!B177),"diff", MAX(Instances!B177:Instances!B177)-MIN(Instances!B177:Instances!B177))</f>
        <v>0</v>
      </c>
      <c r="C177" s="1" cm="1">
        <f t="array" ref="C177">_xlfn.SWITCH($A$2,"average", AVERAGE(Instances!C177:Instances!C177),"median", MEDIAN(Instances!C177:Instances!C177),"min", MIN(Instances!C177:Instances!C177),"max", MAX(Instances!C177:Instances!C177),"diff", MAX(Instances!C177:Instances!C177)-MIN(Instances!C177:Instances!C177))</f>
        <v>0</v>
      </c>
      <c r="D177" s="1" cm="1">
        <f t="array" ref="D177">_xlfn.SWITCH($A$2,"average", AVERAGE(Instances!D177:Instances!D177),"median", MEDIAN(Instances!D177:Instances!D177),"min", MIN(Instances!D177:Instances!D177),"max", MAX(Instances!D177:Instances!D177),"diff", MAX(Instances!D177:Instances!D177)-MIN(Instances!D177:Instances!D177))</f>
        <v>0</v>
      </c>
      <c r="E177" s="1" cm="1">
        <f t="array" ref="E177">_xlfn.SWITCH($A$2,"average", AVERAGE(Instances!E177:Instances!E177),"median", MEDIAN(Instances!E177:Instances!E177),"min", MIN(Instances!E177:Instances!E177),"max", MAX(Instances!E177:Instances!E177),"diff", MAX(Instances!E177:Instances!E177)-MIN(Instances!E177:Instances!E177))</f>
        <v>0</v>
      </c>
      <c r="F177" s="1" cm="1">
        <f t="array" ref="F177">_xlfn.SWITCH($A$2,"average", AVERAGE(Instances!F177:Instances!F177),"median", MEDIAN(Instances!F177:Instances!F177),"min", MIN(Instances!F177:Instances!F177),"max", MAX(Instances!F177:Instances!F177),"diff", MAX(Instances!F177:Instances!F177)-MIN(Instances!F177:Instances!F177))</f>
        <v>0</v>
      </c>
      <c r="G177" s="1" cm="1">
        <f t="array" ref="G177">_xlfn.SWITCH($A$2,"average", AVERAGE(Instances!G177:Instances!G177),"median", MEDIAN(Instances!G177:Instances!G177),"min", MIN(Instances!G177:Instances!G177),"max", MAX(Instances!G177:Instances!G177),"diff", MAX(Instances!G177:Instances!G177)-MIN(Instances!G177:Instances!G177))</f>
        <v>0</v>
      </c>
      <c r="H177" s="1" cm="1">
        <f t="array" ref="H177">_xlfn.SWITCH($A$2,"average", AVERAGE(Instances!H177:Instances!H177),"median", MEDIAN(Instances!H177:Instances!H177),"min", MIN(Instances!H177:Instances!H177),"max", MAX(Instances!H177:Instances!H177),"diff", MAX(Instances!H177:Instances!H177)-MIN(Instances!H177:Instances!H177))</f>
        <v>0</v>
      </c>
      <c r="I177" s="1" cm="1">
        <f t="array" ref="I177">_xlfn.SWITCH($A$2,"average", AVERAGE(Instances!I177:Instances!I177),"median", MEDIAN(Instances!I177:Instances!I177),"min", MIN(Instances!I177:Instances!I177),"max", MAX(Instances!I177:Instances!I177),"diff", MAX(Instances!I177:Instances!I177)-MIN(Instances!I177:Instances!I177))</f>
        <v>0</v>
      </c>
      <c r="J177" s="1" cm="1">
        <f t="array" ref="J177">_xlfn.SWITCH($A$2,"average", AVERAGE(Instances!J177:Instances!J177),"median", MEDIAN(Instances!J177:Instances!J177),"min", MIN(Instances!J177:Instances!J177),"max", MAX(Instances!J177:Instances!J177),"diff", MAX(Instances!J177:Instances!J177)-MIN(Instances!J177:Instances!J177))</f>
        <v>0</v>
      </c>
      <c r="K177" s="1" cm="1">
        <f t="array" ref="K177">_xlfn.SWITCH($A$2,"average", AVERAGE(Instances!K177:Instances!K177),"median", MEDIAN(Instances!K177:Instances!K177),"min", MIN(Instances!K177:Instances!K177),"max", MAX(Instances!K177:Instances!K177),"diff", MAX(Instances!K177:Instances!K177)-MIN(Instances!K177:Instances!K177))</f>
        <v>0</v>
      </c>
      <c r="L177" s="1"/>
      <c r="M177" s="1" cm="1">
        <f t="array" ref="M177">_xlfn.SWITCH($A$2,"average", AVERAGE(Instances!M177:Instances!M177),"median", MEDIAN(Instances!M177:Instances!M177),"min", MIN(Instances!M177:Instances!M177),"max", MAX(Instances!M177:Instances!M177),"diff", MAX(Instances!M177:Instances!M177)-MIN(Instances!M177:Instances!M177))</f>
        <v>0</v>
      </c>
      <c r="N177" s="1" cm="1">
        <f t="array" ref="N177">_xlfn.SWITCH($A$2,"average", AVERAGE(Instances!N177:Instances!N177),"median", MEDIAN(Instances!N177:Instances!N177),"min", MIN(Instances!N177:Instances!N177),"max", MAX(Instances!N177:Instances!N177),"diff", MAX(Instances!N177:Instances!N177)-MIN(Instances!N177:Instances!N177))</f>
        <v>0</v>
      </c>
      <c r="O177" s="1"/>
      <c r="P177" s="1" cm="1">
        <f t="array" ref="P177">_xlfn.SWITCH($A$2,"average", AVERAGE(Instances!P177:Instances!P177),"median", MEDIAN(Instances!P177:Instances!P177),"min", MIN(Instances!P177:Instances!P177),"max", MAX(Instances!P177:Instances!P177),"diff", MAX(Instances!P177:Instances!P177)-MIN(Instances!P177:Instances!P177))</f>
        <v>0</v>
      </c>
      <c r="Q177" s="1" cm="1">
        <f t="array" ref="Q177">_xlfn.SWITCH($A$2,"average", AVERAGE(Instances!Q177:Instances!Q177),"median", MEDIAN(Instances!Q177:Instances!Q177),"min", MIN(Instances!Q177:Instances!Q177),"max", MAX(Instances!Q177:Instances!Q177),"diff", MAX(Instances!Q177:Instances!Q177)-MIN(Instances!Q177:Instances!Q177))</f>
        <v>0</v>
      </c>
      <c r="R177" s="1" cm="1">
        <f t="array" ref="R177">_xlfn.SWITCH($A$2,"average", AVERAGE(Instances!R177:Instances!R177),"median", MEDIAN(Instances!R177:Instances!R177),"min", MIN(Instances!R177:Instances!R177),"max", MAX(Instances!R177:Instances!R177),"diff", MAX(Instances!R177:Instances!R177)-MIN(Instances!R177:Instances!R177))</f>
        <v>0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 cm="1">
        <f t="array" ref="B178">_xlfn.SWITCH($A$2,"average", AVERAGE(Instances!B178:Instances!B178),"median", MEDIAN(Instances!B178:Instances!B178),"min", MIN(Instances!B178:Instances!B178),"max", MAX(Instances!B178:Instances!B178),"diff", MAX(Instances!B178:Instances!B178)-MIN(Instances!B178:Instances!B178))</f>
        <v>0</v>
      </c>
      <c r="C178" s="1" cm="1">
        <f t="array" ref="C178">_xlfn.SWITCH($A$2,"average", AVERAGE(Instances!C178:Instances!C178),"median", MEDIAN(Instances!C178:Instances!C178),"min", MIN(Instances!C178:Instances!C178),"max", MAX(Instances!C178:Instances!C178),"diff", MAX(Instances!C178:Instances!C178)-MIN(Instances!C178:Instances!C178))</f>
        <v>0</v>
      </c>
      <c r="D178" s="1" cm="1">
        <f t="array" ref="D178">_xlfn.SWITCH($A$2,"average", AVERAGE(Instances!D178:Instances!D178),"median", MEDIAN(Instances!D178:Instances!D178),"min", MIN(Instances!D178:Instances!D178),"max", MAX(Instances!D178:Instances!D178),"diff", MAX(Instances!D178:Instances!D178)-MIN(Instances!D178:Instances!D178))</f>
        <v>0</v>
      </c>
      <c r="E178" s="1" cm="1">
        <f t="array" ref="E178">_xlfn.SWITCH($A$2,"average", AVERAGE(Instances!E178:Instances!E178),"median", MEDIAN(Instances!E178:Instances!E178),"min", MIN(Instances!E178:Instances!E178),"max", MAX(Instances!E178:Instances!E178),"diff", MAX(Instances!E178:Instances!E178)-MIN(Instances!E178:Instances!E178))</f>
        <v>0</v>
      </c>
      <c r="F178" s="1" cm="1">
        <f t="array" ref="F178">_xlfn.SWITCH($A$2,"average", AVERAGE(Instances!F178:Instances!F178),"median", MEDIAN(Instances!F178:Instances!F178),"min", MIN(Instances!F178:Instances!F178),"max", MAX(Instances!F178:Instances!F178),"diff", MAX(Instances!F178:Instances!F178)-MIN(Instances!F178:Instances!F178))</f>
        <v>0</v>
      </c>
      <c r="G178" s="1" cm="1">
        <f t="array" ref="G178">_xlfn.SWITCH($A$2,"average", AVERAGE(Instances!G178:Instances!G178),"median", MEDIAN(Instances!G178:Instances!G178),"min", MIN(Instances!G178:Instances!G178),"max", MAX(Instances!G178:Instances!G178),"diff", MAX(Instances!G178:Instances!G178)-MIN(Instances!G178:Instances!G178))</f>
        <v>0</v>
      </c>
      <c r="H178" s="1" cm="1">
        <f t="array" ref="H178">_xlfn.SWITCH($A$2,"average", AVERAGE(Instances!H178:Instances!H178),"median", MEDIAN(Instances!H178:Instances!H178),"min", MIN(Instances!H178:Instances!H178),"max", MAX(Instances!H178:Instances!H178),"diff", MAX(Instances!H178:Instances!H178)-MIN(Instances!H178:Instances!H178))</f>
        <v>0</v>
      </c>
      <c r="I178" s="1" cm="1">
        <f t="array" ref="I178">_xlfn.SWITCH($A$2,"average", AVERAGE(Instances!I178:Instances!I178),"median", MEDIAN(Instances!I178:Instances!I178),"min", MIN(Instances!I178:Instances!I178),"max", MAX(Instances!I178:Instances!I178),"diff", MAX(Instances!I178:Instances!I178)-MIN(Instances!I178:Instances!I178))</f>
        <v>0</v>
      </c>
      <c r="J178" s="1" cm="1">
        <f t="array" ref="J178">_xlfn.SWITCH($A$2,"average", AVERAGE(Instances!J178:Instances!J178),"median", MEDIAN(Instances!J178:Instances!J178),"min", MIN(Instances!J178:Instances!J178),"max", MAX(Instances!J178:Instances!J178),"diff", MAX(Instances!J178:Instances!J178)-MIN(Instances!J178:Instances!J178))</f>
        <v>0</v>
      </c>
      <c r="K178" s="1" cm="1">
        <f t="array" ref="K178">_xlfn.SWITCH($A$2,"average", AVERAGE(Instances!K178:Instances!K178),"median", MEDIAN(Instances!K178:Instances!K178),"min", MIN(Instances!K178:Instances!K178),"max", MAX(Instances!K178:Instances!K178),"diff", MAX(Instances!K178:Instances!K178)-MIN(Instances!K178:Instances!K178))</f>
        <v>0</v>
      </c>
      <c r="L178" s="1"/>
      <c r="M178" s="1" cm="1">
        <f t="array" ref="M178">_xlfn.SWITCH($A$2,"average", AVERAGE(Instances!M178:Instances!M178),"median", MEDIAN(Instances!M178:Instances!M178),"min", MIN(Instances!M178:Instances!M178),"max", MAX(Instances!M178:Instances!M178),"diff", MAX(Instances!M178:Instances!M178)-MIN(Instances!M178:Instances!M178))</f>
        <v>0</v>
      </c>
      <c r="N178" s="1" cm="1">
        <f t="array" ref="N178">_xlfn.SWITCH($A$2,"average", AVERAGE(Instances!N178:Instances!N178),"median", MEDIAN(Instances!N178:Instances!N178),"min", MIN(Instances!N178:Instances!N178),"max", MAX(Instances!N178:Instances!N178),"diff", MAX(Instances!N178:Instances!N178)-MIN(Instances!N178:Instances!N178))</f>
        <v>0</v>
      </c>
      <c r="O178" s="1"/>
      <c r="P178" s="1" cm="1">
        <f t="array" ref="P178">_xlfn.SWITCH($A$2,"average", AVERAGE(Instances!P178:Instances!P178),"median", MEDIAN(Instances!P178:Instances!P178),"min", MIN(Instances!P178:Instances!P178),"max", MAX(Instances!P178:Instances!P178),"diff", MAX(Instances!P178:Instances!P178)-MIN(Instances!P178:Instances!P178))</f>
        <v>0</v>
      </c>
      <c r="Q178" s="1" cm="1">
        <f t="array" ref="Q178">_xlfn.SWITCH($A$2,"average", AVERAGE(Instances!Q178:Instances!Q178),"median", MEDIAN(Instances!Q178:Instances!Q178),"min", MIN(Instances!Q178:Instances!Q178),"max", MAX(Instances!Q178:Instances!Q178),"diff", MAX(Instances!Q178:Instances!Q178)-MIN(Instances!Q178:Instances!Q178))</f>
        <v>0</v>
      </c>
      <c r="R178" s="1" cm="1">
        <f t="array" ref="R178">_xlfn.SWITCH($A$2,"average", AVERAGE(Instances!R178:Instances!R178),"median", MEDIAN(Instances!R178:Instances!R178),"min", MIN(Instances!R178:Instances!R178),"max", MAX(Instances!R178:Instances!R178),"diff", MAX(Instances!R178:Instances!R178)-MIN(Instances!R178:Instances!R178))</f>
        <v>0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 cm="1">
        <f t="array" ref="B179">_xlfn.SWITCH($A$2,"average", AVERAGE(Instances!B179:Instances!B179),"median", MEDIAN(Instances!B179:Instances!B179),"min", MIN(Instances!B179:Instances!B179),"max", MAX(Instances!B179:Instances!B179),"diff", MAX(Instances!B179:Instances!B179)-MIN(Instances!B179:Instances!B179))</f>
        <v>0</v>
      </c>
      <c r="C179" s="1" cm="1">
        <f t="array" ref="C179">_xlfn.SWITCH($A$2,"average", AVERAGE(Instances!C179:Instances!C179),"median", MEDIAN(Instances!C179:Instances!C179),"min", MIN(Instances!C179:Instances!C179),"max", MAX(Instances!C179:Instances!C179),"diff", MAX(Instances!C179:Instances!C179)-MIN(Instances!C179:Instances!C179))</f>
        <v>0</v>
      </c>
      <c r="D179" s="1" cm="1">
        <f t="array" ref="D179">_xlfn.SWITCH($A$2,"average", AVERAGE(Instances!D179:Instances!D179),"median", MEDIAN(Instances!D179:Instances!D179),"min", MIN(Instances!D179:Instances!D179),"max", MAX(Instances!D179:Instances!D179),"diff", MAX(Instances!D179:Instances!D179)-MIN(Instances!D179:Instances!D179))</f>
        <v>0</v>
      </c>
      <c r="E179" s="1" cm="1">
        <f t="array" ref="E179">_xlfn.SWITCH($A$2,"average", AVERAGE(Instances!E179:Instances!E179),"median", MEDIAN(Instances!E179:Instances!E179),"min", MIN(Instances!E179:Instances!E179),"max", MAX(Instances!E179:Instances!E179),"diff", MAX(Instances!E179:Instances!E179)-MIN(Instances!E179:Instances!E179))</f>
        <v>0</v>
      </c>
      <c r="F179" s="1" cm="1">
        <f t="array" ref="F179">_xlfn.SWITCH($A$2,"average", AVERAGE(Instances!F179:Instances!F179),"median", MEDIAN(Instances!F179:Instances!F179),"min", MIN(Instances!F179:Instances!F179),"max", MAX(Instances!F179:Instances!F179),"diff", MAX(Instances!F179:Instances!F179)-MIN(Instances!F179:Instances!F179))</f>
        <v>0</v>
      </c>
      <c r="G179" s="1" cm="1">
        <f t="array" ref="G179">_xlfn.SWITCH($A$2,"average", AVERAGE(Instances!G179:Instances!G179),"median", MEDIAN(Instances!G179:Instances!G179),"min", MIN(Instances!G179:Instances!G179),"max", MAX(Instances!G179:Instances!G179),"diff", MAX(Instances!G179:Instances!G179)-MIN(Instances!G179:Instances!G179))</f>
        <v>0</v>
      </c>
      <c r="H179" s="1" cm="1">
        <f t="array" ref="H179">_xlfn.SWITCH($A$2,"average", AVERAGE(Instances!H179:Instances!H179),"median", MEDIAN(Instances!H179:Instances!H179),"min", MIN(Instances!H179:Instances!H179),"max", MAX(Instances!H179:Instances!H179),"diff", MAX(Instances!H179:Instances!H179)-MIN(Instances!H179:Instances!H179))</f>
        <v>0</v>
      </c>
      <c r="I179" s="1" cm="1">
        <f t="array" ref="I179">_xlfn.SWITCH($A$2,"average", AVERAGE(Instances!I179:Instances!I179),"median", MEDIAN(Instances!I179:Instances!I179),"min", MIN(Instances!I179:Instances!I179),"max", MAX(Instances!I179:Instances!I179),"diff", MAX(Instances!I179:Instances!I179)-MIN(Instances!I179:Instances!I179))</f>
        <v>0</v>
      </c>
      <c r="J179" s="1" cm="1">
        <f t="array" ref="J179">_xlfn.SWITCH($A$2,"average", AVERAGE(Instances!J179:Instances!J179),"median", MEDIAN(Instances!J179:Instances!J179),"min", MIN(Instances!J179:Instances!J179),"max", MAX(Instances!J179:Instances!J179),"diff", MAX(Instances!J179:Instances!J179)-MIN(Instances!J179:Instances!J179))</f>
        <v>0</v>
      </c>
      <c r="K179" s="1" cm="1">
        <f t="array" ref="K179">_xlfn.SWITCH($A$2,"average", AVERAGE(Instances!K179:Instances!K179),"median", MEDIAN(Instances!K179:Instances!K179),"min", MIN(Instances!K179:Instances!K179),"max", MAX(Instances!K179:Instances!K179),"diff", MAX(Instances!K179:Instances!K179)-MIN(Instances!K179:Instances!K179))</f>
        <v>0</v>
      </c>
      <c r="L179" s="1"/>
      <c r="M179" s="1" cm="1">
        <f t="array" ref="M179">_xlfn.SWITCH($A$2,"average", AVERAGE(Instances!M179:Instances!M179),"median", MEDIAN(Instances!M179:Instances!M179),"min", MIN(Instances!M179:Instances!M179),"max", MAX(Instances!M179:Instances!M179),"diff", MAX(Instances!M179:Instances!M179)-MIN(Instances!M179:Instances!M179))</f>
        <v>0</v>
      </c>
      <c r="N179" s="1" cm="1">
        <f t="array" ref="N179">_xlfn.SWITCH($A$2,"average", AVERAGE(Instances!N179:Instances!N179),"median", MEDIAN(Instances!N179:Instances!N179),"min", MIN(Instances!N179:Instances!N179),"max", MAX(Instances!N179:Instances!N179),"diff", MAX(Instances!N179:Instances!N179)-MIN(Instances!N179:Instances!N179))</f>
        <v>0</v>
      </c>
      <c r="O179" s="1"/>
      <c r="P179" s="1" cm="1">
        <f t="array" ref="P179">_xlfn.SWITCH($A$2,"average", AVERAGE(Instances!P179:Instances!P179),"median", MEDIAN(Instances!P179:Instances!P179),"min", MIN(Instances!P179:Instances!P179),"max", MAX(Instances!P179:Instances!P179),"diff", MAX(Instances!P179:Instances!P179)-MIN(Instances!P179:Instances!P179))</f>
        <v>0</v>
      </c>
      <c r="Q179" s="1" cm="1">
        <f t="array" ref="Q179">_xlfn.SWITCH($A$2,"average", AVERAGE(Instances!Q179:Instances!Q179),"median", MEDIAN(Instances!Q179:Instances!Q179),"min", MIN(Instances!Q179:Instances!Q179),"max", MAX(Instances!Q179:Instances!Q179),"diff", MAX(Instances!Q179:Instances!Q179)-MIN(Instances!Q179:Instances!Q179))</f>
        <v>0</v>
      </c>
      <c r="R179" s="1" cm="1">
        <f t="array" ref="R179">_xlfn.SWITCH($A$2,"average", AVERAGE(Instances!R179:Instances!R179),"median", MEDIAN(Instances!R179:Instances!R179),"min", MIN(Instances!R179:Instances!R179),"max", MAX(Instances!R179:Instances!R179),"diff", MAX(Instances!R179:Instances!R179)-MIN(Instances!R179:Instances!R179))</f>
        <v>0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 cm="1">
        <f t="array" ref="B180">_xlfn.SWITCH($A$2,"average", AVERAGE(Instances!B180:Instances!B180),"median", MEDIAN(Instances!B180:Instances!B180),"min", MIN(Instances!B180:Instances!B180),"max", MAX(Instances!B180:Instances!B180),"diff", MAX(Instances!B180:Instances!B180)-MIN(Instances!B180:Instances!B180))</f>
        <v>0</v>
      </c>
      <c r="C180" s="1" cm="1">
        <f t="array" ref="C180">_xlfn.SWITCH($A$2,"average", AVERAGE(Instances!C180:Instances!C180),"median", MEDIAN(Instances!C180:Instances!C180),"min", MIN(Instances!C180:Instances!C180),"max", MAX(Instances!C180:Instances!C180),"diff", MAX(Instances!C180:Instances!C180)-MIN(Instances!C180:Instances!C180))</f>
        <v>0</v>
      </c>
      <c r="D180" s="1" cm="1">
        <f t="array" ref="D180">_xlfn.SWITCH($A$2,"average", AVERAGE(Instances!D180:Instances!D180),"median", MEDIAN(Instances!D180:Instances!D180),"min", MIN(Instances!D180:Instances!D180),"max", MAX(Instances!D180:Instances!D180),"diff", MAX(Instances!D180:Instances!D180)-MIN(Instances!D180:Instances!D180))</f>
        <v>0</v>
      </c>
      <c r="E180" s="1" cm="1">
        <f t="array" ref="E180">_xlfn.SWITCH($A$2,"average", AVERAGE(Instances!E180:Instances!E180),"median", MEDIAN(Instances!E180:Instances!E180),"min", MIN(Instances!E180:Instances!E180),"max", MAX(Instances!E180:Instances!E180),"diff", MAX(Instances!E180:Instances!E180)-MIN(Instances!E180:Instances!E180))</f>
        <v>0</v>
      </c>
      <c r="F180" s="1" cm="1">
        <f t="array" ref="F180">_xlfn.SWITCH($A$2,"average", AVERAGE(Instances!F180:Instances!F180),"median", MEDIAN(Instances!F180:Instances!F180),"min", MIN(Instances!F180:Instances!F180),"max", MAX(Instances!F180:Instances!F180),"diff", MAX(Instances!F180:Instances!F180)-MIN(Instances!F180:Instances!F180))</f>
        <v>0</v>
      </c>
      <c r="G180" s="1" cm="1">
        <f t="array" ref="G180">_xlfn.SWITCH($A$2,"average", AVERAGE(Instances!G180:Instances!G180),"median", MEDIAN(Instances!G180:Instances!G180),"min", MIN(Instances!G180:Instances!G180),"max", MAX(Instances!G180:Instances!G180),"diff", MAX(Instances!G180:Instances!G180)-MIN(Instances!G180:Instances!G180))</f>
        <v>0</v>
      </c>
      <c r="H180" s="1" cm="1">
        <f t="array" ref="H180">_xlfn.SWITCH($A$2,"average", AVERAGE(Instances!H180:Instances!H180),"median", MEDIAN(Instances!H180:Instances!H180),"min", MIN(Instances!H180:Instances!H180),"max", MAX(Instances!H180:Instances!H180),"diff", MAX(Instances!H180:Instances!H180)-MIN(Instances!H180:Instances!H180))</f>
        <v>0</v>
      </c>
      <c r="I180" s="1" cm="1">
        <f t="array" ref="I180">_xlfn.SWITCH($A$2,"average", AVERAGE(Instances!I180:Instances!I180),"median", MEDIAN(Instances!I180:Instances!I180),"min", MIN(Instances!I180:Instances!I180),"max", MAX(Instances!I180:Instances!I180),"diff", MAX(Instances!I180:Instances!I180)-MIN(Instances!I180:Instances!I180))</f>
        <v>0</v>
      </c>
      <c r="J180" s="1" cm="1">
        <f t="array" ref="J180">_xlfn.SWITCH($A$2,"average", AVERAGE(Instances!J180:Instances!J180),"median", MEDIAN(Instances!J180:Instances!J180),"min", MIN(Instances!J180:Instances!J180),"max", MAX(Instances!J180:Instances!J180),"diff", MAX(Instances!J180:Instances!J180)-MIN(Instances!J180:Instances!J180))</f>
        <v>0</v>
      </c>
      <c r="K180" s="1" cm="1">
        <f t="array" ref="K180">_xlfn.SWITCH($A$2,"average", AVERAGE(Instances!K180:Instances!K180),"median", MEDIAN(Instances!K180:Instances!K180),"min", MIN(Instances!K180:Instances!K180),"max", MAX(Instances!K180:Instances!K180),"diff", MAX(Instances!K180:Instances!K180)-MIN(Instances!K180:Instances!K180))</f>
        <v>0</v>
      </c>
      <c r="L180" s="1"/>
      <c r="M180" s="1" cm="1">
        <f t="array" ref="M180">_xlfn.SWITCH($A$2,"average", AVERAGE(Instances!M180:Instances!M180),"median", MEDIAN(Instances!M180:Instances!M180),"min", MIN(Instances!M180:Instances!M180),"max", MAX(Instances!M180:Instances!M180),"diff", MAX(Instances!M180:Instances!M180)-MIN(Instances!M180:Instances!M180))</f>
        <v>0</v>
      </c>
      <c r="N180" s="1" cm="1">
        <f t="array" ref="N180">_xlfn.SWITCH($A$2,"average", AVERAGE(Instances!N180:Instances!N180),"median", MEDIAN(Instances!N180:Instances!N180),"min", MIN(Instances!N180:Instances!N180),"max", MAX(Instances!N180:Instances!N180),"diff", MAX(Instances!N180:Instances!N180)-MIN(Instances!N180:Instances!N180))</f>
        <v>0</v>
      </c>
      <c r="O180" s="1"/>
      <c r="P180" s="1" cm="1">
        <f t="array" ref="P180">_xlfn.SWITCH($A$2,"average", AVERAGE(Instances!P180:Instances!P180),"median", MEDIAN(Instances!P180:Instances!P180),"min", MIN(Instances!P180:Instances!P180),"max", MAX(Instances!P180:Instances!P180),"diff", MAX(Instances!P180:Instances!P180)-MIN(Instances!P180:Instances!P180))</f>
        <v>0</v>
      </c>
      <c r="Q180" s="1" cm="1">
        <f t="array" ref="Q180">_xlfn.SWITCH($A$2,"average", AVERAGE(Instances!Q180:Instances!Q180),"median", MEDIAN(Instances!Q180:Instances!Q180),"min", MIN(Instances!Q180:Instances!Q180),"max", MAX(Instances!Q180:Instances!Q180),"diff", MAX(Instances!Q180:Instances!Q180)-MIN(Instances!Q180:Instances!Q180))</f>
        <v>0</v>
      </c>
      <c r="R180" s="1" cm="1">
        <f t="array" ref="R180">_xlfn.SWITCH($A$2,"average", AVERAGE(Instances!R180:Instances!R180),"median", MEDIAN(Instances!R180:Instances!R180),"min", MIN(Instances!R180:Instances!R180),"max", MAX(Instances!R180:Instances!R180),"diff", MAX(Instances!R180:Instances!R180)-MIN(Instances!R180:Instances!R180))</f>
        <v>0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 cm="1">
        <f t="array" ref="B181">_xlfn.SWITCH($A$2,"average", AVERAGE(Instances!B181:Instances!B181),"median", MEDIAN(Instances!B181:Instances!B181),"min", MIN(Instances!B181:Instances!B181),"max", MAX(Instances!B181:Instances!B181),"diff", MAX(Instances!B181:Instances!B181)-MIN(Instances!B181:Instances!B181))</f>
        <v>0</v>
      </c>
      <c r="C181" s="1" cm="1">
        <f t="array" ref="C181">_xlfn.SWITCH($A$2,"average", AVERAGE(Instances!C181:Instances!C181),"median", MEDIAN(Instances!C181:Instances!C181),"min", MIN(Instances!C181:Instances!C181),"max", MAX(Instances!C181:Instances!C181),"diff", MAX(Instances!C181:Instances!C181)-MIN(Instances!C181:Instances!C181))</f>
        <v>0</v>
      </c>
      <c r="D181" s="1" cm="1">
        <f t="array" ref="D181">_xlfn.SWITCH($A$2,"average", AVERAGE(Instances!D181:Instances!D181),"median", MEDIAN(Instances!D181:Instances!D181),"min", MIN(Instances!D181:Instances!D181),"max", MAX(Instances!D181:Instances!D181),"diff", MAX(Instances!D181:Instances!D181)-MIN(Instances!D181:Instances!D181))</f>
        <v>0</v>
      </c>
      <c r="E181" s="1" cm="1">
        <f t="array" ref="E181">_xlfn.SWITCH($A$2,"average", AVERAGE(Instances!E181:Instances!E181),"median", MEDIAN(Instances!E181:Instances!E181),"min", MIN(Instances!E181:Instances!E181),"max", MAX(Instances!E181:Instances!E181),"diff", MAX(Instances!E181:Instances!E181)-MIN(Instances!E181:Instances!E181))</f>
        <v>0</v>
      </c>
      <c r="F181" s="1" cm="1">
        <f t="array" ref="F181">_xlfn.SWITCH($A$2,"average", AVERAGE(Instances!F181:Instances!F181),"median", MEDIAN(Instances!F181:Instances!F181),"min", MIN(Instances!F181:Instances!F181),"max", MAX(Instances!F181:Instances!F181),"diff", MAX(Instances!F181:Instances!F181)-MIN(Instances!F181:Instances!F181))</f>
        <v>0</v>
      </c>
      <c r="G181" s="1" cm="1">
        <f t="array" ref="G181">_xlfn.SWITCH($A$2,"average", AVERAGE(Instances!G181:Instances!G181),"median", MEDIAN(Instances!G181:Instances!G181),"min", MIN(Instances!G181:Instances!G181),"max", MAX(Instances!G181:Instances!G181),"diff", MAX(Instances!G181:Instances!G181)-MIN(Instances!G181:Instances!G181))</f>
        <v>0</v>
      </c>
      <c r="H181" s="1" cm="1">
        <f t="array" ref="H181">_xlfn.SWITCH($A$2,"average", AVERAGE(Instances!H181:Instances!H181),"median", MEDIAN(Instances!H181:Instances!H181),"min", MIN(Instances!H181:Instances!H181),"max", MAX(Instances!H181:Instances!H181),"diff", MAX(Instances!H181:Instances!H181)-MIN(Instances!H181:Instances!H181))</f>
        <v>0</v>
      </c>
      <c r="I181" s="1" cm="1">
        <f t="array" ref="I181">_xlfn.SWITCH($A$2,"average", AVERAGE(Instances!I181:Instances!I181),"median", MEDIAN(Instances!I181:Instances!I181),"min", MIN(Instances!I181:Instances!I181),"max", MAX(Instances!I181:Instances!I181),"diff", MAX(Instances!I181:Instances!I181)-MIN(Instances!I181:Instances!I181))</f>
        <v>0</v>
      </c>
      <c r="J181" s="1" cm="1">
        <f t="array" ref="J181">_xlfn.SWITCH($A$2,"average", AVERAGE(Instances!J181:Instances!J181),"median", MEDIAN(Instances!J181:Instances!J181),"min", MIN(Instances!J181:Instances!J181),"max", MAX(Instances!J181:Instances!J181),"diff", MAX(Instances!J181:Instances!J181)-MIN(Instances!J181:Instances!J181))</f>
        <v>0</v>
      </c>
      <c r="K181" s="1" cm="1">
        <f t="array" ref="K181">_xlfn.SWITCH($A$2,"average", AVERAGE(Instances!K181:Instances!K181),"median", MEDIAN(Instances!K181:Instances!K181),"min", MIN(Instances!K181:Instances!K181),"max", MAX(Instances!K181:Instances!K181),"diff", MAX(Instances!K181:Instances!K181)-MIN(Instances!K181:Instances!K181))</f>
        <v>0</v>
      </c>
      <c r="L181" s="1"/>
      <c r="M181" s="1" cm="1">
        <f t="array" ref="M181">_xlfn.SWITCH($A$2,"average", AVERAGE(Instances!M181:Instances!M181),"median", MEDIAN(Instances!M181:Instances!M181),"min", MIN(Instances!M181:Instances!M181),"max", MAX(Instances!M181:Instances!M181),"diff", MAX(Instances!M181:Instances!M181)-MIN(Instances!M181:Instances!M181))</f>
        <v>0</v>
      </c>
      <c r="N181" s="1" cm="1">
        <f t="array" ref="N181">_xlfn.SWITCH($A$2,"average", AVERAGE(Instances!N181:Instances!N181),"median", MEDIAN(Instances!N181:Instances!N181),"min", MIN(Instances!N181:Instances!N181),"max", MAX(Instances!N181:Instances!N181),"diff", MAX(Instances!N181:Instances!N181)-MIN(Instances!N181:Instances!N181))</f>
        <v>0</v>
      </c>
      <c r="O181" s="1"/>
      <c r="P181" s="1" cm="1">
        <f t="array" ref="P181">_xlfn.SWITCH($A$2,"average", AVERAGE(Instances!P181:Instances!P181),"median", MEDIAN(Instances!P181:Instances!P181),"min", MIN(Instances!P181:Instances!P181),"max", MAX(Instances!P181:Instances!P181),"diff", MAX(Instances!P181:Instances!P181)-MIN(Instances!P181:Instances!P181))</f>
        <v>0</v>
      </c>
      <c r="Q181" s="1" cm="1">
        <f t="array" ref="Q181">_xlfn.SWITCH($A$2,"average", AVERAGE(Instances!Q181:Instances!Q181),"median", MEDIAN(Instances!Q181:Instances!Q181),"min", MIN(Instances!Q181:Instances!Q181),"max", MAX(Instances!Q181:Instances!Q181),"diff", MAX(Instances!Q181:Instances!Q181)-MIN(Instances!Q181:Instances!Q181))</f>
        <v>0</v>
      </c>
      <c r="R181" s="1" cm="1">
        <f t="array" ref="R181">_xlfn.SWITCH($A$2,"average", AVERAGE(Instances!R181:Instances!R181),"median", MEDIAN(Instances!R181:Instances!R181),"min", MIN(Instances!R181:Instances!R181),"max", MAX(Instances!R181:Instances!R181),"diff", MAX(Instances!R181:Instances!R181)-MIN(Instances!R181:Instances!R181))</f>
        <v>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 cm="1">
        <f t="array" ref="B182">_xlfn.SWITCH($A$2,"average", AVERAGE(Instances!B182:Instances!B182),"median", MEDIAN(Instances!B182:Instances!B182),"min", MIN(Instances!B182:Instances!B182),"max", MAX(Instances!B182:Instances!B182),"diff", MAX(Instances!B182:Instances!B182)-MIN(Instances!B182:Instances!B182))</f>
        <v>0</v>
      </c>
      <c r="C182" s="1" cm="1">
        <f t="array" ref="C182">_xlfn.SWITCH($A$2,"average", AVERAGE(Instances!C182:Instances!C182),"median", MEDIAN(Instances!C182:Instances!C182),"min", MIN(Instances!C182:Instances!C182),"max", MAX(Instances!C182:Instances!C182),"diff", MAX(Instances!C182:Instances!C182)-MIN(Instances!C182:Instances!C182))</f>
        <v>0</v>
      </c>
      <c r="D182" s="1" cm="1">
        <f t="array" ref="D182">_xlfn.SWITCH($A$2,"average", AVERAGE(Instances!D182:Instances!D182),"median", MEDIAN(Instances!D182:Instances!D182),"min", MIN(Instances!D182:Instances!D182),"max", MAX(Instances!D182:Instances!D182),"diff", MAX(Instances!D182:Instances!D182)-MIN(Instances!D182:Instances!D182))</f>
        <v>0</v>
      </c>
      <c r="E182" s="1" cm="1">
        <f t="array" ref="E182">_xlfn.SWITCH($A$2,"average", AVERAGE(Instances!E182:Instances!E182),"median", MEDIAN(Instances!E182:Instances!E182),"min", MIN(Instances!E182:Instances!E182),"max", MAX(Instances!E182:Instances!E182),"diff", MAX(Instances!E182:Instances!E182)-MIN(Instances!E182:Instances!E182))</f>
        <v>0</v>
      </c>
      <c r="F182" s="1" cm="1">
        <f t="array" ref="F182">_xlfn.SWITCH($A$2,"average", AVERAGE(Instances!F182:Instances!F182),"median", MEDIAN(Instances!F182:Instances!F182),"min", MIN(Instances!F182:Instances!F182),"max", MAX(Instances!F182:Instances!F182),"diff", MAX(Instances!F182:Instances!F182)-MIN(Instances!F182:Instances!F182))</f>
        <v>0</v>
      </c>
      <c r="G182" s="1" cm="1">
        <f t="array" ref="G182">_xlfn.SWITCH($A$2,"average", AVERAGE(Instances!G182:Instances!G182),"median", MEDIAN(Instances!G182:Instances!G182),"min", MIN(Instances!G182:Instances!G182),"max", MAX(Instances!G182:Instances!G182),"diff", MAX(Instances!G182:Instances!G182)-MIN(Instances!G182:Instances!G182))</f>
        <v>0</v>
      </c>
      <c r="H182" s="1" cm="1">
        <f t="array" ref="H182">_xlfn.SWITCH($A$2,"average", AVERAGE(Instances!H182:Instances!H182),"median", MEDIAN(Instances!H182:Instances!H182),"min", MIN(Instances!H182:Instances!H182),"max", MAX(Instances!H182:Instances!H182),"diff", MAX(Instances!H182:Instances!H182)-MIN(Instances!H182:Instances!H182))</f>
        <v>0</v>
      </c>
      <c r="I182" s="1" cm="1">
        <f t="array" ref="I182">_xlfn.SWITCH($A$2,"average", AVERAGE(Instances!I182:Instances!I182),"median", MEDIAN(Instances!I182:Instances!I182),"min", MIN(Instances!I182:Instances!I182),"max", MAX(Instances!I182:Instances!I182),"diff", MAX(Instances!I182:Instances!I182)-MIN(Instances!I182:Instances!I182))</f>
        <v>0</v>
      </c>
      <c r="J182" s="1" cm="1">
        <f t="array" ref="J182">_xlfn.SWITCH($A$2,"average", AVERAGE(Instances!J182:Instances!J182),"median", MEDIAN(Instances!J182:Instances!J182),"min", MIN(Instances!J182:Instances!J182),"max", MAX(Instances!J182:Instances!J182),"diff", MAX(Instances!J182:Instances!J182)-MIN(Instances!J182:Instances!J182))</f>
        <v>0</v>
      </c>
      <c r="K182" s="1" cm="1">
        <f t="array" ref="K182">_xlfn.SWITCH($A$2,"average", AVERAGE(Instances!K182:Instances!K182),"median", MEDIAN(Instances!K182:Instances!K182),"min", MIN(Instances!K182:Instances!K182),"max", MAX(Instances!K182:Instances!K182),"diff", MAX(Instances!K182:Instances!K182)-MIN(Instances!K182:Instances!K182))</f>
        <v>0</v>
      </c>
      <c r="L182" s="1"/>
      <c r="M182" s="1" cm="1">
        <f t="array" ref="M182">_xlfn.SWITCH($A$2,"average", AVERAGE(Instances!M182:Instances!M182),"median", MEDIAN(Instances!M182:Instances!M182),"min", MIN(Instances!M182:Instances!M182),"max", MAX(Instances!M182:Instances!M182),"diff", MAX(Instances!M182:Instances!M182)-MIN(Instances!M182:Instances!M182))</f>
        <v>0</v>
      </c>
      <c r="N182" s="1" cm="1">
        <f t="array" ref="N182">_xlfn.SWITCH($A$2,"average", AVERAGE(Instances!N182:Instances!N182),"median", MEDIAN(Instances!N182:Instances!N182),"min", MIN(Instances!N182:Instances!N182),"max", MAX(Instances!N182:Instances!N182),"diff", MAX(Instances!N182:Instances!N182)-MIN(Instances!N182:Instances!N182))</f>
        <v>0</v>
      </c>
      <c r="O182" s="1"/>
      <c r="P182" s="1" cm="1">
        <f t="array" ref="P182">_xlfn.SWITCH($A$2,"average", AVERAGE(Instances!P182:Instances!P182),"median", MEDIAN(Instances!P182:Instances!P182),"min", MIN(Instances!P182:Instances!P182),"max", MAX(Instances!P182:Instances!P182),"diff", MAX(Instances!P182:Instances!P182)-MIN(Instances!P182:Instances!P182))</f>
        <v>0</v>
      </c>
      <c r="Q182" s="1" cm="1">
        <f t="array" ref="Q182">_xlfn.SWITCH($A$2,"average", AVERAGE(Instances!Q182:Instances!Q182),"median", MEDIAN(Instances!Q182:Instances!Q182),"min", MIN(Instances!Q182:Instances!Q182),"max", MAX(Instances!Q182:Instances!Q182),"diff", MAX(Instances!Q182:Instances!Q182)-MIN(Instances!Q182:Instances!Q182))</f>
        <v>0</v>
      </c>
      <c r="R182" s="1" cm="1">
        <f t="array" ref="R182">_xlfn.SWITCH($A$2,"average", AVERAGE(Instances!R182:Instances!R182),"median", MEDIAN(Instances!R182:Instances!R182),"min", MIN(Instances!R182:Instances!R182),"max", MAX(Instances!R182:Instances!R182),"diff", MAX(Instances!R182:Instances!R182)-MIN(Instances!R182:Instances!R182))</f>
        <v>0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 cm="1">
        <f t="array" ref="B183">_xlfn.SWITCH($A$2,"average", AVERAGE(Instances!B183:Instances!B183),"median", MEDIAN(Instances!B183:Instances!B183),"min", MIN(Instances!B183:Instances!B183),"max", MAX(Instances!B183:Instances!B183),"diff", MAX(Instances!B183:Instances!B183)-MIN(Instances!B183:Instances!B183))</f>
        <v>0</v>
      </c>
      <c r="C183" s="1" cm="1">
        <f t="array" ref="C183">_xlfn.SWITCH($A$2,"average", AVERAGE(Instances!C183:Instances!C183),"median", MEDIAN(Instances!C183:Instances!C183),"min", MIN(Instances!C183:Instances!C183),"max", MAX(Instances!C183:Instances!C183),"diff", MAX(Instances!C183:Instances!C183)-MIN(Instances!C183:Instances!C183))</f>
        <v>0</v>
      </c>
      <c r="D183" s="1" cm="1">
        <f t="array" ref="D183">_xlfn.SWITCH($A$2,"average", AVERAGE(Instances!D183:Instances!D183),"median", MEDIAN(Instances!D183:Instances!D183),"min", MIN(Instances!D183:Instances!D183),"max", MAX(Instances!D183:Instances!D183),"diff", MAX(Instances!D183:Instances!D183)-MIN(Instances!D183:Instances!D183))</f>
        <v>0</v>
      </c>
      <c r="E183" s="1" cm="1">
        <f t="array" ref="E183">_xlfn.SWITCH($A$2,"average", AVERAGE(Instances!E183:Instances!E183),"median", MEDIAN(Instances!E183:Instances!E183),"min", MIN(Instances!E183:Instances!E183),"max", MAX(Instances!E183:Instances!E183),"diff", MAX(Instances!E183:Instances!E183)-MIN(Instances!E183:Instances!E183))</f>
        <v>0</v>
      </c>
      <c r="F183" s="1" cm="1">
        <f t="array" ref="F183">_xlfn.SWITCH($A$2,"average", AVERAGE(Instances!F183:Instances!F183),"median", MEDIAN(Instances!F183:Instances!F183),"min", MIN(Instances!F183:Instances!F183),"max", MAX(Instances!F183:Instances!F183),"diff", MAX(Instances!F183:Instances!F183)-MIN(Instances!F183:Instances!F183))</f>
        <v>0</v>
      </c>
      <c r="G183" s="1" cm="1">
        <f t="array" ref="G183">_xlfn.SWITCH($A$2,"average", AVERAGE(Instances!G183:Instances!G183),"median", MEDIAN(Instances!G183:Instances!G183),"min", MIN(Instances!G183:Instances!G183),"max", MAX(Instances!G183:Instances!G183),"diff", MAX(Instances!G183:Instances!G183)-MIN(Instances!G183:Instances!G183))</f>
        <v>0</v>
      </c>
      <c r="H183" s="1" cm="1">
        <f t="array" ref="H183">_xlfn.SWITCH($A$2,"average", AVERAGE(Instances!H183:Instances!H183),"median", MEDIAN(Instances!H183:Instances!H183),"min", MIN(Instances!H183:Instances!H183),"max", MAX(Instances!H183:Instances!H183),"diff", MAX(Instances!H183:Instances!H183)-MIN(Instances!H183:Instances!H183))</f>
        <v>0</v>
      </c>
      <c r="I183" s="1" cm="1">
        <f t="array" ref="I183">_xlfn.SWITCH($A$2,"average", AVERAGE(Instances!I183:Instances!I183),"median", MEDIAN(Instances!I183:Instances!I183),"min", MIN(Instances!I183:Instances!I183),"max", MAX(Instances!I183:Instances!I183),"diff", MAX(Instances!I183:Instances!I183)-MIN(Instances!I183:Instances!I183))</f>
        <v>0</v>
      </c>
      <c r="J183" s="1" cm="1">
        <f t="array" ref="J183">_xlfn.SWITCH($A$2,"average", AVERAGE(Instances!J183:Instances!J183),"median", MEDIAN(Instances!J183:Instances!J183),"min", MIN(Instances!J183:Instances!J183),"max", MAX(Instances!J183:Instances!J183),"diff", MAX(Instances!J183:Instances!J183)-MIN(Instances!J183:Instances!J183))</f>
        <v>0</v>
      </c>
      <c r="K183" s="1" cm="1">
        <f t="array" ref="K183">_xlfn.SWITCH($A$2,"average", AVERAGE(Instances!K183:Instances!K183),"median", MEDIAN(Instances!K183:Instances!K183),"min", MIN(Instances!K183:Instances!K183),"max", MAX(Instances!K183:Instances!K183),"diff", MAX(Instances!K183:Instances!K183)-MIN(Instances!K183:Instances!K183))</f>
        <v>0</v>
      </c>
      <c r="L183" s="1"/>
      <c r="M183" s="1" cm="1">
        <f t="array" ref="M183">_xlfn.SWITCH($A$2,"average", AVERAGE(Instances!M183:Instances!M183),"median", MEDIAN(Instances!M183:Instances!M183),"min", MIN(Instances!M183:Instances!M183),"max", MAX(Instances!M183:Instances!M183),"diff", MAX(Instances!M183:Instances!M183)-MIN(Instances!M183:Instances!M183))</f>
        <v>0</v>
      </c>
      <c r="N183" s="1" cm="1">
        <f t="array" ref="N183">_xlfn.SWITCH($A$2,"average", AVERAGE(Instances!N183:Instances!N183),"median", MEDIAN(Instances!N183:Instances!N183),"min", MIN(Instances!N183:Instances!N183),"max", MAX(Instances!N183:Instances!N183),"diff", MAX(Instances!N183:Instances!N183)-MIN(Instances!N183:Instances!N183))</f>
        <v>0</v>
      </c>
      <c r="O183" s="1"/>
      <c r="P183" s="1" cm="1">
        <f t="array" ref="P183">_xlfn.SWITCH($A$2,"average", AVERAGE(Instances!P183:Instances!P183),"median", MEDIAN(Instances!P183:Instances!P183),"min", MIN(Instances!P183:Instances!P183),"max", MAX(Instances!P183:Instances!P183),"diff", MAX(Instances!P183:Instances!P183)-MIN(Instances!P183:Instances!P183))</f>
        <v>0</v>
      </c>
      <c r="Q183" s="1" cm="1">
        <f t="array" ref="Q183">_xlfn.SWITCH($A$2,"average", AVERAGE(Instances!Q183:Instances!Q183),"median", MEDIAN(Instances!Q183:Instances!Q183),"min", MIN(Instances!Q183:Instances!Q183),"max", MAX(Instances!Q183:Instances!Q183),"diff", MAX(Instances!Q183:Instances!Q183)-MIN(Instances!Q183:Instances!Q183))</f>
        <v>0</v>
      </c>
      <c r="R183" s="1" cm="1">
        <f t="array" ref="R183">_xlfn.SWITCH($A$2,"average", AVERAGE(Instances!R183:Instances!R183),"median", MEDIAN(Instances!R183:Instances!R183),"min", MIN(Instances!R183:Instances!R183),"max", MAX(Instances!R183:Instances!R183),"diff", MAX(Instances!R183:Instances!R183)-MIN(Instances!R183:Instances!R183))</f>
        <v>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 cm="1">
        <f t="array" ref="B184">_xlfn.SWITCH($A$2,"average", AVERAGE(Instances!B184:Instances!B184),"median", MEDIAN(Instances!B184:Instances!B184),"min", MIN(Instances!B184:Instances!B184),"max", MAX(Instances!B184:Instances!B184),"diff", MAX(Instances!B184:Instances!B184)-MIN(Instances!B184:Instances!B184))</f>
        <v>0</v>
      </c>
      <c r="C184" s="1" cm="1">
        <f t="array" ref="C184">_xlfn.SWITCH($A$2,"average", AVERAGE(Instances!C184:Instances!C184),"median", MEDIAN(Instances!C184:Instances!C184),"min", MIN(Instances!C184:Instances!C184),"max", MAX(Instances!C184:Instances!C184),"diff", MAX(Instances!C184:Instances!C184)-MIN(Instances!C184:Instances!C184))</f>
        <v>0</v>
      </c>
      <c r="D184" s="1" cm="1">
        <f t="array" ref="D184">_xlfn.SWITCH($A$2,"average", AVERAGE(Instances!D184:Instances!D184),"median", MEDIAN(Instances!D184:Instances!D184),"min", MIN(Instances!D184:Instances!D184),"max", MAX(Instances!D184:Instances!D184),"diff", MAX(Instances!D184:Instances!D184)-MIN(Instances!D184:Instances!D184))</f>
        <v>0</v>
      </c>
      <c r="E184" s="1" cm="1">
        <f t="array" ref="E184">_xlfn.SWITCH($A$2,"average", AVERAGE(Instances!E184:Instances!E184),"median", MEDIAN(Instances!E184:Instances!E184),"min", MIN(Instances!E184:Instances!E184),"max", MAX(Instances!E184:Instances!E184),"diff", MAX(Instances!E184:Instances!E184)-MIN(Instances!E184:Instances!E184))</f>
        <v>0</v>
      </c>
      <c r="F184" s="1" cm="1">
        <f t="array" ref="F184">_xlfn.SWITCH($A$2,"average", AVERAGE(Instances!F184:Instances!F184),"median", MEDIAN(Instances!F184:Instances!F184),"min", MIN(Instances!F184:Instances!F184),"max", MAX(Instances!F184:Instances!F184),"diff", MAX(Instances!F184:Instances!F184)-MIN(Instances!F184:Instances!F184))</f>
        <v>0</v>
      </c>
      <c r="G184" s="1" cm="1">
        <f t="array" ref="G184">_xlfn.SWITCH($A$2,"average", AVERAGE(Instances!G184:Instances!G184),"median", MEDIAN(Instances!G184:Instances!G184),"min", MIN(Instances!G184:Instances!G184),"max", MAX(Instances!G184:Instances!G184),"diff", MAX(Instances!G184:Instances!G184)-MIN(Instances!G184:Instances!G184))</f>
        <v>0</v>
      </c>
      <c r="H184" s="1" cm="1">
        <f t="array" ref="H184">_xlfn.SWITCH($A$2,"average", AVERAGE(Instances!H184:Instances!H184),"median", MEDIAN(Instances!H184:Instances!H184),"min", MIN(Instances!H184:Instances!H184),"max", MAX(Instances!H184:Instances!H184),"diff", MAX(Instances!H184:Instances!H184)-MIN(Instances!H184:Instances!H184))</f>
        <v>0</v>
      </c>
      <c r="I184" s="1" cm="1">
        <f t="array" ref="I184">_xlfn.SWITCH($A$2,"average", AVERAGE(Instances!I184:Instances!I184),"median", MEDIAN(Instances!I184:Instances!I184),"min", MIN(Instances!I184:Instances!I184),"max", MAX(Instances!I184:Instances!I184),"diff", MAX(Instances!I184:Instances!I184)-MIN(Instances!I184:Instances!I184))</f>
        <v>0</v>
      </c>
      <c r="J184" s="1" cm="1">
        <f t="array" ref="J184">_xlfn.SWITCH($A$2,"average", AVERAGE(Instances!J184:Instances!J184),"median", MEDIAN(Instances!J184:Instances!J184),"min", MIN(Instances!J184:Instances!J184),"max", MAX(Instances!J184:Instances!J184),"diff", MAX(Instances!J184:Instances!J184)-MIN(Instances!J184:Instances!J184))</f>
        <v>0</v>
      </c>
      <c r="K184" s="1" cm="1">
        <f t="array" ref="K184">_xlfn.SWITCH($A$2,"average", AVERAGE(Instances!K184:Instances!K184),"median", MEDIAN(Instances!K184:Instances!K184),"min", MIN(Instances!K184:Instances!K184),"max", MAX(Instances!K184:Instances!K184),"diff", MAX(Instances!K184:Instances!K184)-MIN(Instances!K184:Instances!K184))</f>
        <v>0</v>
      </c>
      <c r="L184" s="1"/>
      <c r="M184" s="1" cm="1">
        <f t="array" ref="M184">_xlfn.SWITCH($A$2,"average", AVERAGE(Instances!M184:Instances!M184),"median", MEDIAN(Instances!M184:Instances!M184),"min", MIN(Instances!M184:Instances!M184),"max", MAX(Instances!M184:Instances!M184),"diff", MAX(Instances!M184:Instances!M184)-MIN(Instances!M184:Instances!M184))</f>
        <v>0</v>
      </c>
      <c r="N184" s="1" cm="1">
        <f t="array" ref="N184">_xlfn.SWITCH($A$2,"average", AVERAGE(Instances!N184:Instances!N184),"median", MEDIAN(Instances!N184:Instances!N184),"min", MIN(Instances!N184:Instances!N184),"max", MAX(Instances!N184:Instances!N184),"diff", MAX(Instances!N184:Instances!N184)-MIN(Instances!N184:Instances!N184))</f>
        <v>0</v>
      </c>
      <c r="O184" s="1"/>
      <c r="P184" s="1" cm="1">
        <f t="array" ref="P184">_xlfn.SWITCH($A$2,"average", AVERAGE(Instances!P184:Instances!P184),"median", MEDIAN(Instances!P184:Instances!P184),"min", MIN(Instances!P184:Instances!P184),"max", MAX(Instances!P184:Instances!P184),"diff", MAX(Instances!P184:Instances!P184)-MIN(Instances!P184:Instances!P184))</f>
        <v>0</v>
      </c>
      <c r="Q184" s="1" cm="1">
        <f t="array" ref="Q184">_xlfn.SWITCH($A$2,"average", AVERAGE(Instances!Q184:Instances!Q184),"median", MEDIAN(Instances!Q184:Instances!Q184),"min", MIN(Instances!Q184:Instances!Q184),"max", MAX(Instances!Q184:Instances!Q184),"diff", MAX(Instances!Q184:Instances!Q184)-MIN(Instances!Q184:Instances!Q184))</f>
        <v>0</v>
      </c>
      <c r="R184" s="1" cm="1">
        <f t="array" ref="R184">_xlfn.SWITCH($A$2,"average", AVERAGE(Instances!R184:Instances!R184),"median", MEDIAN(Instances!R184:Instances!R184),"min", MIN(Instances!R184:Instances!R184),"max", MAX(Instances!R184:Instances!R184),"diff", MAX(Instances!R184:Instances!R184)-MIN(Instances!R184:Instances!R184))</f>
        <v>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 cm="1">
        <f t="array" ref="B185">_xlfn.SWITCH($A$2,"average", AVERAGE(Instances!B185:Instances!B185),"median", MEDIAN(Instances!B185:Instances!B185),"min", MIN(Instances!B185:Instances!B185),"max", MAX(Instances!B185:Instances!B185),"diff", MAX(Instances!B185:Instances!B185)-MIN(Instances!B185:Instances!B185))</f>
        <v>0</v>
      </c>
      <c r="C185" s="1" cm="1">
        <f t="array" ref="C185">_xlfn.SWITCH($A$2,"average", AVERAGE(Instances!C185:Instances!C185),"median", MEDIAN(Instances!C185:Instances!C185),"min", MIN(Instances!C185:Instances!C185),"max", MAX(Instances!C185:Instances!C185),"diff", MAX(Instances!C185:Instances!C185)-MIN(Instances!C185:Instances!C185))</f>
        <v>0</v>
      </c>
      <c r="D185" s="1" cm="1">
        <f t="array" ref="D185">_xlfn.SWITCH($A$2,"average", AVERAGE(Instances!D185:Instances!D185),"median", MEDIAN(Instances!D185:Instances!D185),"min", MIN(Instances!D185:Instances!D185),"max", MAX(Instances!D185:Instances!D185),"diff", MAX(Instances!D185:Instances!D185)-MIN(Instances!D185:Instances!D185))</f>
        <v>0</v>
      </c>
      <c r="E185" s="1" cm="1">
        <f t="array" ref="E185">_xlfn.SWITCH($A$2,"average", AVERAGE(Instances!E185:Instances!E185),"median", MEDIAN(Instances!E185:Instances!E185),"min", MIN(Instances!E185:Instances!E185),"max", MAX(Instances!E185:Instances!E185),"diff", MAX(Instances!E185:Instances!E185)-MIN(Instances!E185:Instances!E185))</f>
        <v>0</v>
      </c>
      <c r="F185" s="1" cm="1">
        <f t="array" ref="F185">_xlfn.SWITCH($A$2,"average", AVERAGE(Instances!F185:Instances!F185),"median", MEDIAN(Instances!F185:Instances!F185),"min", MIN(Instances!F185:Instances!F185),"max", MAX(Instances!F185:Instances!F185),"diff", MAX(Instances!F185:Instances!F185)-MIN(Instances!F185:Instances!F185))</f>
        <v>0</v>
      </c>
      <c r="G185" s="1" cm="1">
        <f t="array" ref="G185">_xlfn.SWITCH($A$2,"average", AVERAGE(Instances!G185:Instances!G185),"median", MEDIAN(Instances!G185:Instances!G185),"min", MIN(Instances!G185:Instances!G185),"max", MAX(Instances!G185:Instances!G185),"diff", MAX(Instances!G185:Instances!G185)-MIN(Instances!G185:Instances!G185))</f>
        <v>0</v>
      </c>
      <c r="H185" s="1" cm="1">
        <f t="array" ref="H185">_xlfn.SWITCH($A$2,"average", AVERAGE(Instances!H185:Instances!H185),"median", MEDIAN(Instances!H185:Instances!H185),"min", MIN(Instances!H185:Instances!H185),"max", MAX(Instances!H185:Instances!H185),"diff", MAX(Instances!H185:Instances!H185)-MIN(Instances!H185:Instances!H185))</f>
        <v>0</v>
      </c>
      <c r="I185" s="1" cm="1">
        <f t="array" ref="I185">_xlfn.SWITCH($A$2,"average", AVERAGE(Instances!I185:Instances!I185),"median", MEDIAN(Instances!I185:Instances!I185),"min", MIN(Instances!I185:Instances!I185),"max", MAX(Instances!I185:Instances!I185),"diff", MAX(Instances!I185:Instances!I185)-MIN(Instances!I185:Instances!I185))</f>
        <v>0</v>
      </c>
      <c r="J185" s="1" cm="1">
        <f t="array" ref="J185">_xlfn.SWITCH($A$2,"average", AVERAGE(Instances!J185:Instances!J185),"median", MEDIAN(Instances!J185:Instances!J185),"min", MIN(Instances!J185:Instances!J185),"max", MAX(Instances!J185:Instances!J185),"diff", MAX(Instances!J185:Instances!J185)-MIN(Instances!J185:Instances!J185))</f>
        <v>0</v>
      </c>
      <c r="K185" s="1" cm="1">
        <f t="array" ref="K185">_xlfn.SWITCH($A$2,"average", AVERAGE(Instances!K185:Instances!K185),"median", MEDIAN(Instances!K185:Instances!K185),"min", MIN(Instances!K185:Instances!K185),"max", MAX(Instances!K185:Instances!K185),"diff", MAX(Instances!K185:Instances!K185)-MIN(Instances!K185:Instances!K185))</f>
        <v>0</v>
      </c>
      <c r="L185" s="1"/>
      <c r="M185" s="1" cm="1">
        <f t="array" ref="M185">_xlfn.SWITCH($A$2,"average", AVERAGE(Instances!M185:Instances!M185),"median", MEDIAN(Instances!M185:Instances!M185),"min", MIN(Instances!M185:Instances!M185),"max", MAX(Instances!M185:Instances!M185),"diff", MAX(Instances!M185:Instances!M185)-MIN(Instances!M185:Instances!M185))</f>
        <v>0</v>
      </c>
      <c r="N185" s="1" cm="1">
        <f t="array" ref="N185">_xlfn.SWITCH($A$2,"average", AVERAGE(Instances!N185:Instances!N185),"median", MEDIAN(Instances!N185:Instances!N185),"min", MIN(Instances!N185:Instances!N185),"max", MAX(Instances!N185:Instances!N185),"diff", MAX(Instances!N185:Instances!N185)-MIN(Instances!N185:Instances!N185))</f>
        <v>0</v>
      </c>
      <c r="O185" s="1"/>
      <c r="P185" s="1" cm="1">
        <f t="array" ref="P185">_xlfn.SWITCH($A$2,"average", AVERAGE(Instances!P185:Instances!P185),"median", MEDIAN(Instances!P185:Instances!P185),"min", MIN(Instances!P185:Instances!P185),"max", MAX(Instances!P185:Instances!P185),"diff", MAX(Instances!P185:Instances!P185)-MIN(Instances!P185:Instances!P185))</f>
        <v>0</v>
      </c>
      <c r="Q185" s="1" cm="1">
        <f t="array" ref="Q185">_xlfn.SWITCH($A$2,"average", AVERAGE(Instances!Q185:Instances!Q185),"median", MEDIAN(Instances!Q185:Instances!Q185),"min", MIN(Instances!Q185:Instances!Q185),"max", MAX(Instances!Q185:Instances!Q185),"diff", MAX(Instances!Q185:Instances!Q185)-MIN(Instances!Q185:Instances!Q185))</f>
        <v>0</v>
      </c>
      <c r="R185" s="1" cm="1">
        <f t="array" ref="R185">_xlfn.SWITCH($A$2,"average", AVERAGE(Instances!R185:Instances!R185),"median", MEDIAN(Instances!R185:Instances!R185),"min", MIN(Instances!R185:Instances!R185),"max", MAX(Instances!R185:Instances!R185),"diff", MAX(Instances!R185:Instances!R185)-MIN(Instances!R185:Instances!R185))</f>
        <v>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 cm="1">
        <f t="array" ref="B186">_xlfn.SWITCH($A$2,"average", AVERAGE(Instances!B186:Instances!B186),"median", MEDIAN(Instances!B186:Instances!B186),"min", MIN(Instances!B186:Instances!B186),"max", MAX(Instances!B186:Instances!B186),"diff", MAX(Instances!B186:Instances!B186)-MIN(Instances!B186:Instances!B186))</f>
        <v>0</v>
      </c>
      <c r="C186" s="1" cm="1">
        <f t="array" ref="C186">_xlfn.SWITCH($A$2,"average", AVERAGE(Instances!C186:Instances!C186),"median", MEDIAN(Instances!C186:Instances!C186),"min", MIN(Instances!C186:Instances!C186),"max", MAX(Instances!C186:Instances!C186),"diff", MAX(Instances!C186:Instances!C186)-MIN(Instances!C186:Instances!C186))</f>
        <v>0</v>
      </c>
      <c r="D186" s="1" cm="1">
        <f t="array" ref="D186">_xlfn.SWITCH($A$2,"average", AVERAGE(Instances!D186:Instances!D186),"median", MEDIAN(Instances!D186:Instances!D186),"min", MIN(Instances!D186:Instances!D186),"max", MAX(Instances!D186:Instances!D186),"diff", MAX(Instances!D186:Instances!D186)-MIN(Instances!D186:Instances!D186))</f>
        <v>0</v>
      </c>
      <c r="E186" s="1" cm="1">
        <f t="array" ref="E186">_xlfn.SWITCH($A$2,"average", AVERAGE(Instances!E186:Instances!E186),"median", MEDIAN(Instances!E186:Instances!E186),"min", MIN(Instances!E186:Instances!E186),"max", MAX(Instances!E186:Instances!E186),"diff", MAX(Instances!E186:Instances!E186)-MIN(Instances!E186:Instances!E186))</f>
        <v>0</v>
      </c>
      <c r="F186" s="1" cm="1">
        <f t="array" ref="F186">_xlfn.SWITCH($A$2,"average", AVERAGE(Instances!F186:Instances!F186),"median", MEDIAN(Instances!F186:Instances!F186),"min", MIN(Instances!F186:Instances!F186),"max", MAX(Instances!F186:Instances!F186),"diff", MAX(Instances!F186:Instances!F186)-MIN(Instances!F186:Instances!F186))</f>
        <v>0</v>
      </c>
      <c r="G186" s="1" cm="1">
        <f t="array" ref="G186">_xlfn.SWITCH($A$2,"average", AVERAGE(Instances!G186:Instances!G186),"median", MEDIAN(Instances!G186:Instances!G186),"min", MIN(Instances!G186:Instances!G186),"max", MAX(Instances!G186:Instances!G186),"diff", MAX(Instances!G186:Instances!G186)-MIN(Instances!G186:Instances!G186))</f>
        <v>0</v>
      </c>
      <c r="H186" s="1" cm="1">
        <f t="array" ref="H186">_xlfn.SWITCH($A$2,"average", AVERAGE(Instances!H186:Instances!H186),"median", MEDIAN(Instances!H186:Instances!H186),"min", MIN(Instances!H186:Instances!H186),"max", MAX(Instances!H186:Instances!H186),"diff", MAX(Instances!H186:Instances!H186)-MIN(Instances!H186:Instances!H186))</f>
        <v>0</v>
      </c>
      <c r="I186" s="1" cm="1">
        <f t="array" ref="I186">_xlfn.SWITCH($A$2,"average", AVERAGE(Instances!I186:Instances!I186),"median", MEDIAN(Instances!I186:Instances!I186),"min", MIN(Instances!I186:Instances!I186),"max", MAX(Instances!I186:Instances!I186),"diff", MAX(Instances!I186:Instances!I186)-MIN(Instances!I186:Instances!I186))</f>
        <v>0</v>
      </c>
      <c r="J186" s="1" cm="1">
        <f t="array" ref="J186">_xlfn.SWITCH($A$2,"average", AVERAGE(Instances!J186:Instances!J186),"median", MEDIAN(Instances!J186:Instances!J186),"min", MIN(Instances!J186:Instances!J186),"max", MAX(Instances!J186:Instances!J186),"diff", MAX(Instances!J186:Instances!J186)-MIN(Instances!J186:Instances!J186))</f>
        <v>0</v>
      </c>
      <c r="K186" s="1" cm="1">
        <f t="array" ref="K186">_xlfn.SWITCH($A$2,"average", AVERAGE(Instances!K186:Instances!K186),"median", MEDIAN(Instances!K186:Instances!K186),"min", MIN(Instances!K186:Instances!K186),"max", MAX(Instances!K186:Instances!K186),"diff", MAX(Instances!K186:Instances!K186)-MIN(Instances!K186:Instances!K186))</f>
        <v>0</v>
      </c>
      <c r="L186" s="1"/>
      <c r="M186" s="1" cm="1">
        <f t="array" ref="M186">_xlfn.SWITCH($A$2,"average", AVERAGE(Instances!M186:Instances!M186),"median", MEDIAN(Instances!M186:Instances!M186),"min", MIN(Instances!M186:Instances!M186),"max", MAX(Instances!M186:Instances!M186),"diff", MAX(Instances!M186:Instances!M186)-MIN(Instances!M186:Instances!M186))</f>
        <v>0</v>
      </c>
      <c r="N186" s="1" cm="1">
        <f t="array" ref="N186">_xlfn.SWITCH($A$2,"average", AVERAGE(Instances!N186:Instances!N186),"median", MEDIAN(Instances!N186:Instances!N186),"min", MIN(Instances!N186:Instances!N186),"max", MAX(Instances!N186:Instances!N186),"diff", MAX(Instances!N186:Instances!N186)-MIN(Instances!N186:Instances!N186))</f>
        <v>0</v>
      </c>
      <c r="O186" s="1"/>
      <c r="P186" s="1" cm="1">
        <f t="array" ref="P186">_xlfn.SWITCH($A$2,"average", AVERAGE(Instances!P186:Instances!P186),"median", MEDIAN(Instances!P186:Instances!P186),"min", MIN(Instances!P186:Instances!P186),"max", MAX(Instances!P186:Instances!P186),"diff", MAX(Instances!P186:Instances!P186)-MIN(Instances!P186:Instances!P186))</f>
        <v>0</v>
      </c>
      <c r="Q186" s="1" cm="1">
        <f t="array" ref="Q186">_xlfn.SWITCH($A$2,"average", AVERAGE(Instances!Q186:Instances!Q186),"median", MEDIAN(Instances!Q186:Instances!Q186),"min", MIN(Instances!Q186:Instances!Q186),"max", MAX(Instances!Q186:Instances!Q186),"diff", MAX(Instances!Q186:Instances!Q186)-MIN(Instances!Q186:Instances!Q186))</f>
        <v>0</v>
      </c>
      <c r="R186" s="1" cm="1">
        <f t="array" ref="R186">_xlfn.SWITCH($A$2,"average", AVERAGE(Instances!R186:Instances!R186),"median", MEDIAN(Instances!R186:Instances!R186),"min", MIN(Instances!R186:Instances!R186),"max", MAX(Instances!R186:Instances!R186),"diff", MAX(Instances!R186:Instances!R186)-MIN(Instances!R186:Instances!R186))</f>
        <v>0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 cm="1">
        <f t="array" ref="B187">_xlfn.SWITCH($A$2,"average", AVERAGE(Instances!B187:Instances!B187),"median", MEDIAN(Instances!B187:Instances!B187),"min", MIN(Instances!B187:Instances!B187),"max", MAX(Instances!B187:Instances!B187),"diff", MAX(Instances!B187:Instances!B187)-MIN(Instances!B187:Instances!B187))</f>
        <v>0</v>
      </c>
      <c r="C187" s="1" cm="1">
        <f t="array" ref="C187">_xlfn.SWITCH($A$2,"average", AVERAGE(Instances!C187:Instances!C187),"median", MEDIAN(Instances!C187:Instances!C187),"min", MIN(Instances!C187:Instances!C187),"max", MAX(Instances!C187:Instances!C187),"diff", MAX(Instances!C187:Instances!C187)-MIN(Instances!C187:Instances!C187))</f>
        <v>0</v>
      </c>
      <c r="D187" s="1" cm="1">
        <f t="array" ref="D187">_xlfn.SWITCH($A$2,"average", AVERAGE(Instances!D187:Instances!D187),"median", MEDIAN(Instances!D187:Instances!D187),"min", MIN(Instances!D187:Instances!D187),"max", MAX(Instances!D187:Instances!D187),"diff", MAX(Instances!D187:Instances!D187)-MIN(Instances!D187:Instances!D187))</f>
        <v>0</v>
      </c>
      <c r="E187" s="1" cm="1">
        <f t="array" ref="E187">_xlfn.SWITCH($A$2,"average", AVERAGE(Instances!E187:Instances!E187),"median", MEDIAN(Instances!E187:Instances!E187),"min", MIN(Instances!E187:Instances!E187),"max", MAX(Instances!E187:Instances!E187),"diff", MAX(Instances!E187:Instances!E187)-MIN(Instances!E187:Instances!E187))</f>
        <v>0</v>
      </c>
      <c r="F187" s="1" cm="1">
        <f t="array" ref="F187">_xlfn.SWITCH($A$2,"average", AVERAGE(Instances!F187:Instances!F187),"median", MEDIAN(Instances!F187:Instances!F187),"min", MIN(Instances!F187:Instances!F187),"max", MAX(Instances!F187:Instances!F187),"diff", MAX(Instances!F187:Instances!F187)-MIN(Instances!F187:Instances!F187))</f>
        <v>0</v>
      </c>
      <c r="G187" s="1" cm="1">
        <f t="array" ref="G187">_xlfn.SWITCH($A$2,"average", AVERAGE(Instances!G187:Instances!G187),"median", MEDIAN(Instances!G187:Instances!G187),"min", MIN(Instances!G187:Instances!G187),"max", MAX(Instances!G187:Instances!G187),"diff", MAX(Instances!G187:Instances!G187)-MIN(Instances!G187:Instances!G187))</f>
        <v>0</v>
      </c>
      <c r="H187" s="1" cm="1">
        <f t="array" ref="H187">_xlfn.SWITCH($A$2,"average", AVERAGE(Instances!H187:Instances!H187),"median", MEDIAN(Instances!H187:Instances!H187),"min", MIN(Instances!H187:Instances!H187),"max", MAX(Instances!H187:Instances!H187),"diff", MAX(Instances!H187:Instances!H187)-MIN(Instances!H187:Instances!H187))</f>
        <v>0</v>
      </c>
      <c r="I187" s="1" cm="1">
        <f t="array" ref="I187">_xlfn.SWITCH($A$2,"average", AVERAGE(Instances!I187:Instances!I187),"median", MEDIAN(Instances!I187:Instances!I187),"min", MIN(Instances!I187:Instances!I187),"max", MAX(Instances!I187:Instances!I187),"diff", MAX(Instances!I187:Instances!I187)-MIN(Instances!I187:Instances!I187))</f>
        <v>0</v>
      </c>
      <c r="J187" s="1" cm="1">
        <f t="array" ref="J187">_xlfn.SWITCH($A$2,"average", AVERAGE(Instances!J187:Instances!J187),"median", MEDIAN(Instances!J187:Instances!J187),"min", MIN(Instances!J187:Instances!J187),"max", MAX(Instances!J187:Instances!J187),"diff", MAX(Instances!J187:Instances!J187)-MIN(Instances!J187:Instances!J187))</f>
        <v>0</v>
      </c>
      <c r="K187" s="1" cm="1">
        <f t="array" ref="K187">_xlfn.SWITCH($A$2,"average", AVERAGE(Instances!K187:Instances!K187),"median", MEDIAN(Instances!K187:Instances!K187),"min", MIN(Instances!K187:Instances!K187),"max", MAX(Instances!K187:Instances!K187),"diff", MAX(Instances!K187:Instances!K187)-MIN(Instances!K187:Instances!K187))</f>
        <v>0</v>
      </c>
      <c r="L187" s="1"/>
      <c r="M187" s="1" cm="1">
        <f t="array" ref="M187">_xlfn.SWITCH($A$2,"average", AVERAGE(Instances!M187:Instances!M187),"median", MEDIAN(Instances!M187:Instances!M187),"min", MIN(Instances!M187:Instances!M187),"max", MAX(Instances!M187:Instances!M187),"diff", MAX(Instances!M187:Instances!M187)-MIN(Instances!M187:Instances!M187))</f>
        <v>0</v>
      </c>
      <c r="N187" s="1" cm="1">
        <f t="array" ref="N187">_xlfn.SWITCH($A$2,"average", AVERAGE(Instances!N187:Instances!N187),"median", MEDIAN(Instances!N187:Instances!N187),"min", MIN(Instances!N187:Instances!N187),"max", MAX(Instances!N187:Instances!N187),"diff", MAX(Instances!N187:Instances!N187)-MIN(Instances!N187:Instances!N187))</f>
        <v>0</v>
      </c>
      <c r="O187" s="1"/>
      <c r="P187" s="1" cm="1">
        <f t="array" ref="P187">_xlfn.SWITCH($A$2,"average", AVERAGE(Instances!P187:Instances!P187),"median", MEDIAN(Instances!P187:Instances!P187),"min", MIN(Instances!P187:Instances!P187),"max", MAX(Instances!P187:Instances!P187),"diff", MAX(Instances!P187:Instances!P187)-MIN(Instances!P187:Instances!P187))</f>
        <v>0</v>
      </c>
      <c r="Q187" s="1" cm="1">
        <f t="array" ref="Q187">_xlfn.SWITCH($A$2,"average", AVERAGE(Instances!Q187:Instances!Q187),"median", MEDIAN(Instances!Q187:Instances!Q187),"min", MIN(Instances!Q187:Instances!Q187),"max", MAX(Instances!Q187:Instances!Q187),"diff", MAX(Instances!Q187:Instances!Q187)-MIN(Instances!Q187:Instances!Q187))</f>
        <v>0</v>
      </c>
      <c r="R187" s="1" cm="1">
        <f t="array" ref="R187">_xlfn.SWITCH($A$2,"average", AVERAGE(Instances!R187:Instances!R187),"median", MEDIAN(Instances!R187:Instances!R187),"min", MIN(Instances!R187:Instances!R187),"max", MAX(Instances!R187:Instances!R187),"diff", MAX(Instances!R187:Instances!R187)-MIN(Instances!R187:Instances!R187))</f>
        <v>0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 cm="1">
        <f t="array" ref="B188">_xlfn.SWITCH($A$2,"average", AVERAGE(Instances!B188:Instances!B188),"median", MEDIAN(Instances!B188:Instances!B188),"min", MIN(Instances!B188:Instances!B188),"max", MAX(Instances!B188:Instances!B188),"diff", MAX(Instances!B188:Instances!B188)-MIN(Instances!B188:Instances!B188))</f>
        <v>0</v>
      </c>
      <c r="C188" s="1" cm="1">
        <f t="array" ref="C188">_xlfn.SWITCH($A$2,"average", AVERAGE(Instances!C188:Instances!C188),"median", MEDIAN(Instances!C188:Instances!C188),"min", MIN(Instances!C188:Instances!C188),"max", MAX(Instances!C188:Instances!C188),"diff", MAX(Instances!C188:Instances!C188)-MIN(Instances!C188:Instances!C188))</f>
        <v>0</v>
      </c>
      <c r="D188" s="1" cm="1">
        <f t="array" ref="D188">_xlfn.SWITCH($A$2,"average", AVERAGE(Instances!D188:Instances!D188),"median", MEDIAN(Instances!D188:Instances!D188),"min", MIN(Instances!D188:Instances!D188),"max", MAX(Instances!D188:Instances!D188),"diff", MAX(Instances!D188:Instances!D188)-MIN(Instances!D188:Instances!D188))</f>
        <v>0</v>
      </c>
      <c r="E188" s="1" cm="1">
        <f t="array" ref="E188">_xlfn.SWITCH($A$2,"average", AVERAGE(Instances!E188:Instances!E188),"median", MEDIAN(Instances!E188:Instances!E188),"min", MIN(Instances!E188:Instances!E188),"max", MAX(Instances!E188:Instances!E188),"diff", MAX(Instances!E188:Instances!E188)-MIN(Instances!E188:Instances!E188))</f>
        <v>0</v>
      </c>
      <c r="F188" s="1" cm="1">
        <f t="array" ref="F188">_xlfn.SWITCH($A$2,"average", AVERAGE(Instances!F188:Instances!F188),"median", MEDIAN(Instances!F188:Instances!F188),"min", MIN(Instances!F188:Instances!F188),"max", MAX(Instances!F188:Instances!F188),"diff", MAX(Instances!F188:Instances!F188)-MIN(Instances!F188:Instances!F188))</f>
        <v>0</v>
      </c>
      <c r="G188" s="1" cm="1">
        <f t="array" ref="G188">_xlfn.SWITCH($A$2,"average", AVERAGE(Instances!G188:Instances!G188),"median", MEDIAN(Instances!G188:Instances!G188),"min", MIN(Instances!G188:Instances!G188),"max", MAX(Instances!G188:Instances!G188),"diff", MAX(Instances!G188:Instances!G188)-MIN(Instances!G188:Instances!G188))</f>
        <v>0</v>
      </c>
      <c r="H188" s="1" cm="1">
        <f t="array" ref="H188">_xlfn.SWITCH($A$2,"average", AVERAGE(Instances!H188:Instances!H188),"median", MEDIAN(Instances!H188:Instances!H188),"min", MIN(Instances!H188:Instances!H188),"max", MAX(Instances!H188:Instances!H188),"diff", MAX(Instances!H188:Instances!H188)-MIN(Instances!H188:Instances!H188))</f>
        <v>0</v>
      </c>
      <c r="I188" s="1" cm="1">
        <f t="array" ref="I188">_xlfn.SWITCH($A$2,"average", AVERAGE(Instances!I188:Instances!I188),"median", MEDIAN(Instances!I188:Instances!I188),"min", MIN(Instances!I188:Instances!I188),"max", MAX(Instances!I188:Instances!I188),"diff", MAX(Instances!I188:Instances!I188)-MIN(Instances!I188:Instances!I188))</f>
        <v>0</v>
      </c>
      <c r="J188" s="1" cm="1">
        <f t="array" ref="J188">_xlfn.SWITCH($A$2,"average", AVERAGE(Instances!J188:Instances!J188),"median", MEDIAN(Instances!J188:Instances!J188),"min", MIN(Instances!J188:Instances!J188),"max", MAX(Instances!J188:Instances!J188),"diff", MAX(Instances!J188:Instances!J188)-MIN(Instances!J188:Instances!J188))</f>
        <v>0</v>
      </c>
      <c r="K188" s="1" cm="1">
        <f t="array" ref="K188">_xlfn.SWITCH($A$2,"average", AVERAGE(Instances!K188:Instances!K188),"median", MEDIAN(Instances!K188:Instances!K188),"min", MIN(Instances!K188:Instances!K188),"max", MAX(Instances!K188:Instances!K188),"diff", MAX(Instances!K188:Instances!K188)-MIN(Instances!K188:Instances!K188))</f>
        <v>0</v>
      </c>
      <c r="L188" s="1"/>
      <c r="M188" s="1" cm="1">
        <f t="array" ref="M188">_xlfn.SWITCH($A$2,"average", AVERAGE(Instances!M188:Instances!M188),"median", MEDIAN(Instances!M188:Instances!M188),"min", MIN(Instances!M188:Instances!M188),"max", MAX(Instances!M188:Instances!M188),"diff", MAX(Instances!M188:Instances!M188)-MIN(Instances!M188:Instances!M188))</f>
        <v>0</v>
      </c>
      <c r="N188" s="1" cm="1">
        <f t="array" ref="N188">_xlfn.SWITCH($A$2,"average", AVERAGE(Instances!N188:Instances!N188),"median", MEDIAN(Instances!N188:Instances!N188),"min", MIN(Instances!N188:Instances!N188),"max", MAX(Instances!N188:Instances!N188),"diff", MAX(Instances!N188:Instances!N188)-MIN(Instances!N188:Instances!N188))</f>
        <v>0</v>
      </c>
      <c r="O188" s="1"/>
      <c r="P188" s="1" cm="1">
        <f t="array" ref="P188">_xlfn.SWITCH($A$2,"average", AVERAGE(Instances!P188:Instances!P188),"median", MEDIAN(Instances!P188:Instances!P188),"min", MIN(Instances!P188:Instances!P188),"max", MAX(Instances!P188:Instances!P188),"diff", MAX(Instances!P188:Instances!P188)-MIN(Instances!P188:Instances!P188))</f>
        <v>0</v>
      </c>
      <c r="Q188" s="1" cm="1">
        <f t="array" ref="Q188">_xlfn.SWITCH($A$2,"average", AVERAGE(Instances!Q188:Instances!Q188),"median", MEDIAN(Instances!Q188:Instances!Q188),"min", MIN(Instances!Q188:Instances!Q188),"max", MAX(Instances!Q188:Instances!Q188),"diff", MAX(Instances!Q188:Instances!Q188)-MIN(Instances!Q188:Instances!Q188))</f>
        <v>0</v>
      </c>
      <c r="R188" s="1" cm="1">
        <f t="array" ref="R188">_xlfn.SWITCH($A$2,"average", AVERAGE(Instances!R188:Instances!R188),"median", MEDIAN(Instances!R188:Instances!R188),"min", MIN(Instances!R188:Instances!R188),"max", MAX(Instances!R188:Instances!R188),"diff", MAX(Instances!R188:Instances!R188)-MIN(Instances!R188:Instances!R188))</f>
        <v>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 cm="1">
        <f t="array" ref="B189">_xlfn.SWITCH($A$2,"average", AVERAGE(Instances!B189:Instances!B189),"median", MEDIAN(Instances!B189:Instances!B189),"min", MIN(Instances!B189:Instances!B189),"max", MAX(Instances!B189:Instances!B189),"diff", MAX(Instances!B189:Instances!B189)-MIN(Instances!B189:Instances!B189))</f>
        <v>0</v>
      </c>
      <c r="C189" s="1" cm="1">
        <f t="array" ref="C189">_xlfn.SWITCH($A$2,"average", AVERAGE(Instances!C189:Instances!C189),"median", MEDIAN(Instances!C189:Instances!C189),"min", MIN(Instances!C189:Instances!C189),"max", MAX(Instances!C189:Instances!C189),"diff", MAX(Instances!C189:Instances!C189)-MIN(Instances!C189:Instances!C189))</f>
        <v>0</v>
      </c>
      <c r="D189" s="1" cm="1">
        <f t="array" ref="D189">_xlfn.SWITCH($A$2,"average", AVERAGE(Instances!D189:Instances!D189),"median", MEDIAN(Instances!D189:Instances!D189),"min", MIN(Instances!D189:Instances!D189),"max", MAX(Instances!D189:Instances!D189),"diff", MAX(Instances!D189:Instances!D189)-MIN(Instances!D189:Instances!D189))</f>
        <v>0</v>
      </c>
      <c r="E189" s="1" cm="1">
        <f t="array" ref="E189">_xlfn.SWITCH($A$2,"average", AVERAGE(Instances!E189:Instances!E189),"median", MEDIAN(Instances!E189:Instances!E189),"min", MIN(Instances!E189:Instances!E189),"max", MAX(Instances!E189:Instances!E189),"diff", MAX(Instances!E189:Instances!E189)-MIN(Instances!E189:Instances!E189))</f>
        <v>0</v>
      </c>
      <c r="F189" s="1" cm="1">
        <f t="array" ref="F189">_xlfn.SWITCH($A$2,"average", AVERAGE(Instances!F189:Instances!F189),"median", MEDIAN(Instances!F189:Instances!F189),"min", MIN(Instances!F189:Instances!F189),"max", MAX(Instances!F189:Instances!F189),"diff", MAX(Instances!F189:Instances!F189)-MIN(Instances!F189:Instances!F189))</f>
        <v>0</v>
      </c>
      <c r="G189" s="1" cm="1">
        <f t="array" ref="G189">_xlfn.SWITCH($A$2,"average", AVERAGE(Instances!G189:Instances!G189),"median", MEDIAN(Instances!G189:Instances!G189),"min", MIN(Instances!G189:Instances!G189),"max", MAX(Instances!G189:Instances!G189),"diff", MAX(Instances!G189:Instances!G189)-MIN(Instances!G189:Instances!G189))</f>
        <v>0</v>
      </c>
      <c r="H189" s="1" cm="1">
        <f t="array" ref="H189">_xlfn.SWITCH($A$2,"average", AVERAGE(Instances!H189:Instances!H189),"median", MEDIAN(Instances!H189:Instances!H189),"min", MIN(Instances!H189:Instances!H189),"max", MAX(Instances!H189:Instances!H189),"diff", MAX(Instances!H189:Instances!H189)-MIN(Instances!H189:Instances!H189))</f>
        <v>0</v>
      </c>
      <c r="I189" s="1" cm="1">
        <f t="array" ref="I189">_xlfn.SWITCH($A$2,"average", AVERAGE(Instances!I189:Instances!I189),"median", MEDIAN(Instances!I189:Instances!I189),"min", MIN(Instances!I189:Instances!I189),"max", MAX(Instances!I189:Instances!I189),"diff", MAX(Instances!I189:Instances!I189)-MIN(Instances!I189:Instances!I189))</f>
        <v>0</v>
      </c>
      <c r="J189" s="1" cm="1">
        <f t="array" ref="J189">_xlfn.SWITCH($A$2,"average", AVERAGE(Instances!J189:Instances!J189),"median", MEDIAN(Instances!J189:Instances!J189),"min", MIN(Instances!J189:Instances!J189),"max", MAX(Instances!J189:Instances!J189),"diff", MAX(Instances!J189:Instances!J189)-MIN(Instances!J189:Instances!J189))</f>
        <v>0</v>
      </c>
      <c r="K189" s="1" cm="1">
        <f t="array" ref="K189">_xlfn.SWITCH($A$2,"average", AVERAGE(Instances!K189:Instances!K189),"median", MEDIAN(Instances!K189:Instances!K189),"min", MIN(Instances!K189:Instances!K189),"max", MAX(Instances!K189:Instances!K189),"diff", MAX(Instances!K189:Instances!K189)-MIN(Instances!K189:Instances!K189))</f>
        <v>0</v>
      </c>
      <c r="L189" s="1"/>
      <c r="M189" s="1" cm="1">
        <f t="array" ref="M189">_xlfn.SWITCH($A$2,"average", AVERAGE(Instances!M189:Instances!M189),"median", MEDIAN(Instances!M189:Instances!M189),"min", MIN(Instances!M189:Instances!M189),"max", MAX(Instances!M189:Instances!M189),"diff", MAX(Instances!M189:Instances!M189)-MIN(Instances!M189:Instances!M189))</f>
        <v>0</v>
      </c>
      <c r="N189" s="1" cm="1">
        <f t="array" ref="N189">_xlfn.SWITCH($A$2,"average", AVERAGE(Instances!N189:Instances!N189),"median", MEDIAN(Instances!N189:Instances!N189),"min", MIN(Instances!N189:Instances!N189),"max", MAX(Instances!N189:Instances!N189),"diff", MAX(Instances!N189:Instances!N189)-MIN(Instances!N189:Instances!N189))</f>
        <v>0</v>
      </c>
      <c r="O189" s="1"/>
      <c r="P189" s="1" cm="1">
        <f t="array" ref="P189">_xlfn.SWITCH($A$2,"average", AVERAGE(Instances!P189:Instances!P189),"median", MEDIAN(Instances!P189:Instances!P189),"min", MIN(Instances!P189:Instances!P189),"max", MAX(Instances!P189:Instances!P189),"diff", MAX(Instances!P189:Instances!P189)-MIN(Instances!P189:Instances!P189))</f>
        <v>0</v>
      </c>
      <c r="Q189" s="1" cm="1">
        <f t="array" ref="Q189">_xlfn.SWITCH($A$2,"average", AVERAGE(Instances!Q189:Instances!Q189),"median", MEDIAN(Instances!Q189:Instances!Q189),"min", MIN(Instances!Q189:Instances!Q189),"max", MAX(Instances!Q189:Instances!Q189),"diff", MAX(Instances!Q189:Instances!Q189)-MIN(Instances!Q189:Instances!Q189))</f>
        <v>0</v>
      </c>
      <c r="R189" s="1" cm="1">
        <f t="array" ref="R189">_xlfn.SWITCH($A$2,"average", AVERAGE(Instances!R189:Instances!R189),"median", MEDIAN(Instances!R189:Instances!R189),"min", MIN(Instances!R189:Instances!R189),"max", MAX(Instances!R189:Instances!R189),"diff", MAX(Instances!R189:Instances!R189)-MIN(Instances!R189:Instances!R189))</f>
        <v>0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 cm="1">
        <f t="array" ref="B190">_xlfn.SWITCH($A$2,"average", AVERAGE(Instances!B190:Instances!B190),"median", MEDIAN(Instances!B190:Instances!B190),"min", MIN(Instances!B190:Instances!B190),"max", MAX(Instances!B190:Instances!B190),"diff", MAX(Instances!B190:Instances!B190)-MIN(Instances!B190:Instances!B190))</f>
        <v>0</v>
      </c>
      <c r="C190" s="1" cm="1">
        <f t="array" ref="C190">_xlfn.SWITCH($A$2,"average", AVERAGE(Instances!C190:Instances!C190),"median", MEDIAN(Instances!C190:Instances!C190),"min", MIN(Instances!C190:Instances!C190),"max", MAX(Instances!C190:Instances!C190),"diff", MAX(Instances!C190:Instances!C190)-MIN(Instances!C190:Instances!C190))</f>
        <v>0</v>
      </c>
      <c r="D190" s="1" cm="1">
        <f t="array" ref="D190">_xlfn.SWITCH($A$2,"average", AVERAGE(Instances!D190:Instances!D190),"median", MEDIAN(Instances!D190:Instances!D190),"min", MIN(Instances!D190:Instances!D190),"max", MAX(Instances!D190:Instances!D190),"diff", MAX(Instances!D190:Instances!D190)-MIN(Instances!D190:Instances!D190))</f>
        <v>0</v>
      </c>
      <c r="E190" s="1" cm="1">
        <f t="array" ref="E190">_xlfn.SWITCH($A$2,"average", AVERAGE(Instances!E190:Instances!E190),"median", MEDIAN(Instances!E190:Instances!E190),"min", MIN(Instances!E190:Instances!E190),"max", MAX(Instances!E190:Instances!E190),"diff", MAX(Instances!E190:Instances!E190)-MIN(Instances!E190:Instances!E190))</f>
        <v>0</v>
      </c>
      <c r="F190" s="1" cm="1">
        <f t="array" ref="F190">_xlfn.SWITCH($A$2,"average", AVERAGE(Instances!F190:Instances!F190),"median", MEDIAN(Instances!F190:Instances!F190),"min", MIN(Instances!F190:Instances!F190),"max", MAX(Instances!F190:Instances!F190),"diff", MAX(Instances!F190:Instances!F190)-MIN(Instances!F190:Instances!F190))</f>
        <v>0</v>
      </c>
      <c r="G190" s="1" cm="1">
        <f t="array" ref="G190">_xlfn.SWITCH($A$2,"average", AVERAGE(Instances!G190:Instances!G190),"median", MEDIAN(Instances!G190:Instances!G190),"min", MIN(Instances!G190:Instances!G190),"max", MAX(Instances!G190:Instances!G190),"diff", MAX(Instances!G190:Instances!G190)-MIN(Instances!G190:Instances!G190))</f>
        <v>0</v>
      </c>
      <c r="H190" s="1" cm="1">
        <f t="array" ref="H190">_xlfn.SWITCH($A$2,"average", AVERAGE(Instances!H190:Instances!H190),"median", MEDIAN(Instances!H190:Instances!H190),"min", MIN(Instances!H190:Instances!H190),"max", MAX(Instances!H190:Instances!H190),"diff", MAX(Instances!H190:Instances!H190)-MIN(Instances!H190:Instances!H190))</f>
        <v>0</v>
      </c>
      <c r="I190" s="1" cm="1">
        <f t="array" ref="I190">_xlfn.SWITCH($A$2,"average", AVERAGE(Instances!I190:Instances!I190),"median", MEDIAN(Instances!I190:Instances!I190),"min", MIN(Instances!I190:Instances!I190),"max", MAX(Instances!I190:Instances!I190),"diff", MAX(Instances!I190:Instances!I190)-MIN(Instances!I190:Instances!I190))</f>
        <v>0</v>
      </c>
      <c r="J190" s="1" cm="1">
        <f t="array" ref="J190">_xlfn.SWITCH($A$2,"average", AVERAGE(Instances!J190:Instances!J190),"median", MEDIAN(Instances!J190:Instances!J190),"min", MIN(Instances!J190:Instances!J190),"max", MAX(Instances!J190:Instances!J190),"diff", MAX(Instances!J190:Instances!J190)-MIN(Instances!J190:Instances!J190))</f>
        <v>0</v>
      </c>
      <c r="K190" s="1" cm="1">
        <f t="array" ref="K190">_xlfn.SWITCH($A$2,"average", AVERAGE(Instances!K190:Instances!K190),"median", MEDIAN(Instances!K190:Instances!K190),"min", MIN(Instances!K190:Instances!K190),"max", MAX(Instances!K190:Instances!K190),"diff", MAX(Instances!K190:Instances!K190)-MIN(Instances!K190:Instances!K190))</f>
        <v>0</v>
      </c>
      <c r="L190" s="1"/>
      <c r="M190" s="1" cm="1">
        <f t="array" ref="M190">_xlfn.SWITCH($A$2,"average", AVERAGE(Instances!M190:Instances!M190),"median", MEDIAN(Instances!M190:Instances!M190),"min", MIN(Instances!M190:Instances!M190),"max", MAX(Instances!M190:Instances!M190),"diff", MAX(Instances!M190:Instances!M190)-MIN(Instances!M190:Instances!M190))</f>
        <v>0</v>
      </c>
      <c r="N190" s="1" cm="1">
        <f t="array" ref="N190">_xlfn.SWITCH($A$2,"average", AVERAGE(Instances!N190:Instances!N190),"median", MEDIAN(Instances!N190:Instances!N190),"min", MIN(Instances!N190:Instances!N190),"max", MAX(Instances!N190:Instances!N190),"diff", MAX(Instances!N190:Instances!N190)-MIN(Instances!N190:Instances!N190))</f>
        <v>0</v>
      </c>
      <c r="O190" s="1"/>
      <c r="P190" s="1" cm="1">
        <f t="array" ref="P190">_xlfn.SWITCH($A$2,"average", AVERAGE(Instances!P190:Instances!P190),"median", MEDIAN(Instances!P190:Instances!P190),"min", MIN(Instances!P190:Instances!P190),"max", MAX(Instances!P190:Instances!P190),"diff", MAX(Instances!P190:Instances!P190)-MIN(Instances!P190:Instances!P190))</f>
        <v>0</v>
      </c>
      <c r="Q190" s="1" cm="1">
        <f t="array" ref="Q190">_xlfn.SWITCH($A$2,"average", AVERAGE(Instances!Q190:Instances!Q190),"median", MEDIAN(Instances!Q190:Instances!Q190),"min", MIN(Instances!Q190:Instances!Q190),"max", MAX(Instances!Q190:Instances!Q190),"diff", MAX(Instances!Q190:Instances!Q190)-MIN(Instances!Q190:Instances!Q190))</f>
        <v>0</v>
      </c>
      <c r="R190" s="1" cm="1">
        <f t="array" ref="R190">_xlfn.SWITCH($A$2,"average", AVERAGE(Instances!R190:Instances!R190),"median", MEDIAN(Instances!R190:Instances!R190),"min", MIN(Instances!R190:Instances!R190),"max", MAX(Instances!R190:Instances!R190),"diff", MAX(Instances!R190:Instances!R190)-MIN(Instances!R190:Instances!R190))</f>
        <v>0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 cm="1">
        <f t="array" ref="B191">_xlfn.SWITCH($A$2,"average", AVERAGE(Instances!B191:Instances!B191),"median", MEDIAN(Instances!B191:Instances!B191),"min", MIN(Instances!B191:Instances!B191),"max", MAX(Instances!B191:Instances!B191),"diff", MAX(Instances!B191:Instances!B191)-MIN(Instances!B191:Instances!B191))</f>
        <v>0</v>
      </c>
      <c r="C191" s="1" cm="1">
        <f t="array" ref="C191">_xlfn.SWITCH($A$2,"average", AVERAGE(Instances!C191:Instances!C191),"median", MEDIAN(Instances!C191:Instances!C191),"min", MIN(Instances!C191:Instances!C191),"max", MAX(Instances!C191:Instances!C191),"diff", MAX(Instances!C191:Instances!C191)-MIN(Instances!C191:Instances!C191))</f>
        <v>0</v>
      </c>
      <c r="D191" s="1" cm="1">
        <f t="array" ref="D191">_xlfn.SWITCH($A$2,"average", AVERAGE(Instances!D191:Instances!D191),"median", MEDIAN(Instances!D191:Instances!D191),"min", MIN(Instances!D191:Instances!D191),"max", MAX(Instances!D191:Instances!D191),"diff", MAX(Instances!D191:Instances!D191)-MIN(Instances!D191:Instances!D191))</f>
        <v>0</v>
      </c>
      <c r="E191" s="1" cm="1">
        <f t="array" ref="E191">_xlfn.SWITCH($A$2,"average", AVERAGE(Instances!E191:Instances!E191),"median", MEDIAN(Instances!E191:Instances!E191),"min", MIN(Instances!E191:Instances!E191),"max", MAX(Instances!E191:Instances!E191),"diff", MAX(Instances!E191:Instances!E191)-MIN(Instances!E191:Instances!E191))</f>
        <v>0</v>
      </c>
      <c r="F191" s="1" cm="1">
        <f t="array" ref="F191">_xlfn.SWITCH($A$2,"average", AVERAGE(Instances!F191:Instances!F191),"median", MEDIAN(Instances!F191:Instances!F191),"min", MIN(Instances!F191:Instances!F191),"max", MAX(Instances!F191:Instances!F191),"diff", MAX(Instances!F191:Instances!F191)-MIN(Instances!F191:Instances!F191))</f>
        <v>0</v>
      </c>
      <c r="G191" s="1" cm="1">
        <f t="array" ref="G191">_xlfn.SWITCH($A$2,"average", AVERAGE(Instances!G191:Instances!G191),"median", MEDIAN(Instances!G191:Instances!G191),"min", MIN(Instances!G191:Instances!G191),"max", MAX(Instances!G191:Instances!G191),"diff", MAX(Instances!G191:Instances!G191)-MIN(Instances!G191:Instances!G191))</f>
        <v>0</v>
      </c>
      <c r="H191" s="1" cm="1">
        <f t="array" ref="H191">_xlfn.SWITCH($A$2,"average", AVERAGE(Instances!H191:Instances!H191),"median", MEDIAN(Instances!H191:Instances!H191),"min", MIN(Instances!H191:Instances!H191),"max", MAX(Instances!H191:Instances!H191),"diff", MAX(Instances!H191:Instances!H191)-MIN(Instances!H191:Instances!H191))</f>
        <v>0</v>
      </c>
      <c r="I191" s="1" cm="1">
        <f t="array" ref="I191">_xlfn.SWITCH($A$2,"average", AVERAGE(Instances!I191:Instances!I191),"median", MEDIAN(Instances!I191:Instances!I191),"min", MIN(Instances!I191:Instances!I191),"max", MAX(Instances!I191:Instances!I191),"diff", MAX(Instances!I191:Instances!I191)-MIN(Instances!I191:Instances!I191))</f>
        <v>0</v>
      </c>
      <c r="J191" s="1" cm="1">
        <f t="array" ref="J191">_xlfn.SWITCH($A$2,"average", AVERAGE(Instances!J191:Instances!J191),"median", MEDIAN(Instances!J191:Instances!J191),"min", MIN(Instances!J191:Instances!J191),"max", MAX(Instances!J191:Instances!J191),"diff", MAX(Instances!J191:Instances!J191)-MIN(Instances!J191:Instances!J191))</f>
        <v>0</v>
      </c>
      <c r="K191" s="1" cm="1">
        <f t="array" ref="K191">_xlfn.SWITCH($A$2,"average", AVERAGE(Instances!K191:Instances!K191),"median", MEDIAN(Instances!K191:Instances!K191),"min", MIN(Instances!K191:Instances!K191),"max", MAX(Instances!K191:Instances!K191),"diff", MAX(Instances!K191:Instances!K191)-MIN(Instances!K191:Instances!K191))</f>
        <v>0</v>
      </c>
      <c r="L191" s="1"/>
      <c r="M191" s="1" cm="1">
        <f t="array" ref="M191">_xlfn.SWITCH($A$2,"average", AVERAGE(Instances!M191:Instances!M191),"median", MEDIAN(Instances!M191:Instances!M191),"min", MIN(Instances!M191:Instances!M191),"max", MAX(Instances!M191:Instances!M191),"diff", MAX(Instances!M191:Instances!M191)-MIN(Instances!M191:Instances!M191))</f>
        <v>0</v>
      </c>
      <c r="N191" s="1" cm="1">
        <f t="array" ref="N191">_xlfn.SWITCH($A$2,"average", AVERAGE(Instances!N191:Instances!N191),"median", MEDIAN(Instances!N191:Instances!N191),"min", MIN(Instances!N191:Instances!N191),"max", MAX(Instances!N191:Instances!N191),"diff", MAX(Instances!N191:Instances!N191)-MIN(Instances!N191:Instances!N191))</f>
        <v>0</v>
      </c>
      <c r="O191" s="1"/>
      <c r="P191" s="1" cm="1">
        <f t="array" ref="P191">_xlfn.SWITCH($A$2,"average", AVERAGE(Instances!P191:Instances!P191),"median", MEDIAN(Instances!P191:Instances!P191),"min", MIN(Instances!P191:Instances!P191),"max", MAX(Instances!P191:Instances!P191),"diff", MAX(Instances!P191:Instances!P191)-MIN(Instances!P191:Instances!P191))</f>
        <v>0</v>
      </c>
      <c r="Q191" s="1" cm="1">
        <f t="array" ref="Q191">_xlfn.SWITCH($A$2,"average", AVERAGE(Instances!Q191:Instances!Q191),"median", MEDIAN(Instances!Q191:Instances!Q191),"min", MIN(Instances!Q191:Instances!Q191),"max", MAX(Instances!Q191:Instances!Q191),"diff", MAX(Instances!Q191:Instances!Q191)-MIN(Instances!Q191:Instances!Q191))</f>
        <v>0</v>
      </c>
      <c r="R191" s="1" cm="1">
        <f t="array" ref="R191">_xlfn.SWITCH($A$2,"average", AVERAGE(Instances!R191:Instances!R191),"median", MEDIAN(Instances!R191:Instances!R191),"min", MIN(Instances!R191:Instances!R191),"max", MAX(Instances!R191:Instances!R191),"diff", MAX(Instances!R191:Instances!R191)-MIN(Instances!R191:Instances!R191))</f>
        <v>0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 cm="1">
        <f t="array" ref="B192">_xlfn.SWITCH($A$2,"average", AVERAGE(Instances!B192:Instances!B192),"median", MEDIAN(Instances!B192:Instances!B192),"min", MIN(Instances!B192:Instances!B192),"max", MAX(Instances!B192:Instances!B192),"diff", MAX(Instances!B192:Instances!B192)-MIN(Instances!B192:Instances!B192))</f>
        <v>0</v>
      </c>
      <c r="C192" s="1" cm="1">
        <f t="array" ref="C192">_xlfn.SWITCH($A$2,"average", AVERAGE(Instances!C192:Instances!C192),"median", MEDIAN(Instances!C192:Instances!C192),"min", MIN(Instances!C192:Instances!C192),"max", MAX(Instances!C192:Instances!C192),"diff", MAX(Instances!C192:Instances!C192)-MIN(Instances!C192:Instances!C192))</f>
        <v>0</v>
      </c>
      <c r="D192" s="1" cm="1">
        <f t="array" ref="D192">_xlfn.SWITCH($A$2,"average", AVERAGE(Instances!D192:Instances!D192),"median", MEDIAN(Instances!D192:Instances!D192),"min", MIN(Instances!D192:Instances!D192),"max", MAX(Instances!D192:Instances!D192),"diff", MAX(Instances!D192:Instances!D192)-MIN(Instances!D192:Instances!D192))</f>
        <v>0</v>
      </c>
      <c r="E192" s="1" cm="1">
        <f t="array" ref="E192">_xlfn.SWITCH($A$2,"average", AVERAGE(Instances!E192:Instances!E192),"median", MEDIAN(Instances!E192:Instances!E192),"min", MIN(Instances!E192:Instances!E192),"max", MAX(Instances!E192:Instances!E192),"diff", MAX(Instances!E192:Instances!E192)-MIN(Instances!E192:Instances!E192))</f>
        <v>0</v>
      </c>
      <c r="F192" s="1" cm="1">
        <f t="array" ref="F192">_xlfn.SWITCH($A$2,"average", AVERAGE(Instances!F192:Instances!F192),"median", MEDIAN(Instances!F192:Instances!F192),"min", MIN(Instances!F192:Instances!F192),"max", MAX(Instances!F192:Instances!F192),"diff", MAX(Instances!F192:Instances!F192)-MIN(Instances!F192:Instances!F192))</f>
        <v>0</v>
      </c>
      <c r="G192" s="1" cm="1">
        <f t="array" ref="G192">_xlfn.SWITCH($A$2,"average", AVERAGE(Instances!G192:Instances!G192),"median", MEDIAN(Instances!G192:Instances!G192),"min", MIN(Instances!G192:Instances!G192),"max", MAX(Instances!G192:Instances!G192),"diff", MAX(Instances!G192:Instances!G192)-MIN(Instances!G192:Instances!G192))</f>
        <v>0</v>
      </c>
      <c r="H192" s="1" cm="1">
        <f t="array" ref="H192">_xlfn.SWITCH($A$2,"average", AVERAGE(Instances!H192:Instances!H192),"median", MEDIAN(Instances!H192:Instances!H192),"min", MIN(Instances!H192:Instances!H192),"max", MAX(Instances!H192:Instances!H192),"diff", MAX(Instances!H192:Instances!H192)-MIN(Instances!H192:Instances!H192))</f>
        <v>0</v>
      </c>
      <c r="I192" s="1" cm="1">
        <f t="array" ref="I192">_xlfn.SWITCH($A$2,"average", AVERAGE(Instances!I192:Instances!I192),"median", MEDIAN(Instances!I192:Instances!I192),"min", MIN(Instances!I192:Instances!I192),"max", MAX(Instances!I192:Instances!I192),"diff", MAX(Instances!I192:Instances!I192)-MIN(Instances!I192:Instances!I192))</f>
        <v>0</v>
      </c>
      <c r="J192" s="1" cm="1">
        <f t="array" ref="J192">_xlfn.SWITCH($A$2,"average", AVERAGE(Instances!J192:Instances!J192),"median", MEDIAN(Instances!J192:Instances!J192),"min", MIN(Instances!J192:Instances!J192),"max", MAX(Instances!J192:Instances!J192),"diff", MAX(Instances!J192:Instances!J192)-MIN(Instances!J192:Instances!J192))</f>
        <v>0</v>
      </c>
      <c r="K192" s="1" cm="1">
        <f t="array" ref="K192">_xlfn.SWITCH($A$2,"average", AVERAGE(Instances!K192:Instances!K192),"median", MEDIAN(Instances!K192:Instances!K192),"min", MIN(Instances!K192:Instances!K192),"max", MAX(Instances!K192:Instances!K192),"diff", MAX(Instances!K192:Instances!K192)-MIN(Instances!K192:Instances!K192))</f>
        <v>0</v>
      </c>
      <c r="L192" s="1"/>
      <c r="M192" s="1" cm="1">
        <f t="array" ref="M192">_xlfn.SWITCH($A$2,"average", AVERAGE(Instances!M192:Instances!M192),"median", MEDIAN(Instances!M192:Instances!M192),"min", MIN(Instances!M192:Instances!M192),"max", MAX(Instances!M192:Instances!M192),"diff", MAX(Instances!M192:Instances!M192)-MIN(Instances!M192:Instances!M192))</f>
        <v>0</v>
      </c>
      <c r="N192" s="1" cm="1">
        <f t="array" ref="N192">_xlfn.SWITCH($A$2,"average", AVERAGE(Instances!N192:Instances!N192),"median", MEDIAN(Instances!N192:Instances!N192),"min", MIN(Instances!N192:Instances!N192),"max", MAX(Instances!N192:Instances!N192),"diff", MAX(Instances!N192:Instances!N192)-MIN(Instances!N192:Instances!N192))</f>
        <v>0</v>
      </c>
      <c r="O192" s="1"/>
      <c r="P192" s="1" cm="1">
        <f t="array" ref="P192">_xlfn.SWITCH($A$2,"average", AVERAGE(Instances!P192:Instances!P192),"median", MEDIAN(Instances!P192:Instances!P192),"min", MIN(Instances!P192:Instances!P192),"max", MAX(Instances!P192:Instances!P192),"diff", MAX(Instances!P192:Instances!P192)-MIN(Instances!P192:Instances!P192))</f>
        <v>0</v>
      </c>
      <c r="Q192" s="1" cm="1">
        <f t="array" ref="Q192">_xlfn.SWITCH($A$2,"average", AVERAGE(Instances!Q192:Instances!Q192),"median", MEDIAN(Instances!Q192:Instances!Q192),"min", MIN(Instances!Q192:Instances!Q192),"max", MAX(Instances!Q192:Instances!Q192),"diff", MAX(Instances!Q192:Instances!Q192)-MIN(Instances!Q192:Instances!Q192))</f>
        <v>0</v>
      </c>
      <c r="R192" s="1" cm="1">
        <f t="array" ref="R192">_xlfn.SWITCH($A$2,"average", AVERAGE(Instances!R192:Instances!R192),"median", MEDIAN(Instances!R192:Instances!R192),"min", MIN(Instances!R192:Instances!R192),"max", MAX(Instances!R192:Instances!R192),"diff", MAX(Instances!R192:Instances!R192)-MIN(Instances!R192:Instances!R192))</f>
        <v>0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 cm="1">
        <f t="array" ref="B193">_xlfn.SWITCH($A$2,"average", AVERAGE(Instances!B193:Instances!B193),"median", MEDIAN(Instances!B193:Instances!B193),"min", MIN(Instances!B193:Instances!B193),"max", MAX(Instances!B193:Instances!B193),"diff", MAX(Instances!B193:Instances!B193)-MIN(Instances!B193:Instances!B193))</f>
        <v>0</v>
      </c>
      <c r="C193" s="1" cm="1">
        <f t="array" ref="C193">_xlfn.SWITCH($A$2,"average", AVERAGE(Instances!C193:Instances!C193),"median", MEDIAN(Instances!C193:Instances!C193),"min", MIN(Instances!C193:Instances!C193),"max", MAX(Instances!C193:Instances!C193),"diff", MAX(Instances!C193:Instances!C193)-MIN(Instances!C193:Instances!C193))</f>
        <v>0</v>
      </c>
      <c r="D193" s="1" cm="1">
        <f t="array" ref="D193">_xlfn.SWITCH($A$2,"average", AVERAGE(Instances!D193:Instances!D193),"median", MEDIAN(Instances!D193:Instances!D193),"min", MIN(Instances!D193:Instances!D193),"max", MAX(Instances!D193:Instances!D193),"diff", MAX(Instances!D193:Instances!D193)-MIN(Instances!D193:Instances!D193))</f>
        <v>0</v>
      </c>
      <c r="E193" s="1" cm="1">
        <f t="array" ref="E193">_xlfn.SWITCH($A$2,"average", AVERAGE(Instances!E193:Instances!E193),"median", MEDIAN(Instances!E193:Instances!E193),"min", MIN(Instances!E193:Instances!E193),"max", MAX(Instances!E193:Instances!E193),"diff", MAX(Instances!E193:Instances!E193)-MIN(Instances!E193:Instances!E193))</f>
        <v>0</v>
      </c>
      <c r="F193" s="1" cm="1">
        <f t="array" ref="F193">_xlfn.SWITCH($A$2,"average", AVERAGE(Instances!F193:Instances!F193),"median", MEDIAN(Instances!F193:Instances!F193),"min", MIN(Instances!F193:Instances!F193),"max", MAX(Instances!F193:Instances!F193),"diff", MAX(Instances!F193:Instances!F193)-MIN(Instances!F193:Instances!F193))</f>
        <v>0</v>
      </c>
      <c r="G193" s="1" cm="1">
        <f t="array" ref="G193">_xlfn.SWITCH($A$2,"average", AVERAGE(Instances!G193:Instances!G193),"median", MEDIAN(Instances!G193:Instances!G193),"min", MIN(Instances!G193:Instances!G193),"max", MAX(Instances!G193:Instances!G193),"diff", MAX(Instances!G193:Instances!G193)-MIN(Instances!G193:Instances!G193))</f>
        <v>0</v>
      </c>
      <c r="H193" s="1" cm="1">
        <f t="array" ref="H193">_xlfn.SWITCH($A$2,"average", AVERAGE(Instances!H193:Instances!H193),"median", MEDIAN(Instances!H193:Instances!H193),"min", MIN(Instances!H193:Instances!H193),"max", MAX(Instances!H193:Instances!H193),"diff", MAX(Instances!H193:Instances!H193)-MIN(Instances!H193:Instances!H193))</f>
        <v>0</v>
      </c>
      <c r="I193" s="1" cm="1">
        <f t="array" ref="I193">_xlfn.SWITCH($A$2,"average", AVERAGE(Instances!I193:Instances!I193),"median", MEDIAN(Instances!I193:Instances!I193),"min", MIN(Instances!I193:Instances!I193),"max", MAX(Instances!I193:Instances!I193),"diff", MAX(Instances!I193:Instances!I193)-MIN(Instances!I193:Instances!I193))</f>
        <v>0</v>
      </c>
      <c r="J193" s="1" cm="1">
        <f t="array" ref="J193">_xlfn.SWITCH($A$2,"average", AVERAGE(Instances!J193:Instances!J193),"median", MEDIAN(Instances!J193:Instances!J193),"min", MIN(Instances!J193:Instances!J193),"max", MAX(Instances!J193:Instances!J193),"diff", MAX(Instances!J193:Instances!J193)-MIN(Instances!J193:Instances!J193))</f>
        <v>0</v>
      </c>
      <c r="K193" s="1" cm="1">
        <f t="array" ref="K193">_xlfn.SWITCH($A$2,"average", AVERAGE(Instances!K193:Instances!K193),"median", MEDIAN(Instances!K193:Instances!K193),"min", MIN(Instances!K193:Instances!K193),"max", MAX(Instances!K193:Instances!K193),"diff", MAX(Instances!K193:Instances!K193)-MIN(Instances!K193:Instances!K193))</f>
        <v>0</v>
      </c>
      <c r="L193" s="1"/>
      <c r="M193" s="1" cm="1">
        <f t="array" ref="M193">_xlfn.SWITCH($A$2,"average", AVERAGE(Instances!M193:Instances!M193),"median", MEDIAN(Instances!M193:Instances!M193),"min", MIN(Instances!M193:Instances!M193),"max", MAX(Instances!M193:Instances!M193),"diff", MAX(Instances!M193:Instances!M193)-MIN(Instances!M193:Instances!M193))</f>
        <v>0</v>
      </c>
      <c r="N193" s="1" cm="1">
        <f t="array" ref="N193">_xlfn.SWITCH($A$2,"average", AVERAGE(Instances!N193:Instances!N193),"median", MEDIAN(Instances!N193:Instances!N193),"min", MIN(Instances!N193:Instances!N193),"max", MAX(Instances!N193:Instances!N193),"diff", MAX(Instances!N193:Instances!N193)-MIN(Instances!N193:Instances!N193))</f>
        <v>0</v>
      </c>
      <c r="O193" s="1"/>
      <c r="P193" s="1" cm="1">
        <f t="array" ref="P193">_xlfn.SWITCH($A$2,"average", AVERAGE(Instances!P193:Instances!P193),"median", MEDIAN(Instances!P193:Instances!P193),"min", MIN(Instances!P193:Instances!P193),"max", MAX(Instances!P193:Instances!P193),"diff", MAX(Instances!P193:Instances!P193)-MIN(Instances!P193:Instances!P193))</f>
        <v>0</v>
      </c>
      <c r="Q193" s="1" cm="1">
        <f t="array" ref="Q193">_xlfn.SWITCH($A$2,"average", AVERAGE(Instances!Q193:Instances!Q193),"median", MEDIAN(Instances!Q193:Instances!Q193),"min", MIN(Instances!Q193:Instances!Q193),"max", MAX(Instances!Q193:Instances!Q193),"diff", MAX(Instances!Q193:Instances!Q193)-MIN(Instances!Q193:Instances!Q193))</f>
        <v>0</v>
      </c>
      <c r="R193" s="1" cm="1">
        <f t="array" ref="R193">_xlfn.SWITCH($A$2,"average", AVERAGE(Instances!R193:Instances!R193),"median", MEDIAN(Instances!R193:Instances!R193),"min", MIN(Instances!R193:Instances!R193),"max", MAX(Instances!R193:Instances!R193),"diff", MAX(Instances!R193:Instances!R193)-MIN(Instances!R193:Instances!R193))</f>
        <v>0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 cm="1">
        <f t="array" ref="B194">_xlfn.SWITCH($A$2,"average", AVERAGE(Instances!B194:Instances!B194),"median", MEDIAN(Instances!B194:Instances!B194),"min", MIN(Instances!B194:Instances!B194),"max", MAX(Instances!B194:Instances!B194),"diff", MAX(Instances!B194:Instances!B194)-MIN(Instances!B194:Instances!B194))</f>
        <v>0</v>
      </c>
      <c r="C194" s="1" cm="1">
        <f t="array" ref="C194">_xlfn.SWITCH($A$2,"average", AVERAGE(Instances!C194:Instances!C194),"median", MEDIAN(Instances!C194:Instances!C194),"min", MIN(Instances!C194:Instances!C194),"max", MAX(Instances!C194:Instances!C194),"diff", MAX(Instances!C194:Instances!C194)-MIN(Instances!C194:Instances!C194))</f>
        <v>0</v>
      </c>
      <c r="D194" s="1" cm="1">
        <f t="array" ref="D194">_xlfn.SWITCH($A$2,"average", AVERAGE(Instances!D194:Instances!D194),"median", MEDIAN(Instances!D194:Instances!D194),"min", MIN(Instances!D194:Instances!D194),"max", MAX(Instances!D194:Instances!D194),"diff", MAX(Instances!D194:Instances!D194)-MIN(Instances!D194:Instances!D194))</f>
        <v>0</v>
      </c>
      <c r="E194" s="1" cm="1">
        <f t="array" ref="E194">_xlfn.SWITCH($A$2,"average", AVERAGE(Instances!E194:Instances!E194),"median", MEDIAN(Instances!E194:Instances!E194),"min", MIN(Instances!E194:Instances!E194),"max", MAX(Instances!E194:Instances!E194),"diff", MAX(Instances!E194:Instances!E194)-MIN(Instances!E194:Instances!E194))</f>
        <v>0</v>
      </c>
      <c r="F194" s="1" cm="1">
        <f t="array" ref="F194">_xlfn.SWITCH($A$2,"average", AVERAGE(Instances!F194:Instances!F194),"median", MEDIAN(Instances!F194:Instances!F194),"min", MIN(Instances!F194:Instances!F194),"max", MAX(Instances!F194:Instances!F194),"diff", MAX(Instances!F194:Instances!F194)-MIN(Instances!F194:Instances!F194))</f>
        <v>0</v>
      </c>
      <c r="G194" s="1" cm="1">
        <f t="array" ref="G194">_xlfn.SWITCH($A$2,"average", AVERAGE(Instances!G194:Instances!G194),"median", MEDIAN(Instances!G194:Instances!G194),"min", MIN(Instances!G194:Instances!G194),"max", MAX(Instances!G194:Instances!G194),"diff", MAX(Instances!G194:Instances!G194)-MIN(Instances!G194:Instances!G194))</f>
        <v>0</v>
      </c>
      <c r="H194" s="1" cm="1">
        <f t="array" ref="H194">_xlfn.SWITCH($A$2,"average", AVERAGE(Instances!H194:Instances!H194),"median", MEDIAN(Instances!H194:Instances!H194),"min", MIN(Instances!H194:Instances!H194),"max", MAX(Instances!H194:Instances!H194),"diff", MAX(Instances!H194:Instances!H194)-MIN(Instances!H194:Instances!H194))</f>
        <v>0</v>
      </c>
      <c r="I194" s="1" cm="1">
        <f t="array" ref="I194">_xlfn.SWITCH($A$2,"average", AVERAGE(Instances!I194:Instances!I194),"median", MEDIAN(Instances!I194:Instances!I194),"min", MIN(Instances!I194:Instances!I194),"max", MAX(Instances!I194:Instances!I194),"diff", MAX(Instances!I194:Instances!I194)-MIN(Instances!I194:Instances!I194))</f>
        <v>0</v>
      </c>
      <c r="J194" s="1" cm="1">
        <f t="array" ref="J194">_xlfn.SWITCH($A$2,"average", AVERAGE(Instances!J194:Instances!J194),"median", MEDIAN(Instances!J194:Instances!J194),"min", MIN(Instances!J194:Instances!J194),"max", MAX(Instances!J194:Instances!J194),"diff", MAX(Instances!J194:Instances!J194)-MIN(Instances!J194:Instances!J194))</f>
        <v>0</v>
      </c>
      <c r="K194" s="1" cm="1">
        <f t="array" ref="K194">_xlfn.SWITCH($A$2,"average", AVERAGE(Instances!K194:Instances!K194),"median", MEDIAN(Instances!K194:Instances!K194),"min", MIN(Instances!K194:Instances!K194),"max", MAX(Instances!K194:Instances!K194),"diff", MAX(Instances!K194:Instances!K194)-MIN(Instances!K194:Instances!K194))</f>
        <v>0</v>
      </c>
      <c r="L194" s="1"/>
      <c r="M194" s="1" cm="1">
        <f t="array" ref="M194">_xlfn.SWITCH($A$2,"average", AVERAGE(Instances!M194:Instances!M194),"median", MEDIAN(Instances!M194:Instances!M194),"min", MIN(Instances!M194:Instances!M194),"max", MAX(Instances!M194:Instances!M194),"diff", MAX(Instances!M194:Instances!M194)-MIN(Instances!M194:Instances!M194))</f>
        <v>0</v>
      </c>
      <c r="N194" s="1" cm="1">
        <f t="array" ref="N194">_xlfn.SWITCH($A$2,"average", AVERAGE(Instances!N194:Instances!N194),"median", MEDIAN(Instances!N194:Instances!N194),"min", MIN(Instances!N194:Instances!N194),"max", MAX(Instances!N194:Instances!N194),"diff", MAX(Instances!N194:Instances!N194)-MIN(Instances!N194:Instances!N194))</f>
        <v>0</v>
      </c>
      <c r="O194" s="1"/>
      <c r="P194" s="1" cm="1">
        <f t="array" ref="P194">_xlfn.SWITCH($A$2,"average", AVERAGE(Instances!P194:Instances!P194),"median", MEDIAN(Instances!P194:Instances!P194),"min", MIN(Instances!P194:Instances!P194),"max", MAX(Instances!P194:Instances!P194),"diff", MAX(Instances!P194:Instances!P194)-MIN(Instances!P194:Instances!P194))</f>
        <v>0</v>
      </c>
      <c r="Q194" s="1" cm="1">
        <f t="array" ref="Q194">_xlfn.SWITCH($A$2,"average", AVERAGE(Instances!Q194:Instances!Q194),"median", MEDIAN(Instances!Q194:Instances!Q194),"min", MIN(Instances!Q194:Instances!Q194),"max", MAX(Instances!Q194:Instances!Q194),"diff", MAX(Instances!Q194:Instances!Q194)-MIN(Instances!Q194:Instances!Q194))</f>
        <v>0</v>
      </c>
      <c r="R194" s="1" cm="1">
        <f t="array" ref="R194">_xlfn.SWITCH($A$2,"average", AVERAGE(Instances!R194:Instances!R194),"median", MEDIAN(Instances!R194:Instances!R194),"min", MIN(Instances!R194:Instances!R194),"max", MAX(Instances!R194:Instances!R194),"diff", MAX(Instances!R194:Instances!R194)-MIN(Instances!R194:Instances!R194))</f>
        <v>0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 cm="1">
        <f t="array" ref="B195">_xlfn.SWITCH($A$2,"average", AVERAGE(Instances!B195:Instances!B195),"median", MEDIAN(Instances!B195:Instances!B195),"min", MIN(Instances!B195:Instances!B195),"max", MAX(Instances!B195:Instances!B195),"diff", MAX(Instances!B195:Instances!B195)-MIN(Instances!B195:Instances!B195))</f>
        <v>0</v>
      </c>
      <c r="C195" s="1" cm="1">
        <f t="array" ref="C195">_xlfn.SWITCH($A$2,"average", AVERAGE(Instances!C195:Instances!C195),"median", MEDIAN(Instances!C195:Instances!C195),"min", MIN(Instances!C195:Instances!C195),"max", MAX(Instances!C195:Instances!C195),"diff", MAX(Instances!C195:Instances!C195)-MIN(Instances!C195:Instances!C195))</f>
        <v>0</v>
      </c>
      <c r="D195" s="1" cm="1">
        <f t="array" ref="D195">_xlfn.SWITCH($A$2,"average", AVERAGE(Instances!D195:Instances!D195),"median", MEDIAN(Instances!D195:Instances!D195),"min", MIN(Instances!D195:Instances!D195),"max", MAX(Instances!D195:Instances!D195),"diff", MAX(Instances!D195:Instances!D195)-MIN(Instances!D195:Instances!D195))</f>
        <v>0</v>
      </c>
      <c r="E195" s="1" cm="1">
        <f t="array" ref="E195">_xlfn.SWITCH($A$2,"average", AVERAGE(Instances!E195:Instances!E195),"median", MEDIAN(Instances!E195:Instances!E195),"min", MIN(Instances!E195:Instances!E195),"max", MAX(Instances!E195:Instances!E195),"diff", MAX(Instances!E195:Instances!E195)-MIN(Instances!E195:Instances!E195))</f>
        <v>0</v>
      </c>
      <c r="F195" s="1" cm="1">
        <f t="array" ref="F195">_xlfn.SWITCH($A$2,"average", AVERAGE(Instances!F195:Instances!F195),"median", MEDIAN(Instances!F195:Instances!F195),"min", MIN(Instances!F195:Instances!F195),"max", MAX(Instances!F195:Instances!F195),"diff", MAX(Instances!F195:Instances!F195)-MIN(Instances!F195:Instances!F195))</f>
        <v>0</v>
      </c>
      <c r="G195" s="1" cm="1">
        <f t="array" ref="G195">_xlfn.SWITCH($A$2,"average", AVERAGE(Instances!G195:Instances!G195),"median", MEDIAN(Instances!G195:Instances!G195),"min", MIN(Instances!G195:Instances!G195),"max", MAX(Instances!G195:Instances!G195),"diff", MAX(Instances!G195:Instances!G195)-MIN(Instances!G195:Instances!G195))</f>
        <v>0</v>
      </c>
      <c r="H195" s="1" cm="1">
        <f t="array" ref="H195">_xlfn.SWITCH($A$2,"average", AVERAGE(Instances!H195:Instances!H195),"median", MEDIAN(Instances!H195:Instances!H195),"min", MIN(Instances!H195:Instances!H195),"max", MAX(Instances!H195:Instances!H195),"diff", MAX(Instances!H195:Instances!H195)-MIN(Instances!H195:Instances!H195))</f>
        <v>0</v>
      </c>
      <c r="I195" s="1" cm="1">
        <f t="array" ref="I195">_xlfn.SWITCH($A$2,"average", AVERAGE(Instances!I195:Instances!I195),"median", MEDIAN(Instances!I195:Instances!I195),"min", MIN(Instances!I195:Instances!I195),"max", MAX(Instances!I195:Instances!I195),"diff", MAX(Instances!I195:Instances!I195)-MIN(Instances!I195:Instances!I195))</f>
        <v>0</v>
      </c>
      <c r="J195" s="1" cm="1">
        <f t="array" ref="J195">_xlfn.SWITCH($A$2,"average", AVERAGE(Instances!J195:Instances!J195),"median", MEDIAN(Instances!J195:Instances!J195),"min", MIN(Instances!J195:Instances!J195),"max", MAX(Instances!J195:Instances!J195),"diff", MAX(Instances!J195:Instances!J195)-MIN(Instances!J195:Instances!J195))</f>
        <v>0</v>
      </c>
      <c r="K195" s="1" cm="1">
        <f t="array" ref="K195">_xlfn.SWITCH($A$2,"average", AVERAGE(Instances!K195:Instances!K195),"median", MEDIAN(Instances!K195:Instances!K195),"min", MIN(Instances!K195:Instances!K195),"max", MAX(Instances!K195:Instances!K195),"diff", MAX(Instances!K195:Instances!K195)-MIN(Instances!K195:Instances!K195))</f>
        <v>0</v>
      </c>
      <c r="L195" s="1"/>
      <c r="M195" s="1" cm="1">
        <f t="array" ref="M195">_xlfn.SWITCH($A$2,"average", AVERAGE(Instances!M195:Instances!M195),"median", MEDIAN(Instances!M195:Instances!M195),"min", MIN(Instances!M195:Instances!M195),"max", MAX(Instances!M195:Instances!M195),"diff", MAX(Instances!M195:Instances!M195)-MIN(Instances!M195:Instances!M195))</f>
        <v>0</v>
      </c>
      <c r="N195" s="1" cm="1">
        <f t="array" ref="N195">_xlfn.SWITCH($A$2,"average", AVERAGE(Instances!N195:Instances!N195),"median", MEDIAN(Instances!N195:Instances!N195),"min", MIN(Instances!N195:Instances!N195),"max", MAX(Instances!N195:Instances!N195),"diff", MAX(Instances!N195:Instances!N195)-MIN(Instances!N195:Instances!N195))</f>
        <v>0</v>
      </c>
      <c r="O195" s="1"/>
      <c r="P195" s="1" cm="1">
        <f t="array" ref="P195">_xlfn.SWITCH($A$2,"average", AVERAGE(Instances!P195:Instances!P195),"median", MEDIAN(Instances!P195:Instances!P195),"min", MIN(Instances!P195:Instances!P195),"max", MAX(Instances!P195:Instances!P195),"diff", MAX(Instances!P195:Instances!P195)-MIN(Instances!P195:Instances!P195))</f>
        <v>0</v>
      </c>
      <c r="Q195" s="1" cm="1">
        <f t="array" ref="Q195">_xlfn.SWITCH($A$2,"average", AVERAGE(Instances!Q195:Instances!Q195),"median", MEDIAN(Instances!Q195:Instances!Q195),"min", MIN(Instances!Q195:Instances!Q195),"max", MAX(Instances!Q195:Instances!Q195),"diff", MAX(Instances!Q195:Instances!Q195)-MIN(Instances!Q195:Instances!Q195))</f>
        <v>0</v>
      </c>
      <c r="R195" s="1" cm="1">
        <f t="array" ref="R195">_xlfn.SWITCH($A$2,"average", AVERAGE(Instances!R195:Instances!R195),"median", MEDIAN(Instances!R195:Instances!R195),"min", MIN(Instances!R195:Instances!R195),"max", MAX(Instances!R195:Instances!R195),"diff", MAX(Instances!R195:Instances!R195)-MIN(Instances!R195:Instances!R195))</f>
        <v>0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 cm="1">
        <f t="array" ref="B196">_xlfn.SWITCH($A$2,"average", AVERAGE(Instances!B196:Instances!B196),"median", MEDIAN(Instances!B196:Instances!B196),"min", MIN(Instances!B196:Instances!B196),"max", MAX(Instances!B196:Instances!B196),"diff", MAX(Instances!B196:Instances!B196)-MIN(Instances!B196:Instances!B196))</f>
        <v>0</v>
      </c>
      <c r="C196" s="1" cm="1">
        <f t="array" ref="C196">_xlfn.SWITCH($A$2,"average", AVERAGE(Instances!C196:Instances!C196),"median", MEDIAN(Instances!C196:Instances!C196),"min", MIN(Instances!C196:Instances!C196),"max", MAX(Instances!C196:Instances!C196),"diff", MAX(Instances!C196:Instances!C196)-MIN(Instances!C196:Instances!C196))</f>
        <v>0</v>
      </c>
      <c r="D196" s="1" cm="1">
        <f t="array" ref="D196">_xlfn.SWITCH($A$2,"average", AVERAGE(Instances!D196:Instances!D196),"median", MEDIAN(Instances!D196:Instances!D196),"min", MIN(Instances!D196:Instances!D196),"max", MAX(Instances!D196:Instances!D196),"diff", MAX(Instances!D196:Instances!D196)-MIN(Instances!D196:Instances!D196))</f>
        <v>0</v>
      </c>
      <c r="E196" s="1" cm="1">
        <f t="array" ref="E196">_xlfn.SWITCH($A$2,"average", AVERAGE(Instances!E196:Instances!E196),"median", MEDIAN(Instances!E196:Instances!E196),"min", MIN(Instances!E196:Instances!E196),"max", MAX(Instances!E196:Instances!E196),"diff", MAX(Instances!E196:Instances!E196)-MIN(Instances!E196:Instances!E196))</f>
        <v>0</v>
      </c>
      <c r="F196" s="1" cm="1">
        <f t="array" ref="F196">_xlfn.SWITCH($A$2,"average", AVERAGE(Instances!F196:Instances!F196),"median", MEDIAN(Instances!F196:Instances!F196),"min", MIN(Instances!F196:Instances!F196),"max", MAX(Instances!F196:Instances!F196),"diff", MAX(Instances!F196:Instances!F196)-MIN(Instances!F196:Instances!F196))</f>
        <v>0</v>
      </c>
      <c r="G196" s="1" cm="1">
        <f t="array" ref="G196">_xlfn.SWITCH($A$2,"average", AVERAGE(Instances!G196:Instances!G196),"median", MEDIAN(Instances!G196:Instances!G196),"min", MIN(Instances!G196:Instances!G196),"max", MAX(Instances!G196:Instances!G196),"diff", MAX(Instances!G196:Instances!G196)-MIN(Instances!G196:Instances!G196))</f>
        <v>0</v>
      </c>
      <c r="H196" s="1" cm="1">
        <f t="array" ref="H196">_xlfn.SWITCH($A$2,"average", AVERAGE(Instances!H196:Instances!H196),"median", MEDIAN(Instances!H196:Instances!H196),"min", MIN(Instances!H196:Instances!H196),"max", MAX(Instances!H196:Instances!H196),"diff", MAX(Instances!H196:Instances!H196)-MIN(Instances!H196:Instances!H196))</f>
        <v>0</v>
      </c>
      <c r="I196" s="1" cm="1">
        <f t="array" ref="I196">_xlfn.SWITCH($A$2,"average", AVERAGE(Instances!I196:Instances!I196),"median", MEDIAN(Instances!I196:Instances!I196),"min", MIN(Instances!I196:Instances!I196),"max", MAX(Instances!I196:Instances!I196),"diff", MAX(Instances!I196:Instances!I196)-MIN(Instances!I196:Instances!I196))</f>
        <v>0</v>
      </c>
      <c r="J196" s="1" cm="1">
        <f t="array" ref="J196">_xlfn.SWITCH($A$2,"average", AVERAGE(Instances!J196:Instances!J196),"median", MEDIAN(Instances!J196:Instances!J196),"min", MIN(Instances!J196:Instances!J196),"max", MAX(Instances!J196:Instances!J196),"diff", MAX(Instances!J196:Instances!J196)-MIN(Instances!J196:Instances!J196))</f>
        <v>0</v>
      </c>
      <c r="K196" s="1" cm="1">
        <f t="array" ref="K196">_xlfn.SWITCH($A$2,"average", AVERAGE(Instances!K196:Instances!K196),"median", MEDIAN(Instances!K196:Instances!K196),"min", MIN(Instances!K196:Instances!K196),"max", MAX(Instances!K196:Instances!K196),"diff", MAX(Instances!K196:Instances!K196)-MIN(Instances!K196:Instances!K196))</f>
        <v>0</v>
      </c>
      <c r="L196" s="1"/>
      <c r="M196" s="1" cm="1">
        <f t="array" ref="M196">_xlfn.SWITCH($A$2,"average", AVERAGE(Instances!M196:Instances!M196),"median", MEDIAN(Instances!M196:Instances!M196),"min", MIN(Instances!M196:Instances!M196),"max", MAX(Instances!M196:Instances!M196),"diff", MAX(Instances!M196:Instances!M196)-MIN(Instances!M196:Instances!M196))</f>
        <v>0</v>
      </c>
      <c r="N196" s="1" cm="1">
        <f t="array" ref="N196">_xlfn.SWITCH($A$2,"average", AVERAGE(Instances!N196:Instances!N196),"median", MEDIAN(Instances!N196:Instances!N196),"min", MIN(Instances!N196:Instances!N196),"max", MAX(Instances!N196:Instances!N196),"diff", MAX(Instances!N196:Instances!N196)-MIN(Instances!N196:Instances!N196))</f>
        <v>0</v>
      </c>
      <c r="O196" s="1"/>
      <c r="P196" s="1" cm="1">
        <f t="array" ref="P196">_xlfn.SWITCH($A$2,"average", AVERAGE(Instances!P196:Instances!P196),"median", MEDIAN(Instances!P196:Instances!P196),"min", MIN(Instances!P196:Instances!P196),"max", MAX(Instances!P196:Instances!P196),"diff", MAX(Instances!P196:Instances!P196)-MIN(Instances!P196:Instances!P196))</f>
        <v>0</v>
      </c>
      <c r="Q196" s="1" cm="1">
        <f t="array" ref="Q196">_xlfn.SWITCH($A$2,"average", AVERAGE(Instances!Q196:Instances!Q196),"median", MEDIAN(Instances!Q196:Instances!Q196),"min", MIN(Instances!Q196:Instances!Q196),"max", MAX(Instances!Q196:Instances!Q196),"diff", MAX(Instances!Q196:Instances!Q196)-MIN(Instances!Q196:Instances!Q196))</f>
        <v>0</v>
      </c>
      <c r="R196" s="1" cm="1">
        <f t="array" ref="R196">_xlfn.SWITCH($A$2,"average", AVERAGE(Instances!R196:Instances!R196),"median", MEDIAN(Instances!R196:Instances!R196),"min", MIN(Instances!R196:Instances!R196),"max", MAX(Instances!R196:Instances!R196),"diff", MAX(Instances!R196:Instances!R196)-MIN(Instances!R196:Instances!R196))</f>
        <v>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 cm="1">
        <f t="array" ref="B197">_xlfn.SWITCH($A$2,"average", AVERAGE(Instances!B197:Instances!B197),"median", MEDIAN(Instances!B197:Instances!B197),"min", MIN(Instances!B197:Instances!B197),"max", MAX(Instances!B197:Instances!B197),"diff", MAX(Instances!B197:Instances!B197)-MIN(Instances!B197:Instances!B197))</f>
        <v>0</v>
      </c>
      <c r="C197" s="1" cm="1">
        <f t="array" ref="C197">_xlfn.SWITCH($A$2,"average", AVERAGE(Instances!C197:Instances!C197),"median", MEDIAN(Instances!C197:Instances!C197),"min", MIN(Instances!C197:Instances!C197),"max", MAX(Instances!C197:Instances!C197),"diff", MAX(Instances!C197:Instances!C197)-MIN(Instances!C197:Instances!C197))</f>
        <v>0</v>
      </c>
      <c r="D197" s="1" cm="1">
        <f t="array" ref="D197">_xlfn.SWITCH($A$2,"average", AVERAGE(Instances!D197:Instances!D197),"median", MEDIAN(Instances!D197:Instances!D197),"min", MIN(Instances!D197:Instances!D197),"max", MAX(Instances!D197:Instances!D197),"diff", MAX(Instances!D197:Instances!D197)-MIN(Instances!D197:Instances!D197))</f>
        <v>0</v>
      </c>
      <c r="E197" s="1" cm="1">
        <f t="array" ref="E197">_xlfn.SWITCH($A$2,"average", AVERAGE(Instances!E197:Instances!E197),"median", MEDIAN(Instances!E197:Instances!E197),"min", MIN(Instances!E197:Instances!E197),"max", MAX(Instances!E197:Instances!E197),"diff", MAX(Instances!E197:Instances!E197)-MIN(Instances!E197:Instances!E197))</f>
        <v>0</v>
      </c>
      <c r="F197" s="1" cm="1">
        <f t="array" ref="F197">_xlfn.SWITCH($A$2,"average", AVERAGE(Instances!F197:Instances!F197),"median", MEDIAN(Instances!F197:Instances!F197),"min", MIN(Instances!F197:Instances!F197),"max", MAX(Instances!F197:Instances!F197),"diff", MAX(Instances!F197:Instances!F197)-MIN(Instances!F197:Instances!F197))</f>
        <v>0</v>
      </c>
      <c r="G197" s="1" cm="1">
        <f t="array" ref="G197">_xlfn.SWITCH($A$2,"average", AVERAGE(Instances!G197:Instances!G197),"median", MEDIAN(Instances!G197:Instances!G197),"min", MIN(Instances!G197:Instances!G197),"max", MAX(Instances!G197:Instances!G197),"diff", MAX(Instances!G197:Instances!G197)-MIN(Instances!G197:Instances!G197))</f>
        <v>0</v>
      </c>
      <c r="H197" s="1" cm="1">
        <f t="array" ref="H197">_xlfn.SWITCH($A$2,"average", AVERAGE(Instances!H197:Instances!H197),"median", MEDIAN(Instances!H197:Instances!H197),"min", MIN(Instances!H197:Instances!H197),"max", MAX(Instances!H197:Instances!H197),"diff", MAX(Instances!H197:Instances!H197)-MIN(Instances!H197:Instances!H197))</f>
        <v>0</v>
      </c>
      <c r="I197" s="1" cm="1">
        <f t="array" ref="I197">_xlfn.SWITCH($A$2,"average", AVERAGE(Instances!I197:Instances!I197),"median", MEDIAN(Instances!I197:Instances!I197),"min", MIN(Instances!I197:Instances!I197),"max", MAX(Instances!I197:Instances!I197),"diff", MAX(Instances!I197:Instances!I197)-MIN(Instances!I197:Instances!I197))</f>
        <v>0</v>
      </c>
      <c r="J197" s="1" cm="1">
        <f t="array" ref="J197">_xlfn.SWITCH($A$2,"average", AVERAGE(Instances!J197:Instances!J197),"median", MEDIAN(Instances!J197:Instances!J197),"min", MIN(Instances!J197:Instances!J197),"max", MAX(Instances!J197:Instances!J197),"diff", MAX(Instances!J197:Instances!J197)-MIN(Instances!J197:Instances!J197))</f>
        <v>0</v>
      </c>
      <c r="K197" s="1" cm="1">
        <f t="array" ref="K197">_xlfn.SWITCH($A$2,"average", AVERAGE(Instances!K197:Instances!K197),"median", MEDIAN(Instances!K197:Instances!K197),"min", MIN(Instances!K197:Instances!K197),"max", MAX(Instances!K197:Instances!K197),"diff", MAX(Instances!K197:Instances!K197)-MIN(Instances!K197:Instances!K197))</f>
        <v>0</v>
      </c>
      <c r="L197" s="1"/>
      <c r="M197" s="1" cm="1">
        <f t="array" ref="M197">_xlfn.SWITCH($A$2,"average", AVERAGE(Instances!M197:Instances!M197),"median", MEDIAN(Instances!M197:Instances!M197),"min", MIN(Instances!M197:Instances!M197),"max", MAX(Instances!M197:Instances!M197),"diff", MAX(Instances!M197:Instances!M197)-MIN(Instances!M197:Instances!M197))</f>
        <v>0</v>
      </c>
      <c r="N197" s="1" cm="1">
        <f t="array" ref="N197">_xlfn.SWITCH($A$2,"average", AVERAGE(Instances!N197:Instances!N197),"median", MEDIAN(Instances!N197:Instances!N197),"min", MIN(Instances!N197:Instances!N197),"max", MAX(Instances!N197:Instances!N197),"diff", MAX(Instances!N197:Instances!N197)-MIN(Instances!N197:Instances!N197))</f>
        <v>0</v>
      </c>
      <c r="O197" s="1"/>
      <c r="P197" s="1" cm="1">
        <f t="array" ref="P197">_xlfn.SWITCH($A$2,"average", AVERAGE(Instances!P197:Instances!P197),"median", MEDIAN(Instances!P197:Instances!P197),"min", MIN(Instances!P197:Instances!P197),"max", MAX(Instances!P197:Instances!P197),"diff", MAX(Instances!P197:Instances!P197)-MIN(Instances!P197:Instances!P197))</f>
        <v>0</v>
      </c>
      <c r="Q197" s="1" cm="1">
        <f t="array" ref="Q197">_xlfn.SWITCH($A$2,"average", AVERAGE(Instances!Q197:Instances!Q197),"median", MEDIAN(Instances!Q197:Instances!Q197),"min", MIN(Instances!Q197:Instances!Q197),"max", MAX(Instances!Q197:Instances!Q197),"diff", MAX(Instances!Q197:Instances!Q197)-MIN(Instances!Q197:Instances!Q197))</f>
        <v>0</v>
      </c>
      <c r="R197" s="1" cm="1">
        <f t="array" ref="R197">_xlfn.SWITCH($A$2,"average", AVERAGE(Instances!R197:Instances!R197),"median", MEDIAN(Instances!R197:Instances!R197),"min", MIN(Instances!R197:Instances!R197),"max", MAX(Instances!R197:Instances!R197),"diff", MAX(Instances!R197:Instances!R197)-MIN(Instances!R197:Instances!R197))</f>
        <v>0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 cm="1">
        <f t="array" ref="B198">_xlfn.SWITCH($A$2,"average", AVERAGE(Instances!B198:Instances!B198),"median", MEDIAN(Instances!B198:Instances!B198),"min", MIN(Instances!B198:Instances!B198),"max", MAX(Instances!B198:Instances!B198),"diff", MAX(Instances!B198:Instances!B198)-MIN(Instances!B198:Instances!B198))</f>
        <v>0</v>
      </c>
      <c r="C198" s="1" cm="1">
        <f t="array" ref="C198">_xlfn.SWITCH($A$2,"average", AVERAGE(Instances!C198:Instances!C198),"median", MEDIAN(Instances!C198:Instances!C198),"min", MIN(Instances!C198:Instances!C198),"max", MAX(Instances!C198:Instances!C198),"diff", MAX(Instances!C198:Instances!C198)-MIN(Instances!C198:Instances!C198))</f>
        <v>0</v>
      </c>
      <c r="D198" s="1" cm="1">
        <f t="array" ref="D198">_xlfn.SWITCH($A$2,"average", AVERAGE(Instances!D198:Instances!D198),"median", MEDIAN(Instances!D198:Instances!D198),"min", MIN(Instances!D198:Instances!D198),"max", MAX(Instances!D198:Instances!D198),"diff", MAX(Instances!D198:Instances!D198)-MIN(Instances!D198:Instances!D198))</f>
        <v>0</v>
      </c>
      <c r="E198" s="1" cm="1">
        <f t="array" ref="E198">_xlfn.SWITCH($A$2,"average", AVERAGE(Instances!E198:Instances!E198),"median", MEDIAN(Instances!E198:Instances!E198),"min", MIN(Instances!E198:Instances!E198),"max", MAX(Instances!E198:Instances!E198),"diff", MAX(Instances!E198:Instances!E198)-MIN(Instances!E198:Instances!E198))</f>
        <v>0</v>
      </c>
      <c r="F198" s="1" cm="1">
        <f t="array" ref="F198">_xlfn.SWITCH($A$2,"average", AVERAGE(Instances!F198:Instances!F198),"median", MEDIAN(Instances!F198:Instances!F198),"min", MIN(Instances!F198:Instances!F198),"max", MAX(Instances!F198:Instances!F198),"diff", MAX(Instances!F198:Instances!F198)-MIN(Instances!F198:Instances!F198))</f>
        <v>0</v>
      </c>
      <c r="G198" s="1" cm="1">
        <f t="array" ref="G198">_xlfn.SWITCH($A$2,"average", AVERAGE(Instances!G198:Instances!G198),"median", MEDIAN(Instances!G198:Instances!G198),"min", MIN(Instances!G198:Instances!G198),"max", MAX(Instances!G198:Instances!G198),"diff", MAX(Instances!G198:Instances!G198)-MIN(Instances!G198:Instances!G198))</f>
        <v>0</v>
      </c>
      <c r="H198" s="1" cm="1">
        <f t="array" ref="H198">_xlfn.SWITCH($A$2,"average", AVERAGE(Instances!H198:Instances!H198),"median", MEDIAN(Instances!H198:Instances!H198),"min", MIN(Instances!H198:Instances!H198),"max", MAX(Instances!H198:Instances!H198),"diff", MAX(Instances!H198:Instances!H198)-MIN(Instances!H198:Instances!H198))</f>
        <v>0</v>
      </c>
      <c r="I198" s="1" cm="1">
        <f t="array" ref="I198">_xlfn.SWITCH($A$2,"average", AVERAGE(Instances!I198:Instances!I198),"median", MEDIAN(Instances!I198:Instances!I198),"min", MIN(Instances!I198:Instances!I198),"max", MAX(Instances!I198:Instances!I198),"diff", MAX(Instances!I198:Instances!I198)-MIN(Instances!I198:Instances!I198))</f>
        <v>0</v>
      </c>
      <c r="J198" s="1" cm="1">
        <f t="array" ref="J198">_xlfn.SWITCH($A$2,"average", AVERAGE(Instances!J198:Instances!J198),"median", MEDIAN(Instances!J198:Instances!J198),"min", MIN(Instances!J198:Instances!J198),"max", MAX(Instances!J198:Instances!J198),"diff", MAX(Instances!J198:Instances!J198)-MIN(Instances!J198:Instances!J198))</f>
        <v>0</v>
      </c>
      <c r="K198" s="1" cm="1">
        <f t="array" ref="K198">_xlfn.SWITCH($A$2,"average", AVERAGE(Instances!K198:Instances!K198),"median", MEDIAN(Instances!K198:Instances!K198),"min", MIN(Instances!K198:Instances!K198),"max", MAX(Instances!K198:Instances!K198),"diff", MAX(Instances!K198:Instances!K198)-MIN(Instances!K198:Instances!K198))</f>
        <v>0</v>
      </c>
      <c r="L198" s="1"/>
      <c r="M198" s="1" cm="1">
        <f t="array" ref="M198">_xlfn.SWITCH($A$2,"average", AVERAGE(Instances!M198:Instances!M198),"median", MEDIAN(Instances!M198:Instances!M198),"min", MIN(Instances!M198:Instances!M198),"max", MAX(Instances!M198:Instances!M198),"diff", MAX(Instances!M198:Instances!M198)-MIN(Instances!M198:Instances!M198))</f>
        <v>0</v>
      </c>
      <c r="N198" s="1" cm="1">
        <f t="array" ref="N198">_xlfn.SWITCH($A$2,"average", AVERAGE(Instances!N198:Instances!N198),"median", MEDIAN(Instances!N198:Instances!N198),"min", MIN(Instances!N198:Instances!N198),"max", MAX(Instances!N198:Instances!N198),"diff", MAX(Instances!N198:Instances!N198)-MIN(Instances!N198:Instances!N198))</f>
        <v>0</v>
      </c>
      <c r="O198" s="1"/>
      <c r="P198" s="1" cm="1">
        <f t="array" ref="P198">_xlfn.SWITCH($A$2,"average", AVERAGE(Instances!P198:Instances!P198),"median", MEDIAN(Instances!P198:Instances!P198),"min", MIN(Instances!P198:Instances!P198),"max", MAX(Instances!P198:Instances!P198),"diff", MAX(Instances!P198:Instances!P198)-MIN(Instances!P198:Instances!P198))</f>
        <v>0</v>
      </c>
      <c r="Q198" s="1" cm="1">
        <f t="array" ref="Q198">_xlfn.SWITCH($A$2,"average", AVERAGE(Instances!Q198:Instances!Q198),"median", MEDIAN(Instances!Q198:Instances!Q198),"min", MIN(Instances!Q198:Instances!Q198),"max", MAX(Instances!Q198:Instances!Q198),"diff", MAX(Instances!Q198:Instances!Q198)-MIN(Instances!Q198:Instances!Q198))</f>
        <v>0</v>
      </c>
      <c r="R198" s="1" cm="1">
        <f t="array" ref="R198">_xlfn.SWITCH($A$2,"average", AVERAGE(Instances!R198:Instances!R198),"median", MEDIAN(Instances!R198:Instances!R198),"min", MIN(Instances!R198:Instances!R198),"max", MAX(Instances!R198:Instances!R198),"diff", MAX(Instances!R198:Instances!R198)-MIN(Instances!R198:Instances!R198))</f>
        <v>0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 cm="1">
        <f t="array" ref="B199">_xlfn.SWITCH($A$2,"average", AVERAGE(Instances!B199:Instances!B199),"median", MEDIAN(Instances!B199:Instances!B199),"min", MIN(Instances!B199:Instances!B199),"max", MAX(Instances!B199:Instances!B199),"diff", MAX(Instances!B199:Instances!B199)-MIN(Instances!B199:Instances!B199))</f>
        <v>0</v>
      </c>
      <c r="C199" s="1" cm="1">
        <f t="array" ref="C199">_xlfn.SWITCH($A$2,"average", AVERAGE(Instances!C199:Instances!C199),"median", MEDIAN(Instances!C199:Instances!C199),"min", MIN(Instances!C199:Instances!C199),"max", MAX(Instances!C199:Instances!C199),"diff", MAX(Instances!C199:Instances!C199)-MIN(Instances!C199:Instances!C199))</f>
        <v>0</v>
      </c>
      <c r="D199" s="1" cm="1">
        <f t="array" ref="D199">_xlfn.SWITCH($A$2,"average", AVERAGE(Instances!D199:Instances!D199),"median", MEDIAN(Instances!D199:Instances!D199),"min", MIN(Instances!D199:Instances!D199),"max", MAX(Instances!D199:Instances!D199),"diff", MAX(Instances!D199:Instances!D199)-MIN(Instances!D199:Instances!D199))</f>
        <v>0</v>
      </c>
      <c r="E199" s="1" cm="1">
        <f t="array" ref="E199">_xlfn.SWITCH($A$2,"average", AVERAGE(Instances!E199:Instances!E199),"median", MEDIAN(Instances!E199:Instances!E199),"min", MIN(Instances!E199:Instances!E199),"max", MAX(Instances!E199:Instances!E199),"diff", MAX(Instances!E199:Instances!E199)-MIN(Instances!E199:Instances!E199))</f>
        <v>0</v>
      </c>
      <c r="F199" s="1" cm="1">
        <f t="array" ref="F199">_xlfn.SWITCH($A$2,"average", AVERAGE(Instances!F199:Instances!F199),"median", MEDIAN(Instances!F199:Instances!F199),"min", MIN(Instances!F199:Instances!F199),"max", MAX(Instances!F199:Instances!F199),"diff", MAX(Instances!F199:Instances!F199)-MIN(Instances!F199:Instances!F199))</f>
        <v>0</v>
      </c>
      <c r="G199" s="1" cm="1">
        <f t="array" ref="G199">_xlfn.SWITCH($A$2,"average", AVERAGE(Instances!G199:Instances!G199),"median", MEDIAN(Instances!G199:Instances!G199),"min", MIN(Instances!G199:Instances!G199),"max", MAX(Instances!G199:Instances!G199),"diff", MAX(Instances!G199:Instances!G199)-MIN(Instances!G199:Instances!G199))</f>
        <v>0</v>
      </c>
      <c r="H199" s="1" cm="1">
        <f t="array" ref="H199">_xlfn.SWITCH($A$2,"average", AVERAGE(Instances!H199:Instances!H199),"median", MEDIAN(Instances!H199:Instances!H199),"min", MIN(Instances!H199:Instances!H199),"max", MAX(Instances!H199:Instances!H199),"diff", MAX(Instances!H199:Instances!H199)-MIN(Instances!H199:Instances!H199))</f>
        <v>0</v>
      </c>
      <c r="I199" s="1" cm="1">
        <f t="array" ref="I199">_xlfn.SWITCH($A$2,"average", AVERAGE(Instances!I199:Instances!I199),"median", MEDIAN(Instances!I199:Instances!I199),"min", MIN(Instances!I199:Instances!I199),"max", MAX(Instances!I199:Instances!I199),"diff", MAX(Instances!I199:Instances!I199)-MIN(Instances!I199:Instances!I199))</f>
        <v>0</v>
      </c>
      <c r="J199" s="1" cm="1">
        <f t="array" ref="J199">_xlfn.SWITCH($A$2,"average", AVERAGE(Instances!J199:Instances!J199),"median", MEDIAN(Instances!J199:Instances!J199),"min", MIN(Instances!J199:Instances!J199),"max", MAX(Instances!J199:Instances!J199),"diff", MAX(Instances!J199:Instances!J199)-MIN(Instances!J199:Instances!J199))</f>
        <v>0</v>
      </c>
      <c r="K199" s="1" cm="1">
        <f t="array" ref="K199">_xlfn.SWITCH($A$2,"average", AVERAGE(Instances!K199:Instances!K199),"median", MEDIAN(Instances!K199:Instances!K199),"min", MIN(Instances!K199:Instances!K199),"max", MAX(Instances!K199:Instances!K199),"diff", MAX(Instances!K199:Instances!K199)-MIN(Instances!K199:Instances!K199))</f>
        <v>0</v>
      </c>
      <c r="L199" s="1"/>
      <c r="M199" s="1" cm="1">
        <f t="array" ref="M199">_xlfn.SWITCH($A$2,"average", AVERAGE(Instances!M199:Instances!M199),"median", MEDIAN(Instances!M199:Instances!M199),"min", MIN(Instances!M199:Instances!M199),"max", MAX(Instances!M199:Instances!M199),"diff", MAX(Instances!M199:Instances!M199)-MIN(Instances!M199:Instances!M199))</f>
        <v>0</v>
      </c>
      <c r="N199" s="1" cm="1">
        <f t="array" ref="N199">_xlfn.SWITCH($A$2,"average", AVERAGE(Instances!N199:Instances!N199),"median", MEDIAN(Instances!N199:Instances!N199),"min", MIN(Instances!N199:Instances!N199),"max", MAX(Instances!N199:Instances!N199),"diff", MAX(Instances!N199:Instances!N199)-MIN(Instances!N199:Instances!N199))</f>
        <v>0</v>
      </c>
      <c r="O199" s="1"/>
      <c r="P199" s="1" cm="1">
        <f t="array" ref="P199">_xlfn.SWITCH($A$2,"average", AVERAGE(Instances!P199:Instances!P199),"median", MEDIAN(Instances!P199:Instances!P199),"min", MIN(Instances!P199:Instances!P199),"max", MAX(Instances!P199:Instances!P199),"diff", MAX(Instances!P199:Instances!P199)-MIN(Instances!P199:Instances!P199))</f>
        <v>0</v>
      </c>
      <c r="Q199" s="1" cm="1">
        <f t="array" ref="Q199">_xlfn.SWITCH($A$2,"average", AVERAGE(Instances!Q199:Instances!Q199),"median", MEDIAN(Instances!Q199:Instances!Q199),"min", MIN(Instances!Q199:Instances!Q199),"max", MAX(Instances!Q199:Instances!Q199),"diff", MAX(Instances!Q199:Instances!Q199)-MIN(Instances!Q199:Instances!Q199))</f>
        <v>0</v>
      </c>
      <c r="R199" s="1" cm="1">
        <f t="array" ref="R199">_xlfn.SWITCH($A$2,"average", AVERAGE(Instances!R199:Instances!R199),"median", MEDIAN(Instances!R199:Instances!R199),"min", MIN(Instances!R199:Instances!R199),"max", MAX(Instances!R199:Instances!R199),"diff", MAX(Instances!R199:Instances!R199)-MIN(Instances!R199:Instances!R199))</f>
        <v>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 cm="1">
        <f t="array" ref="B200">_xlfn.SWITCH($A$2,"average", AVERAGE(Instances!B200:Instances!B200),"median", MEDIAN(Instances!B200:Instances!B200),"min", MIN(Instances!B200:Instances!B200),"max", MAX(Instances!B200:Instances!B200),"diff", MAX(Instances!B200:Instances!B200)-MIN(Instances!B200:Instances!B200))</f>
        <v>0</v>
      </c>
      <c r="C200" s="1" cm="1">
        <f t="array" ref="C200">_xlfn.SWITCH($A$2,"average", AVERAGE(Instances!C200:Instances!C200),"median", MEDIAN(Instances!C200:Instances!C200),"min", MIN(Instances!C200:Instances!C200),"max", MAX(Instances!C200:Instances!C200),"diff", MAX(Instances!C200:Instances!C200)-MIN(Instances!C200:Instances!C200))</f>
        <v>0</v>
      </c>
      <c r="D200" s="1" cm="1">
        <f t="array" ref="D200">_xlfn.SWITCH($A$2,"average", AVERAGE(Instances!D200:Instances!D200),"median", MEDIAN(Instances!D200:Instances!D200),"min", MIN(Instances!D200:Instances!D200),"max", MAX(Instances!D200:Instances!D200),"diff", MAX(Instances!D200:Instances!D200)-MIN(Instances!D200:Instances!D200))</f>
        <v>0</v>
      </c>
      <c r="E200" s="1" cm="1">
        <f t="array" ref="E200">_xlfn.SWITCH($A$2,"average", AVERAGE(Instances!E200:Instances!E200),"median", MEDIAN(Instances!E200:Instances!E200),"min", MIN(Instances!E200:Instances!E200),"max", MAX(Instances!E200:Instances!E200),"diff", MAX(Instances!E200:Instances!E200)-MIN(Instances!E200:Instances!E200))</f>
        <v>0</v>
      </c>
      <c r="F200" s="1" cm="1">
        <f t="array" ref="F200">_xlfn.SWITCH($A$2,"average", AVERAGE(Instances!F200:Instances!F200),"median", MEDIAN(Instances!F200:Instances!F200),"min", MIN(Instances!F200:Instances!F200),"max", MAX(Instances!F200:Instances!F200),"diff", MAX(Instances!F200:Instances!F200)-MIN(Instances!F200:Instances!F200))</f>
        <v>0</v>
      </c>
      <c r="G200" s="1" cm="1">
        <f t="array" ref="G200">_xlfn.SWITCH($A$2,"average", AVERAGE(Instances!G200:Instances!G200),"median", MEDIAN(Instances!G200:Instances!G200),"min", MIN(Instances!G200:Instances!G200),"max", MAX(Instances!G200:Instances!G200),"diff", MAX(Instances!G200:Instances!G200)-MIN(Instances!G200:Instances!G200))</f>
        <v>0</v>
      </c>
      <c r="H200" s="1" cm="1">
        <f t="array" ref="H200">_xlfn.SWITCH($A$2,"average", AVERAGE(Instances!H200:Instances!H200),"median", MEDIAN(Instances!H200:Instances!H200),"min", MIN(Instances!H200:Instances!H200),"max", MAX(Instances!H200:Instances!H200),"diff", MAX(Instances!H200:Instances!H200)-MIN(Instances!H200:Instances!H200))</f>
        <v>0</v>
      </c>
      <c r="I200" s="1" cm="1">
        <f t="array" ref="I200">_xlfn.SWITCH($A$2,"average", AVERAGE(Instances!I200:Instances!I200),"median", MEDIAN(Instances!I200:Instances!I200),"min", MIN(Instances!I200:Instances!I200),"max", MAX(Instances!I200:Instances!I200),"diff", MAX(Instances!I200:Instances!I200)-MIN(Instances!I200:Instances!I200))</f>
        <v>0</v>
      </c>
      <c r="J200" s="1" cm="1">
        <f t="array" ref="J200">_xlfn.SWITCH($A$2,"average", AVERAGE(Instances!J200:Instances!J200),"median", MEDIAN(Instances!J200:Instances!J200),"min", MIN(Instances!J200:Instances!J200),"max", MAX(Instances!J200:Instances!J200),"diff", MAX(Instances!J200:Instances!J200)-MIN(Instances!J200:Instances!J200))</f>
        <v>0</v>
      </c>
      <c r="K200" s="1" cm="1">
        <f t="array" ref="K200">_xlfn.SWITCH($A$2,"average", AVERAGE(Instances!K200:Instances!K200),"median", MEDIAN(Instances!K200:Instances!K200),"min", MIN(Instances!K200:Instances!K200),"max", MAX(Instances!K200:Instances!K200),"diff", MAX(Instances!K200:Instances!K200)-MIN(Instances!K200:Instances!K200))</f>
        <v>0</v>
      </c>
      <c r="L200" s="1"/>
      <c r="M200" s="1" cm="1">
        <f t="array" ref="M200">_xlfn.SWITCH($A$2,"average", AVERAGE(Instances!M200:Instances!M200),"median", MEDIAN(Instances!M200:Instances!M200),"min", MIN(Instances!M200:Instances!M200),"max", MAX(Instances!M200:Instances!M200),"diff", MAX(Instances!M200:Instances!M200)-MIN(Instances!M200:Instances!M200))</f>
        <v>0</v>
      </c>
      <c r="N200" s="1" cm="1">
        <f t="array" ref="N200">_xlfn.SWITCH($A$2,"average", AVERAGE(Instances!N200:Instances!N200),"median", MEDIAN(Instances!N200:Instances!N200),"min", MIN(Instances!N200:Instances!N200),"max", MAX(Instances!N200:Instances!N200),"diff", MAX(Instances!N200:Instances!N200)-MIN(Instances!N200:Instances!N200))</f>
        <v>0</v>
      </c>
      <c r="O200" s="1"/>
      <c r="P200" s="1" cm="1">
        <f t="array" ref="P200">_xlfn.SWITCH($A$2,"average", AVERAGE(Instances!P200:Instances!P200),"median", MEDIAN(Instances!P200:Instances!P200),"min", MIN(Instances!P200:Instances!P200),"max", MAX(Instances!P200:Instances!P200),"diff", MAX(Instances!P200:Instances!P200)-MIN(Instances!P200:Instances!P200))</f>
        <v>0</v>
      </c>
      <c r="Q200" s="1" cm="1">
        <f t="array" ref="Q200">_xlfn.SWITCH($A$2,"average", AVERAGE(Instances!Q200:Instances!Q200),"median", MEDIAN(Instances!Q200:Instances!Q200),"min", MIN(Instances!Q200:Instances!Q200),"max", MAX(Instances!Q200:Instances!Q200),"diff", MAX(Instances!Q200:Instances!Q200)-MIN(Instances!Q200:Instances!Q200))</f>
        <v>0</v>
      </c>
      <c r="R200" s="1" cm="1">
        <f t="array" ref="R200">_xlfn.SWITCH($A$2,"average", AVERAGE(Instances!R200:Instances!R200),"median", MEDIAN(Instances!R200:Instances!R200),"min", MIN(Instances!R200:Instances!R200),"max", MAX(Instances!R200:Instances!R200),"diff", MAX(Instances!R200:Instances!R200)-MIN(Instances!R200:Instances!R200))</f>
        <v>0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 cm="1">
        <f t="array" ref="B201">_xlfn.SWITCH($A$2,"average", AVERAGE(Instances!B201:Instances!B201),"median", MEDIAN(Instances!B201:Instances!B201),"min", MIN(Instances!B201:Instances!B201),"max", MAX(Instances!B201:Instances!B201),"diff", MAX(Instances!B201:Instances!B201)-MIN(Instances!B201:Instances!B201))</f>
        <v>0</v>
      </c>
      <c r="C201" s="1" cm="1">
        <f t="array" ref="C201">_xlfn.SWITCH($A$2,"average", AVERAGE(Instances!C201:Instances!C201),"median", MEDIAN(Instances!C201:Instances!C201),"min", MIN(Instances!C201:Instances!C201),"max", MAX(Instances!C201:Instances!C201),"diff", MAX(Instances!C201:Instances!C201)-MIN(Instances!C201:Instances!C201))</f>
        <v>0</v>
      </c>
      <c r="D201" s="1" cm="1">
        <f t="array" ref="D201">_xlfn.SWITCH($A$2,"average", AVERAGE(Instances!D201:Instances!D201),"median", MEDIAN(Instances!D201:Instances!D201),"min", MIN(Instances!D201:Instances!D201),"max", MAX(Instances!D201:Instances!D201),"diff", MAX(Instances!D201:Instances!D201)-MIN(Instances!D201:Instances!D201))</f>
        <v>0</v>
      </c>
      <c r="E201" s="1" cm="1">
        <f t="array" ref="E201">_xlfn.SWITCH($A$2,"average", AVERAGE(Instances!E201:Instances!E201),"median", MEDIAN(Instances!E201:Instances!E201),"min", MIN(Instances!E201:Instances!E201),"max", MAX(Instances!E201:Instances!E201),"diff", MAX(Instances!E201:Instances!E201)-MIN(Instances!E201:Instances!E201))</f>
        <v>0</v>
      </c>
      <c r="F201" s="1" cm="1">
        <f t="array" ref="F201">_xlfn.SWITCH($A$2,"average", AVERAGE(Instances!F201:Instances!F201),"median", MEDIAN(Instances!F201:Instances!F201),"min", MIN(Instances!F201:Instances!F201),"max", MAX(Instances!F201:Instances!F201),"diff", MAX(Instances!F201:Instances!F201)-MIN(Instances!F201:Instances!F201))</f>
        <v>0</v>
      </c>
      <c r="G201" s="1" cm="1">
        <f t="array" ref="G201">_xlfn.SWITCH($A$2,"average", AVERAGE(Instances!G201:Instances!G201),"median", MEDIAN(Instances!G201:Instances!G201),"min", MIN(Instances!G201:Instances!G201),"max", MAX(Instances!G201:Instances!G201),"diff", MAX(Instances!G201:Instances!G201)-MIN(Instances!G201:Instances!G201))</f>
        <v>0</v>
      </c>
      <c r="H201" s="1" cm="1">
        <f t="array" ref="H201">_xlfn.SWITCH($A$2,"average", AVERAGE(Instances!H201:Instances!H201),"median", MEDIAN(Instances!H201:Instances!H201),"min", MIN(Instances!H201:Instances!H201),"max", MAX(Instances!H201:Instances!H201),"diff", MAX(Instances!H201:Instances!H201)-MIN(Instances!H201:Instances!H201))</f>
        <v>0</v>
      </c>
      <c r="I201" s="1" cm="1">
        <f t="array" ref="I201">_xlfn.SWITCH($A$2,"average", AVERAGE(Instances!I201:Instances!I201),"median", MEDIAN(Instances!I201:Instances!I201),"min", MIN(Instances!I201:Instances!I201),"max", MAX(Instances!I201:Instances!I201),"diff", MAX(Instances!I201:Instances!I201)-MIN(Instances!I201:Instances!I201))</f>
        <v>0</v>
      </c>
      <c r="J201" s="1" cm="1">
        <f t="array" ref="J201">_xlfn.SWITCH($A$2,"average", AVERAGE(Instances!J201:Instances!J201),"median", MEDIAN(Instances!J201:Instances!J201),"min", MIN(Instances!J201:Instances!J201),"max", MAX(Instances!J201:Instances!J201),"diff", MAX(Instances!J201:Instances!J201)-MIN(Instances!J201:Instances!J201))</f>
        <v>0</v>
      </c>
      <c r="K201" s="1" cm="1">
        <f t="array" ref="K201">_xlfn.SWITCH($A$2,"average", AVERAGE(Instances!K201:Instances!K201),"median", MEDIAN(Instances!K201:Instances!K201),"min", MIN(Instances!K201:Instances!K201),"max", MAX(Instances!K201:Instances!K201),"diff", MAX(Instances!K201:Instances!K201)-MIN(Instances!K201:Instances!K201))</f>
        <v>0</v>
      </c>
      <c r="L201" s="1"/>
      <c r="M201" s="1" cm="1">
        <f t="array" ref="M201">_xlfn.SWITCH($A$2,"average", AVERAGE(Instances!M201:Instances!M201),"median", MEDIAN(Instances!M201:Instances!M201),"min", MIN(Instances!M201:Instances!M201),"max", MAX(Instances!M201:Instances!M201),"diff", MAX(Instances!M201:Instances!M201)-MIN(Instances!M201:Instances!M201))</f>
        <v>0</v>
      </c>
      <c r="N201" s="1" cm="1">
        <f t="array" ref="N201">_xlfn.SWITCH($A$2,"average", AVERAGE(Instances!N201:Instances!N201),"median", MEDIAN(Instances!N201:Instances!N201),"min", MIN(Instances!N201:Instances!N201),"max", MAX(Instances!N201:Instances!N201),"diff", MAX(Instances!N201:Instances!N201)-MIN(Instances!N201:Instances!N201))</f>
        <v>0</v>
      </c>
      <c r="O201" s="1"/>
      <c r="P201" s="1" cm="1">
        <f t="array" ref="P201">_xlfn.SWITCH($A$2,"average", AVERAGE(Instances!P201:Instances!P201),"median", MEDIAN(Instances!P201:Instances!P201),"min", MIN(Instances!P201:Instances!P201),"max", MAX(Instances!P201:Instances!P201),"diff", MAX(Instances!P201:Instances!P201)-MIN(Instances!P201:Instances!P201))</f>
        <v>0</v>
      </c>
      <c r="Q201" s="1" cm="1">
        <f t="array" ref="Q201">_xlfn.SWITCH($A$2,"average", AVERAGE(Instances!Q201:Instances!Q201),"median", MEDIAN(Instances!Q201:Instances!Q201),"min", MIN(Instances!Q201:Instances!Q201),"max", MAX(Instances!Q201:Instances!Q201),"diff", MAX(Instances!Q201:Instances!Q201)-MIN(Instances!Q201:Instances!Q201))</f>
        <v>0</v>
      </c>
      <c r="R201" s="1" cm="1">
        <f t="array" ref="R201">_xlfn.SWITCH($A$2,"average", AVERAGE(Instances!R201:Instances!R201),"median", MEDIAN(Instances!R201:Instances!R201),"min", MIN(Instances!R201:Instances!R201),"max", MAX(Instances!R201:Instances!R201),"diff", MAX(Instances!R201:Instances!R201)-MIN(Instances!R201:Instances!R201))</f>
        <v>0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 cm="1">
        <f t="array" ref="B202">_xlfn.SWITCH($A$2,"average", AVERAGE(Instances!B202:Instances!B202),"median", MEDIAN(Instances!B202:Instances!B202),"min", MIN(Instances!B202:Instances!B202),"max", MAX(Instances!B202:Instances!B202),"diff", MAX(Instances!B202:Instances!B202)-MIN(Instances!B202:Instances!B202))</f>
        <v>0</v>
      </c>
      <c r="C202" s="1" cm="1">
        <f t="array" ref="C202">_xlfn.SWITCH($A$2,"average", AVERAGE(Instances!C202:Instances!C202),"median", MEDIAN(Instances!C202:Instances!C202),"min", MIN(Instances!C202:Instances!C202),"max", MAX(Instances!C202:Instances!C202),"diff", MAX(Instances!C202:Instances!C202)-MIN(Instances!C202:Instances!C202))</f>
        <v>0</v>
      </c>
      <c r="D202" s="1" cm="1">
        <f t="array" ref="D202">_xlfn.SWITCH($A$2,"average", AVERAGE(Instances!D202:Instances!D202),"median", MEDIAN(Instances!D202:Instances!D202),"min", MIN(Instances!D202:Instances!D202),"max", MAX(Instances!D202:Instances!D202),"diff", MAX(Instances!D202:Instances!D202)-MIN(Instances!D202:Instances!D202))</f>
        <v>0</v>
      </c>
      <c r="E202" s="1" cm="1">
        <f t="array" ref="E202">_xlfn.SWITCH($A$2,"average", AVERAGE(Instances!E202:Instances!E202),"median", MEDIAN(Instances!E202:Instances!E202),"min", MIN(Instances!E202:Instances!E202),"max", MAX(Instances!E202:Instances!E202),"diff", MAX(Instances!E202:Instances!E202)-MIN(Instances!E202:Instances!E202))</f>
        <v>0</v>
      </c>
      <c r="F202" s="1" cm="1">
        <f t="array" ref="F202">_xlfn.SWITCH($A$2,"average", AVERAGE(Instances!F202:Instances!F202),"median", MEDIAN(Instances!F202:Instances!F202),"min", MIN(Instances!F202:Instances!F202),"max", MAX(Instances!F202:Instances!F202),"diff", MAX(Instances!F202:Instances!F202)-MIN(Instances!F202:Instances!F202))</f>
        <v>0</v>
      </c>
      <c r="G202" s="1" cm="1">
        <f t="array" ref="G202">_xlfn.SWITCH($A$2,"average", AVERAGE(Instances!G202:Instances!G202),"median", MEDIAN(Instances!G202:Instances!G202),"min", MIN(Instances!G202:Instances!G202),"max", MAX(Instances!G202:Instances!G202),"diff", MAX(Instances!G202:Instances!G202)-MIN(Instances!G202:Instances!G202))</f>
        <v>0</v>
      </c>
      <c r="H202" s="1" cm="1">
        <f t="array" ref="H202">_xlfn.SWITCH($A$2,"average", AVERAGE(Instances!H202:Instances!H202),"median", MEDIAN(Instances!H202:Instances!H202),"min", MIN(Instances!H202:Instances!H202),"max", MAX(Instances!H202:Instances!H202),"diff", MAX(Instances!H202:Instances!H202)-MIN(Instances!H202:Instances!H202))</f>
        <v>0</v>
      </c>
      <c r="I202" s="1" cm="1">
        <f t="array" ref="I202">_xlfn.SWITCH($A$2,"average", AVERAGE(Instances!I202:Instances!I202),"median", MEDIAN(Instances!I202:Instances!I202),"min", MIN(Instances!I202:Instances!I202),"max", MAX(Instances!I202:Instances!I202),"diff", MAX(Instances!I202:Instances!I202)-MIN(Instances!I202:Instances!I202))</f>
        <v>0</v>
      </c>
      <c r="J202" s="1" cm="1">
        <f t="array" ref="J202">_xlfn.SWITCH($A$2,"average", AVERAGE(Instances!J202:Instances!J202),"median", MEDIAN(Instances!J202:Instances!J202),"min", MIN(Instances!J202:Instances!J202),"max", MAX(Instances!J202:Instances!J202),"diff", MAX(Instances!J202:Instances!J202)-MIN(Instances!J202:Instances!J202))</f>
        <v>0</v>
      </c>
      <c r="K202" s="1" cm="1">
        <f t="array" ref="K202">_xlfn.SWITCH($A$2,"average", AVERAGE(Instances!K202:Instances!K202),"median", MEDIAN(Instances!K202:Instances!K202),"min", MIN(Instances!K202:Instances!K202),"max", MAX(Instances!K202:Instances!K202),"diff", MAX(Instances!K202:Instances!K202)-MIN(Instances!K202:Instances!K202))</f>
        <v>0</v>
      </c>
      <c r="L202" s="1"/>
      <c r="M202" s="1" cm="1">
        <f t="array" ref="M202">_xlfn.SWITCH($A$2,"average", AVERAGE(Instances!M202:Instances!M202),"median", MEDIAN(Instances!M202:Instances!M202),"min", MIN(Instances!M202:Instances!M202),"max", MAX(Instances!M202:Instances!M202),"diff", MAX(Instances!M202:Instances!M202)-MIN(Instances!M202:Instances!M202))</f>
        <v>0</v>
      </c>
      <c r="N202" s="1" cm="1">
        <f t="array" ref="N202">_xlfn.SWITCH($A$2,"average", AVERAGE(Instances!N202:Instances!N202),"median", MEDIAN(Instances!N202:Instances!N202),"min", MIN(Instances!N202:Instances!N202),"max", MAX(Instances!N202:Instances!N202),"diff", MAX(Instances!N202:Instances!N202)-MIN(Instances!N202:Instances!N202))</f>
        <v>0</v>
      </c>
      <c r="O202" s="1"/>
      <c r="P202" s="1" cm="1">
        <f t="array" ref="P202">_xlfn.SWITCH($A$2,"average", AVERAGE(Instances!P202:Instances!P202),"median", MEDIAN(Instances!P202:Instances!P202),"min", MIN(Instances!P202:Instances!P202),"max", MAX(Instances!P202:Instances!P202),"diff", MAX(Instances!P202:Instances!P202)-MIN(Instances!P202:Instances!P202))</f>
        <v>0</v>
      </c>
      <c r="Q202" s="1" cm="1">
        <f t="array" ref="Q202">_xlfn.SWITCH($A$2,"average", AVERAGE(Instances!Q202:Instances!Q202),"median", MEDIAN(Instances!Q202:Instances!Q202),"min", MIN(Instances!Q202:Instances!Q202),"max", MAX(Instances!Q202:Instances!Q202),"diff", MAX(Instances!Q202:Instances!Q202)-MIN(Instances!Q202:Instances!Q202))</f>
        <v>0</v>
      </c>
      <c r="R202" s="1" cm="1">
        <f t="array" ref="R202">_xlfn.SWITCH($A$2,"average", AVERAGE(Instances!R202:Instances!R202),"median", MEDIAN(Instances!R202:Instances!R202),"min", MIN(Instances!R202:Instances!R202),"max", MAX(Instances!R202:Instances!R202),"diff", MAX(Instances!R202:Instances!R202)-MIN(Instances!R202:Instances!R202))</f>
        <v>0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 cm="1">
        <f t="array" ref="B203">_xlfn.SWITCH($A$2,"average", AVERAGE(Instances!B203:Instances!B203),"median", MEDIAN(Instances!B203:Instances!B203),"min", MIN(Instances!B203:Instances!B203),"max", MAX(Instances!B203:Instances!B203),"diff", MAX(Instances!B203:Instances!B203)-MIN(Instances!B203:Instances!B203))</f>
        <v>0</v>
      </c>
      <c r="C203" s="1" cm="1">
        <f t="array" ref="C203">_xlfn.SWITCH($A$2,"average", AVERAGE(Instances!C203:Instances!C203),"median", MEDIAN(Instances!C203:Instances!C203),"min", MIN(Instances!C203:Instances!C203),"max", MAX(Instances!C203:Instances!C203),"diff", MAX(Instances!C203:Instances!C203)-MIN(Instances!C203:Instances!C203))</f>
        <v>0</v>
      </c>
      <c r="D203" s="1" cm="1">
        <f t="array" ref="D203">_xlfn.SWITCH($A$2,"average", AVERAGE(Instances!D203:Instances!D203),"median", MEDIAN(Instances!D203:Instances!D203),"min", MIN(Instances!D203:Instances!D203),"max", MAX(Instances!D203:Instances!D203),"diff", MAX(Instances!D203:Instances!D203)-MIN(Instances!D203:Instances!D203))</f>
        <v>0</v>
      </c>
      <c r="E203" s="1" cm="1">
        <f t="array" ref="E203">_xlfn.SWITCH($A$2,"average", AVERAGE(Instances!E203:Instances!E203),"median", MEDIAN(Instances!E203:Instances!E203),"min", MIN(Instances!E203:Instances!E203),"max", MAX(Instances!E203:Instances!E203),"diff", MAX(Instances!E203:Instances!E203)-MIN(Instances!E203:Instances!E203))</f>
        <v>0</v>
      </c>
      <c r="F203" s="1" cm="1">
        <f t="array" ref="F203">_xlfn.SWITCH($A$2,"average", AVERAGE(Instances!F203:Instances!F203),"median", MEDIAN(Instances!F203:Instances!F203),"min", MIN(Instances!F203:Instances!F203),"max", MAX(Instances!F203:Instances!F203),"diff", MAX(Instances!F203:Instances!F203)-MIN(Instances!F203:Instances!F203))</f>
        <v>0</v>
      </c>
      <c r="G203" s="1" cm="1">
        <f t="array" ref="G203">_xlfn.SWITCH($A$2,"average", AVERAGE(Instances!G203:Instances!G203),"median", MEDIAN(Instances!G203:Instances!G203),"min", MIN(Instances!G203:Instances!G203),"max", MAX(Instances!G203:Instances!G203),"diff", MAX(Instances!G203:Instances!G203)-MIN(Instances!G203:Instances!G203))</f>
        <v>0</v>
      </c>
      <c r="H203" s="1" cm="1">
        <f t="array" ref="H203">_xlfn.SWITCH($A$2,"average", AVERAGE(Instances!H203:Instances!H203),"median", MEDIAN(Instances!H203:Instances!H203),"min", MIN(Instances!H203:Instances!H203),"max", MAX(Instances!H203:Instances!H203),"diff", MAX(Instances!H203:Instances!H203)-MIN(Instances!H203:Instances!H203))</f>
        <v>0</v>
      </c>
      <c r="I203" s="1" cm="1">
        <f t="array" ref="I203">_xlfn.SWITCH($A$2,"average", AVERAGE(Instances!I203:Instances!I203),"median", MEDIAN(Instances!I203:Instances!I203),"min", MIN(Instances!I203:Instances!I203),"max", MAX(Instances!I203:Instances!I203),"diff", MAX(Instances!I203:Instances!I203)-MIN(Instances!I203:Instances!I203))</f>
        <v>0</v>
      </c>
      <c r="J203" s="1" cm="1">
        <f t="array" ref="J203">_xlfn.SWITCH($A$2,"average", AVERAGE(Instances!J203:Instances!J203),"median", MEDIAN(Instances!J203:Instances!J203),"min", MIN(Instances!J203:Instances!J203),"max", MAX(Instances!J203:Instances!J203),"diff", MAX(Instances!J203:Instances!J203)-MIN(Instances!J203:Instances!J203))</f>
        <v>0</v>
      </c>
      <c r="K203" s="1" cm="1">
        <f t="array" ref="K203">_xlfn.SWITCH($A$2,"average", AVERAGE(Instances!K203:Instances!K203),"median", MEDIAN(Instances!K203:Instances!K203),"min", MIN(Instances!K203:Instances!K203),"max", MAX(Instances!K203:Instances!K203),"diff", MAX(Instances!K203:Instances!K203)-MIN(Instances!K203:Instances!K203))</f>
        <v>0</v>
      </c>
      <c r="L203" s="1"/>
      <c r="M203" s="1" cm="1">
        <f t="array" ref="M203">_xlfn.SWITCH($A$2,"average", AVERAGE(Instances!M203:Instances!M203),"median", MEDIAN(Instances!M203:Instances!M203),"min", MIN(Instances!M203:Instances!M203),"max", MAX(Instances!M203:Instances!M203),"diff", MAX(Instances!M203:Instances!M203)-MIN(Instances!M203:Instances!M203))</f>
        <v>0</v>
      </c>
      <c r="N203" s="1" cm="1">
        <f t="array" ref="N203">_xlfn.SWITCH($A$2,"average", AVERAGE(Instances!N203:Instances!N203),"median", MEDIAN(Instances!N203:Instances!N203),"min", MIN(Instances!N203:Instances!N203),"max", MAX(Instances!N203:Instances!N203),"diff", MAX(Instances!N203:Instances!N203)-MIN(Instances!N203:Instances!N203))</f>
        <v>0</v>
      </c>
      <c r="O203" s="1"/>
      <c r="P203" s="1" cm="1">
        <f t="array" ref="P203">_xlfn.SWITCH($A$2,"average", AVERAGE(Instances!P203:Instances!P203),"median", MEDIAN(Instances!P203:Instances!P203),"min", MIN(Instances!P203:Instances!P203),"max", MAX(Instances!P203:Instances!P203),"diff", MAX(Instances!P203:Instances!P203)-MIN(Instances!P203:Instances!P203))</f>
        <v>0</v>
      </c>
      <c r="Q203" s="1" cm="1">
        <f t="array" ref="Q203">_xlfn.SWITCH($A$2,"average", AVERAGE(Instances!Q203:Instances!Q203),"median", MEDIAN(Instances!Q203:Instances!Q203),"min", MIN(Instances!Q203:Instances!Q203),"max", MAX(Instances!Q203:Instances!Q203),"diff", MAX(Instances!Q203:Instances!Q203)-MIN(Instances!Q203:Instances!Q203))</f>
        <v>0</v>
      </c>
      <c r="R203" s="1" cm="1">
        <f t="array" ref="R203">_xlfn.SWITCH($A$2,"average", AVERAGE(Instances!R203:Instances!R203),"median", MEDIAN(Instances!R203:Instances!R203),"min", MIN(Instances!R203:Instances!R203),"max", MAX(Instances!R203:Instances!R203),"diff", MAX(Instances!R203:Instances!R203)-MIN(Instances!R203:Instances!R203))</f>
        <v>0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 cm="1">
        <f t="array" ref="B204">_xlfn.SWITCH($A$2,"average", AVERAGE(Instances!B204:Instances!B204),"median", MEDIAN(Instances!B204:Instances!B204),"min", MIN(Instances!B204:Instances!B204),"max", MAX(Instances!B204:Instances!B204),"diff", MAX(Instances!B204:Instances!B204)-MIN(Instances!B204:Instances!B204))</f>
        <v>0</v>
      </c>
      <c r="C204" s="1" cm="1">
        <f t="array" ref="C204">_xlfn.SWITCH($A$2,"average", AVERAGE(Instances!C204:Instances!C204),"median", MEDIAN(Instances!C204:Instances!C204),"min", MIN(Instances!C204:Instances!C204),"max", MAX(Instances!C204:Instances!C204),"diff", MAX(Instances!C204:Instances!C204)-MIN(Instances!C204:Instances!C204))</f>
        <v>0</v>
      </c>
      <c r="D204" s="1" cm="1">
        <f t="array" ref="D204">_xlfn.SWITCH($A$2,"average", AVERAGE(Instances!D204:Instances!D204),"median", MEDIAN(Instances!D204:Instances!D204),"min", MIN(Instances!D204:Instances!D204),"max", MAX(Instances!D204:Instances!D204),"diff", MAX(Instances!D204:Instances!D204)-MIN(Instances!D204:Instances!D204))</f>
        <v>0</v>
      </c>
      <c r="E204" s="1" cm="1">
        <f t="array" ref="E204">_xlfn.SWITCH($A$2,"average", AVERAGE(Instances!E204:Instances!E204),"median", MEDIAN(Instances!E204:Instances!E204),"min", MIN(Instances!E204:Instances!E204),"max", MAX(Instances!E204:Instances!E204),"diff", MAX(Instances!E204:Instances!E204)-MIN(Instances!E204:Instances!E204))</f>
        <v>0</v>
      </c>
      <c r="F204" s="1" cm="1">
        <f t="array" ref="F204">_xlfn.SWITCH($A$2,"average", AVERAGE(Instances!F204:Instances!F204),"median", MEDIAN(Instances!F204:Instances!F204),"min", MIN(Instances!F204:Instances!F204),"max", MAX(Instances!F204:Instances!F204),"diff", MAX(Instances!F204:Instances!F204)-MIN(Instances!F204:Instances!F204))</f>
        <v>0</v>
      </c>
      <c r="G204" s="1" cm="1">
        <f t="array" ref="G204">_xlfn.SWITCH($A$2,"average", AVERAGE(Instances!G204:Instances!G204),"median", MEDIAN(Instances!G204:Instances!G204),"min", MIN(Instances!G204:Instances!G204),"max", MAX(Instances!G204:Instances!G204),"diff", MAX(Instances!G204:Instances!G204)-MIN(Instances!G204:Instances!G204))</f>
        <v>0</v>
      </c>
      <c r="H204" s="1" cm="1">
        <f t="array" ref="H204">_xlfn.SWITCH($A$2,"average", AVERAGE(Instances!H204:Instances!H204),"median", MEDIAN(Instances!H204:Instances!H204),"min", MIN(Instances!H204:Instances!H204),"max", MAX(Instances!H204:Instances!H204),"diff", MAX(Instances!H204:Instances!H204)-MIN(Instances!H204:Instances!H204))</f>
        <v>0</v>
      </c>
      <c r="I204" s="1" cm="1">
        <f t="array" ref="I204">_xlfn.SWITCH($A$2,"average", AVERAGE(Instances!I204:Instances!I204),"median", MEDIAN(Instances!I204:Instances!I204),"min", MIN(Instances!I204:Instances!I204),"max", MAX(Instances!I204:Instances!I204),"diff", MAX(Instances!I204:Instances!I204)-MIN(Instances!I204:Instances!I204))</f>
        <v>0</v>
      </c>
      <c r="J204" s="1" cm="1">
        <f t="array" ref="J204">_xlfn.SWITCH($A$2,"average", AVERAGE(Instances!J204:Instances!J204),"median", MEDIAN(Instances!J204:Instances!J204),"min", MIN(Instances!J204:Instances!J204),"max", MAX(Instances!J204:Instances!J204),"diff", MAX(Instances!J204:Instances!J204)-MIN(Instances!J204:Instances!J204))</f>
        <v>0</v>
      </c>
      <c r="K204" s="1" cm="1">
        <f t="array" ref="K204">_xlfn.SWITCH($A$2,"average", AVERAGE(Instances!K204:Instances!K204),"median", MEDIAN(Instances!K204:Instances!K204),"min", MIN(Instances!K204:Instances!K204),"max", MAX(Instances!K204:Instances!K204),"diff", MAX(Instances!K204:Instances!K204)-MIN(Instances!K204:Instances!K204))</f>
        <v>0</v>
      </c>
      <c r="L204" s="1"/>
      <c r="M204" s="1" cm="1">
        <f t="array" ref="M204">_xlfn.SWITCH($A$2,"average", AVERAGE(Instances!M204:Instances!M204),"median", MEDIAN(Instances!M204:Instances!M204),"min", MIN(Instances!M204:Instances!M204),"max", MAX(Instances!M204:Instances!M204),"diff", MAX(Instances!M204:Instances!M204)-MIN(Instances!M204:Instances!M204))</f>
        <v>0</v>
      </c>
      <c r="N204" s="1" cm="1">
        <f t="array" ref="N204">_xlfn.SWITCH($A$2,"average", AVERAGE(Instances!N204:Instances!N204),"median", MEDIAN(Instances!N204:Instances!N204),"min", MIN(Instances!N204:Instances!N204),"max", MAX(Instances!N204:Instances!N204),"diff", MAX(Instances!N204:Instances!N204)-MIN(Instances!N204:Instances!N204))</f>
        <v>0</v>
      </c>
      <c r="O204" s="1"/>
      <c r="P204" s="1" cm="1">
        <f t="array" ref="P204">_xlfn.SWITCH($A$2,"average", AVERAGE(Instances!P204:Instances!P204),"median", MEDIAN(Instances!P204:Instances!P204),"min", MIN(Instances!P204:Instances!P204),"max", MAX(Instances!P204:Instances!P204),"diff", MAX(Instances!P204:Instances!P204)-MIN(Instances!P204:Instances!P204))</f>
        <v>0</v>
      </c>
      <c r="Q204" s="1" cm="1">
        <f t="array" ref="Q204">_xlfn.SWITCH($A$2,"average", AVERAGE(Instances!Q204:Instances!Q204),"median", MEDIAN(Instances!Q204:Instances!Q204),"min", MIN(Instances!Q204:Instances!Q204),"max", MAX(Instances!Q204:Instances!Q204),"diff", MAX(Instances!Q204:Instances!Q204)-MIN(Instances!Q204:Instances!Q204))</f>
        <v>0</v>
      </c>
      <c r="R204" s="1" cm="1">
        <f t="array" ref="R204">_xlfn.SWITCH($A$2,"average", AVERAGE(Instances!R204:Instances!R204),"median", MEDIAN(Instances!R204:Instances!R204),"min", MIN(Instances!R204:Instances!R204),"max", MAX(Instances!R204:Instances!R204),"diff", MAX(Instances!R204:Instances!R204)-MIN(Instances!R204:Instances!R204))</f>
        <v>0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 cm="1">
        <f t="array" ref="B205">_xlfn.SWITCH($A$2,"average", AVERAGE(Instances!B205:Instances!B205),"median", MEDIAN(Instances!B205:Instances!B205),"min", MIN(Instances!B205:Instances!B205),"max", MAX(Instances!B205:Instances!B205),"diff", MAX(Instances!B205:Instances!B205)-MIN(Instances!B205:Instances!B205))</f>
        <v>0</v>
      </c>
      <c r="C205" s="1" cm="1">
        <f t="array" ref="C205">_xlfn.SWITCH($A$2,"average", AVERAGE(Instances!C205:Instances!C205),"median", MEDIAN(Instances!C205:Instances!C205),"min", MIN(Instances!C205:Instances!C205),"max", MAX(Instances!C205:Instances!C205),"diff", MAX(Instances!C205:Instances!C205)-MIN(Instances!C205:Instances!C205))</f>
        <v>0</v>
      </c>
      <c r="D205" s="1" cm="1">
        <f t="array" ref="D205">_xlfn.SWITCH($A$2,"average", AVERAGE(Instances!D205:Instances!D205),"median", MEDIAN(Instances!D205:Instances!D205),"min", MIN(Instances!D205:Instances!D205),"max", MAX(Instances!D205:Instances!D205),"diff", MAX(Instances!D205:Instances!D205)-MIN(Instances!D205:Instances!D205))</f>
        <v>0</v>
      </c>
      <c r="E205" s="1" cm="1">
        <f t="array" ref="E205">_xlfn.SWITCH($A$2,"average", AVERAGE(Instances!E205:Instances!E205),"median", MEDIAN(Instances!E205:Instances!E205),"min", MIN(Instances!E205:Instances!E205),"max", MAX(Instances!E205:Instances!E205),"diff", MAX(Instances!E205:Instances!E205)-MIN(Instances!E205:Instances!E205))</f>
        <v>0</v>
      </c>
      <c r="F205" s="1" cm="1">
        <f t="array" ref="F205">_xlfn.SWITCH($A$2,"average", AVERAGE(Instances!F205:Instances!F205),"median", MEDIAN(Instances!F205:Instances!F205),"min", MIN(Instances!F205:Instances!F205),"max", MAX(Instances!F205:Instances!F205),"diff", MAX(Instances!F205:Instances!F205)-MIN(Instances!F205:Instances!F205))</f>
        <v>0</v>
      </c>
      <c r="G205" s="1" cm="1">
        <f t="array" ref="G205">_xlfn.SWITCH($A$2,"average", AVERAGE(Instances!G205:Instances!G205),"median", MEDIAN(Instances!G205:Instances!G205),"min", MIN(Instances!G205:Instances!G205),"max", MAX(Instances!G205:Instances!G205),"diff", MAX(Instances!G205:Instances!G205)-MIN(Instances!G205:Instances!G205))</f>
        <v>0</v>
      </c>
      <c r="H205" s="1" cm="1">
        <f t="array" ref="H205">_xlfn.SWITCH($A$2,"average", AVERAGE(Instances!H205:Instances!H205),"median", MEDIAN(Instances!H205:Instances!H205),"min", MIN(Instances!H205:Instances!H205),"max", MAX(Instances!H205:Instances!H205),"diff", MAX(Instances!H205:Instances!H205)-MIN(Instances!H205:Instances!H205))</f>
        <v>0</v>
      </c>
      <c r="I205" s="1" cm="1">
        <f t="array" ref="I205">_xlfn.SWITCH($A$2,"average", AVERAGE(Instances!I205:Instances!I205),"median", MEDIAN(Instances!I205:Instances!I205),"min", MIN(Instances!I205:Instances!I205),"max", MAX(Instances!I205:Instances!I205),"diff", MAX(Instances!I205:Instances!I205)-MIN(Instances!I205:Instances!I205))</f>
        <v>0</v>
      </c>
      <c r="J205" s="1" cm="1">
        <f t="array" ref="J205">_xlfn.SWITCH($A$2,"average", AVERAGE(Instances!J205:Instances!J205),"median", MEDIAN(Instances!J205:Instances!J205),"min", MIN(Instances!J205:Instances!J205),"max", MAX(Instances!J205:Instances!J205),"diff", MAX(Instances!J205:Instances!J205)-MIN(Instances!J205:Instances!J205))</f>
        <v>0</v>
      </c>
      <c r="K205" s="1" cm="1">
        <f t="array" ref="K205">_xlfn.SWITCH($A$2,"average", AVERAGE(Instances!K205:Instances!K205),"median", MEDIAN(Instances!K205:Instances!K205),"min", MIN(Instances!K205:Instances!K205),"max", MAX(Instances!K205:Instances!K205),"diff", MAX(Instances!K205:Instances!K205)-MIN(Instances!K205:Instances!K205))</f>
        <v>0</v>
      </c>
      <c r="L205" s="1"/>
      <c r="M205" s="1" cm="1">
        <f t="array" ref="M205">_xlfn.SWITCH($A$2,"average", AVERAGE(Instances!M205:Instances!M205),"median", MEDIAN(Instances!M205:Instances!M205),"min", MIN(Instances!M205:Instances!M205),"max", MAX(Instances!M205:Instances!M205),"diff", MAX(Instances!M205:Instances!M205)-MIN(Instances!M205:Instances!M205))</f>
        <v>0</v>
      </c>
      <c r="N205" s="1" cm="1">
        <f t="array" ref="N205">_xlfn.SWITCH($A$2,"average", AVERAGE(Instances!N205:Instances!N205),"median", MEDIAN(Instances!N205:Instances!N205),"min", MIN(Instances!N205:Instances!N205),"max", MAX(Instances!N205:Instances!N205),"diff", MAX(Instances!N205:Instances!N205)-MIN(Instances!N205:Instances!N205))</f>
        <v>0</v>
      </c>
      <c r="O205" s="1"/>
      <c r="P205" s="1" cm="1">
        <f t="array" ref="P205">_xlfn.SWITCH($A$2,"average", AVERAGE(Instances!P205:Instances!P205),"median", MEDIAN(Instances!P205:Instances!P205),"min", MIN(Instances!P205:Instances!P205),"max", MAX(Instances!P205:Instances!P205),"diff", MAX(Instances!P205:Instances!P205)-MIN(Instances!P205:Instances!P205))</f>
        <v>0</v>
      </c>
      <c r="Q205" s="1" cm="1">
        <f t="array" ref="Q205">_xlfn.SWITCH($A$2,"average", AVERAGE(Instances!Q205:Instances!Q205),"median", MEDIAN(Instances!Q205:Instances!Q205),"min", MIN(Instances!Q205:Instances!Q205),"max", MAX(Instances!Q205:Instances!Q205),"diff", MAX(Instances!Q205:Instances!Q205)-MIN(Instances!Q205:Instances!Q205))</f>
        <v>0</v>
      </c>
      <c r="R205" s="1" cm="1">
        <f t="array" ref="R205">_xlfn.SWITCH($A$2,"average", AVERAGE(Instances!R205:Instances!R205),"median", MEDIAN(Instances!R205:Instances!R205),"min", MIN(Instances!R205:Instances!R205),"max", MAX(Instances!R205:Instances!R205),"diff", MAX(Instances!R205:Instances!R205)-MIN(Instances!R205:Instances!R205))</f>
        <v>0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 cm="1">
        <f t="array" ref="B206">_xlfn.SWITCH($A$2,"average", AVERAGE(Instances!B206:Instances!B206),"median", MEDIAN(Instances!B206:Instances!B206),"min", MIN(Instances!B206:Instances!B206),"max", MAX(Instances!B206:Instances!B206),"diff", MAX(Instances!B206:Instances!B206)-MIN(Instances!B206:Instances!B206))</f>
        <v>0</v>
      </c>
      <c r="C206" s="1" cm="1">
        <f t="array" ref="C206">_xlfn.SWITCH($A$2,"average", AVERAGE(Instances!C206:Instances!C206),"median", MEDIAN(Instances!C206:Instances!C206),"min", MIN(Instances!C206:Instances!C206),"max", MAX(Instances!C206:Instances!C206),"diff", MAX(Instances!C206:Instances!C206)-MIN(Instances!C206:Instances!C206))</f>
        <v>0</v>
      </c>
      <c r="D206" s="1" cm="1">
        <f t="array" ref="D206">_xlfn.SWITCH($A$2,"average", AVERAGE(Instances!D206:Instances!D206),"median", MEDIAN(Instances!D206:Instances!D206),"min", MIN(Instances!D206:Instances!D206),"max", MAX(Instances!D206:Instances!D206),"diff", MAX(Instances!D206:Instances!D206)-MIN(Instances!D206:Instances!D206))</f>
        <v>0</v>
      </c>
      <c r="E206" s="1" cm="1">
        <f t="array" ref="E206">_xlfn.SWITCH($A$2,"average", AVERAGE(Instances!E206:Instances!E206),"median", MEDIAN(Instances!E206:Instances!E206),"min", MIN(Instances!E206:Instances!E206),"max", MAX(Instances!E206:Instances!E206),"diff", MAX(Instances!E206:Instances!E206)-MIN(Instances!E206:Instances!E206))</f>
        <v>0</v>
      </c>
      <c r="F206" s="1" cm="1">
        <f t="array" ref="F206">_xlfn.SWITCH($A$2,"average", AVERAGE(Instances!F206:Instances!F206),"median", MEDIAN(Instances!F206:Instances!F206),"min", MIN(Instances!F206:Instances!F206),"max", MAX(Instances!F206:Instances!F206),"diff", MAX(Instances!F206:Instances!F206)-MIN(Instances!F206:Instances!F206))</f>
        <v>0</v>
      </c>
      <c r="G206" s="1" cm="1">
        <f t="array" ref="G206">_xlfn.SWITCH($A$2,"average", AVERAGE(Instances!G206:Instances!G206),"median", MEDIAN(Instances!G206:Instances!G206),"min", MIN(Instances!G206:Instances!G206),"max", MAX(Instances!G206:Instances!G206),"diff", MAX(Instances!G206:Instances!G206)-MIN(Instances!G206:Instances!G206))</f>
        <v>0</v>
      </c>
      <c r="H206" s="1" cm="1">
        <f t="array" ref="H206">_xlfn.SWITCH($A$2,"average", AVERAGE(Instances!H206:Instances!H206),"median", MEDIAN(Instances!H206:Instances!H206),"min", MIN(Instances!H206:Instances!H206),"max", MAX(Instances!H206:Instances!H206),"diff", MAX(Instances!H206:Instances!H206)-MIN(Instances!H206:Instances!H206))</f>
        <v>0</v>
      </c>
      <c r="I206" s="1" cm="1">
        <f t="array" ref="I206">_xlfn.SWITCH($A$2,"average", AVERAGE(Instances!I206:Instances!I206),"median", MEDIAN(Instances!I206:Instances!I206),"min", MIN(Instances!I206:Instances!I206),"max", MAX(Instances!I206:Instances!I206),"diff", MAX(Instances!I206:Instances!I206)-MIN(Instances!I206:Instances!I206))</f>
        <v>0</v>
      </c>
      <c r="J206" s="1" cm="1">
        <f t="array" ref="J206">_xlfn.SWITCH($A$2,"average", AVERAGE(Instances!J206:Instances!J206),"median", MEDIAN(Instances!J206:Instances!J206),"min", MIN(Instances!J206:Instances!J206),"max", MAX(Instances!J206:Instances!J206),"diff", MAX(Instances!J206:Instances!J206)-MIN(Instances!J206:Instances!J206))</f>
        <v>0</v>
      </c>
      <c r="K206" s="1" cm="1">
        <f t="array" ref="K206">_xlfn.SWITCH($A$2,"average", AVERAGE(Instances!K206:Instances!K206),"median", MEDIAN(Instances!K206:Instances!K206),"min", MIN(Instances!K206:Instances!K206),"max", MAX(Instances!K206:Instances!K206),"diff", MAX(Instances!K206:Instances!K206)-MIN(Instances!K206:Instances!K206))</f>
        <v>0</v>
      </c>
      <c r="L206" s="1"/>
      <c r="M206" s="1" cm="1">
        <f t="array" ref="M206">_xlfn.SWITCH($A$2,"average", AVERAGE(Instances!M206:Instances!M206),"median", MEDIAN(Instances!M206:Instances!M206),"min", MIN(Instances!M206:Instances!M206),"max", MAX(Instances!M206:Instances!M206),"diff", MAX(Instances!M206:Instances!M206)-MIN(Instances!M206:Instances!M206))</f>
        <v>0</v>
      </c>
      <c r="N206" s="1" cm="1">
        <f t="array" ref="N206">_xlfn.SWITCH($A$2,"average", AVERAGE(Instances!N206:Instances!N206),"median", MEDIAN(Instances!N206:Instances!N206),"min", MIN(Instances!N206:Instances!N206),"max", MAX(Instances!N206:Instances!N206),"diff", MAX(Instances!N206:Instances!N206)-MIN(Instances!N206:Instances!N206))</f>
        <v>0</v>
      </c>
      <c r="O206" s="1"/>
      <c r="P206" s="1" cm="1">
        <f t="array" ref="P206">_xlfn.SWITCH($A$2,"average", AVERAGE(Instances!P206:Instances!P206),"median", MEDIAN(Instances!P206:Instances!P206),"min", MIN(Instances!P206:Instances!P206),"max", MAX(Instances!P206:Instances!P206),"diff", MAX(Instances!P206:Instances!P206)-MIN(Instances!P206:Instances!P206))</f>
        <v>0</v>
      </c>
      <c r="Q206" s="1" cm="1">
        <f t="array" ref="Q206">_xlfn.SWITCH($A$2,"average", AVERAGE(Instances!Q206:Instances!Q206),"median", MEDIAN(Instances!Q206:Instances!Q206),"min", MIN(Instances!Q206:Instances!Q206),"max", MAX(Instances!Q206:Instances!Q206),"diff", MAX(Instances!Q206:Instances!Q206)-MIN(Instances!Q206:Instances!Q206))</f>
        <v>0</v>
      </c>
      <c r="R206" s="1" cm="1">
        <f t="array" ref="R206">_xlfn.SWITCH($A$2,"average", AVERAGE(Instances!R206:Instances!R206),"median", MEDIAN(Instances!R206:Instances!R206),"min", MIN(Instances!R206:Instances!R206),"max", MAX(Instances!R206:Instances!R206),"diff", MAX(Instances!R206:Instances!R206)-MIN(Instances!R206:Instances!R206))</f>
        <v>0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 cm="1">
        <f t="array" ref="B207">_xlfn.SWITCH($A$2,"average", AVERAGE(Instances!B207:Instances!B207),"median", MEDIAN(Instances!B207:Instances!B207),"min", MIN(Instances!B207:Instances!B207),"max", MAX(Instances!B207:Instances!B207),"diff", MAX(Instances!B207:Instances!B207)-MIN(Instances!B207:Instances!B207))</f>
        <v>0</v>
      </c>
      <c r="C207" s="1" cm="1">
        <f t="array" ref="C207">_xlfn.SWITCH($A$2,"average", AVERAGE(Instances!C207:Instances!C207),"median", MEDIAN(Instances!C207:Instances!C207),"min", MIN(Instances!C207:Instances!C207),"max", MAX(Instances!C207:Instances!C207),"diff", MAX(Instances!C207:Instances!C207)-MIN(Instances!C207:Instances!C207))</f>
        <v>0</v>
      </c>
      <c r="D207" s="1" cm="1">
        <f t="array" ref="D207">_xlfn.SWITCH($A$2,"average", AVERAGE(Instances!D207:Instances!D207),"median", MEDIAN(Instances!D207:Instances!D207),"min", MIN(Instances!D207:Instances!D207),"max", MAX(Instances!D207:Instances!D207),"diff", MAX(Instances!D207:Instances!D207)-MIN(Instances!D207:Instances!D207))</f>
        <v>0</v>
      </c>
      <c r="E207" s="1" cm="1">
        <f t="array" ref="E207">_xlfn.SWITCH($A$2,"average", AVERAGE(Instances!E207:Instances!E207),"median", MEDIAN(Instances!E207:Instances!E207),"min", MIN(Instances!E207:Instances!E207),"max", MAX(Instances!E207:Instances!E207),"diff", MAX(Instances!E207:Instances!E207)-MIN(Instances!E207:Instances!E207))</f>
        <v>0</v>
      </c>
      <c r="F207" s="1" cm="1">
        <f t="array" ref="F207">_xlfn.SWITCH($A$2,"average", AVERAGE(Instances!F207:Instances!F207),"median", MEDIAN(Instances!F207:Instances!F207),"min", MIN(Instances!F207:Instances!F207),"max", MAX(Instances!F207:Instances!F207),"diff", MAX(Instances!F207:Instances!F207)-MIN(Instances!F207:Instances!F207))</f>
        <v>0</v>
      </c>
      <c r="G207" s="1" cm="1">
        <f t="array" ref="G207">_xlfn.SWITCH($A$2,"average", AVERAGE(Instances!G207:Instances!G207),"median", MEDIAN(Instances!G207:Instances!G207),"min", MIN(Instances!G207:Instances!G207),"max", MAX(Instances!G207:Instances!G207),"diff", MAX(Instances!G207:Instances!G207)-MIN(Instances!G207:Instances!G207))</f>
        <v>0</v>
      </c>
      <c r="H207" s="1" cm="1">
        <f t="array" ref="H207">_xlfn.SWITCH($A$2,"average", AVERAGE(Instances!H207:Instances!H207),"median", MEDIAN(Instances!H207:Instances!H207),"min", MIN(Instances!H207:Instances!H207),"max", MAX(Instances!H207:Instances!H207),"diff", MAX(Instances!H207:Instances!H207)-MIN(Instances!H207:Instances!H207))</f>
        <v>0</v>
      </c>
      <c r="I207" s="1" cm="1">
        <f t="array" ref="I207">_xlfn.SWITCH($A$2,"average", AVERAGE(Instances!I207:Instances!I207),"median", MEDIAN(Instances!I207:Instances!I207),"min", MIN(Instances!I207:Instances!I207),"max", MAX(Instances!I207:Instances!I207),"diff", MAX(Instances!I207:Instances!I207)-MIN(Instances!I207:Instances!I207))</f>
        <v>0</v>
      </c>
      <c r="J207" s="1" cm="1">
        <f t="array" ref="J207">_xlfn.SWITCH($A$2,"average", AVERAGE(Instances!J207:Instances!J207),"median", MEDIAN(Instances!J207:Instances!J207),"min", MIN(Instances!J207:Instances!J207),"max", MAX(Instances!J207:Instances!J207),"diff", MAX(Instances!J207:Instances!J207)-MIN(Instances!J207:Instances!J207))</f>
        <v>0</v>
      </c>
      <c r="K207" s="1" cm="1">
        <f t="array" ref="K207">_xlfn.SWITCH($A$2,"average", AVERAGE(Instances!K207:Instances!K207),"median", MEDIAN(Instances!K207:Instances!K207),"min", MIN(Instances!K207:Instances!K207),"max", MAX(Instances!K207:Instances!K207),"diff", MAX(Instances!K207:Instances!K207)-MIN(Instances!K207:Instances!K207))</f>
        <v>0</v>
      </c>
      <c r="L207" s="1"/>
      <c r="M207" s="1" cm="1">
        <f t="array" ref="M207">_xlfn.SWITCH($A$2,"average", AVERAGE(Instances!M207:Instances!M207),"median", MEDIAN(Instances!M207:Instances!M207),"min", MIN(Instances!M207:Instances!M207),"max", MAX(Instances!M207:Instances!M207),"diff", MAX(Instances!M207:Instances!M207)-MIN(Instances!M207:Instances!M207))</f>
        <v>0</v>
      </c>
      <c r="N207" s="1" cm="1">
        <f t="array" ref="N207">_xlfn.SWITCH($A$2,"average", AVERAGE(Instances!N207:Instances!N207),"median", MEDIAN(Instances!N207:Instances!N207),"min", MIN(Instances!N207:Instances!N207),"max", MAX(Instances!N207:Instances!N207),"diff", MAX(Instances!N207:Instances!N207)-MIN(Instances!N207:Instances!N207))</f>
        <v>0</v>
      </c>
      <c r="O207" s="1"/>
      <c r="P207" s="1" cm="1">
        <f t="array" ref="P207">_xlfn.SWITCH($A$2,"average", AVERAGE(Instances!P207:Instances!P207),"median", MEDIAN(Instances!P207:Instances!P207),"min", MIN(Instances!P207:Instances!P207),"max", MAX(Instances!P207:Instances!P207),"diff", MAX(Instances!P207:Instances!P207)-MIN(Instances!P207:Instances!P207))</f>
        <v>0</v>
      </c>
      <c r="Q207" s="1" cm="1">
        <f t="array" ref="Q207">_xlfn.SWITCH($A$2,"average", AVERAGE(Instances!Q207:Instances!Q207),"median", MEDIAN(Instances!Q207:Instances!Q207),"min", MIN(Instances!Q207:Instances!Q207),"max", MAX(Instances!Q207:Instances!Q207),"diff", MAX(Instances!Q207:Instances!Q207)-MIN(Instances!Q207:Instances!Q207))</f>
        <v>0</v>
      </c>
      <c r="R207" s="1" cm="1">
        <f t="array" ref="R207">_xlfn.SWITCH($A$2,"average", AVERAGE(Instances!R207:Instances!R207),"median", MEDIAN(Instances!R207:Instances!R207),"min", MIN(Instances!R207:Instances!R207),"max", MAX(Instances!R207:Instances!R207),"diff", MAX(Instances!R207:Instances!R207)-MIN(Instances!R207:Instances!R207))</f>
        <v>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 cm="1">
        <f t="array" ref="B208">_xlfn.SWITCH($A$2,"average", AVERAGE(Instances!B208:Instances!B208),"median", MEDIAN(Instances!B208:Instances!B208),"min", MIN(Instances!B208:Instances!B208),"max", MAX(Instances!B208:Instances!B208),"diff", MAX(Instances!B208:Instances!B208)-MIN(Instances!B208:Instances!B208))</f>
        <v>0</v>
      </c>
      <c r="C208" s="1" cm="1">
        <f t="array" ref="C208">_xlfn.SWITCH($A$2,"average", AVERAGE(Instances!C208:Instances!C208),"median", MEDIAN(Instances!C208:Instances!C208),"min", MIN(Instances!C208:Instances!C208),"max", MAX(Instances!C208:Instances!C208),"diff", MAX(Instances!C208:Instances!C208)-MIN(Instances!C208:Instances!C208))</f>
        <v>0</v>
      </c>
      <c r="D208" s="1" cm="1">
        <f t="array" ref="D208">_xlfn.SWITCH($A$2,"average", AVERAGE(Instances!D208:Instances!D208),"median", MEDIAN(Instances!D208:Instances!D208),"min", MIN(Instances!D208:Instances!D208),"max", MAX(Instances!D208:Instances!D208),"diff", MAX(Instances!D208:Instances!D208)-MIN(Instances!D208:Instances!D208))</f>
        <v>0</v>
      </c>
      <c r="E208" s="1" cm="1">
        <f t="array" ref="E208">_xlfn.SWITCH($A$2,"average", AVERAGE(Instances!E208:Instances!E208),"median", MEDIAN(Instances!E208:Instances!E208),"min", MIN(Instances!E208:Instances!E208),"max", MAX(Instances!E208:Instances!E208),"diff", MAX(Instances!E208:Instances!E208)-MIN(Instances!E208:Instances!E208))</f>
        <v>0</v>
      </c>
      <c r="F208" s="1" cm="1">
        <f t="array" ref="F208">_xlfn.SWITCH($A$2,"average", AVERAGE(Instances!F208:Instances!F208),"median", MEDIAN(Instances!F208:Instances!F208),"min", MIN(Instances!F208:Instances!F208),"max", MAX(Instances!F208:Instances!F208),"diff", MAX(Instances!F208:Instances!F208)-MIN(Instances!F208:Instances!F208))</f>
        <v>0</v>
      </c>
      <c r="G208" s="1" cm="1">
        <f t="array" ref="G208">_xlfn.SWITCH($A$2,"average", AVERAGE(Instances!G208:Instances!G208),"median", MEDIAN(Instances!G208:Instances!G208),"min", MIN(Instances!G208:Instances!G208),"max", MAX(Instances!G208:Instances!G208),"diff", MAX(Instances!G208:Instances!G208)-MIN(Instances!G208:Instances!G208))</f>
        <v>0</v>
      </c>
      <c r="H208" s="1" cm="1">
        <f t="array" ref="H208">_xlfn.SWITCH($A$2,"average", AVERAGE(Instances!H208:Instances!H208),"median", MEDIAN(Instances!H208:Instances!H208),"min", MIN(Instances!H208:Instances!H208),"max", MAX(Instances!H208:Instances!H208),"diff", MAX(Instances!H208:Instances!H208)-MIN(Instances!H208:Instances!H208))</f>
        <v>0</v>
      </c>
      <c r="I208" s="1" cm="1">
        <f t="array" ref="I208">_xlfn.SWITCH($A$2,"average", AVERAGE(Instances!I208:Instances!I208),"median", MEDIAN(Instances!I208:Instances!I208),"min", MIN(Instances!I208:Instances!I208),"max", MAX(Instances!I208:Instances!I208),"diff", MAX(Instances!I208:Instances!I208)-MIN(Instances!I208:Instances!I208))</f>
        <v>0</v>
      </c>
      <c r="J208" s="1" cm="1">
        <f t="array" ref="J208">_xlfn.SWITCH($A$2,"average", AVERAGE(Instances!J208:Instances!J208),"median", MEDIAN(Instances!J208:Instances!J208),"min", MIN(Instances!J208:Instances!J208),"max", MAX(Instances!J208:Instances!J208),"diff", MAX(Instances!J208:Instances!J208)-MIN(Instances!J208:Instances!J208))</f>
        <v>0</v>
      </c>
      <c r="K208" s="1" cm="1">
        <f t="array" ref="K208">_xlfn.SWITCH($A$2,"average", AVERAGE(Instances!K208:Instances!K208),"median", MEDIAN(Instances!K208:Instances!K208),"min", MIN(Instances!K208:Instances!K208),"max", MAX(Instances!K208:Instances!K208),"diff", MAX(Instances!K208:Instances!K208)-MIN(Instances!K208:Instances!K208))</f>
        <v>0</v>
      </c>
      <c r="L208" s="1"/>
      <c r="M208" s="1" cm="1">
        <f t="array" ref="M208">_xlfn.SWITCH($A$2,"average", AVERAGE(Instances!M208:Instances!M208),"median", MEDIAN(Instances!M208:Instances!M208),"min", MIN(Instances!M208:Instances!M208),"max", MAX(Instances!M208:Instances!M208),"diff", MAX(Instances!M208:Instances!M208)-MIN(Instances!M208:Instances!M208))</f>
        <v>0</v>
      </c>
      <c r="N208" s="1" cm="1">
        <f t="array" ref="N208">_xlfn.SWITCH($A$2,"average", AVERAGE(Instances!N208:Instances!N208),"median", MEDIAN(Instances!N208:Instances!N208),"min", MIN(Instances!N208:Instances!N208),"max", MAX(Instances!N208:Instances!N208),"diff", MAX(Instances!N208:Instances!N208)-MIN(Instances!N208:Instances!N208))</f>
        <v>0</v>
      </c>
      <c r="O208" s="1"/>
      <c r="P208" s="1" cm="1">
        <f t="array" ref="P208">_xlfn.SWITCH($A$2,"average", AVERAGE(Instances!P208:Instances!P208),"median", MEDIAN(Instances!P208:Instances!P208),"min", MIN(Instances!P208:Instances!P208),"max", MAX(Instances!P208:Instances!P208),"diff", MAX(Instances!P208:Instances!P208)-MIN(Instances!P208:Instances!P208))</f>
        <v>0</v>
      </c>
      <c r="Q208" s="1" cm="1">
        <f t="array" ref="Q208">_xlfn.SWITCH($A$2,"average", AVERAGE(Instances!Q208:Instances!Q208),"median", MEDIAN(Instances!Q208:Instances!Q208),"min", MIN(Instances!Q208:Instances!Q208),"max", MAX(Instances!Q208:Instances!Q208),"diff", MAX(Instances!Q208:Instances!Q208)-MIN(Instances!Q208:Instances!Q208))</f>
        <v>0</v>
      </c>
      <c r="R208" s="1" cm="1">
        <f t="array" ref="R208">_xlfn.SWITCH($A$2,"average", AVERAGE(Instances!R208:Instances!R208),"median", MEDIAN(Instances!R208:Instances!R208),"min", MIN(Instances!R208:Instances!R208),"max", MAX(Instances!R208:Instances!R208),"diff", MAX(Instances!R208:Instances!R208)-MIN(Instances!R208:Instances!R208))</f>
        <v>0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 cm="1">
        <f t="array" ref="B209">_xlfn.SWITCH($A$2,"average", AVERAGE(Instances!B209:Instances!B209),"median", MEDIAN(Instances!B209:Instances!B209),"min", MIN(Instances!B209:Instances!B209),"max", MAX(Instances!B209:Instances!B209),"diff", MAX(Instances!B209:Instances!B209)-MIN(Instances!B209:Instances!B209))</f>
        <v>0</v>
      </c>
      <c r="C209" s="1" cm="1">
        <f t="array" ref="C209">_xlfn.SWITCH($A$2,"average", AVERAGE(Instances!C209:Instances!C209),"median", MEDIAN(Instances!C209:Instances!C209),"min", MIN(Instances!C209:Instances!C209),"max", MAX(Instances!C209:Instances!C209),"diff", MAX(Instances!C209:Instances!C209)-MIN(Instances!C209:Instances!C209))</f>
        <v>0</v>
      </c>
      <c r="D209" s="1" cm="1">
        <f t="array" ref="D209">_xlfn.SWITCH($A$2,"average", AVERAGE(Instances!D209:Instances!D209),"median", MEDIAN(Instances!D209:Instances!D209),"min", MIN(Instances!D209:Instances!D209),"max", MAX(Instances!D209:Instances!D209),"diff", MAX(Instances!D209:Instances!D209)-MIN(Instances!D209:Instances!D209))</f>
        <v>0</v>
      </c>
      <c r="E209" s="1" cm="1">
        <f t="array" ref="E209">_xlfn.SWITCH($A$2,"average", AVERAGE(Instances!E209:Instances!E209),"median", MEDIAN(Instances!E209:Instances!E209),"min", MIN(Instances!E209:Instances!E209),"max", MAX(Instances!E209:Instances!E209),"diff", MAX(Instances!E209:Instances!E209)-MIN(Instances!E209:Instances!E209))</f>
        <v>0</v>
      </c>
      <c r="F209" s="1" cm="1">
        <f t="array" ref="F209">_xlfn.SWITCH($A$2,"average", AVERAGE(Instances!F209:Instances!F209),"median", MEDIAN(Instances!F209:Instances!F209),"min", MIN(Instances!F209:Instances!F209),"max", MAX(Instances!F209:Instances!F209),"diff", MAX(Instances!F209:Instances!F209)-MIN(Instances!F209:Instances!F209))</f>
        <v>0</v>
      </c>
      <c r="G209" s="1" cm="1">
        <f t="array" ref="G209">_xlfn.SWITCH($A$2,"average", AVERAGE(Instances!G209:Instances!G209),"median", MEDIAN(Instances!G209:Instances!G209),"min", MIN(Instances!G209:Instances!G209),"max", MAX(Instances!G209:Instances!G209),"diff", MAX(Instances!G209:Instances!G209)-MIN(Instances!G209:Instances!G209))</f>
        <v>0</v>
      </c>
      <c r="H209" s="1" cm="1">
        <f t="array" ref="H209">_xlfn.SWITCH($A$2,"average", AVERAGE(Instances!H209:Instances!H209),"median", MEDIAN(Instances!H209:Instances!H209),"min", MIN(Instances!H209:Instances!H209),"max", MAX(Instances!H209:Instances!H209),"diff", MAX(Instances!H209:Instances!H209)-MIN(Instances!H209:Instances!H209))</f>
        <v>0</v>
      </c>
      <c r="I209" s="1" cm="1">
        <f t="array" ref="I209">_xlfn.SWITCH($A$2,"average", AVERAGE(Instances!I209:Instances!I209),"median", MEDIAN(Instances!I209:Instances!I209),"min", MIN(Instances!I209:Instances!I209),"max", MAX(Instances!I209:Instances!I209),"diff", MAX(Instances!I209:Instances!I209)-MIN(Instances!I209:Instances!I209))</f>
        <v>0</v>
      </c>
      <c r="J209" s="1" cm="1">
        <f t="array" ref="J209">_xlfn.SWITCH($A$2,"average", AVERAGE(Instances!J209:Instances!J209),"median", MEDIAN(Instances!J209:Instances!J209),"min", MIN(Instances!J209:Instances!J209),"max", MAX(Instances!J209:Instances!J209),"diff", MAX(Instances!J209:Instances!J209)-MIN(Instances!J209:Instances!J209))</f>
        <v>0</v>
      </c>
      <c r="K209" s="1" cm="1">
        <f t="array" ref="K209">_xlfn.SWITCH($A$2,"average", AVERAGE(Instances!K209:Instances!K209),"median", MEDIAN(Instances!K209:Instances!K209),"min", MIN(Instances!K209:Instances!K209),"max", MAX(Instances!K209:Instances!K209),"diff", MAX(Instances!K209:Instances!K209)-MIN(Instances!K209:Instances!K209))</f>
        <v>0</v>
      </c>
      <c r="L209" s="1"/>
      <c r="M209" s="1" cm="1">
        <f t="array" ref="M209">_xlfn.SWITCH($A$2,"average", AVERAGE(Instances!M209:Instances!M209),"median", MEDIAN(Instances!M209:Instances!M209),"min", MIN(Instances!M209:Instances!M209),"max", MAX(Instances!M209:Instances!M209),"diff", MAX(Instances!M209:Instances!M209)-MIN(Instances!M209:Instances!M209))</f>
        <v>0</v>
      </c>
      <c r="N209" s="1" cm="1">
        <f t="array" ref="N209">_xlfn.SWITCH($A$2,"average", AVERAGE(Instances!N209:Instances!N209),"median", MEDIAN(Instances!N209:Instances!N209),"min", MIN(Instances!N209:Instances!N209),"max", MAX(Instances!N209:Instances!N209),"diff", MAX(Instances!N209:Instances!N209)-MIN(Instances!N209:Instances!N209))</f>
        <v>0</v>
      </c>
      <c r="O209" s="1"/>
      <c r="P209" s="1" cm="1">
        <f t="array" ref="P209">_xlfn.SWITCH($A$2,"average", AVERAGE(Instances!P209:Instances!P209),"median", MEDIAN(Instances!P209:Instances!P209),"min", MIN(Instances!P209:Instances!P209),"max", MAX(Instances!P209:Instances!P209),"diff", MAX(Instances!P209:Instances!P209)-MIN(Instances!P209:Instances!P209))</f>
        <v>0</v>
      </c>
      <c r="Q209" s="1" cm="1">
        <f t="array" ref="Q209">_xlfn.SWITCH($A$2,"average", AVERAGE(Instances!Q209:Instances!Q209),"median", MEDIAN(Instances!Q209:Instances!Q209),"min", MIN(Instances!Q209:Instances!Q209),"max", MAX(Instances!Q209:Instances!Q209),"diff", MAX(Instances!Q209:Instances!Q209)-MIN(Instances!Q209:Instances!Q209))</f>
        <v>0</v>
      </c>
      <c r="R209" s="1" cm="1">
        <f t="array" ref="R209">_xlfn.SWITCH($A$2,"average", AVERAGE(Instances!R209:Instances!R209),"median", MEDIAN(Instances!R209:Instances!R209),"min", MIN(Instances!R209:Instances!R209),"max", MAX(Instances!R209:Instances!R209),"diff", MAX(Instances!R209:Instances!R209)-MIN(Instances!R209:Instances!R209))</f>
        <v>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 cm="1">
        <f t="array" ref="B210">_xlfn.SWITCH($A$2,"average", AVERAGE(Instances!B210:Instances!B210),"median", MEDIAN(Instances!B210:Instances!B210),"min", MIN(Instances!B210:Instances!B210),"max", MAX(Instances!B210:Instances!B210),"diff", MAX(Instances!B210:Instances!B210)-MIN(Instances!B210:Instances!B210))</f>
        <v>0</v>
      </c>
      <c r="C210" s="1" cm="1">
        <f t="array" ref="C210">_xlfn.SWITCH($A$2,"average", AVERAGE(Instances!C210:Instances!C210),"median", MEDIAN(Instances!C210:Instances!C210),"min", MIN(Instances!C210:Instances!C210),"max", MAX(Instances!C210:Instances!C210),"diff", MAX(Instances!C210:Instances!C210)-MIN(Instances!C210:Instances!C210))</f>
        <v>0</v>
      </c>
      <c r="D210" s="1" cm="1">
        <f t="array" ref="D210">_xlfn.SWITCH($A$2,"average", AVERAGE(Instances!D210:Instances!D210),"median", MEDIAN(Instances!D210:Instances!D210),"min", MIN(Instances!D210:Instances!D210),"max", MAX(Instances!D210:Instances!D210),"diff", MAX(Instances!D210:Instances!D210)-MIN(Instances!D210:Instances!D210))</f>
        <v>0</v>
      </c>
      <c r="E210" s="1" cm="1">
        <f t="array" ref="E210">_xlfn.SWITCH($A$2,"average", AVERAGE(Instances!E210:Instances!E210),"median", MEDIAN(Instances!E210:Instances!E210),"min", MIN(Instances!E210:Instances!E210),"max", MAX(Instances!E210:Instances!E210),"diff", MAX(Instances!E210:Instances!E210)-MIN(Instances!E210:Instances!E210))</f>
        <v>0</v>
      </c>
      <c r="F210" s="1" cm="1">
        <f t="array" ref="F210">_xlfn.SWITCH($A$2,"average", AVERAGE(Instances!F210:Instances!F210),"median", MEDIAN(Instances!F210:Instances!F210),"min", MIN(Instances!F210:Instances!F210),"max", MAX(Instances!F210:Instances!F210),"diff", MAX(Instances!F210:Instances!F210)-MIN(Instances!F210:Instances!F210))</f>
        <v>0</v>
      </c>
      <c r="G210" s="1" cm="1">
        <f t="array" ref="G210">_xlfn.SWITCH($A$2,"average", AVERAGE(Instances!G210:Instances!G210),"median", MEDIAN(Instances!G210:Instances!G210),"min", MIN(Instances!G210:Instances!G210),"max", MAX(Instances!G210:Instances!G210),"diff", MAX(Instances!G210:Instances!G210)-MIN(Instances!G210:Instances!G210))</f>
        <v>0</v>
      </c>
      <c r="H210" s="1" cm="1">
        <f t="array" ref="H210">_xlfn.SWITCH($A$2,"average", AVERAGE(Instances!H210:Instances!H210),"median", MEDIAN(Instances!H210:Instances!H210),"min", MIN(Instances!H210:Instances!H210),"max", MAX(Instances!H210:Instances!H210),"diff", MAX(Instances!H210:Instances!H210)-MIN(Instances!H210:Instances!H210))</f>
        <v>0</v>
      </c>
      <c r="I210" s="1" cm="1">
        <f t="array" ref="I210">_xlfn.SWITCH($A$2,"average", AVERAGE(Instances!I210:Instances!I210),"median", MEDIAN(Instances!I210:Instances!I210),"min", MIN(Instances!I210:Instances!I210),"max", MAX(Instances!I210:Instances!I210),"diff", MAX(Instances!I210:Instances!I210)-MIN(Instances!I210:Instances!I210))</f>
        <v>0</v>
      </c>
      <c r="J210" s="1" cm="1">
        <f t="array" ref="J210">_xlfn.SWITCH($A$2,"average", AVERAGE(Instances!J210:Instances!J210),"median", MEDIAN(Instances!J210:Instances!J210),"min", MIN(Instances!J210:Instances!J210),"max", MAX(Instances!J210:Instances!J210),"diff", MAX(Instances!J210:Instances!J210)-MIN(Instances!J210:Instances!J210))</f>
        <v>0</v>
      </c>
      <c r="K210" s="1" cm="1">
        <f t="array" ref="K210">_xlfn.SWITCH($A$2,"average", AVERAGE(Instances!K210:Instances!K210),"median", MEDIAN(Instances!K210:Instances!K210),"min", MIN(Instances!K210:Instances!K210),"max", MAX(Instances!K210:Instances!K210),"diff", MAX(Instances!K210:Instances!K210)-MIN(Instances!K210:Instances!K210))</f>
        <v>0</v>
      </c>
      <c r="L210" s="1"/>
      <c r="M210" s="1" cm="1">
        <f t="array" ref="M210">_xlfn.SWITCH($A$2,"average", AVERAGE(Instances!M210:Instances!M210),"median", MEDIAN(Instances!M210:Instances!M210),"min", MIN(Instances!M210:Instances!M210),"max", MAX(Instances!M210:Instances!M210),"diff", MAX(Instances!M210:Instances!M210)-MIN(Instances!M210:Instances!M210))</f>
        <v>0</v>
      </c>
      <c r="N210" s="1" cm="1">
        <f t="array" ref="N210">_xlfn.SWITCH($A$2,"average", AVERAGE(Instances!N210:Instances!N210),"median", MEDIAN(Instances!N210:Instances!N210),"min", MIN(Instances!N210:Instances!N210),"max", MAX(Instances!N210:Instances!N210),"diff", MAX(Instances!N210:Instances!N210)-MIN(Instances!N210:Instances!N210))</f>
        <v>0</v>
      </c>
      <c r="O210" s="1"/>
      <c r="P210" s="1" cm="1">
        <f t="array" ref="P210">_xlfn.SWITCH($A$2,"average", AVERAGE(Instances!P210:Instances!P210),"median", MEDIAN(Instances!P210:Instances!P210),"min", MIN(Instances!P210:Instances!P210),"max", MAX(Instances!P210:Instances!P210),"diff", MAX(Instances!P210:Instances!P210)-MIN(Instances!P210:Instances!P210))</f>
        <v>0</v>
      </c>
      <c r="Q210" s="1" cm="1">
        <f t="array" ref="Q210">_xlfn.SWITCH($A$2,"average", AVERAGE(Instances!Q210:Instances!Q210),"median", MEDIAN(Instances!Q210:Instances!Q210),"min", MIN(Instances!Q210:Instances!Q210),"max", MAX(Instances!Q210:Instances!Q210),"diff", MAX(Instances!Q210:Instances!Q210)-MIN(Instances!Q210:Instances!Q210))</f>
        <v>0</v>
      </c>
      <c r="R210" s="1" cm="1">
        <f t="array" ref="R210">_xlfn.SWITCH($A$2,"average", AVERAGE(Instances!R210:Instances!R210),"median", MEDIAN(Instances!R210:Instances!R210),"min", MIN(Instances!R210:Instances!R210),"max", MAX(Instances!R210:Instances!R210),"diff", MAX(Instances!R210:Instances!R210)-MIN(Instances!R210:Instances!R210))</f>
        <v>0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 cm="1">
        <f t="array" ref="B211">_xlfn.SWITCH($A$2,"average", AVERAGE(Instances!B211:Instances!B211),"median", MEDIAN(Instances!B211:Instances!B211),"min", MIN(Instances!B211:Instances!B211),"max", MAX(Instances!B211:Instances!B211),"diff", MAX(Instances!B211:Instances!B211)-MIN(Instances!B211:Instances!B211))</f>
        <v>0</v>
      </c>
      <c r="C211" s="1" cm="1">
        <f t="array" ref="C211">_xlfn.SWITCH($A$2,"average", AVERAGE(Instances!C211:Instances!C211),"median", MEDIAN(Instances!C211:Instances!C211),"min", MIN(Instances!C211:Instances!C211),"max", MAX(Instances!C211:Instances!C211),"diff", MAX(Instances!C211:Instances!C211)-MIN(Instances!C211:Instances!C211))</f>
        <v>0</v>
      </c>
      <c r="D211" s="1" cm="1">
        <f t="array" ref="D211">_xlfn.SWITCH($A$2,"average", AVERAGE(Instances!D211:Instances!D211),"median", MEDIAN(Instances!D211:Instances!D211),"min", MIN(Instances!D211:Instances!D211),"max", MAX(Instances!D211:Instances!D211),"diff", MAX(Instances!D211:Instances!D211)-MIN(Instances!D211:Instances!D211))</f>
        <v>0</v>
      </c>
      <c r="E211" s="1" cm="1">
        <f t="array" ref="E211">_xlfn.SWITCH($A$2,"average", AVERAGE(Instances!E211:Instances!E211),"median", MEDIAN(Instances!E211:Instances!E211),"min", MIN(Instances!E211:Instances!E211),"max", MAX(Instances!E211:Instances!E211),"diff", MAX(Instances!E211:Instances!E211)-MIN(Instances!E211:Instances!E211))</f>
        <v>0</v>
      </c>
      <c r="F211" s="1" cm="1">
        <f t="array" ref="F211">_xlfn.SWITCH($A$2,"average", AVERAGE(Instances!F211:Instances!F211),"median", MEDIAN(Instances!F211:Instances!F211),"min", MIN(Instances!F211:Instances!F211),"max", MAX(Instances!F211:Instances!F211),"diff", MAX(Instances!F211:Instances!F211)-MIN(Instances!F211:Instances!F211))</f>
        <v>0</v>
      </c>
      <c r="G211" s="1" cm="1">
        <f t="array" ref="G211">_xlfn.SWITCH($A$2,"average", AVERAGE(Instances!G211:Instances!G211),"median", MEDIAN(Instances!G211:Instances!G211),"min", MIN(Instances!G211:Instances!G211),"max", MAX(Instances!G211:Instances!G211),"diff", MAX(Instances!G211:Instances!G211)-MIN(Instances!G211:Instances!G211))</f>
        <v>0</v>
      </c>
      <c r="H211" s="1" cm="1">
        <f t="array" ref="H211">_xlfn.SWITCH($A$2,"average", AVERAGE(Instances!H211:Instances!H211),"median", MEDIAN(Instances!H211:Instances!H211),"min", MIN(Instances!H211:Instances!H211),"max", MAX(Instances!H211:Instances!H211),"diff", MAX(Instances!H211:Instances!H211)-MIN(Instances!H211:Instances!H211))</f>
        <v>0</v>
      </c>
      <c r="I211" s="1" cm="1">
        <f t="array" ref="I211">_xlfn.SWITCH($A$2,"average", AVERAGE(Instances!I211:Instances!I211),"median", MEDIAN(Instances!I211:Instances!I211),"min", MIN(Instances!I211:Instances!I211),"max", MAX(Instances!I211:Instances!I211),"diff", MAX(Instances!I211:Instances!I211)-MIN(Instances!I211:Instances!I211))</f>
        <v>0</v>
      </c>
      <c r="J211" s="1" cm="1">
        <f t="array" ref="J211">_xlfn.SWITCH($A$2,"average", AVERAGE(Instances!J211:Instances!J211),"median", MEDIAN(Instances!J211:Instances!J211),"min", MIN(Instances!J211:Instances!J211),"max", MAX(Instances!J211:Instances!J211),"diff", MAX(Instances!J211:Instances!J211)-MIN(Instances!J211:Instances!J211))</f>
        <v>0</v>
      </c>
      <c r="K211" s="1" cm="1">
        <f t="array" ref="K211">_xlfn.SWITCH($A$2,"average", AVERAGE(Instances!K211:Instances!K211),"median", MEDIAN(Instances!K211:Instances!K211),"min", MIN(Instances!K211:Instances!K211),"max", MAX(Instances!K211:Instances!K211),"diff", MAX(Instances!K211:Instances!K211)-MIN(Instances!K211:Instances!K211))</f>
        <v>0</v>
      </c>
      <c r="L211" s="1"/>
      <c r="M211" s="1" cm="1">
        <f t="array" ref="M211">_xlfn.SWITCH($A$2,"average", AVERAGE(Instances!M211:Instances!M211),"median", MEDIAN(Instances!M211:Instances!M211),"min", MIN(Instances!M211:Instances!M211),"max", MAX(Instances!M211:Instances!M211),"diff", MAX(Instances!M211:Instances!M211)-MIN(Instances!M211:Instances!M211))</f>
        <v>0</v>
      </c>
      <c r="N211" s="1" cm="1">
        <f t="array" ref="N211">_xlfn.SWITCH($A$2,"average", AVERAGE(Instances!N211:Instances!N211),"median", MEDIAN(Instances!N211:Instances!N211),"min", MIN(Instances!N211:Instances!N211),"max", MAX(Instances!N211:Instances!N211),"diff", MAX(Instances!N211:Instances!N211)-MIN(Instances!N211:Instances!N211))</f>
        <v>0</v>
      </c>
      <c r="O211" s="1"/>
      <c r="P211" s="1" cm="1">
        <f t="array" ref="P211">_xlfn.SWITCH($A$2,"average", AVERAGE(Instances!P211:Instances!P211),"median", MEDIAN(Instances!P211:Instances!P211),"min", MIN(Instances!P211:Instances!P211),"max", MAX(Instances!P211:Instances!P211),"diff", MAX(Instances!P211:Instances!P211)-MIN(Instances!P211:Instances!P211))</f>
        <v>0</v>
      </c>
      <c r="Q211" s="1" cm="1">
        <f t="array" ref="Q211">_xlfn.SWITCH($A$2,"average", AVERAGE(Instances!Q211:Instances!Q211),"median", MEDIAN(Instances!Q211:Instances!Q211),"min", MIN(Instances!Q211:Instances!Q211),"max", MAX(Instances!Q211:Instances!Q211),"diff", MAX(Instances!Q211:Instances!Q211)-MIN(Instances!Q211:Instances!Q211))</f>
        <v>0</v>
      </c>
      <c r="R211" s="1" cm="1">
        <f t="array" ref="R211">_xlfn.SWITCH($A$2,"average", AVERAGE(Instances!R211:Instances!R211),"median", MEDIAN(Instances!R211:Instances!R211),"min", MIN(Instances!R211:Instances!R211),"max", MAX(Instances!R211:Instances!R211),"diff", MAX(Instances!R211:Instances!R211)-MIN(Instances!R211:Instances!R211))</f>
        <v>0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 cm="1">
        <f t="array" ref="B212">_xlfn.SWITCH($A$2,"average", AVERAGE(Instances!B212:Instances!B212),"median", MEDIAN(Instances!B212:Instances!B212),"min", MIN(Instances!B212:Instances!B212),"max", MAX(Instances!B212:Instances!B212),"diff", MAX(Instances!B212:Instances!B212)-MIN(Instances!B212:Instances!B212))</f>
        <v>0</v>
      </c>
      <c r="C212" s="1" cm="1">
        <f t="array" ref="C212">_xlfn.SWITCH($A$2,"average", AVERAGE(Instances!C212:Instances!C212),"median", MEDIAN(Instances!C212:Instances!C212),"min", MIN(Instances!C212:Instances!C212),"max", MAX(Instances!C212:Instances!C212),"diff", MAX(Instances!C212:Instances!C212)-MIN(Instances!C212:Instances!C212))</f>
        <v>0</v>
      </c>
      <c r="D212" s="1" cm="1">
        <f t="array" ref="D212">_xlfn.SWITCH($A$2,"average", AVERAGE(Instances!D212:Instances!D212),"median", MEDIAN(Instances!D212:Instances!D212),"min", MIN(Instances!D212:Instances!D212),"max", MAX(Instances!D212:Instances!D212),"diff", MAX(Instances!D212:Instances!D212)-MIN(Instances!D212:Instances!D212))</f>
        <v>0</v>
      </c>
      <c r="E212" s="1" cm="1">
        <f t="array" ref="E212">_xlfn.SWITCH($A$2,"average", AVERAGE(Instances!E212:Instances!E212),"median", MEDIAN(Instances!E212:Instances!E212),"min", MIN(Instances!E212:Instances!E212),"max", MAX(Instances!E212:Instances!E212),"diff", MAX(Instances!E212:Instances!E212)-MIN(Instances!E212:Instances!E212))</f>
        <v>0</v>
      </c>
      <c r="F212" s="1" cm="1">
        <f t="array" ref="F212">_xlfn.SWITCH($A$2,"average", AVERAGE(Instances!F212:Instances!F212),"median", MEDIAN(Instances!F212:Instances!F212),"min", MIN(Instances!F212:Instances!F212),"max", MAX(Instances!F212:Instances!F212),"diff", MAX(Instances!F212:Instances!F212)-MIN(Instances!F212:Instances!F212))</f>
        <v>0</v>
      </c>
      <c r="G212" s="1" cm="1">
        <f t="array" ref="G212">_xlfn.SWITCH($A$2,"average", AVERAGE(Instances!G212:Instances!G212),"median", MEDIAN(Instances!G212:Instances!G212),"min", MIN(Instances!G212:Instances!G212),"max", MAX(Instances!G212:Instances!G212),"diff", MAX(Instances!G212:Instances!G212)-MIN(Instances!G212:Instances!G212))</f>
        <v>0</v>
      </c>
      <c r="H212" s="1" cm="1">
        <f t="array" ref="H212">_xlfn.SWITCH($A$2,"average", AVERAGE(Instances!H212:Instances!H212),"median", MEDIAN(Instances!H212:Instances!H212),"min", MIN(Instances!H212:Instances!H212),"max", MAX(Instances!H212:Instances!H212),"diff", MAX(Instances!H212:Instances!H212)-MIN(Instances!H212:Instances!H212))</f>
        <v>0</v>
      </c>
      <c r="I212" s="1" cm="1">
        <f t="array" ref="I212">_xlfn.SWITCH($A$2,"average", AVERAGE(Instances!I212:Instances!I212),"median", MEDIAN(Instances!I212:Instances!I212),"min", MIN(Instances!I212:Instances!I212),"max", MAX(Instances!I212:Instances!I212),"diff", MAX(Instances!I212:Instances!I212)-MIN(Instances!I212:Instances!I212))</f>
        <v>0</v>
      </c>
      <c r="J212" s="1" cm="1">
        <f t="array" ref="J212">_xlfn.SWITCH($A$2,"average", AVERAGE(Instances!J212:Instances!J212),"median", MEDIAN(Instances!J212:Instances!J212),"min", MIN(Instances!J212:Instances!J212),"max", MAX(Instances!J212:Instances!J212),"diff", MAX(Instances!J212:Instances!J212)-MIN(Instances!J212:Instances!J212))</f>
        <v>0</v>
      </c>
      <c r="K212" s="1" cm="1">
        <f t="array" ref="K212">_xlfn.SWITCH($A$2,"average", AVERAGE(Instances!K212:Instances!K212),"median", MEDIAN(Instances!K212:Instances!K212),"min", MIN(Instances!K212:Instances!K212),"max", MAX(Instances!K212:Instances!K212),"diff", MAX(Instances!K212:Instances!K212)-MIN(Instances!K212:Instances!K212))</f>
        <v>0</v>
      </c>
      <c r="L212" s="1"/>
      <c r="M212" s="1" cm="1">
        <f t="array" ref="M212">_xlfn.SWITCH($A$2,"average", AVERAGE(Instances!M212:Instances!M212),"median", MEDIAN(Instances!M212:Instances!M212),"min", MIN(Instances!M212:Instances!M212),"max", MAX(Instances!M212:Instances!M212),"diff", MAX(Instances!M212:Instances!M212)-MIN(Instances!M212:Instances!M212))</f>
        <v>0</v>
      </c>
      <c r="N212" s="1" cm="1">
        <f t="array" ref="N212">_xlfn.SWITCH($A$2,"average", AVERAGE(Instances!N212:Instances!N212),"median", MEDIAN(Instances!N212:Instances!N212),"min", MIN(Instances!N212:Instances!N212),"max", MAX(Instances!N212:Instances!N212),"diff", MAX(Instances!N212:Instances!N212)-MIN(Instances!N212:Instances!N212))</f>
        <v>0</v>
      </c>
      <c r="O212" s="1"/>
      <c r="P212" s="1" cm="1">
        <f t="array" ref="P212">_xlfn.SWITCH($A$2,"average", AVERAGE(Instances!P212:Instances!P212),"median", MEDIAN(Instances!P212:Instances!P212),"min", MIN(Instances!P212:Instances!P212),"max", MAX(Instances!P212:Instances!P212),"diff", MAX(Instances!P212:Instances!P212)-MIN(Instances!P212:Instances!P212))</f>
        <v>0</v>
      </c>
      <c r="Q212" s="1" cm="1">
        <f t="array" ref="Q212">_xlfn.SWITCH($A$2,"average", AVERAGE(Instances!Q212:Instances!Q212),"median", MEDIAN(Instances!Q212:Instances!Q212),"min", MIN(Instances!Q212:Instances!Q212),"max", MAX(Instances!Q212:Instances!Q212),"diff", MAX(Instances!Q212:Instances!Q212)-MIN(Instances!Q212:Instances!Q212))</f>
        <v>0</v>
      </c>
      <c r="R212" s="1" cm="1">
        <f t="array" ref="R212">_xlfn.SWITCH($A$2,"average", AVERAGE(Instances!R212:Instances!R212),"median", MEDIAN(Instances!R212:Instances!R212),"min", MIN(Instances!R212:Instances!R212),"max", MAX(Instances!R212:Instances!R212),"diff", MAX(Instances!R212:Instances!R212)-MIN(Instances!R212:Instances!R212))</f>
        <v>0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 cm="1">
        <f t="array" ref="B213">_xlfn.SWITCH($A$2,"average", AVERAGE(Instances!B213:Instances!B213),"median", MEDIAN(Instances!B213:Instances!B213),"min", MIN(Instances!B213:Instances!B213),"max", MAX(Instances!B213:Instances!B213),"diff", MAX(Instances!B213:Instances!B213)-MIN(Instances!B213:Instances!B213))</f>
        <v>0</v>
      </c>
      <c r="C213" s="1" cm="1">
        <f t="array" ref="C213">_xlfn.SWITCH($A$2,"average", AVERAGE(Instances!C213:Instances!C213),"median", MEDIAN(Instances!C213:Instances!C213),"min", MIN(Instances!C213:Instances!C213),"max", MAX(Instances!C213:Instances!C213),"diff", MAX(Instances!C213:Instances!C213)-MIN(Instances!C213:Instances!C213))</f>
        <v>0</v>
      </c>
      <c r="D213" s="1" cm="1">
        <f t="array" ref="D213">_xlfn.SWITCH($A$2,"average", AVERAGE(Instances!D213:Instances!D213),"median", MEDIAN(Instances!D213:Instances!D213),"min", MIN(Instances!D213:Instances!D213),"max", MAX(Instances!D213:Instances!D213),"diff", MAX(Instances!D213:Instances!D213)-MIN(Instances!D213:Instances!D213))</f>
        <v>0</v>
      </c>
      <c r="E213" s="1" cm="1">
        <f t="array" ref="E213">_xlfn.SWITCH($A$2,"average", AVERAGE(Instances!E213:Instances!E213),"median", MEDIAN(Instances!E213:Instances!E213),"min", MIN(Instances!E213:Instances!E213),"max", MAX(Instances!E213:Instances!E213),"diff", MAX(Instances!E213:Instances!E213)-MIN(Instances!E213:Instances!E213))</f>
        <v>0</v>
      </c>
      <c r="F213" s="1" cm="1">
        <f t="array" ref="F213">_xlfn.SWITCH($A$2,"average", AVERAGE(Instances!F213:Instances!F213),"median", MEDIAN(Instances!F213:Instances!F213),"min", MIN(Instances!F213:Instances!F213),"max", MAX(Instances!F213:Instances!F213),"diff", MAX(Instances!F213:Instances!F213)-MIN(Instances!F213:Instances!F213))</f>
        <v>0</v>
      </c>
      <c r="G213" s="1" cm="1">
        <f t="array" ref="G213">_xlfn.SWITCH($A$2,"average", AVERAGE(Instances!G213:Instances!G213),"median", MEDIAN(Instances!G213:Instances!G213),"min", MIN(Instances!G213:Instances!G213),"max", MAX(Instances!G213:Instances!G213),"diff", MAX(Instances!G213:Instances!G213)-MIN(Instances!G213:Instances!G213))</f>
        <v>0</v>
      </c>
      <c r="H213" s="1" cm="1">
        <f t="array" ref="H213">_xlfn.SWITCH($A$2,"average", AVERAGE(Instances!H213:Instances!H213),"median", MEDIAN(Instances!H213:Instances!H213),"min", MIN(Instances!H213:Instances!H213),"max", MAX(Instances!H213:Instances!H213),"diff", MAX(Instances!H213:Instances!H213)-MIN(Instances!H213:Instances!H213))</f>
        <v>0</v>
      </c>
      <c r="I213" s="1" cm="1">
        <f t="array" ref="I213">_xlfn.SWITCH($A$2,"average", AVERAGE(Instances!I213:Instances!I213),"median", MEDIAN(Instances!I213:Instances!I213),"min", MIN(Instances!I213:Instances!I213),"max", MAX(Instances!I213:Instances!I213),"diff", MAX(Instances!I213:Instances!I213)-MIN(Instances!I213:Instances!I213))</f>
        <v>0</v>
      </c>
      <c r="J213" s="1" cm="1">
        <f t="array" ref="J213">_xlfn.SWITCH($A$2,"average", AVERAGE(Instances!J213:Instances!J213),"median", MEDIAN(Instances!J213:Instances!J213),"min", MIN(Instances!J213:Instances!J213),"max", MAX(Instances!J213:Instances!J213),"diff", MAX(Instances!J213:Instances!J213)-MIN(Instances!J213:Instances!J213))</f>
        <v>0</v>
      </c>
      <c r="K213" s="1" cm="1">
        <f t="array" ref="K213">_xlfn.SWITCH($A$2,"average", AVERAGE(Instances!K213:Instances!K213),"median", MEDIAN(Instances!K213:Instances!K213),"min", MIN(Instances!K213:Instances!K213),"max", MAX(Instances!K213:Instances!K213),"diff", MAX(Instances!K213:Instances!K213)-MIN(Instances!K213:Instances!K213))</f>
        <v>0</v>
      </c>
      <c r="L213" s="1"/>
      <c r="M213" s="1" cm="1">
        <f t="array" ref="M213">_xlfn.SWITCH($A$2,"average", AVERAGE(Instances!M213:Instances!M213),"median", MEDIAN(Instances!M213:Instances!M213),"min", MIN(Instances!M213:Instances!M213),"max", MAX(Instances!M213:Instances!M213),"diff", MAX(Instances!M213:Instances!M213)-MIN(Instances!M213:Instances!M213))</f>
        <v>0</v>
      </c>
      <c r="N213" s="1" cm="1">
        <f t="array" ref="N213">_xlfn.SWITCH($A$2,"average", AVERAGE(Instances!N213:Instances!N213),"median", MEDIAN(Instances!N213:Instances!N213),"min", MIN(Instances!N213:Instances!N213),"max", MAX(Instances!N213:Instances!N213),"diff", MAX(Instances!N213:Instances!N213)-MIN(Instances!N213:Instances!N213))</f>
        <v>0</v>
      </c>
      <c r="O213" s="1"/>
      <c r="P213" s="1" cm="1">
        <f t="array" ref="P213">_xlfn.SWITCH($A$2,"average", AVERAGE(Instances!P213:Instances!P213),"median", MEDIAN(Instances!P213:Instances!P213),"min", MIN(Instances!P213:Instances!P213),"max", MAX(Instances!P213:Instances!P213),"diff", MAX(Instances!P213:Instances!P213)-MIN(Instances!P213:Instances!P213))</f>
        <v>0</v>
      </c>
      <c r="Q213" s="1" cm="1">
        <f t="array" ref="Q213">_xlfn.SWITCH($A$2,"average", AVERAGE(Instances!Q213:Instances!Q213),"median", MEDIAN(Instances!Q213:Instances!Q213),"min", MIN(Instances!Q213:Instances!Q213),"max", MAX(Instances!Q213:Instances!Q213),"diff", MAX(Instances!Q213:Instances!Q213)-MIN(Instances!Q213:Instances!Q213))</f>
        <v>0</v>
      </c>
      <c r="R213" s="1" cm="1">
        <f t="array" ref="R213">_xlfn.SWITCH($A$2,"average", AVERAGE(Instances!R213:Instances!R213),"median", MEDIAN(Instances!R213:Instances!R213),"min", MIN(Instances!R213:Instances!R213),"max", MAX(Instances!R213:Instances!R213),"diff", MAX(Instances!R213:Instances!R213)-MIN(Instances!R213:Instances!R213))</f>
        <v>0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 cm="1">
        <f t="array" ref="B214">_xlfn.SWITCH($A$2,"average", AVERAGE(Instances!B214:Instances!B214),"median", MEDIAN(Instances!B214:Instances!B214),"min", MIN(Instances!B214:Instances!B214),"max", MAX(Instances!B214:Instances!B214),"diff", MAX(Instances!B214:Instances!B214)-MIN(Instances!B214:Instances!B214))</f>
        <v>0</v>
      </c>
      <c r="C214" s="1" cm="1">
        <f t="array" ref="C214">_xlfn.SWITCH($A$2,"average", AVERAGE(Instances!C214:Instances!C214),"median", MEDIAN(Instances!C214:Instances!C214),"min", MIN(Instances!C214:Instances!C214),"max", MAX(Instances!C214:Instances!C214),"diff", MAX(Instances!C214:Instances!C214)-MIN(Instances!C214:Instances!C214))</f>
        <v>0</v>
      </c>
      <c r="D214" s="1" cm="1">
        <f t="array" ref="D214">_xlfn.SWITCH($A$2,"average", AVERAGE(Instances!D214:Instances!D214),"median", MEDIAN(Instances!D214:Instances!D214),"min", MIN(Instances!D214:Instances!D214),"max", MAX(Instances!D214:Instances!D214),"diff", MAX(Instances!D214:Instances!D214)-MIN(Instances!D214:Instances!D214))</f>
        <v>0</v>
      </c>
      <c r="E214" s="1" cm="1">
        <f t="array" ref="E214">_xlfn.SWITCH($A$2,"average", AVERAGE(Instances!E214:Instances!E214),"median", MEDIAN(Instances!E214:Instances!E214),"min", MIN(Instances!E214:Instances!E214),"max", MAX(Instances!E214:Instances!E214),"diff", MAX(Instances!E214:Instances!E214)-MIN(Instances!E214:Instances!E214))</f>
        <v>0</v>
      </c>
      <c r="F214" s="1" cm="1">
        <f t="array" ref="F214">_xlfn.SWITCH($A$2,"average", AVERAGE(Instances!F214:Instances!F214),"median", MEDIAN(Instances!F214:Instances!F214),"min", MIN(Instances!F214:Instances!F214),"max", MAX(Instances!F214:Instances!F214),"diff", MAX(Instances!F214:Instances!F214)-MIN(Instances!F214:Instances!F214))</f>
        <v>0</v>
      </c>
      <c r="G214" s="1" cm="1">
        <f t="array" ref="G214">_xlfn.SWITCH($A$2,"average", AVERAGE(Instances!G214:Instances!G214),"median", MEDIAN(Instances!G214:Instances!G214),"min", MIN(Instances!G214:Instances!G214),"max", MAX(Instances!G214:Instances!G214),"diff", MAX(Instances!G214:Instances!G214)-MIN(Instances!G214:Instances!G214))</f>
        <v>0</v>
      </c>
      <c r="H214" s="1" cm="1">
        <f t="array" ref="H214">_xlfn.SWITCH($A$2,"average", AVERAGE(Instances!H214:Instances!H214),"median", MEDIAN(Instances!H214:Instances!H214),"min", MIN(Instances!H214:Instances!H214),"max", MAX(Instances!H214:Instances!H214),"diff", MAX(Instances!H214:Instances!H214)-MIN(Instances!H214:Instances!H214))</f>
        <v>0</v>
      </c>
      <c r="I214" s="1" cm="1">
        <f t="array" ref="I214">_xlfn.SWITCH($A$2,"average", AVERAGE(Instances!I214:Instances!I214),"median", MEDIAN(Instances!I214:Instances!I214),"min", MIN(Instances!I214:Instances!I214),"max", MAX(Instances!I214:Instances!I214),"diff", MAX(Instances!I214:Instances!I214)-MIN(Instances!I214:Instances!I214))</f>
        <v>0</v>
      </c>
      <c r="J214" s="1" cm="1">
        <f t="array" ref="J214">_xlfn.SWITCH($A$2,"average", AVERAGE(Instances!J214:Instances!J214),"median", MEDIAN(Instances!J214:Instances!J214),"min", MIN(Instances!J214:Instances!J214),"max", MAX(Instances!J214:Instances!J214),"diff", MAX(Instances!J214:Instances!J214)-MIN(Instances!J214:Instances!J214))</f>
        <v>0</v>
      </c>
      <c r="K214" s="1" cm="1">
        <f t="array" ref="K214">_xlfn.SWITCH($A$2,"average", AVERAGE(Instances!K214:Instances!K214),"median", MEDIAN(Instances!K214:Instances!K214),"min", MIN(Instances!K214:Instances!K214),"max", MAX(Instances!K214:Instances!K214),"diff", MAX(Instances!K214:Instances!K214)-MIN(Instances!K214:Instances!K214))</f>
        <v>0</v>
      </c>
      <c r="L214" s="1"/>
      <c r="M214" s="1" cm="1">
        <f t="array" ref="M214">_xlfn.SWITCH($A$2,"average", AVERAGE(Instances!M214:Instances!M214),"median", MEDIAN(Instances!M214:Instances!M214),"min", MIN(Instances!M214:Instances!M214),"max", MAX(Instances!M214:Instances!M214),"diff", MAX(Instances!M214:Instances!M214)-MIN(Instances!M214:Instances!M214))</f>
        <v>0</v>
      </c>
      <c r="N214" s="1" cm="1">
        <f t="array" ref="N214">_xlfn.SWITCH($A$2,"average", AVERAGE(Instances!N214:Instances!N214),"median", MEDIAN(Instances!N214:Instances!N214),"min", MIN(Instances!N214:Instances!N214),"max", MAX(Instances!N214:Instances!N214),"diff", MAX(Instances!N214:Instances!N214)-MIN(Instances!N214:Instances!N214))</f>
        <v>0</v>
      </c>
      <c r="O214" s="1"/>
      <c r="P214" s="1" cm="1">
        <f t="array" ref="P214">_xlfn.SWITCH($A$2,"average", AVERAGE(Instances!P214:Instances!P214),"median", MEDIAN(Instances!P214:Instances!P214),"min", MIN(Instances!P214:Instances!P214),"max", MAX(Instances!P214:Instances!P214),"diff", MAX(Instances!P214:Instances!P214)-MIN(Instances!P214:Instances!P214))</f>
        <v>0</v>
      </c>
      <c r="Q214" s="1" cm="1">
        <f t="array" ref="Q214">_xlfn.SWITCH($A$2,"average", AVERAGE(Instances!Q214:Instances!Q214),"median", MEDIAN(Instances!Q214:Instances!Q214),"min", MIN(Instances!Q214:Instances!Q214),"max", MAX(Instances!Q214:Instances!Q214),"diff", MAX(Instances!Q214:Instances!Q214)-MIN(Instances!Q214:Instances!Q214))</f>
        <v>0</v>
      </c>
      <c r="R214" s="1" cm="1">
        <f t="array" ref="R214">_xlfn.SWITCH($A$2,"average", AVERAGE(Instances!R214:Instances!R214),"median", MEDIAN(Instances!R214:Instances!R214),"min", MIN(Instances!R214:Instances!R214),"max", MAX(Instances!R214:Instances!R214),"diff", MAX(Instances!R214:Instances!R214)-MIN(Instances!R214:Instances!R214))</f>
        <v>0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 cm="1">
        <f t="array" ref="B215">_xlfn.SWITCH($A$2,"average", AVERAGE(Instances!B215:Instances!B215),"median", MEDIAN(Instances!B215:Instances!B215),"min", MIN(Instances!B215:Instances!B215),"max", MAX(Instances!B215:Instances!B215),"diff", MAX(Instances!B215:Instances!B215)-MIN(Instances!B215:Instances!B215))</f>
        <v>0</v>
      </c>
      <c r="C215" s="1" cm="1">
        <f t="array" ref="C215">_xlfn.SWITCH($A$2,"average", AVERAGE(Instances!C215:Instances!C215),"median", MEDIAN(Instances!C215:Instances!C215),"min", MIN(Instances!C215:Instances!C215),"max", MAX(Instances!C215:Instances!C215),"diff", MAX(Instances!C215:Instances!C215)-MIN(Instances!C215:Instances!C215))</f>
        <v>0</v>
      </c>
      <c r="D215" s="1" cm="1">
        <f t="array" ref="D215">_xlfn.SWITCH($A$2,"average", AVERAGE(Instances!D215:Instances!D215),"median", MEDIAN(Instances!D215:Instances!D215),"min", MIN(Instances!D215:Instances!D215),"max", MAX(Instances!D215:Instances!D215),"diff", MAX(Instances!D215:Instances!D215)-MIN(Instances!D215:Instances!D215))</f>
        <v>0</v>
      </c>
      <c r="E215" s="1" cm="1">
        <f t="array" ref="E215">_xlfn.SWITCH($A$2,"average", AVERAGE(Instances!E215:Instances!E215),"median", MEDIAN(Instances!E215:Instances!E215),"min", MIN(Instances!E215:Instances!E215),"max", MAX(Instances!E215:Instances!E215),"diff", MAX(Instances!E215:Instances!E215)-MIN(Instances!E215:Instances!E215))</f>
        <v>0</v>
      </c>
      <c r="F215" s="1" cm="1">
        <f t="array" ref="F215">_xlfn.SWITCH($A$2,"average", AVERAGE(Instances!F215:Instances!F215),"median", MEDIAN(Instances!F215:Instances!F215),"min", MIN(Instances!F215:Instances!F215),"max", MAX(Instances!F215:Instances!F215),"diff", MAX(Instances!F215:Instances!F215)-MIN(Instances!F215:Instances!F215))</f>
        <v>0</v>
      </c>
      <c r="G215" s="1" cm="1">
        <f t="array" ref="G215">_xlfn.SWITCH($A$2,"average", AVERAGE(Instances!G215:Instances!G215),"median", MEDIAN(Instances!G215:Instances!G215),"min", MIN(Instances!G215:Instances!G215),"max", MAX(Instances!G215:Instances!G215),"diff", MAX(Instances!G215:Instances!G215)-MIN(Instances!G215:Instances!G215))</f>
        <v>0</v>
      </c>
      <c r="H215" s="1" cm="1">
        <f t="array" ref="H215">_xlfn.SWITCH($A$2,"average", AVERAGE(Instances!H215:Instances!H215),"median", MEDIAN(Instances!H215:Instances!H215),"min", MIN(Instances!H215:Instances!H215),"max", MAX(Instances!H215:Instances!H215),"diff", MAX(Instances!H215:Instances!H215)-MIN(Instances!H215:Instances!H215))</f>
        <v>0</v>
      </c>
      <c r="I215" s="1" cm="1">
        <f t="array" ref="I215">_xlfn.SWITCH($A$2,"average", AVERAGE(Instances!I215:Instances!I215),"median", MEDIAN(Instances!I215:Instances!I215),"min", MIN(Instances!I215:Instances!I215),"max", MAX(Instances!I215:Instances!I215),"diff", MAX(Instances!I215:Instances!I215)-MIN(Instances!I215:Instances!I215))</f>
        <v>0</v>
      </c>
      <c r="J215" s="1" cm="1">
        <f t="array" ref="J215">_xlfn.SWITCH($A$2,"average", AVERAGE(Instances!J215:Instances!J215),"median", MEDIAN(Instances!J215:Instances!J215),"min", MIN(Instances!J215:Instances!J215),"max", MAX(Instances!J215:Instances!J215),"diff", MAX(Instances!J215:Instances!J215)-MIN(Instances!J215:Instances!J215))</f>
        <v>0</v>
      </c>
      <c r="K215" s="1" cm="1">
        <f t="array" ref="K215">_xlfn.SWITCH($A$2,"average", AVERAGE(Instances!K215:Instances!K215),"median", MEDIAN(Instances!K215:Instances!K215),"min", MIN(Instances!K215:Instances!K215),"max", MAX(Instances!K215:Instances!K215),"diff", MAX(Instances!K215:Instances!K215)-MIN(Instances!K215:Instances!K215))</f>
        <v>0</v>
      </c>
      <c r="L215" s="1"/>
      <c r="M215" s="1" cm="1">
        <f t="array" ref="M215">_xlfn.SWITCH($A$2,"average", AVERAGE(Instances!M215:Instances!M215),"median", MEDIAN(Instances!M215:Instances!M215),"min", MIN(Instances!M215:Instances!M215),"max", MAX(Instances!M215:Instances!M215),"diff", MAX(Instances!M215:Instances!M215)-MIN(Instances!M215:Instances!M215))</f>
        <v>0</v>
      </c>
      <c r="N215" s="1" cm="1">
        <f t="array" ref="N215">_xlfn.SWITCH($A$2,"average", AVERAGE(Instances!N215:Instances!N215),"median", MEDIAN(Instances!N215:Instances!N215),"min", MIN(Instances!N215:Instances!N215),"max", MAX(Instances!N215:Instances!N215),"diff", MAX(Instances!N215:Instances!N215)-MIN(Instances!N215:Instances!N215))</f>
        <v>0</v>
      </c>
      <c r="O215" s="1"/>
      <c r="P215" s="1" cm="1">
        <f t="array" ref="P215">_xlfn.SWITCH($A$2,"average", AVERAGE(Instances!P215:Instances!P215),"median", MEDIAN(Instances!P215:Instances!P215),"min", MIN(Instances!P215:Instances!P215),"max", MAX(Instances!P215:Instances!P215),"diff", MAX(Instances!P215:Instances!P215)-MIN(Instances!P215:Instances!P215))</f>
        <v>0</v>
      </c>
      <c r="Q215" s="1" cm="1">
        <f t="array" ref="Q215">_xlfn.SWITCH($A$2,"average", AVERAGE(Instances!Q215:Instances!Q215),"median", MEDIAN(Instances!Q215:Instances!Q215),"min", MIN(Instances!Q215:Instances!Q215),"max", MAX(Instances!Q215:Instances!Q215),"diff", MAX(Instances!Q215:Instances!Q215)-MIN(Instances!Q215:Instances!Q215))</f>
        <v>0</v>
      </c>
      <c r="R215" s="1" cm="1">
        <f t="array" ref="R215">_xlfn.SWITCH($A$2,"average", AVERAGE(Instances!R215:Instances!R215),"median", MEDIAN(Instances!R215:Instances!R215),"min", MIN(Instances!R215:Instances!R215),"max", MAX(Instances!R215:Instances!R215),"diff", MAX(Instances!R215:Instances!R215)-MIN(Instances!R215:Instances!R215))</f>
        <v>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 cm="1">
        <f t="array" ref="B216">_xlfn.SWITCH($A$2,"average", AVERAGE(Instances!B216:Instances!B216),"median", MEDIAN(Instances!B216:Instances!B216),"min", MIN(Instances!B216:Instances!B216),"max", MAX(Instances!B216:Instances!B216),"diff", MAX(Instances!B216:Instances!B216)-MIN(Instances!B216:Instances!B216))</f>
        <v>0</v>
      </c>
      <c r="C216" s="1" cm="1">
        <f t="array" ref="C216">_xlfn.SWITCH($A$2,"average", AVERAGE(Instances!C216:Instances!C216),"median", MEDIAN(Instances!C216:Instances!C216),"min", MIN(Instances!C216:Instances!C216),"max", MAX(Instances!C216:Instances!C216),"diff", MAX(Instances!C216:Instances!C216)-MIN(Instances!C216:Instances!C216))</f>
        <v>0</v>
      </c>
      <c r="D216" s="1" cm="1">
        <f t="array" ref="D216">_xlfn.SWITCH($A$2,"average", AVERAGE(Instances!D216:Instances!D216),"median", MEDIAN(Instances!D216:Instances!D216),"min", MIN(Instances!D216:Instances!D216),"max", MAX(Instances!D216:Instances!D216),"diff", MAX(Instances!D216:Instances!D216)-MIN(Instances!D216:Instances!D216))</f>
        <v>0</v>
      </c>
      <c r="E216" s="1" cm="1">
        <f t="array" ref="E216">_xlfn.SWITCH($A$2,"average", AVERAGE(Instances!E216:Instances!E216),"median", MEDIAN(Instances!E216:Instances!E216),"min", MIN(Instances!E216:Instances!E216),"max", MAX(Instances!E216:Instances!E216),"diff", MAX(Instances!E216:Instances!E216)-MIN(Instances!E216:Instances!E216))</f>
        <v>0</v>
      </c>
      <c r="F216" s="1" cm="1">
        <f t="array" ref="F216">_xlfn.SWITCH($A$2,"average", AVERAGE(Instances!F216:Instances!F216),"median", MEDIAN(Instances!F216:Instances!F216),"min", MIN(Instances!F216:Instances!F216),"max", MAX(Instances!F216:Instances!F216),"diff", MAX(Instances!F216:Instances!F216)-MIN(Instances!F216:Instances!F216))</f>
        <v>0</v>
      </c>
      <c r="G216" s="1" cm="1">
        <f t="array" ref="G216">_xlfn.SWITCH($A$2,"average", AVERAGE(Instances!G216:Instances!G216),"median", MEDIAN(Instances!G216:Instances!G216),"min", MIN(Instances!G216:Instances!G216),"max", MAX(Instances!G216:Instances!G216),"diff", MAX(Instances!G216:Instances!G216)-MIN(Instances!G216:Instances!G216))</f>
        <v>0</v>
      </c>
      <c r="H216" s="1" cm="1">
        <f t="array" ref="H216">_xlfn.SWITCH($A$2,"average", AVERAGE(Instances!H216:Instances!H216),"median", MEDIAN(Instances!H216:Instances!H216),"min", MIN(Instances!H216:Instances!H216),"max", MAX(Instances!H216:Instances!H216),"diff", MAX(Instances!H216:Instances!H216)-MIN(Instances!H216:Instances!H216))</f>
        <v>0</v>
      </c>
      <c r="I216" s="1" cm="1">
        <f t="array" ref="I216">_xlfn.SWITCH($A$2,"average", AVERAGE(Instances!I216:Instances!I216),"median", MEDIAN(Instances!I216:Instances!I216),"min", MIN(Instances!I216:Instances!I216),"max", MAX(Instances!I216:Instances!I216),"diff", MAX(Instances!I216:Instances!I216)-MIN(Instances!I216:Instances!I216))</f>
        <v>0</v>
      </c>
      <c r="J216" s="1" cm="1">
        <f t="array" ref="J216">_xlfn.SWITCH($A$2,"average", AVERAGE(Instances!J216:Instances!J216),"median", MEDIAN(Instances!J216:Instances!J216),"min", MIN(Instances!J216:Instances!J216),"max", MAX(Instances!J216:Instances!J216),"diff", MAX(Instances!J216:Instances!J216)-MIN(Instances!J216:Instances!J216))</f>
        <v>0</v>
      </c>
      <c r="K216" s="1" cm="1">
        <f t="array" ref="K216">_xlfn.SWITCH($A$2,"average", AVERAGE(Instances!K216:Instances!K216),"median", MEDIAN(Instances!K216:Instances!K216),"min", MIN(Instances!K216:Instances!K216),"max", MAX(Instances!K216:Instances!K216),"diff", MAX(Instances!K216:Instances!K216)-MIN(Instances!K216:Instances!K216))</f>
        <v>0</v>
      </c>
      <c r="L216" s="1"/>
      <c r="M216" s="1" cm="1">
        <f t="array" ref="M216">_xlfn.SWITCH($A$2,"average", AVERAGE(Instances!M216:Instances!M216),"median", MEDIAN(Instances!M216:Instances!M216),"min", MIN(Instances!M216:Instances!M216),"max", MAX(Instances!M216:Instances!M216),"diff", MAX(Instances!M216:Instances!M216)-MIN(Instances!M216:Instances!M216))</f>
        <v>0</v>
      </c>
      <c r="N216" s="1" cm="1">
        <f t="array" ref="N216">_xlfn.SWITCH($A$2,"average", AVERAGE(Instances!N216:Instances!N216),"median", MEDIAN(Instances!N216:Instances!N216),"min", MIN(Instances!N216:Instances!N216),"max", MAX(Instances!N216:Instances!N216),"diff", MAX(Instances!N216:Instances!N216)-MIN(Instances!N216:Instances!N216))</f>
        <v>0</v>
      </c>
      <c r="O216" s="1"/>
      <c r="P216" s="1" cm="1">
        <f t="array" ref="P216">_xlfn.SWITCH($A$2,"average", AVERAGE(Instances!P216:Instances!P216),"median", MEDIAN(Instances!P216:Instances!P216),"min", MIN(Instances!P216:Instances!P216),"max", MAX(Instances!P216:Instances!P216),"diff", MAX(Instances!P216:Instances!P216)-MIN(Instances!P216:Instances!P216))</f>
        <v>0</v>
      </c>
      <c r="Q216" s="1" cm="1">
        <f t="array" ref="Q216">_xlfn.SWITCH($A$2,"average", AVERAGE(Instances!Q216:Instances!Q216),"median", MEDIAN(Instances!Q216:Instances!Q216),"min", MIN(Instances!Q216:Instances!Q216),"max", MAX(Instances!Q216:Instances!Q216),"diff", MAX(Instances!Q216:Instances!Q216)-MIN(Instances!Q216:Instances!Q216))</f>
        <v>0</v>
      </c>
      <c r="R216" s="1" cm="1">
        <f t="array" ref="R216">_xlfn.SWITCH($A$2,"average", AVERAGE(Instances!R216:Instances!R216),"median", MEDIAN(Instances!R216:Instances!R216),"min", MIN(Instances!R216:Instances!R216),"max", MAX(Instances!R216:Instances!R216),"diff", MAX(Instances!R216:Instances!R216)-MIN(Instances!R216:Instances!R216))</f>
        <v>0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 cm="1">
        <f t="array" ref="B217">_xlfn.SWITCH($A$2,"average", AVERAGE(Instances!B217:Instances!B217),"median", MEDIAN(Instances!B217:Instances!B217),"min", MIN(Instances!B217:Instances!B217),"max", MAX(Instances!B217:Instances!B217),"diff", MAX(Instances!B217:Instances!B217)-MIN(Instances!B217:Instances!B217))</f>
        <v>0</v>
      </c>
      <c r="C217" s="1" cm="1">
        <f t="array" ref="C217">_xlfn.SWITCH($A$2,"average", AVERAGE(Instances!C217:Instances!C217),"median", MEDIAN(Instances!C217:Instances!C217),"min", MIN(Instances!C217:Instances!C217),"max", MAX(Instances!C217:Instances!C217),"diff", MAX(Instances!C217:Instances!C217)-MIN(Instances!C217:Instances!C217))</f>
        <v>0</v>
      </c>
      <c r="D217" s="1" cm="1">
        <f t="array" ref="D217">_xlfn.SWITCH($A$2,"average", AVERAGE(Instances!D217:Instances!D217),"median", MEDIAN(Instances!D217:Instances!D217),"min", MIN(Instances!D217:Instances!D217),"max", MAX(Instances!D217:Instances!D217),"diff", MAX(Instances!D217:Instances!D217)-MIN(Instances!D217:Instances!D217))</f>
        <v>0</v>
      </c>
      <c r="E217" s="1" cm="1">
        <f t="array" ref="E217">_xlfn.SWITCH($A$2,"average", AVERAGE(Instances!E217:Instances!E217),"median", MEDIAN(Instances!E217:Instances!E217),"min", MIN(Instances!E217:Instances!E217),"max", MAX(Instances!E217:Instances!E217),"diff", MAX(Instances!E217:Instances!E217)-MIN(Instances!E217:Instances!E217))</f>
        <v>0</v>
      </c>
      <c r="F217" s="1" cm="1">
        <f t="array" ref="F217">_xlfn.SWITCH($A$2,"average", AVERAGE(Instances!F217:Instances!F217),"median", MEDIAN(Instances!F217:Instances!F217),"min", MIN(Instances!F217:Instances!F217),"max", MAX(Instances!F217:Instances!F217),"diff", MAX(Instances!F217:Instances!F217)-MIN(Instances!F217:Instances!F217))</f>
        <v>0</v>
      </c>
      <c r="G217" s="1" cm="1">
        <f t="array" ref="G217">_xlfn.SWITCH($A$2,"average", AVERAGE(Instances!G217:Instances!G217),"median", MEDIAN(Instances!G217:Instances!G217),"min", MIN(Instances!G217:Instances!G217),"max", MAX(Instances!G217:Instances!G217),"diff", MAX(Instances!G217:Instances!G217)-MIN(Instances!G217:Instances!G217))</f>
        <v>0</v>
      </c>
      <c r="H217" s="1" cm="1">
        <f t="array" ref="H217">_xlfn.SWITCH($A$2,"average", AVERAGE(Instances!H217:Instances!H217),"median", MEDIAN(Instances!H217:Instances!H217),"min", MIN(Instances!H217:Instances!H217),"max", MAX(Instances!H217:Instances!H217),"diff", MAX(Instances!H217:Instances!H217)-MIN(Instances!H217:Instances!H217))</f>
        <v>0</v>
      </c>
      <c r="I217" s="1" cm="1">
        <f t="array" ref="I217">_xlfn.SWITCH($A$2,"average", AVERAGE(Instances!I217:Instances!I217),"median", MEDIAN(Instances!I217:Instances!I217),"min", MIN(Instances!I217:Instances!I217),"max", MAX(Instances!I217:Instances!I217),"diff", MAX(Instances!I217:Instances!I217)-MIN(Instances!I217:Instances!I217))</f>
        <v>0</v>
      </c>
      <c r="J217" s="1" cm="1">
        <f t="array" ref="J217">_xlfn.SWITCH($A$2,"average", AVERAGE(Instances!J217:Instances!J217),"median", MEDIAN(Instances!J217:Instances!J217),"min", MIN(Instances!J217:Instances!J217),"max", MAX(Instances!J217:Instances!J217),"diff", MAX(Instances!J217:Instances!J217)-MIN(Instances!J217:Instances!J217))</f>
        <v>0</v>
      </c>
      <c r="K217" s="1" cm="1">
        <f t="array" ref="K217">_xlfn.SWITCH($A$2,"average", AVERAGE(Instances!K217:Instances!K217),"median", MEDIAN(Instances!K217:Instances!K217),"min", MIN(Instances!K217:Instances!K217),"max", MAX(Instances!K217:Instances!K217),"diff", MAX(Instances!K217:Instances!K217)-MIN(Instances!K217:Instances!K217))</f>
        <v>0</v>
      </c>
      <c r="L217" s="1"/>
      <c r="M217" s="1" cm="1">
        <f t="array" ref="M217">_xlfn.SWITCH($A$2,"average", AVERAGE(Instances!M217:Instances!M217),"median", MEDIAN(Instances!M217:Instances!M217),"min", MIN(Instances!M217:Instances!M217),"max", MAX(Instances!M217:Instances!M217),"diff", MAX(Instances!M217:Instances!M217)-MIN(Instances!M217:Instances!M217))</f>
        <v>0</v>
      </c>
      <c r="N217" s="1" cm="1">
        <f t="array" ref="N217">_xlfn.SWITCH($A$2,"average", AVERAGE(Instances!N217:Instances!N217),"median", MEDIAN(Instances!N217:Instances!N217),"min", MIN(Instances!N217:Instances!N217),"max", MAX(Instances!N217:Instances!N217),"diff", MAX(Instances!N217:Instances!N217)-MIN(Instances!N217:Instances!N217))</f>
        <v>0</v>
      </c>
      <c r="O217" s="1"/>
      <c r="P217" s="1" cm="1">
        <f t="array" ref="P217">_xlfn.SWITCH($A$2,"average", AVERAGE(Instances!P217:Instances!P217),"median", MEDIAN(Instances!P217:Instances!P217),"min", MIN(Instances!P217:Instances!P217),"max", MAX(Instances!P217:Instances!P217),"diff", MAX(Instances!P217:Instances!P217)-MIN(Instances!P217:Instances!P217))</f>
        <v>0</v>
      </c>
      <c r="Q217" s="1" cm="1">
        <f t="array" ref="Q217">_xlfn.SWITCH($A$2,"average", AVERAGE(Instances!Q217:Instances!Q217),"median", MEDIAN(Instances!Q217:Instances!Q217),"min", MIN(Instances!Q217:Instances!Q217),"max", MAX(Instances!Q217:Instances!Q217),"diff", MAX(Instances!Q217:Instances!Q217)-MIN(Instances!Q217:Instances!Q217))</f>
        <v>0</v>
      </c>
      <c r="R217" s="1" cm="1">
        <f t="array" ref="R217">_xlfn.SWITCH($A$2,"average", AVERAGE(Instances!R217:Instances!R217),"median", MEDIAN(Instances!R217:Instances!R217),"min", MIN(Instances!R217:Instances!R217),"max", MAX(Instances!R217:Instances!R217),"diff", MAX(Instances!R217:Instances!R217)-MIN(Instances!R217:Instances!R217))</f>
        <v>0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 cm="1">
        <f t="array" ref="B218">_xlfn.SWITCH($A$2,"average", AVERAGE(Instances!B218:Instances!B218),"median", MEDIAN(Instances!B218:Instances!B218),"min", MIN(Instances!B218:Instances!B218),"max", MAX(Instances!B218:Instances!B218),"diff", MAX(Instances!B218:Instances!B218)-MIN(Instances!B218:Instances!B218))</f>
        <v>0</v>
      </c>
      <c r="C218" s="1" cm="1">
        <f t="array" ref="C218">_xlfn.SWITCH($A$2,"average", AVERAGE(Instances!C218:Instances!C218),"median", MEDIAN(Instances!C218:Instances!C218),"min", MIN(Instances!C218:Instances!C218),"max", MAX(Instances!C218:Instances!C218),"diff", MAX(Instances!C218:Instances!C218)-MIN(Instances!C218:Instances!C218))</f>
        <v>0</v>
      </c>
      <c r="D218" s="1" cm="1">
        <f t="array" ref="D218">_xlfn.SWITCH($A$2,"average", AVERAGE(Instances!D218:Instances!D218),"median", MEDIAN(Instances!D218:Instances!D218),"min", MIN(Instances!D218:Instances!D218),"max", MAX(Instances!D218:Instances!D218),"diff", MAX(Instances!D218:Instances!D218)-MIN(Instances!D218:Instances!D218))</f>
        <v>0</v>
      </c>
      <c r="E218" s="1" cm="1">
        <f t="array" ref="E218">_xlfn.SWITCH($A$2,"average", AVERAGE(Instances!E218:Instances!E218),"median", MEDIAN(Instances!E218:Instances!E218),"min", MIN(Instances!E218:Instances!E218),"max", MAX(Instances!E218:Instances!E218),"diff", MAX(Instances!E218:Instances!E218)-MIN(Instances!E218:Instances!E218))</f>
        <v>0</v>
      </c>
      <c r="F218" s="1" cm="1">
        <f t="array" ref="F218">_xlfn.SWITCH($A$2,"average", AVERAGE(Instances!F218:Instances!F218),"median", MEDIAN(Instances!F218:Instances!F218),"min", MIN(Instances!F218:Instances!F218),"max", MAX(Instances!F218:Instances!F218),"diff", MAX(Instances!F218:Instances!F218)-MIN(Instances!F218:Instances!F218))</f>
        <v>0</v>
      </c>
      <c r="G218" s="1" cm="1">
        <f t="array" ref="G218">_xlfn.SWITCH($A$2,"average", AVERAGE(Instances!G218:Instances!G218),"median", MEDIAN(Instances!G218:Instances!G218),"min", MIN(Instances!G218:Instances!G218),"max", MAX(Instances!G218:Instances!G218),"diff", MAX(Instances!G218:Instances!G218)-MIN(Instances!G218:Instances!G218))</f>
        <v>0</v>
      </c>
      <c r="H218" s="1" cm="1">
        <f t="array" ref="H218">_xlfn.SWITCH($A$2,"average", AVERAGE(Instances!H218:Instances!H218),"median", MEDIAN(Instances!H218:Instances!H218),"min", MIN(Instances!H218:Instances!H218),"max", MAX(Instances!H218:Instances!H218),"diff", MAX(Instances!H218:Instances!H218)-MIN(Instances!H218:Instances!H218))</f>
        <v>0</v>
      </c>
      <c r="I218" s="1" cm="1">
        <f t="array" ref="I218">_xlfn.SWITCH($A$2,"average", AVERAGE(Instances!I218:Instances!I218),"median", MEDIAN(Instances!I218:Instances!I218),"min", MIN(Instances!I218:Instances!I218),"max", MAX(Instances!I218:Instances!I218),"diff", MAX(Instances!I218:Instances!I218)-MIN(Instances!I218:Instances!I218))</f>
        <v>0</v>
      </c>
      <c r="J218" s="1" cm="1">
        <f t="array" ref="J218">_xlfn.SWITCH($A$2,"average", AVERAGE(Instances!J218:Instances!J218),"median", MEDIAN(Instances!J218:Instances!J218),"min", MIN(Instances!J218:Instances!J218),"max", MAX(Instances!J218:Instances!J218),"diff", MAX(Instances!J218:Instances!J218)-MIN(Instances!J218:Instances!J218))</f>
        <v>0</v>
      </c>
      <c r="K218" s="1" cm="1">
        <f t="array" ref="K218">_xlfn.SWITCH($A$2,"average", AVERAGE(Instances!K218:Instances!K218),"median", MEDIAN(Instances!K218:Instances!K218),"min", MIN(Instances!K218:Instances!K218),"max", MAX(Instances!K218:Instances!K218),"diff", MAX(Instances!K218:Instances!K218)-MIN(Instances!K218:Instances!K218))</f>
        <v>0</v>
      </c>
      <c r="L218" s="1"/>
      <c r="M218" s="1" cm="1">
        <f t="array" ref="M218">_xlfn.SWITCH($A$2,"average", AVERAGE(Instances!M218:Instances!M218),"median", MEDIAN(Instances!M218:Instances!M218),"min", MIN(Instances!M218:Instances!M218),"max", MAX(Instances!M218:Instances!M218),"diff", MAX(Instances!M218:Instances!M218)-MIN(Instances!M218:Instances!M218))</f>
        <v>0</v>
      </c>
      <c r="N218" s="1" cm="1">
        <f t="array" ref="N218">_xlfn.SWITCH($A$2,"average", AVERAGE(Instances!N218:Instances!N218),"median", MEDIAN(Instances!N218:Instances!N218),"min", MIN(Instances!N218:Instances!N218),"max", MAX(Instances!N218:Instances!N218),"diff", MAX(Instances!N218:Instances!N218)-MIN(Instances!N218:Instances!N218))</f>
        <v>0</v>
      </c>
      <c r="O218" s="1"/>
      <c r="P218" s="1" cm="1">
        <f t="array" ref="P218">_xlfn.SWITCH($A$2,"average", AVERAGE(Instances!P218:Instances!P218),"median", MEDIAN(Instances!P218:Instances!P218),"min", MIN(Instances!P218:Instances!P218),"max", MAX(Instances!P218:Instances!P218),"diff", MAX(Instances!P218:Instances!P218)-MIN(Instances!P218:Instances!P218))</f>
        <v>0</v>
      </c>
      <c r="Q218" s="1" cm="1">
        <f t="array" ref="Q218">_xlfn.SWITCH($A$2,"average", AVERAGE(Instances!Q218:Instances!Q218),"median", MEDIAN(Instances!Q218:Instances!Q218),"min", MIN(Instances!Q218:Instances!Q218),"max", MAX(Instances!Q218:Instances!Q218),"diff", MAX(Instances!Q218:Instances!Q218)-MIN(Instances!Q218:Instances!Q218))</f>
        <v>0</v>
      </c>
      <c r="R218" s="1" cm="1">
        <f t="array" ref="R218">_xlfn.SWITCH($A$2,"average", AVERAGE(Instances!R218:Instances!R218),"median", MEDIAN(Instances!R218:Instances!R218),"min", MIN(Instances!R218:Instances!R218),"max", MAX(Instances!R218:Instances!R218),"diff", MAX(Instances!R218:Instances!R218)-MIN(Instances!R218:Instances!R218))</f>
        <v>0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 cm="1">
        <f t="array" ref="B219">_xlfn.SWITCH($A$2,"average", AVERAGE(Instances!B219:Instances!B219),"median", MEDIAN(Instances!B219:Instances!B219),"min", MIN(Instances!B219:Instances!B219),"max", MAX(Instances!B219:Instances!B219),"diff", MAX(Instances!B219:Instances!B219)-MIN(Instances!B219:Instances!B219))</f>
        <v>0</v>
      </c>
      <c r="C219" s="1" cm="1">
        <f t="array" ref="C219">_xlfn.SWITCH($A$2,"average", AVERAGE(Instances!C219:Instances!C219),"median", MEDIAN(Instances!C219:Instances!C219),"min", MIN(Instances!C219:Instances!C219),"max", MAX(Instances!C219:Instances!C219),"diff", MAX(Instances!C219:Instances!C219)-MIN(Instances!C219:Instances!C219))</f>
        <v>0</v>
      </c>
      <c r="D219" s="1" cm="1">
        <f t="array" ref="D219">_xlfn.SWITCH($A$2,"average", AVERAGE(Instances!D219:Instances!D219),"median", MEDIAN(Instances!D219:Instances!D219),"min", MIN(Instances!D219:Instances!D219),"max", MAX(Instances!D219:Instances!D219),"diff", MAX(Instances!D219:Instances!D219)-MIN(Instances!D219:Instances!D219))</f>
        <v>0</v>
      </c>
      <c r="E219" s="1" cm="1">
        <f t="array" ref="E219">_xlfn.SWITCH($A$2,"average", AVERAGE(Instances!E219:Instances!E219),"median", MEDIAN(Instances!E219:Instances!E219),"min", MIN(Instances!E219:Instances!E219),"max", MAX(Instances!E219:Instances!E219),"diff", MAX(Instances!E219:Instances!E219)-MIN(Instances!E219:Instances!E219))</f>
        <v>0</v>
      </c>
      <c r="F219" s="1" cm="1">
        <f t="array" ref="F219">_xlfn.SWITCH($A$2,"average", AVERAGE(Instances!F219:Instances!F219),"median", MEDIAN(Instances!F219:Instances!F219),"min", MIN(Instances!F219:Instances!F219),"max", MAX(Instances!F219:Instances!F219),"diff", MAX(Instances!F219:Instances!F219)-MIN(Instances!F219:Instances!F219))</f>
        <v>0</v>
      </c>
      <c r="G219" s="1" cm="1">
        <f t="array" ref="G219">_xlfn.SWITCH($A$2,"average", AVERAGE(Instances!G219:Instances!G219),"median", MEDIAN(Instances!G219:Instances!G219),"min", MIN(Instances!G219:Instances!G219),"max", MAX(Instances!G219:Instances!G219),"diff", MAX(Instances!G219:Instances!G219)-MIN(Instances!G219:Instances!G219))</f>
        <v>0</v>
      </c>
      <c r="H219" s="1" cm="1">
        <f t="array" ref="H219">_xlfn.SWITCH($A$2,"average", AVERAGE(Instances!H219:Instances!H219),"median", MEDIAN(Instances!H219:Instances!H219),"min", MIN(Instances!H219:Instances!H219),"max", MAX(Instances!H219:Instances!H219),"diff", MAX(Instances!H219:Instances!H219)-MIN(Instances!H219:Instances!H219))</f>
        <v>0</v>
      </c>
      <c r="I219" s="1" cm="1">
        <f t="array" ref="I219">_xlfn.SWITCH($A$2,"average", AVERAGE(Instances!I219:Instances!I219),"median", MEDIAN(Instances!I219:Instances!I219),"min", MIN(Instances!I219:Instances!I219),"max", MAX(Instances!I219:Instances!I219),"diff", MAX(Instances!I219:Instances!I219)-MIN(Instances!I219:Instances!I219))</f>
        <v>0</v>
      </c>
      <c r="J219" s="1" cm="1">
        <f t="array" ref="J219">_xlfn.SWITCH($A$2,"average", AVERAGE(Instances!J219:Instances!J219),"median", MEDIAN(Instances!J219:Instances!J219),"min", MIN(Instances!J219:Instances!J219),"max", MAX(Instances!J219:Instances!J219),"diff", MAX(Instances!J219:Instances!J219)-MIN(Instances!J219:Instances!J219))</f>
        <v>0</v>
      </c>
      <c r="K219" s="1" cm="1">
        <f t="array" ref="K219">_xlfn.SWITCH($A$2,"average", AVERAGE(Instances!K219:Instances!K219),"median", MEDIAN(Instances!K219:Instances!K219),"min", MIN(Instances!K219:Instances!K219),"max", MAX(Instances!K219:Instances!K219),"diff", MAX(Instances!K219:Instances!K219)-MIN(Instances!K219:Instances!K219))</f>
        <v>0</v>
      </c>
      <c r="L219" s="1"/>
      <c r="M219" s="1" cm="1">
        <f t="array" ref="M219">_xlfn.SWITCH($A$2,"average", AVERAGE(Instances!M219:Instances!M219),"median", MEDIAN(Instances!M219:Instances!M219),"min", MIN(Instances!M219:Instances!M219),"max", MAX(Instances!M219:Instances!M219),"diff", MAX(Instances!M219:Instances!M219)-MIN(Instances!M219:Instances!M219))</f>
        <v>0</v>
      </c>
      <c r="N219" s="1" cm="1">
        <f t="array" ref="N219">_xlfn.SWITCH($A$2,"average", AVERAGE(Instances!N219:Instances!N219),"median", MEDIAN(Instances!N219:Instances!N219),"min", MIN(Instances!N219:Instances!N219),"max", MAX(Instances!N219:Instances!N219),"diff", MAX(Instances!N219:Instances!N219)-MIN(Instances!N219:Instances!N219))</f>
        <v>0</v>
      </c>
      <c r="O219" s="1"/>
      <c r="P219" s="1" cm="1">
        <f t="array" ref="P219">_xlfn.SWITCH($A$2,"average", AVERAGE(Instances!P219:Instances!P219),"median", MEDIAN(Instances!P219:Instances!P219),"min", MIN(Instances!P219:Instances!P219),"max", MAX(Instances!P219:Instances!P219),"diff", MAX(Instances!P219:Instances!P219)-MIN(Instances!P219:Instances!P219))</f>
        <v>0</v>
      </c>
      <c r="Q219" s="1" cm="1">
        <f t="array" ref="Q219">_xlfn.SWITCH($A$2,"average", AVERAGE(Instances!Q219:Instances!Q219),"median", MEDIAN(Instances!Q219:Instances!Q219),"min", MIN(Instances!Q219:Instances!Q219),"max", MAX(Instances!Q219:Instances!Q219),"diff", MAX(Instances!Q219:Instances!Q219)-MIN(Instances!Q219:Instances!Q219))</f>
        <v>0</v>
      </c>
      <c r="R219" s="1" cm="1">
        <f t="array" ref="R219">_xlfn.SWITCH($A$2,"average", AVERAGE(Instances!R219:Instances!R219),"median", MEDIAN(Instances!R219:Instances!R219),"min", MIN(Instances!R219:Instances!R219),"max", MAX(Instances!R219:Instances!R219),"diff", MAX(Instances!R219:Instances!R219)-MIN(Instances!R219:Instances!R219))</f>
        <v>0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 cm="1">
        <f t="array" ref="B220">_xlfn.SWITCH($A$2,"average", AVERAGE(Instances!B220:Instances!B220),"median", MEDIAN(Instances!B220:Instances!B220),"min", MIN(Instances!B220:Instances!B220),"max", MAX(Instances!B220:Instances!B220),"diff", MAX(Instances!B220:Instances!B220)-MIN(Instances!B220:Instances!B220))</f>
        <v>0</v>
      </c>
      <c r="C220" s="1" cm="1">
        <f t="array" ref="C220">_xlfn.SWITCH($A$2,"average", AVERAGE(Instances!C220:Instances!C220),"median", MEDIAN(Instances!C220:Instances!C220),"min", MIN(Instances!C220:Instances!C220),"max", MAX(Instances!C220:Instances!C220),"diff", MAX(Instances!C220:Instances!C220)-MIN(Instances!C220:Instances!C220))</f>
        <v>0</v>
      </c>
      <c r="D220" s="1" cm="1">
        <f t="array" ref="D220">_xlfn.SWITCH($A$2,"average", AVERAGE(Instances!D220:Instances!D220),"median", MEDIAN(Instances!D220:Instances!D220),"min", MIN(Instances!D220:Instances!D220),"max", MAX(Instances!D220:Instances!D220),"diff", MAX(Instances!D220:Instances!D220)-MIN(Instances!D220:Instances!D220))</f>
        <v>0</v>
      </c>
      <c r="E220" s="1" cm="1">
        <f t="array" ref="E220">_xlfn.SWITCH($A$2,"average", AVERAGE(Instances!E220:Instances!E220),"median", MEDIAN(Instances!E220:Instances!E220),"min", MIN(Instances!E220:Instances!E220),"max", MAX(Instances!E220:Instances!E220),"diff", MAX(Instances!E220:Instances!E220)-MIN(Instances!E220:Instances!E220))</f>
        <v>0</v>
      </c>
      <c r="F220" s="1" cm="1">
        <f t="array" ref="F220">_xlfn.SWITCH($A$2,"average", AVERAGE(Instances!F220:Instances!F220),"median", MEDIAN(Instances!F220:Instances!F220),"min", MIN(Instances!F220:Instances!F220),"max", MAX(Instances!F220:Instances!F220),"diff", MAX(Instances!F220:Instances!F220)-MIN(Instances!F220:Instances!F220))</f>
        <v>0</v>
      </c>
      <c r="G220" s="1" cm="1">
        <f t="array" ref="G220">_xlfn.SWITCH($A$2,"average", AVERAGE(Instances!G220:Instances!G220),"median", MEDIAN(Instances!G220:Instances!G220),"min", MIN(Instances!G220:Instances!G220),"max", MAX(Instances!G220:Instances!G220),"diff", MAX(Instances!G220:Instances!G220)-MIN(Instances!G220:Instances!G220))</f>
        <v>0</v>
      </c>
      <c r="H220" s="1" cm="1">
        <f t="array" ref="H220">_xlfn.SWITCH($A$2,"average", AVERAGE(Instances!H220:Instances!H220),"median", MEDIAN(Instances!H220:Instances!H220),"min", MIN(Instances!H220:Instances!H220),"max", MAX(Instances!H220:Instances!H220),"diff", MAX(Instances!H220:Instances!H220)-MIN(Instances!H220:Instances!H220))</f>
        <v>0</v>
      </c>
      <c r="I220" s="1" cm="1">
        <f t="array" ref="I220">_xlfn.SWITCH($A$2,"average", AVERAGE(Instances!I220:Instances!I220),"median", MEDIAN(Instances!I220:Instances!I220),"min", MIN(Instances!I220:Instances!I220),"max", MAX(Instances!I220:Instances!I220),"diff", MAX(Instances!I220:Instances!I220)-MIN(Instances!I220:Instances!I220))</f>
        <v>0</v>
      </c>
      <c r="J220" s="1" cm="1">
        <f t="array" ref="J220">_xlfn.SWITCH($A$2,"average", AVERAGE(Instances!J220:Instances!J220),"median", MEDIAN(Instances!J220:Instances!J220),"min", MIN(Instances!J220:Instances!J220),"max", MAX(Instances!J220:Instances!J220),"diff", MAX(Instances!J220:Instances!J220)-MIN(Instances!J220:Instances!J220))</f>
        <v>0</v>
      </c>
      <c r="K220" s="1" cm="1">
        <f t="array" ref="K220">_xlfn.SWITCH($A$2,"average", AVERAGE(Instances!K220:Instances!K220),"median", MEDIAN(Instances!K220:Instances!K220),"min", MIN(Instances!K220:Instances!K220),"max", MAX(Instances!K220:Instances!K220),"diff", MAX(Instances!K220:Instances!K220)-MIN(Instances!K220:Instances!K220))</f>
        <v>0</v>
      </c>
      <c r="L220" s="1"/>
      <c r="M220" s="1" cm="1">
        <f t="array" ref="M220">_xlfn.SWITCH($A$2,"average", AVERAGE(Instances!M220:Instances!M220),"median", MEDIAN(Instances!M220:Instances!M220),"min", MIN(Instances!M220:Instances!M220),"max", MAX(Instances!M220:Instances!M220),"diff", MAX(Instances!M220:Instances!M220)-MIN(Instances!M220:Instances!M220))</f>
        <v>0</v>
      </c>
      <c r="N220" s="1" cm="1">
        <f t="array" ref="N220">_xlfn.SWITCH($A$2,"average", AVERAGE(Instances!N220:Instances!N220),"median", MEDIAN(Instances!N220:Instances!N220),"min", MIN(Instances!N220:Instances!N220),"max", MAX(Instances!N220:Instances!N220),"diff", MAX(Instances!N220:Instances!N220)-MIN(Instances!N220:Instances!N220))</f>
        <v>0</v>
      </c>
      <c r="O220" s="1"/>
      <c r="P220" s="1" cm="1">
        <f t="array" ref="P220">_xlfn.SWITCH($A$2,"average", AVERAGE(Instances!P220:Instances!P220),"median", MEDIAN(Instances!P220:Instances!P220),"min", MIN(Instances!P220:Instances!P220),"max", MAX(Instances!P220:Instances!P220),"diff", MAX(Instances!P220:Instances!P220)-MIN(Instances!P220:Instances!P220))</f>
        <v>0</v>
      </c>
      <c r="Q220" s="1" cm="1">
        <f t="array" ref="Q220">_xlfn.SWITCH($A$2,"average", AVERAGE(Instances!Q220:Instances!Q220),"median", MEDIAN(Instances!Q220:Instances!Q220),"min", MIN(Instances!Q220:Instances!Q220),"max", MAX(Instances!Q220:Instances!Q220),"diff", MAX(Instances!Q220:Instances!Q220)-MIN(Instances!Q220:Instances!Q220))</f>
        <v>0</v>
      </c>
      <c r="R220" s="1" cm="1">
        <f t="array" ref="R220">_xlfn.SWITCH($A$2,"average", AVERAGE(Instances!R220:Instances!R220),"median", MEDIAN(Instances!R220:Instances!R220),"min", MIN(Instances!R220:Instances!R220),"max", MAX(Instances!R220:Instances!R220),"diff", MAX(Instances!R220:Instances!R220)-MIN(Instances!R220:Instances!R220))</f>
        <v>0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 cm="1">
        <f t="array" ref="B221">_xlfn.SWITCH($A$2,"average", AVERAGE(Instances!B221:Instances!B221),"median", MEDIAN(Instances!B221:Instances!B221),"min", MIN(Instances!B221:Instances!B221),"max", MAX(Instances!B221:Instances!B221),"diff", MAX(Instances!B221:Instances!B221)-MIN(Instances!B221:Instances!B221))</f>
        <v>0</v>
      </c>
      <c r="C221" s="1" cm="1">
        <f t="array" ref="C221">_xlfn.SWITCH($A$2,"average", AVERAGE(Instances!C221:Instances!C221),"median", MEDIAN(Instances!C221:Instances!C221),"min", MIN(Instances!C221:Instances!C221),"max", MAX(Instances!C221:Instances!C221),"diff", MAX(Instances!C221:Instances!C221)-MIN(Instances!C221:Instances!C221))</f>
        <v>0</v>
      </c>
      <c r="D221" s="1" cm="1">
        <f t="array" ref="D221">_xlfn.SWITCH($A$2,"average", AVERAGE(Instances!D221:Instances!D221),"median", MEDIAN(Instances!D221:Instances!D221),"min", MIN(Instances!D221:Instances!D221),"max", MAX(Instances!D221:Instances!D221),"diff", MAX(Instances!D221:Instances!D221)-MIN(Instances!D221:Instances!D221))</f>
        <v>0</v>
      </c>
      <c r="E221" s="1" cm="1">
        <f t="array" ref="E221">_xlfn.SWITCH($A$2,"average", AVERAGE(Instances!E221:Instances!E221),"median", MEDIAN(Instances!E221:Instances!E221),"min", MIN(Instances!E221:Instances!E221),"max", MAX(Instances!E221:Instances!E221),"diff", MAX(Instances!E221:Instances!E221)-MIN(Instances!E221:Instances!E221))</f>
        <v>0</v>
      </c>
      <c r="F221" s="1" cm="1">
        <f t="array" ref="F221">_xlfn.SWITCH($A$2,"average", AVERAGE(Instances!F221:Instances!F221),"median", MEDIAN(Instances!F221:Instances!F221),"min", MIN(Instances!F221:Instances!F221),"max", MAX(Instances!F221:Instances!F221),"diff", MAX(Instances!F221:Instances!F221)-MIN(Instances!F221:Instances!F221))</f>
        <v>0</v>
      </c>
      <c r="G221" s="1" cm="1">
        <f t="array" ref="G221">_xlfn.SWITCH($A$2,"average", AVERAGE(Instances!G221:Instances!G221),"median", MEDIAN(Instances!G221:Instances!G221),"min", MIN(Instances!G221:Instances!G221),"max", MAX(Instances!G221:Instances!G221),"diff", MAX(Instances!G221:Instances!G221)-MIN(Instances!G221:Instances!G221))</f>
        <v>0</v>
      </c>
      <c r="H221" s="1" cm="1">
        <f t="array" ref="H221">_xlfn.SWITCH($A$2,"average", AVERAGE(Instances!H221:Instances!H221),"median", MEDIAN(Instances!H221:Instances!H221),"min", MIN(Instances!H221:Instances!H221),"max", MAX(Instances!H221:Instances!H221),"diff", MAX(Instances!H221:Instances!H221)-MIN(Instances!H221:Instances!H221))</f>
        <v>0</v>
      </c>
      <c r="I221" s="1" cm="1">
        <f t="array" ref="I221">_xlfn.SWITCH($A$2,"average", AVERAGE(Instances!I221:Instances!I221),"median", MEDIAN(Instances!I221:Instances!I221),"min", MIN(Instances!I221:Instances!I221),"max", MAX(Instances!I221:Instances!I221),"diff", MAX(Instances!I221:Instances!I221)-MIN(Instances!I221:Instances!I221))</f>
        <v>0</v>
      </c>
      <c r="J221" s="1" cm="1">
        <f t="array" ref="J221">_xlfn.SWITCH($A$2,"average", AVERAGE(Instances!J221:Instances!J221),"median", MEDIAN(Instances!J221:Instances!J221),"min", MIN(Instances!J221:Instances!J221),"max", MAX(Instances!J221:Instances!J221),"diff", MAX(Instances!J221:Instances!J221)-MIN(Instances!J221:Instances!J221))</f>
        <v>0</v>
      </c>
      <c r="K221" s="1" cm="1">
        <f t="array" ref="K221">_xlfn.SWITCH($A$2,"average", AVERAGE(Instances!K221:Instances!K221),"median", MEDIAN(Instances!K221:Instances!K221),"min", MIN(Instances!K221:Instances!K221),"max", MAX(Instances!K221:Instances!K221),"diff", MAX(Instances!K221:Instances!K221)-MIN(Instances!K221:Instances!K221))</f>
        <v>0</v>
      </c>
      <c r="L221" s="1"/>
      <c r="M221" s="1" cm="1">
        <f t="array" ref="M221">_xlfn.SWITCH($A$2,"average", AVERAGE(Instances!M221:Instances!M221),"median", MEDIAN(Instances!M221:Instances!M221),"min", MIN(Instances!M221:Instances!M221),"max", MAX(Instances!M221:Instances!M221),"diff", MAX(Instances!M221:Instances!M221)-MIN(Instances!M221:Instances!M221))</f>
        <v>0</v>
      </c>
      <c r="N221" s="1" cm="1">
        <f t="array" ref="N221">_xlfn.SWITCH($A$2,"average", AVERAGE(Instances!N221:Instances!N221),"median", MEDIAN(Instances!N221:Instances!N221),"min", MIN(Instances!N221:Instances!N221),"max", MAX(Instances!N221:Instances!N221),"diff", MAX(Instances!N221:Instances!N221)-MIN(Instances!N221:Instances!N221))</f>
        <v>0</v>
      </c>
      <c r="O221" s="1"/>
      <c r="P221" s="1" cm="1">
        <f t="array" ref="P221">_xlfn.SWITCH($A$2,"average", AVERAGE(Instances!P221:Instances!P221),"median", MEDIAN(Instances!P221:Instances!P221),"min", MIN(Instances!P221:Instances!P221),"max", MAX(Instances!P221:Instances!P221),"diff", MAX(Instances!P221:Instances!P221)-MIN(Instances!P221:Instances!P221))</f>
        <v>0</v>
      </c>
      <c r="Q221" s="1" cm="1">
        <f t="array" ref="Q221">_xlfn.SWITCH($A$2,"average", AVERAGE(Instances!Q221:Instances!Q221),"median", MEDIAN(Instances!Q221:Instances!Q221),"min", MIN(Instances!Q221:Instances!Q221),"max", MAX(Instances!Q221:Instances!Q221),"diff", MAX(Instances!Q221:Instances!Q221)-MIN(Instances!Q221:Instances!Q221))</f>
        <v>0</v>
      </c>
      <c r="R221" s="1" cm="1">
        <f t="array" ref="R221">_xlfn.SWITCH($A$2,"average", AVERAGE(Instances!R221:Instances!R221),"median", MEDIAN(Instances!R221:Instances!R221),"min", MIN(Instances!R221:Instances!R221),"max", MAX(Instances!R221:Instances!R221),"diff", MAX(Instances!R221:Instances!R221)-MIN(Instances!R221:Instances!R221))</f>
        <v>0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 cm="1">
        <f t="array" ref="B222">_xlfn.SWITCH($A$2,"average", AVERAGE(Instances!B222:Instances!B222),"median", MEDIAN(Instances!B222:Instances!B222),"min", MIN(Instances!B222:Instances!B222),"max", MAX(Instances!B222:Instances!B222),"diff", MAX(Instances!B222:Instances!B222)-MIN(Instances!B222:Instances!B222))</f>
        <v>0</v>
      </c>
      <c r="C222" s="1" cm="1">
        <f t="array" ref="C222">_xlfn.SWITCH($A$2,"average", AVERAGE(Instances!C222:Instances!C222),"median", MEDIAN(Instances!C222:Instances!C222),"min", MIN(Instances!C222:Instances!C222),"max", MAX(Instances!C222:Instances!C222),"diff", MAX(Instances!C222:Instances!C222)-MIN(Instances!C222:Instances!C222))</f>
        <v>0</v>
      </c>
      <c r="D222" s="1" cm="1">
        <f t="array" ref="D222">_xlfn.SWITCH($A$2,"average", AVERAGE(Instances!D222:Instances!D222),"median", MEDIAN(Instances!D222:Instances!D222),"min", MIN(Instances!D222:Instances!D222),"max", MAX(Instances!D222:Instances!D222),"diff", MAX(Instances!D222:Instances!D222)-MIN(Instances!D222:Instances!D222))</f>
        <v>0</v>
      </c>
      <c r="E222" s="1" cm="1">
        <f t="array" ref="E222">_xlfn.SWITCH($A$2,"average", AVERAGE(Instances!E222:Instances!E222),"median", MEDIAN(Instances!E222:Instances!E222),"min", MIN(Instances!E222:Instances!E222),"max", MAX(Instances!E222:Instances!E222),"diff", MAX(Instances!E222:Instances!E222)-MIN(Instances!E222:Instances!E222))</f>
        <v>0</v>
      </c>
      <c r="F222" s="1" cm="1">
        <f t="array" ref="F222">_xlfn.SWITCH($A$2,"average", AVERAGE(Instances!F222:Instances!F222),"median", MEDIAN(Instances!F222:Instances!F222),"min", MIN(Instances!F222:Instances!F222),"max", MAX(Instances!F222:Instances!F222),"diff", MAX(Instances!F222:Instances!F222)-MIN(Instances!F222:Instances!F222))</f>
        <v>0</v>
      </c>
      <c r="G222" s="1" cm="1">
        <f t="array" ref="G222">_xlfn.SWITCH($A$2,"average", AVERAGE(Instances!G222:Instances!G222),"median", MEDIAN(Instances!G222:Instances!G222),"min", MIN(Instances!G222:Instances!G222),"max", MAX(Instances!G222:Instances!G222),"diff", MAX(Instances!G222:Instances!G222)-MIN(Instances!G222:Instances!G222))</f>
        <v>0</v>
      </c>
      <c r="H222" s="1" cm="1">
        <f t="array" ref="H222">_xlfn.SWITCH($A$2,"average", AVERAGE(Instances!H222:Instances!H222),"median", MEDIAN(Instances!H222:Instances!H222),"min", MIN(Instances!H222:Instances!H222),"max", MAX(Instances!H222:Instances!H222),"diff", MAX(Instances!H222:Instances!H222)-MIN(Instances!H222:Instances!H222))</f>
        <v>0</v>
      </c>
      <c r="I222" s="1" cm="1">
        <f t="array" ref="I222">_xlfn.SWITCH($A$2,"average", AVERAGE(Instances!I222:Instances!I222),"median", MEDIAN(Instances!I222:Instances!I222),"min", MIN(Instances!I222:Instances!I222),"max", MAX(Instances!I222:Instances!I222),"diff", MAX(Instances!I222:Instances!I222)-MIN(Instances!I222:Instances!I222))</f>
        <v>0</v>
      </c>
      <c r="J222" s="1" cm="1">
        <f t="array" ref="J222">_xlfn.SWITCH($A$2,"average", AVERAGE(Instances!J222:Instances!J222),"median", MEDIAN(Instances!J222:Instances!J222),"min", MIN(Instances!J222:Instances!J222),"max", MAX(Instances!J222:Instances!J222),"diff", MAX(Instances!J222:Instances!J222)-MIN(Instances!J222:Instances!J222))</f>
        <v>0</v>
      </c>
      <c r="K222" s="1" cm="1">
        <f t="array" ref="K222">_xlfn.SWITCH($A$2,"average", AVERAGE(Instances!K222:Instances!K222),"median", MEDIAN(Instances!K222:Instances!K222),"min", MIN(Instances!K222:Instances!K222),"max", MAX(Instances!K222:Instances!K222),"diff", MAX(Instances!K222:Instances!K222)-MIN(Instances!K222:Instances!K222))</f>
        <v>0</v>
      </c>
      <c r="L222" s="1"/>
      <c r="M222" s="1" cm="1">
        <f t="array" ref="M222">_xlfn.SWITCH($A$2,"average", AVERAGE(Instances!M222:Instances!M222),"median", MEDIAN(Instances!M222:Instances!M222),"min", MIN(Instances!M222:Instances!M222),"max", MAX(Instances!M222:Instances!M222),"diff", MAX(Instances!M222:Instances!M222)-MIN(Instances!M222:Instances!M222))</f>
        <v>0</v>
      </c>
      <c r="N222" s="1" cm="1">
        <f t="array" ref="N222">_xlfn.SWITCH($A$2,"average", AVERAGE(Instances!N222:Instances!N222),"median", MEDIAN(Instances!N222:Instances!N222),"min", MIN(Instances!N222:Instances!N222),"max", MAX(Instances!N222:Instances!N222),"diff", MAX(Instances!N222:Instances!N222)-MIN(Instances!N222:Instances!N222))</f>
        <v>0</v>
      </c>
      <c r="O222" s="1"/>
      <c r="P222" s="1" cm="1">
        <f t="array" ref="P222">_xlfn.SWITCH($A$2,"average", AVERAGE(Instances!P222:Instances!P222),"median", MEDIAN(Instances!P222:Instances!P222),"min", MIN(Instances!P222:Instances!P222),"max", MAX(Instances!P222:Instances!P222),"diff", MAX(Instances!P222:Instances!P222)-MIN(Instances!P222:Instances!P222))</f>
        <v>0</v>
      </c>
      <c r="Q222" s="1" cm="1">
        <f t="array" ref="Q222">_xlfn.SWITCH($A$2,"average", AVERAGE(Instances!Q222:Instances!Q222),"median", MEDIAN(Instances!Q222:Instances!Q222),"min", MIN(Instances!Q222:Instances!Q222),"max", MAX(Instances!Q222:Instances!Q222),"diff", MAX(Instances!Q222:Instances!Q222)-MIN(Instances!Q222:Instances!Q222))</f>
        <v>0</v>
      </c>
      <c r="R222" s="1" cm="1">
        <f t="array" ref="R222">_xlfn.SWITCH($A$2,"average", AVERAGE(Instances!R222:Instances!R222),"median", MEDIAN(Instances!R222:Instances!R222),"min", MIN(Instances!R222:Instances!R222),"max", MAX(Instances!R222:Instances!R222),"diff", MAX(Instances!R222:Instances!R222)-MIN(Instances!R222:Instances!R222))</f>
        <v>0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 cm="1">
        <f t="array" ref="B223">_xlfn.SWITCH($A$2,"average", AVERAGE(Instances!B223:Instances!B223),"median", MEDIAN(Instances!B223:Instances!B223),"min", MIN(Instances!B223:Instances!B223),"max", MAX(Instances!B223:Instances!B223),"diff", MAX(Instances!B223:Instances!B223)-MIN(Instances!B223:Instances!B223))</f>
        <v>0</v>
      </c>
      <c r="C223" s="1" cm="1">
        <f t="array" ref="C223">_xlfn.SWITCH($A$2,"average", AVERAGE(Instances!C223:Instances!C223),"median", MEDIAN(Instances!C223:Instances!C223),"min", MIN(Instances!C223:Instances!C223),"max", MAX(Instances!C223:Instances!C223),"diff", MAX(Instances!C223:Instances!C223)-MIN(Instances!C223:Instances!C223))</f>
        <v>0</v>
      </c>
      <c r="D223" s="1" cm="1">
        <f t="array" ref="D223">_xlfn.SWITCH($A$2,"average", AVERAGE(Instances!D223:Instances!D223),"median", MEDIAN(Instances!D223:Instances!D223),"min", MIN(Instances!D223:Instances!D223),"max", MAX(Instances!D223:Instances!D223),"diff", MAX(Instances!D223:Instances!D223)-MIN(Instances!D223:Instances!D223))</f>
        <v>0</v>
      </c>
      <c r="E223" s="1" cm="1">
        <f t="array" ref="E223">_xlfn.SWITCH($A$2,"average", AVERAGE(Instances!E223:Instances!E223),"median", MEDIAN(Instances!E223:Instances!E223),"min", MIN(Instances!E223:Instances!E223),"max", MAX(Instances!E223:Instances!E223),"diff", MAX(Instances!E223:Instances!E223)-MIN(Instances!E223:Instances!E223))</f>
        <v>0</v>
      </c>
      <c r="F223" s="1" cm="1">
        <f t="array" ref="F223">_xlfn.SWITCH($A$2,"average", AVERAGE(Instances!F223:Instances!F223),"median", MEDIAN(Instances!F223:Instances!F223),"min", MIN(Instances!F223:Instances!F223),"max", MAX(Instances!F223:Instances!F223),"diff", MAX(Instances!F223:Instances!F223)-MIN(Instances!F223:Instances!F223))</f>
        <v>0</v>
      </c>
      <c r="G223" s="1" cm="1">
        <f t="array" ref="G223">_xlfn.SWITCH($A$2,"average", AVERAGE(Instances!G223:Instances!G223),"median", MEDIAN(Instances!G223:Instances!G223),"min", MIN(Instances!G223:Instances!G223),"max", MAX(Instances!G223:Instances!G223),"diff", MAX(Instances!G223:Instances!G223)-MIN(Instances!G223:Instances!G223))</f>
        <v>0</v>
      </c>
      <c r="H223" s="1" cm="1">
        <f t="array" ref="H223">_xlfn.SWITCH($A$2,"average", AVERAGE(Instances!H223:Instances!H223),"median", MEDIAN(Instances!H223:Instances!H223),"min", MIN(Instances!H223:Instances!H223),"max", MAX(Instances!H223:Instances!H223),"diff", MAX(Instances!H223:Instances!H223)-MIN(Instances!H223:Instances!H223))</f>
        <v>0</v>
      </c>
      <c r="I223" s="1" cm="1">
        <f t="array" ref="I223">_xlfn.SWITCH($A$2,"average", AVERAGE(Instances!I223:Instances!I223),"median", MEDIAN(Instances!I223:Instances!I223),"min", MIN(Instances!I223:Instances!I223),"max", MAX(Instances!I223:Instances!I223),"diff", MAX(Instances!I223:Instances!I223)-MIN(Instances!I223:Instances!I223))</f>
        <v>0</v>
      </c>
      <c r="J223" s="1" cm="1">
        <f t="array" ref="J223">_xlfn.SWITCH($A$2,"average", AVERAGE(Instances!J223:Instances!J223),"median", MEDIAN(Instances!J223:Instances!J223),"min", MIN(Instances!J223:Instances!J223),"max", MAX(Instances!J223:Instances!J223),"diff", MAX(Instances!J223:Instances!J223)-MIN(Instances!J223:Instances!J223))</f>
        <v>0</v>
      </c>
      <c r="K223" s="1" cm="1">
        <f t="array" ref="K223">_xlfn.SWITCH($A$2,"average", AVERAGE(Instances!K223:Instances!K223),"median", MEDIAN(Instances!K223:Instances!K223),"min", MIN(Instances!K223:Instances!K223),"max", MAX(Instances!K223:Instances!K223),"diff", MAX(Instances!K223:Instances!K223)-MIN(Instances!K223:Instances!K223))</f>
        <v>0</v>
      </c>
      <c r="L223" s="1"/>
      <c r="M223" s="1" cm="1">
        <f t="array" ref="M223">_xlfn.SWITCH($A$2,"average", AVERAGE(Instances!M223:Instances!M223),"median", MEDIAN(Instances!M223:Instances!M223),"min", MIN(Instances!M223:Instances!M223),"max", MAX(Instances!M223:Instances!M223),"diff", MAX(Instances!M223:Instances!M223)-MIN(Instances!M223:Instances!M223))</f>
        <v>0</v>
      </c>
      <c r="N223" s="1" cm="1">
        <f t="array" ref="N223">_xlfn.SWITCH($A$2,"average", AVERAGE(Instances!N223:Instances!N223),"median", MEDIAN(Instances!N223:Instances!N223),"min", MIN(Instances!N223:Instances!N223),"max", MAX(Instances!N223:Instances!N223),"diff", MAX(Instances!N223:Instances!N223)-MIN(Instances!N223:Instances!N223))</f>
        <v>0</v>
      </c>
      <c r="O223" s="1"/>
      <c r="P223" s="1" cm="1">
        <f t="array" ref="P223">_xlfn.SWITCH($A$2,"average", AVERAGE(Instances!P223:Instances!P223),"median", MEDIAN(Instances!P223:Instances!P223),"min", MIN(Instances!P223:Instances!P223),"max", MAX(Instances!P223:Instances!P223),"diff", MAX(Instances!P223:Instances!P223)-MIN(Instances!P223:Instances!P223))</f>
        <v>0</v>
      </c>
      <c r="Q223" s="1" cm="1">
        <f t="array" ref="Q223">_xlfn.SWITCH($A$2,"average", AVERAGE(Instances!Q223:Instances!Q223),"median", MEDIAN(Instances!Q223:Instances!Q223),"min", MIN(Instances!Q223:Instances!Q223),"max", MAX(Instances!Q223:Instances!Q223),"diff", MAX(Instances!Q223:Instances!Q223)-MIN(Instances!Q223:Instances!Q223))</f>
        <v>0</v>
      </c>
      <c r="R223" s="1" cm="1">
        <f t="array" ref="R223">_xlfn.SWITCH($A$2,"average", AVERAGE(Instances!R223:Instances!R223),"median", MEDIAN(Instances!R223:Instances!R223),"min", MIN(Instances!R223:Instances!R223),"max", MAX(Instances!R223:Instances!R223),"diff", MAX(Instances!R223:Instances!R223)-MIN(Instances!R223:Instances!R223))</f>
        <v>0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 cm="1">
        <f t="array" ref="B224">_xlfn.SWITCH($A$2,"average", AVERAGE(Instances!B224:Instances!B224),"median", MEDIAN(Instances!B224:Instances!B224),"min", MIN(Instances!B224:Instances!B224),"max", MAX(Instances!B224:Instances!B224),"diff", MAX(Instances!B224:Instances!B224)-MIN(Instances!B224:Instances!B224))</f>
        <v>0</v>
      </c>
      <c r="C224" s="1" cm="1">
        <f t="array" ref="C224">_xlfn.SWITCH($A$2,"average", AVERAGE(Instances!C224:Instances!C224),"median", MEDIAN(Instances!C224:Instances!C224),"min", MIN(Instances!C224:Instances!C224),"max", MAX(Instances!C224:Instances!C224),"diff", MAX(Instances!C224:Instances!C224)-MIN(Instances!C224:Instances!C224))</f>
        <v>0</v>
      </c>
      <c r="D224" s="1" cm="1">
        <f t="array" ref="D224">_xlfn.SWITCH($A$2,"average", AVERAGE(Instances!D224:Instances!D224),"median", MEDIAN(Instances!D224:Instances!D224),"min", MIN(Instances!D224:Instances!D224),"max", MAX(Instances!D224:Instances!D224),"diff", MAX(Instances!D224:Instances!D224)-MIN(Instances!D224:Instances!D224))</f>
        <v>0</v>
      </c>
      <c r="E224" s="1" cm="1">
        <f t="array" ref="E224">_xlfn.SWITCH($A$2,"average", AVERAGE(Instances!E224:Instances!E224),"median", MEDIAN(Instances!E224:Instances!E224),"min", MIN(Instances!E224:Instances!E224),"max", MAX(Instances!E224:Instances!E224),"diff", MAX(Instances!E224:Instances!E224)-MIN(Instances!E224:Instances!E224))</f>
        <v>0</v>
      </c>
      <c r="F224" s="1" cm="1">
        <f t="array" ref="F224">_xlfn.SWITCH($A$2,"average", AVERAGE(Instances!F224:Instances!F224),"median", MEDIAN(Instances!F224:Instances!F224),"min", MIN(Instances!F224:Instances!F224),"max", MAX(Instances!F224:Instances!F224),"diff", MAX(Instances!F224:Instances!F224)-MIN(Instances!F224:Instances!F224))</f>
        <v>0</v>
      </c>
      <c r="G224" s="1" cm="1">
        <f t="array" ref="G224">_xlfn.SWITCH($A$2,"average", AVERAGE(Instances!G224:Instances!G224),"median", MEDIAN(Instances!G224:Instances!G224),"min", MIN(Instances!G224:Instances!G224),"max", MAX(Instances!G224:Instances!G224),"diff", MAX(Instances!G224:Instances!G224)-MIN(Instances!G224:Instances!G224))</f>
        <v>0</v>
      </c>
      <c r="H224" s="1" cm="1">
        <f t="array" ref="H224">_xlfn.SWITCH($A$2,"average", AVERAGE(Instances!H224:Instances!H224),"median", MEDIAN(Instances!H224:Instances!H224),"min", MIN(Instances!H224:Instances!H224),"max", MAX(Instances!H224:Instances!H224),"diff", MAX(Instances!H224:Instances!H224)-MIN(Instances!H224:Instances!H224))</f>
        <v>0</v>
      </c>
      <c r="I224" s="1" cm="1">
        <f t="array" ref="I224">_xlfn.SWITCH($A$2,"average", AVERAGE(Instances!I224:Instances!I224),"median", MEDIAN(Instances!I224:Instances!I224),"min", MIN(Instances!I224:Instances!I224),"max", MAX(Instances!I224:Instances!I224),"diff", MAX(Instances!I224:Instances!I224)-MIN(Instances!I224:Instances!I224))</f>
        <v>0</v>
      </c>
      <c r="J224" s="1" cm="1">
        <f t="array" ref="J224">_xlfn.SWITCH($A$2,"average", AVERAGE(Instances!J224:Instances!J224),"median", MEDIAN(Instances!J224:Instances!J224),"min", MIN(Instances!J224:Instances!J224),"max", MAX(Instances!J224:Instances!J224),"diff", MAX(Instances!J224:Instances!J224)-MIN(Instances!J224:Instances!J224))</f>
        <v>0</v>
      </c>
      <c r="K224" s="1" cm="1">
        <f t="array" ref="K224">_xlfn.SWITCH($A$2,"average", AVERAGE(Instances!K224:Instances!K224),"median", MEDIAN(Instances!K224:Instances!K224),"min", MIN(Instances!K224:Instances!K224),"max", MAX(Instances!K224:Instances!K224),"diff", MAX(Instances!K224:Instances!K224)-MIN(Instances!K224:Instances!K224))</f>
        <v>0</v>
      </c>
      <c r="L224" s="1"/>
      <c r="M224" s="1" cm="1">
        <f t="array" ref="M224">_xlfn.SWITCH($A$2,"average", AVERAGE(Instances!M224:Instances!M224),"median", MEDIAN(Instances!M224:Instances!M224),"min", MIN(Instances!M224:Instances!M224),"max", MAX(Instances!M224:Instances!M224),"diff", MAX(Instances!M224:Instances!M224)-MIN(Instances!M224:Instances!M224))</f>
        <v>0</v>
      </c>
      <c r="N224" s="1" cm="1">
        <f t="array" ref="N224">_xlfn.SWITCH($A$2,"average", AVERAGE(Instances!N224:Instances!N224),"median", MEDIAN(Instances!N224:Instances!N224),"min", MIN(Instances!N224:Instances!N224),"max", MAX(Instances!N224:Instances!N224),"diff", MAX(Instances!N224:Instances!N224)-MIN(Instances!N224:Instances!N224))</f>
        <v>0</v>
      </c>
      <c r="O224" s="1"/>
      <c r="P224" s="1" cm="1">
        <f t="array" ref="P224">_xlfn.SWITCH($A$2,"average", AVERAGE(Instances!P224:Instances!P224),"median", MEDIAN(Instances!P224:Instances!P224),"min", MIN(Instances!P224:Instances!P224),"max", MAX(Instances!P224:Instances!P224),"diff", MAX(Instances!P224:Instances!P224)-MIN(Instances!P224:Instances!P224))</f>
        <v>0</v>
      </c>
      <c r="Q224" s="1" cm="1">
        <f t="array" ref="Q224">_xlfn.SWITCH($A$2,"average", AVERAGE(Instances!Q224:Instances!Q224),"median", MEDIAN(Instances!Q224:Instances!Q224),"min", MIN(Instances!Q224:Instances!Q224),"max", MAX(Instances!Q224:Instances!Q224),"diff", MAX(Instances!Q224:Instances!Q224)-MIN(Instances!Q224:Instances!Q224))</f>
        <v>0</v>
      </c>
      <c r="R224" s="1" cm="1">
        <f t="array" ref="R224">_xlfn.SWITCH($A$2,"average", AVERAGE(Instances!R224:Instances!R224),"median", MEDIAN(Instances!R224:Instances!R224),"min", MIN(Instances!R224:Instances!R224),"max", MAX(Instances!R224:Instances!R224),"diff", MAX(Instances!R224:Instances!R224)-MIN(Instances!R224:Instances!R224))</f>
        <v>0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 cm="1">
        <f t="array" ref="B225">_xlfn.SWITCH($A$2,"average", AVERAGE(Instances!B225:Instances!B225),"median", MEDIAN(Instances!B225:Instances!B225),"min", MIN(Instances!B225:Instances!B225),"max", MAX(Instances!B225:Instances!B225),"diff", MAX(Instances!B225:Instances!B225)-MIN(Instances!B225:Instances!B225))</f>
        <v>0</v>
      </c>
      <c r="C225" s="1" cm="1">
        <f t="array" ref="C225">_xlfn.SWITCH($A$2,"average", AVERAGE(Instances!C225:Instances!C225),"median", MEDIAN(Instances!C225:Instances!C225),"min", MIN(Instances!C225:Instances!C225),"max", MAX(Instances!C225:Instances!C225),"diff", MAX(Instances!C225:Instances!C225)-MIN(Instances!C225:Instances!C225))</f>
        <v>0</v>
      </c>
      <c r="D225" s="1" cm="1">
        <f t="array" ref="D225">_xlfn.SWITCH($A$2,"average", AVERAGE(Instances!D225:Instances!D225),"median", MEDIAN(Instances!D225:Instances!D225),"min", MIN(Instances!D225:Instances!D225),"max", MAX(Instances!D225:Instances!D225),"diff", MAX(Instances!D225:Instances!D225)-MIN(Instances!D225:Instances!D225))</f>
        <v>0</v>
      </c>
      <c r="E225" s="1" cm="1">
        <f t="array" ref="E225">_xlfn.SWITCH($A$2,"average", AVERAGE(Instances!E225:Instances!E225),"median", MEDIAN(Instances!E225:Instances!E225),"min", MIN(Instances!E225:Instances!E225),"max", MAX(Instances!E225:Instances!E225),"diff", MAX(Instances!E225:Instances!E225)-MIN(Instances!E225:Instances!E225))</f>
        <v>0</v>
      </c>
      <c r="F225" s="1" cm="1">
        <f t="array" ref="F225">_xlfn.SWITCH($A$2,"average", AVERAGE(Instances!F225:Instances!F225),"median", MEDIAN(Instances!F225:Instances!F225),"min", MIN(Instances!F225:Instances!F225),"max", MAX(Instances!F225:Instances!F225),"diff", MAX(Instances!F225:Instances!F225)-MIN(Instances!F225:Instances!F225))</f>
        <v>0</v>
      </c>
      <c r="G225" s="1" cm="1">
        <f t="array" ref="G225">_xlfn.SWITCH($A$2,"average", AVERAGE(Instances!G225:Instances!G225),"median", MEDIAN(Instances!G225:Instances!G225),"min", MIN(Instances!G225:Instances!G225),"max", MAX(Instances!G225:Instances!G225),"diff", MAX(Instances!G225:Instances!G225)-MIN(Instances!G225:Instances!G225))</f>
        <v>0</v>
      </c>
      <c r="H225" s="1" cm="1">
        <f t="array" ref="H225">_xlfn.SWITCH($A$2,"average", AVERAGE(Instances!H225:Instances!H225),"median", MEDIAN(Instances!H225:Instances!H225),"min", MIN(Instances!H225:Instances!H225),"max", MAX(Instances!H225:Instances!H225),"diff", MAX(Instances!H225:Instances!H225)-MIN(Instances!H225:Instances!H225))</f>
        <v>0</v>
      </c>
      <c r="I225" s="1" cm="1">
        <f t="array" ref="I225">_xlfn.SWITCH($A$2,"average", AVERAGE(Instances!I225:Instances!I225),"median", MEDIAN(Instances!I225:Instances!I225),"min", MIN(Instances!I225:Instances!I225),"max", MAX(Instances!I225:Instances!I225),"diff", MAX(Instances!I225:Instances!I225)-MIN(Instances!I225:Instances!I225))</f>
        <v>0</v>
      </c>
      <c r="J225" s="1" cm="1">
        <f t="array" ref="J225">_xlfn.SWITCH($A$2,"average", AVERAGE(Instances!J225:Instances!J225),"median", MEDIAN(Instances!J225:Instances!J225),"min", MIN(Instances!J225:Instances!J225),"max", MAX(Instances!J225:Instances!J225),"diff", MAX(Instances!J225:Instances!J225)-MIN(Instances!J225:Instances!J225))</f>
        <v>0</v>
      </c>
      <c r="K225" s="1" cm="1">
        <f t="array" ref="K225">_xlfn.SWITCH($A$2,"average", AVERAGE(Instances!K225:Instances!K225),"median", MEDIAN(Instances!K225:Instances!K225),"min", MIN(Instances!K225:Instances!K225),"max", MAX(Instances!K225:Instances!K225),"diff", MAX(Instances!K225:Instances!K225)-MIN(Instances!K225:Instances!K225))</f>
        <v>0</v>
      </c>
      <c r="L225" s="1"/>
      <c r="M225" s="1" cm="1">
        <f t="array" ref="M225">_xlfn.SWITCH($A$2,"average", AVERAGE(Instances!M225:Instances!M225),"median", MEDIAN(Instances!M225:Instances!M225),"min", MIN(Instances!M225:Instances!M225),"max", MAX(Instances!M225:Instances!M225),"diff", MAX(Instances!M225:Instances!M225)-MIN(Instances!M225:Instances!M225))</f>
        <v>0</v>
      </c>
      <c r="N225" s="1" cm="1">
        <f t="array" ref="N225">_xlfn.SWITCH($A$2,"average", AVERAGE(Instances!N225:Instances!N225),"median", MEDIAN(Instances!N225:Instances!N225),"min", MIN(Instances!N225:Instances!N225),"max", MAX(Instances!N225:Instances!N225),"diff", MAX(Instances!N225:Instances!N225)-MIN(Instances!N225:Instances!N225))</f>
        <v>0</v>
      </c>
      <c r="O225" s="1"/>
      <c r="P225" s="1" cm="1">
        <f t="array" ref="P225">_xlfn.SWITCH($A$2,"average", AVERAGE(Instances!P225:Instances!P225),"median", MEDIAN(Instances!P225:Instances!P225),"min", MIN(Instances!P225:Instances!P225),"max", MAX(Instances!P225:Instances!P225),"diff", MAX(Instances!P225:Instances!P225)-MIN(Instances!P225:Instances!P225))</f>
        <v>0</v>
      </c>
      <c r="Q225" s="1" cm="1">
        <f t="array" ref="Q225">_xlfn.SWITCH($A$2,"average", AVERAGE(Instances!Q225:Instances!Q225),"median", MEDIAN(Instances!Q225:Instances!Q225),"min", MIN(Instances!Q225:Instances!Q225),"max", MAX(Instances!Q225:Instances!Q225),"diff", MAX(Instances!Q225:Instances!Q225)-MIN(Instances!Q225:Instances!Q225))</f>
        <v>0</v>
      </c>
      <c r="R225" s="1" cm="1">
        <f t="array" ref="R225">_xlfn.SWITCH($A$2,"average", AVERAGE(Instances!R225:Instances!R225),"median", MEDIAN(Instances!R225:Instances!R225),"min", MIN(Instances!R225:Instances!R225),"max", MAX(Instances!R225:Instances!R225),"diff", MAX(Instances!R225:Instances!R225)-MIN(Instances!R225:Instances!R225))</f>
        <v>0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 cm="1">
        <f t="array" ref="B226">_xlfn.SWITCH($A$2,"average", AVERAGE(Instances!B226:Instances!B226),"median", MEDIAN(Instances!B226:Instances!B226),"min", MIN(Instances!B226:Instances!B226),"max", MAX(Instances!B226:Instances!B226),"diff", MAX(Instances!B226:Instances!B226)-MIN(Instances!B226:Instances!B226))</f>
        <v>0</v>
      </c>
      <c r="C226" s="1" cm="1">
        <f t="array" ref="C226">_xlfn.SWITCH($A$2,"average", AVERAGE(Instances!C226:Instances!C226),"median", MEDIAN(Instances!C226:Instances!C226),"min", MIN(Instances!C226:Instances!C226),"max", MAX(Instances!C226:Instances!C226),"diff", MAX(Instances!C226:Instances!C226)-MIN(Instances!C226:Instances!C226))</f>
        <v>0</v>
      </c>
      <c r="D226" s="1" cm="1">
        <f t="array" ref="D226">_xlfn.SWITCH($A$2,"average", AVERAGE(Instances!D226:Instances!D226),"median", MEDIAN(Instances!D226:Instances!D226),"min", MIN(Instances!D226:Instances!D226),"max", MAX(Instances!D226:Instances!D226),"diff", MAX(Instances!D226:Instances!D226)-MIN(Instances!D226:Instances!D226))</f>
        <v>0</v>
      </c>
      <c r="E226" s="1" cm="1">
        <f t="array" ref="E226">_xlfn.SWITCH($A$2,"average", AVERAGE(Instances!E226:Instances!E226),"median", MEDIAN(Instances!E226:Instances!E226),"min", MIN(Instances!E226:Instances!E226),"max", MAX(Instances!E226:Instances!E226),"diff", MAX(Instances!E226:Instances!E226)-MIN(Instances!E226:Instances!E226))</f>
        <v>0</v>
      </c>
      <c r="F226" s="1" cm="1">
        <f t="array" ref="F226">_xlfn.SWITCH($A$2,"average", AVERAGE(Instances!F226:Instances!F226),"median", MEDIAN(Instances!F226:Instances!F226),"min", MIN(Instances!F226:Instances!F226),"max", MAX(Instances!F226:Instances!F226),"diff", MAX(Instances!F226:Instances!F226)-MIN(Instances!F226:Instances!F226))</f>
        <v>0</v>
      </c>
      <c r="G226" s="1" cm="1">
        <f t="array" ref="G226">_xlfn.SWITCH($A$2,"average", AVERAGE(Instances!G226:Instances!G226),"median", MEDIAN(Instances!G226:Instances!G226),"min", MIN(Instances!G226:Instances!G226),"max", MAX(Instances!G226:Instances!G226),"diff", MAX(Instances!G226:Instances!G226)-MIN(Instances!G226:Instances!G226))</f>
        <v>0</v>
      </c>
      <c r="H226" s="1" cm="1">
        <f t="array" ref="H226">_xlfn.SWITCH($A$2,"average", AVERAGE(Instances!H226:Instances!H226),"median", MEDIAN(Instances!H226:Instances!H226),"min", MIN(Instances!H226:Instances!H226),"max", MAX(Instances!H226:Instances!H226),"diff", MAX(Instances!H226:Instances!H226)-MIN(Instances!H226:Instances!H226))</f>
        <v>0</v>
      </c>
      <c r="I226" s="1" cm="1">
        <f t="array" ref="I226">_xlfn.SWITCH($A$2,"average", AVERAGE(Instances!I226:Instances!I226),"median", MEDIAN(Instances!I226:Instances!I226),"min", MIN(Instances!I226:Instances!I226),"max", MAX(Instances!I226:Instances!I226),"diff", MAX(Instances!I226:Instances!I226)-MIN(Instances!I226:Instances!I226))</f>
        <v>0</v>
      </c>
      <c r="J226" s="1" cm="1">
        <f t="array" ref="J226">_xlfn.SWITCH($A$2,"average", AVERAGE(Instances!J226:Instances!J226),"median", MEDIAN(Instances!J226:Instances!J226),"min", MIN(Instances!J226:Instances!J226),"max", MAX(Instances!J226:Instances!J226),"diff", MAX(Instances!J226:Instances!J226)-MIN(Instances!J226:Instances!J226))</f>
        <v>0</v>
      </c>
      <c r="K226" s="1" cm="1">
        <f t="array" ref="K226">_xlfn.SWITCH($A$2,"average", AVERAGE(Instances!K226:Instances!K226),"median", MEDIAN(Instances!K226:Instances!K226),"min", MIN(Instances!K226:Instances!K226),"max", MAX(Instances!K226:Instances!K226),"diff", MAX(Instances!K226:Instances!K226)-MIN(Instances!K226:Instances!K226))</f>
        <v>0</v>
      </c>
      <c r="L226" s="1"/>
      <c r="M226" s="1" cm="1">
        <f t="array" ref="M226">_xlfn.SWITCH($A$2,"average", AVERAGE(Instances!M226:Instances!M226),"median", MEDIAN(Instances!M226:Instances!M226),"min", MIN(Instances!M226:Instances!M226),"max", MAX(Instances!M226:Instances!M226),"diff", MAX(Instances!M226:Instances!M226)-MIN(Instances!M226:Instances!M226))</f>
        <v>0</v>
      </c>
      <c r="N226" s="1" cm="1">
        <f t="array" ref="N226">_xlfn.SWITCH($A$2,"average", AVERAGE(Instances!N226:Instances!N226),"median", MEDIAN(Instances!N226:Instances!N226),"min", MIN(Instances!N226:Instances!N226),"max", MAX(Instances!N226:Instances!N226),"diff", MAX(Instances!N226:Instances!N226)-MIN(Instances!N226:Instances!N226))</f>
        <v>0</v>
      </c>
      <c r="O226" s="1"/>
      <c r="P226" s="1" cm="1">
        <f t="array" ref="P226">_xlfn.SWITCH($A$2,"average", AVERAGE(Instances!P226:Instances!P226),"median", MEDIAN(Instances!P226:Instances!P226),"min", MIN(Instances!P226:Instances!P226),"max", MAX(Instances!P226:Instances!P226),"diff", MAX(Instances!P226:Instances!P226)-MIN(Instances!P226:Instances!P226))</f>
        <v>0</v>
      </c>
      <c r="Q226" s="1" cm="1">
        <f t="array" ref="Q226">_xlfn.SWITCH($A$2,"average", AVERAGE(Instances!Q226:Instances!Q226),"median", MEDIAN(Instances!Q226:Instances!Q226),"min", MIN(Instances!Q226:Instances!Q226),"max", MAX(Instances!Q226:Instances!Q226),"diff", MAX(Instances!Q226:Instances!Q226)-MIN(Instances!Q226:Instances!Q226))</f>
        <v>0</v>
      </c>
      <c r="R226" s="1" cm="1">
        <f t="array" ref="R226">_xlfn.SWITCH($A$2,"average", AVERAGE(Instances!R226:Instances!R226),"median", MEDIAN(Instances!R226:Instances!R226),"min", MIN(Instances!R226:Instances!R226),"max", MAX(Instances!R226:Instances!R226),"diff", MAX(Instances!R226:Instances!R226)-MIN(Instances!R226:Instances!R226))</f>
        <v>0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 cm="1">
        <f t="array" ref="B227">_xlfn.SWITCH($A$2,"average", AVERAGE(Instances!B227:Instances!B227),"median", MEDIAN(Instances!B227:Instances!B227),"min", MIN(Instances!B227:Instances!B227),"max", MAX(Instances!B227:Instances!B227),"diff", MAX(Instances!B227:Instances!B227)-MIN(Instances!B227:Instances!B227))</f>
        <v>0</v>
      </c>
      <c r="C227" s="1" cm="1">
        <f t="array" ref="C227">_xlfn.SWITCH($A$2,"average", AVERAGE(Instances!C227:Instances!C227),"median", MEDIAN(Instances!C227:Instances!C227),"min", MIN(Instances!C227:Instances!C227),"max", MAX(Instances!C227:Instances!C227),"diff", MAX(Instances!C227:Instances!C227)-MIN(Instances!C227:Instances!C227))</f>
        <v>0</v>
      </c>
      <c r="D227" s="1" cm="1">
        <f t="array" ref="D227">_xlfn.SWITCH($A$2,"average", AVERAGE(Instances!D227:Instances!D227),"median", MEDIAN(Instances!D227:Instances!D227),"min", MIN(Instances!D227:Instances!D227),"max", MAX(Instances!D227:Instances!D227),"diff", MAX(Instances!D227:Instances!D227)-MIN(Instances!D227:Instances!D227))</f>
        <v>0</v>
      </c>
      <c r="E227" s="1" cm="1">
        <f t="array" ref="E227">_xlfn.SWITCH($A$2,"average", AVERAGE(Instances!E227:Instances!E227),"median", MEDIAN(Instances!E227:Instances!E227),"min", MIN(Instances!E227:Instances!E227),"max", MAX(Instances!E227:Instances!E227),"diff", MAX(Instances!E227:Instances!E227)-MIN(Instances!E227:Instances!E227))</f>
        <v>0</v>
      </c>
      <c r="F227" s="1" cm="1">
        <f t="array" ref="F227">_xlfn.SWITCH($A$2,"average", AVERAGE(Instances!F227:Instances!F227),"median", MEDIAN(Instances!F227:Instances!F227),"min", MIN(Instances!F227:Instances!F227),"max", MAX(Instances!F227:Instances!F227),"diff", MAX(Instances!F227:Instances!F227)-MIN(Instances!F227:Instances!F227))</f>
        <v>0</v>
      </c>
      <c r="G227" s="1" cm="1">
        <f t="array" ref="G227">_xlfn.SWITCH($A$2,"average", AVERAGE(Instances!G227:Instances!G227),"median", MEDIAN(Instances!G227:Instances!G227),"min", MIN(Instances!G227:Instances!G227),"max", MAX(Instances!G227:Instances!G227),"diff", MAX(Instances!G227:Instances!G227)-MIN(Instances!G227:Instances!G227))</f>
        <v>0</v>
      </c>
      <c r="H227" s="1" cm="1">
        <f t="array" ref="H227">_xlfn.SWITCH($A$2,"average", AVERAGE(Instances!H227:Instances!H227),"median", MEDIAN(Instances!H227:Instances!H227),"min", MIN(Instances!H227:Instances!H227),"max", MAX(Instances!H227:Instances!H227),"diff", MAX(Instances!H227:Instances!H227)-MIN(Instances!H227:Instances!H227))</f>
        <v>0</v>
      </c>
      <c r="I227" s="1" cm="1">
        <f t="array" ref="I227">_xlfn.SWITCH($A$2,"average", AVERAGE(Instances!I227:Instances!I227),"median", MEDIAN(Instances!I227:Instances!I227),"min", MIN(Instances!I227:Instances!I227),"max", MAX(Instances!I227:Instances!I227),"diff", MAX(Instances!I227:Instances!I227)-MIN(Instances!I227:Instances!I227))</f>
        <v>0</v>
      </c>
      <c r="J227" s="1" cm="1">
        <f t="array" ref="J227">_xlfn.SWITCH($A$2,"average", AVERAGE(Instances!J227:Instances!J227),"median", MEDIAN(Instances!J227:Instances!J227),"min", MIN(Instances!J227:Instances!J227),"max", MAX(Instances!J227:Instances!J227),"diff", MAX(Instances!J227:Instances!J227)-MIN(Instances!J227:Instances!J227))</f>
        <v>0</v>
      </c>
      <c r="K227" s="1" cm="1">
        <f t="array" ref="K227">_xlfn.SWITCH($A$2,"average", AVERAGE(Instances!K227:Instances!K227),"median", MEDIAN(Instances!K227:Instances!K227),"min", MIN(Instances!K227:Instances!K227),"max", MAX(Instances!K227:Instances!K227),"diff", MAX(Instances!K227:Instances!K227)-MIN(Instances!K227:Instances!K227))</f>
        <v>0</v>
      </c>
      <c r="L227" s="1"/>
      <c r="M227" s="1" cm="1">
        <f t="array" ref="M227">_xlfn.SWITCH($A$2,"average", AVERAGE(Instances!M227:Instances!M227),"median", MEDIAN(Instances!M227:Instances!M227),"min", MIN(Instances!M227:Instances!M227),"max", MAX(Instances!M227:Instances!M227),"diff", MAX(Instances!M227:Instances!M227)-MIN(Instances!M227:Instances!M227))</f>
        <v>0</v>
      </c>
      <c r="N227" s="1" cm="1">
        <f t="array" ref="N227">_xlfn.SWITCH($A$2,"average", AVERAGE(Instances!N227:Instances!N227),"median", MEDIAN(Instances!N227:Instances!N227),"min", MIN(Instances!N227:Instances!N227),"max", MAX(Instances!N227:Instances!N227),"diff", MAX(Instances!N227:Instances!N227)-MIN(Instances!N227:Instances!N227))</f>
        <v>0</v>
      </c>
      <c r="O227" s="1"/>
      <c r="P227" s="1" cm="1">
        <f t="array" ref="P227">_xlfn.SWITCH($A$2,"average", AVERAGE(Instances!P227:Instances!P227),"median", MEDIAN(Instances!P227:Instances!P227),"min", MIN(Instances!P227:Instances!P227),"max", MAX(Instances!P227:Instances!P227),"diff", MAX(Instances!P227:Instances!P227)-MIN(Instances!P227:Instances!P227))</f>
        <v>0</v>
      </c>
      <c r="Q227" s="1" cm="1">
        <f t="array" ref="Q227">_xlfn.SWITCH($A$2,"average", AVERAGE(Instances!Q227:Instances!Q227),"median", MEDIAN(Instances!Q227:Instances!Q227),"min", MIN(Instances!Q227:Instances!Q227),"max", MAX(Instances!Q227:Instances!Q227),"diff", MAX(Instances!Q227:Instances!Q227)-MIN(Instances!Q227:Instances!Q227))</f>
        <v>0</v>
      </c>
      <c r="R227" s="1" cm="1">
        <f t="array" ref="R227">_xlfn.SWITCH($A$2,"average", AVERAGE(Instances!R227:Instances!R227),"median", MEDIAN(Instances!R227:Instances!R227),"min", MIN(Instances!R227:Instances!R227),"max", MAX(Instances!R227:Instances!R227),"diff", MAX(Instances!R227:Instances!R227)-MIN(Instances!R227:Instances!R227))</f>
        <v>0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 cm="1">
        <f t="array" ref="B228">_xlfn.SWITCH($A$2,"average", AVERAGE(Instances!B228:Instances!B228),"median", MEDIAN(Instances!B228:Instances!B228),"min", MIN(Instances!B228:Instances!B228),"max", MAX(Instances!B228:Instances!B228),"diff", MAX(Instances!B228:Instances!B228)-MIN(Instances!B228:Instances!B228))</f>
        <v>0</v>
      </c>
      <c r="C228" s="1" cm="1">
        <f t="array" ref="C228">_xlfn.SWITCH($A$2,"average", AVERAGE(Instances!C228:Instances!C228),"median", MEDIAN(Instances!C228:Instances!C228),"min", MIN(Instances!C228:Instances!C228),"max", MAX(Instances!C228:Instances!C228),"diff", MAX(Instances!C228:Instances!C228)-MIN(Instances!C228:Instances!C228))</f>
        <v>0</v>
      </c>
      <c r="D228" s="1" cm="1">
        <f t="array" ref="D228">_xlfn.SWITCH($A$2,"average", AVERAGE(Instances!D228:Instances!D228),"median", MEDIAN(Instances!D228:Instances!D228),"min", MIN(Instances!D228:Instances!D228),"max", MAX(Instances!D228:Instances!D228),"diff", MAX(Instances!D228:Instances!D228)-MIN(Instances!D228:Instances!D228))</f>
        <v>0</v>
      </c>
      <c r="E228" s="1" cm="1">
        <f t="array" ref="E228">_xlfn.SWITCH($A$2,"average", AVERAGE(Instances!E228:Instances!E228),"median", MEDIAN(Instances!E228:Instances!E228),"min", MIN(Instances!E228:Instances!E228),"max", MAX(Instances!E228:Instances!E228),"diff", MAX(Instances!E228:Instances!E228)-MIN(Instances!E228:Instances!E228))</f>
        <v>0</v>
      </c>
      <c r="F228" s="1" cm="1">
        <f t="array" ref="F228">_xlfn.SWITCH($A$2,"average", AVERAGE(Instances!F228:Instances!F228),"median", MEDIAN(Instances!F228:Instances!F228),"min", MIN(Instances!F228:Instances!F228),"max", MAX(Instances!F228:Instances!F228),"diff", MAX(Instances!F228:Instances!F228)-MIN(Instances!F228:Instances!F228))</f>
        <v>0</v>
      </c>
      <c r="G228" s="1" cm="1">
        <f t="array" ref="G228">_xlfn.SWITCH($A$2,"average", AVERAGE(Instances!G228:Instances!G228),"median", MEDIAN(Instances!G228:Instances!G228),"min", MIN(Instances!G228:Instances!G228),"max", MAX(Instances!G228:Instances!G228),"diff", MAX(Instances!G228:Instances!G228)-MIN(Instances!G228:Instances!G228))</f>
        <v>0</v>
      </c>
      <c r="H228" s="1" cm="1">
        <f t="array" ref="H228">_xlfn.SWITCH($A$2,"average", AVERAGE(Instances!H228:Instances!H228),"median", MEDIAN(Instances!H228:Instances!H228),"min", MIN(Instances!H228:Instances!H228),"max", MAX(Instances!H228:Instances!H228),"diff", MAX(Instances!H228:Instances!H228)-MIN(Instances!H228:Instances!H228))</f>
        <v>0</v>
      </c>
      <c r="I228" s="1" cm="1">
        <f t="array" ref="I228">_xlfn.SWITCH($A$2,"average", AVERAGE(Instances!I228:Instances!I228),"median", MEDIAN(Instances!I228:Instances!I228),"min", MIN(Instances!I228:Instances!I228),"max", MAX(Instances!I228:Instances!I228),"diff", MAX(Instances!I228:Instances!I228)-MIN(Instances!I228:Instances!I228))</f>
        <v>0</v>
      </c>
      <c r="J228" s="1" cm="1">
        <f t="array" ref="J228">_xlfn.SWITCH($A$2,"average", AVERAGE(Instances!J228:Instances!J228),"median", MEDIAN(Instances!J228:Instances!J228),"min", MIN(Instances!J228:Instances!J228),"max", MAX(Instances!J228:Instances!J228),"diff", MAX(Instances!J228:Instances!J228)-MIN(Instances!J228:Instances!J228))</f>
        <v>0</v>
      </c>
      <c r="K228" s="1" cm="1">
        <f t="array" ref="K228">_xlfn.SWITCH($A$2,"average", AVERAGE(Instances!K228:Instances!K228),"median", MEDIAN(Instances!K228:Instances!K228),"min", MIN(Instances!K228:Instances!K228),"max", MAX(Instances!K228:Instances!K228),"diff", MAX(Instances!K228:Instances!K228)-MIN(Instances!K228:Instances!K228))</f>
        <v>0</v>
      </c>
      <c r="L228" s="1"/>
      <c r="M228" s="1" cm="1">
        <f t="array" ref="M228">_xlfn.SWITCH($A$2,"average", AVERAGE(Instances!M228:Instances!M228),"median", MEDIAN(Instances!M228:Instances!M228),"min", MIN(Instances!M228:Instances!M228),"max", MAX(Instances!M228:Instances!M228),"diff", MAX(Instances!M228:Instances!M228)-MIN(Instances!M228:Instances!M228))</f>
        <v>0</v>
      </c>
      <c r="N228" s="1" cm="1">
        <f t="array" ref="N228">_xlfn.SWITCH($A$2,"average", AVERAGE(Instances!N228:Instances!N228),"median", MEDIAN(Instances!N228:Instances!N228),"min", MIN(Instances!N228:Instances!N228),"max", MAX(Instances!N228:Instances!N228),"diff", MAX(Instances!N228:Instances!N228)-MIN(Instances!N228:Instances!N228))</f>
        <v>0</v>
      </c>
      <c r="O228" s="1"/>
      <c r="P228" s="1" cm="1">
        <f t="array" ref="P228">_xlfn.SWITCH($A$2,"average", AVERAGE(Instances!P228:Instances!P228),"median", MEDIAN(Instances!P228:Instances!P228),"min", MIN(Instances!P228:Instances!P228),"max", MAX(Instances!P228:Instances!P228),"diff", MAX(Instances!P228:Instances!P228)-MIN(Instances!P228:Instances!P228))</f>
        <v>0</v>
      </c>
      <c r="Q228" s="1" cm="1">
        <f t="array" ref="Q228">_xlfn.SWITCH($A$2,"average", AVERAGE(Instances!Q228:Instances!Q228),"median", MEDIAN(Instances!Q228:Instances!Q228),"min", MIN(Instances!Q228:Instances!Q228),"max", MAX(Instances!Q228:Instances!Q228),"diff", MAX(Instances!Q228:Instances!Q228)-MIN(Instances!Q228:Instances!Q228))</f>
        <v>0</v>
      </c>
      <c r="R228" s="1" cm="1">
        <f t="array" ref="R228">_xlfn.SWITCH($A$2,"average", AVERAGE(Instances!R228:Instances!R228),"median", MEDIAN(Instances!R228:Instances!R228),"min", MIN(Instances!R228:Instances!R228),"max", MAX(Instances!R228:Instances!R228),"diff", MAX(Instances!R228:Instances!R228)-MIN(Instances!R228:Instances!R228))</f>
        <v>0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 cm="1">
        <f t="array" ref="B229">_xlfn.SWITCH($A$2,"average", AVERAGE(Instances!B229:Instances!B229),"median", MEDIAN(Instances!B229:Instances!B229),"min", MIN(Instances!B229:Instances!B229),"max", MAX(Instances!B229:Instances!B229),"diff", MAX(Instances!B229:Instances!B229)-MIN(Instances!B229:Instances!B229))</f>
        <v>0</v>
      </c>
      <c r="C229" s="1" cm="1">
        <f t="array" ref="C229">_xlfn.SWITCH($A$2,"average", AVERAGE(Instances!C229:Instances!C229),"median", MEDIAN(Instances!C229:Instances!C229),"min", MIN(Instances!C229:Instances!C229),"max", MAX(Instances!C229:Instances!C229),"diff", MAX(Instances!C229:Instances!C229)-MIN(Instances!C229:Instances!C229))</f>
        <v>0</v>
      </c>
      <c r="D229" s="1" cm="1">
        <f t="array" ref="D229">_xlfn.SWITCH($A$2,"average", AVERAGE(Instances!D229:Instances!D229),"median", MEDIAN(Instances!D229:Instances!D229),"min", MIN(Instances!D229:Instances!D229),"max", MAX(Instances!D229:Instances!D229),"diff", MAX(Instances!D229:Instances!D229)-MIN(Instances!D229:Instances!D229))</f>
        <v>0</v>
      </c>
      <c r="E229" s="1" cm="1">
        <f t="array" ref="E229">_xlfn.SWITCH($A$2,"average", AVERAGE(Instances!E229:Instances!E229),"median", MEDIAN(Instances!E229:Instances!E229),"min", MIN(Instances!E229:Instances!E229),"max", MAX(Instances!E229:Instances!E229),"diff", MAX(Instances!E229:Instances!E229)-MIN(Instances!E229:Instances!E229))</f>
        <v>0</v>
      </c>
      <c r="F229" s="1" cm="1">
        <f t="array" ref="F229">_xlfn.SWITCH($A$2,"average", AVERAGE(Instances!F229:Instances!F229),"median", MEDIAN(Instances!F229:Instances!F229),"min", MIN(Instances!F229:Instances!F229),"max", MAX(Instances!F229:Instances!F229),"diff", MAX(Instances!F229:Instances!F229)-MIN(Instances!F229:Instances!F229))</f>
        <v>0</v>
      </c>
      <c r="G229" s="1" cm="1">
        <f t="array" ref="G229">_xlfn.SWITCH($A$2,"average", AVERAGE(Instances!G229:Instances!G229),"median", MEDIAN(Instances!G229:Instances!G229),"min", MIN(Instances!G229:Instances!G229),"max", MAX(Instances!G229:Instances!G229),"diff", MAX(Instances!G229:Instances!G229)-MIN(Instances!G229:Instances!G229))</f>
        <v>0</v>
      </c>
      <c r="H229" s="1" cm="1">
        <f t="array" ref="H229">_xlfn.SWITCH($A$2,"average", AVERAGE(Instances!H229:Instances!H229),"median", MEDIAN(Instances!H229:Instances!H229),"min", MIN(Instances!H229:Instances!H229),"max", MAX(Instances!H229:Instances!H229),"diff", MAX(Instances!H229:Instances!H229)-MIN(Instances!H229:Instances!H229))</f>
        <v>0</v>
      </c>
      <c r="I229" s="1" cm="1">
        <f t="array" ref="I229">_xlfn.SWITCH($A$2,"average", AVERAGE(Instances!I229:Instances!I229),"median", MEDIAN(Instances!I229:Instances!I229),"min", MIN(Instances!I229:Instances!I229),"max", MAX(Instances!I229:Instances!I229),"diff", MAX(Instances!I229:Instances!I229)-MIN(Instances!I229:Instances!I229))</f>
        <v>0</v>
      </c>
      <c r="J229" s="1" cm="1">
        <f t="array" ref="J229">_xlfn.SWITCH($A$2,"average", AVERAGE(Instances!J229:Instances!J229),"median", MEDIAN(Instances!J229:Instances!J229),"min", MIN(Instances!J229:Instances!J229),"max", MAX(Instances!J229:Instances!J229),"diff", MAX(Instances!J229:Instances!J229)-MIN(Instances!J229:Instances!J229))</f>
        <v>0</v>
      </c>
      <c r="K229" s="1" cm="1">
        <f t="array" ref="K229">_xlfn.SWITCH($A$2,"average", AVERAGE(Instances!K229:Instances!K229),"median", MEDIAN(Instances!K229:Instances!K229),"min", MIN(Instances!K229:Instances!K229),"max", MAX(Instances!K229:Instances!K229),"diff", MAX(Instances!K229:Instances!K229)-MIN(Instances!K229:Instances!K229))</f>
        <v>0</v>
      </c>
      <c r="L229" s="1"/>
      <c r="M229" s="1" cm="1">
        <f t="array" ref="M229">_xlfn.SWITCH($A$2,"average", AVERAGE(Instances!M229:Instances!M229),"median", MEDIAN(Instances!M229:Instances!M229),"min", MIN(Instances!M229:Instances!M229),"max", MAX(Instances!M229:Instances!M229),"diff", MAX(Instances!M229:Instances!M229)-MIN(Instances!M229:Instances!M229))</f>
        <v>0</v>
      </c>
      <c r="N229" s="1" cm="1">
        <f t="array" ref="N229">_xlfn.SWITCH($A$2,"average", AVERAGE(Instances!N229:Instances!N229),"median", MEDIAN(Instances!N229:Instances!N229),"min", MIN(Instances!N229:Instances!N229),"max", MAX(Instances!N229:Instances!N229),"diff", MAX(Instances!N229:Instances!N229)-MIN(Instances!N229:Instances!N229))</f>
        <v>0</v>
      </c>
      <c r="O229" s="1"/>
      <c r="P229" s="1" cm="1">
        <f t="array" ref="P229">_xlfn.SWITCH($A$2,"average", AVERAGE(Instances!P229:Instances!P229),"median", MEDIAN(Instances!P229:Instances!P229),"min", MIN(Instances!P229:Instances!P229),"max", MAX(Instances!P229:Instances!P229),"diff", MAX(Instances!P229:Instances!P229)-MIN(Instances!P229:Instances!P229))</f>
        <v>0</v>
      </c>
      <c r="Q229" s="1" cm="1">
        <f t="array" ref="Q229">_xlfn.SWITCH($A$2,"average", AVERAGE(Instances!Q229:Instances!Q229),"median", MEDIAN(Instances!Q229:Instances!Q229),"min", MIN(Instances!Q229:Instances!Q229),"max", MAX(Instances!Q229:Instances!Q229),"diff", MAX(Instances!Q229:Instances!Q229)-MIN(Instances!Q229:Instances!Q229))</f>
        <v>0</v>
      </c>
      <c r="R229" s="1" cm="1">
        <f t="array" ref="R229">_xlfn.SWITCH($A$2,"average", AVERAGE(Instances!R229:Instances!R229),"median", MEDIAN(Instances!R229:Instances!R229),"min", MIN(Instances!R229:Instances!R229),"max", MAX(Instances!R229:Instances!R229),"diff", MAX(Instances!R229:Instances!R229)-MIN(Instances!R229:Instances!R229))</f>
        <v>0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 cm="1">
        <f t="array" ref="B230">_xlfn.SWITCH($A$2,"average", AVERAGE(Instances!B230:Instances!B230),"median", MEDIAN(Instances!B230:Instances!B230),"min", MIN(Instances!B230:Instances!B230),"max", MAX(Instances!B230:Instances!B230),"diff", MAX(Instances!B230:Instances!B230)-MIN(Instances!B230:Instances!B230))</f>
        <v>0</v>
      </c>
      <c r="C230" s="1" cm="1">
        <f t="array" ref="C230">_xlfn.SWITCH($A$2,"average", AVERAGE(Instances!C230:Instances!C230),"median", MEDIAN(Instances!C230:Instances!C230),"min", MIN(Instances!C230:Instances!C230),"max", MAX(Instances!C230:Instances!C230),"diff", MAX(Instances!C230:Instances!C230)-MIN(Instances!C230:Instances!C230))</f>
        <v>0</v>
      </c>
      <c r="D230" s="1" cm="1">
        <f t="array" ref="D230">_xlfn.SWITCH($A$2,"average", AVERAGE(Instances!D230:Instances!D230),"median", MEDIAN(Instances!D230:Instances!D230),"min", MIN(Instances!D230:Instances!D230),"max", MAX(Instances!D230:Instances!D230),"diff", MAX(Instances!D230:Instances!D230)-MIN(Instances!D230:Instances!D230))</f>
        <v>0</v>
      </c>
      <c r="E230" s="1" cm="1">
        <f t="array" ref="E230">_xlfn.SWITCH($A$2,"average", AVERAGE(Instances!E230:Instances!E230),"median", MEDIAN(Instances!E230:Instances!E230),"min", MIN(Instances!E230:Instances!E230),"max", MAX(Instances!E230:Instances!E230),"diff", MAX(Instances!E230:Instances!E230)-MIN(Instances!E230:Instances!E230))</f>
        <v>0</v>
      </c>
      <c r="F230" s="1" cm="1">
        <f t="array" ref="F230">_xlfn.SWITCH($A$2,"average", AVERAGE(Instances!F230:Instances!F230),"median", MEDIAN(Instances!F230:Instances!F230),"min", MIN(Instances!F230:Instances!F230),"max", MAX(Instances!F230:Instances!F230),"diff", MAX(Instances!F230:Instances!F230)-MIN(Instances!F230:Instances!F230))</f>
        <v>0</v>
      </c>
      <c r="G230" s="1" cm="1">
        <f t="array" ref="G230">_xlfn.SWITCH($A$2,"average", AVERAGE(Instances!G230:Instances!G230),"median", MEDIAN(Instances!G230:Instances!G230),"min", MIN(Instances!G230:Instances!G230),"max", MAX(Instances!G230:Instances!G230),"diff", MAX(Instances!G230:Instances!G230)-MIN(Instances!G230:Instances!G230))</f>
        <v>0</v>
      </c>
      <c r="H230" s="1" cm="1">
        <f t="array" ref="H230">_xlfn.SWITCH($A$2,"average", AVERAGE(Instances!H230:Instances!H230),"median", MEDIAN(Instances!H230:Instances!H230),"min", MIN(Instances!H230:Instances!H230),"max", MAX(Instances!H230:Instances!H230),"diff", MAX(Instances!H230:Instances!H230)-MIN(Instances!H230:Instances!H230))</f>
        <v>0</v>
      </c>
      <c r="I230" s="1" cm="1">
        <f t="array" ref="I230">_xlfn.SWITCH($A$2,"average", AVERAGE(Instances!I230:Instances!I230),"median", MEDIAN(Instances!I230:Instances!I230),"min", MIN(Instances!I230:Instances!I230),"max", MAX(Instances!I230:Instances!I230),"diff", MAX(Instances!I230:Instances!I230)-MIN(Instances!I230:Instances!I230))</f>
        <v>0</v>
      </c>
      <c r="J230" s="1" cm="1">
        <f t="array" ref="J230">_xlfn.SWITCH($A$2,"average", AVERAGE(Instances!J230:Instances!J230),"median", MEDIAN(Instances!J230:Instances!J230),"min", MIN(Instances!J230:Instances!J230),"max", MAX(Instances!J230:Instances!J230),"diff", MAX(Instances!J230:Instances!J230)-MIN(Instances!J230:Instances!J230))</f>
        <v>0</v>
      </c>
      <c r="K230" s="1" cm="1">
        <f t="array" ref="K230">_xlfn.SWITCH($A$2,"average", AVERAGE(Instances!K230:Instances!K230),"median", MEDIAN(Instances!K230:Instances!K230),"min", MIN(Instances!K230:Instances!K230),"max", MAX(Instances!K230:Instances!K230),"diff", MAX(Instances!K230:Instances!K230)-MIN(Instances!K230:Instances!K230))</f>
        <v>0</v>
      </c>
      <c r="L230" s="1"/>
      <c r="M230" s="1" cm="1">
        <f t="array" ref="M230">_xlfn.SWITCH($A$2,"average", AVERAGE(Instances!M230:Instances!M230),"median", MEDIAN(Instances!M230:Instances!M230),"min", MIN(Instances!M230:Instances!M230),"max", MAX(Instances!M230:Instances!M230),"diff", MAX(Instances!M230:Instances!M230)-MIN(Instances!M230:Instances!M230))</f>
        <v>0</v>
      </c>
      <c r="N230" s="1" cm="1">
        <f t="array" ref="N230">_xlfn.SWITCH($A$2,"average", AVERAGE(Instances!N230:Instances!N230),"median", MEDIAN(Instances!N230:Instances!N230),"min", MIN(Instances!N230:Instances!N230),"max", MAX(Instances!N230:Instances!N230),"diff", MAX(Instances!N230:Instances!N230)-MIN(Instances!N230:Instances!N230))</f>
        <v>0</v>
      </c>
      <c r="O230" s="1"/>
      <c r="P230" s="1" cm="1">
        <f t="array" ref="P230">_xlfn.SWITCH($A$2,"average", AVERAGE(Instances!P230:Instances!P230),"median", MEDIAN(Instances!P230:Instances!P230),"min", MIN(Instances!P230:Instances!P230),"max", MAX(Instances!P230:Instances!P230),"diff", MAX(Instances!P230:Instances!P230)-MIN(Instances!P230:Instances!P230))</f>
        <v>0</v>
      </c>
      <c r="Q230" s="1" cm="1">
        <f t="array" ref="Q230">_xlfn.SWITCH($A$2,"average", AVERAGE(Instances!Q230:Instances!Q230),"median", MEDIAN(Instances!Q230:Instances!Q230),"min", MIN(Instances!Q230:Instances!Q230),"max", MAX(Instances!Q230:Instances!Q230),"diff", MAX(Instances!Q230:Instances!Q230)-MIN(Instances!Q230:Instances!Q230))</f>
        <v>0</v>
      </c>
      <c r="R230" s="1" cm="1">
        <f t="array" ref="R230">_xlfn.SWITCH($A$2,"average", AVERAGE(Instances!R230:Instances!R230),"median", MEDIAN(Instances!R230:Instances!R230),"min", MIN(Instances!R230:Instances!R230),"max", MAX(Instances!R230:Instances!R230),"diff", MAX(Instances!R230:Instances!R230)-MIN(Instances!R230:Instances!R230))</f>
        <v>0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 cm="1">
        <f t="array" ref="B231">_xlfn.SWITCH($A$2,"average", AVERAGE(Instances!B231:Instances!B231),"median", MEDIAN(Instances!B231:Instances!B231),"min", MIN(Instances!B231:Instances!B231),"max", MAX(Instances!B231:Instances!B231),"diff", MAX(Instances!B231:Instances!B231)-MIN(Instances!B231:Instances!B231))</f>
        <v>0</v>
      </c>
      <c r="C231" s="1" cm="1">
        <f t="array" ref="C231">_xlfn.SWITCH($A$2,"average", AVERAGE(Instances!C231:Instances!C231),"median", MEDIAN(Instances!C231:Instances!C231),"min", MIN(Instances!C231:Instances!C231),"max", MAX(Instances!C231:Instances!C231),"diff", MAX(Instances!C231:Instances!C231)-MIN(Instances!C231:Instances!C231))</f>
        <v>0</v>
      </c>
      <c r="D231" s="1" cm="1">
        <f t="array" ref="D231">_xlfn.SWITCH($A$2,"average", AVERAGE(Instances!D231:Instances!D231),"median", MEDIAN(Instances!D231:Instances!D231),"min", MIN(Instances!D231:Instances!D231),"max", MAX(Instances!D231:Instances!D231),"diff", MAX(Instances!D231:Instances!D231)-MIN(Instances!D231:Instances!D231))</f>
        <v>0</v>
      </c>
      <c r="E231" s="1" cm="1">
        <f t="array" ref="E231">_xlfn.SWITCH($A$2,"average", AVERAGE(Instances!E231:Instances!E231),"median", MEDIAN(Instances!E231:Instances!E231),"min", MIN(Instances!E231:Instances!E231),"max", MAX(Instances!E231:Instances!E231),"diff", MAX(Instances!E231:Instances!E231)-MIN(Instances!E231:Instances!E231))</f>
        <v>0</v>
      </c>
      <c r="F231" s="1" cm="1">
        <f t="array" ref="F231">_xlfn.SWITCH($A$2,"average", AVERAGE(Instances!F231:Instances!F231),"median", MEDIAN(Instances!F231:Instances!F231),"min", MIN(Instances!F231:Instances!F231),"max", MAX(Instances!F231:Instances!F231),"diff", MAX(Instances!F231:Instances!F231)-MIN(Instances!F231:Instances!F231))</f>
        <v>0</v>
      </c>
      <c r="G231" s="1" cm="1">
        <f t="array" ref="G231">_xlfn.SWITCH($A$2,"average", AVERAGE(Instances!G231:Instances!G231),"median", MEDIAN(Instances!G231:Instances!G231),"min", MIN(Instances!G231:Instances!G231),"max", MAX(Instances!G231:Instances!G231),"diff", MAX(Instances!G231:Instances!G231)-MIN(Instances!G231:Instances!G231))</f>
        <v>0</v>
      </c>
      <c r="H231" s="1" cm="1">
        <f t="array" ref="H231">_xlfn.SWITCH($A$2,"average", AVERAGE(Instances!H231:Instances!H231),"median", MEDIAN(Instances!H231:Instances!H231),"min", MIN(Instances!H231:Instances!H231),"max", MAX(Instances!H231:Instances!H231),"diff", MAX(Instances!H231:Instances!H231)-MIN(Instances!H231:Instances!H231))</f>
        <v>0</v>
      </c>
      <c r="I231" s="1" cm="1">
        <f t="array" ref="I231">_xlfn.SWITCH($A$2,"average", AVERAGE(Instances!I231:Instances!I231),"median", MEDIAN(Instances!I231:Instances!I231),"min", MIN(Instances!I231:Instances!I231),"max", MAX(Instances!I231:Instances!I231),"diff", MAX(Instances!I231:Instances!I231)-MIN(Instances!I231:Instances!I231))</f>
        <v>0</v>
      </c>
      <c r="J231" s="1" cm="1">
        <f t="array" ref="J231">_xlfn.SWITCH($A$2,"average", AVERAGE(Instances!J231:Instances!J231),"median", MEDIAN(Instances!J231:Instances!J231),"min", MIN(Instances!J231:Instances!J231),"max", MAX(Instances!J231:Instances!J231),"diff", MAX(Instances!J231:Instances!J231)-MIN(Instances!J231:Instances!J231))</f>
        <v>0</v>
      </c>
      <c r="K231" s="1" cm="1">
        <f t="array" ref="K231">_xlfn.SWITCH($A$2,"average", AVERAGE(Instances!K231:Instances!K231),"median", MEDIAN(Instances!K231:Instances!K231),"min", MIN(Instances!K231:Instances!K231),"max", MAX(Instances!K231:Instances!K231),"diff", MAX(Instances!K231:Instances!K231)-MIN(Instances!K231:Instances!K231))</f>
        <v>0</v>
      </c>
      <c r="L231" s="1"/>
      <c r="M231" s="1" cm="1">
        <f t="array" ref="M231">_xlfn.SWITCH($A$2,"average", AVERAGE(Instances!M231:Instances!M231),"median", MEDIAN(Instances!M231:Instances!M231),"min", MIN(Instances!M231:Instances!M231),"max", MAX(Instances!M231:Instances!M231),"diff", MAX(Instances!M231:Instances!M231)-MIN(Instances!M231:Instances!M231))</f>
        <v>0</v>
      </c>
      <c r="N231" s="1" cm="1">
        <f t="array" ref="N231">_xlfn.SWITCH($A$2,"average", AVERAGE(Instances!N231:Instances!N231),"median", MEDIAN(Instances!N231:Instances!N231),"min", MIN(Instances!N231:Instances!N231),"max", MAX(Instances!N231:Instances!N231),"diff", MAX(Instances!N231:Instances!N231)-MIN(Instances!N231:Instances!N231))</f>
        <v>0</v>
      </c>
      <c r="O231" s="1"/>
      <c r="P231" s="1" cm="1">
        <f t="array" ref="P231">_xlfn.SWITCH($A$2,"average", AVERAGE(Instances!P231:Instances!P231),"median", MEDIAN(Instances!P231:Instances!P231),"min", MIN(Instances!P231:Instances!P231),"max", MAX(Instances!P231:Instances!P231),"diff", MAX(Instances!P231:Instances!P231)-MIN(Instances!P231:Instances!P231))</f>
        <v>0</v>
      </c>
      <c r="Q231" s="1" cm="1">
        <f t="array" ref="Q231">_xlfn.SWITCH($A$2,"average", AVERAGE(Instances!Q231:Instances!Q231),"median", MEDIAN(Instances!Q231:Instances!Q231),"min", MIN(Instances!Q231:Instances!Q231),"max", MAX(Instances!Q231:Instances!Q231),"diff", MAX(Instances!Q231:Instances!Q231)-MIN(Instances!Q231:Instances!Q231))</f>
        <v>0</v>
      </c>
      <c r="R231" s="1" cm="1">
        <f t="array" ref="R231">_xlfn.SWITCH($A$2,"average", AVERAGE(Instances!R231:Instances!R231),"median", MEDIAN(Instances!R231:Instances!R231),"min", MIN(Instances!R231:Instances!R231),"max", MAX(Instances!R231:Instances!R231),"diff", MAX(Instances!R231:Instances!R231)-MIN(Instances!R231:Instances!R231))</f>
        <v>0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 cm="1">
        <f t="array" ref="B232">_xlfn.SWITCH($A$2,"average", AVERAGE(Instances!B232:Instances!B232),"median", MEDIAN(Instances!B232:Instances!B232),"min", MIN(Instances!B232:Instances!B232),"max", MAX(Instances!B232:Instances!B232),"diff", MAX(Instances!B232:Instances!B232)-MIN(Instances!B232:Instances!B232))</f>
        <v>0</v>
      </c>
      <c r="C232" s="1" cm="1">
        <f t="array" ref="C232">_xlfn.SWITCH($A$2,"average", AVERAGE(Instances!C232:Instances!C232),"median", MEDIAN(Instances!C232:Instances!C232),"min", MIN(Instances!C232:Instances!C232),"max", MAX(Instances!C232:Instances!C232),"diff", MAX(Instances!C232:Instances!C232)-MIN(Instances!C232:Instances!C232))</f>
        <v>0</v>
      </c>
      <c r="D232" s="1" cm="1">
        <f t="array" ref="D232">_xlfn.SWITCH($A$2,"average", AVERAGE(Instances!D232:Instances!D232),"median", MEDIAN(Instances!D232:Instances!D232),"min", MIN(Instances!D232:Instances!D232),"max", MAX(Instances!D232:Instances!D232),"diff", MAX(Instances!D232:Instances!D232)-MIN(Instances!D232:Instances!D232))</f>
        <v>0</v>
      </c>
      <c r="E232" s="1" cm="1">
        <f t="array" ref="E232">_xlfn.SWITCH($A$2,"average", AVERAGE(Instances!E232:Instances!E232),"median", MEDIAN(Instances!E232:Instances!E232),"min", MIN(Instances!E232:Instances!E232),"max", MAX(Instances!E232:Instances!E232),"diff", MAX(Instances!E232:Instances!E232)-MIN(Instances!E232:Instances!E232))</f>
        <v>0</v>
      </c>
      <c r="F232" s="1" cm="1">
        <f t="array" ref="F232">_xlfn.SWITCH($A$2,"average", AVERAGE(Instances!F232:Instances!F232),"median", MEDIAN(Instances!F232:Instances!F232),"min", MIN(Instances!F232:Instances!F232),"max", MAX(Instances!F232:Instances!F232),"diff", MAX(Instances!F232:Instances!F232)-MIN(Instances!F232:Instances!F232))</f>
        <v>0</v>
      </c>
      <c r="G232" s="1" cm="1">
        <f t="array" ref="G232">_xlfn.SWITCH($A$2,"average", AVERAGE(Instances!G232:Instances!G232),"median", MEDIAN(Instances!G232:Instances!G232),"min", MIN(Instances!G232:Instances!G232),"max", MAX(Instances!G232:Instances!G232),"diff", MAX(Instances!G232:Instances!G232)-MIN(Instances!G232:Instances!G232))</f>
        <v>0</v>
      </c>
      <c r="H232" s="1" cm="1">
        <f t="array" ref="H232">_xlfn.SWITCH($A$2,"average", AVERAGE(Instances!H232:Instances!H232),"median", MEDIAN(Instances!H232:Instances!H232),"min", MIN(Instances!H232:Instances!H232),"max", MAX(Instances!H232:Instances!H232),"diff", MAX(Instances!H232:Instances!H232)-MIN(Instances!H232:Instances!H232))</f>
        <v>0</v>
      </c>
      <c r="I232" s="1" cm="1">
        <f t="array" ref="I232">_xlfn.SWITCH($A$2,"average", AVERAGE(Instances!I232:Instances!I232),"median", MEDIAN(Instances!I232:Instances!I232),"min", MIN(Instances!I232:Instances!I232),"max", MAX(Instances!I232:Instances!I232),"diff", MAX(Instances!I232:Instances!I232)-MIN(Instances!I232:Instances!I232))</f>
        <v>0</v>
      </c>
      <c r="J232" s="1" cm="1">
        <f t="array" ref="J232">_xlfn.SWITCH($A$2,"average", AVERAGE(Instances!J232:Instances!J232),"median", MEDIAN(Instances!J232:Instances!J232),"min", MIN(Instances!J232:Instances!J232),"max", MAX(Instances!J232:Instances!J232),"diff", MAX(Instances!J232:Instances!J232)-MIN(Instances!J232:Instances!J232))</f>
        <v>0</v>
      </c>
      <c r="K232" s="1" cm="1">
        <f t="array" ref="K232">_xlfn.SWITCH($A$2,"average", AVERAGE(Instances!K232:Instances!K232),"median", MEDIAN(Instances!K232:Instances!K232),"min", MIN(Instances!K232:Instances!K232),"max", MAX(Instances!K232:Instances!K232),"diff", MAX(Instances!K232:Instances!K232)-MIN(Instances!K232:Instances!K232))</f>
        <v>0</v>
      </c>
      <c r="L232" s="1"/>
      <c r="M232" s="1" cm="1">
        <f t="array" ref="M232">_xlfn.SWITCH($A$2,"average", AVERAGE(Instances!M232:Instances!M232),"median", MEDIAN(Instances!M232:Instances!M232),"min", MIN(Instances!M232:Instances!M232),"max", MAX(Instances!M232:Instances!M232),"diff", MAX(Instances!M232:Instances!M232)-MIN(Instances!M232:Instances!M232))</f>
        <v>0</v>
      </c>
      <c r="N232" s="1" cm="1">
        <f t="array" ref="N232">_xlfn.SWITCH($A$2,"average", AVERAGE(Instances!N232:Instances!N232),"median", MEDIAN(Instances!N232:Instances!N232),"min", MIN(Instances!N232:Instances!N232),"max", MAX(Instances!N232:Instances!N232),"diff", MAX(Instances!N232:Instances!N232)-MIN(Instances!N232:Instances!N232))</f>
        <v>0</v>
      </c>
      <c r="O232" s="1"/>
      <c r="P232" s="1" cm="1">
        <f t="array" ref="P232">_xlfn.SWITCH($A$2,"average", AVERAGE(Instances!P232:Instances!P232),"median", MEDIAN(Instances!P232:Instances!P232),"min", MIN(Instances!P232:Instances!P232),"max", MAX(Instances!P232:Instances!P232),"diff", MAX(Instances!P232:Instances!P232)-MIN(Instances!P232:Instances!P232))</f>
        <v>0</v>
      </c>
      <c r="Q232" s="1" cm="1">
        <f t="array" ref="Q232">_xlfn.SWITCH($A$2,"average", AVERAGE(Instances!Q232:Instances!Q232),"median", MEDIAN(Instances!Q232:Instances!Q232),"min", MIN(Instances!Q232:Instances!Q232),"max", MAX(Instances!Q232:Instances!Q232),"diff", MAX(Instances!Q232:Instances!Q232)-MIN(Instances!Q232:Instances!Q232))</f>
        <v>0</v>
      </c>
      <c r="R232" s="1" cm="1">
        <f t="array" ref="R232">_xlfn.SWITCH($A$2,"average", AVERAGE(Instances!R232:Instances!R232),"median", MEDIAN(Instances!R232:Instances!R232),"min", MIN(Instances!R232:Instances!R232),"max", MAX(Instances!R232:Instances!R232),"diff", MAX(Instances!R232:Instances!R232)-MIN(Instances!R232:Instances!R232))</f>
        <v>0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 cm="1">
        <f t="array" ref="B233">_xlfn.SWITCH($A$2,"average", AVERAGE(Instances!B233:Instances!B233),"median", MEDIAN(Instances!B233:Instances!B233),"min", MIN(Instances!B233:Instances!B233),"max", MAX(Instances!B233:Instances!B233),"diff", MAX(Instances!B233:Instances!B233)-MIN(Instances!B233:Instances!B233))</f>
        <v>0</v>
      </c>
      <c r="C233" s="1" cm="1">
        <f t="array" ref="C233">_xlfn.SWITCH($A$2,"average", AVERAGE(Instances!C233:Instances!C233),"median", MEDIAN(Instances!C233:Instances!C233),"min", MIN(Instances!C233:Instances!C233),"max", MAX(Instances!C233:Instances!C233),"diff", MAX(Instances!C233:Instances!C233)-MIN(Instances!C233:Instances!C233))</f>
        <v>0</v>
      </c>
      <c r="D233" s="1" cm="1">
        <f t="array" ref="D233">_xlfn.SWITCH($A$2,"average", AVERAGE(Instances!D233:Instances!D233),"median", MEDIAN(Instances!D233:Instances!D233),"min", MIN(Instances!D233:Instances!D233),"max", MAX(Instances!D233:Instances!D233),"diff", MAX(Instances!D233:Instances!D233)-MIN(Instances!D233:Instances!D233))</f>
        <v>0</v>
      </c>
      <c r="E233" s="1" cm="1">
        <f t="array" ref="E233">_xlfn.SWITCH($A$2,"average", AVERAGE(Instances!E233:Instances!E233),"median", MEDIAN(Instances!E233:Instances!E233),"min", MIN(Instances!E233:Instances!E233),"max", MAX(Instances!E233:Instances!E233),"diff", MAX(Instances!E233:Instances!E233)-MIN(Instances!E233:Instances!E233))</f>
        <v>0</v>
      </c>
      <c r="F233" s="1" cm="1">
        <f t="array" ref="F233">_xlfn.SWITCH($A$2,"average", AVERAGE(Instances!F233:Instances!F233),"median", MEDIAN(Instances!F233:Instances!F233),"min", MIN(Instances!F233:Instances!F233),"max", MAX(Instances!F233:Instances!F233),"diff", MAX(Instances!F233:Instances!F233)-MIN(Instances!F233:Instances!F233))</f>
        <v>0</v>
      </c>
      <c r="G233" s="1" cm="1">
        <f t="array" ref="G233">_xlfn.SWITCH($A$2,"average", AVERAGE(Instances!G233:Instances!G233),"median", MEDIAN(Instances!G233:Instances!G233),"min", MIN(Instances!G233:Instances!G233),"max", MAX(Instances!G233:Instances!G233),"diff", MAX(Instances!G233:Instances!G233)-MIN(Instances!G233:Instances!G233))</f>
        <v>0</v>
      </c>
      <c r="H233" s="1" cm="1">
        <f t="array" ref="H233">_xlfn.SWITCH($A$2,"average", AVERAGE(Instances!H233:Instances!H233),"median", MEDIAN(Instances!H233:Instances!H233),"min", MIN(Instances!H233:Instances!H233),"max", MAX(Instances!H233:Instances!H233),"diff", MAX(Instances!H233:Instances!H233)-MIN(Instances!H233:Instances!H233))</f>
        <v>0</v>
      </c>
      <c r="I233" s="1" cm="1">
        <f t="array" ref="I233">_xlfn.SWITCH($A$2,"average", AVERAGE(Instances!I233:Instances!I233),"median", MEDIAN(Instances!I233:Instances!I233),"min", MIN(Instances!I233:Instances!I233),"max", MAX(Instances!I233:Instances!I233),"diff", MAX(Instances!I233:Instances!I233)-MIN(Instances!I233:Instances!I233))</f>
        <v>0</v>
      </c>
      <c r="J233" s="1" cm="1">
        <f t="array" ref="J233">_xlfn.SWITCH($A$2,"average", AVERAGE(Instances!J233:Instances!J233),"median", MEDIAN(Instances!J233:Instances!J233),"min", MIN(Instances!J233:Instances!J233),"max", MAX(Instances!J233:Instances!J233),"diff", MAX(Instances!J233:Instances!J233)-MIN(Instances!J233:Instances!J233))</f>
        <v>0</v>
      </c>
      <c r="K233" s="1" cm="1">
        <f t="array" ref="K233">_xlfn.SWITCH($A$2,"average", AVERAGE(Instances!K233:Instances!K233),"median", MEDIAN(Instances!K233:Instances!K233),"min", MIN(Instances!K233:Instances!K233),"max", MAX(Instances!K233:Instances!K233),"diff", MAX(Instances!K233:Instances!K233)-MIN(Instances!K233:Instances!K233))</f>
        <v>0</v>
      </c>
      <c r="L233" s="1"/>
      <c r="M233" s="1" cm="1">
        <f t="array" ref="M233">_xlfn.SWITCH($A$2,"average", AVERAGE(Instances!M233:Instances!M233),"median", MEDIAN(Instances!M233:Instances!M233),"min", MIN(Instances!M233:Instances!M233),"max", MAX(Instances!M233:Instances!M233),"diff", MAX(Instances!M233:Instances!M233)-MIN(Instances!M233:Instances!M233))</f>
        <v>0</v>
      </c>
      <c r="N233" s="1" cm="1">
        <f t="array" ref="N233">_xlfn.SWITCH($A$2,"average", AVERAGE(Instances!N233:Instances!N233),"median", MEDIAN(Instances!N233:Instances!N233),"min", MIN(Instances!N233:Instances!N233),"max", MAX(Instances!N233:Instances!N233),"diff", MAX(Instances!N233:Instances!N233)-MIN(Instances!N233:Instances!N233))</f>
        <v>0</v>
      </c>
      <c r="O233" s="1"/>
      <c r="P233" s="1" cm="1">
        <f t="array" ref="P233">_xlfn.SWITCH($A$2,"average", AVERAGE(Instances!P233:Instances!P233),"median", MEDIAN(Instances!P233:Instances!P233),"min", MIN(Instances!P233:Instances!P233),"max", MAX(Instances!P233:Instances!P233),"diff", MAX(Instances!P233:Instances!P233)-MIN(Instances!P233:Instances!P233))</f>
        <v>0</v>
      </c>
      <c r="Q233" s="1" cm="1">
        <f t="array" ref="Q233">_xlfn.SWITCH($A$2,"average", AVERAGE(Instances!Q233:Instances!Q233),"median", MEDIAN(Instances!Q233:Instances!Q233),"min", MIN(Instances!Q233:Instances!Q233),"max", MAX(Instances!Q233:Instances!Q233),"diff", MAX(Instances!Q233:Instances!Q233)-MIN(Instances!Q233:Instances!Q233))</f>
        <v>0</v>
      </c>
      <c r="R233" s="1" cm="1">
        <f t="array" ref="R233">_xlfn.SWITCH($A$2,"average", AVERAGE(Instances!R233:Instances!R233),"median", MEDIAN(Instances!R233:Instances!R233),"min", MIN(Instances!R233:Instances!R233),"max", MAX(Instances!R233:Instances!R233),"diff", MAX(Instances!R233:Instances!R233)-MIN(Instances!R233:Instances!R233))</f>
        <v>0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 cm="1">
        <f t="array" ref="B234">_xlfn.SWITCH($A$2,"average", AVERAGE(Instances!B234:Instances!B234),"median", MEDIAN(Instances!B234:Instances!B234),"min", MIN(Instances!B234:Instances!B234),"max", MAX(Instances!B234:Instances!B234),"diff", MAX(Instances!B234:Instances!B234)-MIN(Instances!B234:Instances!B234))</f>
        <v>0</v>
      </c>
      <c r="C234" s="1" cm="1">
        <f t="array" ref="C234">_xlfn.SWITCH($A$2,"average", AVERAGE(Instances!C234:Instances!C234),"median", MEDIAN(Instances!C234:Instances!C234),"min", MIN(Instances!C234:Instances!C234),"max", MAX(Instances!C234:Instances!C234),"diff", MAX(Instances!C234:Instances!C234)-MIN(Instances!C234:Instances!C234))</f>
        <v>0</v>
      </c>
      <c r="D234" s="1" cm="1">
        <f t="array" ref="D234">_xlfn.SWITCH($A$2,"average", AVERAGE(Instances!D234:Instances!D234),"median", MEDIAN(Instances!D234:Instances!D234),"min", MIN(Instances!D234:Instances!D234),"max", MAX(Instances!D234:Instances!D234),"diff", MAX(Instances!D234:Instances!D234)-MIN(Instances!D234:Instances!D234))</f>
        <v>0</v>
      </c>
      <c r="E234" s="1" cm="1">
        <f t="array" ref="E234">_xlfn.SWITCH($A$2,"average", AVERAGE(Instances!E234:Instances!E234),"median", MEDIAN(Instances!E234:Instances!E234),"min", MIN(Instances!E234:Instances!E234),"max", MAX(Instances!E234:Instances!E234),"diff", MAX(Instances!E234:Instances!E234)-MIN(Instances!E234:Instances!E234))</f>
        <v>0</v>
      </c>
      <c r="F234" s="1" cm="1">
        <f t="array" ref="F234">_xlfn.SWITCH($A$2,"average", AVERAGE(Instances!F234:Instances!F234),"median", MEDIAN(Instances!F234:Instances!F234),"min", MIN(Instances!F234:Instances!F234),"max", MAX(Instances!F234:Instances!F234),"diff", MAX(Instances!F234:Instances!F234)-MIN(Instances!F234:Instances!F234))</f>
        <v>0</v>
      </c>
      <c r="G234" s="1" cm="1">
        <f t="array" ref="G234">_xlfn.SWITCH($A$2,"average", AVERAGE(Instances!G234:Instances!G234),"median", MEDIAN(Instances!G234:Instances!G234),"min", MIN(Instances!G234:Instances!G234),"max", MAX(Instances!G234:Instances!G234),"diff", MAX(Instances!G234:Instances!G234)-MIN(Instances!G234:Instances!G234))</f>
        <v>0</v>
      </c>
      <c r="H234" s="1" cm="1">
        <f t="array" ref="H234">_xlfn.SWITCH($A$2,"average", AVERAGE(Instances!H234:Instances!H234),"median", MEDIAN(Instances!H234:Instances!H234),"min", MIN(Instances!H234:Instances!H234),"max", MAX(Instances!H234:Instances!H234),"diff", MAX(Instances!H234:Instances!H234)-MIN(Instances!H234:Instances!H234))</f>
        <v>0</v>
      </c>
      <c r="I234" s="1" cm="1">
        <f t="array" ref="I234">_xlfn.SWITCH($A$2,"average", AVERAGE(Instances!I234:Instances!I234),"median", MEDIAN(Instances!I234:Instances!I234),"min", MIN(Instances!I234:Instances!I234),"max", MAX(Instances!I234:Instances!I234),"diff", MAX(Instances!I234:Instances!I234)-MIN(Instances!I234:Instances!I234))</f>
        <v>0</v>
      </c>
      <c r="J234" s="1" cm="1">
        <f t="array" ref="J234">_xlfn.SWITCH($A$2,"average", AVERAGE(Instances!J234:Instances!J234),"median", MEDIAN(Instances!J234:Instances!J234),"min", MIN(Instances!J234:Instances!J234),"max", MAX(Instances!J234:Instances!J234),"diff", MAX(Instances!J234:Instances!J234)-MIN(Instances!J234:Instances!J234))</f>
        <v>0</v>
      </c>
      <c r="K234" s="1" cm="1">
        <f t="array" ref="K234">_xlfn.SWITCH($A$2,"average", AVERAGE(Instances!K234:Instances!K234),"median", MEDIAN(Instances!K234:Instances!K234),"min", MIN(Instances!K234:Instances!K234),"max", MAX(Instances!K234:Instances!K234),"diff", MAX(Instances!K234:Instances!K234)-MIN(Instances!K234:Instances!K234))</f>
        <v>0</v>
      </c>
      <c r="L234" s="1"/>
      <c r="M234" s="1" cm="1">
        <f t="array" ref="M234">_xlfn.SWITCH($A$2,"average", AVERAGE(Instances!M234:Instances!M234),"median", MEDIAN(Instances!M234:Instances!M234),"min", MIN(Instances!M234:Instances!M234),"max", MAX(Instances!M234:Instances!M234),"diff", MAX(Instances!M234:Instances!M234)-MIN(Instances!M234:Instances!M234))</f>
        <v>0</v>
      </c>
      <c r="N234" s="1" cm="1">
        <f t="array" ref="N234">_xlfn.SWITCH($A$2,"average", AVERAGE(Instances!N234:Instances!N234),"median", MEDIAN(Instances!N234:Instances!N234),"min", MIN(Instances!N234:Instances!N234),"max", MAX(Instances!N234:Instances!N234),"diff", MAX(Instances!N234:Instances!N234)-MIN(Instances!N234:Instances!N234))</f>
        <v>0</v>
      </c>
      <c r="O234" s="1"/>
      <c r="P234" s="1" cm="1">
        <f t="array" ref="P234">_xlfn.SWITCH($A$2,"average", AVERAGE(Instances!P234:Instances!P234),"median", MEDIAN(Instances!P234:Instances!P234),"min", MIN(Instances!P234:Instances!P234),"max", MAX(Instances!P234:Instances!P234),"diff", MAX(Instances!P234:Instances!P234)-MIN(Instances!P234:Instances!P234))</f>
        <v>0</v>
      </c>
      <c r="Q234" s="1" cm="1">
        <f t="array" ref="Q234">_xlfn.SWITCH($A$2,"average", AVERAGE(Instances!Q234:Instances!Q234),"median", MEDIAN(Instances!Q234:Instances!Q234),"min", MIN(Instances!Q234:Instances!Q234),"max", MAX(Instances!Q234:Instances!Q234),"diff", MAX(Instances!Q234:Instances!Q234)-MIN(Instances!Q234:Instances!Q234))</f>
        <v>0</v>
      </c>
      <c r="R234" s="1" cm="1">
        <f t="array" ref="R234">_xlfn.SWITCH($A$2,"average", AVERAGE(Instances!R234:Instances!R234),"median", MEDIAN(Instances!R234:Instances!R234),"min", MIN(Instances!R234:Instances!R234),"max", MAX(Instances!R234:Instances!R234),"diff", MAX(Instances!R234:Instances!R234)-MIN(Instances!R234:Instances!R234))</f>
        <v>0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 cm="1">
        <f t="array" ref="B235">_xlfn.SWITCH($A$2,"average", AVERAGE(Instances!B235:Instances!B235),"median", MEDIAN(Instances!B235:Instances!B235),"min", MIN(Instances!B235:Instances!B235),"max", MAX(Instances!B235:Instances!B235),"diff", MAX(Instances!B235:Instances!B235)-MIN(Instances!B235:Instances!B235))</f>
        <v>0</v>
      </c>
      <c r="C235" s="1" cm="1">
        <f t="array" ref="C235">_xlfn.SWITCH($A$2,"average", AVERAGE(Instances!C235:Instances!C235),"median", MEDIAN(Instances!C235:Instances!C235),"min", MIN(Instances!C235:Instances!C235),"max", MAX(Instances!C235:Instances!C235),"diff", MAX(Instances!C235:Instances!C235)-MIN(Instances!C235:Instances!C235))</f>
        <v>0</v>
      </c>
      <c r="D235" s="1" cm="1">
        <f t="array" ref="D235">_xlfn.SWITCH($A$2,"average", AVERAGE(Instances!D235:Instances!D235),"median", MEDIAN(Instances!D235:Instances!D235),"min", MIN(Instances!D235:Instances!D235),"max", MAX(Instances!D235:Instances!D235),"diff", MAX(Instances!D235:Instances!D235)-MIN(Instances!D235:Instances!D235))</f>
        <v>0</v>
      </c>
      <c r="E235" s="1" cm="1">
        <f t="array" ref="E235">_xlfn.SWITCH($A$2,"average", AVERAGE(Instances!E235:Instances!E235),"median", MEDIAN(Instances!E235:Instances!E235),"min", MIN(Instances!E235:Instances!E235),"max", MAX(Instances!E235:Instances!E235),"diff", MAX(Instances!E235:Instances!E235)-MIN(Instances!E235:Instances!E235))</f>
        <v>0</v>
      </c>
      <c r="F235" s="1" cm="1">
        <f t="array" ref="F235">_xlfn.SWITCH($A$2,"average", AVERAGE(Instances!F235:Instances!F235),"median", MEDIAN(Instances!F235:Instances!F235),"min", MIN(Instances!F235:Instances!F235),"max", MAX(Instances!F235:Instances!F235),"diff", MAX(Instances!F235:Instances!F235)-MIN(Instances!F235:Instances!F235))</f>
        <v>0</v>
      </c>
      <c r="G235" s="1" cm="1">
        <f t="array" ref="G235">_xlfn.SWITCH($A$2,"average", AVERAGE(Instances!G235:Instances!G235),"median", MEDIAN(Instances!G235:Instances!G235),"min", MIN(Instances!G235:Instances!G235),"max", MAX(Instances!G235:Instances!G235),"diff", MAX(Instances!G235:Instances!G235)-MIN(Instances!G235:Instances!G235))</f>
        <v>0</v>
      </c>
      <c r="H235" s="1" cm="1">
        <f t="array" ref="H235">_xlfn.SWITCH($A$2,"average", AVERAGE(Instances!H235:Instances!H235),"median", MEDIAN(Instances!H235:Instances!H235),"min", MIN(Instances!H235:Instances!H235),"max", MAX(Instances!H235:Instances!H235),"diff", MAX(Instances!H235:Instances!H235)-MIN(Instances!H235:Instances!H235))</f>
        <v>0</v>
      </c>
      <c r="I235" s="1" cm="1">
        <f t="array" ref="I235">_xlfn.SWITCH($A$2,"average", AVERAGE(Instances!I235:Instances!I235),"median", MEDIAN(Instances!I235:Instances!I235),"min", MIN(Instances!I235:Instances!I235),"max", MAX(Instances!I235:Instances!I235),"diff", MAX(Instances!I235:Instances!I235)-MIN(Instances!I235:Instances!I235))</f>
        <v>0</v>
      </c>
      <c r="J235" s="1" cm="1">
        <f t="array" ref="J235">_xlfn.SWITCH($A$2,"average", AVERAGE(Instances!J235:Instances!J235),"median", MEDIAN(Instances!J235:Instances!J235),"min", MIN(Instances!J235:Instances!J235),"max", MAX(Instances!J235:Instances!J235),"diff", MAX(Instances!J235:Instances!J235)-MIN(Instances!J235:Instances!J235))</f>
        <v>0</v>
      </c>
      <c r="K235" s="1" cm="1">
        <f t="array" ref="K235">_xlfn.SWITCH($A$2,"average", AVERAGE(Instances!K235:Instances!K235),"median", MEDIAN(Instances!K235:Instances!K235),"min", MIN(Instances!K235:Instances!K235),"max", MAX(Instances!K235:Instances!K235),"diff", MAX(Instances!K235:Instances!K235)-MIN(Instances!K235:Instances!K235))</f>
        <v>0</v>
      </c>
      <c r="L235" s="1"/>
      <c r="M235" s="1" cm="1">
        <f t="array" ref="M235">_xlfn.SWITCH($A$2,"average", AVERAGE(Instances!M235:Instances!M235),"median", MEDIAN(Instances!M235:Instances!M235),"min", MIN(Instances!M235:Instances!M235),"max", MAX(Instances!M235:Instances!M235),"diff", MAX(Instances!M235:Instances!M235)-MIN(Instances!M235:Instances!M235))</f>
        <v>0</v>
      </c>
      <c r="N235" s="1" cm="1">
        <f t="array" ref="N235">_xlfn.SWITCH($A$2,"average", AVERAGE(Instances!N235:Instances!N235),"median", MEDIAN(Instances!N235:Instances!N235),"min", MIN(Instances!N235:Instances!N235),"max", MAX(Instances!N235:Instances!N235),"diff", MAX(Instances!N235:Instances!N235)-MIN(Instances!N235:Instances!N235))</f>
        <v>0</v>
      </c>
      <c r="O235" s="1"/>
      <c r="P235" s="1" cm="1">
        <f t="array" ref="P235">_xlfn.SWITCH($A$2,"average", AVERAGE(Instances!P235:Instances!P235),"median", MEDIAN(Instances!P235:Instances!P235),"min", MIN(Instances!P235:Instances!P235),"max", MAX(Instances!P235:Instances!P235),"diff", MAX(Instances!P235:Instances!P235)-MIN(Instances!P235:Instances!P235))</f>
        <v>0</v>
      </c>
      <c r="Q235" s="1" cm="1">
        <f t="array" ref="Q235">_xlfn.SWITCH($A$2,"average", AVERAGE(Instances!Q235:Instances!Q235),"median", MEDIAN(Instances!Q235:Instances!Q235),"min", MIN(Instances!Q235:Instances!Q235),"max", MAX(Instances!Q235:Instances!Q235),"diff", MAX(Instances!Q235:Instances!Q235)-MIN(Instances!Q235:Instances!Q235))</f>
        <v>0</v>
      </c>
      <c r="R235" s="1" cm="1">
        <f t="array" ref="R235">_xlfn.SWITCH($A$2,"average", AVERAGE(Instances!R235:Instances!R235),"median", MEDIAN(Instances!R235:Instances!R235),"min", MIN(Instances!R235:Instances!R235),"max", MAX(Instances!R235:Instances!R235),"diff", MAX(Instances!R235:Instances!R235)-MIN(Instances!R235:Instances!R235))</f>
        <v>0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 cm="1">
        <f t="array" ref="B236">_xlfn.SWITCH($A$2,"average", AVERAGE(Instances!B236:Instances!B236),"median", MEDIAN(Instances!B236:Instances!B236),"min", MIN(Instances!B236:Instances!B236),"max", MAX(Instances!B236:Instances!B236),"diff", MAX(Instances!B236:Instances!B236)-MIN(Instances!B236:Instances!B236))</f>
        <v>0</v>
      </c>
      <c r="C236" s="1" cm="1">
        <f t="array" ref="C236">_xlfn.SWITCH($A$2,"average", AVERAGE(Instances!C236:Instances!C236),"median", MEDIAN(Instances!C236:Instances!C236),"min", MIN(Instances!C236:Instances!C236),"max", MAX(Instances!C236:Instances!C236),"diff", MAX(Instances!C236:Instances!C236)-MIN(Instances!C236:Instances!C236))</f>
        <v>0</v>
      </c>
      <c r="D236" s="1" cm="1">
        <f t="array" ref="D236">_xlfn.SWITCH($A$2,"average", AVERAGE(Instances!D236:Instances!D236),"median", MEDIAN(Instances!D236:Instances!D236),"min", MIN(Instances!D236:Instances!D236),"max", MAX(Instances!D236:Instances!D236),"diff", MAX(Instances!D236:Instances!D236)-MIN(Instances!D236:Instances!D236))</f>
        <v>0</v>
      </c>
      <c r="E236" s="1" cm="1">
        <f t="array" ref="E236">_xlfn.SWITCH($A$2,"average", AVERAGE(Instances!E236:Instances!E236),"median", MEDIAN(Instances!E236:Instances!E236),"min", MIN(Instances!E236:Instances!E236),"max", MAX(Instances!E236:Instances!E236),"diff", MAX(Instances!E236:Instances!E236)-MIN(Instances!E236:Instances!E236))</f>
        <v>0</v>
      </c>
      <c r="F236" s="1" cm="1">
        <f t="array" ref="F236">_xlfn.SWITCH($A$2,"average", AVERAGE(Instances!F236:Instances!F236),"median", MEDIAN(Instances!F236:Instances!F236),"min", MIN(Instances!F236:Instances!F236),"max", MAX(Instances!F236:Instances!F236),"diff", MAX(Instances!F236:Instances!F236)-MIN(Instances!F236:Instances!F236))</f>
        <v>0</v>
      </c>
      <c r="G236" s="1" cm="1">
        <f t="array" ref="G236">_xlfn.SWITCH($A$2,"average", AVERAGE(Instances!G236:Instances!G236),"median", MEDIAN(Instances!G236:Instances!G236),"min", MIN(Instances!G236:Instances!G236),"max", MAX(Instances!G236:Instances!G236),"diff", MAX(Instances!G236:Instances!G236)-MIN(Instances!G236:Instances!G236))</f>
        <v>0</v>
      </c>
      <c r="H236" s="1" cm="1">
        <f t="array" ref="H236">_xlfn.SWITCH($A$2,"average", AVERAGE(Instances!H236:Instances!H236),"median", MEDIAN(Instances!H236:Instances!H236),"min", MIN(Instances!H236:Instances!H236),"max", MAX(Instances!H236:Instances!H236),"diff", MAX(Instances!H236:Instances!H236)-MIN(Instances!H236:Instances!H236))</f>
        <v>0</v>
      </c>
      <c r="I236" s="1" cm="1">
        <f t="array" ref="I236">_xlfn.SWITCH($A$2,"average", AVERAGE(Instances!I236:Instances!I236),"median", MEDIAN(Instances!I236:Instances!I236),"min", MIN(Instances!I236:Instances!I236),"max", MAX(Instances!I236:Instances!I236),"diff", MAX(Instances!I236:Instances!I236)-MIN(Instances!I236:Instances!I236))</f>
        <v>0</v>
      </c>
      <c r="J236" s="1" cm="1">
        <f t="array" ref="J236">_xlfn.SWITCH($A$2,"average", AVERAGE(Instances!J236:Instances!J236),"median", MEDIAN(Instances!J236:Instances!J236),"min", MIN(Instances!J236:Instances!J236),"max", MAX(Instances!J236:Instances!J236),"diff", MAX(Instances!J236:Instances!J236)-MIN(Instances!J236:Instances!J236))</f>
        <v>0</v>
      </c>
      <c r="K236" s="1" cm="1">
        <f t="array" ref="K236">_xlfn.SWITCH($A$2,"average", AVERAGE(Instances!K236:Instances!K236),"median", MEDIAN(Instances!K236:Instances!K236),"min", MIN(Instances!K236:Instances!K236),"max", MAX(Instances!K236:Instances!K236),"diff", MAX(Instances!K236:Instances!K236)-MIN(Instances!K236:Instances!K236))</f>
        <v>0</v>
      </c>
      <c r="L236" s="1"/>
      <c r="M236" s="1" cm="1">
        <f t="array" ref="M236">_xlfn.SWITCH($A$2,"average", AVERAGE(Instances!M236:Instances!M236),"median", MEDIAN(Instances!M236:Instances!M236),"min", MIN(Instances!M236:Instances!M236),"max", MAX(Instances!M236:Instances!M236),"diff", MAX(Instances!M236:Instances!M236)-MIN(Instances!M236:Instances!M236))</f>
        <v>0</v>
      </c>
      <c r="N236" s="1" cm="1">
        <f t="array" ref="N236">_xlfn.SWITCH($A$2,"average", AVERAGE(Instances!N236:Instances!N236),"median", MEDIAN(Instances!N236:Instances!N236),"min", MIN(Instances!N236:Instances!N236),"max", MAX(Instances!N236:Instances!N236),"diff", MAX(Instances!N236:Instances!N236)-MIN(Instances!N236:Instances!N236))</f>
        <v>0</v>
      </c>
      <c r="O236" s="1"/>
      <c r="P236" s="1" cm="1">
        <f t="array" ref="P236">_xlfn.SWITCH($A$2,"average", AVERAGE(Instances!P236:Instances!P236),"median", MEDIAN(Instances!P236:Instances!P236),"min", MIN(Instances!P236:Instances!P236),"max", MAX(Instances!P236:Instances!P236),"diff", MAX(Instances!P236:Instances!P236)-MIN(Instances!P236:Instances!P236))</f>
        <v>0</v>
      </c>
      <c r="Q236" s="1" cm="1">
        <f t="array" ref="Q236">_xlfn.SWITCH($A$2,"average", AVERAGE(Instances!Q236:Instances!Q236),"median", MEDIAN(Instances!Q236:Instances!Q236),"min", MIN(Instances!Q236:Instances!Q236),"max", MAX(Instances!Q236:Instances!Q236),"diff", MAX(Instances!Q236:Instances!Q236)-MIN(Instances!Q236:Instances!Q236))</f>
        <v>0</v>
      </c>
      <c r="R236" s="1" cm="1">
        <f t="array" ref="R236">_xlfn.SWITCH($A$2,"average", AVERAGE(Instances!R236:Instances!R236),"median", MEDIAN(Instances!R236:Instances!R236),"min", MIN(Instances!R236:Instances!R236),"max", MAX(Instances!R236:Instances!R236),"diff", MAX(Instances!R236:Instances!R236)-MIN(Instances!R236:Instances!R236))</f>
        <v>0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 cm="1">
        <f t="array" ref="B237">_xlfn.SWITCH($A$2,"average", AVERAGE(Instances!B237:Instances!B237),"median", MEDIAN(Instances!B237:Instances!B237),"min", MIN(Instances!B237:Instances!B237),"max", MAX(Instances!B237:Instances!B237),"diff", MAX(Instances!B237:Instances!B237)-MIN(Instances!B237:Instances!B237))</f>
        <v>0</v>
      </c>
      <c r="C237" s="1" cm="1">
        <f t="array" ref="C237">_xlfn.SWITCH($A$2,"average", AVERAGE(Instances!C237:Instances!C237),"median", MEDIAN(Instances!C237:Instances!C237),"min", MIN(Instances!C237:Instances!C237),"max", MAX(Instances!C237:Instances!C237),"diff", MAX(Instances!C237:Instances!C237)-MIN(Instances!C237:Instances!C237))</f>
        <v>0</v>
      </c>
      <c r="D237" s="1" cm="1">
        <f t="array" ref="D237">_xlfn.SWITCH($A$2,"average", AVERAGE(Instances!D237:Instances!D237),"median", MEDIAN(Instances!D237:Instances!D237),"min", MIN(Instances!D237:Instances!D237),"max", MAX(Instances!D237:Instances!D237),"diff", MAX(Instances!D237:Instances!D237)-MIN(Instances!D237:Instances!D237))</f>
        <v>0</v>
      </c>
      <c r="E237" s="1" cm="1">
        <f t="array" ref="E237">_xlfn.SWITCH($A$2,"average", AVERAGE(Instances!E237:Instances!E237),"median", MEDIAN(Instances!E237:Instances!E237),"min", MIN(Instances!E237:Instances!E237),"max", MAX(Instances!E237:Instances!E237),"diff", MAX(Instances!E237:Instances!E237)-MIN(Instances!E237:Instances!E237))</f>
        <v>0</v>
      </c>
      <c r="F237" s="1" cm="1">
        <f t="array" ref="F237">_xlfn.SWITCH($A$2,"average", AVERAGE(Instances!F237:Instances!F237),"median", MEDIAN(Instances!F237:Instances!F237),"min", MIN(Instances!F237:Instances!F237),"max", MAX(Instances!F237:Instances!F237),"diff", MAX(Instances!F237:Instances!F237)-MIN(Instances!F237:Instances!F237))</f>
        <v>0</v>
      </c>
      <c r="G237" s="1" cm="1">
        <f t="array" ref="G237">_xlfn.SWITCH($A$2,"average", AVERAGE(Instances!G237:Instances!G237),"median", MEDIAN(Instances!G237:Instances!G237),"min", MIN(Instances!G237:Instances!G237),"max", MAX(Instances!G237:Instances!G237),"diff", MAX(Instances!G237:Instances!G237)-MIN(Instances!G237:Instances!G237))</f>
        <v>0</v>
      </c>
      <c r="H237" s="1" cm="1">
        <f t="array" ref="H237">_xlfn.SWITCH($A$2,"average", AVERAGE(Instances!H237:Instances!H237),"median", MEDIAN(Instances!H237:Instances!H237),"min", MIN(Instances!H237:Instances!H237),"max", MAX(Instances!H237:Instances!H237),"diff", MAX(Instances!H237:Instances!H237)-MIN(Instances!H237:Instances!H237))</f>
        <v>0</v>
      </c>
      <c r="I237" s="1" cm="1">
        <f t="array" ref="I237">_xlfn.SWITCH($A$2,"average", AVERAGE(Instances!I237:Instances!I237),"median", MEDIAN(Instances!I237:Instances!I237),"min", MIN(Instances!I237:Instances!I237),"max", MAX(Instances!I237:Instances!I237),"diff", MAX(Instances!I237:Instances!I237)-MIN(Instances!I237:Instances!I237))</f>
        <v>0</v>
      </c>
      <c r="J237" s="1" cm="1">
        <f t="array" ref="J237">_xlfn.SWITCH($A$2,"average", AVERAGE(Instances!J237:Instances!J237),"median", MEDIAN(Instances!J237:Instances!J237),"min", MIN(Instances!J237:Instances!J237),"max", MAX(Instances!J237:Instances!J237),"diff", MAX(Instances!J237:Instances!J237)-MIN(Instances!J237:Instances!J237))</f>
        <v>0</v>
      </c>
      <c r="K237" s="1" cm="1">
        <f t="array" ref="K237">_xlfn.SWITCH($A$2,"average", AVERAGE(Instances!K237:Instances!K237),"median", MEDIAN(Instances!K237:Instances!K237),"min", MIN(Instances!K237:Instances!K237),"max", MAX(Instances!K237:Instances!K237),"diff", MAX(Instances!K237:Instances!K237)-MIN(Instances!K237:Instances!K237))</f>
        <v>0</v>
      </c>
      <c r="L237" s="1"/>
      <c r="M237" s="1" cm="1">
        <f t="array" ref="M237">_xlfn.SWITCH($A$2,"average", AVERAGE(Instances!M237:Instances!M237),"median", MEDIAN(Instances!M237:Instances!M237),"min", MIN(Instances!M237:Instances!M237),"max", MAX(Instances!M237:Instances!M237),"diff", MAX(Instances!M237:Instances!M237)-MIN(Instances!M237:Instances!M237))</f>
        <v>0</v>
      </c>
      <c r="N237" s="1" cm="1">
        <f t="array" ref="N237">_xlfn.SWITCH($A$2,"average", AVERAGE(Instances!N237:Instances!N237),"median", MEDIAN(Instances!N237:Instances!N237),"min", MIN(Instances!N237:Instances!N237),"max", MAX(Instances!N237:Instances!N237),"diff", MAX(Instances!N237:Instances!N237)-MIN(Instances!N237:Instances!N237))</f>
        <v>0</v>
      </c>
      <c r="O237" s="1"/>
      <c r="P237" s="1" cm="1">
        <f t="array" ref="P237">_xlfn.SWITCH($A$2,"average", AVERAGE(Instances!P237:Instances!P237),"median", MEDIAN(Instances!P237:Instances!P237),"min", MIN(Instances!P237:Instances!P237),"max", MAX(Instances!P237:Instances!P237),"diff", MAX(Instances!P237:Instances!P237)-MIN(Instances!P237:Instances!P237))</f>
        <v>0</v>
      </c>
      <c r="Q237" s="1" cm="1">
        <f t="array" ref="Q237">_xlfn.SWITCH($A$2,"average", AVERAGE(Instances!Q237:Instances!Q237),"median", MEDIAN(Instances!Q237:Instances!Q237),"min", MIN(Instances!Q237:Instances!Q237),"max", MAX(Instances!Q237:Instances!Q237),"diff", MAX(Instances!Q237:Instances!Q237)-MIN(Instances!Q237:Instances!Q237))</f>
        <v>0</v>
      </c>
      <c r="R237" s="1" cm="1">
        <f t="array" ref="R237">_xlfn.SWITCH($A$2,"average", AVERAGE(Instances!R237:Instances!R237),"median", MEDIAN(Instances!R237:Instances!R237),"min", MIN(Instances!R237:Instances!R237),"max", MAX(Instances!R237:Instances!R237),"diff", MAX(Instances!R237:Instances!R237)-MIN(Instances!R237:Instances!R237))</f>
        <v>0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 cm="1">
        <f t="array" ref="B238">_xlfn.SWITCH($A$2,"average", AVERAGE(Instances!B238:Instances!B238),"median", MEDIAN(Instances!B238:Instances!B238),"min", MIN(Instances!B238:Instances!B238),"max", MAX(Instances!B238:Instances!B238),"diff", MAX(Instances!B238:Instances!B238)-MIN(Instances!B238:Instances!B238))</f>
        <v>0</v>
      </c>
      <c r="C238" s="1" cm="1">
        <f t="array" ref="C238">_xlfn.SWITCH($A$2,"average", AVERAGE(Instances!C238:Instances!C238),"median", MEDIAN(Instances!C238:Instances!C238),"min", MIN(Instances!C238:Instances!C238),"max", MAX(Instances!C238:Instances!C238),"diff", MAX(Instances!C238:Instances!C238)-MIN(Instances!C238:Instances!C238))</f>
        <v>0</v>
      </c>
      <c r="D238" s="1" cm="1">
        <f t="array" ref="D238">_xlfn.SWITCH($A$2,"average", AVERAGE(Instances!D238:Instances!D238),"median", MEDIAN(Instances!D238:Instances!D238),"min", MIN(Instances!D238:Instances!D238),"max", MAX(Instances!D238:Instances!D238),"diff", MAX(Instances!D238:Instances!D238)-MIN(Instances!D238:Instances!D238))</f>
        <v>0</v>
      </c>
      <c r="E238" s="1" cm="1">
        <f t="array" ref="E238">_xlfn.SWITCH($A$2,"average", AVERAGE(Instances!E238:Instances!E238),"median", MEDIAN(Instances!E238:Instances!E238),"min", MIN(Instances!E238:Instances!E238),"max", MAX(Instances!E238:Instances!E238),"diff", MAX(Instances!E238:Instances!E238)-MIN(Instances!E238:Instances!E238))</f>
        <v>0</v>
      </c>
      <c r="F238" s="1" cm="1">
        <f t="array" ref="F238">_xlfn.SWITCH($A$2,"average", AVERAGE(Instances!F238:Instances!F238),"median", MEDIAN(Instances!F238:Instances!F238),"min", MIN(Instances!F238:Instances!F238),"max", MAX(Instances!F238:Instances!F238),"diff", MAX(Instances!F238:Instances!F238)-MIN(Instances!F238:Instances!F238))</f>
        <v>0</v>
      </c>
      <c r="G238" s="1" cm="1">
        <f t="array" ref="G238">_xlfn.SWITCH($A$2,"average", AVERAGE(Instances!G238:Instances!G238),"median", MEDIAN(Instances!G238:Instances!G238),"min", MIN(Instances!G238:Instances!G238),"max", MAX(Instances!G238:Instances!G238),"diff", MAX(Instances!G238:Instances!G238)-MIN(Instances!G238:Instances!G238))</f>
        <v>0</v>
      </c>
      <c r="H238" s="1" cm="1">
        <f t="array" ref="H238">_xlfn.SWITCH($A$2,"average", AVERAGE(Instances!H238:Instances!H238),"median", MEDIAN(Instances!H238:Instances!H238),"min", MIN(Instances!H238:Instances!H238),"max", MAX(Instances!H238:Instances!H238),"diff", MAX(Instances!H238:Instances!H238)-MIN(Instances!H238:Instances!H238))</f>
        <v>0</v>
      </c>
      <c r="I238" s="1" cm="1">
        <f t="array" ref="I238">_xlfn.SWITCH($A$2,"average", AVERAGE(Instances!I238:Instances!I238),"median", MEDIAN(Instances!I238:Instances!I238),"min", MIN(Instances!I238:Instances!I238),"max", MAX(Instances!I238:Instances!I238),"diff", MAX(Instances!I238:Instances!I238)-MIN(Instances!I238:Instances!I238))</f>
        <v>0</v>
      </c>
      <c r="J238" s="1" cm="1">
        <f t="array" ref="J238">_xlfn.SWITCH($A$2,"average", AVERAGE(Instances!J238:Instances!J238),"median", MEDIAN(Instances!J238:Instances!J238),"min", MIN(Instances!J238:Instances!J238),"max", MAX(Instances!J238:Instances!J238),"diff", MAX(Instances!J238:Instances!J238)-MIN(Instances!J238:Instances!J238))</f>
        <v>0</v>
      </c>
      <c r="K238" s="1" cm="1">
        <f t="array" ref="K238">_xlfn.SWITCH($A$2,"average", AVERAGE(Instances!K238:Instances!K238),"median", MEDIAN(Instances!K238:Instances!K238),"min", MIN(Instances!K238:Instances!K238),"max", MAX(Instances!K238:Instances!K238),"diff", MAX(Instances!K238:Instances!K238)-MIN(Instances!K238:Instances!K238))</f>
        <v>0</v>
      </c>
      <c r="L238" s="1"/>
      <c r="M238" s="1" cm="1">
        <f t="array" ref="M238">_xlfn.SWITCH($A$2,"average", AVERAGE(Instances!M238:Instances!M238),"median", MEDIAN(Instances!M238:Instances!M238),"min", MIN(Instances!M238:Instances!M238),"max", MAX(Instances!M238:Instances!M238),"diff", MAX(Instances!M238:Instances!M238)-MIN(Instances!M238:Instances!M238))</f>
        <v>0</v>
      </c>
      <c r="N238" s="1" cm="1">
        <f t="array" ref="N238">_xlfn.SWITCH($A$2,"average", AVERAGE(Instances!N238:Instances!N238),"median", MEDIAN(Instances!N238:Instances!N238),"min", MIN(Instances!N238:Instances!N238),"max", MAX(Instances!N238:Instances!N238),"diff", MAX(Instances!N238:Instances!N238)-MIN(Instances!N238:Instances!N238))</f>
        <v>0</v>
      </c>
      <c r="O238" s="1"/>
      <c r="P238" s="1" cm="1">
        <f t="array" ref="P238">_xlfn.SWITCH($A$2,"average", AVERAGE(Instances!P238:Instances!P238),"median", MEDIAN(Instances!P238:Instances!P238),"min", MIN(Instances!P238:Instances!P238),"max", MAX(Instances!P238:Instances!P238),"diff", MAX(Instances!P238:Instances!P238)-MIN(Instances!P238:Instances!P238))</f>
        <v>0</v>
      </c>
      <c r="Q238" s="1" cm="1">
        <f t="array" ref="Q238">_xlfn.SWITCH($A$2,"average", AVERAGE(Instances!Q238:Instances!Q238),"median", MEDIAN(Instances!Q238:Instances!Q238),"min", MIN(Instances!Q238:Instances!Q238),"max", MAX(Instances!Q238:Instances!Q238),"diff", MAX(Instances!Q238:Instances!Q238)-MIN(Instances!Q238:Instances!Q238))</f>
        <v>0</v>
      </c>
      <c r="R238" s="1" cm="1">
        <f t="array" ref="R238">_xlfn.SWITCH($A$2,"average", AVERAGE(Instances!R238:Instances!R238),"median", MEDIAN(Instances!R238:Instances!R238),"min", MIN(Instances!R238:Instances!R238),"max", MAX(Instances!R238:Instances!R238),"diff", MAX(Instances!R238:Instances!R238)-MIN(Instances!R238:Instances!R238))</f>
        <v>0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 cm="1">
        <f t="array" ref="B239">_xlfn.SWITCH($A$2,"average", AVERAGE(Instances!B239:Instances!B239),"median", MEDIAN(Instances!B239:Instances!B239),"min", MIN(Instances!B239:Instances!B239),"max", MAX(Instances!B239:Instances!B239),"diff", MAX(Instances!B239:Instances!B239)-MIN(Instances!B239:Instances!B239))</f>
        <v>0</v>
      </c>
      <c r="C239" s="1" cm="1">
        <f t="array" ref="C239">_xlfn.SWITCH($A$2,"average", AVERAGE(Instances!C239:Instances!C239),"median", MEDIAN(Instances!C239:Instances!C239),"min", MIN(Instances!C239:Instances!C239),"max", MAX(Instances!C239:Instances!C239),"diff", MAX(Instances!C239:Instances!C239)-MIN(Instances!C239:Instances!C239))</f>
        <v>0</v>
      </c>
      <c r="D239" s="1" cm="1">
        <f t="array" ref="D239">_xlfn.SWITCH($A$2,"average", AVERAGE(Instances!D239:Instances!D239),"median", MEDIAN(Instances!D239:Instances!D239),"min", MIN(Instances!D239:Instances!D239),"max", MAX(Instances!D239:Instances!D239),"diff", MAX(Instances!D239:Instances!D239)-MIN(Instances!D239:Instances!D239))</f>
        <v>0</v>
      </c>
      <c r="E239" s="1" cm="1">
        <f t="array" ref="E239">_xlfn.SWITCH($A$2,"average", AVERAGE(Instances!E239:Instances!E239),"median", MEDIAN(Instances!E239:Instances!E239),"min", MIN(Instances!E239:Instances!E239),"max", MAX(Instances!E239:Instances!E239),"diff", MAX(Instances!E239:Instances!E239)-MIN(Instances!E239:Instances!E239))</f>
        <v>0</v>
      </c>
      <c r="F239" s="1" cm="1">
        <f t="array" ref="F239">_xlfn.SWITCH($A$2,"average", AVERAGE(Instances!F239:Instances!F239),"median", MEDIAN(Instances!F239:Instances!F239),"min", MIN(Instances!F239:Instances!F239),"max", MAX(Instances!F239:Instances!F239),"diff", MAX(Instances!F239:Instances!F239)-MIN(Instances!F239:Instances!F239))</f>
        <v>0</v>
      </c>
      <c r="G239" s="1" cm="1">
        <f t="array" ref="G239">_xlfn.SWITCH($A$2,"average", AVERAGE(Instances!G239:Instances!G239),"median", MEDIAN(Instances!G239:Instances!G239),"min", MIN(Instances!G239:Instances!G239),"max", MAX(Instances!G239:Instances!G239),"diff", MAX(Instances!G239:Instances!G239)-MIN(Instances!G239:Instances!G239))</f>
        <v>0</v>
      </c>
      <c r="H239" s="1" cm="1">
        <f t="array" ref="H239">_xlfn.SWITCH($A$2,"average", AVERAGE(Instances!H239:Instances!H239),"median", MEDIAN(Instances!H239:Instances!H239),"min", MIN(Instances!H239:Instances!H239),"max", MAX(Instances!H239:Instances!H239),"diff", MAX(Instances!H239:Instances!H239)-MIN(Instances!H239:Instances!H239))</f>
        <v>0</v>
      </c>
      <c r="I239" s="1" cm="1">
        <f t="array" ref="I239">_xlfn.SWITCH($A$2,"average", AVERAGE(Instances!I239:Instances!I239),"median", MEDIAN(Instances!I239:Instances!I239),"min", MIN(Instances!I239:Instances!I239),"max", MAX(Instances!I239:Instances!I239),"diff", MAX(Instances!I239:Instances!I239)-MIN(Instances!I239:Instances!I239))</f>
        <v>0</v>
      </c>
      <c r="J239" s="1" cm="1">
        <f t="array" ref="J239">_xlfn.SWITCH($A$2,"average", AVERAGE(Instances!J239:Instances!J239),"median", MEDIAN(Instances!J239:Instances!J239),"min", MIN(Instances!J239:Instances!J239),"max", MAX(Instances!J239:Instances!J239),"diff", MAX(Instances!J239:Instances!J239)-MIN(Instances!J239:Instances!J239))</f>
        <v>0</v>
      </c>
      <c r="K239" s="1" cm="1">
        <f t="array" ref="K239">_xlfn.SWITCH($A$2,"average", AVERAGE(Instances!K239:Instances!K239),"median", MEDIAN(Instances!K239:Instances!K239),"min", MIN(Instances!K239:Instances!K239),"max", MAX(Instances!K239:Instances!K239),"diff", MAX(Instances!K239:Instances!K239)-MIN(Instances!K239:Instances!K239))</f>
        <v>0</v>
      </c>
      <c r="L239" s="1"/>
      <c r="M239" s="1" cm="1">
        <f t="array" ref="M239">_xlfn.SWITCH($A$2,"average", AVERAGE(Instances!M239:Instances!M239),"median", MEDIAN(Instances!M239:Instances!M239),"min", MIN(Instances!M239:Instances!M239),"max", MAX(Instances!M239:Instances!M239),"diff", MAX(Instances!M239:Instances!M239)-MIN(Instances!M239:Instances!M239))</f>
        <v>0</v>
      </c>
      <c r="N239" s="1" cm="1">
        <f t="array" ref="N239">_xlfn.SWITCH($A$2,"average", AVERAGE(Instances!N239:Instances!N239),"median", MEDIAN(Instances!N239:Instances!N239),"min", MIN(Instances!N239:Instances!N239),"max", MAX(Instances!N239:Instances!N239),"diff", MAX(Instances!N239:Instances!N239)-MIN(Instances!N239:Instances!N239))</f>
        <v>0</v>
      </c>
      <c r="O239" s="1"/>
      <c r="P239" s="1" cm="1">
        <f t="array" ref="P239">_xlfn.SWITCH($A$2,"average", AVERAGE(Instances!P239:Instances!P239),"median", MEDIAN(Instances!P239:Instances!P239),"min", MIN(Instances!P239:Instances!P239),"max", MAX(Instances!P239:Instances!P239),"diff", MAX(Instances!P239:Instances!P239)-MIN(Instances!P239:Instances!P239))</f>
        <v>0</v>
      </c>
      <c r="Q239" s="1" cm="1">
        <f t="array" ref="Q239">_xlfn.SWITCH($A$2,"average", AVERAGE(Instances!Q239:Instances!Q239),"median", MEDIAN(Instances!Q239:Instances!Q239),"min", MIN(Instances!Q239:Instances!Q239),"max", MAX(Instances!Q239:Instances!Q239),"diff", MAX(Instances!Q239:Instances!Q239)-MIN(Instances!Q239:Instances!Q239))</f>
        <v>0</v>
      </c>
      <c r="R239" s="1" cm="1">
        <f t="array" ref="R239">_xlfn.SWITCH($A$2,"average", AVERAGE(Instances!R239:Instances!R239),"median", MEDIAN(Instances!R239:Instances!R239),"min", MIN(Instances!R239:Instances!R239),"max", MAX(Instances!R239:Instances!R239),"diff", MAX(Instances!R239:Instances!R239)-MIN(Instances!R239:Instances!R239))</f>
        <v>0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 cm="1">
        <f t="array" ref="B240">_xlfn.SWITCH($A$2,"average", AVERAGE(Instances!B240:Instances!B240),"median", MEDIAN(Instances!B240:Instances!B240),"min", MIN(Instances!B240:Instances!B240),"max", MAX(Instances!B240:Instances!B240),"diff", MAX(Instances!B240:Instances!B240)-MIN(Instances!B240:Instances!B240))</f>
        <v>0</v>
      </c>
      <c r="C240" s="1" cm="1">
        <f t="array" ref="C240">_xlfn.SWITCH($A$2,"average", AVERAGE(Instances!C240:Instances!C240),"median", MEDIAN(Instances!C240:Instances!C240),"min", MIN(Instances!C240:Instances!C240),"max", MAX(Instances!C240:Instances!C240),"diff", MAX(Instances!C240:Instances!C240)-MIN(Instances!C240:Instances!C240))</f>
        <v>0</v>
      </c>
      <c r="D240" s="1" cm="1">
        <f t="array" ref="D240">_xlfn.SWITCH($A$2,"average", AVERAGE(Instances!D240:Instances!D240),"median", MEDIAN(Instances!D240:Instances!D240),"min", MIN(Instances!D240:Instances!D240),"max", MAX(Instances!D240:Instances!D240),"diff", MAX(Instances!D240:Instances!D240)-MIN(Instances!D240:Instances!D240))</f>
        <v>0</v>
      </c>
      <c r="E240" s="1" cm="1">
        <f t="array" ref="E240">_xlfn.SWITCH($A$2,"average", AVERAGE(Instances!E240:Instances!E240),"median", MEDIAN(Instances!E240:Instances!E240),"min", MIN(Instances!E240:Instances!E240),"max", MAX(Instances!E240:Instances!E240),"diff", MAX(Instances!E240:Instances!E240)-MIN(Instances!E240:Instances!E240))</f>
        <v>0</v>
      </c>
      <c r="F240" s="1" cm="1">
        <f t="array" ref="F240">_xlfn.SWITCH($A$2,"average", AVERAGE(Instances!F240:Instances!F240),"median", MEDIAN(Instances!F240:Instances!F240),"min", MIN(Instances!F240:Instances!F240),"max", MAX(Instances!F240:Instances!F240),"diff", MAX(Instances!F240:Instances!F240)-MIN(Instances!F240:Instances!F240))</f>
        <v>0</v>
      </c>
      <c r="G240" s="1" cm="1">
        <f t="array" ref="G240">_xlfn.SWITCH($A$2,"average", AVERAGE(Instances!G240:Instances!G240),"median", MEDIAN(Instances!G240:Instances!G240),"min", MIN(Instances!G240:Instances!G240),"max", MAX(Instances!G240:Instances!G240),"diff", MAX(Instances!G240:Instances!G240)-MIN(Instances!G240:Instances!G240))</f>
        <v>0</v>
      </c>
      <c r="H240" s="1" cm="1">
        <f t="array" ref="H240">_xlfn.SWITCH($A$2,"average", AVERAGE(Instances!H240:Instances!H240),"median", MEDIAN(Instances!H240:Instances!H240),"min", MIN(Instances!H240:Instances!H240),"max", MAX(Instances!H240:Instances!H240),"diff", MAX(Instances!H240:Instances!H240)-MIN(Instances!H240:Instances!H240))</f>
        <v>0</v>
      </c>
      <c r="I240" s="1" cm="1">
        <f t="array" ref="I240">_xlfn.SWITCH($A$2,"average", AVERAGE(Instances!I240:Instances!I240),"median", MEDIAN(Instances!I240:Instances!I240),"min", MIN(Instances!I240:Instances!I240),"max", MAX(Instances!I240:Instances!I240),"diff", MAX(Instances!I240:Instances!I240)-MIN(Instances!I240:Instances!I240))</f>
        <v>0</v>
      </c>
      <c r="J240" s="1" cm="1">
        <f t="array" ref="J240">_xlfn.SWITCH($A$2,"average", AVERAGE(Instances!J240:Instances!J240),"median", MEDIAN(Instances!J240:Instances!J240),"min", MIN(Instances!J240:Instances!J240),"max", MAX(Instances!J240:Instances!J240),"diff", MAX(Instances!J240:Instances!J240)-MIN(Instances!J240:Instances!J240))</f>
        <v>0</v>
      </c>
      <c r="K240" s="1" cm="1">
        <f t="array" ref="K240">_xlfn.SWITCH($A$2,"average", AVERAGE(Instances!K240:Instances!K240),"median", MEDIAN(Instances!K240:Instances!K240),"min", MIN(Instances!K240:Instances!K240),"max", MAX(Instances!K240:Instances!K240),"diff", MAX(Instances!K240:Instances!K240)-MIN(Instances!K240:Instances!K240))</f>
        <v>0</v>
      </c>
      <c r="L240" s="1"/>
      <c r="M240" s="1" cm="1">
        <f t="array" ref="M240">_xlfn.SWITCH($A$2,"average", AVERAGE(Instances!M240:Instances!M240),"median", MEDIAN(Instances!M240:Instances!M240),"min", MIN(Instances!M240:Instances!M240),"max", MAX(Instances!M240:Instances!M240),"diff", MAX(Instances!M240:Instances!M240)-MIN(Instances!M240:Instances!M240))</f>
        <v>0</v>
      </c>
      <c r="N240" s="1" cm="1">
        <f t="array" ref="N240">_xlfn.SWITCH($A$2,"average", AVERAGE(Instances!N240:Instances!N240),"median", MEDIAN(Instances!N240:Instances!N240),"min", MIN(Instances!N240:Instances!N240),"max", MAX(Instances!N240:Instances!N240),"diff", MAX(Instances!N240:Instances!N240)-MIN(Instances!N240:Instances!N240))</f>
        <v>0</v>
      </c>
      <c r="O240" s="1"/>
      <c r="P240" s="1" cm="1">
        <f t="array" ref="P240">_xlfn.SWITCH($A$2,"average", AVERAGE(Instances!P240:Instances!P240),"median", MEDIAN(Instances!P240:Instances!P240),"min", MIN(Instances!P240:Instances!P240),"max", MAX(Instances!P240:Instances!P240),"diff", MAX(Instances!P240:Instances!P240)-MIN(Instances!P240:Instances!P240))</f>
        <v>0</v>
      </c>
      <c r="Q240" s="1" cm="1">
        <f t="array" ref="Q240">_xlfn.SWITCH($A$2,"average", AVERAGE(Instances!Q240:Instances!Q240),"median", MEDIAN(Instances!Q240:Instances!Q240),"min", MIN(Instances!Q240:Instances!Q240),"max", MAX(Instances!Q240:Instances!Q240),"diff", MAX(Instances!Q240:Instances!Q240)-MIN(Instances!Q240:Instances!Q240))</f>
        <v>0</v>
      </c>
      <c r="R240" s="1" cm="1">
        <f t="array" ref="R240">_xlfn.SWITCH($A$2,"average", AVERAGE(Instances!R240:Instances!R240),"median", MEDIAN(Instances!R240:Instances!R240),"min", MIN(Instances!R240:Instances!R240),"max", MAX(Instances!R240:Instances!R240),"diff", MAX(Instances!R240:Instances!R240)-MIN(Instances!R240:Instances!R240))</f>
        <v>0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 cm="1">
        <f t="array" ref="B241">_xlfn.SWITCH($A$2,"average", AVERAGE(Instances!B241:Instances!B241),"median", MEDIAN(Instances!B241:Instances!B241),"min", MIN(Instances!B241:Instances!B241),"max", MAX(Instances!B241:Instances!B241),"diff", MAX(Instances!B241:Instances!B241)-MIN(Instances!B241:Instances!B241))</f>
        <v>0</v>
      </c>
      <c r="C241" s="1" cm="1">
        <f t="array" ref="C241">_xlfn.SWITCH($A$2,"average", AVERAGE(Instances!C241:Instances!C241),"median", MEDIAN(Instances!C241:Instances!C241),"min", MIN(Instances!C241:Instances!C241),"max", MAX(Instances!C241:Instances!C241),"diff", MAX(Instances!C241:Instances!C241)-MIN(Instances!C241:Instances!C241))</f>
        <v>0</v>
      </c>
      <c r="D241" s="1" cm="1">
        <f t="array" ref="D241">_xlfn.SWITCH($A$2,"average", AVERAGE(Instances!D241:Instances!D241),"median", MEDIAN(Instances!D241:Instances!D241),"min", MIN(Instances!D241:Instances!D241),"max", MAX(Instances!D241:Instances!D241),"diff", MAX(Instances!D241:Instances!D241)-MIN(Instances!D241:Instances!D241))</f>
        <v>0</v>
      </c>
      <c r="E241" s="1" cm="1">
        <f t="array" ref="E241">_xlfn.SWITCH($A$2,"average", AVERAGE(Instances!E241:Instances!E241),"median", MEDIAN(Instances!E241:Instances!E241),"min", MIN(Instances!E241:Instances!E241),"max", MAX(Instances!E241:Instances!E241),"diff", MAX(Instances!E241:Instances!E241)-MIN(Instances!E241:Instances!E241))</f>
        <v>0</v>
      </c>
      <c r="F241" s="1" cm="1">
        <f t="array" ref="F241">_xlfn.SWITCH($A$2,"average", AVERAGE(Instances!F241:Instances!F241),"median", MEDIAN(Instances!F241:Instances!F241),"min", MIN(Instances!F241:Instances!F241),"max", MAX(Instances!F241:Instances!F241),"diff", MAX(Instances!F241:Instances!F241)-MIN(Instances!F241:Instances!F241))</f>
        <v>0</v>
      </c>
      <c r="G241" s="1" cm="1">
        <f t="array" ref="G241">_xlfn.SWITCH($A$2,"average", AVERAGE(Instances!G241:Instances!G241),"median", MEDIAN(Instances!G241:Instances!G241),"min", MIN(Instances!G241:Instances!G241),"max", MAX(Instances!G241:Instances!G241),"diff", MAX(Instances!G241:Instances!G241)-MIN(Instances!G241:Instances!G241))</f>
        <v>0</v>
      </c>
      <c r="H241" s="1" cm="1">
        <f t="array" ref="H241">_xlfn.SWITCH($A$2,"average", AVERAGE(Instances!H241:Instances!H241),"median", MEDIAN(Instances!H241:Instances!H241),"min", MIN(Instances!H241:Instances!H241),"max", MAX(Instances!H241:Instances!H241),"diff", MAX(Instances!H241:Instances!H241)-MIN(Instances!H241:Instances!H241))</f>
        <v>0</v>
      </c>
      <c r="I241" s="1" cm="1">
        <f t="array" ref="I241">_xlfn.SWITCH($A$2,"average", AVERAGE(Instances!I241:Instances!I241),"median", MEDIAN(Instances!I241:Instances!I241),"min", MIN(Instances!I241:Instances!I241),"max", MAX(Instances!I241:Instances!I241),"diff", MAX(Instances!I241:Instances!I241)-MIN(Instances!I241:Instances!I241))</f>
        <v>0</v>
      </c>
      <c r="J241" s="1" cm="1">
        <f t="array" ref="J241">_xlfn.SWITCH($A$2,"average", AVERAGE(Instances!J241:Instances!J241),"median", MEDIAN(Instances!J241:Instances!J241),"min", MIN(Instances!J241:Instances!J241),"max", MAX(Instances!J241:Instances!J241),"diff", MAX(Instances!J241:Instances!J241)-MIN(Instances!J241:Instances!J241))</f>
        <v>0</v>
      </c>
      <c r="K241" s="1" cm="1">
        <f t="array" ref="K241">_xlfn.SWITCH($A$2,"average", AVERAGE(Instances!K241:Instances!K241),"median", MEDIAN(Instances!K241:Instances!K241),"min", MIN(Instances!K241:Instances!K241),"max", MAX(Instances!K241:Instances!K241),"diff", MAX(Instances!K241:Instances!K241)-MIN(Instances!K241:Instances!K241))</f>
        <v>0</v>
      </c>
      <c r="L241" s="1"/>
      <c r="M241" s="1" cm="1">
        <f t="array" ref="M241">_xlfn.SWITCH($A$2,"average", AVERAGE(Instances!M241:Instances!M241),"median", MEDIAN(Instances!M241:Instances!M241),"min", MIN(Instances!M241:Instances!M241),"max", MAX(Instances!M241:Instances!M241),"diff", MAX(Instances!M241:Instances!M241)-MIN(Instances!M241:Instances!M241))</f>
        <v>0</v>
      </c>
      <c r="N241" s="1" cm="1">
        <f t="array" ref="N241">_xlfn.SWITCH($A$2,"average", AVERAGE(Instances!N241:Instances!N241),"median", MEDIAN(Instances!N241:Instances!N241),"min", MIN(Instances!N241:Instances!N241),"max", MAX(Instances!N241:Instances!N241),"diff", MAX(Instances!N241:Instances!N241)-MIN(Instances!N241:Instances!N241))</f>
        <v>0</v>
      </c>
      <c r="O241" s="1"/>
      <c r="P241" s="1" cm="1">
        <f t="array" ref="P241">_xlfn.SWITCH($A$2,"average", AVERAGE(Instances!P241:Instances!P241),"median", MEDIAN(Instances!P241:Instances!P241),"min", MIN(Instances!P241:Instances!P241),"max", MAX(Instances!P241:Instances!P241),"diff", MAX(Instances!P241:Instances!P241)-MIN(Instances!P241:Instances!P241))</f>
        <v>0</v>
      </c>
      <c r="Q241" s="1" cm="1">
        <f t="array" ref="Q241">_xlfn.SWITCH($A$2,"average", AVERAGE(Instances!Q241:Instances!Q241),"median", MEDIAN(Instances!Q241:Instances!Q241),"min", MIN(Instances!Q241:Instances!Q241),"max", MAX(Instances!Q241:Instances!Q241),"diff", MAX(Instances!Q241:Instances!Q241)-MIN(Instances!Q241:Instances!Q241))</f>
        <v>0</v>
      </c>
      <c r="R241" s="1" cm="1">
        <f t="array" ref="R241">_xlfn.SWITCH($A$2,"average", AVERAGE(Instances!R241:Instances!R241),"median", MEDIAN(Instances!R241:Instances!R241),"min", MIN(Instances!R241:Instances!R241),"max", MAX(Instances!R241:Instances!R241),"diff", MAX(Instances!R241:Instances!R241)-MIN(Instances!R241:Instances!R241))</f>
        <v>0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 cm="1">
        <f t="array" ref="B242">_xlfn.SWITCH($A$2,"average", AVERAGE(Instances!B242:Instances!B242),"median", MEDIAN(Instances!B242:Instances!B242),"min", MIN(Instances!B242:Instances!B242),"max", MAX(Instances!B242:Instances!B242),"diff", MAX(Instances!B242:Instances!B242)-MIN(Instances!B242:Instances!B242))</f>
        <v>0</v>
      </c>
      <c r="C242" s="1" cm="1">
        <f t="array" ref="C242">_xlfn.SWITCH($A$2,"average", AVERAGE(Instances!C242:Instances!C242),"median", MEDIAN(Instances!C242:Instances!C242),"min", MIN(Instances!C242:Instances!C242),"max", MAX(Instances!C242:Instances!C242),"diff", MAX(Instances!C242:Instances!C242)-MIN(Instances!C242:Instances!C242))</f>
        <v>0</v>
      </c>
      <c r="D242" s="1" cm="1">
        <f t="array" ref="D242">_xlfn.SWITCH($A$2,"average", AVERAGE(Instances!D242:Instances!D242),"median", MEDIAN(Instances!D242:Instances!D242),"min", MIN(Instances!D242:Instances!D242),"max", MAX(Instances!D242:Instances!D242),"diff", MAX(Instances!D242:Instances!D242)-MIN(Instances!D242:Instances!D242))</f>
        <v>0</v>
      </c>
      <c r="E242" s="1" cm="1">
        <f t="array" ref="E242">_xlfn.SWITCH($A$2,"average", AVERAGE(Instances!E242:Instances!E242),"median", MEDIAN(Instances!E242:Instances!E242),"min", MIN(Instances!E242:Instances!E242),"max", MAX(Instances!E242:Instances!E242),"diff", MAX(Instances!E242:Instances!E242)-MIN(Instances!E242:Instances!E242))</f>
        <v>0</v>
      </c>
      <c r="F242" s="1" cm="1">
        <f t="array" ref="F242">_xlfn.SWITCH($A$2,"average", AVERAGE(Instances!F242:Instances!F242),"median", MEDIAN(Instances!F242:Instances!F242),"min", MIN(Instances!F242:Instances!F242),"max", MAX(Instances!F242:Instances!F242),"diff", MAX(Instances!F242:Instances!F242)-MIN(Instances!F242:Instances!F242))</f>
        <v>0</v>
      </c>
      <c r="G242" s="1" cm="1">
        <f t="array" ref="G242">_xlfn.SWITCH($A$2,"average", AVERAGE(Instances!G242:Instances!G242),"median", MEDIAN(Instances!G242:Instances!G242),"min", MIN(Instances!G242:Instances!G242),"max", MAX(Instances!G242:Instances!G242),"diff", MAX(Instances!G242:Instances!G242)-MIN(Instances!G242:Instances!G242))</f>
        <v>0</v>
      </c>
      <c r="H242" s="1" cm="1">
        <f t="array" ref="H242">_xlfn.SWITCH($A$2,"average", AVERAGE(Instances!H242:Instances!H242),"median", MEDIAN(Instances!H242:Instances!H242),"min", MIN(Instances!H242:Instances!H242),"max", MAX(Instances!H242:Instances!H242),"diff", MAX(Instances!H242:Instances!H242)-MIN(Instances!H242:Instances!H242))</f>
        <v>0</v>
      </c>
      <c r="I242" s="1" cm="1">
        <f t="array" ref="I242">_xlfn.SWITCH($A$2,"average", AVERAGE(Instances!I242:Instances!I242),"median", MEDIAN(Instances!I242:Instances!I242),"min", MIN(Instances!I242:Instances!I242),"max", MAX(Instances!I242:Instances!I242),"diff", MAX(Instances!I242:Instances!I242)-MIN(Instances!I242:Instances!I242))</f>
        <v>0</v>
      </c>
      <c r="J242" s="1" cm="1">
        <f t="array" ref="J242">_xlfn.SWITCH($A$2,"average", AVERAGE(Instances!J242:Instances!J242),"median", MEDIAN(Instances!J242:Instances!J242),"min", MIN(Instances!J242:Instances!J242),"max", MAX(Instances!J242:Instances!J242),"diff", MAX(Instances!J242:Instances!J242)-MIN(Instances!J242:Instances!J242))</f>
        <v>0</v>
      </c>
      <c r="K242" s="1" cm="1">
        <f t="array" ref="K242">_xlfn.SWITCH($A$2,"average", AVERAGE(Instances!K242:Instances!K242),"median", MEDIAN(Instances!K242:Instances!K242),"min", MIN(Instances!K242:Instances!K242),"max", MAX(Instances!K242:Instances!K242),"diff", MAX(Instances!K242:Instances!K242)-MIN(Instances!K242:Instances!K242))</f>
        <v>0</v>
      </c>
      <c r="L242" s="1"/>
      <c r="M242" s="1" cm="1">
        <f t="array" ref="M242">_xlfn.SWITCH($A$2,"average", AVERAGE(Instances!M242:Instances!M242),"median", MEDIAN(Instances!M242:Instances!M242),"min", MIN(Instances!M242:Instances!M242),"max", MAX(Instances!M242:Instances!M242),"diff", MAX(Instances!M242:Instances!M242)-MIN(Instances!M242:Instances!M242))</f>
        <v>0</v>
      </c>
      <c r="N242" s="1" cm="1">
        <f t="array" ref="N242">_xlfn.SWITCH($A$2,"average", AVERAGE(Instances!N242:Instances!N242),"median", MEDIAN(Instances!N242:Instances!N242),"min", MIN(Instances!N242:Instances!N242),"max", MAX(Instances!N242:Instances!N242),"diff", MAX(Instances!N242:Instances!N242)-MIN(Instances!N242:Instances!N242))</f>
        <v>0</v>
      </c>
      <c r="O242" s="1"/>
      <c r="P242" s="1" cm="1">
        <f t="array" ref="P242">_xlfn.SWITCH($A$2,"average", AVERAGE(Instances!P242:Instances!P242),"median", MEDIAN(Instances!P242:Instances!P242),"min", MIN(Instances!P242:Instances!P242),"max", MAX(Instances!P242:Instances!P242),"diff", MAX(Instances!P242:Instances!P242)-MIN(Instances!P242:Instances!P242))</f>
        <v>0</v>
      </c>
      <c r="Q242" s="1" cm="1">
        <f t="array" ref="Q242">_xlfn.SWITCH($A$2,"average", AVERAGE(Instances!Q242:Instances!Q242),"median", MEDIAN(Instances!Q242:Instances!Q242),"min", MIN(Instances!Q242:Instances!Q242),"max", MAX(Instances!Q242:Instances!Q242),"diff", MAX(Instances!Q242:Instances!Q242)-MIN(Instances!Q242:Instances!Q242))</f>
        <v>0</v>
      </c>
      <c r="R242" s="1" cm="1">
        <f t="array" ref="R242">_xlfn.SWITCH($A$2,"average", AVERAGE(Instances!R242:Instances!R242),"median", MEDIAN(Instances!R242:Instances!R242),"min", MIN(Instances!R242:Instances!R242),"max", MAX(Instances!R242:Instances!R242),"diff", MAX(Instances!R242:Instances!R242)-MIN(Instances!R242:Instances!R242))</f>
        <v>0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 cm="1">
        <f t="array" ref="B243">_xlfn.SWITCH($A$2,"average", AVERAGE(Instances!B243:Instances!B243),"median", MEDIAN(Instances!B243:Instances!B243),"min", MIN(Instances!B243:Instances!B243),"max", MAX(Instances!B243:Instances!B243),"diff", MAX(Instances!B243:Instances!B243)-MIN(Instances!B243:Instances!B243))</f>
        <v>0</v>
      </c>
      <c r="C243" s="1" cm="1">
        <f t="array" ref="C243">_xlfn.SWITCH($A$2,"average", AVERAGE(Instances!C243:Instances!C243),"median", MEDIAN(Instances!C243:Instances!C243),"min", MIN(Instances!C243:Instances!C243),"max", MAX(Instances!C243:Instances!C243),"diff", MAX(Instances!C243:Instances!C243)-MIN(Instances!C243:Instances!C243))</f>
        <v>0</v>
      </c>
      <c r="D243" s="1" cm="1">
        <f t="array" ref="D243">_xlfn.SWITCH($A$2,"average", AVERAGE(Instances!D243:Instances!D243),"median", MEDIAN(Instances!D243:Instances!D243),"min", MIN(Instances!D243:Instances!D243),"max", MAX(Instances!D243:Instances!D243),"diff", MAX(Instances!D243:Instances!D243)-MIN(Instances!D243:Instances!D243))</f>
        <v>0</v>
      </c>
      <c r="E243" s="1" cm="1">
        <f t="array" ref="E243">_xlfn.SWITCH($A$2,"average", AVERAGE(Instances!E243:Instances!E243),"median", MEDIAN(Instances!E243:Instances!E243),"min", MIN(Instances!E243:Instances!E243),"max", MAX(Instances!E243:Instances!E243),"diff", MAX(Instances!E243:Instances!E243)-MIN(Instances!E243:Instances!E243))</f>
        <v>0</v>
      </c>
      <c r="F243" s="1" cm="1">
        <f t="array" ref="F243">_xlfn.SWITCH($A$2,"average", AVERAGE(Instances!F243:Instances!F243),"median", MEDIAN(Instances!F243:Instances!F243),"min", MIN(Instances!F243:Instances!F243),"max", MAX(Instances!F243:Instances!F243),"diff", MAX(Instances!F243:Instances!F243)-MIN(Instances!F243:Instances!F243))</f>
        <v>0</v>
      </c>
      <c r="G243" s="1" cm="1">
        <f t="array" ref="G243">_xlfn.SWITCH($A$2,"average", AVERAGE(Instances!G243:Instances!G243),"median", MEDIAN(Instances!G243:Instances!G243),"min", MIN(Instances!G243:Instances!G243),"max", MAX(Instances!G243:Instances!G243),"diff", MAX(Instances!G243:Instances!G243)-MIN(Instances!G243:Instances!G243))</f>
        <v>0</v>
      </c>
      <c r="H243" s="1" cm="1">
        <f t="array" ref="H243">_xlfn.SWITCH($A$2,"average", AVERAGE(Instances!H243:Instances!H243),"median", MEDIAN(Instances!H243:Instances!H243),"min", MIN(Instances!H243:Instances!H243),"max", MAX(Instances!H243:Instances!H243),"diff", MAX(Instances!H243:Instances!H243)-MIN(Instances!H243:Instances!H243))</f>
        <v>0</v>
      </c>
      <c r="I243" s="1" cm="1">
        <f t="array" ref="I243">_xlfn.SWITCH($A$2,"average", AVERAGE(Instances!I243:Instances!I243),"median", MEDIAN(Instances!I243:Instances!I243),"min", MIN(Instances!I243:Instances!I243),"max", MAX(Instances!I243:Instances!I243),"diff", MAX(Instances!I243:Instances!I243)-MIN(Instances!I243:Instances!I243))</f>
        <v>0</v>
      </c>
      <c r="J243" s="1" cm="1">
        <f t="array" ref="J243">_xlfn.SWITCH($A$2,"average", AVERAGE(Instances!J243:Instances!J243),"median", MEDIAN(Instances!J243:Instances!J243),"min", MIN(Instances!J243:Instances!J243),"max", MAX(Instances!J243:Instances!J243),"diff", MAX(Instances!J243:Instances!J243)-MIN(Instances!J243:Instances!J243))</f>
        <v>0</v>
      </c>
      <c r="K243" s="1" cm="1">
        <f t="array" ref="K243">_xlfn.SWITCH($A$2,"average", AVERAGE(Instances!K243:Instances!K243),"median", MEDIAN(Instances!K243:Instances!K243),"min", MIN(Instances!K243:Instances!K243),"max", MAX(Instances!K243:Instances!K243),"diff", MAX(Instances!K243:Instances!K243)-MIN(Instances!K243:Instances!K243))</f>
        <v>0</v>
      </c>
      <c r="L243" s="1"/>
      <c r="M243" s="1" cm="1">
        <f t="array" ref="M243">_xlfn.SWITCH($A$2,"average", AVERAGE(Instances!M243:Instances!M243),"median", MEDIAN(Instances!M243:Instances!M243),"min", MIN(Instances!M243:Instances!M243),"max", MAX(Instances!M243:Instances!M243),"diff", MAX(Instances!M243:Instances!M243)-MIN(Instances!M243:Instances!M243))</f>
        <v>0</v>
      </c>
      <c r="N243" s="1" cm="1">
        <f t="array" ref="N243">_xlfn.SWITCH($A$2,"average", AVERAGE(Instances!N243:Instances!N243),"median", MEDIAN(Instances!N243:Instances!N243),"min", MIN(Instances!N243:Instances!N243),"max", MAX(Instances!N243:Instances!N243),"diff", MAX(Instances!N243:Instances!N243)-MIN(Instances!N243:Instances!N243))</f>
        <v>0</v>
      </c>
      <c r="O243" s="1"/>
      <c r="P243" s="1" cm="1">
        <f t="array" ref="P243">_xlfn.SWITCH($A$2,"average", AVERAGE(Instances!P243:Instances!P243),"median", MEDIAN(Instances!P243:Instances!P243),"min", MIN(Instances!P243:Instances!P243),"max", MAX(Instances!P243:Instances!P243),"diff", MAX(Instances!P243:Instances!P243)-MIN(Instances!P243:Instances!P243))</f>
        <v>0</v>
      </c>
      <c r="Q243" s="1" cm="1">
        <f t="array" ref="Q243">_xlfn.SWITCH($A$2,"average", AVERAGE(Instances!Q243:Instances!Q243),"median", MEDIAN(Instances!Q243:Instances!Q243),"min", MIN(Instances!Q243:Instances!Q243),"max", MAX(Instances!Q243:Instances!Q243),"diff", MAX(Instances!Q243:Instances!Q243)-MIN(Instances!Q243:Instances!Q243))</f>
        <v>0</v>
      </c>
      <c r="R243" s="1" cm="1">
        <f t="array" ref="R243">_xlfn.SWITCH($A$2,"average", AVERAGE(Instances!R243:Instances!R243),"median", MEDIAN(Instances!R243:Instances!R243),"min", MIN(Instances!R243:Instances!R243),"max", MAX(Instances!R243:Instances!R243),"diff", MAX(Instances!R243:Instances!R243)-MIN(Instances!R243:Instances!R243))</f>
        <v>0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 cm="1">
        <f t="array" ref="B244">_xlfn.SWITCH($A$2,"average", AVERAGE(Instances!B244:Instances!B244),"median", MEDIAN(Instances!B244:Instances!B244),"min", MIN(Instances!B244:Instances!B244),"max", MAX(Instances!B244:Instances!B244),"diff", MAX(Instances!B244:Instances!B244)-MIN(Instances!B244:Instances!B244))</f>
        <v>0</v>
      </c>
      <c r="C244" s="1" cm="1">
        <f t="array" ref="C244">_xlfn.SWITCH($A$2,"average", AVERAGE(Instances!C244:Instances!C244),"median", MEDIAN(Instances!C244:Instances!C244),"min", MIN(Instances!C244:Instances!C244),"max", MAX(Instances!C244:Instances!C244),"diff", MAX(Instances!C244:Instances!C244)-MIN(Instances!C244:Instances!C244))</f>
        <v>0</v>
      </c>
      <c r="D244" s="1" cm="1">
        <f t="array" ref="D244">_xlfn.SWITCH($A$2,"average", AVERAGE(Instances!D244:Instances!D244),"median", MEDIAN(Instances!D244:Instances!D244),"min", MIN(Instances!D244:Instances!D244),"max", MAX(Instances!D244:Instances!D244),"diff", MAX(Instances!D244:Instances!D244)-MIN(Instances!D244:Instances!D244))</f>
        <v>0</v>
      </c>
      <c r="E244" s="1" cm="1">
        <f t="array" ref="E244">_xlfn.SWITCH($A$2,"average", AVERAGE(Instances!E244:Instances!E244),"median", MEDIAN(Instances!E244:Instances!E244),"min", MIN(Instances!E244:Instances!E244),"max", MAX(Instances!E244:Instances!E244),"diff", MAX(Instances!E244:Instances!E244)-MIN(Instances!E244:Instances!E244))</f>
        <v>0</v>
      </c>
      <c r="F244" s="1" cm="1">
        <f t="array" ref="F244">_xlfn.SWITCH($A$2,"average", AVERAGE(Instances!F244:Instances!F244),"median", MEDIAN(Instances!F244:Instances!F244),"min", MIN(Instances!F244:Instances!F244),"max", MAX(Instances!F244:Instances!F244),"diff", MAX(Instances!F244:Instances!F244)-MIN(Instances!F244:Instances!F244))</f>
        <v>0</v>
      </c>
      <c r="G244" s="1" cm="1">
        <f t="array" ref="G244">_xlfn.SWITCH($A$2,"average", AVERAGE(Instances!G244:Instances!G244),"median", MEDIAN(Instances!G244:Instances!G244),"min", MIN(Instances!G244:Instances!G244),"max", MAX(Instances!G244:Instances!G244),"diff", MAX(Instances!G244:Instances!G244)-MIN(Instances!G244:Instances!G244))</f>
        <v>0</v>
      </c>
      <c r="H244" s="1" cm="1">
        <f t="array" ref="H244">_xlfn.SWITCH($A$2,"average", AVERAGE(Instances!H244:Instances!H244),"median", MEDIAN(Instances!H244:Instances!H244),"min", MIN(Instances!H244:Instances!H244),"max", MAX(Instances!H244:Instances!H244),"diff", MAX(Instances!H244:Instances!H244)-MIN(Instances!H244:Instances!H244))</f>
        <v>0</v>
      </c>
      <c r="I244" s="1" cm="1">
        <f t="array" ref="I244">_xlfn.SWITCH($A$2,"average", AVERAGE(Instances!I244:Instances!I244),"median", MEDIAN(Instances!I244:Instances!I244),"min", MIN(Instances!I244:Instances!I244),"max", MAX(Instances!I244:Instances!I244),"diff", MAX(Instances!I244:Instances!I244)-MIN(Instances!I244:Instances!I244))</f>
        <v>0</v>
      </c>
      <c r="J244" s="1" cm="1">
        <f t="array" ref="J244">_xlfn.SWITCH($A$2,"average", AVERAGE(Instances!J244:Instances!J244),"median", MEDIAN(Instances!J244:Instances!J244),"min", MIN(Instances!J244:Instances!J244),"max", MAX(Instances!J244:Instances!J244),"diff", MAX(Instances!J244:Instances!J244)-MIN(Instances!J244:Instances!J244))</f>
        <v>0</v>
      </c>
      <c r="K244" s="1" cm="1">
        <f t="array" ref="K244">_xlfn.SWITCH($A$2,"average", AVERAGE(Instances!K244:Instances!K244),"median", MEDIAN(Instances!K244:Instances!K244),"min", MIN(Instances!K244:Instances!K244),"max", MAX(Instances!K244:Instances!K244),"diff", MAX(Instances!K244:Instances!K244)-MIN(Instances!K244:Instances!K244))</f>
        <v>0</v>
      </c>
      <c r="L244" s="1"/>
      <c r="M244" s="1" cm="1">
        <f t="array" ref="M244">_xlfn.SWITCH($A$2,"average", AVERAGE(Instances!M244:Instances!M244),"median", MEDIAN(Instances!M244:Instances!M244),"min", MIN(Instances!M244:Instances!M244),"max", MAX(Instances!M244:Instances!M244),"diff", MAX(Instances!M244:Instances!M244)-MIN(Instances!M244:Instances!M244))</f>
        <v>0</v>
      </c>
      <c r="N244" s="1" cm="1">
        <f t="array" ref="N244">_xlfn.SWITCH($A$2,"average", AVERAGE(Instances!N244:Instances!N244),"median", MEDIAN(Instances!N244:Instances!N244),"min", MIN(Instances!N244:Instances!N244),"max", MAX(Instances!N244:Instances!N244),"diff", MAX(Instances!N244:Instances!N244)-MIN(Instances!N244:Instances!N244))</f>
        <v>0</v>
      </c>
      <c r="O244" s="1"/>
      <c r="P244" s="1" cm="1">
        <f t="array" ref="P244">_xlfn.SWITCH($A$2,"average", AVERAGE(Instances!P244:Instances!P244),"median", MEDIAN(Instances!P244:Instances!P244),"min", MIN(Instances!P244:Instances!P244),"max", MAX(Instances!P244:Instances!P244),"diff", MAX(Instances!P244:Instances!P244)-MIN(Instances!P244:Instances!P244))</f>
        <v>0</v>
      </c>
      <c r="Q244" s="1" cm="1">
        <f t="array" ref="Q244">_xlfn.SWITCH($A$2,"average", AVERAGE(Instances!Q244:Instances!Q244),"median", MEDIAN(Instances!Q244:Instances!Q244),"min", MIN(Instances!Q244:Instances!Q244),"max", MAX(Instances!Q244:Instances!Q244),"diff", MAX(Instances!Q244:Instances!Q244)-MIN(Instances!Q244:Instances!Q244))</f>
        <v>0</v>
      </c>
      <c r="R244" s="1" cm="1">
        <f t="array" ref="R244">_xlfn.SWITCH($A$2,"average", AVERAGE(Instances!R244:Instances!R244),"median", MEDIAN(Instances!R244:Instances!R244),"min", MIN(Instances!R244:Instances!R244),"max", MAX(Instances!R244:Instances!R244),"diff", MAX(Instances!R244:Instances!R244)-MIN(Instances!R244:Instances!R244))</f>
        <v>0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 cm="1">
        <f t="array" ref="B245">_xlfn.SWITCH($A$2,"average", AVERAGE(Instances!B245:Instances!B245),"median", MEDIAN(Instances!B245:Instances!B245),"min", MIN(Instances!B245:Instances!B245),"max", MAX(Instances!B245:Instances!B245),"diff", MAX(Instances!B245:Instances!B245)-MIN(Instances!B245:Instances!B245))</f>
        <v>0</v>
      </c>
      <c r="C245" s="1" cm="1">
        <f t="array" ref="C245">_xlfn.SWITCH($A$2,"average", AVERAGE(Instances!C245:Instances!C245),"median", MEDIAN(Instances!C245:Instances!C245),"min", MIN(Instances!C245:Instances!C245),"max", MAX(Instances!C245:Instances!C245),"diff", MAX(Instances!C245:Instances!C245)-MIN(Instances!C245:Instances!C245))</f>
        <v>0</v>
      </c>
      <c r="D245" s="1" cm="1">
        <f t="array" ref="D245">_xlfn.SWITCH($A$2,"average", AVERAGE(Instances!D245:Instances!D245),"median", MEDIAN(Instances!D245:Instances!D245),"min", MIN(Instances!D245:Instances!D245),"max", MAX(Instances!D245:Instances!D245),"diff", MAX(Instances!D245:Instances!D245)-MIN(Instances!D245:Instances!D245))</f>
        <v>0</v>
      </c>
      <c r="E245" s="1" cm="1">
        <f t="array" ref="E245">_xlfn.SWITCH($A$2,"average", AVERAGE(Instances!E245:Instances!E245),"median", MEDIAN(Instances!E245:Instances!E245),"min", MIN(Instances!E245:Instances!E245),"max", MAX(Instances!E245:Instances!E245),"diff", MAX(Instances!E245:Instances!E245)-MIN(Instances!E245:Instances!E245))</f>
        <v>0</v>
      </c>
      <c r="F245" s="1" cm="1">
        <f t="array" ref="F245">_xlfn.SWITCH($A$2,"average", AVERAGE(Instances!F245:Instances!F245),"median", MEDIAN(Instances!F245:Instances!F245),"min", MIN(Instances!F245:Instances!F245),"max", MAX(Instances!F245:Instances!F245),"diff", MAX(Instances!F245:Instances!F245)-MIN(Instances!F245:Instances!F245))</f>
        <v>0</v>
      </c>
      <c r="G245" s="1" cm="1">
        <f t="array" ref="G245">_xlfn.SWITCH($A$2,"average", AVERAGE(Instances!G245:Instances!G245),"median", MEDIAN(Instances!G245:Instances!G245),"min", MIN(Instances!G245:Instances!G245),"max", MAX(Instances!G245:Instances!G245),"diff", MAX(Instances!G245:Instances!G245)-MIN(Instances!G245:Instances!G245))</f>
        <v>0</v>
      </c>
      <c r="H245" s="1" cm="1">
        <f t="array" ref="H245">_xlfn.SWITCH($A$2,"average", AVERAGE(Instances!H245:Instances!H245),"median", MEDIAN(Instances!H245:Instances!H245),"min", MIN(Instances!H245:Instances!H245),"max", MAX(Instances!H245:Instances!H245),"diff", MAX(Instances!H245:Instances!H245)-MIN(Instances!H245:Instances!H245))</f>
        <v>0</v>
      </c>
      <c r="I245" s="1" cm="1">
        <f t="array" ref="I245">_xlfn.SWITCH($A$2,"average", AVERAGE(Instances!I245:Instances!I245),"median", MEDIAN(Instances!I245:Instances!I245),"min", MIN(Instances!I245:Instances!I245),"max", MAX(Instances!I245:Instances!I245),"diff", MAX(Instances!I245:Instances!I245)-MIN(Instances!I245:Instances!I245))</f>
        <v>0</v>
      </c>
      <c r="J245" s="1" cm="1">
        <f t="array" ref="J245">_xlfn.SWITCH($A$2,"average", AVERAGE(Instances!J245:Instances!J245),"median", MEDIAN(Instances!J245:Instances!J245),"min", MIN(Instances!J245:Instances!J245),"max", MAX(Instances!J245:Instances!J245),"diff", MAX(Instances!J245:Instances!J245)-MIN(Instances!J245:Instances!J245))</f>
        <v>0</v>
      </c>
      <c r="K245" s="1" cm="1">
        <f t="array" ref="K245">_xlfn.SWITCH($A$2,"average", AVERAGE(Instances!K245:Instances!K245),"median", MEDIAN(Instances!K245:Instances!K245),"min", MIN(Instances!K245:Instances!K245),"max", MAX(Instances!K245:Instances!K245),"diff", MAX(Instances!K245:Instances!K245)-MIN(Instances!K245:Instances!K245))</f>
        <v>0</v>
      </c>
      <c r="L245" s="1"/>
      <c r="M245" s="1" cm="1">
        <f t="array" ref="M245">_xlfn.SWITCH($A$2,"average", AVERAGE(Instances!M245:Instances!M245),"median", MEDIAN(Instances!M245:Instances!M245),"min", MIN(Instances!M245:Instances!M245),"max", MAX(Instances!M245:Instances!M245),"diff", MAX(Instances!M245:Instances!M245)-MIN(Instances!M245:Instances!M245))</f>
        <v>0</v>
      </c>
      <c r="N245" s="1" cm="1">
        <f t="array" ref="N245">_xlfn.SWITCH($A$2,"average", AVERAGE(Instances!N245:Instances!N245),"median", MEDIAN(Instances!N245:Instances!N245),"min", MIN(Instances!N245:Instances!N245),"max", MAX(Instances!N245:Instances!N245),"diff", MAX(Instances!N245:Instances!N245)-MIN(Instances!N245:Instances!N245))</f>
        <v>0</v>
      </c>
      <c r="O245" s="1"/>
      <c r="P245" s="1" cm="1">
        <f t="array" ref="P245">_xlfn.SWITCH($A$2,"average", AVERAGE(Instances!P245:Instances!P245),"median", MEDIAN(Instances!P245:Instances!P245),"min", MIN(Instances!P245:Instances!P245),"max", MAX(Instances!P245:Instances!P245),"diff", MAX(Instances!P245:Instances!P245)-MIN(Instances!P245:Instances!P245))</f>
        <v>0</v>
      </c>
      <c r="Q245" s="1" cm="1">
        <f t="array" ref="Q245">_xlfn.SWITCH($A$2,"average", AVERAGE(Instances!Q245:Instances!Q245),"median", MEDIAN(Instances!Q245:Instances!Q245),"min", MIN(Instances!Q245:Instances!Q245),"max", MAX(Instances!Q245:Instances!Q245),"diff", MAX(Instances!Q245:Instances!Q245)-MIN(Instances!Q245:Instances!Q245))</f>
        <v>0</v>
      </c>
      <c r="R245" s="1" cm="1">
        <f t="array" ref="R245">_xlfn.SWITCH($A$2,"average", AVERAGE(Instances!R245:Instances!R245),"median", MEDIAN(Instances!R245:Instances!R245),"min", MIN(Instances!R245:Instances!R245),"max", MAX(Instances!R245:Instances!R245),"diff", MAX(Instances!R245:Instances!R245)-MIN(Instances!R245:Instances!R245))</f>
        <v>0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 cm="1">
        <f t="array" ref="B246">_xlfn.SWITCH($A$2,"average", AVERAGE(Instances!B246:Instances!B246),"median", MEDIAN(Instances!B246:Instances!B246),"min", MIN(Instances!B246:Instances!B246),"max", MAX(Instances!B246:Instances!B246),"diff", MAX(Instances!B246:Instances!B246)-MIN(Instances!B246:Instances!B246))</f>
        <v>0</v>
      </c>
      <c r="C246" s="1" cm="1">
        <f t="array" ref="C246">_xlfn.SWITCH($A$2,"average", AVERAGE(Instances!C246:Instances!C246),"median", MEDIAN(Instances!C246:Instances!C246),"min", MIN(Instances!C246:Instances!C246),"max", MAX(Instances!C246:Instances!C246),"diff", MAX(Instances!C246:Instances!C246)-MIN(Instances!C246:Instances!C246))</f>
        <v>0</v>
      </c>
      <c r="D246" s="1" cm="1">
        <f t="array" ref="D246">_xlfn.SWITCH($A$2,"average", AVERAGE(Instances!D246:Instances!D246),"median", MEDIAN(Instances!D246:Instances!D246),"min", MIN(Instances!D246:Instances!D246),"max", MAX(Instances!D246:Instances!D246),"diff", MAX(Instances!D246:Instances!D246)-MIN(Instances!D246:Instances!D246))</f>
        <v>0</v>
      </c>
      <c r="E246" s="1" cm="1">
        <f t="array" ref="E246">_xlfn.SWITCH($A$2,"average", AVERAGE(Instances!E246:Instances!E246),"median", MEDIAN(Instances!E246:Instances!E246),"min", MIN(Instances!E246:Instances!E246),"max", MAX(Instances!E246:Instances!E246),"diff", MAX(Instances!E246:Instances!E246)-MIN(Instances!E246:Instances!E246))</f>
        <v>0</v>
      </c>
      <c r="F246" s="1" cm="1">
        <f t="array" ref="F246">_xlfn.SWITCH($A$2,"average", AVERAGE(Instances!F246:Instances!F246),"median", MEDIAN(Instances!F246:Instances!F246),"min", MIN(Instances!F246:Instances!F246),"max", MAX(Instances!F246:Instances!F246),"diff", MAX(Instances!F246:Instances!F246)-MIN(Instances!F246:Instances!F246))</f>
        <v>0</v>
      </c>
      <c r="G246" s="1" cm="1">
        <f t="array" ref="G246">_xlfn.SWITCH($A$2,"average", AVERAGE(Instances!G246:Instances!G246),"median", MEDIAN(Instances!G246:Instances!G246),"min", MIN(Instances!G246:Instances!G246),"max", MAX(Instances!G246:Instances!G246),"diff", MAX(Instances!G246:Instances!G246)-MIN(Instances!G246:Instances!G246))</f>
        <v>0</v>
      </c>
      <c r="H246" s="1" cm="1">
        <f t="array" ref="H246">_xlfn.SWITCH($A$2,"average", AVERAGE(Instances!H246:Instances!H246),"median", MEDIAN(Instances!H246:Instances!H246),"min", MIN(Instances!H246:Instances!H246),"max", MAX(Instances!H246:Instances!H246),"diff", MAX(Instances!H246:Instances!H246)-MIN(Instances!H246:Instances!H246))</f>
        <v>0</v>
      </c>
      <c r="I246" s="1" cm="1">
        <f t="array" ref="I246">_xlfn.SWITCH($A$2,"average", AVERAGE(Instances!I246:Instances!I246),"median", MEDIAN(Instances!I246:Instances!I246),"min", MIN(Instances!I246:Instances!I246),"max", MAX(Instances!I246:Instances!I246),"diff", MAX(Instances!I246:Instances!I246)-MIN(Instances!I246:Instances!I246))</f>
        <v>0</v>
      </c>
      <c r="J246" s="1" cm="1">
        <f t="array" ref="J246">_xlfn.SWITCH($A$2,"average", AVERAGE(Instances!J246:Instances!J246),"median", MEDIAN(Instances!J246:Instances!J246),"min", MIN(Instances!J246:Instances!J246),"max", MAX(Instances!J246:Instances!J246),"diff", MAX(Instances!J246:Instances!J246)-MIN(Instances!J246:Instances!J246))</f>
        <v>0</v>
      </c>
      <c r="K246" s="1" cm="1">
        <f t="array" ref="K246">_xlfn.SWITCH($A$2,"average", AVERAGE(Instances!K246:Instances!K246),"median", MEDIAN(Instances!K246:Instances!K246),"min", MIN(Instances!K246:Instances!K246),"max", MAX(Instances!K246:Instances!K246),"diff", MAX(Instances!K246:Instances!K246)-MIN(Instances!K246:Instances!K246))</f>
        <v>0</v>
      </c>
      <c r="L246" s="1"/>
      <c r="M246" s="1" cm="1">
        <f t="array" ref="M246">_xlfn.SWITCH($A$2,"average", AVERAGE(Instances!M246:Instances!M246),"median", MEDIAN(Instances!M246:Instances!M246),"min", MIN(Instances!M246:Instances!M246),"max", MAX(Instances!M246:Instances!M246),"diff", MAX(Instances!M246:Instances!M246)-MIN(Instances!M246:Instances!M246))</f>
        <v>0</v>
      </c>
      <c r="N246" s="1" cm="1">
        <f t="array" ref="N246">_xlfn.SWITCH($A$2,"average", AVERAGE(Instances!N246:Instances!N246),"median", MEDIAN(Instances!N246:Instances!N246),"min", MIN(Instances!N246:Instances!N246),"max", MAX(Instances!N246:Instances!N246),"diff", MAX(Instances!N246:Instances!N246)-MIN(Instances!N246:Instances!N246))</f>
        <v>0</v>
      </c>
      <c r="O246" s="1"/>
      <c r="P246" s="1" cm="1">
        <f t="array" ref="P246">_xlfn.SWITCH($A$2,"average", AVERAGE(Instances!P246:Instances!P246),"median", MEDIAN(Instances!P246:Instances!P246),"min", MIN(Instances!P246:Instances!P246),"max", MAX(Instances!P246:Instances!P246),"diff", MAX(Instances!P246:Instances!P246)-MIN(Instances!P246:Instances!P246))</f>
        <v>0</v>
      </c>
      <c r="Q246" s="1" cm="1">
        <f t="array" ref="Q246">_xlfn.SWITCH($A$2,"average", AVERAGE(Instances!Q246:Instances!Q246),"median", MEDIAN(Instances!Q246:Instances!Q246),"min", MIN(Instances!Q246:Instances!Q246),"max", MAX(Instances!Q246:Instances!Q246),"diff", MAX(Instances!Q246:Instances!Q246)-MIN(Instances!Q246:Instances!Q246))</f>
        <v>0</v>
      </c>
      <c r="R246" s="1" cm="1">
        <f t="array" ref="R246">_xlfn.SWITCH($A$2,"average", AVERAGE(Instances!R246:Instances!R246),"median", MEDIAN(Instances!R246:Instances!R246),"min", MIN(Instances!R246:Instances!R246),"max", MAX(Instances!R246:Instances!R246),"diff", MAX(Instances!R246:Instances!R246)-MIN(Instances!R246:Instances!R246))</f>
        <v>0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 cm="1">
        <f t="array" ref="B247">_xlfn.SWITCH($A$2,"average", AVERAGE(Instances!B247:Instances!B247),"median", MEDIAN(Instances!B247:Instances!B247),"min", MIN(Instances!B247:Instances!B247),"max", MAX(Instances!B247:Instances!B247),"diff", MAX(Instances!B247:Instances!B247)-MIN(Instances!B247:Instances!B247))</f>
        <v>0</v>
      </c>
      <c r="C247" s="1" cm="1">
        <f t="array" ref="C247">_xlfn.SWITCH($A$2,"average", AVERAGE(Instances!C247:Instances!C247),"median", MEDIAN(Instances!C247:Instances!C247),"min", MIN(Instances!C247:Instances!C247),"max", MAX(Instances!C247:Instances!C247),"diff", MAX(Instances!C247:Instances!C247)-MIN(Instances!C247:Instances!C247))</f>
        <v>0</v>
      </c>
      <c r="D247" s="1" cm="1">
        <f t="array" ref="D247">_xlfn.SWITCH($A$2,"average", AVERAGE(Instances!D247:Instances!D247),"median", MEDIAN(Instances!D247:Instances!D247),"min", MIN(Instances!D247:Instances!D247),"max", MAX(Instances!D247:Instances!D247),"diff", MAX(Instances!D247:Instances!D247)-MIN(Instances!D247:Instances!D247))</f>
        <v>0</v>
      </c>
      <c r="E247" s="1" cm="1">
        <f t="array" ref="E247">_xlfn.SWITCH($A$2,"average", AVERAGE(Instances!E247:Instances!E247),"median", MEDIAN(Instances!E247:Instances!E247),"min", MIN(Instances!E247:Instances!E247),"max", MAX(Instances!E247:Instances!E247),"diff", MAX(Instances!E247:Instances!E247)-MIN(Instances!E247:Instances!E247))</f>
        <v>0</v>
      </c>
      <c r="F247" s="1" cm="1">
        <f t="array" ref="F247">_xlfn.SWITCH($A$2,"average", AVERAGE(Instances!F247:Instances!F247),"median", MEDIAN(Instances!F247:Instances!F247),"min", MIN(Instances!F247:Instances!F247),"max", MAX(Instances!F247:Instances!F247),"diff", MAX(Instances!F247:Instances!F247)-MIN(Instances!F247:Instances!F247))</f>
        <v>0</v>
      </c>
      <c r="G247" s="1" cm="1">
        <f t="array" ref="G247">_xlfn.SWITCH($A$2,"average", AVERAGE(Instances!G247:Instances!G247),"median", MEDIAN(Instances!G247:Instances!G247),"min", MIN(Instances!G247:Instances!G247),"max", MAX(Instances!G247:Instances!G247),"diff", MAX(Instances!G247:Instances!G247)-MIN(Instances!G247:Instances!G247))</f>
        <v>0</v>
      </c>
      <c r="H247" s="1" cm="1">
        <f t="array" ref="H247">_xlfn.SWITCH($A$2,"average", AVERAGE(Instances!H247:Instances!H247),"median", MEDIAN(Instances!H247:Instances!H247),"min", MIN(Instances!H247:Instances!H247),"max", MAX(Instances!H247:Instances!H247),"diff", MAX(Instances!H247:Instances!H247)-MIN(Instances!H247:Instances!H247))</f>
        <v>0</v>
      </c>
      <c r="I247" s="1" cm="1">
        <f t="array" ref="I247">_xlfn.SWITCH($A$2,"average", AVERAGE(Instances!I247:Instances!I247),"median", MEDIAN(Instances!I247:Instances!I247),"min", MIN(Instances!I247:Instances!I247),"max", MAX(Instances!I247:Instances!I247),"diff", MAX(Instances!I247:Instances!I247)-MIN(Instances!I247:Instances!I247))</f>
        <v>0</v>
      </c>
      <c r="J247" s="1" cm="1">
        <f t="array" ref="J247">_xlfn.SWITCH($A$2,"average", AVERAGE(Instances!J247:Instances!J247),"median", MEDIAN(Instances!J247:Instances!J247),"min", MIN(Instances!J247:Instances!J247),"max", MAX(Instances!J247:Instances!J247),"diff", MAX(Instances!J247:Instances!J247)-MIN(Instances!J247:Instances!J247))</f>
        <v>0</v>
      </c>
      <c r="K247" s="1" cm="1">
        <f t="array" ref="K247">_xlfn.SWITCH($A$2,"average", AVERAGE(Instances!K247:Instances!K247),"median", MEDIAN(Instances!K247:Instances!K247),"min", MIN(Instances!K247:Instances!K247),"max", MAX(Instances!K247:Instances!K247),"diff", MAX(Instances!K247:Instances!K247)-MIN(Instances!K247:Instances!K247))</f>
        <v>0</v>
      </c>
      <c r="L247" s="1"/>
      <c r="M247" s="1" cm="1">
        <f t="array" ref="M247">_xlfn.SWITCH($A$2,"average", AVERAGE(Instances!M247:Instances!M247),"median", MEDIAN(Instances!M247:Instances!M247),"min", MIN(Instances!M247:Instances!M247),"max", MAX(Instances!M247:Instances!M247),"diff", MAX(Instances!M247:Instances!M247)-MIN(Instances!M247:Instances!M247))</f>
        <v>0</v>
      </c>
      <c r="N247" s="1" cm="1">
        <f t="array" ref="N247">_xlfn.SWITCH($A$2,"average", AVERAGE(Instances!N247:Instances!N247),"median", MEDIAN(Instances!N247:Instances!N247),"min", MIN(Instances!N247:Instances!N247),"max", MAX(Instances!N247:Instances!N247),"diff", MAX(Instances!N247:Instances!N247)-MIN(Instances!N247:Instances!N247))</f>
        <v>0</v>
      </c>
      <c r="O247" s="1"/>
      <c r="P247" s="1" cm="1">
        <f t="array" ref="P247">_xlfn.SWITCH($A$2,"average", AVERAGE(Instances!P247:Instances!P247),"median", MEDIAN(Instances!P247:Instances!P247),"min", MIN(Instances!P247:Instances!P247),"max", MAX(Instances!P247:Instances!P247),"diff", MAX(Instances!P247:Instances!P247)-MIN(Instances!P247:Instances!P247))</f>
        <v>0</v>
      </c>
      <c r="Q247" s="1" cm="1">
        <f t="array" ref="Q247">_xlfn.SWITCH($A$2,"average", AVERAGE(Instances!Q247:Instances!Q247),"median", MEDIAN(Instances!Q247:Instances!Q247),"min", MIN(Instances!Q247:Instances!Q247),"max", MAX(Instances!Q247:Instances!Q247),"diff", MAX(Instances!Q247:Instances!Q247)-MIN(Instances!Q247:Instances!Q247))</f>
        <v>0</v>
      </c>
      <c r="R247" s="1" cm="1">
        <f t="array" ref="R247">_xlfn.SWITCH($A$2,"average", AVERAGE(Instances!R247:Instances!R247),"median", MEDIAN(Instances!R247:Instances!R247),"min", MIN(Instances!R247:Instances!R247),"max", MAX(Instances!R247:Instances!R247),"diff", MAX(Instances!R247:Instances!R247)-MIN(Instances!R247:Instances!R247))</f>
        <v>0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 cm="1">
        <f t="array" ref="B248">_xlfn.SWITCH($A$2,"average", AVERAGE(Instances!B248:Instances!B248),"median", MEDIAN(Instances!B248:Instances!B248),"min", MIN(Instances!B248:Instances!B248),"max", MAX(Instances!B248:Instances!B248),"diff", MAX(Instances!B248:Instances!B248)-MIN(Instances!B248:Instances!B248))</f>
        <v>0</v>
      </c>
      <c r="C248" s="1" cm="1">
        <f t="array" ref="C248">_xlfn.SWITCH($A$2,"average", AVERAGE(Instances!C248:Instances!C248),"median", MEDIAN(Instances!C248:Instances!C248),"min", MIN(Instances!C248:Instances!C248),"max", MAX(Instances!C248:Instances!C248),"diff", MAX(Instances!C248:Instances!C248)-MIN(Instances!C248:Instances!C248))</f>
        <v>0</v>
      </c>
      <c r="D248" s="1" cm="1">
        <f t="array" ref="D248">_xlfn.SWITCH($A$2,"average", AVERAGE(Instances!D248:Instances!D248),"median", MEDIAN(Instances!D248:Instances!D248),"min", MIN(Instances!D248:Instances!D248),"max", MAX(Instances!D248:Instances!D248),"diff", MAX(Instances!D248:Instances!D248)-MIN(Instances!D248:Instances!D248))</f>
        <v>0</v>
      </c>
      <c r="E248" s="1" cm="1">
        <f t="array" ref="E248">_xlfn.SWITCH($A$2,"average", AVERAGE(Instances!E248:Instances!E248),"median", MEDIAN(Instances!E248:Instances!E248),"min", MIN(Instances!E248:Instances!E248),"max", MAX(Instances!E248:Instances!E248),"diff", MAX(Instances!E248:Instances!E248)-MIN(Instances!E248:Instances!E248))</f>
        <v>0</v>
      </c>
      <c r="F248" s="1" cm="1">
        <f t="array" ref="F248">_xlfn.SWITCH($A$2,"average", AVERAGE(Instances!F248:Instances!F248),"median", MEDIAN(Instances!F248:Instances!F248),"min", MIN(Instances!F248:Instances!F248),"max", MAX(Instances!F248:Instances!F248),"diff", MAX(Instances!F248:Instances!F248)-MIN(Instances!F248:Instances!F248))</f>
        <v>0</v>
      </c>
      <c r="G248" s="1" cm="1">
        <f t="array" ref="G248">_xlfn.SWITCH($A$2,"average", AVERAGE(Instances!G248:Instances!G248),"median", MEDIAN(Instances!G248:Instances!G248),"min", MIN(Instances!G248:Instances!G248),"max", MAX(Instances!G248:Instances!G248),"diff", MAX(Instances!G248:Instances!G248)-MIN(Instances!G248:Instances!G248))</f>
        <v>0</v>
      </c>
      <c r="H248" s="1" cm="1">
        <f t="array" ref="H248">_xlfn.SWITCH($A$2,"average", AVERAGE(Instances!H248:Instances!H248),"median", MEDIAN(Instances!H248:Instances!H248),"min", MIN(Instances!H248:Instances!H248),"max", MAX(Instances!H248:Instances!H248),"diff", MAX(Instances!H248:Instances!H248)-MIN(Instances!H248:Instances!H248))</f>
        <v>0</v>
      </c>
      <c r="I248" s="1" cm="1">
        <f t="array" ref="I248">_xlfn.SWITCH($A$2,"average", AVERAGE(Instances!I248:Instances!I248),"median", MEDIAN(Instances!I248:Instances!I248),"min", MIN(Instances!I248:Instances!I248),"max", MAX(Instances!I248:Instances!I248),"diff", MAX(Instances!I248:Instances!I248)-MIN(Instances!I248:Instances!I248))</f>
        <v>0</v>
      </c>
      <c r="J248" s="1" cm="1">
        <f t="array" ref="J248">_xlfn.SWITCH($A$2,"average", AVERAGE(Instances!J248:Instances!J248),"median", MEDIAN(Instances!J248:Instances!J248),"min", MIN(Instances!J248:Instances!J248),"max", MAX(Instances!J248:Instances!J248),"diff", MAX(Instances!J248:Instances!J248)-MIN(Instances!J248:Instances!J248))</f>
        <v>0</v>
      </c>
      <c r="K248" s="1" cm="1">
        <f t="array" ref="K248">_xlfn.SWITCH($A$2,"average", AVERAGE(Instances!K248:Instances!K248),"median", MEDIAN(Instances!K248:Instances!K248),"min", MIN(Instances!K248:Instances!K248),"max", MAX(Instances!K248:Instances!K248),"diff", MAX(Instances!K248:Instances!K248)-MIN(Instances!K248:Instances!K248))</f>
        <v>0</v>
      </c>
      <c r="L248" s="1"/>
      <c r="M248" s="1" cm="1">
        <f t="array" ref="M248">_xlfn.SWITCH($A$2,"average", AVERAGE(Instances!M248:Instances!M248),"median", MEDIAN(Instances!M248:Instances!M248),"min", MIN(Instances!M248:Instances!M248),"max", MAX(Instances!M248:Instances!M248),"diff", MAX(Instances!M248:Instances!M248)-MIN(Instances!M248:Instances!M248))</f>
        <v>0</v>
      </c>
      <c r="N248" s="1" cm="1">
        <f t="array" ref="N248">_xlfn.SWITCH($A$2,"average", AVERAGE(Instances!N248:Instances!N248),"median", MEDIAN(Instances!N248:Instances!N248),"min", MIN(Instances!N248:Instances!N248),"max", MAX(Instances!N248:Instances!N248),"diff", MAX(Instances!N248:Instances!N248)-MIN(Instances!N248:Instances!N248))</f>
        <v>0</v>
      </c>
      <c r="O248" s="1"/>
      <c r="P248" s="1" cm="1">
        <f t="array" ref="P248">_xlfn.SWITCH($A$2,"average", AVERAGE(Instances!P248:Instances!P248),"median", MEDIAN(Instances!P248:Instances!P248),"min", MIN(Instances!P248:Instances!P248),"max", MAX(Instances!P248:Instances!P248),"diff", MAX(Instances!P248:Instances!P248)-MIN(Instances!P248:Instances!P248))</f>
        <v>0</v>
      </c>
      <c r="Q248" s="1" cm="1">
        <f t="array" ref="Q248">_xlfn.SWITCH($A$2,"average", AVERAGE(Instances!Q248:Instances!Q248),"median", MEDIAN(Instances!Q248:Instances!Q248),"min", MIN(Instances!Q248:Instances!Q248),"max", MAX(Instances!Q248:Instances!Q248),"diff", MAX(Instances!Q248:Instances!Q248)-MIN(Instances!Q248:Instances!Q248))</f>
        <v>0</v>
      </c>
      <c r="R248" s="1" cm="1">
        <f t="array" ref="R248">_xlfn.SWITCH($A$2,"average", AVERAGE(Instances!R248:Instances!R248),"median", MEDIAN(Instances!R248:Instances!R248),"min", MIN(Instances!R248:Instances!R248),"max", MAX(Instances!R248:Instances!R248),"diff", MAX(Instances!R248:Instances!R248)-MIN(Instances!R248:Instances!R248))</f>
        <v>0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 cm="1">
        <f t="array" ref="B249">_xlfn.SWITCH($A$2,"average", AVERAGE(Instances!B249:Instances!B249),"median", MEDIAN(Instances!B249:Instances!B249),"min", MIN(Instances!B249:Instances!B249),"max", MAX(Instances!B249:Instances!B249),"diff", MAX(Instances!B249:Instances!B249)-MIN(Instances!B249:Instances!B249))</f>
        <v>0</v>
      </c>
      <c r="C249" s="1" cm="1">
        <f t="array" ref="C249">_xlfn.SWITCH($A$2,"average", AVERAGE(Instances!C249:Instances!C249),"median", MEDIAN(Instances!C249:Instances!C249),"min", MIN(Instances!C249:Instances!C249),"max", MAX(Instances!C249:Instances!C249),"diff", MAX(Instances!C249:Instances!C249)-MIN(Instances!C249:Instances!C249))</f>
        <v>0</v>
      </c>
      <c r="D249" s="1" cm="1">
        <f t="array" ref="D249">_xlfn.SWITCH($A$2,"average", AVERAGE(Instances!D249:Instances!D249),"median", MEDIAN(Instances!D249:Instances!D249),"min", MIN(Instances!D249:Instances!D249),"max", MAX(Instances!D249:Instances!D249),"diff", MAX(Instances!D249:Instances!D249)-MIN(Instances!D249:Instances!D249))</f>
        <v>0</v>
      </c>
      <c r="E249" s="1" cm="1">
        <f t="array" ref="E249">_xlfn.SWITCH($A$2,"average", AVERAGE(Instances!E249:Instances!E249),"median", MEDIAN(Instances!E249:Instances!E249),"min", MIN(Instances!E249:Instances!E249),"max", MAX(Instances!E249:Instances!E249),"diff", MAX(Instances!E249:Instances!E249)-MIN(Instances!E249:Instances!E249))</f>
        <v>0</v>
      </c>
      <c r="F249" s="1" cm="1">
        <f t="array" ref="F249">_xlfn.SWITCH($A$2,"average", AVERAGE(Instances!F249:Instances!F249),"median", MEDIAN(Instances!F249:Instances!F249),"min", MIN(Instances!F249:Instances!F249),"max", MAX(Instances!F249:Instances!F249),"diff", MAX(Instances!F249:Instances!F249)-MIN(Instances!F249:Instances!F249))</f>
        <v>0</v>
      </c>
      <c r="G249" s="1" cm="1">
        <f t="array" ref="G249">_xlfn.SWITCH($A$2,"average", AVERAGE(Instances!G249:Instances!G249),"median", MEDIAN(Instances!G249:Instances!G249),"min", MIN(Instances!G249:Instances!G249),"max", MAX(Instances!G249:Instances!G249),"diff", MAX(Instances!G249:Instances!G249)-MIN(Instances!G249:Instances!G249))</f>
        <v>0</v>
      </c>
      <c r="H249" s="1" cm="1">
        <f t="array" ref="H249">_xlfn.SWITCH($A$2,"average", AVERAGE(Instances!H249:Instances!H249),"median", MEDIAN(Instances!H249:Instances!H249),"min", MIN(Instances!H249:Instances!H249),"max", MAX(Instances!H249:Instances!H249),"diff", MAX(Instances!H249:Instances!H249)-MIN(Instances!H249:Instances!H249))</f>
        <v>0</v>
      </c>
      <c r="I249" s="1" cm="1">
        <f t="array" ref="I249">_xlfn.SWITCH($A$2,"average", AVERAGE(Instances!I249:Instances!I249),"median", MEDIAN(Instances!I249:Instances!I249),"min", MIN(Instances!I249:Instances!I249),"max", MAX(Instances!I249:Instances!I249),"diff", MAX(Instances!I249:Instances!I249)-MIN(Instances!I249:Instances!I249))</f>
        <v>0</v>
      </c>
      <c r="J249" s="1" cm="1">
        <f t="array" ref="J249">_xlfn.SWITCH($A$2,"average", AVERAGE(Instances!J249:Instances!J249),"median", MEDIAN(Instances!J249:Instances!J249),"min", MIN(Instances!J249:Instances!J249),"max", MAX(Instances!J249:Instances!J249),"diff", MAX(Instances!J249:Instances!J249)-MIN(Instances!J249:Instances!J249))</f>
        <v>0</v>
      </c>
      <c r="K249" s="1" cm="1">
        <f t="array" ref="K249">_xlfn.SWITCH($A$2,"average", AVERAGE(Instances!K249:Instances!K249),"median", MEDIAN(Instances!K249:Instances!K249),"min", MIN(Instances!K249:Instances!K249),"max", MAX(Instances!K249:Instances!K249),"diff", MAX(Instances!K249:Instances!K249)-MIN(Instances!K249:Instances!K249))</f>
        <v>0</v>
      </c>
      <c r="L249" s="1"/>
      <c r="M249" s="1" cm="1">
        <f t="array" ref="M249">_xlfn.SWITCH($A$2,"average", AVERAGE(Instances!M249:Instances!M249),"median", MEDIAN(Instances!M249:Instances!M249),"min", MIN(Instances!M249:Instances!M249),"max", MAX(Instances!M249:Instances!M249),"diff", MAX(Instances!M249:Instances!M249)-MIN(Instances!M249:Instances!M249))</f>
        <v>0</v>
      </c>
      <c r="N249" s="1" cm="1">
        <f t="array" ref="N249">_xlfn.SWITCH($A$2,"average", AVERAGE(Instances!N249:Instances!N249),"median", MEDIAN(Instances!N249:Instances!N249),"min", MIN(Instances!N249:Instances!N249),"max", MAX(Instances!N249:Instances!N249),"diff", MAX(Instances!N249:Instances!N249)-MIN(Instances!N249:Instances!N249))</f>
        <v>0</v>
      </c>
      <c r="O249" s="1"/>
      <c r="P249" s="1" cm="1">
        <f t="array" ref="P249">_xlfn.SWITCH($A$2,"average", AVERAGE(Instances!P249:Instances!P249),"median", MEDIAN(Instances!P249:Instances!P249),"min", MIN(Instances!P249:Instances!P249),"max", MAX(Instances!P249:Instances!P249),"diff", MAX(Instances!P249:Instances!P249)-MIN(Instances!P249:Instances!P249))</f>
        <v>0</v>
      </c>
      <c r="Q249" s="1" cm="1">
        <f t="array" ref="Q249">_xlfn.SWITCH($A$2,"average", AVERAGE(Instances!Q249:Instances!Q249),"median", MEDIAN(Instances!Q249:Instances!Q249),"min", MIN(Instances!Q249:Instances!Q249),"max", MAX(Instances!Q249:Instances!Q249),"diff", MAX(Instances!Q249:Instances!Q249)-MIN(Instances!Q249:Instances!Q249))</f>
        <v>0</v>
      </c>
      <c r="R249" s="1" cm="1">
        <f t="array" ref="R249">_xlfn.SWITCH($A$2,"average", AVERAGE(Instances!R249:Instances!R249),"median", MEDIAN(Instances!R249:Instances!R249),"min", MIN(Instances!R249:Instances!R249),"max", MAX(Instances!R249:Instances!R249),"diff", MAX(Instances!R249:Instances!R249)-MIN(Instances!R249:Instances!R249))</f>
        <v>0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 cm="1">
        <f t="array" ref="B250">_xlfn.SWITCH($A$2,"average", AVERAGE(Instances!B250:Instances!B250),"median", MEDIAN(Instances!B250:Instances!B250),"min", MIN(Instances!B250:Instances!B250),"max", MAX(Instances!B250:Instances!B250),"diff", MAX(Instances!B250:Instances!B250)-MIN(Instances!B250:Instances!B250))</f>
        <v>0</v>
      </c>
      <c r="C250" s="1" cm="1">
        <f t="array" ref="C250">_xlfn.SWITCH($A$2,"average", AVERAGE(Instances!C250:Instances!C250),"median", MEDIAN(Instances!C250:Instances!C250),"min", MIN(Instances!C250:Instances!C250),"max", MAX(Instances!C250:Instances!C250),"diff", MAX(Instances!C250:Instances!C250)-MIN(Instances!C250:Instances!C250))</f>
        <v>0</v>
      </c>
      <c r="D250" s="1" cm="1">
        <f t="array" ref="D250">_xlfn.SWITCH($A$2,"average", AVERAGE(Instances!D250:Instances!D250),"median", MEDIAN(Instances!D250:Instances!D250),"min", MIN(Instances!D250:Instances!D250),"max", MAX(Instances!D250:Instances!D250),"diff", MAX(Instances!D250:Instances!D250)-MIN(Instances!D250:Instances!D250))</f>
        <v>0</v>
      </c>
      <c r="E250" s="1" cm="1">
        <f t="array" ref="E250">_xlfn.SWITCH($A$2,"average", AVERAGE(Instances!E250:Instances!E250),"median", MEDIAN(Instances!E250:Instances!E250),"min", MIN(Instances!E250:Instances!E250),"max", MAX(Instances!E250:Instances!E250),"diff", MAX(Instances!E250:Instances!E250)-MIN(Instances!E250:Instances!E250))</f>
        <v>0</v>
      </c>
      <c r="F250" s="1" cm="1">
        <f t="array" ref="F250">_xlfn.SWITCH($A$2,"average", AVERAGE(Instances!F250:Instances!F250),"median", MEDIAN(Instances!F250:Instances!F250),"min", MIN(Instances!F250:Instances!F250),"max", MAX(Instances!F250:Instances!F250),"diff", MAX(Instances!F250:Instances!F250)-MIN(Instances!F250:Instances!F250))</f>
        <v>0</v>
      </c>
      <c r="G250" s="1" cm="1">
        <f t="array" ref="G250">_xlfn.SWITCH($A$2,"average", AVERAGE(Instances!G250:Instances!G250),"median", MEDIAN(Instances!G250:Instances!G250),"min", MIN(Instances!G250:Instances!G250),"max", MAX(Instances!G250:Instances!G250),"diff", MAX(Instances!G250:Instances!G250)-MIN(Instances!G250:Instances!G250))</f>
        <v>0</v>
      </c>
      <c r="H250" s="1" cm="1">
        <f t="array" ref="H250">_xlfn.SWITCH($A$2,"average", AVERAGE(Instances!H250:Instances!H250),"median", MEDIAN(Instances!H250:Instances!H250),"min", MIN(Instances!H250:Instances!H250),"max", MAX(Instances!H250:Instances!H250),"diff", MAX(Instances!H250:Instances!H250)-MIN(Instances!H250:Instances!H250))</f>
        <v>0</v>
      </c>
      <c r="I250" s="1" cm="1">
        <f t="array" ref="I250">_xlfn.SWITCH($A$2,"average", AVERAGE(Instances!I250:Instances!I250),"median", MEDIAN(Instances!I250:Instances!I250),"min", MIN(Instances!I250:Instances!I250),"max", MAX(Instances!I250:Instances!I250),"diff", MAX(Instances!I250:Instances!I250)-MIN(Instances!I250:Instances!I250))</f>
        <v>0</v>
      </c>
      <c r="J250" s="1" cm="1">
        <f t="array" ref="J250">_xlfn.SWITCH($A$2,"average", AVERAGE(Instances!J250:Instances!J250),"median", MEDIAN(Instances!J250:Instances!J250),"min", MIN(Instances!J250:Instances!J250),"max", MAX(Instances!J250:Instances!J250),"diff", MAX(Instances!J250:Instances!J250)-MIN(Instances!J250:Instances!J250))</f>
        <v>0</v>
      </c>
      <c r="K250" s="1" cm="1">
        <f t="array" ref="K250">_xlfn.SWITCH($A$2,"average", AVERAGE(Instances!K250:Instances!K250),"median", MEDIAN(Instances!K250:Instances!K250),"min", MIN(Instances!K250:Instances!K250),"max", MAX(Instances!K250:Instances!K250),"diff", MAX(Instances!K250:Instances!K250)-MIN(Instances!K250:Instances!K250))</f>
        <v>0</v>
      </c>
      <c r="L250" s="1"/>
      <c r="M250" s="1" cm="1">
        <f t="array" ref="M250">_xlfn.SWITCH($A$2,"average", AVERAGE(Instances!M250:Instances!M250),"median", MEDIAN(Instances!M250:Instances!M250),"min", MIN(Instances!M250:Instances!M250),"max", MAX(Instances!M250:Instances!M250),"diff", MAX(Instances!M250:Instances!M250)-MIN(Instances!M250:Instances!M250))</f>
        <v>0</v>
      </c>
      <c r="N250" s="1" cm="1">
        <f t="array" ref="N250">_xlfn.SWITCH($A$2,"average", AVERAGE(Instances!N250:Instances!N250),"median", MEDIAN(Instances!N250:Instances!N250),"min", MIN(Instances!N250:Instances!N250),"max", MAX(Instances!N250:Instances!N250),"diff", MAX(Instances!N250:Instances!N250)-MIN(Instances!N250:Instances!N250))</f>
        <v>0</v>
      </c>
      <c r="O250" s="1"/>
      <c r="P250" s="1" cm="1">
        <f t="array" ref="P250">_xlfn.SWITCH($A$2,"average", AVERAGE(Instances!P250:Instances!P250),"median", MEDIAN(Instances!P250:Instances!P250),"min", MIN(Instances!P250:Instances!P250),"max", MAX(Instances!P250:Instances!P250),"diff", MAX(Instances!P250:Instances!P250)-MIN(Instances!P250:Instances!P250))</f>
        <v>0</v>
      </c>
      <c r="Q250" s="1" cm="1">
        <f t="array" ref="Q250">_xlfn.SWITCH($A$2,"average", AVERAGE(Instances!Q250:Instances!Q250),"median", MEDIAN(Instances!Q250:Instances!Q250),"min", MIN(Instances!Q250:Instances!Q250),"max", MAX(Instances!Q250:Instances!Q250),"diff", MAX(Instances!Q250:Instances!Q250)-MIN(Instances!Q250:Instances!Q250))</f>
        <v>0</v>
      </c>
      <c r="R250" s="1" cm="1">
        <f t="array" ref="R250">_xlfn.SWITCH($A$2,"average", AVERAGE(Instances!R250:Instances!R250),"median", MEDIAN(Instances!R250:Instances!R250),"min", MIN(Instances!R250:Instances!R250),"max", MAX(Instances!R250:Instances!R250),"diff", MAX(Instances!R250:Instances!R250)-MIN(Instances!R250:Instances!R250))</f>
        <v>0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 cm="1">
        <f t="array" ref="B251">_xlfn.SWITCH($A$2,"average", AVERAGE(Instances!B251:Instances!B251),"median", MEDIAN(Instances!B251:Instances!B251),"min", MIN(Instances!B251:Instances!B251),"max", MAX(Instances!B251:Instances!B251),"diff", MAX(Instances!B251:Instances!B251)-MIN(Instances!B251:Instances!B251))</f>
        <v>0</v>
      </c>
      <c r="C251" s="1" cm="1">
        <f t="array" ref="C251">_xlfn.SWITCH($A$2,"average", AVERAGE(Instances!C251:Instances!C251),"median", MEDIAN(Instances!C251:Instances!C251),"min", MIN(Instances!C251:Instances!C251),"max", MAX(Instances!C251:Instances!C251),"diff", MAX(Instances!C251:Instances!C251)-MIN(Instances!C251:Instances!C251))</f>
        <v>0</v>
      </c>
      <c r="D251" s="1" cm="1">
        <f t="array" ref="D251">_xlfn.SWITCH($A$2,"average", AVERAGE(Instances!D251:Instances!D251),"median", MEDIAN(Instances!D251:Instances!D251),"min", MIN(Instances!D251:Instances!D251),"max", MAX(Instances!D251:Instances!D251),"diff", MAX(Instances!D251:Instances!D251)-MIN(Instances!D251:Instances!D251))</f>
        <v>0</v>
      </c>
      <c r="E251" s="1" cm="1">
        <f t="array" ref="E251">_xlfn.SWITCH($A$2,"average", AVERAGE(Instances!E251:Instances!E251),"median", MEDIAN(Instances!E251:Instances!E251),"min", MIN(Instances!E251:Instances!E251),"max", MAX(Instances!E251:Instances!E251),"diff", MAX(Instances!E251:Instances!E251)-MIN(Instances!E251:Instances!E251))</f>
        <v>0</v>
      </c>
      <c r="F251" s="1" cm="1">
        <f t="array" ref="F251">_xlfn.SWITCH($A$2,"average", AVERAGE(Instances!F251:Instances!F251),"median", MEDIAN(Instances!F251:Instances!F251),"min", MIN(Instances!F251:Instances!F251),"max", MAX(Instances!F251:Instances!F251),"diff", MAX(Instances!F251:Instances!F251)-MIN(Instances!F251:Instances!F251))</f>
        <v>0</v>
      </c>
      <c r="G251" s="1" cm="1">
        <f t="array" ref="G251">_xlfn.SWITCH($A$2,"average", AVERAGE(Instances!G251:Instances!G251),"median", MEDIAN(Instances!G251:Instances!G251),"min", MIN(Instances!G251:Instances!G251),"max", MAX(Instances!G251:Instances!G251),"diff", MAX(Instances!G251:Instances!G251)-MIN(Instances!G251:Instances!G251))</f>
        <v>0</v>
      </c>
      <c r="H251" s="1" cm="1">
        <f t="array" ref="H251">_xlfn.SWITCH($A$2,"average", AVERAGE(Instances!H251:Instances!H251),"median", MEDIAN(Instances!H251:Instances!H251),"min", MIN(Instances!H251:Instances!H251),"max", MAX(Instances!H251:Instances!H251),"diff", MAX(Instances!H251:Instances!H251)-MIN(Instances!H251:Instances!H251))</f>
        <v>0</v>
      </c>
      <c r="I251" s="1" cm="1">
        <f t="array" ref="I251">_xlfn.SWITCH($A$2,"average", AVERAGE(Instances!I251:Instances!I251),"median", MEDIAN(Instances!I251:Instances!I251),"min", MIN(Instances!I251:Instances!I251),"max", MAX(Instances!I251:Instances!I251),"diff", MAX(Instances!I251:Instances!I251)-MIN(Instances!I251:Instances!I251))</f>
        <v>0</v>
      </c>
      <c r="J251" s="1" cm="1">
        <f t="array" ref="J251">_xlfn.SWITCH($A$2,"average", AVERAGE(Instances!J251:Instances!J251),"median", MEDIAN(Instances!J251:Instances!J251),"min", MIN(Instances!J251:Instances!J251),"max", MAX(Instances!J251:Instances!J251),"diff", MAX(Instances!J251:Instances!J251)-MIN(Instances!J251:Instances!J251))</f>
        <v>0</v>
      </c>
      <c r="K251" s="1" cm="1">
        <f t="array" ref="K251">_xlfn.SWITCH($A$2,"average", AVERAGE(Instances!K251:Instances!K251),"median", MEDIAN(Instances!K251:Instances!K251),"min", MIN(Instances!K251:Instances!K251),"max", MAX(Instances!K251:Instances!K251),"diff", MAX(Instances!K251:Instances!K251)-MIN(Instances!K251:Instances!K251))</f>
        <v>0</v>
      </c>
      <c r="L251" s="1"/>
      <c r="M251" s="1" cm="1">
        <f t="array" ref="M251">_xlfn.SWITCH($A$2,"average", AVERAGE(Instances!M251:Instances!M251),"median", MEDIAN(Instances!M251:Instances!M251),"min", MIN(Instances!M251:Instances!M251),"max", MAX(Instances!M251:Instances!M251),"diff", MAX(Instances!M251:Instances!M251)-MIN(Instances!M251:Instances!M251))</f>
        <v>0</v>
      </c>
      <c r="N251" s="1" cm="1">
        <f t="array" ref="N251">_xlfn.SWITCH($A$2,"average", AVERAGE(Instances!N251:Instances!N251),"median", MEDIAN(Instances!N251:Instances!N251),"min", MIN(Instances!N251:Instances!N251),"max", MAX(Instances!N251:Instances!N251),"diff", MAX(Instances!N251:Instances!N251)-MIN(Instances!N251:Instances!N251))</f>
        <v>0</v>
      </c>
      <c r="O251" s="1"/>
      <c r="P251" s="1" cm="1">
        <f t="array" ref="P251">_xlfn.SWITCH($A$2,"average", AVERAGE(Instances!P251:Instances!P251),"median", MEDIAN(Instances!P251:Instances!P251),"min", MIN(Instances!P251:Instances!P251),"max", MAX(Instances!P251:Instances!P251),"diff", MAX(Instances!P251:Instances!P251)-MIN(Instances!P251:Instances!P251))</f>
        <v>0</v>
      </c>
      <c r="Q251" s="1" cm="1">
        <f t="array" ref="Q251">_xlfn.SWITCH($A$2,"average", AVERAGE(Instances!Q251:Instances!Q251),"median", MEDIAN(Instances!Q251:Instances!Q251),"min", MIN(Instances!Q251:Instances!Q251),"max", MAX(Instances!Q251:Instances!Q251),"diff", MAX(Instances!Q251:Instances!Q251)-MIN(Instances!Q251:Instances!Q251))</f>
        <v>0</v>
      </c>
      <c r="R251" s="1" cm="1">
        <f t="array" ref="R251">_xlfn.SWITCH($A$2,"average", AVERAGE(Instances!R251:Instances!R251),"median", MEDIAN(Instances!R251:Instances!R251),"min", MIN(Instances!R251:Instances!R251),"max", MAX(Instances!R251:Instances!R251),"diff", MAX(Instances!R251:Instances!R251)-MIN(Instances!R251:Instances!R251))</f>
        <v>0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 cm="1">
        <f t="array" ref="B252">_xlfn.SWITCH($A$2,"average", AVERAGE(Instances!B252:Instances!B252),"median", MEDIAN(Instances!B252:Instances!B252),"min", MIN(Instances!B252:Instances!B252),"max", MAX(Instances!B252:Instances!B252),"diff", MAX(Instances!B252:Instances!B252)-MIN(Instances!B252:Instances!B252))</f>
        <v>0</v>
      </c>
      <c r="C252" s="1" cm="1">
        <f t="array" ref="C252">_xlfn.SWITCH($A$2,"average", AVERAGE(Instances!C252:Instances!C252),"median", MEDIAN(Instances!C252:Instances!C252),"min", MIN(Instances!C252:Instances!C252),"max", MAX(Instances!C252:Instances!C252),"diff", MAX(Instances!C252:Instances!C252)-MIN(Instances!C252:Instances!C252))</f>
        <v>0</v>
      </c>
      <c r="D252" s="1" cm="1">
        <f t="array" ref="D252">_xlfn.SWITCH($A$2,"average", AVERAGE(Instances!D252:Instances!D252),"median", MEDIAN(Instances!D252:Instances!D252),"min", MIN(Instances!D252:Instances!D252),"max", MAX(Instances!D252:Instances!D252),"diff", MAX(Instances!D252:Instances!D252)-MIN(Instances!D252:Instances!D252))</f>
        <v>0</v>
      </c>
      <c r="E252" s="1" cm="1">
        <f t="array" ref="E252">_xlfn.SWITCH($A$2,"average", AVERAGE(Instances!E252:Instances!E252),"median", MEDIAN(Instances!E252:Instances!E252),"min", MIN(Instances!E252:Instances!E252),"max", MAX(Instances!E252:Instances!E252),"diff", MAX(Instances!E252:Instances!E252)-MIN(Instances!E252:Instances!E252))</f>
        <v>0</v>
      </c>
      <c r="F252" s="1" cm="1">
        <f t="array" ref="F252">_xlfn.SWITCH($A$2,"average", AVERAGE(Instances!F252:Instances!F252),"median", MEDIAN(Instances!F252:Instances!F252),"min", MIN(Instances!F252:Instances!F252),"max", MAX(Instances!F252:Instances!F252),"diff", MAX(Instances!F252:Instances!F252)-MIN(Instances!F252:Instances!F252))</f>
        <v>0</v>
      </c>
      <c r="G252" s="1" cm="1">
        <f t="array" ref="G252">_xlfn.SWITCH($A$2,"average", AVERAGE(Instances!G252:Instances!G252),"median", MEDIAN(Instances!G252:Instances!G252),"min", MIN(Instances!G252:Instances!G252),"max", MAX(Instances!G252:Instances!G252),"diff", MAX(Instances!G252:Instances!G252)-MIN(Instances!G252:Instances!G252))</f>
        <v>0</v>
      </c>
      <c r="H252" s="1" cm="1">
        <f t="array" ref="H252">_xlfn.SWITCH($A$2,"average", AVERAGE(Instances!H252:Instances!H252),"median", MEDIAN(Instances!H252:Instances!H252),"min", MIN(Instances!H252:Instances!H252),"max", MAX(Instances!H252:Instances!H252),"diff", MAX(Instances!H252:Instances!H252)-MIN(Instances!H252:Instances!H252))</f>
        <v>0</v>
      </c>
      <c r="I252" s="1" cm="1">
        <f t="array" ref="I252">_xlfn.SWITCH($A$2,"average", AVERAGE(Instances!I252:Instances!I252),"median", MEDIAN(Instances!I252:Instances!I252),"min", MIN(Instances!I252:Instances!I252),"max", MAX(Instances!I252:Instances!I252),"diff", MAX(Instances!I252:Instances!I252)-MIN(Instances!I252:Instances!I252))</f>
        <v>0</v>
      </c>
      <c r="J252" s="1" cm="1">
        <f t="array" ref="J252">_xlfn.SWITCH($A$2,"average", AVERAGE(Instances!J252:Instances!J252),"median", MEDIAN(Instances!J252:Instances!J252),"min", MIN(Instances!J252:Instances!J252),"max", MAX(Instances!J252:Instances!J252),"diff", MAX(Instances!J252:Instances!J252)-MIN(Instances!J252:Instances!J252))</f>
        <v>0</v>
      </c>
      <c r="K252" s="1" cm="1">
        <f t="array" ref="K252">_xlfn.SWITCH($A$2,"average", AVERAGE(Instances!K252:Instances!K252),"median", MEDIAN(Instances!K252:Instances!K252),"min", MIN(Instances!K252:Instances!K252),"max", MAX(Instances!K252:Instances!K252),"diff", MAX(Instances!K252:Instances!K252)-MIN(Instances!K252:Instances!K252))</f>
        <v>0</v>
      </c>
      <c r="L252" s="1"/>
      <c r="M252" s="1" cm="1">
        <f t="array" ref="M252">_xlfn.SWITCH($A$2,"average", AVERAGE(Instances!M252:Instances!M252),"median", MEDIAN(Instances!M252:Instances!M252),"min", MIN(Instances!M252:Instances!M252),"max", MAX(Instances!M252:Instances!M252),"diff", MAX(Instances!M252:Instances!M252)-MIN(Instances!M252:Instances!M252))</f>
        <v>0</v>
      </c>
      <c r="N252" s="1" cm="1">
        <f t="array" ref="N252">_xlfn.SWITCH($A$2,"average", AVERAGE(Instances!N252:Instances!N252),"median", MEDIAN(Instances!N252:Instances!N252),"min", MIN(Instances!N252:Instances!N252),"max", MAX(Instances!N252:Instances!N252),"diff", MAX(Instances!N252:Instances!N252)-MIN(Instances!N252:Instances!N252))</f>
        <v>0</v>
      </c>
      <c r="O252" s="1"/>
      <c r="P252" s="1" cm="1">
        <f t="array" ref="P252">_xlfn.SWITCH($A$2,"average", AVERAGE(Instances!P252:Instances!P252),"median", MEDIAN(Instances!P252:Instances!P252),"min", MIN(Instances!P252:Instances!P252),"max", MAX(Instances!P252:Instances!P252),"diff", MAX(Instances!P252:Instances!P252)-MIN(Instances!P252:Instances!P252))</f>
        <v>0</v>
      </c>
      <c r="Q252" s="1" cm="1">
        <f t="array" ref="Q252">_xlfn.SWITCH($A$2,"average", AVERAGE(Instances!Q252:Instances!Q252),"median", MEDIAN(Instances!Q252:Instances!Q252),"min", MIN(Instances!Q252:Instances!Q252),"max", MAX(Instances!Q252:Instances!Q252),"diff", MAX(Instances!Q252:Instances!Q252)-MIN(Instances!Q252:Instances!Q252))</f>
        <v>0</v>
      </c>
      <c r="R252" s="1" cm="1">
        <f t="array" ref="R252">_xlfn.SWITCH($A$2,"average", AVERAGE(Instances!R252:Instances!R252),"median", MEDIAN(Instances!R252:Instances!R252),"min", MIN(Instances!R252:Instances!R252),"max", MAX(Instances!R252:Instances!R252),"diff", MAX(Instances!R252:Instances!R252)-MIN(Instances!R252:Instances!R252))</f>
        <v>0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 cm="1">
        <f t="array" ref="B253">_xlfn.SWITCH($A$2,"average", AVERAGE(Instances!B253:Instances!B253),"median", MEDIAN(Instances!B253:Instances!B253),"min", MIN(Instances!B253:Instances!B253),"max", MAX(Instances!B253:Instances!B253),"diff", MAX(Instances!B253:Instances!B253)-MIN(Instances!B253:Instances!B253))</f>
        <v>0</v>
      </c>
      <c r="C253" s="1" cm="1">
        <f t="array" ref="C253">_xlfn.SWITCH($A$2,"average", AVERAGE(Instances!C253:Instances!C253),"median", MEDIAN(Instances!C253:Instances!C253),"min", MIN(Instances!C253:Instances!C253),"max", MAX(Instances!C253:Instances!C253),"diff", MAX(Instances!C253:Instances!C253)-MIN(Instances!C253:Instances!C253))</f>
        <v>0</v>
      </c>
      <c r="D253" s="1" cm="1">
        <f t="array" ref="D253">_xlfn.SWITCH($A$2,"average", AVERAGE(Instances!D253:Instances!D253),"median", MEDIAN(Instances!D253:Instances!D253),"min", MIN(Instances!D253:Instances!D253),"max", MAX(Instances!D253:Instances!D253),"diff", MAX(Instances!D253:Instances!D253)-MIN(Instances!D253:Instances!D253))</f>
        <v>0</v>
      </c>
      <c r="E253" s="1" cm="1">
        <f t="array" ref="E253">_xlfn.SWITCH($A$2,"average", AVERAGE(Instances!E253:Instances!E253),"median", MEDIAN(Instances!E253:Instances!E253),"min", MIN(Instances!E253:Instances!E253),"max", MAX(Instances!E253:Instances!E253),"diff", MAX(Instances!E253:Instances!E253)-MIN(Instances!E253:Instances!E253))</f>
        <v>0</v>
      </c>
      <c r="F253" s="1" cm="1">
        <f t="array" ref="F253">_xlfn.SWITCH($A$2,"average", AVERAGE(Instances!F253:Instances!F253),"median", MEDIAN(Instances!F253:Instances!F253),"min", MIN(Instances!F253:Instances!F253),"max", MAX(Instances!F253:Instances!F253),"diff", MAX(Instances!F253:Instances!F253)-MIN(Instances!F253:Instances!F253))</f>
        <v>0</v>
      </c>
      <c r="G253" s="1" cm="1">
        <f t="array" ref="G253">_xlfn.SWITCH($A$2,"average", AVERAGE(Instances!G253:Instances!G253),"median", MEDIAN(Instances!G253:Instances!G253),"min", MIN(Instances!G253:Instances!G253),"max", MAX(Instances!G253:Instances!G253),"diff", MAX(Instances!G253:Instances!G253)-MIN(Instances!G253:Instances!G253))</f>
        <v>0</v>
      </c>
      <c r="H253" s="1" cm="1">
        <f t="array" ref="H253">_xlfn.SWITCH($A$2,"average", AVERAGE(Instances!H253:Instances!H253),"median", MEDIAN(Instances!H253:Instances!H253),"min", MIN(Instances!H253:Instances!H253),"max", MAX(Instances!H253:Instances!H253),"diff", MAX(Instances!H253:Instances!H253)-MIN(Instances!H253:Instances!H253))</f>
        <v>0</v>
      </c>
      <c r="I253" s="1" cm="1">
        <f t="array" ref="I253">_xlfn.SWITCH($A$2,"average", AVERAGE(Instances!I253:Instances!I253),"median", MEDIAN(Instances!I253:Instances!I253),"min", MIN(Instances!I253:Instances!I253),"max", MAX(Instances!I253:Instances!I253),"diff", MAX(Instances!I253:Instances!I253)-MIN(Instances!I253:Instances!I253))</f>
        <v>0</v>
      </c>
      <c r="J253" s="1" cm="1">
        <f t="array" ref="J253">_xlfn.SWITCH($A$2,"average", AVERAGE(Instances!J253:Instances!J253),"median", MEDIAN(Instances!J253:Instances!J253),"min", MIN(Instances!J253:Instances!J253),"max", MAX(Instances!J253:Instances!J253),"diff", MAX(Instances!J253:Instances!J253)-MIN(Instances!J253:Instances!J253))</f>
        <v>0</v>
      </c>
      <c r="K253" s="1" cm="1">
        <f t="array" ref="K253">_xlfn.SWITCH($A$2,"average", AVERAGE(Instances!K253:Instances!K253),"median", MEDIAN(Instances!K253:Instances!K253),"min", MIN(Instances!K253:Instances!K253),"max", MAX(Instances!K253:Instances!K253),"diff", MAX(Instances!K253:Instances!K253)-MIN(Instances!K253:Instances!K253))</f>
        <v>0</v>
      </c>
      <c r="L253" s="1"/>
      <c r="M253" s="1" cm="1">
        <f t="array" ref="M253">_xlfn.SWITCH($A$2,"average", AVERAGE(Instances!M253:Instances!M253),"median", MEDIAN(Instances!M253:Instances!M253),"min", MIN(Instances!M253:Instances!M253),"max", MAX(Instances!M253:Instances!M253),"diff", MAX(Instances!M253:Instances!M253)-MIN(Instances!M253:Instances!M253))</f>
        <v>0</v>
      </c>
      <c r="N253" s="1" cm="1">
        <f t="array" ref="N253">_xlfn.SWITCH($A$2,"average", AVERAGE(Instances!N253:Instances!N253),"median", MEDIAN(Instances!N253:Instances!N253),"min", MIN(Instances!N253:Instances!N253),"max", MAX(Instances!N253:Instances!N253),"diff", MAX(Instances!N253:Instances!N253)-MIN(Instances!N253:Instances!N253))</f>
        <v>0</v>
      </c>
      <c r="O253" s="1"/>
      <c r="P253" s="1" cm="1">
        <f t="array" ref="P253">_xlfn.SWITCH($A$2,"average", AVERAGE(Instances!P253:Instances!P253),"median", MEDIAN(Instances!P253:Instances!P253),"min", MIN(Instances!P253:Instances!P253),"max", MAX(Instances!P253:Instances!P253),"diff", MAX(Instances!P253:Instances!P253)-MIN(Instances!P253:Instances!P253))</f>
        <v>0</v>
      </c>
      <c r="Q253" s="1" cm="1">
        <f t="array" ref="Q253">_xlfn.SWITCH($A$2,"average", AVERAGE(Instances!Q253:Instances!Q253),"median", MEDIAN(Instances!Q253:Instances!Q253),"min", MIN(Instances!Q253:Instances!Q253),"max", MAX(Instances!Q253:Instances!Q253),"diff", MAX(Instances!Q253:Instances!Q253)-MIN(Instances!Q253:Instances!Q253))</f>
        <v>0</v>
      </c>
      <c r="R253" s="1" cm="1">
        <f t="array" ref="R253">_xlfn.SWITCH($A$2,"average", AVERAGE(Instances!R253:Instances!R253),"median", MEDIAN(Instances!R253:Instances!R253),"min", MIN(Instances!R253:Instances!R253),"max", MAX(Instances!R253:Instances!R253),"diff", MAX(Instances!R253:Instances!R253)-MIN(Instances!R253:Instances!R253))</f>
        <v>0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 cm="1">
        <f t="array" ref="B254">_xlfn.SWITCH($A$2,"average", AVERAGE(Instances!B254:Instances!B254),"median", MEDIAN(Instances!B254:Instances!B254),"min", MIN(Instances!B254:Instances!B254),"max", MAX(Instances!B254:Instances!B254),"diff", MAX(Instances!B254:Instances!B254)-MIN(Instances!B254:Instances!B254))</f>
        <v>0</v>
      </c>
      <c r="C254" s="1" cm="1">
        <f t="array" ref="C254">_xlfn.SWITCH($A$2,"average", AVERAGE(Instances!C254:Instances!C254),"median", MEDIAN(Instances!C254:Instances!C254),"min", MIN(Instances!C254:Instances!C254),"max", MAX(Instances!C254:Instances!C254),"diff", MAX(Instances!C254:Instances!C254)-MIN(Instances!C254:Instances!C254))</f>
        <v>0</v>
      </c>
      <c r="D254" s="1" cm="1">
        <f t="array" ref="D254">_xlfn.SWITCH($A$2,"average", AVERAGE(Instances!D254:Instances!D254),"median", MEDIAN(Instances!D254:Instances!D254),"min", MIN(Instances!D254:Instances!D254),"max", MAX(Instances!D254:Instances!D254),"diff", MAX(Instances!D254:Instances!D254)-MIN(Instances!D254:Instances!D254))</f>
        <v>0</v>
      </c>
      <c r="E254" s="1" cm="1">
        <f t="array" ref="E254">_xlfn.SWITCH($A$2,"average", AVERAGE(Instances!E254:Instances!E254),"median", MEDIAN(Instances!E254:Instances!E254),"min", MIN(Instances!E254:Instances!E254),"max", MAX(Instances!E254:Instances!E254),"diff", MAX(Instances!E254:Instances!E254)-MIN(Instances!E254:Instances!E254))</f>
        <v>0</v>
      </c>
      <c r="F254" s="1" cm="1">
        <f t="array" ref="F254">_xlfn.SWITCH($A$2,"average", AVERAGE(Instances!F254:Instances!F254),"median", MEDIAN(Instances!F254:Instances!F254),"min", MIN(Instances!F254:Instances!F254),"max", MAX(Instances!F254:Instances!F254),"diff", MAX(Instances!F254:Instances!F254)-MIN(Instances!F254:Instances!F254))</f>
        <v>0</v>
      </c>
      <c r="G254" s="1" cm="1">
        <f t="array" ref="G254">_xlfn.SWITCH($A$2,"average", AVERAGE(Instances!G254:Instances!G254),"median", MEDIAN(Instances!G254:Instances!G254),"min", MIN(Instances!G254:Instances!G254),"max", MAX(Instances!G254:Instances!G254),"diff", MAX(Instances!G254:Instances!G254)-MIN(Instances!G254:Instances!G254))</f>
        <v>0</v>
      </c>
      <c r="H254" s="1" cm="1">
        <f t="array" ref="H254">_xlfn.SWITCH($A$2,"average", AVERAGE(Instances!H254:Instances!H254),"median", MEDIAN(Instances!H254:Instances!H254),"min", MIN(Instances!H254:Instances!H254),"max", MAX(Instances!H254:Instances!H254),"diff", MAX(Instances!H254:Instances!H254)-MIN(Instances!H254:Instances!H254))</f>
        <v>0</v>
      </c>
      <c r="I254" s="1" cm="1">
        <f t="array" ref="I254">_xlfn.SWITCH($A$2,"average", AVERAGE(Instances!I254:Instances!I254),"median", MEDIAN(Instances!I254:Instances!I254),"min", MIN(Instances!I254:Instances!I254),"max", MAX(Instances!I254:Instances!I254),"diff", MAX(Instances!I254:Instances!I254)-MIN(Instances!I254:Instances!I254))</f>
        <v>0</v>
      </c>
      <c r="J254" s="1" cm="1">
        <f t="array" ref="J254">_xlfn.SWITCH($A$2,"average", AVERAGE(Instances!J254:Instances!J254),"median", MEDIAN(Instances!J254:Instances!J254),"min", MIN(Instances!J254:Instances!J254),"max", MAX(Instances!J254:Instances!J254),"diff", MAX(Instances!J254:Instances!J254)-MIN(Instances!J254:Instances!J254))</f>
        <v>0</v>
      </c>
      <c r="K254" s="1" cm="1">
        <f t="array" ref="K254">_xlfn.SWITCH($A$2,"average", AVERAGE(Instances!K254:Instances!K254),"median", MEDIAN(Instances!K254:Instances!K254),"min", MIN(Instances!K254:Instances!K254),"max", MAX(Instances!K254:Instances!K254),"diff", MAX(Instances!K254:Instances!K254)-MIN(Instances!K254:Instances!K254))</f>
        <v>0</v>
      </c>
      <c r="L254" s="1"/>
      <c r="M254" s="1" cm="1">
        <f t="array" ref="M254">_xlfn.SWITCH($A$2,"average", AVERAGE(Instances!M254:Instances!M254),"median", MEDIAN(Instances!M254:Instances!M254),"min", MIN(Instances!M254:Instances!M254),"max", MAX(Instances!M254:Instances!M254),"diff", MAX(Instances!M254:Instances!M254)-MIN(Instances!M254:Instances!M254))</f>
        <v>0</v>
      </c>
      <c r="N254" s="1" cm="1">
        <f t="array" ref="N254">_xlfn.SWITCH($A$2,"average", AVERAGE(Instances!N254:Instances!N254),"median", MEDIAN(Instances!N254:Instances!N254),"min", MIN(Instances!N254:Instances!N254),"max", MAX(Instances!N254:Instances!N254),"diff", MAX(Instances!N254:Instances!N254)-MIN(Instances!N254:Instances!N254))</f>
        <v>0</v>
      </c>
      <c r="O254" s="1"/>
      <c r="P254" s="1" cm="1">
        <f t="array" ref="P254">_xlfn.SWITCH($A$2,"average", AVERAGE(Instances!P254:Instances!P254),"median", MEDIAN(Instances!P254:Instances!P254),"min", MIN(Instances!P254:Instances!P254),"max", MAX(Instances!P254:Instances!P254),"diff", MAX(Instances!P254:Instances!P254)-MIN(Instances!P254:Instances!P254))</f>
        <v>0</v>
      </c>
      <c r="Q254" s="1" cm="1">
        <f t="array" ref="Q254">_xlfn.SWITCH($A$2,"average", AVERAGE(Instances!Q254:Instances!Q254),"median", MEDIAN(Instances!Q254:Instances!Q254),"min", MIN(Instances!Q254:Instances!Q254),"max", MAX(Instances!Q254:Instances!Q254),"diff", MAX(Instances!Q254:Instances!Q254)-MIN(Instances!Q254:Instances!Q254))</f>
        <v>0</v>
      </c>
      <c r="R254" s="1" cm="1">
        <f t="array" ref="R254">_xlfn.SWITCH($A$2,"average", AVERAGE(Instances!R254:Instances!R254),"median", MEDIAN(Instances!R254:Instances!R254),"min", MIN(Instances!R254:Instances!R254),"max", MAX(Instances!R254:Instances!R254),"diff", MAX(Instances!R254:Instances!R254)-MIN(Instances!R254:Instances!R254))</f>
        <v>0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 cm="1">
        <f t="array" ref="B255">_xlfn.SWITCH($A$2,"average", AVERAGE(Instances!B255:Instances!B255),"median", MEDIAN(Instances!B255:Instances!B255),"min", MIN(Instances!B255:Instances!B255),"max", MAX(Instances!B255:Instances!B255),"diff", MAX(Instances!B255:Instances!B255)-MIN(Instances!B255:Instances!B255))</f>
        <v>0</v>
      </c>
      <c r="C255" s="1" cm="1">
        <f t="array" ref="C255">_xlfn.SWITCH($A$2,"average", AVERAGE(Instances!C255:Instances!C255),"median", MEDIAN(Instances!C255:Instances!C255),"min", MIN(Instances!C255:Instances!C255),"max", MAX(Instances!C255:Instances!C255),"diff", MAX(Instances!C255:Instances!C255)-MIN(Instances!C255:Instances!C255))</f>
        <v>0</v>
      </c>
      <c r="D255" s="1" cm="1">
        <f t="array" ref="D255">_xlfn.SWITCH($A$2,"average", AVERAGE(Instances!D255:Instances!D255),"median", MEDIAN(Instances!D255:Instances!D255),"min", MIN(Instances!D255:Instances!D255),"max", MAX(Instances!D255:Instances!D255),"diff", MAX(Instances!D255:Instances!D255)-MIN(Instances!D255:Instances!D255))</f>
        <v>0</v>
      </c>
      <c r="E255" s="1" cm="1">
        <f t="array" ref="E255">_xlfn.SWITCH($A$2,"average", AVERAGE(Instances!E255:Instances!E255),"median", MEDIAN(Instances!E255:Instances!E255),"min", MIN(Instances!E255:Instances!E255),"max", MAX(Instances!E255:Instances!E255),"diff", MAX(Instances!E255:Instances!E255)-MIN(Instances!E255:Instances!E255))</f>
        <v>0</v>
      </c>
      <c r="F255" s="1" cm="1">
        <f t="array" ref="F255">_xlfn.SWITCH($A$2,"average", AVERAGE(Instances!F255:Instances!F255),"median", MEDIAN(Instances!F255:Instances!F255),"min", MIN(Instances!F255:Instances!F255),"max", MAX(Instances!F255:Instances!F255),"diff", MAX(Instances!F255:Instances!F255)-MIN(Instances!F255:Instances!F255))</f>
        <v>0</v>
      </c>
      <c r="G255" s="1" cm="1">
        <f t="array" ref="G255">_xlfn.SWITCH($A$2,"average", AVERAGE(Instances!G255:Instances!G255),"median", MEDIAN(Instances!G255:Instances!G255),"min", MIN(Instances!G255:Instances!G255),"max", MAX(Instances!G255:Instances!G255),"diff", MAX(Instances!G255:Instances!G255)-MIN(Instances!G255:Instances!G255))</f>
        <v>0</v>
      </c>
      <c r="H255" s="1" cm="1">
        <f t="array" ref="H255">_xlfn.SWITCH($A$2,"average", AVERAGE(Instances!H255:Instances!H255),"median", MEDIAN(Instances!H255:Instances!H255),"min", MIN(Instances!H255:Instances!H255),"max", MAX(Instances!H255:Instances!H255),"diff", MAX(Instances!H255:Instances!H255)-MIN(Instances!H255:Instances!H255))</f>
        <v>0</v>
      </c>
      <c r="I255" s="1" cm="1">
        <f t="array" ref="I255">_xlfn.SWITCH($A$2,"average", AVERAGE(Instances!I255:Instances!I255),"median", MEDIAN(Instances!I255:Instances!I255),"min", MIN(Instances!I255:Instances!I255),"max", MAX(Instances!I255:Instances!I255),"diff", MAX(Instances!I255:Instances!I255)-MIN(Instances!I255:Instances!I255))</f>
        <v>0</v>
      </c>
      <c r="J255" s="1" cm="1">
        <f t="array" ref="J255">_xlfn.SWITCH($A$2,"average", AVERAGE(Instances!J255:Instances!J255),"median", MEDIAN(Instances!J255:Instances!J255),"min", MIN(Instances!J255:Instances!J255),"max", MAX(Instances!J255:Instances!J255),"diff", MAX(Instances!J255:Instances!J255)-MIN(Instances!J255:Instances!J255))</f>
        <v>0</v>
      </c>
      <c r="K255" s="1" cm="1">
        <f t="array" ref="K255">_xlfn.SWITCH($A$2,"average", AVERAGE(Instances!K255:Instances!K255),"median", MEDIAN(Instances!K255:Instances!K255),"min", MIN(Instances!K255:Instances!K255),"max", MAX(Instances!K255:Instances!K255),"diff", MAX(Instances!K255:Instances!K255)-MIN(Instances!K255:Instances!K255))</f>
        <v>0</v>
      </c>
      <c r="L255" s="1"/>
      <c r="M255" s="1" cm="1">
        <f t="array" ref="M255">_xlfn.SWITCH($A$2,"average", AVERAGE(Instances!M255:Instances!M255),"median", MEDIAN(Instances!M255:Instances!M255),"min", MIN(Instances!M255:Instances!M255),"max", MAX(Instances!M255:Instances!M255),"diff", MAX(Instances!M255:Instances!M255)-MIN(Instances!M255:Instances!M255))</f>
        <v>0</v>
      </c>
      <c r="N255" s="1" cm="1">
        <f t="array" ref="N255">_xlfn.SWITCH($A$2,"average", AVERAGE(Instances!N255:Instances!N255),"median", MEDIAN(Instances!N255:Instances!N255),"min", MIN(Instances!N255:Instances!N255),"max", MAX(Instances!N255:Instances!N255),"diff", MAX(Instances!N255:Instances!N255)-MIN(Instances!N255:Instances!N255))</f>
        <v>0</v>
      </c>
      <c r="O255" s="1"/>
      <c r="P255" s="1" cm="1">
        <f t="array" ref="P255">_xlfn.SWITCH($A$2,"average", AVERAGE(Instances!P255:Instances!P255),"median", MEDIAN(Instances!P255:Instances!P255),"min", MIN(Instances!P255:Instances!P255),"max", MAX(Instances!P255:Instances!P255),"diff", MAX(Instances!P255:Instances!P255)-MIN(Instances!P255:Instances!P255))</f>
        <v>0</v>
      </c>
      <c r="Q255" s="1" cm="1">
        <f t="array" ref="Q255">_xlfn.SWITCH($A$2,"average", AVERAGE(Instances!Q255:Instances!Q255),"median", MEDIAN(Instances!Q255:Instances!Q255),"min", MIN(Instances!Q255:Instances!Q255),"max", MAX(Instances!Q255:Instances!Q255),"diff", MAX(Instances!Q255:Instances!Q255)-MIN(Instances!Q255:Instances!Q255))</f>
        <v>0</v>
      </c>
      <c r="R255" s="1" cm="1">
        <f t="array" ref="R255">_xlfn.SWITCH($A$2,"average", AVERAGE(Instances!R255:Instances!R255),"median", MEDIAN(Instances!R255:Instances!R255),"min", MIN(Instances!R255:Instances!R255),"max", MAX(Instances!R255:Instances!R255),"diff", MAX(Instances!R255:Instances!R255)-MIN(Instances!R255:Instances!R255))</f>
        <v>0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 cm="1">
        <f t="array" ref="B256">_xlfn.SWITCH($A$2,"average", AVERAGE(Instances!B256:Instances!B256),"median", MEDIAN(Instances!B256:Instances!B256),"min", MIN(Instances!B256:Instances!B256),"max", MAX(Instances!B256:Instances!B256),"diff", MAX(Instances!B256:Instances!B256)-MIN(Instances!B256:Instances!B256))</f>
        <v>0</v>
      </c>
      <c r="C256" s="1" cm="1">
        <f t="array" ref="C256">_xlfn.SWITCH($A$2,"average", AVERAGE(Instances!C256:Instances!C256),"median", MEDIAN(Instances!C256:Instances!C256),"min", MIN(Instances!C256:Instances!C256),"max", MAX(Instances!C256:Instances!C256),"diff", MAX(Instances!C256:Instances!C256)-MIN(Instances!C256:Instances!C256))</f>
        <v>0</v>
      </c>
      <c r="D256" s="1" cm="1">
        <f t="array" ref="D256">_xlfn.SWITCH($A$2,"average", AVERAGE(Instances!D256:Instances!D256),"median", MEDIAN(Instances!D256:Instances!D256),"min", MIN(Instances!D256:Instances!D256),"max", MAX(Instances!D256:Instances!D256),"diff", MAX(Instances!D256:Instances!D256)-MIN(Instances!D256:Instances!D256))</f>
        <v>0</v>
      </c>
      <c r="E256" s="1" cm="1">
        <f t="array" ref="E256">_xlfn.SWITCH($A$2,"average", AVERAGE(Instances!E256:Instances!E256),"median", MEDIAN(Instances!E256:Instances!E256),"min", MIN(Instances!E256:Instances!E256),"max", MAX(Instances!E256:Instances!E256),"diff", MAX(Instances!E256:Instances!E256)-MIN(Instances!E256:Instances!E256))</f>
        <v>0</v>
      </c>
      <c r="F256" s="1" cm="1">
        <f t="array" ref="F256">_xlfn.SWITCH($A$2,"average", AVERAGE(Instances!F256:Instances!F256),"median", MEDIAN(Instances!F256:Instances!F256),"min", MIN(Instances!F256:Instances!F256),"max", MAX(Instances!F256:Instances!F256),"diff", MAX(Instances!F256:Instances!F256)-MIN(Instances!F256:Instances!F256))</f>
        <v>0</v>
      </c>
      <c r="G256" s="1" cm="1">
        <f t="array" ref="G256">_xlfn.SWITCH($A$2,"average", AVERAGE(Instances!G256:Instances!G256),"median", MEDIAN(Instances!G256:Instances!G256),"min", MIN(Instances!G256:Instances!G256),"max", MAX(Instances!G256:Instances!G256),"diff", MAX(Instances!G256:Instances!G256)-MIN(Instances!G256:Instances!G256))</f>
        <v>0</v>
      </c>
      <c r="H256" s="1" cm="1">
        <f t="array" ref="H256">_xlfn.SWITCH($A$2,"average", AVERAGE(Instances!H256:Instances!H256),"median", MEDIAN(Instances!H256:Instances!H256),"min", MIN(Instances!H256:Instances!H256),"max", MAX(Instances!H256:Instances!H256),"diff", MAX(Instances!H256:Instances!H256)-MIN(Instances!H256:Instances!H256))</f>
        <v>0</v>
      </c>
      <c r="I256" s="1" cm="1">
        <f t="array" ref="I256">_xlfn.SWITCH($A$2,"average", AVERAGE(Instances!I256:Instances!I256),"median", MEDIAN(Instances!I256:Instances!I256),"min", MIN(Instances!I256:Instances!I256),"max", MAX(Instances!I256:Instances!I256),"diff", MAX(Instances!I256:Instances!I256)-MIN(Instances!I256:Instances!I256))</f>
        <v>0</v>
      </c>
      <c r="J256" s="1" cm="1">
        <f t="array" ref="J256">_xlfn.SWITCH($A$2,"average", AVERAGE(Instances!J256:Instances!J256),"median", MEDIAN(Instances!J256:Instances!J256),"min", MIN(Instances!J256:Instances!J256),"max", MAX(Instances!J256:Instances!J256),"diff", MAX(Instances!J256:Instances!J256)-MIN(Instances!J256:Instances!J256))</f>
        <v>0</v>
      </c>
      <c r="K256" s="1" cm="1">
        <f t="array" ref="K256">_xlfn.SWITCH($A$2,"average", AVERAGE(Instances!K256:Instances!K256),"median", MEDIAN(Instances!K256:Instances!K256),"min", MIN(Instances!K256:Instances!K256),"max", MAX(Instances!K256:Instances!K256),"diff", MAX(Instances!K256:Instances!K256)-MIN(Instances!K256:Instances!K256))</f>
        <v>0</v>
      </c>
      <c r="L256" s="1"/>
      <c r="M256" s="1" cm="1">
        <f t="array" ref="M256">_xlfn.SWITCH($A$2,"average", AVERAGE(Instances!M256:Instances!M256),"median", MEDIAN(Instances!M256:Instances!M256),"min", MIN(Instances!M256:Instances!M256),"max", MAX(Instances!M256:Instances!M256),"diff", MAX(Instances!M256:Instances!M256)-MIN(Instances!M256:Instances!M256))</f>
        <v>0</v>
      </c>
      <c r="N256" s="1" cm="1">
        <f t="array" ref="N256">_xlfn.SWITCH($A$2,"average", AVERAGE(Instances!N256:Instances!N256),"median", MEDIAN(Instances!N256:Instances!N256),"min", MIN(Instances!N256:Instances!N256),"max", MAX(Instances!N256:Instances!N256),"diff", MAX(Instances!N256:Instances!N256)-MIN(Instances!N256:Instances!N256))</f>
        <v>0</v>
      </c>
      <c r="O256" s="1"/>
      <c r="P256" s="1" cm="1">
        <f t="array" ref="P256">_xlfn.SWITCH($A$2,"average", AVERAGE(Instances!P256:Instances!P256),"median", MEDIAN(Instances!P256:Instances!P256),"min", MIN(Instances!P256:Instances!P256),"max", MAX(Instances!P256:Instances!P256),"diff", MAX(Instances!P256:Instances!P256)-MIN(Instances!P256:Instances!P256))</f>
        <v>0</v>
      </c>
      <c r="Q256" s="1" cm="1">
        <f t="array" ref="Q256">_xlfn.SWITCH($A$2,"average", AVERAGE(Instances!Q256:Instances!Q256),"median", MEDIAN(Instances!Q256:Instances!Q256),"min", MIN(Instances!Q256:Instances!Q256),"max", MAX(Instances!Q256:Instances!Q256),"diff", MAX(Instances!Q256:Instances!Q256)-MIN(Instances!Q256:Instances!Q256))</f>
        <v>0</v>
      </c>
      <c r="R256" s="1" cm="1">
        <f t="array" ref="R256">_xlfn.SWITCH($A$2,"average", AVERAGE(Instances!R256:Instances!R256),"median", MEDIAN(Instances!R256:Instances!R256),"min", MIN(Instances!R256:Instances!R256),"max", MAX(Instances!R256:Instances!R256),"diff", MAX(Instances!R256:Instances!R256)-MIN(Instances!R256:Instances!R256))</f>
        <v>0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 cm="1">
        <f t="array" ref="B257">_xlfn.SWITCH($A$2,"average", AVERAGE(Instances!B257:Instances!B257),"median", MEDIAN(Instances!B257:Instances!B257),"min", MIN(Instances!B257:Instances!B257),"max", MAX(Instances!B257:Instances!B257),"diff", MAX(Instances!B257:Instances!B257)-MIN(Instances!B257:Instances!B257))</f>
        <v>0</v>
      </c>
      <c r="C257" s="1" cm="1">
        <f t="array" ref="C257">_xlfn.SWITCH($A$2,"average", AVERAGE(Instances!C257:Instances!C257),"median", MEDIAN(Instances!C257:Instances!C257),"min", MIN(Instances!C257:Instances!C257),"max", MAX(Instances!C257:Instances!C257),"diff", MAX(Instances!C257:Instances!C257)-MIN(Instances!C257:Instances!C257))</f>
        <v>0</v>
      </c>
      <c r="D257" s="1" cm="1">
        <f t="array" ref="D257">_xlfn.SWITCH($A$2,"average", AVERAGE(Instances!D257:Instances!D257),"median", MEDIAN(Instances!D257:Instances!D257),"min", MIN(Instances!D257:Instances!D257),"max", MAX(Instances!D257:Instances!D257),"diff", MAX(Instances!D257:Instances!D257)-MIN(Instances!D257:Instances!D257))</f>
        <v>0</v>
      </c>
      <c r="E257" s="1" cm="1">
        <f t="array" ref="E257">_xlfn.SWITCH($A$2,"average", AVERAGE(Instances!E257:Instances!E257),"median", MEDIAN(Instances!E257:Instances!E257),"min", MIN(Instances!E257:Instances!E257),"max", MAX(Instances!E257:Instances!E257),"diff", MAX(Instances!E257:Instances!E257)-MIN(Instances!E257:Instances!E257))</f>
        <v>0</v>
      </c>
      <c r="F257" s="1" cm="1">
        <f t="array" ref="F257">_xlfn.SWITCH($A$2,"average", AVERAGE(Instances!F257:Instances!F257),"median", MEDIAN(Instances!F257:Instances!F257),"min", MIN(Instances!F257:Instances!F257),"max", MAX(Instances!F257:Instances!F257),"diff", MAX(Instances!F257:Instances!F257)-MIN(Instances!F257:Instances!F257))</f>
        <v>0</v>
      </c>
      <c r="G257" s="1" cm="1">
        <f t="array" ref="G257">_xlfn.SWITCH($A$2,"average", AVERAGE(Instances!G257:Instances!G257),"median", MEDIAN(Instances!G257:Instances!G257),"min", MIN(Instances!G257:Instances!G257),"max", MAX(Instances!G257:Instances!G257),"diff", MAX(Instances!G257:Instances!G257)-MIN(Instances!G257:Instances!G257))</f>
        <v>0</v>
      </c>
      <c r="H257" s="1" cm="1">
        <f t="array" ref="H257">_xlfn.SWITCH($A$2,"average", AVERAGE(Instances!H257:Instances!H257),"median", MEDIAN(Instances!H257:Instances!H257),"min", MIN(Instances!H257:Instances!H257),"max", MAX(Instances!H257:Instances!H257),"diff", MAX(Instances!H257:Instances!H257)-MIN(Instances!H257:Instances!H257))</f>
        <v>0</v>
      </c>
      <c r="I257" s="1" cm="1">
        <f t="array" ref="I257">_xlfn.SWITCH($A$2,"average", AVERAGE(Instances!I257:Instances!I257),"median", MEDIAN(Instances!I257:Instances!I257),"min", MIN(Instances!I257:Instances!I257),"max", MAX(Instances!I257:Instances!I257),"diff", MAX(Instances!I257:Instances!I257)-MIN(Instances!I257:Instances!I257))</f>
        <v>0</v>
      </c>
      <c r="J257" s="1" cm="1">
        <f t="array" ref="J257">_xlfn.SWITCH($A$2,"average", AVERAGE(Instances!J257:Instances!J257),"median", MEDIAN(Instances!J257:Instances!J257),"min", MIN(Instances!J257:Instances!J257),"max", MAX(Instances!J257:Instances!J257),"diff", MAX(Instances!J257:Instances!J257)-MIN(Instances!J257:Instances!J257))</f>
        <v>0</v>
      </c>
      <c r="K257" s="1" cm="1">
        <f t="array" ref="K257">_xlfn.SWITCH($A$2,"average", AVERAGE(Instances!K257:Instances!K257),"median", MEDIAN(Instances!K257:Instances!K257),"min", MIN(Instances!K257:Instances!K257),"max", MAX(Instances!K257:Instances!K257),"diff", MAX(Instances!K257:Instances!K257)-MIN(Instances!K257:Instances!K257))</f>
        <v>0</v>
      </c>
      <c r="L257" s="1"/>
      <c r="M257" s="1" cm="1">
        <f t="array" ref="M257">_xlfn.SWITCH($A$2,"average", AVERAGE(Instances!M257:Instances!M257),"median", MEDIAN(Instances!M257:Instances!M257),"min", MIN(Instances!M257:Instances!M257),"max", MAX(Instances!M257:Instances!M257),"diff", MAX(Instances!M257:Instances!M257)-MIN(Instances!M257:Instances!M257))</f>
        <v>0</v>
      </c>
      <c r="N257" s="1" cm="1">
        <f t="array" ref="N257">_xlfn.SWITCH($A$2,"average", AVERAGE(Instances!N257:Instances!N257),"median", MEDIAN(Instances!N257:Instances!N257),"min", MIN(Instances!N257:Instances!N257),"max", MAX(Instances!N257:Instances!N257),"diff", MAX(Instances!N257:Instances!N257)-MIN(Instances!N257:Instances!N257))</f>
        <v>0</v>
      </c>
      <c r="O257" s="1"/>
      <c r="P257" s="1" cm="1">
        <f t="array" ref="P257">_xlfn.SWITCH($A$2,"average", AVERAGE(Instances!P257:Instances!P257),"median", MEDIAN(Instances!P257:Instances!P257),"min", MIN(Instances!P257:Instances!P257),"max", MAX(Instances!P257:Instances!P257),"diff", MAX(Instances!P257:Instances!P257)-MIN(Instances!P257:Instances!P257))</f>
        <v>0</v>
      </c>
      <c r="Q257" s="1" cm="1">
        <f t="array" ref="Q257">_xlfn.SWITCH($A$2,"average", AVERAGE(Instances!Q257:Instances!Q257),"median", MEDIAN(Instances!Q257:Instances!Q257),"min", MIN(Instances!Q257:Instances!Q257),"max", MAX(Instances!Q257:Instances!Q257),"diff", MAX(Instances!Q257:Instances!Q257)-MIN(Instances!Q257:Instances!Q257))</f>
        <v>0</v>
      </c>
      <c r="R257" s="1" cm="1">
        <f t="array" ref="R257">_xlfn.SWITCH($A$2,"average", AVERAGE(Instances!R257:Instances!R257),"median", MEDIAN(Instances!R257:Instances!R257),"min", MIN(Instances!R257:Instances!R257),"max", MAX(Instances!R257:Instances!R257),"diff", MAX(Instances!R257:Instances!R257)-MIN(Instances!R257:Instances!R257))</f>
        <v>0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 cm="1">
        <f t="array" ref="B258">_xlfn.SWITCH($A$2,"average", AVERAGE(Instances!B258:Instances!B258),"median", MEDIAN(Instances!B258:Instances!B258),"min", MIN(Instances!B258:Instances!B258),"max", MAX(Instances!B258:Instances!B258),"diff", MAX(Instances!B258:Instances!B258)-MIN(Instances!B258:Instances!B258))</f>
        <v>0</v>
      </c>
      <c r="C258" s="1" cm="1">
        <f t="array" ref="C258">_xlfn.SWITCH($A$2,"average", AVERAGE(Instances!C258:Instances!C258),"median", MEDIAN(Instances!C258:Instances!C258),"min", MIN(Instances!C258:Instances!C258),"max", MAX(Instances!C258:Instances!C258),"diff", MAX(Instances!C258:Instances!C258)-MIN(Instances!C258:Instances!C258))</f>
        <v>0</v>
      </c>
      <c r="D258" s="1" cm="1">
        <f t="array" ref="D258">_xlfn.SWITCH($A$2,"average", AVERAGE(Instances!D258:Instances!D258),"median", MEDIAN(Instances!D258:Instances!D258),"min", MIN(Instances!D258:Instances!D258),"max", MAX(Instances!D258:Instances!D258),"diff", MAX(Instances!D258:Instances!D258)-MIN(Instances!D258:Instances!D258))</f>
        <v>0</v>
      </c>
      <c r="E258" s="1" cm="1">
        <f t="array" ref="E258">_xlfn.SWITCH($A$2,"average", AVERAGE(Instances!E258:Instances!E258),"median", MEDIAN(Instances!E258:Instances!E258),"min", MIN(Instances!E258:Instances!E258),"max", MAX(Instances!E258:Instances!E258),"diff", MAX(Instances!E258:Instances!E258)-MIN(Instances!E258:Instances!E258))</f>
        <v>0</v>
      </c>
      <c r="F258" s="1" cm="1">
        <f t="array" ref="F258">_xlfn.SWITCH($A$2,"average", AVERAGE(Instances!F258:Instances!F258),"median", MEDIAN(Instances!F258:Instances!F258),"min", MIN(Instances!F258:Instances!F258),"max", MAX(Instances!F258:Instances!F258),"diff", MAX(Instances!F258:Instances!F258)-MIN(Instances!F258:Instances!F258))</f>
        <v>0</v>
      </c>
      <c r="G258" s="1" cm="1">
        <f t="array" ref="G258">_xlfn.SWITCH($A$2,"average", AVERAGE(Instances!G258:Instances!G258),"median", MEDIAN(Instances!G258:Instances!G258),"min", MIN(Instances!G258:Instances!G258),"max", MAX(Instances!G258:Instances!G258),"diff", MAX(Instances!G258:Instances!G258)-MIN(Instances!G258:Instances!G258))</f>
        <v>0</v>
      </c>
      <c r="H258" s="1" cm="1">
        <f t="array" ref="H258">_xlfn.SWITCH($A$2,"average", AVERAGE(Instances!H258:Instances!H258),"median", MEDIAN(Instances!H258:Instances!H258),"min", MIN(Instances!H258:Instances!H258),"max", MAX(Instances!H258:Instances!H258),"diff", MAX(Instances!H258:Instances!H258)-MIN(Instances!H258:Instances!H258))</f>
        <v>0</v>
      </c>
      <c r="I258" s="1" cm="1">
        <f t="array" ref="I258">_xlfn.SWITCH($A$2,"average", AVERAGE(Instances!I258:Instances!I258),"median", MEDIAN(Instances!I258:Instances!I258),"min", MIN(Instances!I258:Instances!I258),"max", MAX(Instances!I258:Instances!I258),"diff", MAX(Instances!I258:Instances!I258)-MIN(Instances!I258:Instances!I258))</f>
        <v>0</v>
      </c>
      <c r="J258" s="1" cm="1">
        <f t="array" ref="J258">_xlfn.SWITCH($A$2,"average", AVERAGE(Instances!J258:Instances!J258),"median", MEDIAN(Instances!J258:Instances!J258),"min", MIN(Instances!J258:Instances!J258),"max", MAX(Instances!J258:Instances!J258),"diff", MAX(Instances!J258:Instances!J258)-MIN(Instances!J258:Instances!J258))</f>
        <v>0</v>
      </c>
      <c r="K258" s="1" cm="1">
        <f t="array" ref="K258">_xlfn.SWITCH($A$2,"average", AVERAGE(Instances!K258:Instances!K258),"median", MEDIAN(Instances!K258:Instances!K258),"min", MIN(Instances!K258:Instances!K258),"max", MAX(Instances!K258:Instances!K258),"diff", MAX(Instances!K258:Instances!K258)-MIN(Instances!K258:Instances!K258))</f>
        <v>0</v>
      </c>
      <c r="L258" s="1"/>
      <c r="M258" s="1" cm="1">
        <f t="array" ref="M258">_xlfn.SWITCH($A$2,"average", AVERAGE(Instances!M258:Instances!M258),"median", MEDIAN(Instances!M258:Instances!M258),"min", MIN(Instances!M258:Instances!M258),"max", MAX(Instances!M258:Instances!M258),"diff", MAX(Instances!M258:Instances!M258)-MIN(Instances!M258:Instances!M258))</f>
        <v>0</v>
      </c>
      <c r="N258" s="1" cm="1">
        <f t="array" ref="N258">_xlfn.SWITCH($A$2,"average", AVERAGE(Instances!N258:Instances!N258),"median", MEDIAN(Instances!N258:Instances!N258),"min", MIN(Instances!N258:Instances!N258),"max", MAX(Instances!N258:Instances!N258),"diff", MAX(Instances!N258:Instances!N258)-MIN(Instances!N258:Instances!N258))</f>
        <v>0</v>
      </c>
      <c r="O258" s="1"/>
      <c r="P258" s="1" cm="1">
        <f t="array" ref="P258">_xlfn.SWITCH($A$2,"average", AVERAGE(Instances!P258:Instances!P258),"median", MEDIAN(Instances!P258:Instances!P258),"min", MIN(Instances!P258:Instances!P258),"max", MAX(Instances!P258:Instances!P258),"diff", MAX(Instances!P258:Instances!P258)-MIN(Instances!P258:Instances!P258))</f>
        <v>0</v>
      </c>
      <c r="Q258" s="1" cm="1">
        <f t="array" ref="Q258">_xlfn.SWITCH($A$2,"average", AVERAGE(Instances!Q258:Instances!Q258),"median", MEDIAN(Instances!Q258:Instances!Q258),"min", MIN(Instances!Q258:Instances!Q258),"max", MAX(Instances!Q258:Instances!Q258),"diff", MAX(Instances!Q258:Instances!Q258)-MIN(Instances!Q258:Instances!Q258))</f>
        <v>0</v>
      </c>
      <c r="R258" s="1" cm="1">
        <f t="array" ref="R258">_xlfn.SWITCH($A$2,"average", AVERAGE(Instances!R258:Instances!R258),"median", MEDIAN(Instances!R258:Instances!R258),"min", MIN(Instances!R258:Instances!R258),"max", MAX(Instances!R258:Instances!R258),"diff", MAX(Instances!R258:Instances!R258)-MIN(Instances!R258:Instances!R258))</f>
        <v>0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 cm="1">
        <f t="array" ref="B259">_xlfn.SWITCH($A$2,"average", AVERAGE(Instances!B259:Instances!B259),"median", MEDIAN(Instances!B259:Instances!B259),"min", MIN(Instances!B259:Instances!B259),"max", MAX(Instances!B259:Instances!B259),"diff", MAX(Instances!B259:Instances!B259)-MIN(Instances!B259:Instances!B259))</f>
        <v>0</v>
      </c>
      <c r="C259" s="1" cm="1">
        <f t="array" ref="C259">_xlfn.SWITCH($A$2,"average", AVERAGE(Instances!C259:Instances!C259),"median", MEDIAN(Instances!C259:Instances!C259),"min", MIN(Instances!C259:Instances!C259),"max", MAX(Instances!C259:Instances!C259),"diff", MAX(Instances!C259:Instances!C259)-MIN(Instances!C259:Instances!C259))</f>
        <v>0</v>
      </c>
      <c r="D259" s="1" cm="1">
        <f t="array" ref="D259">_xlfn.SWITCH($A$2,"average", AVERAGE(Instances!D259:Instances!D259),"median", MEDIAN(Instances!D259:Instances!D259),"min", MIN(Instances!D259:Instances!D259),"max", MAX(Instances!D259:Instances!D259),"diff", MAX(Instances!D259:Instances!D259)-MIN(Instances!D259:Instances!D259))</f>
        <v>0</v>
      </c>
      <c r="E259" s="1" cm="1">
        <f t="array" ref="E259">_xlfn.SWITCH($A$2,"average", AVERAGE(Instances!E259:Instances!E259),"median", MEDIAN(Instances!E259:Instances!E259),"min", MIN(Instances!E259:Instances!E259),"max", MAX(Instances!E259:Instances!E259),"diff", MAX(Instances!E259:Instances!E259)-MIN(Instances!E259:Instances!E259))</f>
        <v>0</v>
      </c>
      <c r="F259" s="1" cm="1">
        <f t="array" ref="F259">_xlfn.SWITCH($A$2,"average", AVERAGE(Instances!F259:Instances!F259),"median", MEDIAN(Instances!F259:Instances!F259),"min", MIN(Instances!F259:Instances!F259),"max", MAX(Instances!F259:Instances!F259),"diff", MAX(Instances!F259:Instances!F259)-MIN(Instances!F259:Instances!F259))</f>
        <v>0</v>
      </c>
      <c r="G259" s="1" cm="1">
        <f t="array" ref="G259">_xlfn.SWITCH($A$2,"average", AVERAGE(Instances!G259:Instances!G259),"median", MEDIAN(Instances!G259:Instances!G259),"min", MIN(Instances!G259:Instances!G259),"max", MAX(Instances!G259:Instances!G259),"diff", MAX(Instances!G259:Instances!G259)-MIN(Instances!G259:Instances!G259))</f>
        <v>0</v>
      </c>
      <c r="H259" s="1" cm="1">
        <f t="array" ref="H259">_xlfn.SWITCH($A$2,"average", AVERAGE(Instances!H259:Instances!H259),"median", MEDIAN(Instances!H259:Instances!H259),"min", MIN(Instances!H259:Instances!H259),"max", MAX(Instances!H259:Instances!H259),"diff", MAX(Instances!H259:Instances!H259)-MIN(Instances!H259:Instances!H259))</f>
        <v>0</v>
      </c>
      <c r="I259" s="1" cm="1">
        <f t="array" ref="I259">_xlfn.SWITCH($A$2,"average", AVERAGE(Instances!I259:Instances!I259),"median", MEDIAN(Instances!I259:Instances!I259),"min", MIN(Instances!I259:Instances!I259),"max", MAX(Instances!I259:Instances!I259),"diff", MAX(Instances!I259:Instances!I259)-MIN(Instances!I259:Instances!I259))</f>
        <v>0</v>
      </c>
      <c r="J259" s="1" cm="1">
        <f t="array" ref="J259">_xlfn.SWITCH($A$2,"average", AVERAGE(Instances!J259:Instances!J259),"median", MEDIAN(Instances!J259:Instances!J259),"min", MIN(Instances!J259:Instances!J259),"max", MAX(Instances!J259:Instances!J259),"diff", MAX(Instances!J259:Instances!J259)-MIN(Instances!J259:Instances!J259))</f>
        <v>0</v>
      </c>
      <c r="K259" s="1" cm="1">
        <f t="array" ref="K259">_xlfn.SWITCH($A$2,"average", AVERAGE(Instances!K259:Instances!K259),"median", MEDIAN(Instances!K259:Instances!K259),"min", MIN(Instances!K259:Instances!K259),"max", MAX(Instances!K259:Instances!K259),"diff", MAX(Instances!K259:Instances!K259)-MIN(Instances!K259:Instances!K259))</f>
        <v>0</v>
      </c>
      <c r="L259" s="1"/>
      <c r="M259" s="1" cm="1">
        <f t="array" ref="M259">_xlfn.SWITCH($A$2,"average", AVERAGE(Instances!M259:Instances!M259),"median", MEDIAN(Instances!M259:Instances!M259),"min", MIN(Instances!M259:Instances!M259),"max", MAX(Instances!M259:Instances!M259),"diff", MAX(Instances!M259:Instances!M259)-MIN(Instances!M259:Instances!M259))</f>
        <v>0</v>
      </c>
      <c r="N259" s="1" cm="1">
        <f t="array" ref="N259">_xlfn.SWITCH($A$2,"average", AVERAGE(Instances!N259:Instances!N259),"median", MEDIAN(Instances!N259:Instances!N259),"min", MIN(Instances!N259:Instances!N259),"max", MAX(Instances!N259:Instances!N259),"diff", MAX(Instances!N259:Instances!N259)-MIN(Instances!N259:Instances!N259))</f>
        <v>0</v>
      </c>
      <c r="O259" s="1"/>
      <c r="P259" s="1" cm="1">
        <f t="array" ref="P259">_xlfn.SWITCH($A$2,"average", AVERAGE(Instances!P259:Instances!P259),"median", MEDIAN(Instances!P259:Instances!P259),"min", MIN(Instances!P259:Instances!P259),"max", MAX(Instances!P259:Instances!P259),"diff", MAX(Instances!P259:Instances!P259)-MIN(Instances!P259:Instances!P259))</f>
        <v>0</v>
      </c>
      <c r="Q259" s="1" cm="1">
        <f t="array" ref="Q259">_xlfn.SWITCH($A$2,"average", AVERAGE(Instances!Q259:Instances!Q259),"median", MEDIAN(Instances!Q259:Instances!Q259),"min", MIN(Instances!Q259:Instances!Q259),"max", MAX(Instances!Q259:Instances!Q259),"diff", MAX(Instances!Q259:Instances!Q259)-MIN(Instances!Q259:Instances!Q259))</f>
        <v>0</v>
      </c>
      <c r="R259" s="1" cm="1">
        <f t="array" ref="R259">_xlfn.SWITCH($A$2,"average", AVERAGE(Instances!R259:Instances!R259),"median", MEDIAN(Instances!R259:Instances!R259),"min", MIN(Instances!R259:Instances!R259),"max", MAX(Instances!R259:Instances!R259),"diff", MAX(Instances!R259:Instances!R259)-MIN(Instances!R259:Instances!R259))</f>
        <v>0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 cm="1">
        <f t="array" ref="B260">_xlfn.SWITCH($A$2,"average", AVERAGE(Instances!B260:Instances!B260),"median", MEDIAN(Instances!B260:Instances!B260),"min", MIN(Instances!B260:Instances!B260),"max", MAX(Instances!B260:Instances!B260),"diff", MAX(Instances!B260:Instances!B260)-MIN(Instances!B260:Instances!B260))</f>
        <v>0</v>
      </c>
      <c r="C260" s="1" cm="1">
        <f t="array" ref="C260">_xlfn.SWITCH($A$2,"average", AVERAGE(Instances!C260:Instances!C260),"median", MEDIAN(Instances!C260:Instances!C260),"min", MIN(Instances!C260:Instances!C260),"max", MAX(Instances!C260:Instances!C260),"diff", MAX(Instances!C260:Instances!C260)-MIN(Instances!C260:Instances!C260))</f>
        <v>0</v>
      </c>
      <c r="D260" s="1" cm="1">
        <f t="array" ref="D260">_xlfn.SWITCH($A$2,"average", AVERAGE(Instances!D260:Instances!D260),"median", MEDIAN(Instances!D260:Instances!D260),"min", MIN(Instances!D260:Instances!D260),"max", MAX(Instances!D260:Instances!D260),"diff", MAX(Instances!D260:Instances!D260)-MIN(Instances!D260:Instances!D260))</f>
        <v>0</v>
      </c>
      <c r="E260" s="1" cm="1">
        <f t="array" ref="E260">_xlfn.SWITCH($A$2,"average", AVERAGE(Instances!E260:Instances!E260),"median", MEDIAN(Instances!E260:Instances!E260),"min", MIN(Instances!E260:Instances!E260),"max", MAX(Instances!E260:Instances!E260),"diff", MAX(Instances!E260:Instances!E260)-MIN(Instances!E260:Instances!E260))</f>
        <v>0</v>
      </c>
      <c r="F260" s="1" cm="1">
        <f t="array" ref="F260">_xlfn.SWITCH($A$2,"average", AVERAGE(Instances!F260:Instances!F260),"median", MEDIAN(Instances!F260:Instances!F260),"min", MIN(Instances!F260:Instances!F260),"max", MAX(Instances!F260:Instances!F260),"diff", MAX(Instances!F260:Instances!F260)-MIN(Instances!F260:Instances!F260))</f>
        <v>0</v>
      </c>
      <c r="G260" s="1" cm="1">
        <f t="array" ref="G260">_xlfn.SWITCH($A$2,"average", AVERAGE(Instances!G260:Instances!G260),"median", MEDIAN(Instances!G260:Instances!G260),"min", MIN(Instances!G260:Instances!G260),"max", MAX(Instances!G260:Instances!G260),"diff", MAX(Instances!G260:Instances!G260)-MIN(Instances!G260:Instances!G260))</f>
        <v>0</v>
      </c>
      <c r="H260" s="1" cm="1">
        <f t="array" ref="H260">_xlfn.SWITCH($A$2,"average", AVERAGE(Instances!H260:Instances!H260),"median", MEDIAN(Instances!H260:Instances!H260),"min", MIN(Instances!H260:Instances!H260),"max", MAX(Instances!H260:Instances!H260),"diff", MAX(Instances!H260:Instances!H260)-MIN(Instances!H260:Instances!H260))</f>
        <v>0</v>
      </c>
      <c r="I260" s="1" cm="1">
        <f t="array" ref="I260">_xlfn.SWITCH($A$2,"average", AVERAGE(Instances!I260:Instances!I260),"median", MEDIAN(Instances!I260:Instances!I260),"min", MIN(Instances!I260:Instances!I260),"max", MAX(Instances!I260:Instances!I260),"diff", MAX(Instances!I260:Instances!I260)-MIN(Instances!I260:Instances!I260))</f>
        <v>0</v>
      </c>
      <c r="J260" s="1" cm="1">
        <f t="array" ref="J260">_xlfn.SWITCH($A$2,"average", AVERAGE(Instances!J260:Instances!J260),"median", MEDIAN(Instances!J260:Instances!J260),"min", MIN(Instances!J260:Instances!J260),"max", MAX(Instances!J260:Instances!J260),"diff", MAX(Instances!J260:Instances!J260)-MIN(Instances!J260:Instances!J260))</f>
        <v>0</v>
      </c>
      <c r="K260" s="1" cm="1">
        <f t="array" ref="K260">_xlfn.SWITCH($A$2,"average", AVERAGE(Instances!K260:Instances!K260),"median", MEDIAN(Instances!K260:Instances!K260),"min", MIN(Instances!K260:Instances!K260),"max", MAX(Instances!K260:Instances!K260),"diff", MAX(Instances!K260:Instances!K260)-MIN(Instances!K260:Instances!K260))</f>
        <v>0</v>
      </c>
      <c r="L260" s="1"/>
      <c r="M260" s="1" cm="1">
        <f t="array" ref="M260">_xlfn.SWITCH($A$2,"average", AVERAGE(Instances!M260:Instances!M260),"median", MEDIAN(Instances!M260:Instances!M260),"min", MIN(Instances!M260:Instances!M260),"max", MAX(Instances!M260:Instances!M260),"diff", MAX(Instances!M260:Instances!M260)-MIN(Instances!M260:Instances!M260))</f>
        <v>0</v>
      </c>
      <c r="N260" s="1" cm="1">
        <f t="array" ref="N260">_xlfn.SWITCH($A$2,"average", AVERAGE(Instances!N260:Instances!N260),"median", MEDIAN(Instances!N260:Instances!N260),"min", MIN(Instances!N260:Instances!N260),"max", MAX(Instances!N260:Instances!N260),"diff", MAX(Instances!N260:Instances!N260)-MIN(Instances!N260:Instances!N260))</f>
        <v>0</v>
      </c>
      <c r="O260" s="1"/>
      <c r="P260" s="1" cm="1">
        <f t="array" ref="P260">_xlfn.SWITCH($A$2,"average", AVERAGE(Instances!P260:Instances!P260),"median", MEDIAN(Instances!P260:Instances!P260),"min", MIN(Instances!P260:Instances!P260),"max", MAX(Instances!P260:Instances!P260),"diff", MAX(Instances!P260:Instances!P260)-MIN(Instances!P260:Instances!P260))</f>
        <v>0</v>
      </c>
      <c r="Q260" s="1" cm="1">
        <f t="array" ref="Q260">_xlfn.SWITCH($A$2,"average", AVERAGE(Instances!Q260:Instances!Q260),"median", MEDIAN(Instances!Q260:Instances!Q260),"min", MIN(Instances!Q260:Instances!Q260),"max", MAX(Instances!Q260:Instances!Q260),"diff", MAX(Instances!Q260:Instances!Q260)-MIN(Instances!Q260:Instances!Q260))</f>
        <v>0</v>
      </c>
      <c r="R260" s="1" cm="1">
        <f t="array" ref="R260">_xlfn.SWITCH($A$2,"average", AVERAGE(Instances!R260:Instances!R260),"median", MEDIAN(Instances!R260:Instances!R260),"min", MIN(Instances!R260:Instances!R260),"max", MAX(Instances!R260:Instances!R260),"diff", MAX(Instances!R260:Instances!R260)-MIN(Instances!R260:Instances!R260))</f>
        <v>0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 cm="1">
        <f t="array" ref="B261">_xlfn.SWITCH($A$2,"average", AVERAGE(Instances!B261:Instances!B261),"median", MEDIAN(Instances!B261:Instances!B261),"min", MIN(Instances!B261:Instances!B261),"max", MAX(Instances!B261:Instances!B261),"diff", MAX(Instances!B261:Instances!B261)-MIN(Instances!B261:Instances!B261))</f>
        <v>0</v>
      </c>
      <c r="C261" s="1" cm="1">
        <f t="array" ref="C261">_xlfn.SWITCH($A$2,"average", AVERAGE(Instances!C261:Instances!C261),"median", MEDIAN(Instances!C261:Instances!C261),"min", MIN(Instances!C261:Instances!C261),"max", MAX(Instances!C261:Instances!C261),"diff", MAX(Instances!C261:Instances!C261)-MIN(Instances!C261:Instances!C261))</f>
        <v>0</v>
      </c>
      <c r="D261" s="1" cm="1">
        <f t="array" ref="D261">_xlfn.SWITCH($A$2,"average", AVERAGE(Instances!D261:Instances!D261),"median", MEDIAN(Instances!D261:Instances!D261),"min", MIN(Instances!D261:Instances!D261),"max", MAX(Instances!D261:Instances!D261),"diff", MAX(Instances!D261:Instances!D261)-MIN(Instances!D261:Instances!D261))</f>
        <v>0</v>
      </c>
      <c r="E261" s="1" cm="1">
        <f t="array" ref="E261">_xlfn.SWITCH($A$2,"average", AVERAGE(Instances!E261:Instances!E261),"median", MEDIAN(Instances!E261:Instances!E261),"min", MIN(Instances!E261:Instances!E261),"max", MAX(Instances!E261:Instances!E261),"diff", MAX(Instances!E261:Instances!E261)-MIN(Instances!E261:Instances!E261))</f>
        <v>0</v>
      </c>
      <c r="F261" s="1" cm="1">
        <f t="array" ref="F261">_xlfn.SWITCH($A$2,"average", AVERAGE(Instances!F261:Instances!F261),"median", MEDIAN(Instances!F261:Instances!F261),"min", MIN(Instances!F261:Instances!F261),"max", MAX(Instances!F261:Instances!F261),"diff", MAX(Instances!F261:Instances!F261)-MIN(Instances!F261:Instances!F261))</f>
        <v>0</v>
      </c>
      <c r="G261" s="1" cm="1">
        <f t="array" ref="G261">_xlfn.SWITCH($A$2,"average", AVERAGE(Instances!G261:Instances!G261),"median", MEDIAN(Instances!G261:Instances!G261),"min", MIN(Instances!G261:Instances!G261),"max", MAX(Instances!G261:Instances!G261),"diff", MAX(Instances!G261:Instances!G261)-MIN(Instances!G261:Instances!G261))</f>
        <v>0</v>
      </c>
      <c r="H261" s="1" cm="1">
        <f t="array" ref="H261">_xlfn.SWITCH($A$2,"average", AVERAGE(Instances!H261:Instances!H261),"median", MEDIAN(Instances!H261:Instances!H261),"min", MIN(Instances!H261:Instances!H261),"max", MAX(Instances!H261:Instances!H261),"diff", MAX(Instances!H261:Instances!H261)-MIN(Instances!H261:Instances!H261))</f>
        <v>0</v>
      </c>
      <c r="I261" s="1" cm="1">
        <f t="array" ref="I261">_xlfn.SWITCH($A$2,"average", AVERAGE(Instances!I261:Instances!I261),"median", MEDIAN(Instances!I261:Instances!I261),"min", MIN(Instances!I261:Instances!I261),"max", MAX(Instances!I261:Instances!I261),"diff", MAX(Instances!I261:Instances!I261)-MIN(Instances!I261:Instances!I261))</f>
        <v>0</v>
      </c>
      <c r="J261" s="1" cm="1">
        <f t="array" ref="J261">_xlfn.SWITCH($A$2,"average", AVERAGE(Instances!J261:Instances!J261),"median", MEDIAN(Instances!J261:Instances!J261),"min", MIN(Instances!J261:Instances!J261),"max", MAX(Instances!J261:Instances!J261),"diff", MAX(Instances!J261:Instances!J261)-MIN(Instances!J261:Instances!J261))</f>
        <v>0</v>
      </c>
      <c r="K261" s="1" cm="1">
        <f t="array" ref="K261">_xlfn.SWITCH($A$2,"average", AVERAGE(Instances!K261:Instances!K261),"median", MEDIAN(Instances!K261:Instances!K261),"min", MIN(Instances!K261:Instances!K261),"max", MAX(Instances!K261:Instances!K261),"diff", MAX(Instances!K261:Instances!K261)-MIN(Instances!K261:Instances!K261))</f>
        <v>0</v>
      </c>
      <c r="L261" s="1"/>
      <c r="M261" s="1" cm="1">
        <f t="array" ref="M261">_xlfn.SWITCH($A$2,"average", AVERAGE(Instances!M261:Instances!M261),"median", MEDIAN(Instances!M261:Instances!M261),"min", MIN(Instances!M261:Instances!M261),"max", MAX(Instances!M261:Instances!M261),"diff", MAX(Instances!M261:Instances!M261)-MIN(Instances!M261:Instances!M261))</f>
        <v>0</v>
      </c>
      <c r="N261" s="1" cm="1">
        <f t="array" ref="N261">_xlfn.SWITCH($A$2,"average", AVERAGE(Instances!N261:Instances!N261),"median", MEDIAN(Instances!N261:Instances!N261),"min", MIN(Instances!N261:Instances!N261),"max", MAX(Instances!N261:Instances!N261),"diff", MAX(Instances!N261:Instances!N261)-MIN(Instances!N261:Instances!N261))</f>
        <v>0</v>
      </c>
      <c r="O261" s="1"/>
      <c r="P261" s="1" cm="1">
        <f t="array" ref="P261">_xlfn.SWITCH($A$2,"average", AVERAGE(Instances!P261:Instances!P261),"median", MEDIAN(Instances!P261:Instances!P261),"min", MIN(Instances!P261:Instances!P261),"max", MAX(Instances!P261:Instances!P261),"diff", MAX(Instances!P261:Instances!P261)-MIN(Instances!P261:Instances!P261))</f>
        <v>0</v>
      </c>
      <c r="Q261" s="1" cm="1">
        <f t="array" ref="Q261">_xlfn.SWITCH($A$2,"average", AVERAGE(Instances!Q261:Instances!Q261),"median", MEDIAN(Instances!Q261:Instances!Q261),"min", MIN(Instances!Q261:Instances!Q261),"max", MAX(Instances!Q261:Instances!Q261),"diff", MAX(Instances!Q261:Instances!Q261)-MIN(Instances!Q261:Instances!Q261))</f>
        <v>0</v>
      </c>
      <c r="R261" s="1" cm="1">
        <f t="array" ref="R261">_xlfn.SWITCH($A$2,"average", AVERAGE(Instances!R261:Instances!R261),"median", MEDIAN(Instances!R261:Instances!R261),"min", MIN(Instances!R261:Instances!R261),"max", MAX(Instances!R261:Instances!R261),"diff", MAX(Instances!R261:Instances!R261)-MIN(Instances!R261:Instances!R261))</f>
        <v>0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 cm="1">
        <f t="array" ref="B262">_xlfn.SWITCH($A$2,"average", AVERAGE(Instances!B262:Instances!B262),"median", MEDIAN(Instances!B262:Instances!B262),"min", MIN(Instances!B262:Instances!B262),"max", MAX(Instances!B262:Instances!B262),"diff", MAX(Instances!B262:Instances!B262)-MIN(Instances!B262:Instances!B262))</f>
        <v>0</v>
      </c>
      <c r="C262" s="1" cm="1">
        <f t="array" ref="C262">_xlfn.SWITCH($A$2,"average", AVERAGE(Instances!C262:Instances!C262),"median", MEDIAN(Instances!C262:Instances!C262),"min", MIN(Instances!C262:Instances!C262),"max", MAX(Instances!C262:Instances!C262),"diff", MAX(Instances!C262:Instances!C262)-MIN(Instances!C262:Instances!C262))</f>
        <v>0</v>
      </c>
      <c r="D262" s="1" cm="1">
        <f t="array" ref="D262">_xlfn.SWITCH($A$2,"average", AVERAGE(Instances!D262:Instances!D262),"median", MEDIAN(Instances!D262:Instances!D262),"min", MIN(Instances!D262:Instances!D262),"max", MAX(Instances!D262:Instances!D262),"diff", MAX(Instances!D262:Instances!D262)-MIN(Instances!D262:Instances!D262))</f>
        <v>0</v>
      </c>
      <c r="E262" s="1" cm="1">
        <f t="array" ref="E262">_xlfn.SWITCH($A$2,"average", AVERAGE(Instances!E262:Instances!E262),"median", MEDIAN(Instances!E262:Instances!E262),"min", MIN(Instances!E262:Instances!E262),"max", MAX(Instances!E262:Instances!E262),"diff", MAX(Instances!E262:Instances!E262)-MIN(Instances!E262:Instances!E262))</f>
        <v>0</v>
      </c>
      <c r="F262" s="1" cm="1">
        <f t="array" ref="F262">_xlfn.SWITCH($A$2,"average", AVERAGE(Instances!F262:Instances!F262),"median", MEDIAN(Instances!F262:Instances!F262),"min", MIN(Instances!F262:Instances!F262),"max", MAX(Instances!F262:Instances!F262),"diff", MAX(Instances!F262:Instances!F262)-MIN(Instances!F262:Instances!F262))</f>
        <v>0</v>
      </c>
      <c r="G262" s="1" cm="1">
        <f t="array" ref="G262">_xlfn.SWITCH($A$2,"average", AVERAGE(Instances!G262:Instances!G262),"median", MEDIAN(Instances!G262:Instances!G262),"min", MIN(Instances!G262:Instances!G262),"max", MAX(Instances!G262:Instances!G262),"diff", MAX(Instances!G262:Instances!G262)-MIN(Instances!G262:Instances!G262))</f>
        <v>0</v>
      </c>
      <c r="H262" s="1" cm="1">
        <f t="array" ref="H262">_xlfn.SWITCH($A$2,"average", AVERAGE(Instances!H262:Instances!H262),"median", MEDIAN(Instances!H262:Instances!H262),"min", MIN(Instances!H262:Instances!H262),"max", MAX(Instances!H262:Instances!H262),"diff", MAX(Instances!H262:Instances!H262)-MIN(Instances!H262:Instances!H262))</f>
        <v>0</v>
      </c>
      <c r="I262" s="1" cm="1">
        <f t="array" ref="I262">_xlfn.SWITCH($A$2,"average", AVERAGE(Instances!I262:Instances!I262),"median", MEDIAN(Instances!I262:Instances!I262),"min", MIN(Instances!I262:Instances!I262),"max", MAX(Instances!I262:Instances!I262),"diff", MAX(Instances!I262:Instances!I262)-MIN(Instances!I262:Instances!I262))</f>
        <v>0</v>
      </c>
      <c r="J262" s="1" cm="1">
        <f t="array" ref="J262">_xlfn.SWITCH($A$2,"average", AVERAGE(Instances!J262:Instances!J262),"median", MEDIAN(Instances!J262:Instances!J262),"min", MIN(Instances!J262:Instances!J262),"max", MAX(Instances!J262:Instances!J262),"diff", MAX(Instances!J262:Instances!J262)-MIN(Instances!J262:Instances!J262))</f>
        <v>0</v>
      </c>
      <c r="K262" s="1" cm="1">
        <f t="array" ref="K262">_xlfn.SWITCH($A$2,"average", AVERAGE(Instances!K262:Instances!K262),"median", MEDIAN(Instances!K262:Instances!K262),"min", MIN(Instances!K262:Instances!K262),"max", MAX(Instances!K262:Instances!K262),"diff", MAX(Instances!K262:Instances!K262)-MIN(Instances!K262:Instances!K262))</f>
        <v>0</v>
      </c>
      <c r="L262" s="1"/>
      <c r="M262" s="1" cm="1">
        <f t="array" ref="M262">_xlfn.SWITCH($A$2,"average", AVERAGE(Instances!M262:Instances!M262),"median", MEDIAN(Instances!M262:Instances!M262),"min", MIN(Instances!M262:Instances!M262),"max", MAX(Instances!M262:Instances!M262),"diff", MAX(Instances!M262:Instances!M262)-MIN(Instances!M262:Instances!M262))</f>
        <v>0</v>
      </c>
      <c r="N262" s="1" cm="1">
        <f t="array" ref="N262">_xlfn.SWITCH($A$2,"average", AVERAGE(Instances!N262:Instances!N262),"median", MEDIAN(Instances!N262:Instances!N262),"min", MIN(Instances!N262:Instances!N262),"max", MAX(Instances!N262:Instances!N262),"diff", MAX(Instances!N262:Instances!N262)-MIN(Instances!N262:Instances!N262))</f>
        <v>0</v>
      </c>
      <c r="O262" s="1"/>
      <c r="P262" s="1" cm="1">
        <f t="array" ref="P262">_xlfn.SWITCH($A$2,"average", AVERAGE(Instances!P262:Instances!P262),"median", MEDIAN(Instances!P262:Instances!P262),"min", MIN(Instances!P262:Instances!P262),"max", MAX(Instances!P262:Instances!P262),"diff", MAX(Instances!P262:Instances!P262)-MIN(Instances!P262:Instances!P262))</f>
        <v>0</v>
      </c>
      <c r="Q262" s="1" cm="1">
        <f t="array" ref="Q262">_xlfn.SWITCH($A$2,"average", AVERAGE(Instances!Q262:Instances!Q262),"median", MEDIAN(Instances!Q262:Instances!Q262),"min", MIN(Instances!Q262:Instances!Q262),"max", MAX(Instances!Q262:Instances!Q262),"diff", MAX(Instances!Q262:Instances!Q262)-MIN(Instances!Q262:Instances!Q262))</f>
        <v>0</v>
      </c>
      <c r="R262" s="1" cm="1">
        <f t="array" ref="R262">_xlfn.SWITCH($A$2,"average", AVERAGE(Instances!R262:Instances!R262),"median", MEDIAN(Instances!R262:Instances!R262),"min", MIN(Instances!R262:Instances!R262),"max", MAX(Instances!R262:Instances!R262),"diff", MAX(Instances!R262:Instances!R262)-MIN(Instances!R262:Instances!R262))</f>
        <v>0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 cm="1">
        <f t="array" ref="B263">_xlfn.SWITCH($A$2,"average", AVERAGE(Instances!B263:Instances!B263),"median", MEDIAN(Instances!B263:Instances!B263),"min", MIN(Instances!B263:Instances!B263),"max", MAX(Instances!B263:Instances!B263),"diff", MAX(Instances!B263:Instances!B263)-MIN(Instances!B263:Instances!B263))</f>
        <v>0</v>
      </c>
      <c r="C263" s="1" cm="1">
        <f t="array" ref="C263">_xlfn.SWITCH($A$2,"average", AVERAGE(Instances!C263:Instances!C263),"median", MEDIAN(Instances!C263:Instances!C263),"min", MIN(Instances!C263:Instances!C263),"max", MAX(Instances!C263:Instances!C263),"diff", MAX(Instances!C263:Instances!C263)-MIN(Instances!C263:Instances!C263))</f>
        <v>0</v>
      </c>
      <c r="D263" s="1" cm="1">
        <f t="array" ref="D263">_xlfn.SWITCH($A$2,"average", AVERAGE(Instances!D263:Instances!D263),"median", MEDIAN(Instances!D263:Instances!D263),"min", MIN(Instances!D263:Instances!D263),"max", MAX(Instances!D263:Instances!D263),"diff", MAX(Instances!D263:Instances!D263)-MIN(Instances!D263:Instances!D263))</f>
        <v>0</v>
      </c>
      <c r="E263" s="1" cm="1">
        <f t="array" ref="E263">_xlfn.SWITCH($A$2,"average", AVERAGE(Instances!E263:Instances!E263),"median", MEDIAN(Instances!E263:Instances!E263),"min", MIN(Instances!E263:Instances!E263),"max", MAX(Instances!E263:Instances!E263),"diff", MAX(Instances!E263:Instances!E263)-MIN(Instances!E263:Instances!E263))</f>
        <v>0</v>
      </c>
      <c r="F263" s="1" cm="1">
        <f t="array" ref="F263">_xlfn.SWITCH($A$2,"average", AVERAGE(Instances!F263:Instances!F263),"median", MEDIAN(Instances!F263:Instances!F263),"min", MIN(Instances!F263:Instances!F263),"max", MAX(Instances!F263:Instances!F263),"diff", MAX(Instances!F263:Instances!F263)-MIN(Instances!F263:Instances!F263))</f>
        <v>0</v>
      </c>
      <c r="G263" s="1" cm="1">
        <f t="array" ref="G263">_xlfn.SWITCH($A$2,"average", AVERAGE(Instances!G263:Instances!G263),"median", MEDIAN(Instances!G263:Instances!G263),"min", MIN(Instances!G263:Instances!G263),"max", MAX(Instances!G263:Instances!G263),"diff", MAX(Instances!G263:Instances!G263)-MIN(Instances!G263:Instances!G263))</f>
        <v>0</v>
      </c>
      <c r="H263" s="1" cm="1">
        <f t="array" ref="H263">_xlfn.SWITCH($A$2,"average", AVERAGE(Instances!H263:Instances!H263),"median", MEDIAN(Instances!H263:Instances!H263),"min", MIN(Instances!H263:Instances!H263),"max", MAX(Instances!H263:Instances!H263),"diff", MAX(Instances!H263:Instances!H263)-MIN(Instances!H263:Instances!H263))</f>
        <v>0</v>
      </c>
      <c r="I263" s="1" cm="1">
        <f t="array" ref="I263">_xlfn.SWITCH($A$2,"average", AVERAGE(Instances!I263:Instances!I263),"median", MEDIAN(Instances!I263:Instances!I263),"min", MIN(Instances!I263:Instances!I263),"max", MAX(Instances!I263:Instances!I263),"diff", MAX(Instances!I263:Instances!I263)-MIN(Instances!I263:Instances!I263))</f>
        <v>0</v>
      </c>
      <c r="J263" s="1" cm="1">
        <f t="array" ref="J263">_xlfn.SWITCH($A$2,"average", AVERAGE(Instances!J263:Instances!J263),"median", MEDIAN(Instances!J263:Instances!J263),"min", MIN(Instances!J263:Instances!J263),"max", MAX(Instances!J263:Instances!J263),"diff", MAX(Instances!J263:Instances!J263)-MIN(Instances!J263:Instances!J263))</f>
        <v>0</v>
      </c>
      <c r="K263" s="1" cm="1">
        <f t="array" ref="K263">_xlfn.SWITCH($A$2,"average", AVERAGE(Instances!K263:Instances!K263),"median", MEDIAN(Instances!K263:Instances!K263),"min", MIN(Instances!K263:Instances!K263),"max", MAX(Instances!K263:Instances!K263),"diff", MAX(Instances!K263:Instances!K263)-MIN(Instances!K263:Instances!K263))</f>
        <v>0</v>
      </c>
      <c r="L263" s="1"/>
      <c r="M263" s="1" cm="1">
        <f t="array" ref="M263">_xlfn.SWITCH($A$2,"average", AVERAGE(Instances!M263:Instances!M263),"median", MEDIAN(Instances!M263:Instances!M263),"min", MIN(Instances!M263:Instances!M263),"max", MAX(Instances!M263:Instances!M263),"diff", MAX(Instances!M263:Instances!M263)-MIN(Instances!M263:Instances!M263))</f>
        <v>0</v>
      </c>
      <c r="N263" s="1" cm="1">
        <f t="array" ref="N263">_xlfn.SWITCH($A$2,"average", AVERAGE(Instances!N263:Instances!N263),"median", MEDIAN(Instances!N263:Instances!N263),"min", MIN(Instances!N263:Instances!N263),"max", MAX(Instances!N263:Instances!N263),"diff", MAX(Instances!N263:Instances!N263)-MIN(Instances!N263:Instances!N263))</f>
        <v>0</v>
      </c>
      <c r="O263" s="1"/>
      <c r="P263" s="1" cm="1">
        <f t="array" ref="P263">_xlfn.SWITCH($A$2,"average", AVERAGE(Instances!P263:Instances!P263),"median", MEDIAN(Instances!P263:Instances!P263),"min", MIN(Instances!P263:Instances!P263),"max", MAX(Instances!P263:Instances!P263),"diff", MAX(Instances!P263:Instances!P263)-MIN(Instances!P263:Instances!P263))</f>
        <v>0</v>
      </c>
      <c r="Q263" s="1" cm="1">
        <f t="array" ref="Q263">_xlfn.SWITCH($A$2,"average", AVERAGE(Instances!Q263:Instances!Q263),"median", MEDIAN(Instances!Q263:Instances!Q263),"min", MIN(Instances!Q263:Instances!Q263),"max", MAX(Instances!Q263:Instances!Q263),"diff", MAX(Instances!Q263:Instances!Q263)-MIN(Instances!Q263:Instances!Q263))</f>
        <v>0</v>
      </c>
      <c r="R263" s="1" cm="1">
        <f t="array" ref="R263">_xlfn.SWITCH($A$2,"average", AVERAGE(Instances!R263:Instances!R263),"median", MEDIAN(Instances!R263:Instances!R263),"min", MIN(Instances!R263:Instances!R263),"max", MAX(Instances!R263:Instances!R263),"diff", MAX(Instances!R263:Instances!R263)-MIN(Instances!R263:Instances!R263))</f>
        <v>0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 cm="1">
        <f t="array" ref="B264">_xlfn.SWITCH($A$2,"average", AVERAGE(Instances!B264:Instances!B264),"median", MEDIAN(Instances!B264:Instances!B264),"min", MIN(Instances!B264:Instances!B264),"max", MAX(Instances!B264:Instances!B264),"diff", MAX(Instances!B264:Instances!B264)-MIN(Instances!B264:Instances!B264))</f>
        <v>0</v>
      </c>
      <c r="C264" s="1" cm="1">
        <f t="array" ref="C264">_xlfn.SWITCH($A$2,"average", AVERAGE(Instances!C264:Instances!C264),"median", MEDIAN(Instances!C264:Instances!C264),"min", MIN(Instances!C264:Instances!C264),"max", MAX(Instances!C264:Instances!C264),"diff", MAX(Instances!C264:Instances!C264)-MIN(Instances!C264:Instances!C264))</f>
        <v>0</v>
      </c>
      <c r="D264" s="1" cm="1">
        <f t="array" ref="D264">_xlfn.SWITCH($A$2,"average", AVERAGE(Instances!D264:Instances!D264),"median", MEDIAN(Instances!D264:Instances!D264),"min", MIN(Instances!D264:Instances!D264),"max", MAX(Instances!D264:Instances!D264),"diff", MAX(Instances!D264:Instances!D264)-MIN(Instances!D264:Instances!D264))</f>
        <v>0</v>
      </c>
      <c r="E264" s="1" cm="1">
        <f t="array" ref="E264">_xlfn.SWITCH($A$2,"average", AVERAGE(Instances!E264:Instances!E264),"median", MEDIAN(Instances!E264:Instances!E264),"min", MIN(Instances!E264:Instances!E264),"max", MAX(Instances!E264:Instances!E264),"diff", MAX(Instances!E264:Instances!E264)-MIN(Instances!E264:Instances!E264))</f>
        <v>0</v>
      </c>
      <c r="F264" s="1" cm="1">
        <f t="array" ref="F264">_xlfn.SWITCH($A$2,"average", AVERAGE(Instances!F264:Instances!F264),"median", MEDIAN(Instances!F264:Instances!F264),"min", MIN(Instances!F264:Instances!F264),"max", MAX(Instances!F264:Instances!F264),"diff", MAX(Instances!F264:Instances!F264)-MIN(Instances!F264:Instances!F264))</f>
        <v>0</v>
      </c>
      <c r="G264" s="1" cm="1">
        <f t="array" ref="G264">_xlfn.SWITCH($A$2,"average", AVERAGE(Instances!G264:Instances!G264),"median", MEDIAN(Instances!G264:Instances!G264),"min", MIN(Instances!G264:Instances!G264),"max", MAX(Instances!G264:Instances!G264),"diff", MAX(Instances!G264:Instances!G264)-MIN(Instances!G264:Instances!G264))</f>
        <v>0</v>
      </c>
      <c r="H264" s="1" cm="1">
        <f t="array" ref="H264">_xlfn.SWITCH($A$2,"average", AVERAGE(Instances!H264:Instances!H264),"median", MEDIAN(Instances!H264:Instances!H264),"min", MIN(Instances!H264:Instances!H264),"max", MAX(Instances!H264:Instances!H264),"diff", MAX(Instances!H264:Instances!H264)-MIN(Instances!H264:Instances!H264))</f>
        <v>0</v>
      </c>
      <c r="I264" s="1" cm="1">
        <f t="array" ref="I264">_xlfn.SWITCH($A$2,"average", AVERAGE(Instances!I264:Instances!I264),"median", MEDIAN(Instances!I264:Instances!I264),"min", MIN(Instances!I264:Instances!I264),"max", MAX(Instances!I264:Instances!I264),"diff", MAX(Instances!I264:Instances!I264)-MIN(Instances!I264:Instances!I264))</f>
        <v>0</v>
      </c>
      <c r="J264" s="1" cm="1">
        <f t="array" ref="J264">_xlfn.SWITCH($A$2,"average", AVERAGE(Instances!J264:Instances!J264),"median", MEDIAN(Instances!J264:Instances!J264),"min", MIN(Instances!J264:Instances!J264),"max", MAX(Instances!J264:Instances!J264),"diff", MAX(Instances!J264:Instances!J264)-MIN(Instances!J264:Instances!J264))</f>
        <v>0</v>
      </c>
      <c r="K264" s="1" cm="1">
        <f t="array" ref="K264">_xlfn.SWITCH($A$2,"average", AVERAGE(Instances!K264:Instances!K264),"median", MEDIAN(Instances!K264:Instances!K264),"min", MIN(Instances!K264:Instances!K264),"max", MAX(Instances!K264:Instances!K264),"diff", MAX(Instances!K264:Instances!K264)-MIN(Instances!K264:Instances!K264))</f>
        <v>0</v>
      </c>
      <c r="L264" s="1"/>
      <c r="M264" s="1" cm="1">
        <f t="array" ref="M264">_xlfn.SWITCH($A$2,"average", AVERAGE(Instances!M264:Instances!M264),"median", MEDIAN(Instances!M264:Instances!M264),"min", MIN(Instances!M264:Instances!M264),"max", MAX(Instances!M264:Instances!M264),"diff", MAX(Instances!M264:Instances!M264)-MIN(Instances!M264:Instances!M264))</f>
        <v>0</v>
      </c>
      <c r="N264" s="1" cm="1">
        <f t="array" ref="N264">_xlfn.SWITCH($A$2,"average", AVERAGE(Instances!N264:Instances!N264),"median", MEDIAN(Instances!N264:Instances!N264),"min", MIN(Instances!N264:Instances!N264),"max", MAX(Instances!N264:Instances!N264),"diff", MAX(Instances!N264:Instances!N264)-MIN(Instances!N264:Instances!N264))</f>
        <v>0</v>
      </c>
      <c r="O264" s="1"/>
      <c r="P264" s="1" cm="1">
        <f t="array" ref="P264">_xlfn.SWITCH($A$2,"average", AVERAGE(Instances!P264:Instances!P264),"median", MEDIAN(Instances!P264:Instances!P264),"min", MIN(Instances!P264:Instances!P264),"max", MAX(Instances!P264:Instances!P264),"diff", MAX(Instances!P264:Instances!P264)-MIN(Instances!P264:Instances!P264))</f>
        <v>0</v>
      </c>
      <c r="Q264" s="1" cm="1">
        <f t="array" ref="Q264">_xlfn.SWITCH($A$2,"average", AVERAGE(Instances!Q264:Instances!Q264),"median", MEDIAN(Instances!Q264:Instances!Q264),"min", MIN(Instances!Q264:Instances!Q264),"max", MAX(Instances!Q264:Instances!Q264),"diff", MAX(Instances!Q264:Instances!Q264)-MIN(Instances!Q264:Instances!Q264))</f>
        <v>0</v>
      </c>
      <c r="R264" s="1" cm="1">
        <f t="array" ref="R264">_xlfn.SWITCH($A$2,"average", AVERAGE(Instances!R264:Instances!R264),"median", MEDIAN(Instances!R264:Instances!R264),"min", MIN(Instances!R264:Instances!R264),"max", MAX(Instances!R264:Instances!R264),"diff", MAX(Instances!R264:Instances!R264)-MIN(Instances!R264:Instances!R264))</f>
        <v>0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 cm="1">
        <f t="array" ref="B265">_xlfn.SWITCH($A$2,"average", AVERAGE(Instances!B265:Instances!B265),"median", MEDIAN(Instances!B265:Instances!B265),"min", MIN(Instances!B265:Instances!B265),"max", MAX(Instances!B265:Instances!B265),"diff", MAX(Instances!B265:Instances!B265)-MIN(Instances!B265:Instances!B265))</f>
        <v>0</v>
      </c>
      <c r="C265" s="1" cm="1">
        <f t="array" ref="C265">_xlfn.SWITCH($A$2,"average", AVERAGE(Instances!C265:Instances!C265),"median", MEDIAN(Instances!C265:Instances!C265),"min", MIN(Instances!C265:Instances!C265),"max", MAX(Instances!C265:Instances!C265),"diff", MAX(Instances!C265:Instances!C265)-MIN(Instances!C265:Instances!C265))</f>
        <v>0</v>
      </c>
      <c r="D265" s="1" cm="1">
        <f t="array" ref="D265">_xlfn.SWITCH($A$2,"average", AVERAGE(Instances!D265:Instances!D265),"median", MEDIAN(Instances!D265:Instances!D265),"min", MIN(Instances!D265:Instances!D265),"max", MAX(Instances!D265:Instances!D265),"diff", MAX(Instances!D265:Instances!D265)-MIN(Instances!D265:Instances!D265))</f>
        <v>0</v>
      </c>
      <c r="E265" s="1" cm="1">
        <f t="array" ref="E265">_xlfn.SWITCH($A$2,"average", AVERAGE(Instances!E265:Instances!E265),"median", MEDIAN(Instances!E265:Instances!E265),"min", MIN(Instances!E265:Instances!E265),"max", MAX(Instances!E265:Instances!E265),"diff", MAX(Instances!E265:Instances!E265)-MIN(Instances!E265:Instances!E265))</f>
        <v>0</v>
      </c>
      <c r="F265" s="1" cm="1">
        <f t="array" ref="F265">_xlfn.SWITCH($A$2,"average", AVERAGE(Instances!F265:Instances!F265),"median", MEDIAN(Instances!F265:Instances!F265),"min", MIN(Instances!F265:Instances!F265),"max", MAX(Instances!F265:Instances!F265),"diff", MAX(Instances!F265:Instances!F265)-MIN(Instances!F265:Instances!F265))</f>
        <v>0</v>
      </c>
      <c r="G265" s="1" cm="1">
        <f t="array" ref="G265">_xlfn.SWITCH($A$2,"average", AVERAGE(Instances!G265:Instances!G265),"median", MEDIAN(Instances!G265:Instances!G265),"min", MIN(Instances!G265:Instances!G265),"max", MAX(Instances!G265:Instances!G265),"diff", MAX(Instances!G265:Instances!G265)-MIN(Instances!G265:Instances!G265))</f>
        <v>0</v>
      </c>
      <c r="H265" s="1" cm="1">
        <f t="array" ref="H265">_xlfn.SWITCH($A$2,"average", AVERAGE(Instances!H265:Instances!H265),"median", MEDIAN(Instances!H265:Instances!H265),"min", MIN(Instances!H265:Instances!H265),"max", MAX(Instances!H265:Instances!H265),"diff", MAX(Instances!H265:Instances!H265)-MIN(Instances!H265:Instances!H265))</f>
        <v>0</v>
      </c>
      <c r="I265" s="1" cm="1">
        <f t="array" ref="I265">_xlfn.SWITCH($A$2,"average", AVERAGE(Instances!I265:Instances!I265),"median", MEDIAN(Instances!I265:Instances!I265),"min", MIN(Instances!I265:Instances!I265),"max", MAX(Instances!I265:Instances!I265),"diff", MAX(Instances!I265:Instances!I265)-MIN(Instances!I265:Instances!I265))</f>
        <v>0</v>
      </c>
      <c r="J265" s="1" cm="1">
        <f t="array" ref="J265">_xlfn.SWITCH($A$2,"average", AVERAGE(Instances!J265:Instances!J265),"median", MEDIAN(Instances!J265:Instances!J265),"min", MIN(Instances!J265:Instances!J265),"max", MAX(Instances!J265:Instances!J265),"diff", MAX(Instances!J265:Instances!J265)-MIN(Instances!J265:Instances!J265))</f>
        <v>0</v>
      </c>
      <c r="K265" s="1" cm="1">
        <f t="array" ref="K265">_xlfn.SWITCH($A$2,"average", AVERAGE(Instances!K265:Instances!K265),"median", MEDIAN(Instances!K265:Instances!K265),"min", MIN(Instances!K265:Instances!K265),"max", MAX(Instances!K265:Instances!K265),"diff", MAX(Instances!K265:Instances!K265)-MIN(Instances!K265:Instances!K265))</f>
        <v>0</v>
      </c>
      <c r="L265" s="1"/>
      <c r="M265" s="1" cm="1">
        <f t="array" ref="M265">_xlfn.SWITCH($A$2,"average", AVERAGE(Instances!M265:Instances!M265),"median", MEDIAN(Instances!M265:Instances!M265),"min", MIN(Instances!M265:Instances!M265),"max", MAX(Instances!M265:Instances!M265),"diff", MAX(Instances!M265:Instances!M265)-MIN(Instances!M265:Instances!M265))</f>
        <v>0</v>
      </c>
      <c r="N265" s="1" cm="1">
        <f t="array" ref="N265">_xlfn.SWITCH($A$2,"average", AVERAGE(Instances!N265:Instances!N265),"median", MEDIAN(Instances!N265:Instances!N265),"min", MIN(Instances!N265:Instances!N265),"max", MAX(Instances!N265:Instances!N265),"diff", MAX(Instances!N265:Instances!N265)-MIN(Instances!N265:Instances!N265))</f>
        <v>0</v>
      </c>
      <c r="O265" s="1"/>
      <c r="P265" s="1" cm="1">
        <f t="array" ref="P265">_xlfn.SWITCH($A$2,"average", AVERAGE(Instances!P265:Instances!P265),"median", MEDIAN(Instances!P265:Instances!P265),"min", MIN(Instances!P265:Instances!P265),"max", MAX(Instances!P265:Instances!P265),"diff", MAX(Instances!P265:Instances!P265)-MIN(Instances!P265:Instances!P265))</f>
        <v>0</v>
      </c>
      <c r="Q265" s="1" cm="1">
        <f t="array" ref="Q265">_xlfn.SWITCH($A$2,"average", AVERAGE(Instances!Q265:Instances!Q265),"median", MEDIAN(Instances!Q265:Instances!Q265),"min", MIN(Instances!Q265:Instances!Q265),"max", MAX(Instances!Q265:Instances!Q265),"diff", MAX(Instances!Q265:Instances!Q265)-MIN(Instances!Q265:Instances!Q265))</f>
        <v>0</v>
      </c>
      <c r="R265" s="1" cm="1">
        <f t="array" ref="R265">_xlfn.SWITCH($A$2,"average", AVERAGE(Instances!R265:Instances!R265),"median", MEDIAN(Instances!R265:Instances!R265),"min", MIN(Instances!R265:Instances!R265),"max", MAX(Instances!R265:Instances!R265),"diff", MAX(Instances!R265:Instances!R265)-MIN(Instances!R265:Instances!R265))</f>
        <v>0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 cm="1">
        <f t="array" ref="B266">_xlfn.SWITCH($A$2,"average", AVERAGE(Instances!B266:Instances!B266),"median", MEDIAN(Instances!B266:Instances!B266),"min", MIN(Instances!B266:Instances!B266),"max", MAX(Instances!B266:Instances!B266),"diff", MAX(Instances!B266:Instances!B266)-MIN(Instances!B266:Instances!B266))</f>
        <v>0</v>
      </c>
      <c r="C266" s="1" cm="1">
        <f t="array" ref="C266">_xlfn.SWITCH($A$2,"average", AVERAGE(Instances!C266:Instances!C266),"median", MEDIAN(Instances!C266:Instances!C266),"min", MIN(Instances!C266:Instances!C266),"max", MAX(Instances!C266:Instances!C266),"diff", MAX(Instances!C266:Instances!C266)-MIN(Instances!C266:Instances!C266))</f>
        <v>0</v>
      </c>
      <c r="D266" s="1" cm="1">
        <f t="array" ref="D266">_xlfn.SWITCH($A$2,"average", AVERAGE(Instances!D266:Instances!D266),"median", MEDIAN(Instances!D266:Instances!D266),"min", MIN(Instances!D266:Instances!D266),"max", MAX(Instances!D266:Instances!D266),"diff", MAX(Instances!D266:Instances!D266)-MIN(Instances!D266:Instances!D266))</f>
        <v>0</v>
      </c>
      <c r="E266" s="1" cm="1">
        <f t="array" ref="E266">_xlfn.SWITCH($A$2,"average", AVERAGE(Instances!E266:Instances!E266),"median", MEDIAN(Instances!E266:Instances!E266),"min", MIN(Instances!E266:Instances!E266),"max", MAX(Instances!E266:Instances!E266),"diff", MAX(Instances!E266:Instances!E266)-MIN(Instances!E266:Instances!E266))</f>
        <v>0</v>
      </c>
      <c r="F266" s="1" cm="1">
        <f t="array" ref="F266">_xlfn.SWITCH($A$2,"average", AVERAGE(Instances!F266:Instances!F266),"median", MEDIAN(Instances!F266:Instances!F266),"min", MIN(Instances!F266:Instances!F266),"max", MAX(Instances!F266:Instances!F266),"diff", MAX(Instances!F266:Instances!F266)-MIN(Instances!F266:Instances!F266))</f>
        <v>0</v>
      </c>
      <c r="G266" s="1" cm="1">
        <f t="array" ref="G266">_xlfn.SWITCH($A$2,"average", AVERAGE(Instances!G266:Instances!G266),"median", MEDIAN(Instances!G266:Instances!G266),"min", MIN(Instances!G266:Instances!G266),"max", MAX(Instances!G266:Instances!G266),"diff", MAX(Instances!G266:Instances!G266)-MIN(Instances!G266:Instances!G266))</f>
        <v>0</v>
      </c>
      <c r="H266" s="1" cm="1">
        <f t="array" ref="H266">_xlfn.SWITCH($A$2,"average", AVERAGE(Instances!H266:Instances!H266),"median", MEDIAN(Instances!H266:Instances!H266),"min", MIN(Instances!H266:Instances!H266),"max", MAX(Instances!H266:Instances!H266),"diff", MAX(Instances!H266:Instances!H266)-MIN(Instances!H266:Instances!H266))</f>
        <v>0</v>
      </c>
      <c r="I266" s="1" cm="1">
        <f t="array" ref="I266">_xlfn.SWITCH($A$2,"average", AVERAGE(Instances!I266:Instances!I266),"median", MEDIAN(Instances!I266:Instances!I266),"min", MIN(Instances!I266:Instances!I266),"max", MAX(Instances!I266:Instances!I266),"diff", MAX(Instances!I266:Instances!I266)-MIN(Instances!I266:Instances!I266))</f>
        <v>0</v>
      </c>
      <c r="J266" s="1" cm="1">
        <f t="array" ref="J266">_xlfn.SWITCH($A$2,"average", AVERAGE(Instances!J266:Instances!J266),"median", MEDIAN(Instances!J266:Instances!J266),"min", MIN(Instances!J266:Instances!J266),"max", MAX(Instances!J266:Instances!J266),"diff", MAX(Instances!J266:Instances!J266)-MIN(Instances!J266:Instances!J266))</f>
        <v>0</v>
      </c>
      <c r="K266" s="1" cm="1">
        <f t="array" ref="K266">_xlfn.SWITCH($A$2,"average", AVERAGE(Instances!K266:Instances!K266),"median", MEDIAN(Instances!K266:Instances!K266),"min", MIN(Instances!K266:Instances!K266),"max", MAX(Instances!K266:Instances!K266),"diff", MAX(Instances!K266:Instances!K266)-MIN(Instances!K266:Instances!K266))</f>
        <v>0</v>
      </c>
      <c r="L266" s="1"/>
      <c r="M266" s="1" cm="1">
        <f t="array" ref="M266">_xlfn.SWITCH($A$2,"average", AVERAGE(Instances!M266:Instances!M266),"median", MEDIAN(Instances!M266:Instances!M266),"min", MIN(Instances!M266:Instances!M266),"max", MAX(Instances!M266:Instances!M266),"diff", MAX(Instances!M266:Instances!M266)-MIN(Instances!M266:Instances!M266))</f>
        <v>0</v>
      </c>
      <c r="N266" s="1" cm="1">
        <f t="array" ref="N266">_xlfn.SWITCH($A$2,"average", AVERAGE(Instances!N266:Instances!N266),"median", MEDIAN(Instances!N266:Instances!N266),"min", MIN(Instances!N266:Instances!N266),"max", MAX(Instances!N266:Instances!N266),"diff", MAX(Instances!N266:Instances!N266)-MIN(Instances!N266:Instances!N266))</f>
        <v>0</v>
      </c>
      <c r="O266" s="1"/>
      <c r="P266" s="1" cm="1">
        <f t="array" ref="P266">_xlfn.SWITCH($A$2,"average", AVERAGE(Instances!P266:Instances!P266),"median", MEDIAN(Instances!P266:Instances!P266),"min", MIN(Instances!P266:Instances!P266),"max", MAX(Instances!P266:Instances!P266),"diff", MAX(Instances!P266:Instances!P266)-MIN(Instances!P266:Instances!P266))</f>
        <v>0</v>
      </c>
      <c r="Q266" s="1" cm="1">
        <f t="array" ref="Q266">_xlfn.SWITCH($A$2,"average", AVERAGE(Instances!Q266:Instances!Q266),"median", MEDIAN(Instances!Q266:Instances!Q266),"min", MIN(Instances!Q266:Instances!Q266),"max", MAX(Instances!Q266:Instances!Q266),"diff", MAX(Instances!Q266:Instances!Q266)-MIN(Instances!Q266:Instances!Q266))</f>
        <v>0</v>
      </c>
      <c r="R266" s="1" cm="1">
        <f t="array" ref="R266">_xlfn.SWITCH($A$2,"average", AVERAGE(Instances!R266:Instances!R266),"median", MEDIAN(Instances!R266:Instances!R266),"min", MIN(Instances!R266:Instances!R266),"max", MAX(Instances!R266:Instances!R266),"diff", MAX(Instances!R266:Instances!R266)-MIN(Instances!R266:Instances!R266))</f>
        <v>0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 cm="1">
        <f t="array" ref="B267">_xlfn.SWITCH($A$2,"average", AVERAGE(Instances!B267:Instances!B267),"median", MEDIAN(Instances!B267:Instances!B267),"min", MIN(Instances!B267:Instances!B267),"max", MAX(Instances!B267:Instances!B267),"diff", MAX(Instances!B267:Instances!B267)-MIN(Instances!B267:Instances!B267))</f>
        <v>0</v>
      </c>
      <c r="C267" s="1" cm="1">
        <f t="array" ref="C267">_xlfn.SWITCH($A$2,"average", AVERAGE(Instances!C267:Instances!C267),"median", MEDIAN(Instances!C267:Instances!C267),"min", MIN(Instances!C267:Instances!C267),"max", MAX(Instances!C267:Instances!C267),"diff", MAX(Instances!C267:Instances!C267)-MIN(Instances!C267:Instances!C267))</f>
        <v>0</v>
      </c>
      <c r="D267" s="1" cm="1">
        <f t="array" ref="D267">_xlfn.SWITCH($A$2,"average", AVERAGE(Instances!D267:Instances!D267),"median", MEDIAN(Instances!D267:Instances!D267),"min", MIN(Instances!D267:Instances!D267),"max", MAX(Instances!D267:Instances!D267),"diff", MAX(Instances!D267:Instances!D267)-MIN(Instances!D267:Instances!D267))</f>
        <v>0</v>
      </c>
      <c r="E267" s="1" cm="1">
        <f t="array" ref="E267">_xlfn.SWITCH($A$2,"average", AVERAGE(Instances!E267:Instances!E267),"median", MEDIAN(Instances!E267:Instances!E267),"min", MIN(Instances!E267:Instances!E267),"max", MAX(Instances!E267:Instances!E267),"diff", MAX(Instances!E267:Instances!E267)-MIN(Instances!E267:Instances!E267))</f>
        <v>0</v>
      </c>
      <c r="F267" s="1" cm="1">
        <f t="array" ref="F267">_xlfn.SWITCH($A$2,"average", AVERAGE(Instances!F267:Instances!F267),"median", MEDIAN(Instances!F267:Instances!F267),"min", MIN(Instances!F267:Instances!F267),"max", MAX(Instances!F267:Instances!F267),"diff", MAX(Instances!F267:Instances!F267)-MIN(Instances!F267:Instances!F267))</f>
        <v>0</v>
      </c>
      <c r="G267" s="1" cm="1">
        <f t="array" ref="G267">_xlfn.SWITCH($A$2,"average", AVERAGE(Instances!G267:Instances!G267),"median", MEDIAN(Instances!G267:Instances!G267),"min", MIN(Instances!G267:Instances!G267),"max", MAX(Instances!G267:Instances!G267),"diff", MAX(Instances!G267:Instances!G267)-MIN(Instances!G267:Instances!G267))</f>
        <v>0</v>
      </c>
      <c r="H267" s="1" cm="1">
        <f t="array" ref="H267">_xlfn.SWITCH($A$2,"average", AVERAGE(Instances!H267:Instances!H267),"median", MEDIAN(Instances!H267:Instances!H267),"min", MIN(Instances!H267:Instances!H267),"max", MAX(Instances!H267:Instances!H267),"diff", MAX(Instances!H267:Instances!H267)-MIN(Instances!H267:Instances!H267))</f>
        <v>0</v>
      </c>
      <c r="I267" s="1" cm="1">
        <f t="array" ref="I267">_xlfn.SWITCH($A$2,"average", AVERAGE(Instances!I267:Instances!I267),"median", MEDIAN(Instances!I267:Instances!I267),"min", MIN(Instances!I267:Instances!I267),"max", MAX(Instances!I267:Instances!I267),"diff", MAX(Instances!I267:Instances!I267)-MIN(Instances!I267:Instances!I267))</f>
        <v>0</v>
      </c>
      <c r="J267" s="1" cm="1">
        <f t="array" ref="J267">_xlfn.SWITCH($A$2,"average", AVERAGE(Instances!J267:Instances!J267),"median", MEDIAN(Instances!J267:Instances!J267),"min", MIN(Instances!J267:Instances!J267),"max", MAX(Instances!J267:Instances!J267),"diff", MAX(Instances!J267:Instances!J267)-MIN(Instances!J267:Instances!J267))</f>
        <v>0</v>
      </c>
      <c r="K267" s="1" cm="1">
        <f t="array" ref="K267">_xlfn.SWITCH($A$2,"average", AVERAGE(Instances!K267:Instances!K267),"median", MEDIAN(Instances!K267:Instances!K267),"min", MIN(Instances!K267:Instances!K267),"max", MAX(Instances!K267:Instances!K267),"diff", MAX(Instances!K267:Instances!K267)-MIN(Instances!K267:Instances!K267))</f>
        <v>0</v>
      </c>
      <c r="L267" s="1"/>
      <c r="M267" s="1" cm="1">
        <f t="array" ref="M267">_xlfn.SWITCH($A$2,"average", AVERAGE(Instances!M267:Instances!M267),"median", MEDIAN(Instances!M267:Instances!M267),"min", MIN(Instances!M267:Instances!M267),"max", MAX(Instances!M267:Instances!M267),"diff", MAX(Instances!M267:Instances!M267)-MIN(Instances!M267:Instances!M267))</f>
        <v>0</v>
      </c>
      <c r="N267" s="1" cm="1">
        <f t="array" ref="N267">_xlfn.SWITCH($A$2,"average", AVERAGE(Instances!N267:Instances!N267),"median", MEDIAN(Instances!N267:Instances!N267),"min", MIN(Instances!N267:Instances!N267),"max", MAX(Instances!N267:Instances!N267),"diff", MAX(Instances!N267:Instances!N267)-MIN(Instances!N267:Instances!N267))</f>
        <v>0</v>
      </c>
      <c r="O267" s="1"/>
      <c r="P267" s="1" cm="1">
        <f t="array" ref="P267">_xlfn.SWITCH($A$2,"average", AVERAGE(Instances!P267:Instances!P267),"median", MEDIAN(Instances!P267:Instances!P267),"min", MIN(Instances!P267:Instances!P267),"max", MAX(Instances!P267:Instances!P267),"diff", MAX(Instances!P267:Instances!P267)-MIN(Instances!P267:Instances!P267))</f>
        <v>0</v>
      </c>
      <c r="Q267" s="1" cm="1">
        <f t="array" ref="Q267">_xlfn.SWITCH($A$2,"average", AVERAGE(Instances!Q267:Instances!Q267),"median", MEDIAN(Instances!Q267:Instances!Q267),"min", MIN(Instances!Q267:Instances!Q267),"max", MAX(Instances!Q267:Instances!Q267),"diff", MAX(Instances!Q267:Instances!Q267)-MIN(Instances!Q267:Instances!Q267))</f>
        <v>0</v>
      </c>
      <c r="R267" s="1" cm="1">
        <f t="array" ref="R267">_xlfn.SWITCH($A$2,"average", AVERAGE(Instances!R267:Instances!R267),"median", MEDIAN(Instances!R267:Instances!R267),"min", MIN(Instances!R267:Instances!R267),"max", MAX(Instances!R267:Instances!R267),"diff", MAX(Instances!R267:Instances!R267)-MIN(Instances!R267:Instances!R267))</f>
        <v>0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 cm="1">
        <f t="array" ref="B268">_xlfn.SWITCH($A$2,"average", AVERAGE(Instances!B268:Instances!B268),"median", MEDIAN(Instances!B268:Instances!B268),"min", MIN(Instances!B268:Instances!B268),"max", MAX(Instances!B268:Instances!B268),"diff", MAX(Instances!B268:Instances!B268)-MIN(Instances!B268:Instances!B268))</f>
        <v>0</v>
      </c>
      <c r="C268" s="1" cm="1">
        <f t="array" ref="C268">_xlfn.SWITCH($A$2,"average", AVERAGE(Instances!C268:Instances!C268),"median", MEDIAN(Instances!C268:Instances!C268),"min", MIN(Instances!C268:Instances!C268),"max", MAX(Instances!C268:Instances!C268),"diff", MAX(Instances!C268:Instances!C268)-MIN(Instances!C268:Instances!C268))</f>
        <v>0</v>
      </c>
      <c r="D268" s="1" cm="1">
        <f t="array" ref="D268">_xlfn.SWITCH($A$2,"average", AVERAGE(Instances!D268:Instances!D268),"median", MEDIAN(Instances!D268:Instances!D268),"min", MIN(Instances!D268:Instances!D268),"max", MAX(Instances!D268:Instances!D268),"diff", MAX(Instances!D268:Instances!D268)-MIN(Instances!D268:Instances!D268))</f>
        <v>0</v>
      </c>
      <c r="E268" s="1" cm="1">
        <f t="array" ref="E268">_xlfn.SWITCH($A$2,"average", AVERAGE(Instances!E268:Instances!E268),"median", MEDIAN(Instances!E268:Instances!E268),"min", MIN(Instances!E268:Instances!E268),"max", MAX(Instances!E268:Instances!E268),"diff", MAX(Instances!E268:Instances!E268)-MIN(Instances!E268:Instances!E268))</f>
        <v>0</v>
      </c>
      <c r="F268" s="1" cm="1">
        <f t="array" ref="F268">_xlfn.SWITCH($A$2,"average", AVERAGE(Instances!F268:Instances!F268),"median", MEDIAN(Instances!F268:Instances!F268),"min", MIN(Instances!F268:Instances!F268),"max", MAX(Instances!F268:Instances!F268),"diff", MAX(Instances!F268:Instances!F268)-MIN(Instances!F268:Instances!F268))</f>
        <v>0</v>
      </c>
      <c r="G268" s="1" cm="1">
        <f t="array" ref="G268">_xlfn.SWITCH($A$2,"average", AVERAGE(Instances!G268:Instances!G268),"median", MEDIAN(Instances!G268:Instances!G268),"min", MIN(Instances!G268:Instances!G268),"max", MAX(Instances!G268:Instances!G268),"diff", MAX(Instances!G268:Instances!G268)-MIN(Instances!G268:Instances!G268))</f>
        <v>0</v>
      </c>
      <c r="H268" s="1" cm="1">
        <f t="array" ref="H268">_xlfn.SWITCH($A$2,"average", AVERAGE(Instances!H268:Instances!H268),"median", MEDIAN(Instances!H268:Instances!H268),"min", MIN(Instances!H268:Instances!H268),"max", MAX(Instances!H268:Instances!H268),"diff", MAX(Instances!H268:Instances!H268)-MIN(Instances!H268:Instances!H268))</f>
        <v>0</v>
      </c>
      <c r="I268" s="1" cm="1">
        <f t="array" ref="I268">_xlfn.SWITCH($A$2,"average", AVERAGE(Instances!I268:Instances!I268),"median", MEDIAN(Instances!I268:Instances!I268),"min", MIN(Instances!I268:Instances!I268),"max", MAX(Instances!I268:Instances!I268),"diff", MAX(Instances!I268:Instances!I268)-MIN(Instances!I268:Instances!I268))</f>
        <v>0</v>
      </c>
      <c r="J268" s="1" cm="1">
        <f t="array" ref="J268">_xlfn.SWITCH($A$2,"average", AVERAGE(Instances!J268:Instances!J268),"median", MEDIAN(Instances!J268:Instances!J268),"min", MIN(Instances!J268:Instances!J268),"max", MAX(Instances!J268:Instances!J268),"diff", MAX(Instances!J268:Instances!J268)-MIN(Instances!J268:Instances!J268))</f>
        <v>0</v>
      </c>
      <c r="K268" s="1" cm="1">
        <f t="array" ref="K268">_xlfn.SWITCH($A$2,"average", AVERAGE(Instances!K268:Instances!K268),"median", MEDIAN(Instances!K268:Instances!K268),"min", MIN(Instances!K268:Instances!K268),"max", MAX(Instances!K268:Instances!K268),"diff", MAX(Instances!K268:Instances!K268)-MIN(Instances!K268:Instances!K268))</f>
        <v>0</v>
      </c>
      <c r="L268" s="1"/>
      <c r="M268" s="1" cm="1">
        <f t="array" ref="M268">_xlfn.SWITCH($A$2,"average", AVERAGE(Instances!M268:Instances!M268),"median", MEDIAN(Instances!M268:Instances!M268),"min", MIN(Instances!M268:Instances!M268),"max", MAX(Instances!M268:Instances!M268),"diff", MAX(Instances!M268:Instances!M268)-MIN(Instances!M268:Instances!M268))</f>
        <v>0</v>
      </c>
      <c r="N268" s="1" cm="1">
        <f t="array" ref="N268">_xlfn.SWITCH($A$2,"average", AVERAGE(Instances!N268:Instances!N268),"median", MEDIAN(Instances!N268:Instances!N268),"min", MIN(Instances!N268:Instances!N268),"max", MAX(Instances!N268:Instances!N268),"diff", MAX(Instances!N268:Instances!N268)-MIN(Instances!N268:Instances!N268))</f>
        <v>0</v>
      </c>
      <c r="O268" s="1"/>
      <c r="P268" s="1" cm="1">
        <f t="array" ref="P268">_xlfn.SWITCH($A$2,"average", AVERAGE(Instances!P268:Instances!P268),"median", MEDIAN(Instances!P268:Instances!P268),"min", MIN(Instances!P268:Instances!P268),"max", MAX(Instances!P268:Instances!P268),"diff", MAX(Instances!P268:Instances!P268)-MIN(Instances!P268:Instances!P268))</f>
        <v>0</v>
      </c>
      <c r="Q268" s="1" cm="1">
        <f t="array" ref="Q268">_xlfn.SWITCH($A$2,"average", AVERAGE(Instances!Q268:Instances!Q268),"median", MEDIAN(Instances!Q268:Instances!Q268),"min", MIN(Instances!Q268:Instances!Q268),"max", MAX(Instances!Q268:Instances!Q268),"diff", MAX(Instances!Q268:Instances!Q268)-MIN(Instances!Q268:Instances!Q268))</f>
        <v>0</v>
      </c>
      <c r="R268" s="1" cm="1">
        <f t="array" ref="R268">_xlfn.SWITCH($A$2,"average", AVERAGE(Instances!R268:Instances!R268),"median", MEDIAN(Instances!R268:Instances!R268),"min", MIN(Instances!R268:Instances!R268),"max", MAX(Instances!R268:Instances!R268),"diff", MAX(Instances!R268:Instances!R268)-MIN(Instances!R268:Instances!R268))</f>
        <v>0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 cm="1">
        <f t="array" ref="B269">_xlfn.SWITCH($A$2,"average", AVERAGE(Instances!B269:Instances!B269),"median", MEDIAN(Instances!B269:Instances!B269),"min", MIN(Instances!B269:Instances!B269),"max", MAX(Instances!B269:Instances!B269),"diff", MAX(Instances!B269:Instances!B269)-MIN(Instances!B269:Instances!B269))</f>
        <v>0</v>
      </c>
      <c r="C269" s="1" cm="1">
        <f t="array" ref="C269">_xlfn.SWITCH($A$2,"average", AVERAGE(Instances!C269:Instances!C269),"median", MEDIAN(Instances!C269:Instances!C269),"min", MIN(Instances!C269:Instances!C269),"max", MAX(Instances!C269:Instances!C269),"diff", MAX(Instances!C269:Instances!C269)-MIN(Instances!C269:Instances!C269))</f>
        <v>0</v>
      </c>
      <c r="D269" s="1" cm="1">
        <f t="array" ref="D269">_xlfn.SWITCH($A$2,"average", AVERAGE(Instances!D269:Instances!D269),"median", MEDIAN(Instances!D269:Instances!D269),"min", MIN(Instances!D269:Instances!D269),"max", MAX(Instances!D269:Instances!D269),"diff", MAX(Instances!D269:Instances!D269)-MIN(Instances!D269:Instances!D269))</f>
        <v>0</v>
      </c>
      <c r="E269" s="1" cm="1">
        <f t="array" ref="E269">_xlfn.SWITCH($A$2,"average", AVERAGE(Instances!E269:Instances!E269),"median", MEDIAN(Instances!E269:Instances!E269),"min", MIN(Instances!E269:Instances!E269),"max", MAX(Instances!E269:Instances!E269),"diff", MAX(Instances!E269:Instances!E269)-MIN(Instances!E269:Instances!E269))</f>
        <v>0</v>
      </c>
      <c r="F269" s="1" cm="1">
        <f t="array" ref="F269">_xlfn.SWITCH($A$2,"average", AVERAGE(Instances!F269:Instances!F269),"median", MEDIAN(Instances!F269:Instances!F269),"min", MIN(Instances!F269:Instances!F269),"max", MAX(Instances!F269:Instances!F269),"diff", MAX(Instances!F269:Instances!F269)-MIN(Instances!F269:Instances!F269))</f>
        <v>0</v>
      </c>
      <c r="G269" s="1" cm="1">
        <f t="array" ref="G269">_xlfn.SWITCH($A$2,"average", AVERAGE(Instances!G269:Instances!G269),"median", MEDIAN(Instances!G269:Instances!G269),"min", MIN(Instances!G269:Instances!G269),"max", MAX(Instances!G269:Instances!G269),"diff", MAX(Instances!G269:Instances!G269)-MIN(Instances!G269:Instances!G269))</f>
        <v>0</v>
      </c>
      <c r="H269" s="1" cm="1">
        <f t="array" ref="H269">_xlfn.SWITCH($A$2,"average", AVERAGE(Instances!H269:Instances!H269),"median", MEDIAN(Instances!H269:Instances!H269),"min", MIN(Instances!H269:Instances!H269),"max", MAX(Instances!H269:Instances!H269),"diff", MAX(Instances!H269:Instances!H269)-MIN(Instances!H269:Instances!H269))</f>
        <v>0</v>
      </c>
      <c r="I269" s="1" cm="1">
        <f t="array" ref="I269">_xlfn.SWITCH($A$2,"average", AVERAGE(Instances!I269:Instances!I269),"median", MEDIAN(Instances!I269:Instances!I269),"min", MIN(Instances!I269:Instances!I269),"max", MAX(Instances!I269:Instances!I269),"diff", MAX(Instances!I269:Instances!I269)-MIN(Instances!I269:Instances!I269))</f>
        <v>0</v>
      </c>
      <c r="J269" s="1" cm="1">
        <f t="array" ref="J269">_xlfn.SWITCH($A$2,"average", AVERAGE(Instances!J269:Instances!J269),"median", MEDIAN(Instances!J269:Instances!J269),"min", MIN(Instances!J269:Instances!J269),"max", MAX(Instances!J269:Instances!J269),"diff", MAX(Instances!J269:Instances!J269)-MIN(Instances!J269:Instances!J269))</f>
        <v>0</v>
      </c>
      <c r="K269" s="1" cm="1">
        <f t="array" ref="K269">_xlfn.SWITCH($A$2,"average", AVERAGE(Instances!K269:Instances!K269),"median", MEDIAN(Instances!K269:Instances!K269),"min", MIN(Instances!K269:Instances!K269),"max", MAX(Instances!K269:Instances!K269),"diff", MAX(Instances!K269:Instances!K269)-MIN(Instances!K269:Instances!K269))</f>
        <v>0</v>
      </c>
      <c r="L269" s="1"/>
      <c r="M269" s="1" cm="1">
        <f t="array" ref="M269">_xlfn.SWITCH($A$2,"average", AVERAGE(Instances!M269:Instances!M269),"median", MEDIAN(Instances!M269:Instances!M269),"min", MIN(Instances!M269:Instances!M269),"max", MAX(Instances!M269:Instances!M269),"diff", MAX(Instances!M269:Instances!M269)-MIN(Instances!M269:Instances!M269))</f>
        <v>0</v>
      </c>
      <c r="N269" s="1" cm="1">
        <f t="array" ref="N269">_xlfn.SWITCH($A$2,"average", AVERAGE(Instances!N269:Instances!N269),"median", MEDIAN(Instances!N269:Instances!N269),"min", MIN(Instances!N269:Instances!N269),"max", MAX(Instances!N269:Instances!N269),"diff", MAX(Instances!N269:Instances!N269)-MIN(Instances!N269:Instances!N269))</f>
        <v>0</v>
      </c>
      <c r="O269" s="1"/>
      <c r="P269" s="1" cm="1">
        <f t="array" ref="P269">_xlfn.SWITCH($A$2,"average", AVERAGE(Instances!P269:Instances!P269),"median", MEDIAN(Instances!P269:Instances!P269),"min", MIN(Instances!P269:Instances!P269),"max", MAX(Instances!P269:Instances!P269),"diff", MAX(Instances!P269:Instances!P269)-MIN(Instances!P269:Instances!P269))</f>
        <v>0</v>
      </c>
      <c r="Q269" s="1" cm="1">
        <f t="array" ref="Q269">_xlfn.SWITCH($A$2,"average", AVERAGE(Instances!Q269:Instances!Q269),"median", MEDIAN(Instances!Q269:Instances!Q269),"min", MIN(Instances!Q269:Instances!Q269),"max", MAX(Instances!Q269:Instances!Q269),"diff", MAX(Instances!Q269:Instances!Q269)-MIN(Instances!Q269:Instances!Q269))</f>
        <v>0</v>
      </c>
      <c r="R269" s="1" cm="1">
        <f t="array" ref="R269">_xlfn.SWITCH($A$2,"average", AVERAGE(Instances!R269:Instances!R269),"median", MEDIAN(Instances!R269:Instances!R269),"min", MIN(Instances!R269:Instances!R269),"max", MAX(Instances!R269:Instances!R269),"diff", MAX(Instances!R269:Instances!R269)-MIN(Instances!R269:Instances!R269))</f>
        <v>0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 cm="1">
        <f t="array" ref="B270">_xlfn.SWITCH($A$2,"average", AVERAGE(Instances!B270:Instances!B270),"median", MEDIAN(Instances!B270:Instances!B270),"min", MIN(Instances!B270:Instances!B270),"max", MAX(Instances!B270:Instances!B270),"diff", MAX(Instances!B270:Instances!B270)-MIN(Instances!B270:Instances!B270))</f>
        <v>0</v>
      </c>
      <c r="C270" s="1" cm="1">
        <f t="array" ref="C270">_xlfn.SWITCH($A$2,"average", AVERAGE(Instances!C270:Instances!C270),"median", MEDIAN(Instances!C270:Instances!C270),"min", MIN(Instances!C270:Instances!C270),"max", MAX(Instances!C270:Instances!C270),"diff", MAX(Instances!C270:Instances!C270)-MIN(Instances!C270:Instances!C270))</f>
        <v>0</v>
      </c>
      <c r="D270" s="1" cm="1">
        <f t="array" ref="D270">_xlfn.SWITCH($A$2,"average", AVERAGE(Instances!D270:Instances!D270),"median", MEDIAN(Instances!D270:Instances!D270),"min", MIN(Instances!D270:Instances!D270),"max", MAX(Instances!D270:Instances!D270),"diff", MAX(Instances!D270:Instances!D270)-MIN(Instances!D270:Instances!D270))</f>
        <v>0</v>
      </c>
      <c r="E270" s="1" cm="1">
        <f t="array" ref="E270">_xlfn.SWITCH($A$2,"average", AVERAGE(Instances!E270:Instances!E270),"median", MEDIAN(Instances!E270:Instances!E270),"min", MIN(Instances!E270:Instances!E270),"max", MAX(Instances!E270:Instances!E270),"diff", MAX(Instances!E270:Instances!E270)-MIN(Instances!E270:Instances!E270))</f>
        <v>0</v>
      </c>
      <c r="F270" s="1" cm="1">
        <f t="array" ref="F270">_xlfn.SWITCH($A$2,"average", AVERAGE(Instances!F270:Instances!F270),"median", MEDIAN(Instances!F270:Instances!F270),"min", MIN(Instances!F270:Instances!F270),"max", MAX(Instances!F270:Instances!F270),"diff", MAX(Instances!F270:Instances!F270)-MIN(Instances!F270:Instances!F270))</f>
        <v>0</v>
      </c>
      <c r="G270" s="1" cm="1">
        <f t="array" ref="G270">_xlfn.SWITCH($A$2,"average", AVERAGE(Instances!G270:Instances!G270),"median", MEDIAN(Instances!G270:Instances!G270),"min", MIN(Instances!G270:Instances!G270),"max", MAX(Instances!G270:Instances!G270),"diff", MAX(Instances!G270:Instances!G270)-MIN(Instances!G270:Instances!G270))</f>
        <v>0</v>
      </c>
      <c r="H270" s="1" cm="1">
        <f t="array" ref="H270">_xlfn.SWITCH($A$2,"average", AVERAGE(Instances!H270:Instances!H270),"median", MEDIAN(Instances!H270:Instances!H270),"min", MIN(Instances!H270:Instances!H270),"max", MAX(Instances!H270:Instances!H270),"diff", MAX(Instances!H270:Instances!H270)-MIN(Instances!H270:Instances!H270))</f>
        <v>0</v>
      </c>
      <c r="I270" s="1" cm="1">
        <f t="array" ref="I270">_xlfn.SWITCH($A$2,"average", AVERAGE(Instances!I270:Instances!I270),"median", MEDIAN(Instances!I270:Instances!I270),"min", MIN(Instances!I270:Instances!I270),"max", MAX(Instances!I270:Instances!I270),"diff", MAX(Instances!I270:Instances!I270)-MIN(Instances!I270:Instances!I270))</f>
        <v>0</v>
      </c>
      <c r="J270" s="1" cm="1">
        <f t="array" ref="J270">_xlfn.SWITCH($A$2,"average", AVERAGE(Instances!J270:Instances!J270),"median", MEDIAN(Instances!J270:Instances!J270),"min", MIN(Instances!J270:Instances!J270),"max", MAX(Instances!J270:Instances!J270),"diff", MAX(Instances!J270:Instances!J270)-MIN(Instances!J270:Instances!J270))</f>
        <v>0</v>
      </c>
      <c r="K270" s="1" cm="1">
        <f t="array" ref="K270">_xlfn.SWITCH($A$2,"average", AVERAGE(Instances!K270:Instances!K270),"median", MEDIAN(Instances!K270:Instances!K270),"min", MIN(Instances!K270:Instances!K270),"max", MAX(Instances!K270:Instances!K270),"diff", MAX(Instances!K270:Instances!K270)-MIN(Instances!K270:Instances!K270))</f>
        <v>0</v>
      </c>
      <c r="L270" s="1"/>
      <c r="M270" s="1" cm="1">
        <f t="array" ref="M270">_xlfn.SWITCH($A$2,"average", AVERAGE(Instances!M270:Instances!M270),"median", MEDIAN(Instances!M270:Instances!M270),"min", MIN(Instances!M270:Instances!M270),"max", MAX(Instances!M270:Instances!M270),"diff", MAX(Instances!M270:Instances!M270)-MIN(Instances!M270:Instances!M270))</f>
        <v>0</v>
      </c>
      <c r="N270" s="1" cm="1">
        <f t="array" ref="N270">_xlfn.SWITCH($A$2,"average", AVERAGE(Instances!N270:Instances!N270),"median", MEDIAN(Instances!N270:Instances!N270),"min", MIN(Instances!N270:Instances!N270),"max", MAX(Instances!N270:Instances!N270),"diff", MAX(Instances!N270:Instances!N270)-MIN(Instances!N270:Instances!N270))</f>
        <v>0</v>
      </c>
      <c r="O270" s="1"/>
      <c r="P270" s="1" cm="1">
        <f t="array" ref="P270">_xlfn.SWITCH($A$2,"average", AVERAGE(Instances!P270:Instances!P270),"median", MEDIAN(Instances!P270:Instances!P270),"min", MIN(Instances!P270:Instances!P270),"max", MAX(Instances!P270:Instances!P270),"diff", MAX(Instances!P270:Instances!P270)-MIN(Instances!P270:Instances!P270))</f>
        <v>0</v>
      </c>
      <c r="Q270" s="1" cm="1">
        <f t="array" ref="Q270">_xlfn.SWITCH($A$2,"average", AVERAGE(Instances!Q270:Instances!Q270),"median", MEDIAN(Instances!Q270:Instances!Q270),"min", MIN(Instances!Q270:Instances!Q270),"max", MAX(Instances!Q270:Instances!Q270),"diff", MAX(Instances!Q270:Instances!Q270)-MIN(Instances!Q270:Instances!Q270))</f>
        <v>0</v>
      </c>
      <c r="R270" s="1" cm="1">
        <f t="array" ref="R270">_xlfn.SWITCH($A$2,"average", AVERAGE(Instances!R270:Instances!R270),"median", MEDIAN(Instances!R270:Instances!R270),"min", MIN(Instances!R270:Instances!R270),"max", MAX(Instances!R270:Instances!R270),"diff", MAX(Instances!R270:Instances!R270)-MIN(Instances!R270:Instances!R270))</f>
        <v>0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 cm="1">
        <f t="array" ref="B271">_xlfn.SWITCH($A$2,"average", AVERAGE(Instances!B271:Instances!B271),"median", MEDIAN(Instances!B271:Instances!B271),"min", MIN(Instances!B271:Instances!B271),"max", MAX(Instances!B271:Instances!B271),"diff", MAX(Instances!B271:Instances!B271)-MIN(Instances!B271:Instances!B271))</f>
        <v>0</v>
      </c>
      <c r="C271" s="1" cm="1">
        <f t="array" ref="C271">_xlfn.SWITCH($A$2,"average", AVERAGE(Instances!C271:Instances!C271),"median", MEDIAN(Instances!C271:Instances!C271),"min", MIN(Instances!C271:Instances!C271),"max", MAX(Instances!C271:Instances!C271),"diff", MAX(Instances!C271:Instances!C271)-MIN(Instances!C271:Instances!C271))</f>
        <v>0</v>
      </c>
      <c r="D271" s="1" cm="1">
        <f t="array" ref="D271">_xlfn.SWITCH($A$2,"average", AVERAGE(Instances!D271:Instances!D271),"median", MEDIAN(Instances!D271:Instances!D271),"min", MIN(Instances!D271:Instances!D271),"max", MAX(Instances!D271:Instances!D271),"diff", MAX(Instances!D271:Instances!D271)-MIN(Instances!D271:Instances!D271))</f>
        <v>0</v>
      </c>
      <c r="E271" s="1" cm="1">
        <f t="array" ref="E271">_xlfn.SWITCH($A$2,"average", AVERAGE(Instances!E271:Instances!E271),"median", MEDIAN(Instances!E271:Instances!E271),"min", MIN(Instances!E271:Instances!E271),"max", MAX(Instances!E271:Instances!E271),"diff", MAX(Instances!E271:Instances!E271)-MIN(Instances!E271:Instances!E271))</f>
        <v>0</v>
      </c>
      <c r="F271" s="1" cm="1">
        <f t="array" ref="F271">_xlfn.SWITCH($A$2,"average", AVERAGE(Instances!F271:Instances!F271),"median", MEDIAN(Instances!F271:Instances!F271),"min", MIN(Instances!F271:Instances!F271),"max", MAX(Instances!F271:Instances!F271),"diff", MAX(Instances!F271:Instances!F271)-MIN(Instances!F271:Instances!F271))</f>
        <v>0</v>
      </c>
      <c r="G271" s="1" cm="1">
        <f t="array" ref="G271">_xlfn.SWITCH($A$2,"average", AVERAGE(Instances!G271:Instances!G271),"median", MEDIAN(Instances!G271:Instances!G271),"min", MIN(Instances!G271:Instances!G271),"max", MAX(Instances!G271:Instances!G271),"diff", MAX(Instances!G271:Instances!G271)-MIN(Instances!G271:Instances!G271))</f>
        <v>0</v>
      </c>
      <c r="H271" s="1" cm="1">
        <f t="array" ref="H271">_xlfn.SWITCH($A$2,"average", AVERAGE(Instances!H271:Instances!H271),"median", MEDIAN(Instances!H271:Instances!H271),"min", MIN(Instances!H271:Instances!H271),"max", MAX(Instances!H271:Instances!H271),"diff", MAX(Instances!H271:Instances!H271)-MIN(Instances!H271:Instances!H271))</f>
        <v>0</v>
      </c>
      <c r="I271" s="1" cm="1">
        <f t="array" ref="I271">_xlfn.SWITCH($A$2,"average", AVERAGE(Instances!I271:Instances!I271),"median", MEDIAN(Instances!I271:Instances!I271),"min", MIN(Instances!I271:Instances!I271),"max", MAX(Instances!I271:Instances!I271),"diff", MAX(Instances!I271:Instances!I271)-MIN(Instances!I271:Instances!I271))</f>
        <v>0</v>
      </c>
      <c r="J271" s="1" cm="1">
        <f t="array" ref="J271">_xlfn.SWITCH($A$2,"average", AVERAGE(Instances!J271:Instances!J271),"median", MEDIAN(Instances!J271:Instances!J271),"min", MIN(Instances!J271:Instances!J271),"max", MAX(Instances!J271:Instances!J271),"diff", MAX(Instances!J271:Instances!J271)-MIN(Instances!J271:Instances!J271))</f>
        <v>0</v>
      </c>
      <c r="K271" s="1" cm="1">
        <f t="array" ref="K271">_xlfn.SWITCH($A$2,"average", AVERAGE(Instances!K271:Instances!K271),"median", MEDIAN(Instances!K271:Instances!K271),"min", MIN(Instances!K271:Instances!K271),"max", MAX(Instances!K271:Instances!K271),"diff", MAX(Instances!K271:Instances!K271)-MIN(Instances!K271:Instances!K271))</f>
        <v>0</v>
      </c>
      <c r="L271" s="1"/>
      <c r="M271" s="1" cm="1">
        <f t="array" ref="M271">_xlfn.SWITCH($A$2,"average", AVERAGE(Instances!M271:Instances!M271),"median", MEDIAN(Instances!M271:Instances!M271),"min", MIN(Instances!M271:Instances!M271),"max", MAX(Instances!M271:Instances!M271),"diff", MAX(Instances!M271:Instances!M271)-MIN(Instances!M271:Instances!M271))</f>
        <v>0</v>
      </c>
      <c r="N271" s="1" cm="1">
        <f t="array" ref="N271">_xlfn.SWITCH($A$2,"average", AVERAGE(Instances!N271:Instances!N271),"median", MEDIAN(Instances!N271:Instances!N271),"min", MIN(Instances!N271:Instances!N271),"max", MAX(Instances!N271:Instances!N271),"diff", MAX(Instances!N271:Instances!N271)-MIN(Instances!N271:Instances!N271))</f>
        <v>0</v>
      </c>
      <c r="O271" s="1"/>
      <c r="P271" s="1" cm="1">
        <f t="array" ref="P271">_xlfn.SWITCH($A$2,"average", AVERAGE(Instances!P271:Instances!P271),"median", MEDIAN(Instances!P271:Instances!P271),"min", MIN(Instances!P271:Instances!P271),"max", MAX(Instances!P271:Instances!P271),"diff", MAX(Instances!P271:Instances!P271)-MIN(Instances!P271:Instances!P271))</f>
        <v>0</v>
      </c>
      <c r="Q271" s="1" cm="1">
        <f t="array" ref="Q271">_xlfn.SWITCH($A$2,"average", AVERAGE(Instances!Q271:Instances!Q271),"median", MEDIAN(Instances!Q271:Instances!Q271),"min", MIN(Instances!Q271:Instances!Q271),"max", MAX(Instances!Q271:Instances!Q271),"diff", MAX(Instances!Q271:Instances!Q271)-MIN(Instances!Q271:Instances!Q271))</f>
        <v>0</v>
      </c>
      <c r="R271" s="1" cm="1">
        <f t="array" ref="R271">_xlfn.SWITCH($A$2,"average", AVERAGE(Instances!R271:Instances!R271),"median", MEDIAN(Instances!R271:Instances!R271),"min", MIN(Instances!R271:Instances!R271),"max", MAX(Instances!R271:Instances!R271),"diff", MAX(Instances!R271:Instances!R271)-MIN(Instances!R271:Instances!R271))</f>
        <v>0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 cm="1">
        <f t="array" ref="B272">_xlfn.SWITCH($A$2,"average", AVERAGE(Instances!B272:Instances!B272),"median", MEDIAN(Instances!B272:Instances!B272),"min", MIN(Instances!B272:Instances!B272),"max", MAX(Instances!B272:Instances!B272),"diff", MAX(Instances!B272:Instances!B272)-MIN(Instances!B272:Instances!B272))</f>
        <v>0</v>
      </c>
      <c r="C272" s="1" cm="1">
        <f t="array" ref="C272">_xlfn.SWITCH($A$2,"average", AVERAGE(Instances!C272:Instances!C272),"median", MEDIAN(Instances!C272:Instances!C272),"min", MIN(Instances!C272:Instances!C272),"max", MAX(Instances!C272:Instances!C272),"diff", MAX(Instances!C272:Instances!C272)-MIN(Instances!C272:Instances!C272))</f>
        <v>0</v>
      </c>
      <c r="D272" s="1" cm="1">
        <f t="array" ref="D272">_xlfn.SWITCH($A$2,"average", AVERAGE(Instances!D272:Instances!D272),"median", MEDIAN(Instances!D272:Instances!D272),"min", MIN(Instances!D272:Instances!D272),"max", MAX(Instances!D272:Instances!D272),"diff", MAX(Instances!D272:Instances!D272)-MIN(Instances!D272:Instances!D272))</f>
        <v>0</v>
      </c>
      <c r="E272" s="1" cm="1">
        <f t="array" ref="E272">_xlfn.SWITCH($A$2,"average", AVERAGE(Instances!E272:Instances!E272),"median", MEDIAN(Instances!E272:Instances!E272),"min", MIN(Instances!E272:Instances!E272),"max", MAX(Instances!E272:Instances!E272),"diff", MAX(Instances!E272:Instances!E272)-MIN(Instances!E272:Instances!E272))</f>
        <v>0</v>
      </c>
      <c r="F272" s="1" cm="1">
        <f t="array" ref="F272">_xlfn.SWITCH($A$2,"average", AVERAGE(Instances!F272:Instances!F272),"median", MEDIAN(Instances!F272:Instances!F272),"min", MIN(Instances!F272:Instances!F272),"max", MAX(Instances!F272:Instances!F272),"diff", MAX(Instances!F272:Instances!F272)-MIN(Instances!F272:Instances!F272))</f>
        <v>0</v>
      </c>
      <c r="G272" s="1" cm="1">
        <f t="array" ref="G272">_xlfn.SWITCH($A$2,"average", AVERAGE(Instances!G272:Instances!G272),"median", MEDIAN(Instances!G272:Instances!G272),"min", MIN(Instances!G272:Instances!G272),"max", MAX(Instances!G272:Instances!G272),"diff", MAX(Instances!G272:Instances!G272)-MIN(Instances!G272:Instances!G272))</f>
        <v>0</v>
      </c>
      <c r="H272" s="1" cm="1">
        <f t="array" ref="H272">_xlfn.SWITCH($A$2,"average", AVERAGE(Instances!H272:Instances!H272),"median", MEDIAN(Instances!H272:Instances!H272),"min", MIN(Instances!H272:Instances!H272),"max", MAX(Instances!H272:Instances!H272),"diff", MAX(Instances!H272:Instances!H272)-MIN(Instances!H272:Instances!H272))</f>
        <v>0</v>
      </c>
      <c r="I272" s="1" cm="1">
        <f t="array" ref="I272">_xlfn.SWITCH($A$2,"average", AVERAGE(Instances!I272:Instances!I272),"median", MEDIAN(Instances!I272:Instances!I272),"min", MIN(Instances!I272:Instances!I272),"max", MAX(Instances!I272:Instances!I272),"diff", MAX(Instances!I272:Instances!I272)-MIN(Instances!I272:Instances!I272))</f>
        <v>0</v>
      </c>
      <c r="J272" s="1" cm="1">
        <f t="array" ref="J272">_xlfn.SWITCH($A$2,"average", AVERAGE(Instances!J272:Instances!J272),"median", MEDIAN(Instances!J272:Instances!J272),"min", MIN(Instances!J272:Instances!J272),"max", MAX(Instances!J272:Instances!J272),"diff", MAX(Instances!J272:Instances!J272)-MIN(Instances!J272:Instances!J272))</f>
        <v>0</v>
      </c>
      <c r="K272" s="1" cm="1">
        <f t="array" ref="K272">_xlfn.SWITCH($A$2,"average", AVERAGE(Instances!K272:Instances!K272),"median", MEDIAN(Instances!K272:Instances!K272),"min", MIN(Instances!K272:Instances!K272),"max", MAX(Instances!K272:Instances!K272),"diff", MAX(Instances!K272:Instances!K272)-MIN(Instances!K272:Instances!K272))</f>
        <v>0</v>
      </c>
      <c r="L272" s="1"/>
      <c r="M272" s="1" cm="1">
        <f t="array" ref="M272">_xlfn.SWITCH($A$2,"average", AVERAGE(Instances!M272:Instances!M272),"median", MEDIAN(Instances!M272:Instances!M272),"min", MIN(Instances!M272:Instances!M272),"max", MAX(Instances!M272:Instances!M272),"diff", MAX(Instances!M272:Instances!M272)-MIN(Instances!M272:Instances!M272))</f>
        <v>0</v>
      </c>
      <c r="N272" s="1" cm="1">
        <f t="array" ref="N272">_xlfn.SWITCH($A$2,"average", AVERAGE(Instances!N272:Instances!N272),"median", MEDIAN(Instances!N272:Instances!N272),"min", MIN(Instances!N272:Instances!N272),"max", MAX(Instances!N272:Instances!N272),"diff", MAX(Instances!N272:Instances!N272)-MIN(Instances!N272:Instances!N272))</f>
        <v>0</v>
      </c>
      <c r="O272" s="1"/>
      <c r="P272" s="1" cm="1">
        <f t="array" ref="P272">_xlfn.SWITCH($A$2,"average", AVERAGE(Instances!P272:Instances!P272),"median", MEDIAN(Instances!P272:Instances!P272),"min", MIN(Instances!P272:Instances!P272),"max", MAX(Instances!P272:Instances!P272),"diff", MAX(Instances!P272:Instances!P272)-MIN(Instances!P272:Instances!P272))</f>
        <v>0</v>
      </c>
      <c r="Q272" s="1" cm="1">
        <f t="array" ref="Q272">_xlfn.SWITCH($A$2,"average", AVERAGE(Instances!Q272:Instances!Q272),"median", MEDIAN(Instances!Q272:Instances!Q272),"min", MIN(Instances!Q272:Instances!Q272),"max", MAX(Instances!Q272:Instances!Q272),"diff", MAX(Instances!Q272:Instances!Q272)-MIN(Instances!Q272:Instances!Q272))</f>
        <v>0</v>
      </c>
      <c r="R272" s="1" cm="1">
        <f t="array" ref="R272">_xlfn.SWITCH($A$2,"average", AVERAGE(Instances!R272:Instances!R272),"median", MEDIAN(Instances!R272:Instances!R272),"min", MIN(Instances!R272:Instances!R272),"max", MAX(Instances!R272:Instances!R272),"diff", MAX(Instances!R272:Instances!R272)-MIN(Instances!R272:Instances!R272))</f>
        <v>0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 cm="1">
        <f t="array" ref="B273">_xlfn.SWITCH($A$2,"average", AVERAGE(Instances!B273:Instances!B273),"median", MEDIAN(Instances!B273:Instances!B273),"min", MIN(Instances!B273:Instances!B273),"max", MAX(Instances!B273:Instances!B273),"diff", MAX(Instances!B273:Instances!B273)-MIN(Instances!B273:Instances!B273))</f>
        <v>0</v>
      </c>
      <c r="C273" s="1" cm="1">
        <f t="array" ref="C273">_xlfn.SWITCH($A$2,"average", AVERAGE(Instances!C273:Instances!C273),"median", MEDIAN(Instances!C273:Instances!C273),"min", MIN(Instances!C273:Instances!C273),"max", MAX(Instances!C273:Instances!C273),"diff", MAX(Instances!C273:Instances!C273)-MIN(Instances!C273:Instances!C273))</f>
        <v>0</v>
      </c>
      <c r="D273" s="1" cm="1">
        <f t="array" ref="D273">_xlfn.SWITCH($A$2,"average", AVERAGE(Instances!D273:Instances!D273),"median", MEDIAN(Instances!D273:Instances!D273),"min", MIN(Instances!D273:Instances!D273),"max", MAX(Instances!D273:Instances!D273),"diff", MAX(Instances!D273:Instances!D273)-MIN(Instances!D273:Instances!D273))</f>
        <v>0</v>
      </c>
      <c r="E273" s="1" cm="1">
        <f t="array" ref="E273">_xlfn.SWITCH($A$2,"average", AVERAGE(Instances!E273:Instances!E273),"median", MEDIAN(Instances!E273:Instances!E273),"min", MIN(Instances!E273:Instances!E273),"max", MAX(Instances!E273:Instances!E273),"diff", MAX(Instances!E273:Instances!E273)-MIN(Instances!E273:Instances!E273))</f>
        <v>0</v>
      </c>
      <c r="F273" s="1" cm="1">
        <f t="array" ref="F273">_xlfn.SWITCH($A$2,"average", AVERAGE(Instances!F273:Instances!F273),"median", MEDIAN(Instances!F273:Instances!F273),"min", MIN(Instances!F273:Instances!F273),"max", MAX(Instances!F273:Instances!F273),"diff", MAX(Instances!F273:Instances!F273)-MIN(Instances!F273:Instances!F273))</f>
        <v>0</v>
      </c>
      <c r="G273" s="1" cm="1">
        <f t="array" ref="G273">_xlfn.SWITCH($A$2,"average", AVERAGE(Instances!G273:Instances!G273),"median", MEDIAN(Instances!G273:Instances!G273),"min", MIN(Instances!G273:Instances!G273),"max", MAX(Instances!G273:Instances!G273),"diff", MAX(Instances!G273:Instances!G273)-MIN(Instances!G273:Instances!G273))</f>
        <v>0</v>
      </c>
      <c r="H273" s="1" cm="1">
        <f t="array" ref="H273">_xlfn.SWITCH($A$2,"average", AVERAGE(Instances!H273:Instances!H273),"median", MEDIAN(Instances!H273:Instances!H273),"min", MIN(Instances!H273:Instances!H273),"max", MAX(Instances!H273:Instances!H273),"diff", MAX(Instances!H273:Instances!H273)-MIN(Instances!H273:Instances!H273))</f>
        <v>0</v>
      </c>
      <c r="I273" s="1" cm="1">
        <f t="array" ref="I273">_xlfn.SWITCH($A$2,"average", AVERAGE(Instances!I273:Instances!I273),"median", MEDIAN(Instances!I273:Instances!I273),"min", MIN(Instances!I273:Instances!I273),"max", MAX(Instances!I273:Instances!I273),"diff", MAX(Instances!I273:Instances!I273)-MIN(Instances!I273:Instances!I273))</f>
        <v>0</v>
      </c>
      <c r="J273" s="1" cm="1">
        <f t="array" ref="J273">_xlfn.SWITCH($A$2,"average", AVERAGE(Instances!J273:Instances!J273),"median", MEDIAN(Instances!J273:Instances!J273),"min", MIN(Instances!J273:Instances!J273),"max", MAX(Instances!J273:Instances!J273),"diff", MAX(Instances!J273:Instances!J273)-MIN(Instances!J273:Instances!J273))</f>
        <v>0</v>
      </c>
      <c r="K273" s="1" cm="1">
        <f t="array" ref="K273">_xlfn.SWITCH($A$2,"average", AVERAGE(Instances!K273:Instances!K273),"median", MEDIAN(Instances!K273:Instances!K273),"min", MIN(Instances!K273:Instances!K273),"max", MAX(Instances!K273:Instances!K273),"diff", MAX(Instances!K273:Instances!K273)-MIN(Instances!K273:Instances!K273))</f>
        <v>0</v>
      </c>
      <c r="L273" s="1"/>
      <c r="M273" s="1" cm="1">
        <f t="array" ref="M273">_xlfn.SWITCH($A$2,"average", AVERAGE(Instances!M273:Instances!M273),"median", MEDIAN(Instances!M273:Instances!M273),"min", MIN(Instances!M273:Instances!M273),"max", MAX(Instances!M273:Instances!M273),"diff", MAX(Instances!M273:Instances!M273)-MIN(Instances!M273:Instances!M273))</f>
        <v>0</v>
      </c>
      <c r="N273" s="1" cm="1">
        <f t="array" ref="N273">_xlfn.SWITCH($A$2,"average", AVERAGE(Instances!N273:Instances!N273),"median", MEDIAN(Instances!N273:Instances!N273),"min", MIN(Instances!N273:Instances!N273),"max", MAX(Instances!N273:Instances!N273),"diff", MAX(Instances!N273:Instances!N273)-MIN(Instances!N273:Instances!N273))</f>
        <v>0</v>
      </c>
      <c r="O273" s="1"/>
      <c r="P273" s="1" cm="1">
        <f t="array" ref="P273">_xlfn.SWITCH($A$2,"average", AVERAGE(Instances!P273:Instances!P273),"median", MEDIAN(Instances!P273:Instances!P273),"min", MIN(Instances!P273:Instances!P273),"max", MAX(Instances!P273:Instances!P273),"diff", MAX(Instances!P273:Instances!P273)-MIN(Instances!P273:Instances!P273))</f>
        <v>0</v>
      </c>
      <c r="Q273" s="1" cm="1">
        <f t="array" ref="Q273">_xlfn.SWITCH($A$2,"average", AVERAGE(Instances!Q273:Instances!Q273),"median", MEDIAN(Instances!Q273:Instances!Q273),"min", MIN(Instances!Q273:Instances!Q273),"max", MAX(Instances!Q273:Instances!Q273),"diff", MAX(Instances!Q273:Instances!Q273)-MIN(Instances!Q273:Instances!Q273))</f>
        <v>0</v>
      </c>
      <c r="R273" s="1" cm="1">
        <f t="array" ref="R273">_xlfn.SWITCH($A$2,"average", AVERAGE(Instances!R273:Instances!R273),"median", MEDIAN(Instances!R273:Instances!R273),"min", MIN(Instances!R273:Instances!R273),"max", MAX(Instances!R273:Instances!R273),"diff", MAX(Instances!R273:Instances!R273)-MIN(Instances!R273:Instances!R273))</f>
        <v>0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 cm="1">
        <f t="array" ref="B274">_xlfn.SWITCH($A$2,"average", AVERAGE(Instances!B274:Instances!B274),"median", MEDIAN(Instances!B274:Instances!B274),"min", MIN(Instances!B274:Instances!B274),"max", MAX(Instances!B274:Instances!B274),"diff", MAX(Instances!B274:Instances!B274)-MIN(Instances!B274:Instances!B274))</f>
        <v>0</v>
      </c>
      <c r="C274" s="1" cm="1">
        <f t="array" ref="C274">_xlfn.SWITCH($A$2,"average", AVERAGE(Instances!C274:Instances!C274),"median", MEDIAN(Instances!C274:Instances!C274),"min", MIN(Instances!C274:Instances!C274),"max", MAX(Instances!C274:Instances!C274),"diff", MAX(Instances!C274:Instances!C274)-MIN(Instances!C274:Instances!C274))</f>
        <v>0</v>
      </c>
      <c r="D274" s="1" cm="1">
        <f t="array" ref="D274">_xlfn.SWITCH($A$2,"average", AVERAGE(Instances!D274:Instances!D274),"median", MEDIAN(Instances!D274:Instances!D274),"min", MIN(Instances!D274:Instances!D274),"max", MAX(Instances!D274:Instances!D274),"diff", MAX(Instances!D274:Instances!D274)-MIN(Instances!D274:Instances!D274))</f>
        <v>0</v>
      </c>
      <c r="E274" s="1" cm="1">
        <f t="array" ref="E274">_xlfn.SWITCH($A$2,"average", AVERAGE(Instances!E274:Instances!E274),"median", MEDIAN(Instances!E274:Instances!E274),"min", MIN(Instances!E274:Instances!E274),"max", MAX(Instances!E274:Instances!E274),"diff", MAX(Instances!E274:Instances!E274)-MIN(Instances!E274:Instances!E274))</f>
        <v>0</v>
      </c>
      <c r="F274" s="1" cm="1">
        <f t="array" ref="F274">_xlfn.SWITCH($A$2,"average", AVERAGE(Instances!F274:Instances!F274),"median", MEDIAN(Instances!F274:Instances!F274),"min", MIN(Instances!F274:Instances!F274),"max", MAX(Instances!F274:Instances!F274),"diff", MAX(Instances!F274:Instances!F274)-MIN(Instances!F274:Instances!F274))</f>
        <v>0</v>
      </c>
      <c r="G274" s="1" cm="1">
        <f t="array" ref="G274">_xlfn.SWITCH($A$2,"average", AVERAGE(Instances!G274:Instances!G274),"median", MEDIAN(Instances!G274:Instances!G274),"min", MIN(Instances!G274:Instances!G274),"max", MAX(Instances!G274:Instances!G274),"diff", MAX(Instances!G274:Instances!G274)-MIN(Instances!G274:Instances!G274))</f>
        <v>0</v>
      </c>
      <c r="H274" s="1" cm="1">
        <f t="array" ref="H274">_xlfn.SWITCH($A$2,"average", AVERAGE(Instances!H274:Instances!H274),"median", MEDIAN(Instances!H274:Instances!H274),"min", MIN(Instances!H274:Instances!H274),"max", MAX(Instances!H274:Instances!H274),"diff", MAX(Instances!H274:Instances!H274)-MIN(Instances!H274:Instances!H274))</f>
        <v>0</v>
      </c>
      <c r="I274" s="1" cm="1">
        <f t="array" ref="I274">_xlfn.SWITCH($A$2,"average", AVERAGE(Instances!I274:Instances!I274),"median", MEDIAN(Instances!I274:Instances!I274),"min", MIN(Instances!I274:Instances!I274),"max", MAX(Instances!I274:Instances!I274),"diff", MAX(Instances!I274:Instances!I274)-MIN(Instances!I274:Instances!I274))</f>
        <v>0</v>
      </c>
      <c r="J274" s="1" cm="1">
        <f t="array" ref="J274">_xlfn.SWITCH($A$2,"average", AVERAGE(Instances!J274:Instances!J274),"median", MEDIAN(Instances!J274:Instances!J274),"min", MIN(Instances!J274:Instances!J274),"max", MAX(Instances!J274:Instances!J274),"diff", MAX(Instances!J274:Instances!J274)-MIN(Instances!J274:Instances!J274))</f>
        <v>0</v>
      </c>
      <c r="K274" s="1" cm="1">
        <f t="array" ref="K274">_xlfn.SWITCH($A$2,"average", AVERAGE(Instances!K274:Instances!K274),"median", MEDIAN(Instances!K274:Instances!K274),"min", MIN(Instances!K274:Instances!K274),"max", MAX(Instances!K274:Instances!K274),"diff", MAX(Instances!K274:Instances!K274)-MIN(Instances!K274:Instances!K274))</f>
        <v>0</v>
      </c>
      <c r="L274" s="1"/>
      <c r="M274" s="1" cm="1">
        <f t="array" ref="M274">_xlfn.SWITCH($A$2,"average", AVERAGE(Instances!M274:Instances!M274),"median", MEDIAN(Instances!M274:Instances!M274),"min", MIN(Instances!M274:Instances!M274),"max", MAX(Instances!M274:Instances!M274),"diff", MAX(Instances!M274:Instances!M274)-MIN(Instances!M274:Instances!M274))</f>
        <v>0</v>
      </c>
      <c r="N274" s="1" cm="1">
        <f t="array" ref="N274">_xlfn.SWITCH($A$2,"average", AVERAGE(Instances!N274:Instances!N274),"median", MEDIAN(Instances!N274:Instances!N274),"min", MIN(Instances!N274:Instances!N274),"max", MAX(Instances!N274:Instances!N274),"diff", MAX(Instances!N274:Instances!N274)-MIN(Instances!N274:Instances!N274))</f>
        <v>0</v>
      </c>
      <c r="O274" s="1"/>
      <c r="P274" s="1" cm="1">
        <f t="array" ref="P274">_xlfn.SWITCH($A$2,"average", AVERAGE(Instances!P274:Instances!P274),"median", MEDIAN(Instances!P274:Instances!P274),"min", MIN(Instances!P274:Instances!P274),"max", MAX(Instances!P274:Instances!P274),"diff", MAX(Instances!P274:Instances!P274)-MIN(Instances!P274:Instances!P274))</f>
        <v>0</v>
      </c>
      <c r="Q274" s="1" cm="1">
        <f t="array" ref="Q274">_xlfn.SWITCH($A$2,"average", AVERAGE(Instances!Q274:Instances!Q274),"median", MEDIAN(Instances!Q274:Instances!Q274),"min", MIN(Instances!Q274:Instances!Q274),"max", MAX(Instances!Q274:Instances!Q274),"diff", MAX(Instances!Q274:Instances!Q274)-MIN(Instances!Q274:Instances!Q274))</f>
        <v>0</v>
      </c>
      <c r="R274" s="1" cm="1">
        <f t="array" ref="R274">_xlfn.SWITCH($A$2,"average", AVERAGE(Instances!R274:Instances!R274),"median", MEDIAN(Instances!R274:Instances!R274),"min", MIN(Instances!R274:Instances!R274),"max", MAX(Instances!R274:Instances!R274),"diff", MAX(Instances!R274:Instances!R274)-MIN(Instances!R274:Instances!R274))</f>
        <v>0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 cm="1">
        <f t="array" ref="B275">_xlfn.SWITCH($A$2,"average", AVERAGE(Instances!B275:Instances!B275),"median", MEDIAN(Instances!B275:Instances!B275),"min", MIN(Instances!B275:Instances!B275),"max", MAX(Instances!B275:Instances!B275),"diff", MAX(Instances!B275:Instances!B275)-MIN(Instances!B275:Instances!B275))</f>
        <v>0</v>
      </c>
      <c r="C275" s="1" cm="1">
        <f t="array" ref="C275">_xlfn.SWITCH($A$2,"average", AVERAGE(Instances!C275:Instances!C275),"median", MEDIAN(Instances!C275:Instances!C275),"min", MIN(Instances!C275:Instances!C275),"max", MAX(Instances!C275:Instances!C275),"diff", MAX(Instances!C275:Instances!C275)-MIN(Instances!C275:Instances!C275))</f>
        <v>0</v>
      </c>
      <c r="D275" s="1" cm="1">
        <f t="array" ref="D275">_xlfn.SWITCH($A$2,"average", AVERAGE(Instances!D275:Instances!D275),"median", MEDIAN(Instances!D275:Instances!D275),"min", MIN(Instances!D275:Instances!D275),"max", MAX(Instances!D275:Instances!D275),"diff", MAX(Instances!D275:Instances!D275)-MIN(Instances!D275:Instances!D275))</f>
        <v>0</v>
      </c>
      <c r="E275" s="1" cm="1">
        <f t="array" ref="E275">_xlfn.SWITCH($A$2,"average", AVERAGE(Instances!E275:Instances!E275),"median", MEDIAN(Instances!E275:Instances!E275),"min", MIN(Instances!E275:Instances!E275),"max", MAX(Instances!E275:Instances!E275),"diff", MAX(Instances!E275:Instances!E275)-MIN(Instances!E275:Instances!E275))</f>
        <v>0</v>
      </c>
      <c r="F275" s="1" cm="1">
        <f t="array" ref="F275">_xlfn.SWITCH($A$2,"average", AVERAGE(Instances!F275:Instances!F275),"median", MEDIAN(Instances!F275:Instances!F275),"min", MIN(Instances!F275:Instances!F275),"max", MAX(Instances!F275:Instances!F275),"diff", MAX(Instances!F275:Instances!F275)-MIN(Instances!F275:Instances!F275))</f>
        <v>0</v>
      </c>
      <c r="G275" s="1" cm="1">
        <f t="array" ref="G275">_xlfn.SWITCH($A$2,"average", AVERAGE(Instances!G275:Instances!G275),"median", MEDIAN(Instances!G275:Instances!G275),"min", MIN(Instances!G275:Instances!G275),"max", MAX(Instances!G275:Instances!G275),"diff", MAX(Instances!G275:Instances!G275)-MIN(Instances!G275:Instances!G275))</f>
        <v>0</v>
      </c>
      <c r="H275" s="1" cm="1">
        <f t="array" ref="H275">_xlfn.SWITCH($A$2,"average", AVERAGE(Instances!H275:Instances!H275),"median", MEDIAN(Instances!H275:Instances!H275),"min", MIN(Instances!H275:Instances!H275),"max", MAX(Instances!H275:Instances!H275),"diff", MAX(Instances!H275:Instances!H275)-MIN(Instances!H275:Instances!H275))</f>
        <v>0</v>
      </c>
      <c r="I275" s="1" cm="1">
        <f t="array" ref="I275">_xlfn.SWITCH($A$2,"average", AVERAGE(Instances!I275:Instances!I275),"median", MEDIAN(Instances!I275:Instances!I275),"min", MIN(Instances!I275:Instances!I275),"max", MAX(Instances!I275:Instances!I275),"diff", MAX(Instances!I275:Instances!I275)-MIN(Instances!I275:Instances!I275))</f>
        <v>0</v>
      </c>
      <c r="J275" s="1" cm="1">
        <f t="array" ref="J275">_xlfn.SWITCH($A$2,"average", AVERAGE(Instances!J275:Instances!J275),"median", MEDIAN(Instances!J275:Instances!J275),"min", MIN(Instances!J275:Instances!J275),"max", MAX(Instances!J275:Instances!J275),"diff", MAX(Instances!J275:Instances!J275)-MIN(Instances!J275:Instances!J275))</f>
        <v>0</v>
      </c>
      <c r="K275" s="1" cm="1">
        <f t="array" ref="K275">_xlfn.SWITCH($A$2,"average", AVERAGE(Instances!K275:Instances!K275),"median", MEDIAN(Instances!K275:Instances!K275),"min", MIN(Instances!K275:Instances!K275),"max", MAX(Instances!K275:Instances!K275),"diff", MAX(Instances!K275:Instances!K275)-MIN(Instances!K275:Instances!K275))</f>
        <v>0</v>
      </c>
      <c r="L275" s="1"/>
      <c r="M275" s="1" cm="1">
        <f t="array" ref="M275">_xlfn.SWITCH($A$2,"average", AVERAGE(Instances!M275:Instances!M275),"median", MEDIAN(Instances!M275:Instances!M275),"min", MIN(Instances!M275:Instances!M275),"max", MAX(Instances!M275:Instances!M275),"diff", MAX(Instances!M275:Instances!M275)-MIN(Instances!M275:Instances!M275))</f>
        <v>0</v>
      </c>
      <c r="N275" s="1" cm="1">
        <f t="array" ref="N275">_xlfn.SWITCH($A$2,"average", AVERAGE(Instances!N275:Instances!N275),"median", MEDIAN(Instances!N275:Instances!N275),"min", MIN(Instances!N275:Instances!N275),"max", MAX(Instances!N275:Instances!N275),"diff", MAX(Instances!N275:Instances!N275)-MIN(Instances!N275:Instances!N275))</f>
        <v>0</v>
      </c>
      <c r="O275" s="1"/>
      <c r="P275" s="1" cm="1">
        <f t="array" ref="P275">_xlfn.SWITCH($A$2,"average", AVERAGE(Instances!P275:Instances!P275),"median", MEDIAN(Instances!P275:Instances!P275),"min", MIN(Instances!P275:Instances!P275),"max", MAX(Instances!P275:Instances!P275),"diff", MAX(Instances!P275:Instances!P275)-MIN(Instances!P275:Instances!P275))</f>
        <v>0</v>
      </c>
      <c r="Q275" s="1" cm="1">
        <f t="array" ref="Q275">_xlfn.SWITCH($A$2,"average", AVERAGE(Instances!Q275:Instances!Q275),"median", MEDIAN(Instances!Q275:Instances!Q275),"min", MIN(Instances!Q275:Instances!Q275),"max", MAX(Instances!Q275:Instances!Q275),"diff", MAX(Instances!Q275:Instances!Q275)-MIN(Instances!Q275:Instances!Q275))</f>
        <v>0</v>
      </c>
      <c r="R275" s="1" cm="1">
        <f t="array" ref="R275">_xlfn.SWITCH($A$2,"average", AVERAGE(Instances!R275:Instances!R275),"median", MEDIAN(Instances!R275:Instances!R275),"min", MIN(Instances!R275:Instances!R275),"max", MAX(Instances!R275:Instances!R275),"diff", MAX(Instances!R275:Instances!R275)-MIN(Instances!R275:Instances!R275))</f>
        <v>0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 cm="1">
        <f t="array" ref="B276">_xlfn.SWITCH($A$2,"average", AVERAGE(Instances!B276:Instances!B276),"median", MEDIAN(Instances!B276:Instances!B276),"min", MIN(Instances!B276:Instances!B276),"max", MAX(Instances!B276:Instances!B276),"diff", MAX(Instances!B276:Instances!B276)-MIN(Instances!B276:Instances!B276))</f>
        <v>0</v>
      </c>
      <c r="C276" s="1" cm="1">
        <f t="array" ref="C276">_xlfn.SWITCH($A$2,"average", AVERAGE(Instances!C276:Instances!C276),"median", MEDIAN(Instances!C276:Instances!C276),"min", MIN(Instances!C276:Instances!C276),"max", MAX(Instances!C276:Instances!C276),"diff", MAX(Instances!C276:Instances!C276)-MIN(Instances!C276:Instances!C276))</f>
        <v>0</v>
      </c>
      <c r="D276" s="1" cm="1">
        <f t="array" ref="D276">_xlfn.SWITCH($A$2,"average", AVERAGE(Instances!D276:Instances!D276),"median", MEDIAN(Instances!D276:Instances!D276),"min", MIN(Instances!D276:Instances!D276),"max", MAX(Instances!D276:Instances!D276),"diff", MAX(Instances!D276:Instances!D276)-MIN(Instances!D276:Instances!D276))</f>
        <v>0</v>
      </c>
      <c r="E276" s="1" cm="1">
        <f t="array" ref="E276">_xlfn.SWITCH($A$2,"average", AVERAGE(Instances!E276:Instances!E276),"median", MEDIAN(Instances!E276:Instances!E276),"min", MIN(Instances!E276:Instances!E276),"max", MAX(Instances!E276:Instances!E276),"diff", MAX(Instances!E276:Instances!E276)-MIN(Instances!E276:Instances!E276))</f>
        <v>0</v>
      </c>
      <c r="F276" s="1" cm="1">
        <f t="array" ref="F276">_xlfn.SWITCH($A$2,"average", AVERAGE(Instances!F276:Instances!F276),"median", MEDIAN(Instances!F276:Instances!F276),"min", MIN(Instances!F276:Instances!F276),"max", MAX(Instances!F276:Instances!F276),"diff", MAX(Instances!F276:Instances!F276)-MIN(Instances!F276:Instances!F276))</f>
        <v>0</v>
      </c>
      <c r="G276" s="1" cm="1">
        <f t="array" ref="G276">_xlfn.SWITCH($A$2,"average", AVERAGE(Instances!G276:Instances!G276),"median", MEDIAN(Instances!G276:Instances!G276),"min", MIN(Instances!G276:Instances!G276),"max", MAX(Instances!G276:Instances!G276),"diff", MAX(Instances!G276:Instances!G276)-MIN(Instances!G276:Instances!G276))</f>
        <v>0</v>
      </c>
      <c r="H276" s="1" cm="1">
        <f t="array" ref="H276">_xlfn.SWITCH($A$2,"average", AVERAGE(Instances!H276:Instances!H276),"median", MEDIAN(Instances!H276:Instances!H276),"min", MIN(Instances!H276:Instances!H276),"max", MAX(Instances!H276:Instances!H276),"diff", MAX(Instances!H276:Instances!H276)-MIN(Instances!H276:Instances!H276))</f>
        <v>0</v>
      </c>
      <c r="I276" s="1" cm="1">
        <f t="array" ref="I276">_xlfn.SWITCH($A$2,"average", AVERAGE(Instances!I276:Instances!I276),"median", MEDIAN(Instances!I276:Instances!I276),"min", MIN(Instances!I276:Instances!I276),"max", MAX(Instances!I276:Instances!I276),"diff", MAX(Instances!I276:Instances!I276)-MIN(Instances!I276:Instances!I276))</f>
        <v>0</v>
      </c>
      <c r="J276" s="1" cm="1">
        <f t="array" ref="J276">_xlfn.SWITCH($A$2,"average", AVERAGE(Instances!J276:Instances!J276),"median", MEDIAN(Instances!J276:Instances!J276),"min", MIN(Instances!J276:Instances!J276),"max", MAX(Instances!J276:Instances!J276),"diff", MAX(Instances!J276:Instances!J276)-MIN(Instances!J276:Instances!J276))</f>
        <v>0</v>
      </c>
      <c r="K276" s="1" cm="1">
        <f t="array" ref="K276">_xlfn.SWITCH($A$2,"average", AVERAGE(Instances!K276:Instances!K276),"median", MEDIAN(Instances!K276:Instances!K276),"min", MIN(Instances!K276:Instances!K276),"max", MAX(Instances!K276:Instances!K276),"diff", MAX(Instances!K276:Instances!K276)-MIN(Instances!K276:Instances!K276))</f>
        <v>0</v>
      </c>
      <c r="L276" s="1"/>
      <c r="M276" s="1" cm="1">
        <f t="array" ref="M276">_xlfn.SWITCH($A$2,"average", AVERAGE(Instances!M276:Instances!M276),"median", MEDIAN(Instances!M276:Instances!M276),"min", MIN(Instances!M276:Instances!M276),"max", MAX(Instances!M276:Instances!M276),"diff", MAX(Instances!M276:Instances!M276)-MIN(Instances!M276:Instances!M276))</f>
        <v>0</v>
      </c>
      <c r="N276" s="1" cm="1">
        <f t="array" ref="N276">_xlfn.SWITCH($A$2,"average", AVERAGE(Instances!N276:Instances!N276),"median", MEDIAN(Instances!N276:Instances!N276),"min", MIN(Instances!N276:Instances!N276),"max", MAX(Instances!N276:Instances!N276),"diff", MAX(Instances!N276:Instances!N276)-MIN(Instances!N276:Instances!N276))</f>
        <v>0</v>
      </c>
      <c r="O276" s="1"/>
      <c r="P276" s="1" cm="1">
        <f t="array" ref="P276">_xlfn.SWITCH($A$2,"average", AVERAGE(Instances!P276:Instances!P276),"median", MEDIAN(Instances!P276:Instances!P276),"min", MIN(Instances!P276:Instances!P276),"max", MAX(Instances!P276:Instances!P276),"diff", MAX(Instances!P276:Instances!P276)-MIN(Instances!P276:Instances!P276))</f>
        <v>0</v>
      </c>
      <c r="Q276" s="1" cm="1">
        <f t="array" ref="Q276">_xlfn.SWITCH($A$2,"average", AVERAGE(Instances!Q276:Instances!Q276),"median", MEDIAN(Instances!Q276:Instances!Q276),"min", MIN(Instances!Q276:Instances!Q276),"max", MAX(Instances!Q276:Instances!Q276),"diff", MAX(Instances!Q276:Instances!Q276)-MIN(Instances!Q276:Instances!Q276))</f>
        <v>0</v>
      </c>
      <c r="R276" s="1" cm="1">
        <f t="array" ref="R276">_xlfn.SWITCH($A$2,"average", AVERAGE(Instances!R276:Instances!R276),"median", MEDIAN(Instances!R276:Instances!R276),"min", MIN(Instances!R276:Instances!R276),"max", MAX(Instances!R276:Instances!R276),"diff", MAX(Instances!R276:Instances!R276)-MIN(Instances!R276:Instances!R276))</f>
        <v>0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 cm="1">
        <f t="array" ref="B277">_xlfn.SWITCH($A$2,"average", AVERAGE(Instances!B277:Instances!B277),"median", MEDIAN(Instances!B277:Instances!B277),"min", MIN(Instances!B277:Instances!B277),"max", MAX(Instances!B277:Instances!B277),"diff", MAX(Instances!B277:Instances!B277)-MIN(Instances!B277:Instances!B277))</f>
        <v>0</v>
      </c>
      <c r="C277" s="1" cm="1">
        <f t="array" ref="C277">_xlfn.SWITCH($A$2,"average", AVERAGE(Instances!C277:Instances!C277),"median", MEDIAN(Instances!C277:Instances!C277),"min", MIN(Instances!C277:Instances!C277),"max", MAX(Instances!C277:Instances!C277),"diff", MAX(Instances!C277:Instances!C277)-MIN(Instances!C277:Instances!C277))</f>
        <v>0</v>
      </c>
      <c r="D277" s="1" cm="1">
        <f t="array" ref="D277">_xlfn.SWITCH($A$2,"average", AVERAGE(Instances!D277:Instances!D277),"median", MEDIAN(Instances!D277:Instances!D277),"min", MIN(Instances!D277:Instances!D277),"max", MAX(Instances!D277:Instances!D277),"diff", MAX(Instances!D277:Instances!D277)-MIN(Instances!D277:Instances!D277))</f>
        <v>0</v>
      </c>
      <c r="E277" s="1" cm="1">
        <f t="array" ref="E277">_xlfn.SWITCH($A$2,"average", AVERAGE(Instances!E277:Instances!E277),"median", MEDIAN(Instances!E277:Instances!E277),"min", MIN(Instances!E277:Instances!E277),"max", MAX(Instances!E277:Instances!E277),"diff", MAX(Instances!E277:Instances!E277)-MIN(Instances!E277:Instances!E277))</f>
        <v>0</v>
      </c>
      <c r="F277" s="1" cm="1">
        <f t="array" ref="F277">_xlfn.SWITCH($A$2,"average", AVERAGE(Instances!F277:Instances!F277),"median", MEDIAN(Instances!F277:Instances!F277),"min", MIN(Instances!F277:Instances!F277),"max", MAX(Instances!F277:Instances!F277),"diff", MAX(Instances!F277:Instances!F277)-MIN(Instances!F277:Instances!F277))</f>
        <v>0</v>
      </c>
      <c r="G277" s="1" cm="1">
        <f t="array" ref="G277">_xlfn.SWITCH($A$2,"average", AVERAGE(Instances!G277:Instances!G277),"median", MEDIAN(Instances!G277:Instances!G277),"min", MIN(Instances!G277:Instances!G277),"max", MAX(Instances!G277:Instances!G277),"diff", MAX(Instances!G277:Instances!G277)-MIN(Instances!G277:Instances!G277))</f>
        <v>0</v>
      </c>
      <c r="H277" s="1" cm="1">
        <f t="array" ref="H277">_xlfn.SWITCH($A$2,"average", AVERAGE(Instances!H277:Instances!H277),"median", MEDIAN(Instances!H277:Instances!H277),"min", MIN(Instances!H277:Instances!H277),"max", MAX(Instances!H277:Instances!H277),"diff", MAX(Instances!H277:Instances!H277)-MIN(Instances!H277:Instances!H277))</f>
        <v>0</v>
      </c>
      <c r="I277" s="1" cm="1">
        <f t="array" ref="I277">_xlfn.SWITCH($A$2,"average", AVERAGE(Instances!I277:Instances!I277),"median", MEDIAN(Instances!I277:Instances!I277),"min", MIN(Instances!I277:Instances!I277),"max", MAX(Instances!I277:Instances!I277),"diff", MAX(Instances!I277:Instances!I277)-MIN(Instances!I277:Instances!I277))</f>
        <v>0</v>
      </c>
      <c r="J277" s="1" cm="1">
        <f t="array" ref="J277">_xlfn.SWITCH($A$2,"average", AVERAGE(Instances!J277:Instances!J277),"median", MEDIAN(Instances!J277:Instances!J277),"min", MIN(Instances!J277:Instances!J277),"max", MAX(Instances!J277:Instances!J277),"diff", MAX(Instances!J277:Instances!J277)-MIN(Instances!J277:Instances!J277))</f>
        <v>0</v>
      </c>
      <c r="K277" s="1" cm="1">
        <f t="array" ref="K277">_xlfn.SWITCH($A$2,"average", AVERAGE(Instances!K277:Instances!K277),"median", MEDIAN(Instances!K277:Instances!K277),"min", MIN(Instances!K277:Instances!K277),"max", MAX(Instances!K277:Instances!K277),"diff", MAX(Instances!K277:Instances!K277)-MIN(Instances!K277:Instances!K277))</f>
        <v>0</v>
      </c>
      <c r="L277" s="1"/>
      <c r="M277" s="1" cm="1">
        <f t="array" ref="M277">_xlfn.SWITCH($A$2,"average", AVERAGE(Instances!M277:Instances!M277),"median", MEDIAN(Instances!M277:Instances!M277),"min", MIN(Instances!M277:Instances!M277),"max", MAX(Instances!M277:Instances!M277),"diff", MAX(Instances!M277:Instances!M277)-MIN(Instances!M277:Instances!M277))</f>
        <v>0</v>
      </c>
      <c r="N277" s="1" cm="1">
        <f t="array" ref="N277">_xlfn.SWITCH($A$2,"average", AVERAGE(Instances!N277:Instances!N277),"median", MEDIAN(Instances!N277:Instances!N277),"min", MIN(Instances!N277:Instances!N277),"max", MAX(Instances!N277:Instances!N277),"diff", MAX(Instances!N277:Instances!N277)-MIN(Instances!N277:Instances!N277))</f>
        <v>0</v>
      </c>
      <c r="O277" s="1"/>
      <c r="P277" s="1" cm="1">
        <f t="array" ref="P277">_xlfn.SWITCH($A$2,"average", AVERAGE(Instances!P277:Instances!P277),"median", MEDIAN(Instances!P277:Instances!P277),"min", MIN(Instances!P277:Instances!P277),"max", MAX(Instances!P277:Instances!P277),"diff", MAX(Instances!P277:Instances!P277)-MIN(Instances!P277:Instances!P277))</f>
        <v>0</v>
      </c>
      <c r="Q277" s="1" cm="1">
        <f t="array" ref="Q277">_xlfn.SWITCH($A$2,"average", AVERAGE(Instances!Q277:Instances!Q277),"median", MEDIAN(Instances!Q277:Instances!Q277),"min", MIN(Instances!Q277:Instances!Q277),"max", MAX(Instances!Q277:Instances!Q277),"diff", MAX(Instances!Q277:Instances!Q277)-MIN(Instances!Q277:Instances!Q277))</f>
        <v>0</v>
      </c>
      <c r="R277" s="1" cm="1">
        <f t="array" ref="R277">_xlfn.SWITCH($A$2,"average", AVERAGE(Instances!R277:Instances!R277),"median", MEDIAN(Instances!R277:Instances!R277),"min", MIN(Instances!R277:Instances!R277),"max", MAX(Instances!R277:Instances!R277),"diff", MAX(Instances!R277:Instances!R277)-MIN(Instances!R277:Instances!R277))</f>
        <v>0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 cm="1">
        <f t="array" ref="B278">_xlfn.SWITCH($A$2,"average", AVERAGE(Instances!B278:Instances!B278),"median", MEDIAN(Instances!B278:Instances!B278),"min", MIN(Instances!B278:Instances!B278),"max", MAX(Instances!B278:Instances!B278),"diff", MAX(Instances!B278:Instances!B278)-MIN(Instances!B278:Instances!B278))</f>
        <v>0</v>
      </c>
      <c r="C278" s="1" cm="1">
        <f t="array" ref="C278">_xlfn.SWITCH($A$2,"average", AVERAGE(Instances!C278:Instances!C278),"median", MEDIAN(Instances!C278:Instances!C278),"min", MIN(Instances!C278:Instances!C278),"max", MAX(Instances!C278:Instances!C278),"diff", MAX(Instances!C278:Instances!C278)-MIN(Instances!C278:Instances!C278))</f>
        <v>0</v>
      </c>
      <c r="D278" s="1" cm="1">
        <f t="array" ref="D278">_xlfn.SWITCH($A$2,"average", AVERAGE(Instances!D278:Instances!D278),"median", MEDIAN(Instances!D278:Instances!D278),"min", MIN(Instances!D278:Instances!D278),"max", MAX(Instances!D278:Instances!D278),"diff", MAX(Instances!D278:Instances!D278)-MIN(Instances!D278:Instances!D278))</f>
        <v>0</v>
      </c>
      <c r="E278" s="1" cm="1">
        <f t="array" ref="E278">_xlfn.SWITCH($A$2,"average", AVERAGE(Instances!E278:Instances!E278),"median", MEDIAN(Instances!E278:Instances!E278),"min", MIN(Instances!E278:Instances!E278),"max", MAX(Instances!E278:Instances!E278),"diff", MAX(Instances!E278:Instances!E278)-MIN(Instances!E278:Instances!E278))</f>
        <v>0</v>
      </c>
      <c r="F278" s="1" cm="1">
        <f t="array" ref="F278">_xlfn.SWITCH($A$2,"average", AVERAGE(Instances!F278:Instances!F278),"median", MEDIAN(Instances!F278:Instances!F278),"min", MIN(Instances!F278:Instances!F278),"max", MAX(Instances!F278:Instances!F278),"diff", MAX(Instances!F278:Instances!F278)-MIN(Instances!F278:Instances!F278))</f>
        <v>0</v>
      </c>
      <c r="G278" s="1" cm="1">
        <f t="array" ref="G278">_xlfn.SWITCH($A$2,"average", AVERAGE(Instances!G278:Instances!G278),"median", MEDIAN(Instances!G278:Instances!G278),"min", MIN(Instances!G278:Instances!G278),"max", MAX(Instances!G278:Instances!G278),"diff", MAX(Instances!G278:Instances!G278)-MIN(Instances!G278:Instances!G278))</f>
        <v>0</v>
      </c>
      <c r="H278" s="1" cm="1">
        <f t="array" ref="H278">_xlfn.SWITCH($A$2,"average", AVERAGE(Instances!H278:Instances!H278),"median", MEDIAN(Instances!H278:Instances!H278),"min", MIN(Instances!H278:Instances!H278),"max", MAX(Instances!H278:Instances!H278),"diff", MAX(Instances!H278:Instances!H278)-MIN(Instances!H278:Instances!H278))</f>
        <v>0</v>
      </c>
      <c r="I278" s="1" cm="1">
        <f t="array" ref="I278">_xlfn.SWITCH($A$2,"average", AVERAGE(Instances!I278:Instances!I278),"median", MEDIAN(Instances!I278:Instances!I278),"min", MIN(Instances!I278:Instances!I278),"max", MAX(Instances!I278:Instances!I278),"diff", MAX(Instances!I278:Instances!I278)-MIN(Instances!I278:Instances!I278))</f>
        <v>0</v>
      </c>
      <c r="J278" s="1" cm="1">
        <f t="array" ref="J278">_xlfn.SWITCH($A$2,"average", AVERAGE(Instances!J278:Instances!J278),"median", MEDIAN(Instances!J278:Instances!J278),"min", MIN(Instances!J278:Instances!J278),"max", MAX(Instances!J278:Instances!J278),"diff", MAX(Instances!J278:Instances!J278)-MIN(Instances!J278:Instances!J278))</f>
        <v>0</v>
      </c>
      <c r="K278" s="1" cm="1">
        <f t="array" ref="K278">_xlfn.SWITCH($A$2,"average", AVERAGE(Instances!K278:Instances!K278),"median", MEDIAN(Instances!K278:Instances!K278),"min", MIN(Instances!K278:Instances!K278),"max", MAX(Instances!K278:Instances!K278),"diff", MAX(Instances!K278:Instances!K278)-MIN(Instances!K278:Instances!K278))</f>
        <v>0</v>
      </c>
      <c r="L278" s="1"/>
      <c r="M278" s="1" cm="1">
        <f t="array" ref="M278">_xlfn.SWITCH($A$2,"average", AVERAGE(Instances!M278:Instances!M278),"median", MEDIAN(Instances!M278:Instances!M278),"min", MIN(Instances!M278:Instances!M278),"max", MAX(Instances!M278:Instances!M278),"diff", MAX(Instances!M278:Instances!M278)-MIN(Instances!M278:Instances!M278))</f>
        <v>0</v>
      </c>
      <c r="N278" s="1" cm="1">
        <f t="array" ref="N278">_xlfn.SWITCH($A$2,"average", AVERAGE(Instances!N278:Instances!N278),"median", MEDIAN(Instances!N278:Instances!N278),"min", MIN(Instances!N278:Instances!N278),"max", MAX(Instances!N278:Instances!N278),"diff", MAX(Instances!N278:Instances!N278)-MIN(Instances!N278:Instances!N278))</f>
        <v>0</v>
      </c>
      <c r="O278" s="1"/>
      <c r="P278" s="1" cm="1">
        <f t="array" ref="P278">_xlfn.SWITCH($A$2,"average", AVERAGE(Instances!P278:Instances!P278),"median", MEDIAN(Instances!P278:Instances!P278),"min", MIN(Instances!P278:Instances!P278),"max", MAX(Instances!P278:Instances!P278),"diff", MAX(Instances!P278:Instances!P278)-MIN(Instances!P278:Instances!P278))</f>
        <v>0</v>
      </c>
      <c r="Q278" s="1" cm="1">
        <f t="array" ref="Q278">_xlfn.SWITCH($A$2,"average", AVERAGE(Instances!Q278:Instances!Q278),"median", MEDIAN(Instances!Q278:Instances!Q278),"min", MIN(Instances!Q278:Instances!Q278),"max", MAX(Instances!Q278:Instances!Q278),"diff", MAX(Instances!Q278:Instances!Q278)-MIN(Instances!Q278:Instances!Q278))</f>
        <v>0</v>
      </c>
      <c r="R278" s="1" cm="1">
        <f t="array" ref="R278">_xlfn.SWITCH($A$2,"average", AVERAGE(Instances!R278:Instances!R278),"median", MEDIAN(Instances!R278:Instances!R278),"min", MIN(Instances!R278:Instances!R278),"max", MAX(Instances!R278:Instances!R278),"diff", MAX(Instances!R278:Instances!R278)-MIN(Instances!R278:Instances!R278))</f>
        <v>0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 cm="1">
        <f t="array" ref="B279">_xlfn.SWITCH($A$2,"average", AVERAGE(Instances!B279:Instances!B279),"median", MEDIAN(Instances!B279:Instances!B279),"min", MIN(Instances!B279:Instances!B279),"max", MAX(Instances!B279:Instances!B279),"diff", MAX(Instances!B279:Instances!B279)-MIN(Instances!B279:Instances!B279))</f>
        <v>0</v>
      </c>
      <c r="C279" s="1" cm="1">
        <f t="array" ref="C279">_xlfn.SWITCH($A$2,"average", AVERAGE(Instances!C279:Instances!C279),"median", MEDIAN(Instances!C279:Instances!C279),"min", MIN(Instances!C279:Instances!C279),"max", MAX(Instances!C279:Instances!C279),"diff", MAX(Instances!C279:Instances!C279)-MIN(Instances!C279:Instances!C279))</f>
        <v>0</v>
      </c>
      <c r="D279" s="1" cm="1">
        <f t="array" ref="D279">_xlfn.SWITCH($A$2,"average", AVERAGE(Instances!D279:Instances!D279),"median", MEDIAN(Instances!D279:Instances!D279),"min", MIN(Instances!D279:Instances!D279),"max", MAX(Instances!D279:Instances!D279),"diff", MAX(Instances!D279:Instances!D279)-MIN(Instances!D279:Instances!D279))</f>
        <v>0</v>
      </c>
      <c r="E279" s="1" cm="1">
        <f t="array" ref="E279">_xlfn.SWITCH($A$2,"average", AVERAGE(Instances!E279:Instances!E279),"median", MEDIAN(Instances!E279:Instances!E279),"min", MIN(Instances!E279:Instances!E279),"max", MAX(Instances!E279:Instances!E279),"diff", MAX(Instances!E279:Instances!E279)-MIN(Instances!E279:Instances!E279))</f>
        <v>0</v>
      </c>
      <c r="F279" s="1" cm="1">
        <f t="array" ref="F279">_xlfn.SWITCH($A$2,"average", AVERAGE(Instances!F279:Instances!F279),"median", MEDIAN(Instances!F279:Instances!F279),"min", MIN(Instances!F279:Instances!F279),"max", MAX(Instances!F279:Instances!F279),"diff", MAX(Instances!F279:Instances!F279)-MIN(Instances!F279:Instances!F279))</f>
        <v>0</v>
      </c>
      <c r="G279" s="1" cm="1">
        <f t="array" ref="G279">_xlfn.SWITCH($A$2,"average", AVERAGE(Instances!G279:Instances!G279),"median", MEDIAN(Instances!G279:Instances!G279),"min", MIN(Instances!G279:Instances!G279),"max", MAX(Instances!G279:Instances!G279),"diff", MAX(Instances!G279:Instances!G279)-MIN(Instances!G279:Instances!G279))</f>
        <v>0</v>
      </c>
      <c r="H279" s="1" cm="1">
        <f t="array" ref="H279">_xlfn.SWITCH($A$2,"average", AVERAGE(Instances!H279:Instances!H279),"median", MEDIAN(Instances!H279:Instances!H279),"min", MIN(Instances!H279:Instances!H279),"max", MAX(Instances!H279:Instances!H279),"diff", MAX(Instances!H279:Instances!H279)-MIN(Instances!H279:Instances!H279))</f>
        <v>0</v>
      </c>
      <c r="I279" s="1" cm="1">
        <f t="array" ref="I279">_xlfn.SWITCH($A$2,"average", AVERAGE(Instances!I279:Instances!I279),"median", MEDIAN(Instances!I279:Instances!I279),"min", MIN(Instances!I279:Instances!I279),"max", MAX(Instances!I279:Instances!I279),"diff", MAX(Instances!I279:Instances!I279)-MIN(Instances!I279:Instances!I279))</f>
        <v>0</v>
      </c>
      <c r="J279" s="1" cm="1">
        <f t="array" ref="J279">_xlfn.SWITCH($A$2,"average", AVERAGE(Instances!J279:Instances!J279),"median", MEDIAN(Instances!J279:Instances!J279),"min", MIN(Instances!J279:Instances!J279),"max", MAX(Instances!J279:Instances!J279),"diff", MAX(Instances!J279:Instances!J279)-MIN(Instances!J279:Instances!J279))</f>
        <v>0</v>
      </c>
      <c r="K279" s="1" cm="1">
        <f t="array" ref="K279">_xlfn.SWITCH($A$2,"average", AVERAGE(Instances!K279:Instances!K279),"median", MEDIAN(Instances!K279:Instances!K279),"min", MIN(Instances!K279:Instances!K279),"max", MAX(Instances!K279:Instances!K279),"diff", MAX(Instances!K279:Instances!K279)-MIN(Instances!K279:Instances!K279))</f>
        <v>0</v>
      </c>
      <c r="L279" s="1"/>
      <c r="M279" s="1" cm="1">
        <f t="array" ref="M279">_xlfn.SWITCH($A$2,"average", AVERAGE(Instances!M279:Instances!M279),"median", MEDIAN(Instances!M279:Instances!M279),"min", MIN(Instances!M279:Instances!M279),"max", MAX(Instances!M279:Instances!M279),"diff", MAX(Instances!M279:Instances!M279)-MIN(Instances!M279:Instances!M279))</f>
        <v>0</v>
      </c>
      <c r="N279" s="1" cm="1">
        <f t="array" ref="N279">_xlfn.SWITCH($A$2,"average", AVERAGE(Instances!N279:Instances!N279),"median", MEDIAN(Instances!N279:Instances!N279),"min", MIN(Instances!N279:Instances!N279),"max", MAX(Instances!N279:Instances!N279),"diff", MAX(Instances!N279:Instances!N279)-MIN(Instances!N279:Instances!N279))</f>
        <v>0</v>
      </c>
      <c r="O279" s="1"/>
      <c r="P279" s="1" cm="1">
        <f t="array" ref="P279">_xlfn.SWITCH($A$2,"average", AVERAGE(Instances!P279:Instances!P279),"median", MEDIAN(Instances!P279:Instances!P279),"min", MIN(Instances!P279:Instances!P279),"max", MAX(Instances!P279:Instances!P279),"diff", MAX(Instances!P279:Instances!P279)-MIN(Instances!P279:Instances!P279))</f>
        <v>0</v>
      </c>
      <c r="Q279" s="1" cm="1">
        <f t="array" ref="Q279">_xlfn.SWITCH($A$2,"average", AVERAGE(Instances!Q279:Instances!Q279),"median", MEDIAN(Instances!Q279:Instances!Q279),"min", MIN(Instances!Q279:Instances!Q279),"max", MAX(Instances!Q279:Instances!Q279),"diff", MAX(Instances!Q279:Instances!Q279)-MIN(Instances!Q279:Instances!Q279))</f>
        <v>0</v>
      </c>
      <c r="R279" s="1" cm="1">
        <f t="array" ref="R279">_xlfn.SWITCH($A$2,"average", AVERAGE(Instances!R279:Instances!R279),"median", MEDIAN(Instances!R279:Instances!R279),"min", MIN(Instances!R279:Instances!R279),"max", MAX(Instances!R279:Instances!R279),"diff", MAX(Instances!R279:Instances!R279)-MIN(Instances!R279:Instances!R279))</f>
        <v>0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 cm="1">
        <f t="array" ref="B280">_xlfn.SWITCH($A$2,"average", AVERAGE(Instances!B280:Instances!B280),"median", MEDIAN(Instances!B280:Instances!B280),"min", MIN(Instances!B280:Instances!B280),"max", MAX(Instances!B280:Instances!B280),"diff", MAX(Instances!B280:Instances!B280)-MIN(Instances!B280:Instances!B280))</f>
        <v>0</v>
      </c>
      <c r="C280" s="1" cm="1">
        <f t="array" ref="C280">_xlfn.SWITCH($A$2,"average", AVERAGE(Instances!C280:Instances!C280),"median", MEDIAN(Instances!C280:Instances!C280),"min", MIN(Instances!C280:Instances!C280),"max", MAX(Instances!C280:Instances!C280),"diff", MAX(Instances!C280:Instances!C280)-MIN(Instances!C280:Instances!C280))</f>
        <v>0</v>
      </c>
      <c r="D280" s="1" cm="1">
        <f t="array" ref="D280">_xlfn.SWITCH($A$2,"average", AVERAGE(Instances!D280:Instances!D280),"median", MEDIAN(Instances!D280:Instances!D280),"min", MIN(Instances!D280:Instances!D280),"max", MAX(Instances!D280:Instances!D280),"diff", MAX(Instances!D280:Instances!D280)-MIN(Instances!D280:Instances!D280))</f>
        <v>0</v>
      </c>
      <c r="E280" s="1" cm="1">
        <f t="array" ref="E280">_xlfn.SWITCH($A$2,"average", AVERAGE(Instances!E280:Instances!E280),"median", MEDIAN(Instances!E280:Instances!E280),"min", MIN(Instances!E280:Instances!E280),"max", MAX(Instances!E280:Instances!E280),"diff", MAX(Instances!E280:Instances!E280)-MIN(Instances!E280:Instances!E280))</f>
        <v>0</v>
      </c>
      <c r="F280" s="1" cm="1">
        <f t="array" ref="F280">_xlfn.SWITCH($A$2,"average", AVERAGE(Instances!F280:Instances!F280),"median", MEDIAN(Instances!F280:Instances!F280),"min", MIN(Instances!F280:Instances!F280),"max", MAX(Instances!F280:Instances!F280),"diff", MAX(Instances!F280:Instances!F280)-MIN(Instances!F280:Instances!F280))</f>
        <v>0</v>
      </c>
      <c r="G280" s="1" cm="1">
        <f t="array" ref="G280">_xlfn.SWITCH($A$2,"average", AVERAGE(Instances!G280:Instances!G280),"median", MEDIAN(Instances!G280:Instances!G280),"min", MIN(Instances!G280:Instances!G280),"max", MAX(Instances!G280:Instances!G280),"diff", MAX(Instances!G280:Instances!G280)-MIN(Instances!G280:Instances!G280))</f>
        <v>0</v>
      </c>
      <c r="H280" s="1" cm="1">
        <f t="array" ref="H280">_xlfn.SWITCH($A$2,"average", AVERAGE(Instances!H280:Instances!H280),"median", MEDIAN(Instances!H280:Instances!H280),"min", MIN(Instances!H280:Instances!H280),"max", MAX(Instances!H280:Instances!H280),"diff", MAX(Instances!H280:Instances!H280)-MIN(Instances!H280:Instances!H280))</f>
        <v>0</v>
      </c>
      <c r="I280" s="1" cm="1">
        <f t="array" ref="I280">_xlfn.SWITCH($A$2,"average", AVERAGE(Instances!I280:Instances!I280),"median", MEDIAN(Instances!I280:Instances!I280),"min", MIN(Instances!I280:Instances!I280),"max", MAX(Instances!I280:Instances!I280),"diff", MAX(Instances!I280:Instances!I280)-MIN(Instances!I280:Instances!I280))</f>
        <v>0</v>
      </c>
      <c r="J280" s="1" cm="1">
        <f t="array" ref="J280">_xlfn.SWITCH($A$2,"average", AVERAGE(Instances!J280:Instances!J280),"median", MEDIAN(Instances!J280:Instances!J280),"min", MIN(Instances!J280:Instances!J280),"max", MAX(Instances!J280:Instances!J280),"diff", MAX(Instances!J280:Instances!J280)-MIN(Instances!J280:Instances!J280))</f>
        <v>0</v>
      </c>
      <c r="K280" s="1" cm="1">
        <f t="array" ref="K280">_xlfn.SWITCH($A$2,"average", AVERAGE(Instances!K280:Instances!K280),"median", MEDIAN(Instances!K280:Instances!K280),"min", MIN(Instances!K280:Instances!K280),"max", MAX(Instances!K280:Instances!K280),"diff", MAX(Instances!K280:Instances!K280)-MIN(Instances!K280:Instances!K280))</f>
        <v>0</v>
      </c>
      <c r="L280" s="1"/>
      <c r="M280" s="1" cm="1">
        <f t="array" ref="M280">_xlfn.SWITCH($A$2,"average", AVERAGE(Instances!M280:Instances!M280),"median", MEDIAN(Instances!M280:Instances!M280),"min", MIN(Instances!M280:Instances!M280),"max", MAX(Instances!M280:Instances!M280),"diff", MAX(Instances!M280:Instances!M280)-MIN(Instances!M280:Instances!M280))</f>
        <v>0</v>
      </c>
      <c r="N280" s="1" cm="1">
        <f t="array" ref="N280">_xlfn.SWITCH($A$2,"average", AVERAGE(Instances!N280:Instances!N280),"median", MEDIAN(Instances!N280:Instances!N280),"min", MIN(Instances!N280:Instances!N280),"max", MAX(Instances!N280:Instances!N280),"diff", MAX(Instances!N280:Instances!N280)-MIN(Instances!N280:Instances!N280))</f>
        <v>0</v>
      </c>
      <c r="O280" s="1"/>
      <c r="P280" s="1" cm="1">
        <f t="array" ref="P280">_xlfn.SWITCH($A$2,"average", AVERAGE(Instances!P280:Instances!P280),"median", MEDIAN(Instances!P280:Instances!P280),"min", MIN(Instances!P280:Instances!P280),"max", MAX(Instances!P280:Instances!P280),"diff", MAX(Instances!P280:Instances!P280)-MIN(Instances!P280:Instances!P280))</f>
        <v>0</v>
      </c>
      <c r="Q280" s="1" cm="1">
        <f t="array" ref="Q280">_xlfn.SWITCH($A$2,"average", AVERAGE(Instances!Q280:Instances!Q280),"median", MEDIAN(Instances!Q280:Instances!Q280),"min", MIN(Instances!Q280:Instances!Q280),"max", MAX(Instances!Q280:Instances!Q280),"diff", MAX(Instances!Q280:Instances!Q280)-MIN(Instances!Q280:Instances!Q280))</f>
        <v>0</v>
      </c>
      <c r="R280" s="1" cm="1">
        <f t="array" ref="R280">_xlfn.SWITCH($A$2,"average", AVERAGE(Instances!R280:Instances!R280),"median", MEDIAN(Instances!R280:Instances!R280),"min", MIN(Instances!R280:Instances!R280),"max", MAX(Instances!R280:Instances!R280),"diff", MAX(Instances!R280:Instances!R280)-MIN(Instances!R280:Instances!R280))</f>
        <v>0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 cm="1">
        <f t="array" ref="B281">_xlfn.SWITCH($A$2,"average", AVERAGE(Instances!B281:Instances!B281),"median", MEDIAN(Instances!B281:Instances!B281),"min", MIN(Instances!B281:Instances!B281),"max", MAX(Instances!B281:Instances!B281),"diff", MAX(Instances!B281:Instances!B281)-MIN(Instances!B281:Instances!B281))</f>
        <v>0</v>
      </c>
      <c r="C281" s="1" cm="1">
        <f t="array" ref="C281">_xlfn.SWITCH($A$2,"average", AVERAGE(Instances!C281:Instances!C281),"median", MEDIAN(Instances!C281:Instances!C281),"min", MIN(Instances!C281:Instances!C281),"max", MAX(Instances!C281:Instances!C281),"diff", MAX(Instances!C281:Instances!C281)-MIN(Instances!C281:Instances!C281))</f>
        <v>0</v>
      </c>
      <c r="D281" s="1" cm="1">
        <f t="array" ref="D281">_xlfn.SWITCH($A$2,"average", AVERAGE(Instances!D281:Instances!D281),"median", MEDIAN(Instances!D281:Instances!D281),"min", MIN(Instances!D281:Instances!D281),"max", MAX(Instances!D281:Instances!D281),"diff", MAX(Instances!D281:Instances!D281)-MIN(Instances!D281:Instances!D281))</f>
        <v>0</v>
      </c>
      <c r="E281" s="1" cm="1">
        <f t="array" ref="E281">_xlfn.SWITCH($A$2,"average", AVERAGE(Instances!E281:Instances!E281),"median", MEDIAN(Instances!E281:Instances!E281),"min", MIN(Instances!E281:Instances!E281),"max", MAX(Instances!E281:Instances!E281),"diff", MAX(Instances!E281:Instances!E281)-MIN(Instances!E281:Instances!E281))</f>
        <v>0</v>
      </c>
      <c r="F281" s="1" cm="1">
        <f t="array" ref="F281">_xlfn.SWITCH($A$2,"average", AVERAGE(Instances!F281:Instances!F281),"median", MEDIAN(Instances!F281:Instances!F281),"min", MIN(Instances!F281:Instances!F281),"max", MAX(Instances!F281:Instances!F281),"diff", MAX(Instances!F281:Instances!F281)-MIN(Instances!F281:Instances!F281))</f>
        <v>0</v>
      </c>
      <c r="G281" s="1" cm="1">
        <f t="array" ref="G281">_xlfn.SWITCH($A$2,"average", AVERAGE(Instances!G281:Instances!G281),"median", MEDIAN(Instances!G281:Instances!G281),"min", MIN(Instances!G281:Instances!G281),"max", MAX(Instances!G281:Instances!G281),"diff", MAX(Instances!G281:Instances!G281)-MIN(Instances!G281:Instances!G281))</f>
        <v>0</v>
      </c>
      <c r="H281" s="1" cm="1">
        <f t="array" ref="H281">_xlfn.SWITCH($A$2,"average", AVERAGE(Instances!H281:Instances!H281),"median", MEDIAN(Instances!H281:Instances!H281),"min", MIN(Instances!H281:Instances!H281),"max", MAX(Instances!H281:Instances!H281),"diff", MAX(Instances!H281:Instances!H281)-MIN(Instances!H281:Instances!H281))</f>
        <v>0</v>
      </c>
      <c r="I281" s="1" cm="1">
        <f t="array" ref="I281">_xlfn.SWITCH($A$2,"average", AVERAGE(Instances!I281:Instances!I281),"median", MEDIAN(Instances!I281:Instances!I281),"min", MIN(Instances!I281:Instances!I281),"max", MAX(Instances!I281:Instances!I281),"diff", MAX(Instances!I281:Instances!I281)-MIN(Instances!I281:Instances!I281))</f>
        <v>0</v>
      </c>
      <c r="J281" s="1" cm="1">
        <f t="array" ref="J281">_xlfn.SWITCH($A$2,"average", AVERAGE(Instances!J281:Instances!J281),"median", MEDIAN(Instances!J281:Instances!J281),"min", MIN(Instances!J281:Instances!J281),"max", MAX(Instances!J281:Instances!J281),"diff", MAX(Instances!J281:Instances!J281)-MIN(Instances!J281:Instances!J281))</f>
        <v>0</v>
      </c>
      <c r="K281" s="1" cm="1">
        <f t="array" ref="K281">_xlfn.SWITCH($A$2,"average", AVERAGE(Instances!K281:Instances!K281),"median", MEDIAN(Instances!K281:Instances!K281),"min", MIN(Instances!K281:Instances!K281),"max", MAX(Instances!K281:Instances!K281),"diff", MAX(Instances!K281:Instances!K281)-MIN(Instances!K281:Instances!K281))</f>
        <v>0</v>
      </c>
      <c r="L281" s="1"/>
      <c r="M281" s="1" cm="1">
        <f t="array" ref="M281">_xlfn.SWITCH($A$2,"average", AVERAGE(Instances!M281:Instances!M281),"median", MEDIAN(Instances!M281:Instances!M281),"min", MIN(Instances!M281:Instances!M281),"max", MAX(Instances!M281:Instances!M281),"diff", MAX(Instances!M281:Instances!M281)-MIN(Instances!M281:Instances!M281))</f>
        <v>0</v>
      </c>
      <c r="N281" s="1" cm="1">
        <f t="array" ref="N281">_xlfn.SWITCH($A$2,"average", AVERAGE(Instances!N281:Instances!N281),"median", MEDIAN(Instances!N281:Instances!N281),"min", MIN(Instances!N281:Instances!N281),"max", MAX(Instances!N281:Instances!N281),"diff", MAX(Instances!N281:Instances!N281)-MIN(Instances!N281:Instances!N281))</f>
        <v>0</v>
      </c>
      <c r="O281" s="1"/>
      <c r="P281" s="1" cm="1">
        <f t="array" ref="P281">_xlfn.SWITCH($A$2,"average", AVERAGE(Instances!P281:Instances!P281),"median", MEDIAN(Instances!P281:Instances!P281),"min", MIN(Instances!P281:Instances!P281),"max", MAX(Instances!P281:Instances!P281),"diff", MAX(Instances!P281:Instances!P281)-MIN(Instances!P281:Instances!P281))</f>
        <v>0</v>
      </c>
      <c r="Q281" s="1" cm="1">
        <f t="array" ref="Q281">_xlfn.SWITCH($A$2,"average", AVERAGE(Instances!Q281:Instances!Q281),"median", MEDIAN(Instances!Q281:Instances!Q281),"min", MIN(Instances!Q281:Instances!Q281),"max", MAX(Instances!Q281:Instances!Q281),"diff", MAX(Instances!Q281:Instances!Q281)-MIN(Instances!Q281:Instances!Q281))</f>
        <v>0</v>
      </c>
      <c r="R281" s="1" cm="1">
        <f t="array" ref="R281">_xlfn.SWITCH($A$2,"average", AVERAGE(Instances!R281:Instances!R281),"median", MEDIAN(Instances!R281:Instances!R281),"min", MIN(Instances!R281:Instances!R281),"max", MAX(Instances!R281:Instances!R281),"diff", MAX(Instances!R281:Instances!R281)-MIN(Instances!R281:Instances!R281))</f>
        <v>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 cm="1">
        <f t="array" ref="B282">_xlfn.SWITCH($A$2,"average", AVERAGE(Instances!B282:Instances!B282),"median", MEDIAN(Instances!B282:Instances!B282),"min", MIN(Instances!B282:Instances!B282),"max", MAX(Instances!B282:Instances!B282),"diff", MAX(Instances!B282:Instances!B282)-MIN(Instances!B282:Instances!B282))</f>
        <v>0</v>
      </c>
      <c r="C282" s="1" cm="1">
        <f t="array" ref="C282">_xlfn.SWITCH($A$2,"average", AVERAGE(Instances!C282:Instances!C282),"median", MEDIAN(Instances!C282:Instances!C282),"min", MIN(Instances!C282:Instances!C282),"max", MAX(Instances!C282:Instances!C282),"diff", MAX(Instances!C282:Instances!C282)-MIN(Instances!C282:Instances!C282))</f>
        <v>0</v>
      </c>
      <c r="D282" s="1" cm="1">
        <f t="array" ref="D282">_xlfn.SWITCH($A$2,"average", AVERAGE(Instances!D282:Instances!D282),"median", MEDIAN(Instances!D282:Instances!D282),"min", MIN(Instances!D282:Instances!D282),"max", MAX(Instances!D282:Instances!D282),"diff", MAX(Instances!D282:Instances!D282)-MIN(Instances!D282:Instances!D282))</f>
        <v>0</v>
      </c>
      <c r="E282" s="1" cm="1">
        <f t="array" ref="E282">_xlfn.SWITCH($A$2,"average", AVERAGE(Instances!E282:Instances!E282),"median", MEDIAN(Instances!E282:Instances!E282),"min", MIN(Instances!E282:Instances!E282),"max", MAX(Instances!E282:Instances!E282),"diff", MAX(Instances!E282:Instances!E282)-MIN(Instances!E282:Instances!E282))</f>
        <v>0</v>
      </c>
      <c r="F282" s="1" cm="1">
        <f t="array" ref="F282">_xlfn.SWITCH($A$2,"average", AVERAGE(Instances!F282:Instances!F282),"median", MEDIAN(Instances!F282:Instances!F282),"min", MIN(Instances!F282:Instances!F282),"max", MAX(Instances!F282:Instances!F282),"diff", MAX(Instances!F282:Instances!F282)-MIN(Instances!F282:Instances!F282))</f>
        <v>0</v>
      </c>
      <c r="G282" s="1" cm="1">
        <f t="array" ref="G282">_xlfn.SWITCH($A$2,"average", AVERAGE(Instances!G282:Instances!G282),"median", MEDIAN(Instances!G282:Instances!G282),"min", MIN(Instances!G282:Instances!G282),"max", MAX(Instances!G282:Instances!G282),"diff", MAX(Instances!G282:Instances!G282)-MIN(Instances!G282:Instances!G282))</f>
        <v>0</v>
      </c>
      <c r="H282" s="1" cm="1">
        <f t="array" ref="H282">_xlfn.SWITCH($A$2,"average", AVERAGE(Instances!H282:Instances!H282),"median", MEDIAN(Instances!H282:Instances!H282),"min", MIN(Instances!H282:Instances!H282),"max", MAX(Instances!H282:Instances!H282),"diff", MAX(Instances!H282:Instances!H282)-MIN(Instances!H282:Instances!H282))</f>
        <v>0</v>
      </c>
      <c r="I282" s="1" cm="1">
        <f t="array" ref="I282">_xlfn.SWITCH($A$2,"average", AVERAGE(Instances!I282:Instances!I282),"median", MEDIAN(Instances!I282:Instances!I282),"min", MIN(Instances!I282:Instances!I282),"max", MAX(Instances!I282:Instances!I282),"diff", MAX(Instances!I282:Instances!I282)-MIN(Instances!I282:Instances!I282))</f>
        <v>0</v>
      </c>
      <c r="J282" s="1" cm="1">
        <f t="array" ref="J282">_xlfn.SWITCH($A$2,"average", AVERAGE(Instances!J282:Instances!J282),"median", MEDIAN(Instances!J282:Instances!J282),"min", MIN(Instances!J282:Instances!J282),"max", MAX(Instances!J282:Instances!J282),"diff", MAX(Instances!J282:Instances!J282)-MIN(Instances!J282:Instances!J282))</f>
        <v>0</v>
      </c>
      <c r="K282" s="1" cm="1">
        <f t="array" ref="K282">_xlfn.SWITCH($A$2,"average", AVERAGE(Instances!K282:Instances!K282),"median", MEDIAN(Instances!K282:Instances!K282),"min", MIN(Instances!K282:Instances!K282),"max", MAX(Instances!K282:Instances!K282),"diff", MAX(Instances!K282:Instances!K282)-MIN(Instances!K282:Instances!K282))</f>
        <v>0</v>
      </c>
      <c r="L282" s="1"/>
      <c r="M282" s="1" cm="1">
        <f t="array" ref="M282">_xlfn.SWITCH($A$2,"average", AVERAGE(Instances!M282:Instances!M282),"median", MEDIAN(Instances!M282:Instances!M282),"min", MIN(Instances!M282:Instances!M282),"max", MAX(Instances!M282:Instances!M282),"diff", MAX(Instances!M282:Instances!M282)-MIN(Instances!M282:Instances!M282))</f>
        <v>0</v>
      </c>
      <c r="N282" s="1" cm="1">
        <f t="array" ref="N282">_xlfn.SWITCH($A$2,"average", AVERAGE(Instances!N282:Instances!N282),"median", MEDIAN(Instances!N282:Instances!N282),"min", MIN(Instances!N282:Instances!N282),"max", MAX(Instances!N282:Instances!N282),"diff", MAX(Instances!N282:Instances!N282)-MIN(Instances!N282:Instances!N282))</f>
        <v>0</v>
      </c>
      <c r="O282" s="1"/>
      <c r="P282" s="1" cm="1">
        <f t="array" ref="P282">_xlfn.SWITCH($A$2,"average", AVERAGE(Instances!P282:Instances!P282),"median", MEDIAN(Instances!P282:Instances!P282),"min", MIN(Instances!P282:Instances!P282),"max", MAX(Instances!P282:Instances!P282),"diff", MAX(Instances!P282:Instances!P282)-MIN(Instances!P282:Instances!P282))</f>
        <v>0</v>
      </c>
      <c r="Q282" s="1" cm="1">
        <f t="array" ref="Q282">_xlfn.SWITCH($A$2,"average", AVERAGE(Instances!Q282:Instances!Q282),"median", MEDIAN(Instances!Q282:Instances!Q282),"min", MIN(Instances!Q282:Instances!Q282),"max", MAX(Instances!Q282:Instances!Q282),"diff", MAX(Instances!Q282:Instances!Q282)-MIN(Instances!Q282:Instances!Q282))</f>
        <v>0</v>
      </c>
      <c r="R282" s="1" cm="1">
        <f t="array" ref="R282">_xlfn.SWITCH($A$2,"average", AVERAGE(Instances!R282:Instances!R282),"median", MEDIAN(Instances!R282:Instances!R282),"min", MIN(Instances!R282:Instances!R282),"max", MAX(Instances!R282:Instances!R282),"diff", MAX(Instances!R282:Instances!R282)-MIN(Instances!R282:Instances!R282))</f>
        <v>0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 cm="1">
        <f t="array" ref="B283">_xlfn.SWITCH($A$2,"average", AVERAGE(Instances!B283:Instances!B283),"median", MEDIAN(Instances!B283:Instances!B283),"min", MIN(Instances!B283:Instances!B283),"max", MAX(Instances!B283:Instances!B283),"diff", MAX(Instances!B283:Instances!B283)-MIN(Instances!B283:Instances!B283))</f>
        <v>0</v>
      </c>
      <c r="C283" s="1" cm="1">
        <f t="array" ref="C283">_xlfn.SWITCH($A$2,"average", AVERAGE(Instances!C283:Instances!C283),"median", MEDIAN(Instances!C283:Instances!C283),"min", MIN(Instances!C283:Instances!C283),"max", MAX(Instances!C283:Instances!C283),"diff", MAX(Instances!C283:Instances!C283)-MIN(Instances!C283:Instances!C283))</f>
        <v>0</v>
      </c>
      <c r="D283" s="1" cm="1">
        <f t="array" ref="D283">_xlfn.SWITCH($A$2,"average", AVERAGE(Instances!D283:Instances!D283),"median", MEDIAN(Instances!D283:Instances!D283),"min", MIN(Instances!D283:Instances!D283),"max", MAX(Instances!D283:Instances!D283),"diff", MAX(Instances!D283:Instances!D283)-MIN(Instances!D283:Instances!D283))</f>
        <v>0</v>
      </c>
      <c r="E283" s="1" cm="1">
        <f t="array" ref="E283">_xlfn.SWITCH($A$2,"average", AVERAGE(Instances!E283:Instances!E283),"median", MEDIAN(Instances!E283:Instances!E283),"min", MIN(Instances!E283:Instances!E283),"max", MAX(Instances!E283:Instances!E283),"diff", MAX(Instances!E283:Instances!E283)-MIN(Instances!E283:Instances!E283))</f>
        <v>0</v>
      </c>
      <c r="F283" s="1" cm="1">
        <f t="array" ref="F283">_xlfn.SWITCH($A$2,"average", AVERAGE(Instances!F283:Instances!F283),"median", MEDIAN(Instances!F283:Instances!F283),"min", MIN(Instances!F283:Instances!F283),"max", MAX(Instances!F283:Instances!F283),"diff", MAX(Instances!F283:Instances!F283)-MIN(Instances!F283:Instances!F283))</f>
        <v>0</v>
      </c>
      <c r="G283" s="1" cm="1">
        <f t="array" ref="G283">_xlfn.SWITCH($A$2,"average", AVERAGE(Instances!G283:Instances!G283),"median", MEDIAN(Instances!G283:Instances!G283),"min", MIN(Instances!G283:Instances!G283),"max", MAX(Instances!G283:Instances!G283),"diff", MAX(Instances!G283:Instances!G283)-MIN(Instances!G283:Instances!G283))</f>
        <v>0</v>
      </c>
      <c r="H283" s="1" cm="1">
        <f t="array" ref="H283">_xlfn.SWITCH($A$2,"average", AVERAGE(Instances!H283:Instances!H283),"median", MEDIAN(Instances!H283:Instances!H283),"min", MIN(Instances!H283:Instances!H283),"max", MAX(Instances!H283:Instances!H283),"diff", MAX(Instances!H283:Instances!H283)-MIN(Instances!H283:Instances!H283))</f>
        <v>0</v>
      </c>
      <c r="I283" s="1" cm="1">
        <f t="array" ref="I283">_xlfn.SWITCH($A$2,"average", AVERAGE(Instances!I283:Instances!I283),"median", MEDIAN(Instances!I283:Instances!I283),"min", MIN(Instances!I283:Instances!I283),"max", MAX(Instances!I283:Instances!I283),"diff", MAX(Instances!I283:Instances!I283)-MIN(Instances!I283:Instances!I283))</f>
        <v>0</v>
      </c>
      <c r="J283" s="1" cm="1">
        <f t="array" ref="J283">_xlfn.SWITCH($A$2,"average", AVERAGE(Instances!J283:Instances!J283),"median", MEDIAN(Instances!J283:Instances!J283),"min", MIN(Instances!J283:Instances!J283),"max", MAX(Instances!J283:Instances!J283),"diff", MAX(Instances!J283:Instances!J283)-MIN(Instances!J283:Instances!J283))</f>
        <v>0</v>
      </c>
      <c r="K283" s="1" cm="1">
        <f t="array" ref="K283">_xlfn.SWITCH($A$2,"average", AVERAGE(Instances!K283:Instances!K283),"median", MEDIAN(Instances!K283:Instances!K283),"min", MIN(Instances!K283:Instances!K283),"max", MAX(Instances!K283:Instances!K283),"diff", MAX(Instances!K283:Instances!K283)-MIN(Instances!K283:Instances!K283))</f>
        <v>0</v>
      </c>
      <c r="L283" s="1"/>
      <c r="M283" s="1" cm="1">
        <f t="array" ref="M283">_xlfn.SWITCH($A$2,"average", AVERAGE(Instances!M283:Instances!M283),"median", MEDIAN(Instances!M283:Instances!M283),"min", MIN(Instances!M283:Instances!M283),"max", MAX(Instances!M283:Instances!M283),"diff", MAX(Instances!M283:Instances!M283)-MIN(Instances!M283:Instances!M283))</f>
        <v>0</v>
      </c>
      <c r="N283" s="1" cm="1">
        <f t="array" ref="N283">_xlfn.SWITCH($A$2,"average", AVERAGE(Instances!N283:Instances!N283),"median", MEDIAN(Instances!N283:Instances!N283),"min", MIN(Instances!N283:Instances!N283),"max", MAX(Instances!N283:Instances!N283),"diff", MAX(Instances!N283:Instances!N283)-MIN(Instances!N283:Instances!N283))</f>
        <v>0</v>
      </c>
      <c r="O283" s="1"/>
      <c r="P283" s="1" cm="1">
        <f t="array" ref="P283">_xlfn.SWITCH($A$2,"average", AVERAGE(Instances!P283:Instances!P283),"median", MEDIAN(Instances!P283:Instances!P283),"min", MIN(Instances!P283:Instances!P283),"max", MAX(Instances!P283:Instances!P283),"diff", MAX(Instances!P283:Instances!P283)-MIN(Instances!P283:Instances!P283))</f>
        <v>0</v>
      </c>
      <c r="Q283" s="1" cm="1">
        <f t="array" ref="Q283">_xlfn.SWITCH($A$2,"average", AVERAGE(Instances!Q283:Instances!Q283),"median", MEDIAN(Instances!Q283:Instances!Q283),"min", MIN(Instances!Q283:Instances!Q283),"max", MAX(Instances!Q283:Instances!Q283),"diff", MAX(Instances!Q283:Instances!Q283)-MIN(Instances!Q283:Instances!Q283))</f>
        <v>0</v>
      </c>
      <c r="R283" s="1" cm="1">
        <f t="array" ref="R283">_xlfn.SWITCH($A$2,"average", AVERAGE(Instances!R283:Instances!R283),"median", MEDIAN(Instances!R283:Instances!R283),"min", MIN(Instances!R283:Instances!R283),"max", MAX(Instances!R283:Instances!R283),"diff", MAX(Instances!R283:Instances!R283)-MIN(Instances!R283:Instances!R283))</f>
        <v>0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 cm="1">
        <f t="array" ref="B284">_xlfn.SWITCH($A$2,"average", AVERAGE(Instances!B284:Instances!B284),"median", MEDIAN(Instances!B284:Instances!B284),"min", MIN(Instances!B284:Instances!B284),"max", MAX(Instances!B284:Instances!B284),"diff", MAX(Instances!B284:Instances!B284)-MIN(Instances!B284:Instances!B284))</f>
        <v>0</v>
      </c>
      <c r="C284" s="1" cm="1">
        <f t="array" ref="C284">_xlfn.SWITCH($A$2,"average", AVERAGE(Instances!C284:Instances!C284),"median", MEDIAN(Instances!C284:Instances!C284),"min", MIN(Instances!C284:Instances!C284),"max", MAX(Instances!C284:Instances!C284),"diff", MAX(Instances!C284:Instances!C284)-MIN(Instances!C284:Instances!C284))</f>
        <v>0</v>
      </c>
      <c r="D284" s="1" cm="1">
        <f t="array" ref="D284">_xlfn.SWITCH($A$2,"average", AVERAGE(Instances!D284:Instances!D284),"median", MEDIAN(Instances!D284:Instances!D284),"min", MIN(Instances!D284:Instances!D284),"max", MAX(Instances!D284:Instances!D284),"diff", MAX(Instances!D284:Instances!D284)-MIN(Instances!D284:Instances!D284))</f>
        <v>0</v>
      </c>
      <c r="E284" s="1" cm="1">
        <f t="array" ref="E284">_xlfn.SWITCH($A$2,"average", AVERAGE(Instances!E284:Instances!E284),"median", MEDIAN(Instances!E284:Instances!E284),"min", MIN(Instances!E284:Instances!E284),"max", MAX(Instances!E284:Instances!E284),"diff", MAX(Instances!E284:Instances!E284)-MIN(Instances!E284:Instances!E284))</f>
        <v>0</v>
      </c>
      <c r="F284" s="1" cm="1">
        <f t="array" ref="F284">_xlfn.SWITCH($A$2,"average", AVERAGE(Instances!F284:Instances!F284),"median", MEDIAN(Instances!F284:Instances!F284),"min", MIN(Instances!F284:Instances!F284),"max", MAX(Instances!F284:Instances!F284),"diff", MAX(Instances!F284:Instances!F284)-MIN(Instances!F284:Instances!F284))</f>
        <v>0</v>
      </c>
      <c r="G284" s="1" cm="1">
        <f t="array" ref="G284">_xlfn.SWITCH($A$2,"average", AVERAGE(Instances!G284:Instances!G284),"median", MEDIAN(Instances!G284:Instances!G284),"min", MIN(Instances!G284:Instances!G284),"max", MAX(Instances!G284:Instances!G284),"diff", MAX(Instances!G284:Instances!G284)-MIN(Instances!G284:Instances!G284))</f>
        <v>0</v>
      </c>
      <c r="H284" s="1" cm="1">
        <f t="array" ref="H284">_xlfn.SWITCH($A$2,"average", AVERAGE(Instances!H284:Instances!H284),"median", MEDIAN(Instances!H284:Instances!H284),"min", MIN(Instances!H284:Instances!H284),"max", MAX(Instances!H284:Instances!H284),"diff", MAX(Instances!H284:Instances!H284)-MIN(Instances!H284:Instances!H284))</f>
        <v>0</v>
      </c>
      <c r="I284" s="1" cm="1">
        <f t="array" ref="I284">_xlfn.SWITCH($A$2,"average", AVERAGE(Instances!I284:Instances!I284),"median", MEDIAN(Instances!I284:Instances!I284),"min", MIN(Instances!I284:Instances!I284),"max", MAX(Instances!I284:Instances!I284),"diff", MAX(Instances!I284:Instances!I284)-MIN(Instances!I284:Instances!I284))</f>
        <v>0</v>
      </c>
      <c r="J284" s="1" cm="1">
        <f t="array" ref="J284">_xlfn.SWITCH($A$2,"average", AVERAGE(Instances!J284:Instances!J284),"median", MEDIAN(Instances!J284:Instances!J284),"min", MIN(Instances!J284:Instances!J284),"max", MAX(Instances!J284:Instances!J284),"diff", MAX(Instances!J284:Instances!J284)-MIN(Instances!J284:Instances!J284))</f>
        <v>0</v>
      </c>
      <c r="K284" s="1" cm="1">
        <f t="array" ref="K284">_xlfn.SWITCH($A$2,"average", AVERAGE(Instances!K284:Instances!K284),"median", MEDIAN(Instances!K284:Instances!K284),"min", MIN(Instances!K284:Instances!K284),"max", MAX(Instances!K284:Instances!K284),"diff", MAX(Instances!K284:Instances!K284)-MIN(Instances!K284:Instances!K284))</f>
        <v>0</v>
      </c>
      <c r="L284" s="1"/>
      <c r="M284" s="1" cm="1">
        <f t="array" ref="M284">_xlfn.SWITCH($A$2,"average", AVERAGE(Instances!M284:Instances!M284),"median", MEDIAN(Instances!M284:Instances!M284),"min", MIN(Instances!M284:Instances!M284),"max", MAX(Instances!M284:Instances!M284),"diff", MAX(Instances!M284:Instances!M284)-MIN(Instances!M284:Instances!M284))</f>
        <v>0</v>
      </c>
      <c r="N284" s="1" cm="1">
        <f t="array" ref="N284">_xlfn.SWITCH($A$2,"average", AVERAGE(Instances!N284:Instances!N284),"median", MEDIAN(Instances!N284:Instances!N284),"min", MIN(Instances!N284:Instances!N284),"max", MAX(Instances!N284:Instances!N284),"diff", MAX(Instances!N284:Instances!N284)-MIN(Instances!N284:Instances!N284))</f>
        <v>0</v>
      </c>
      <c r="O284" s="1"/>
      <c r="P284" s="1" cm="1">
        <f t="array" ref="P284">_xlfn.SWITCH($A$2,"average", AVERAGE(Instances!P284:Instances!P284),"median", MEDIAN(Instances!P284:Instances!P284),"min", MIN(Instances!P284:Instances!P284),"max", MAX(Instances!P284:Instances!P284),"diff", MAX(Instances!P284:Instances!P284)-MIN(Instances!P284:Instances!P284))</f>
        <v>0</v>
      </c>
      <c r="Q284" s="1" cm="1">
        <f t="array" ref="Q284">_xlfn.SWITCH($A$2,"average", AVERAGE(Instances!Q284:Instances!Q284),"median", MEDIAN(Instances!Q284:Instances!Q284),"min", MIN(Instances!Q284:Instances!Q284),"max", MAX(Instances!Q284:Instances!Q284),"diff", MAX(Instances!Q284:Instances!Q284)-MIN(Instances!Q284:Instances!Q284))</f>
        <v>0</v>
      </c>
      <c r="R284" s="1" cm="1">
        <f t="array" ref="R284">_xlfn.SWITCH($A$2,"average", AVERAGE(Instances!R284:Instances!R284),"median", MEDIAN(Instances!R284:Instances!R284),"min", MIN(Instances!R284:Instances!R284),"max", MAX(Instances!R284:Instances!R284),"diff", MAX(Instances!R284:Instances!R284)-MIN(Instances!R284:Instances!R284))</f>
        <v>0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 cm="1">
        <f t="array" ref="B285">_xlfn.SWITCH($A$2,"average", AVERAGE(Instances!B285:Instances!B285),"median", MEDIAN(Instances!B285:Instances!B285),"min", MIN(Instances!B285:Instances!B285),"max", MAX(Instances!B285:Instances!B285),"diff", MAX(Instances!B285:Instances!B285)-MIN(Instances!B285:Instances!B285))</f>
        <v>0</v>
      </c>
      <c r="C285" s="1" cm="1">
        <f t="array" ref="C285">_xlfn.SWITCH($A$2,"average", AVERAGE(Instances!C285:Instances!C285),"median", MEDIAN(Instances!C285:Instances!C285),"min", MIN(Instances!C285:Instances!C285),"max", MAX(Instances!C285:Instances!C285),"diff", MAX(Instances!C285:Instances!C285)-MIN(Instances!C285:Instances!C285))</f>
        <v>0</v>
      </c>
      <c r="D285" s="1" cm="1">
        <f t="array" ref="D285">_xlfn.SWITCH($A$2,"average", AVERAGE(Instances!D285:Instances!D285),"median", MEDIAN(Instances!D285:Instances!D285),"min", MIN(Instances!D285:Instances!D285),"max", MAX(Instances!D285:Instances!D285),"diff", MAX(Instances!D285:Instances!D285)-MIN(Instances!D285:Instances!D285))</f>
        <v>0</v>
      </c>
      <c r="E285" s="1" cm="1">
        <f t="array" ref="E285">_xlfn.SWITCH($A$2,"average", AVERAGE(Instances!E285:Instances!E285),"median", MEDIAN(Instances!E285:Instances!E285),"min", MIN(Instances!E285:Instances!E285),"max", MAX(Instances!E285:Instances!E285),"diff", MAX(Instances!E285:Instances!E285)-MIN(Instances!E285:Instances!E285))</f>
        <v>0</v>
      </c>
      <c r="F285" s="1" cm="1">
        <f t="array" ref="F285">_xlfn.SWITCH($A$2,"average", AVERAGE(Instances!F285:Instances!F285),"median", MEDIAN(Instances!F285:Instances!F285),"min", MIN(Instances!F285:Instances!F285),"max", MAX(Instances!F285:Instances!F285),"diff", MAX(Instances!F285:Instances!F285)-MIN(Instances!F285:Instances!F285))</f>
        <v>0</v>
      </c>
      <c r="G285" s="1" cm="1">
        <f t="array" ref="G285">_xlfn.SWITCH($A$2,"average", AVERAGE(Instances!G285:Instances!G285),"median", MEDIAN(Instances!G285:Instances!G285),"min", MIN(Instances!G285:Instances!G285),"max", MAX(Instances!G285:Instances!G285),"diff", MAX(Instances!G285:Instances!G285)-MIN(Instances!G285:Instances!G285))</f>
        <v>0</v>
      </c>
      <c r="H285" s="1" cm="1">
        <f t="array" ref="H285">_xlfn.SWITCH($A$2,"average", AVERAGE(Instances!H285:Instances!H285),"median", MEDIAN(Instances!H285:Instances!H285),"min", MIN(Instances!H285:Instances!H285),"max", MAX(Instances!H285:Instances!H285),"diff", MAX(Instances!H285:Instances!H285)-MIN(Instances!H285:Instances!H285))</f>
        <v>0</v>
      </c>
      <c r="I285" s="1" cm="1">
        <f t="array" ref="I285">_xlfn.SWITCH($A$2,"average", AVERAGE(Instances!I285:Instances!I285),"median", MEDIAN(Instances!I285:Instances!I285),"min", MIN(Instances!I285:Instances!I285),"max", MAX(Instances!I285:Instances!I285),"diff", MAX(Instances!I285:Instances!I285)-MIN(Instances!I285:Instances!I285))</f>
        <v>0</v>
      </c>
      <c r="J285" s="1" cm="1">
        <f t="array" ref="J285">_xlfn.SWITCH($A$2,"average", AVERAGE(Instances!J285:Instances!J285),"median", MEDIAN(Instances!J285:Instances!J285),"min", MIN(Instances!J285:Instances!J285),"max", MAX(Instances!J285:Instances!J285),"diff", MAX(Instances!J285:Instances!J285)-MIN(Instances!J285:Instances!J285))</f>
        <v>0</v>
      </c>
      <c r="K285" s="1" cm="1">
        <f t="array" ref="K285">_xlfn.SWITCH($A$2,"average", AVERAGE(Instances!K285:Instances!K285),"median", MEDIAN(Instances!K285:Instances!K285),"min", MIN(Instances!K285:Instances!K285),"max", MAX(Instances!K285:Instances!K285),"diff", MAX(Instances!K285:Instances!K285)-MIN(Instances!K285:Instances!K285))</f>
        <v>0</v>
      </c>
      <c r="L285" s="1"/>
      <c r="M285" s="1" cm="1">
        <f t="array" ref="M285">_xlfn.SWITCH($A$2,"average", AVERAGE(Instances!M285:Instances!M285),"median", MEDIAN(Instances!M285:Instances!M285),"min", MIN(Instances!M285:Instances!M285),"max", MAX(Instances!M285:Instances!M285),"diff", MAX(Instances!M285:Instances!M285)-MIN(Instances!M285:Instances!M285))</f>
        <v>0</v>
      </c>
      <c r="N285" s="1" cm="1">
        <f t="array" ref="N285">_xlfn.SWITCH($A$2,"average", AVERAGE(Instances!N285:Instances!N285),"median", MEDIAN(Instances!N285:Instances!N285),"min", MIN(Instances!N285:Instances!N285),"max", MAX(Instances!N285:Instances!N285),"diff", MAX(Instances!N285:Instances!N285)-MIN(Instances!N285:Instances!N285))</f>
        <v>0</v>
      </c>
      <c r="O285" s="1"/>
      <c r="P285" s="1" cm="1">
        <f t="array" ref="P285">_xlfn.SWITCH($A$2,"average", AVERAGE(Instances!P285:Instances!P285),"median", MEDIAN(Instances!P285:Instances!P285),"min", MIN(Instances!P285:Instances!P285),"max", MAX(Instances!P285:Instances!P285),"diff", MAX(Instances!P285:Instances!P285)-MIN(Instances!P285:Instances!P285))</f>
        <v>0</v>
      </c>
      <c r="Q285" s="1" cm="1">
        <f t="array" ref="Q285">_xlfn.SWITCH($A$2,"average", AVERAGE(Instances!Q285:Instances!Q285),"median", MEDIAN(Instances!Q285:Instances!Q285),"min", MIN(Instances!Q285:Instances!Q285),"max", MAX(Instances!Q285:Instances!Q285),"diff", MAX(Instances!Q285:Instances!Q285)-MIN(Instances!Q285:Instances!Q285))</f>
        <v>0</v>
      </c>
      <c r="R285" s="1" cm="1">
        <f t="array" ref="R285">_xlfn.SWITCH($A$2,"average", AVERAGE(Instances!R285:Instances!R285),"median", MEDIAN(Instances!R285:Instances!R285),"min", MIN(Instances!R285:Instances!R285),"max", MAX(Instances!R285:Instances!R285),"diff", MAX(Instances!R285:Instances!R285)-MIN(Instances!R285:Instances!R285))</f>
        <v>0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 cm="1">
        <f t="array" ref="B286">_xlfn.SWITCH($A$2,"average", AVERAGE(Instances!B286:Instances!B286),"median", MEDIAN(Instances!B286:Instances!B286),"min", MIN(Instances!B286:Instances!B286),"max", MAX(Instances!B286:Instances!B286),"diff", MAX(Instances!B286:Instances!B286)-MIN(Instances!B286:Instances!B286))</f>
        <v>0</v>
      </c>
      <c r="C286" s="1" cm="1">
        <f t="array" ref="C286">_xlfn.SWITCH($A$2,"average", AVERAGE(Instances!C286:Instances!C286),"median", MEDIAN(Instances!C286:Instances!C286),"min", MIN(Instances!C286:Instances!C286),"max", MAX(Instances!C286:Instances!C286),"diff", MAX(Instances!C286:Instances!C286)-MIN(Instances!C286:Instances!C286))</f>
        <v>0</v>
      </c>
      <c r="D286" s="1" cm="1">
        <f t="array" ref="D286">_xlfn.SWITCH($A$2,"average", AVERAGE(Instances!D286:Instances!D286),"median", MEDIAN(Instances!D286:Instances!D286),"min", MIN(Instances!D286:Instances!D286),"max", MAX(Instances!D286:Instances!D286),"diff", MAX(Instances!D286:Instances!D286)-MIN(Instances!D286:Instances!D286))</f>
        <v>0</v>
      </c>
      <c r="E286" s="1" cm="1">
        <f t="array" ref="E286">_xlfn.SWITCH($A$2,"average", AVERAGE(Instances!E286:Instances!E286),"median", MEDIAN(Instances!E286:Instances!E286),"min", MIN(Instances!E286:Instances!E286),"max", MAX(Instances!E286:Instances!E286),"diff", MAX(Instances!E286:Instances!E286)-MIN(Instances!E286:Instances!E286))</f>
        <v>0</v>
      </c>
      <c r="F286" s="1" cm="1">
        <f t="array" ref="F286">_xlfn.SWITCH($A$2,"average", AVERAGE(Instances!F286:Instances!F286),"median", MEDIAN(Instances!F286:Instances!F286),"min", MIN(Instances!F286:Instances!F286),"max", MAX(Instances!F286:Instances!F286),"diff", MAX(Instances!F286:Instances!F286)-MIN(Instances!F286:Instances!F286))</f>
        <v>0</v>
      </c>
      <c r="G286" s="1" cm="1">
        <f t="array" ref="G286">_xlfn.SWITCH($A$2,"average", AVERAGE(Instances!G286:Instances!G286),"median", MEDIAN(Instances!G286:Instances!G286),"min", MIN(Instances!G286:Instances!G286),"max", MAX(Instances!G286:Instances!G286),"diff", MAX(Instances!G286:Instances!G286)-MIN(Instances!G286:Instances!G286))</f>
        <v>0</v>
      </c>
      <c r="H286" s="1" cm="1">
        <f t="array" ref="H286">_xlfn.SWITCH($A$2,"average", AVERAGE(Instances!H286:Instances!H286),"median", MEDIAN(Instances!H286:Instances!H286),"min", MIN(Instances!H286:Instances!H286),"max", MAX(Instances!H286:Instances!H286),"diff", MAX(Instances!H286:Instances!H286)-MIN(Instances!H286:Instances!H286))</f>
        <v>0</v>
      </c>
      <c r="I286" s="1" cm="1">
        <f t="array" ref="I286">_xlfn.SWITCH($A$2,"average", AVERAGE(Instances!I286:Instances!I286),"median", MEDIAN(Instances!I286:Instances!I286),"min", MIN(Instances!I286:Instances!I286),"max", MAX(Instances!I286:Instances!I286),"diff", MAX(Instances!I286:Instances!I286)-MIN(Instances!I286:Instances!I286))</f>
        <v>0</v>
      </c>
      <c r="J286" s="1" cm="1">
        <f t="array" ref="J286">_xlfn.SWITCH($A$2,"average", AVERAGE(Instances!J286:Instances!J286),"median", MEDIAN(Instances!J286:Instances!J286),"min", MIN(Instances!J286:Instances!J286),"max", MAX(Instances!J286:Instances!J286),"diff", MAX(Instances!J286:Instances!J286)-MIN(Instances!J286:Instances!J286))</f>
        <v>0</v>
      </c>
      <c r="K286" s="1" cm="1">
        <f t="array" ref="K286">_xlfn.SWITCH($A$2,"average", AVERAGE(Instances!K286:Instances!K286),"median", MEDIAN(Instances!K286:Instances!K286),"min", MIN(Instances!K286:Instances!K286),"max", MAX(Instances!K286:Instances!K286),"diff", MAX(Instances!K286:Instances!K286)-MIN(Instances!K286:Instances!K286))</f>
        <v>0</v>
      </c>
      <c r="L286" s="1"/>
      <c r="M286" s="1" cm="1">
        <f t="array" ref="M286">_xlfn.SWITCH($A$2,"average", AVERAGE(Instances!M286:Instances!M286),"median", MEDIAN(Instances!M286:Instances!M286),"min", MIN(Instances!M286:Instances!M286),"max", MAX(Instances!M286:Instances!M286),"diff", MAX(Instances!M286:Instances!M286)-MIN(Instances!M286:Instances!M286))</f>
        <v>0</v>
      </c>
      <c r="N286" s="1" cm="1">
        <f t="array" ref="N286">_xlfn.SWITCH($A$2,"average", AVERAGE(Instances!N286:Instances!N286),"median", MEDIAN(Instances!N286:Instances!N286),"min", MIN(Instances!N286:Instances!N286),"max", MAX(Instances!N286:Instances!N286),"diff", MAX(Instances!N286:Instances!N286)-MIN(Instances!N286:Instances!N286))</f>
        <v>0</v>
      </c>
      <c r="O286" s="1"/>
      <c r="P286" s="1" cm="1">
        <f t="array" ref="P286">_xlfn.SWITCH($A$2,"average", AVERAGE(Instances!P286:Instances!P286),"median", MEDIAN(Instances!P286:Instances!P286),"min", MIN(Instances!P286:Instances!P286),"max", MAX(Instances!P286:Instances!P286),"diff", MAX(Instances!P286:Instances!P286)-MIN(Instances!P286:Instances!P286))</f>
        <v>0</v>
      </c>
      <c r="Q286" s="1" cm="1">
        <f t="array" ref="Q286">_xlfn.SWITCH($A$2,"average", AVERAGE(Instances!Q286:Instances!Q286),"median", MEDIAN(Instances!Q286:Instances!Q286),"min", MIN(Instances!Q286:Instances!Q286),"max", MAX(Instances!Q286:Instances!Q286),"diff", MAX(Instances!Q286:Instances!Q286)-MIN(Instances!Q286:Instances!Q286))</f>
        <v>0</v>
      </c>
      <c r="R286" s="1" cm="1">
        <f t="array" ref="R286">_xlfn.SWITCH($A$2,"average", AVERAGE(Instances!R286:Instances!R286),"median", MEDIAN(Instances!R286:Instances!R286),"min", MIN(Instances!R286:Instances!R286),"max", MAX(Instances!R286:Instances!R286),"diff", MAX(Instances!R286:Instances!R286)-MIN(Instances!R286:Instances!R286))</f>
        <v>0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 cm="1">
        <f t="array" ref="B287">_xlfn.SWITCH($A$2,"average", AVERAGE(Instances!B287:Instances!B287),"median", MEDIAN(Instances!B287:Instances!B287),"min", MIN(Instances!B287:Instances!B287),"max", MAX(Instances!B287:Instances!B287),"diff", MAX(Instances!B287:Instances!B287)-MIN(Instances!B287:Instances!B287))</f>
        <v>0</v>
      </c>
      <c r="C287" s="1" cm="1">
        <f t="array" ref="C287">_xlfn.SWITCH($A$2,"average", AVERAGE(Instances!C287:Instances!C287),"median", MEDIAN(Instances!C287:Instances!C287),"min", MIN(Instances!C287:Instances!C287),"max", MAX(Instances!C287:Instances!C287),"diff", MAX(Instances!C287:Instances!C287)-MIN(Instances!C287:Instances!C287))</f>
        <v>0</v>
      </c>
      <c r="D287" s="1" cm="1">
        <f t="array" ref="D287">_xlfn.SWITCH($A$2,"average", AVERAGE(Instances!D287:Instances!D287),"median", MEDIAN(Instances!D287:Instances!D287),"min", MIN(Instances!D287:Instances!D287),"max", MAX(Instances!D287:Instances!D287),"diff", MAX(Instances!D287:Instances!D287)-MIN(Instances!D287:Instances!D287))</f>
        <v>0</v>
      </c>
      <c r="E287" s="1" cm="1">
        <f t="array" ref="E287">_xlfn.SWITCH($A$2,"average", AVERAGE(Instances!E287:Instances!E287),"median", MEDIAN(Instances!E287:Instances!E287),"min", MIN(Instances!E287:Instances!E287),"max", MAX(Instances!E287:Instances!E287),"diff", MAX(Instances!E287:Instances!E287)-MIN(Instances!E287:Instances!E287))</f>
        <v>0</v>
      </c>
      <c r="F287" s="1" cm="1">
        <f t="array" ref="F287">_xlfn.SWITCH($A$2,"average", AVERAGE(Instances!F287:Instances!F287),"median", MEDIAN(Instances!F287:Instances!F287),"min", MIN(Instances!F287:Instances!F287),"max", MAX(Instances!F287:Instances!F287),"diff", MAX(Instances!F287:Instances!F287)-MIN(Instances!F287:Instances!F287))</f>
        <v>0</v>
      </c>
      <c r="G287" s="1" cm="1">
        <f t="array" ref="G287">_xlfn.SWITCH($A$2,"average", AVERAGE(Instances!G287:Instances!G287),"median", MEDIAN(Instances!G287:Instances!G287),"min", MIN(Instances!G287:Instances!G287),"max", MAX(Instances!G287:Instances!G287),"diff", MAX(Instances!G287:Instances!G287)-MIN(Instances!G287:Instances!G287))</f>
        <v>0</v>
      </c>
      <c r="H287" s="1" cm="1">
        <f t="array" ref="H287">_xlfn.SWITCH($A$2,"average", AVERAGE(Instances!H287:Instances!H287),"median", MEDIAN(Instances!H287:Instances!H287),"min", MIN(Instances!H287:Instances!H287),"max", MAX(Instances!H287:Instances!H287),"diff", MAX(Instances!H287:Instances!H287)-MIN(Instances!H287:Instances!H287))</f>
        <v>0</v>
      </c>
      <c r="I287" s="1" cm="1">
        <f t="array" ref="I287">_xlfn.SWITCH($A$2,"average", AVERAGE(Instances!I287:Instances!I287),"median", MEDIAN(Instances!I287:Instances!I287),"min", MIN(Instances!I287:Instances!I287),"max", MAX(Instances!I287:Instances!I287),"diff", MAX(Instances!I287:Instances!I287)-MIN(Instances!I287:Instances!I287))</f>
        <v>0</v>
      </c>
      <c r="J287" s="1" cm="1">
        <f t="array" ref="J287">_xlfn.SWITCH($A$2,"average", AVERAGE(Instances!J287:Instances!J287),"median", MEDIAN(Instances!J287:Instances!J287),"min", MIN(Instances!J287:Instances!J287),"max", MAX(Instances!J287:Instances!J287),"diff", MAX(Instances!J287:Instances!J287)-MIN(Instances!J287:Instances!J287))</f>
        <v>0</v>
      </c>
      <c r="K287" s="1" cm="1">
        <f t="array" ref="K287">_xlfn.SWITCH($A$2,"average", AVERAGE(Instances!K287:Instances!K287),"median", MEDIAN(Instances!K287:Instances!K287),"min", MIN(Instances!K287:Instances!K287),"max", MAX(Instances!K287:Instances!K287),"diff", MAX(Instances!K287:Instances!K287)-MIN(Instances!K287:Instances!K287))</f>
        <v>0</v>
      </c>
      <c r="L287" s="1"/>
      <c r="M287" s="1" cm="1">
        <f t="array" ref="M287">_xlfn.SWITCH($A$2,"average", AVERAGE(Instances!M287:Instances!M287),"median", MEDIAN(Instances!M287:Instances!M287),"min", MIN(Instances!M287:Instances!M287),"max", MAX(Instances!M287:Instances!M287),"diff", MAX(Instances!M287:Instances!M287)-MIN(Instances!M287:Instances!M287))</f>
        <v>0</v>
      </c>
      <c r="N287" s="1" cm="1">
        <f t="array" ref="N287">_xlfn.SWITCH($A$2,"average", AVERAGE(Instances!N287:Instances!N287),"median", MEDIAN(Instances!N287:Instances!N287),"min", MIN(Instances!N287:Instances!N287),"max", MAX(Instances!N287:Instances!N287),"diff", MAX(Instances!N287:Instances!N287)-MIN(Instances!N287:Instances!N287))</f>
        <v>0</v>
      </c>
      <c r="O287" s="1"/>
      <c r="P287" s="1" cm="1">
        <f t="array" ref="P287">_xlfn.SWITCH($A$2,"average", AVERAGE(Instances!P287:Instances!P287),"median", MEDIAN(Instances!P287:Instances!P287),"min", MIN(Instances!P287:Instances!P287),"max", MAX(Instances!P287:Instances!P287),"diff", MAX(Instances!P287:Instances!P287)-MIN(Instances!P287:Instances!P287))</f>
        <v>0</v>
      </c>
      <c r="Q287" s="1" cm="1">
        <f t="array" ref="Q287">_xlfn.SWITCH($A$2,"average", AVERAGE(Instances!Q287:Instances!Q287),"median", MEDIAN(Instances!Q287:Instances!Q287),"min", MIN(Instances!Q287:Instances!Q287),"max", MAX(Instances!Q287:Instances!Q287),"diff", MAX(Instances!Q287:Instances!Q287)-MIN(Instances!Q287:Instances!Q287))</f>
        <v>0</v>
      </c>
      <c r="R287" s="1" cm="1">
        <f t="array" ref="R287">_xlfn.SWITCH($A$2,"average", AVERAGE(Instances!R287:Instances!R287),"median", MEDIAN(Instances!R287:Instances!R287),"min", MIN(Instances!R287:Instances!R287),"max", MAX(Instances!R287:Instances!R287),"diff", MAX(Instances!R287:Instances!R287)-MIN(Instances!R287:Instances!R287))</f>
        <v>0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 cm="1">
        <f t="array" ref="B288">_xlfn.SWITCH($A$2,"average", AVERAGE(Instances!B288:Instances!B288),"median", MEDIAN(Instances!B288:Instances!B288),"min", MIN(Instances!B288:Instances!B288),"max", MAX(Instances!B288:Instances!B288),"diff", MAX(Instances!B288:Instances!B288)-MIN(Instances!B288:Instances!B288))</f>
        <v>0</v>
      </c>
      <c r="C288" s="1" cm="1">
        <f t="array" ref="C288">_xlfn.SWITCH($A$2,"average", AVERAGE(Instances!C288:Instances!C288),"median", MEDIAN(Instances!C288:Instances!C288),"min", MIN(Instances!C288:Instances!C288),"max", MAX(Instances!C288:Instances!C288),"diff", MAX(Instances!C288:Instances!C288)-MIN(Instances!C288:Instances!C288))</f>
        <v>0</v>
      </c>
      <c r="D288" s="1" cm="1">
        <f t="array" ref="D288">_xlfn.SWITCH($A$2,"average", AVERAGE(Instances!D288:Instances!D288),"median", MEDIAN(Instances!D288:Instances!D288),"min", MIN(Instances!D288:Instances!D288),"max", MAX(Instances!D288:Instances!D288),"diff", MAX(Instances!D288:Instances!D288)-MIN(Instances!D288:Instances!D288))</f>
        <v>0</v>
      </c>
      <c r="E288" s="1" cm="1">
        <f t="array" ref="E288">_xlfn.SWITCH($A$2,"average", AVERAGE(Instances!E288:Instances!E288),"median", MEDIAN(Instances!E288:Instances!E288),"min", MIN(Instances!E288:Instances!E288),"max", MAX(Instances!E288:Instances!E288),"diff", MAX(Instances!E288:Instances!E288)-MIN(Instances!E288:Instances!E288))</f>
        <v>0</v>
      </c>
      <c r="F288" s="1" cm="1">
        <f t="array" ref="F288">_xlfn.SWITCH($A$2,"average", AVERAGE(Instances!F288:Instances!F288),"median", MEDIAN(Instances!F288:Instances!F288),"min", MIN(Instances!F288:Instances!F288),"max", MAX(Instances!F288:Instances!F288),"diff", MAX(Instances!F288:Instances!F288)-MIN(Instances!F288:Instances!F288))</f>
        <v>0</v>
      </c>
      <c r="G288" s="1" cm="1">
        <f t="array" ref="G288">_xlfn.SWITCH($A$2,"average", AVERAGE(Instances!G288:Instances!G288),"median", MEDIAN(Instances!G288:Instances!G288),"min", MIN(Instances!G288:Instances!G288),"max", MAX(Instances!G288:Instances!G288),"diff", MAX(Instances!G288:Instances!G288)-MIN(Instances!G288:Instances!G288))</f>
        <v>0</v>
      </c>
      <c r="H288" s="1" cm="1">
        <f t="array" ref="H288">_xlfn.SWITCH($A$2,"average", AVERAGE(Instances!H288:Instances!H288),"median", MEDIAN(Instances!H288:Instances!H288),"min", MIN(Instances!H288:Instances!H288),"max", MAX(Instances!H288:Instances!H288),"diff", MAX(Instances!H288:Instances!H288)-MIN(Instances!H288:Instances!H288))</f>
        <v>0</v>
      </c>
      <c r="I288" s="1" cm="1">
        <f t="array" ref="I288">_xlfn.SWITCH($A$2,"average", AVERAGE(Instances!I288:Instances!I288),"median", MEDIAN(Instances!I288:Instances!I288),"min", MIN(Instances!I288:Instances!I288),"max", MAX(Instances!I288:Instances!I288),"diff", MAX(Instances!I288:Instances!I288)-MIN(Instances!I288:Instances!I288))</f>
        <v>0</v>
      </c>
      <c r="J288" s="1" cm="1">
        <f t="array" ref="J288">_xlfn.SWITCH($A$2,"average", AVERAGE(Instances!J288:Instances!J288),"median", MEDIAN(Instances!J288:Instances!J288),"min", MIN(Instances!J288:Instances!J288),"max", MAX(Instances!J288:Instances!J288),"diff", MAX(Instances!J288:Instances!J288)-MIN(Instances!J288:Instances!J288))</f>
        <v>0</v>
      </c>
      <c r="K288" s="1" cm="1">
        <f t="array" ref="K288">_xlfn.SWITCH($A$2,"average", AVERAGE(Instances!K288:Instances!K288),"median", MEDIAN(Instances!K288:Instances!K288),"min", MIN(Instances!K288:Instances!K288),"max", MAX(Instances!K288:Instances!K288),"diff", MAX(Instances!K288:Instances!K288)-MIN(Instances!K288:Instances!K288))</f>
        <v>0</v>
      </c>
      <c r="L288" s="1"/>
      <c r="M288" s="1" cm="1">
        <f t="array" ref="M288">_xlfn.SWITCH($A$2,"average", AVERAGE(Instances!M288:Instances!M288),"median", MEDIAN(Instances!M288:Instances!M288),"min", MIN(Instances!M288:Instances!M288),"max", MAX(Instances!M288:Instances!M288),"diff", MAX(Instances!M288:Instances!M288)-MIN(Instances!M288:Instances!M288))</f>
        <v>0</v>
      </c>
      <c r="N288" s="1" cm="1">
        <f t="array" ref="N288">_xlfn.SWITCH($A$2,"average", AVERAGE(Instances!N288:Instances!N288),"median", MEDIAN(Instances!N288:Instances!N288),"min", MIN(Instances!N288:Instances!N288),"max", MAX(Instances!N288:Instances!N288),"diff", MAX(Instances!N288:Instances!N288)-MIN(Instances!N288:Instances!N288))</f>
        <v>0</v>
      </c>
      <c r="O288" s="1"/>
      <c r="P288" s="1" cm="1">
        <f t="array" ref="P288">_xlfn.SWITCH($A$2,"average", AVERAGE(Instances!P288:Instances!P288),"median", MEDIAN(Instances!P288:Instances!P288),"min", MIN(Instances!P288:Instances!P288),"max", MAX(Instances!P288:Instances!P288),"diff", MAX(Instances!P288:Instances!P288)-MIN(Instances!P288:Instances!P288))</f>
        <v>0</v>
      </c>
      <c r="Q288" s="1" cm="1">
        <f t="array" ref="Q288">_xlfn.SWITCH($A$2,"average", AVERAGE(Instances!Q288:Instances!Q288),"median", MEDIAN(Instances!Q288:Instances!Q288),"min", MIN(Instances!Q288:Instances!Q288),"max", MAX(Instances!Q288:Instances!Q288),"diff", MAX(Instances!Q288:Instances!Q288)-MIN(Instances!Q288:Instances!Q288))</f>
        <v>0</v>
      </c>
      <c r="R288" s="1" cm="1">
        <f t="array" ref="R288">_xlfn.SWITCH($A$2,"average", AVERAGE(Instances!R288:Instances!R288),"median", MEDIAN(Instances!R288:Instances!R288),"min", MIN(Instances!R288:Instances!R288),"max", MAX(Instances!R288:Instances!R288),"diff", MAX(Instances!R288:Instances!R288)-MIN(Instances!R288:Instances!R288))</f>
        <v>0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 cm="1">
        <f t="array" ref="B289">_xlfn.SWITCH($A$2,"average", AVERAGE(Instances!B289:Instances!B289),"median", MEDIAN(Instances!B289:Instances!B289),"min", MIN(Instances!B289:Instances!B289),"max", MAX(Instances!B289:Instances!B289),"diff", MAX(Instances!B289:Instances!B289)-MIN(Instances!B289:Instances!B289))</f>
        <v>0</v>
      </c>
      <c r="C289" s="1" cm="1">
        <f t="array" ref="C289">_xlfn.SWITCH($A$2,"average", AVERAGE(Instances!C289:Instances!C289),"median", MEDIAN(Instances!C289:Instances!C289),"min", MIN(Instances!C289:Instances!C289),"max", MAX(Instances!C289:Instances!C289),"diff", MAX(Instances!C289:Instances!C289)-MIN(Instances!C289:Instances!C289))</f>
        <v>0</v>
      </c>
      <c r="D289" s="1" cm="1">
        <f t="array" ref="D289">_xlfn.SWITCH($A$2,"average", AVERAGE(Instances!D289:Instances!D289),"median", MEDIAN(Instances!D289:Instances!D289),"min", MIN(Instances!D289:Instances!D289),"max", MAX(Instances!D289:Instances!D289),"diff", MAX(Instances!D289:Instances!D289)-MIN(Instances!D289:Instances!D289))</f>
        <v>0</v>
      </c>
      <c r="E289" s="1" cm="1">
        <f t="array" ref="E289">_xlfn.SWITCH($A$2,"average", AVERAGE(Instances!E289:Instances!E289),"median", MEDIAN(Instances!E289:Instances!E289),"min", MIN(Instances!E289:Instances!E289),"max", MAX(Instances!E289:Instances!E289),"diff", MAX(Instances!E289:Instances!E289)-MIN(Instances!E289:Instances!E289))</f>
        <v>0</v>
      </c>
      <c r="F289" s="1" cm="1">
        <f t="array" ref="F289">_xlfn.SWITCH($A$2,"average", AVERAGE(Instances!F289:Instances!F289),"median", MEDIAN(Instances!F289:Instances!F289),"min", MIN(Instances!F289:Instances!F289),"max", MAX(Instances!F289:Instances!F289),"diff", MAX(Instances!F289:Instances!F289)-MIN(Instances!F289:Instances!F289))</f>
        <v>0</v>
      </c>
      <c r="G289" s="1" cm="1">
        <f t="array" ref="G289">_xlfn.SWITCH($A$2,"average", AVERAGE(Instances!G289:Instances!G289),"median", MEDIAN(Instances!G289:Instances!G289),"min", MIN(Instances!G289:Instances!G289),"max", MAX(Instances!G289:Instances!G289),"diff", MAX(Instances!G289:Instances!G289)-MIN(Instances!G289:Instances!G289))</f>
        <v>0</v>
      </c>
      <c r="H289" s="1" cm="1">
        <f t="array" ref="H289">_xlfn.SWITCH($A$2,"average", AVERAGE(Instances!H289:Instances!H289),"median", MEDIAN(Instances!H289:Instances!H289),"min", MIN(Instances!H289:Instances!H289),"max", MAX(Instances!H289:Instances!H289),"diff", MAX(Instances!H289:Instances!H289)-MIN(Instances!H289:Instances!H289))</f>
        <v>0</v>
      </c>
      <c r="I289" s="1" cm="1">
        <f t="array" ref="I289">_xlfn.SWITCH($A$2,"average", AVERAGE(Instances!I289:Instances!I289),"median", MEDIAN(Instances!I289:Instances!I289),"min", MIN(Instances!I289:Instances!I289),"max", MAX(Instances!I289:Instances!I289),"diff", MAX(Instances!I289:Instances!I289)-MIN(Instances!I289:Instances!I289))</f>
        <v>0</v>
      </c>
      <c r="J289" s="1" cm="1">
        <f t="array" ref="J289">_xlfn.SWITCH($A$2,"average", AVERAGE(Instances!J289:Instances!J289),"median", MEDIAN(Instances!J289:Instances!J289),"min", MIN(Instances!J289:Instances!J289),"max", MAX(Instances!J289:Instances!J289),"diff", MAX(Instances!J289:Instances!J289)-MIN(Instances!J289:Instances!J289))</f>
        <v>0</v>
      </c>
      <c r="K289" s="1" cm="1">
        <f t="array" ref="K289">_xlfn.SWITCH($A$2,"average", AVERAGE(Instances!K289:Instances!K289),"median", MEDIAN(Instances!K289:Instances!K289),"min", MIN(Instances!K289:Instances!K289),"max", MAX(Instances!K289:Instances!K289),"diff", MAX(Instances!K289:Instances!K289)-MIN(Instances!K289:Instances!K289))</f>
        <v>0</v>
      </c>
      <c r="L289" s="1"/>
      <c r="M289" s="1" cm="1">
        <f t="array" ref="M289">_xlfn.SWITCH($A$2,"average", AVERAGE(Instances!M289:Instances!M289),"median", MEDIAN(Instances!M289:Instances!M289),"min", MIN(Instances!M289:Instances!M289),"max", MAX(Instances!M289:Instances!M289),"diff", MAX(Instances!M289:Instances!M289)-MIN(Instances!M289:Instances!M289))</f>
        <v>0</v>
      </c>
      <c r="N289" s="1" cm="1">
        <f t="array" ref="N289">_xlfn.SWITCH($A$2,"average", AVERAGE(Instances!N289:Instances!N289),"median", MEDIAN(Instances!N289:Instances!N289),"min", MIN(Instances!N289:Instances!N289),"max", MAX(Instances!N289:Instances!N289),"diff", MAX(Instances!N289:Instances!N289)-MIN(Instances!N289:Instances!N289))</f>
        <v>0</v>
      </c>
      <c r="O289" s="1"/>
      <c r="P289" s="1" cm="1">
        <f t="array" ref="P289">_xlfn.SWITCH($A$2,"average", AVERAGE(Instances!P289:Instances!P289),"median", MEDIAN(Instances!P289:Instances!P289),"min", MIN(Instances!P289:Instances!P289),"max", MAX(Instances!P289:Instances!P289),"diff", MAX(Instances!P289:Instances!P289)-MIN(Instances!P289:Instances!P289))</f>
        <v>0</v>
      </c>
      <c r="Q289" s="1" cm="1">
        <f t="array" ref="Q289">_xlfn.SWITCH($A$2,"average", AVERAGE(Instances!Q289:Instances!Q289),"median", MEDIAN(Instances!Q289:Instances!Q289),"min", MIN(Instances!Q289:Instances!Q289),"max", MAX(Instances!Q289:Instances!Q289),"diff", MAX(Instances!Q289:Instances!Q289)-MIN(Instances!Q289:Instances!Q289))</f>
        <v>0</v>
      </c>
      <c r="R289" s="1" cm="1">
        <f t="array" ref="R289">_xlfn.SWITCH($A$2,"average", AVERAGE(Instances!R289:Instances!R289),"median", MEDIAN(Instances!R289:Instances!R289),"min", MIN(Instances!R289:Instances!R289),"max", MAX(Instances!R289:Instances!R289),"diff", MAX(Instances!R289:Instances!R289)-MIN(Instances!R289:Instances!R289))</f>
        <v>0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 cm="1">
        <f t="array" ref="B290">_xlfn.SWITCH($A$2,"average", AVERAGE(Instances!B290:Instances!B290),"median", MEDIAN(Instances!B290:Instances!B290),"min", MIN(Instances!B290:Instances!B290),"max", MAX(Instances!B290:Instances!B290),"diff", MAX(Instances!B290:Instances!B290)-MIN(Instances!B290:Instances!B290))</f>
        <v>0</v>
      </c>
      <c r="C290" s="1" cm="1">
        <f t="array" ref="C290">_xlfn.SWITCH($A$2,"average", AVERAGE(Instances!C290:Instances!C290),"median", MEDIAN(Instances!C290:Instances!C290),"min", MIN(Instances!C290:Instances!C290),"max", MAX(Instances!C290:Instances!C290),"diff", MAX(Instances!C290:Instances!C290)-MIN(Instances!C290:Instances!C290))</f>
        <v>0</v>
      </c>
      <c r="D290" s="1" cm="1">
        <f t="array" ref="D290">_xlfn.SWITCH($A$2,"average", AVERAGE(Instances!D290:Instances!D290),"median", MEDIAN(Instances!D290:Instances!D290),"min", MIN(Instances!D290:Instances!D290),"max", MAX(Instances!D290:Instances!D290),"diff", MAX(Instances!D290:Instances!D290)-MIN(Instances!D290:Instances!D290))</f>
        <v>0</v>
      </c>
      <c r="E290" s="1" cm="1">
        <f t="array" ref="E290">_xlfn.SWITCH($A$2,"average", AVERAGE(Instances!E290:Instances!E290),"median", MEDIAN(Instances!E290:Instances!E290),"min", MIN(Instances!E290:Instances!E290),"max", MAX(Instances!E290:Instances!E290),"diff", MAX(Instances!E290:Instances!E290)-MIN(Instances!E290:Instances!E290))</f>
        <v>0</v>
      </c>
      <c r="F290" s="1" cm="1">
        <f t="array" ref="F290">_xlfn.SWITCH($A$2,"average", AVERAGE(Instances!F290:Instances!F290),"median", MEDIAN(Instances!F290:Instances!F290),"min", MIN(Instances!F290:Instances!F290),"max", MAX(Instances!F290:Instances!F290),"diff", MAX(Instances!F290:Instances!F290)-MIN(Instances!F290:Instances!F290))</f>
        <v>0</v>
      </c>
      <c r="G290" s="1" cm="1">
        <f t="array" ref="G290">_xlfn.SWITCH($A$2,"average", AVERAGE(Instances!G290:Instances!G290),"median", MEDIAN(Instances!G290:Instances!G290),"min", MIN(Instances!G290:Instances!G290),"max", MAX(Instances!G290:Instances!G290),"diff", MAX(Instances!G290:Instances!G290)-MIN(Instances!G290:Instances!G290))</f>
        <v>0</v>
      </c>
      <c r="H290" s="1" cm="1">
        <f t="array" ref="H290">_xlfn.SWITCH($A$2,"average", AVERAGE(Instances!H290:Instances!H290),"median", MEDIAN(Instances!H290:Instances!H290),"min", MIN(Instances!H290:Instances!H290),"max", MAX(Instances!H290:Instances!H290),"diff", MAX(Instances!H290:Instances!H290)-MIN(Instances!H290:Instances!H290))</f>
        <v>0</v>
      </c>
      <c r="I290" s="1" cm="1">
        <f t="array" ref="I290">_xlfn.SWITCH($A$2,"average", AVERAGE(Instances!I290:Instances!I290),"median", MEDIAN(Instances!I290:Instances!I290),"min", MIN(Instances!I290:Instances!I290),"max", MAX(Instances!I290:Instances!I290),"diff", MAX(Instances!I290:Instances!I290)-MIN(Instances!I290:Instances!I290))</f>
        <v>0</v>
      </c>
      <c r="J290" s="1" cm="1">
        <f t="array" ref="J290">_xlfn.SWITCH($A$2,"average", AVERAGE(Instances!J290:Instances!J290),"median", MEDIAN(Instances!J290:Instances!J290),"min", MIN(Instances!J290:Instances!J290),"max", MAX(Instances!J290:Instances!J290),"diff", MAX(Instances!J290:Instances!J290)-MIN(Instances!J290:Instances!J290))</f>
        <v>0</v>
      </c>
      <c r="K290" s="1" cm="1">
        <f t="array" ref="K290">_xlfn.SWITCH($A$2,"average", AVERAGE(Instances!K290:Instances!K290),"median", MEDIAN(Instances!K290:Instances!K290),"min", MIN(Instances!K290:Instances!K290),"max", MAX(Instances!K290:Instances!K290),"diff", MAX(Instances!K290:Instances!K290)-MIN(Instances!K290:Instances!K290))</f>
        <v>0</v>
      </c>
      <c r="L290" s="1"/>
      <c r="M290" s="1" cm="1">
        <f t="array" ref="M290">_xlfn.SWITCH($A$2,"average", AVERAGE(Instances!M290:Instances!M290),"median", MEDIAN(Instances!M290:Instances!M290),"min", MIN(Instances!M290:Instances!M290),"max", MAX(Instances!M290:Instances!M290),"diff", MAX(Instances!M290:Instances!M290)-MIN(Instances!M290:Instances!M290))</f>
        <v>0</v>
      </c>
      <c r="N290" s="1" cm="1">
        <f t="array" ref="N290">_xlfn.SWITCH($A$2,"average", AVERAGE(Instances!N290:Instances!N290),"median", MEDIAN(Instances!N290:Instances!N290),"min", MIN(Instances!N290:Instances!N290),"max", MAX(Instances!N290:Instances!N290),"diff", MAX(Instances!N290:Instances!N290)-MIN(Instances!N290:Instances!N290))</f>
        <v>0</v>
      </c>
      <c r="O290" s="1"/>
      <c r="P290" s="1" cm="1">
        <f t="array" ref="P290">_xlfn.SWITCH($A$2,"average", AVERAGE(Instances!P290:Instances!P290),"median", MEDIAN(Instances!P290:Instances!P290),"min", MIN(Instances!P290:Instances!P290),"max", MAX(Instances!P290:Instances!P290),"diff", MAX(Instances!P290:Instances!P290)-MIN(Instances!P290:Instances!P290))</f>
        <v>0</v>
      </c>
      <c r="Q290" s="1" cm="1">
        <f t="array" ref="Q290">_xlfn.SWITCH($A$2,"average", AVERAGE(Instances!Q290:Instances!Q290),"median", MEDIAN(Instances!Q290:Instances!Q290),"min", MIN(Instances!Q290:Instances!Q290),"max", MAX(Instances!Q290:Instances!Q290),"diff", MAX(Instances!Q290:Instances!Q290)-MIN(Instances!Q290:Instances!Q290))</f>
        <v>0</v>
      </c>
      <c r="R290" s="1" cm="1">
        <f t="array" ref="R290">_xlfn.SWITCH($A$2,"average", AVERAGE(Instances!R290:Instances!R290),"median", MEDIAN(Instances!R290:Instances!R290),"min", MIN(Instances!R290:Instances!R290),"max", MAX(Instances!R290:Instances!R290),"diff", MAX(Instances!R290:Instances!R290)-MIN(Instances!R290:Instances!R290))</f>
        <v>0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 cm="1">
        <f t="array" ref="B291">_xlfn.SWITCH($A$2,"average", AVERAGE(Instances!B291:Instances!B291),"median", MEDIAN(Instances!B291:Instances!B291),"min", MIN(Instances!B291:Instances!B291),"max", MAX(Instances!B291:Instances!B291),"diff", MAX(Instances!B291:Instances!B291)-MIN(Instances!B291:Instances!B291))</f>
        <v>0</v>
      </c>
      <c r="C291" s="1" cm="1">
        <f t="array" ref="C291">_xlfn.SWITCH($A$2,"average", AVERAGE(Instances!C291:Instances!C291),"median", MEDIAN(Instances!C291:Instances!C291),"min", MIN(Instances!C291:Instances!C291),"max", MAX(Instances!C291:Instances!C291),"diff", MAX(Instances!C291:Instances!C291)-MIN(Instances!C291:Instances!C291))</f>
        <v>0</v>
      </c>
      <c r="D291" s="1" cm="1">
        <f t="array" ref="D291">_xlfn.SWITCH($A$2,"average", AVERAGE(Instances!D291:Instances!D291),"median", MEDIAN(Instances!D291:Instances!D291),"min", MIN(Instances!D291:Instances!D291),"max", MAX(Instances!D291:Instances!D291),"diff", MAX(Instances!D291:Instances!D291)-MIN(Instances!D291:Instances!D291))</f>
        <v>0</v>
      </c>
      <c r="E291" s="1" cm="1">
        <f t="array" ref="E291">_xlfn.SWITCH($A$2,"average", AVERAGE(Instances!E291:Instances!E291),"median", MEDIAN(Instances!E291:Instances!E291),"min", MIN(Instances!E291:Instances!E291),"max", MAX(Instances!E291:Instances!E291),"diff", MAX(Instances!E291:Instances!E291)-MIN(Instances!E291:Instances!E291))</f>
        <v>0</v>
      </c>
      <c r="F291" s="1" cm="1">
        <f t="array" ref="F291">_xlfn.SWITCH($A$2,"average", AVERAGE(Instances!F291:Instances!F291),"median", MEDIAN(Instances!F291:Instances!F291),"min", MIN(Instances!F291:Instances!F291),"max", MAX(Instances!F291:Instances!F291),"diff", MAX(Instances!F291:Instances!F291)-MIN(Instances!F291:Instances!F291))</f>
        <v>0</v>
      </c>
      <c r="G291" s="1" cm="1">
        <f t="array" ref="G291">_xlfn.SWITCH($A$2,"average", AVERAGE(Instances!G291:Instances!G291),"median", MEDIAN(Instances!G291:Instances!G291),"min", MIN(Instances!G291:Instances!G291),"max", MAX(Instances!G291:Instances!G291),"diff", MAX(Instances!G291:Instances!G291)-MIN(Instances!G291:Instances!G291))</f>
        <v>0</v>
      </c>
      <c r="H291" s="1" cm="1">
        <f t="array" ref="H291">_xlfn.SWITCH($A$2,"average", AVERAGE(Instances!H291:Instances!H291),"median", MEDIAN(Instances!H291:Instances!H291),"min", MIN(Instances!H291:Instances!H291),"max", MAX(Instances!H291:Instances!H291),"diff", MAX(Instances!H291:Instances!H291)-MIN(Instances!H291:Instances!H291))</f>
        <v>0</v>
      </c>
      <c r="I291" s="1" cm="1">
        <f t="array" ref="I291">_xlfn.SWITCH($A$2,"average", AVERAGE(Instances!I291:Instances!I291),"median", MEDIAN(Instances!I291:Instances!I291),"min", MIN(Instances!I291:Instances!I291),"max", MAX(Instances!I291:Instances!I291),"diff", MAX(Instances!I291:Instances!I291)-MIN(Instances!I291:Instances!I291))</f>
        <v>0</v>
      </c>
      <c r="J291" s="1" cm="1">
        <f t="array" ref="J291">_xlfn.SWITCH($A$2,"average", AVERAGE(Instances!J291:Instances!J291),"median", MEDIAN(Instances!J291:Instances!J291),"min", MIN(Instances!J291:Instances!J291),"max", MAX(Instances!J291:Instances!J291),"diff", MAX(Instances!J291:Instances!J291)-MIN(Instances!J291:Instances!J291))</f>
        <v>0</v>
      </c>
      <c r="K291" s="1" cm="1">
        <f t="array" ref="K291">_xlfn.SWITCH($A$2,"average", AVERAGE(Instances!K291:Instances!K291),"median", MEDIAN(Instances!K291:Instances!K291),"min", MIN(Instances!K291:Instances!K291),"max", MAX(Instances!K291:Instances!K291),"diff", MAX(Instances!K291:Instances!K291)-MIN(Instances!K291:Instances!K291))</f>
        <v>0</v>
      </c>
      <c r="L291" s="1"/>
      <c r="M291" s="1" cm="1">
        <f t="array" ref="M291">_xlfn.SWITCH($A$2,"average", AVERAGE(Instances!M291:Instances!M291),"median", MEDIAN(Instances!M291:Instances!M291),"min", MIN(Instances!M291:Instances!M291),"max", MAX(Instances!M291:Instances!M291),"diff", MAX(Instances!M291:Instances!M291)-MIN(Instances!M291:Instances!M291))</f>
        <v>0</v>
      </c>
      <c r="N291" s="1" cm="1">
        <f t="array" ref="N291">_xlfn.SWITCH($A$2,"average", AVERAGE(Instances!N291:Instances!N291),"median", MEDIAN(Instances!N291:Instances!N291),"min", MIN(Instances!N291:Instances!N291),"max", MAX(Instances!N291:Instances!N291),"diff", MAX(Instances!N291:Instances!N291)-MIN(Instances!N291:Instances!N291))</f>
        <v>0</v>
      </c>
      <c r="O291" s="1"/>
      <c r="P291" s="1" cm="1">
        <f t="array" ref="P291">_xlfn.SWITCH($A$2,"average", AVERAGE(Instances!P291:Instances!P291),"median", MEDIAN(Instances!P291:Instances!P291),"min", MIN(Instances!P291:Instances!P291),"max", MAX(Instances!P291:Instances!P291),"diff", MAX(Instances!P291:Instances!P291)-MIN(Instances!P291:Instances!P291))</f>
        <v>0</v>
      </c>
      <c r="Q291" s="1" cm="1">
        <f t="array" ref="Q291">_xlfn.SWITCH($A$2,"average", AVERAGE(Instances!Q291:Instances!Q291),"median", MEDIAN(Instances!Q291:Instances!Q291),"min", MIN(Instances!Q291:Instances!Q291),"max", MAX(Instances!Q291:Instances!Q291),"diff", MAX(Instances!Q291:Instances!Q291)-MIN(Instances!Q291:Instances!Q291))</f>
        <v>0</v>
      </c>
      <c r="R291" s="1" cm="1">
        <f t="array" ref="R291">_xlfn.SWITCH($A$2,"average", AVERAGE(Instances!R291:Instances!R291),"median", MEDIAN(Instances!R291:Instances!R291),"min", MIN(Instances!R291:Instances!R291),"max", MAX(Instances!R291:Instances!R291),"diff", MAX(Instances!R291:Instances!R291)-MIN(Instances!R291:Instances!R291))</f>
        <v>0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 cm="1">
        <f t="array" ref="B292">_xlfn.SWITCH($A$2,"average", AVERAGE(Instances!B292:Instances!B292),"median", MEDIAN(Instances!B292:Instances!B292),"min", MIN(Instances!B292:Instances!B292),"max", MAX(Instances!B292:Instances!B292),"diff", MAX(Instances!B292:Instances!B292)-MIN(Instances!B292:Instances!B292))</f>
        <v>0</v>
      </c>
      <c r="C292" s="1" cm="1">
        <f t="array" ref="C292">_xlfn.SWITCH($A$2,"average", AVERAGE(Instances!C292:Instances!C292),"median", MEDIAN(Instances!C292:Instances!C292),"min", MIN(Instances!C292:Instances!C292),"max", MAX(Instances!C292:Instances!C292),"diff", MAX(Instances!C292:Instances!C292)-MIN(Instances!C292:Instances!C292))</f>
        <v>0</v>
      </c>
      <c r="D292" s="1" cm="1">
        <f t="array" ref="D292">_xlfn.SWITCH($A$2,"average", AVERAGE(Instances!D292:Instances!D292),"median", MEDIAN(Instances!D292:Instances!D292),"min", MIN(Instances!D292:Instances!D292),"max", MAX(Instances!D292:Instances!D292),"diff", MAX(Instances!D292:Instances!D292)-MIN(Instances!D292:Instances!D292))</f>
        <v>0</v>
      </c>
      <c r="E292" s="1" cm="1">
        <f t="array" ref="E292">_xlfn.SWITCH($A$2,"average", AVERAGE(Instances!E292:Instances!E292),"median", MEDIAN(Instances!E292:Instances!E292),"min", MIN(Instances!E292:Instances!E292),"max", MAX(Instances!E292:Instances!E292),"diff", MAX(Instances!E292:Instances!E292)-MIN(Instances!E292:Instances!E292))</f>
        <v>0</v>
      </c>
      <c r="F292" s="1" cm="1">
        <f t="array" ref="F292">_xlfn.SWITCH($A$2,"average", AVERAGE(Instances!F292:Instances!F292),"median", MEDIAN(Instances!F292:Instances!F292),"min", MIN(Instances!F292:Instances!F292),"max", MAX(Instances!F292:Instances!F292),"diff", MAX(Instances!F292:Instances!F292)-MIN(Instances!F292:Instances!F292))</f>
        <v>0</v>
      </c>
      <c r="G292" s="1" cm="1">
        <f t="array" ref="G292">_xlfn.SWITCH($A$2,"average", AVERAGE(Instances!G292:Instances!G292),"median", MEDIAN(Instances!G292:Instances!G292),"min", MIN(Instances!G292:Instances!G292),"max", MAX(Instances!G292:Instances!G292),"diff", MAX(Instances!G292:Instances!G292)-MIN(Instances!G292:Instances!G292))</f>
        <v>0</v>
      </c>
      <c r="H292" s="1" cm="1">
        <f t="array" ref="H292">_xlfn.SWITCH($A$2,"average", AVERAGE(Instances!H292:Instances!H292),"median", MEDIAN(Instances!H292:Instances!H292),"min", MIN(Instances!H292:Instances!H292),"max", MAX(Instances!H292:Instances!H292),"diff", MAX(Instances!H292:Instances!H292)-MIN(Instances!H292:Instances!H292))</f>
        <v>0</v>
      </c>
      <c r="I292" s="1" cm="1">
        <f t="array" ref="I292">_xlfn.SWITCH($A$2,"average", AVERAGE(Instances!I292:Instances!I292),"median", MEDIAN(Instances!I292:Instances!I292),"min", MIN(Instances!I292:Instances!I292),"max", MAX(Instances!I292:Instances!I292),"diff", MAX(Instances!I292:Instances!I292)-MIN(Instances!I292:Instances!I292))</f>
        <v>0</v>
      </c>
      <c r="J292" s="1" cm="1">
        <f t="array" ref="J292">_xlfn.SWITCH($A$2,"average", AVERAGE(Instances!J292:Instances!J292),"median", MEDIAN(Instances!J292:Instances!J292),"min", MIN(Instances!J292:Instances!J292),"max", MAX(Instances!J292:Instances!J292),"diff", MAX(Instances!J292:Instances!J292)-MIN(Instances!J292:Instances!J292))</f>
        <v>0</v>
      </c>
      <c r="K292" s="1" cm="1">
        <f t="array" ref="K292">_xlfn.SWITCH($A$2,"average", AVERAGE(Instances!K292:Instances!K292),"median", MEDIAN(Instances!K292:Instances!K292),"min", MIN(Instances!K292:Instances!K292),"max", MAX(Instances!K292:Instances!K292),"diff", MAX(Instances!K292:Instances!K292)-MIN(Instances!K292:Instances!K292))</f>
        <v>0</v>
      </c>
      <c r="L292" s="1"/>
      <c r="M292" s="1" cm="1">
        <f t="array" ref="M292">_xlfn.SWITCH($A$2,"average", AVERAGE(Instances!M292:Instances!M292),"median", MEDIAN(Instances!M292:Instances!M292),"min", MIN(Instances!M292:Instances!M292),"max", MAX(Instances!M292:Instances!M292),"diff", MAX(Instances!M292:Instances!M292)-MIN(Instances!M292:Instances!M292))</f>
        <v>0</v>
      </c>
      <c r="N292" s="1" cm="1">
        <f t="array" ref="N292">_xlfn.SWITCH($A$2,"average", AVERAGE(Instances!N292:Instances!N292),"median", MEDIAN(Instances!N292:Instances!N292),"min", MIN(Instances!N292:Instances!N292),"max", MAX(Instances!N292:Instances!N292),"diff", MAX(Instances!N292:Instances!N292)-MIN(Instances!N292:Instances!N292))</f>
        <v>0</v>
      </c>
      <c r="O292" s="1"/>
      <c r="P292" s="1" cm="1">
        <f t="array" ref="P292">_xlfn.SWITCH($A$2,"average", AVERAGE(Instances!P292:Instances!P292),"median", MEDIAN(Instances!P292:Instances!P292),"min", MIN(Instances!P292:Instances!P292),"max", MAX(Instances!P292:Instances!P292),"diff", MAX(Instances!P292:Instances!P292)-MIN(Instances!P292:Instances!P292))</f>
        <v>0</v>
      </c>
      <c r="Q292" s="1" cm="1">
        <f t="array" ref="Q292">_xlfn.SWITCH($A$2,"average", AVERAGE(Instances!Q292:Instances!Q292),"median", MEDIAN(Instances!Q292:Instances!Q292),"min", MIN(Instances!Q292:Instances!Q292),"max", MAX(Instances!Q292:Instances!Q292),"diff", MAX(Instances!Q292:Instances!Q292)-MIN(Instances!Q292:Instances!Q292))</f>
        <v>0</v>
      </c>
      <c r="R292" s="1" cm="1">
        <f t="array" ref="R292">_xlfn.SWITCH($A$2,"average", AVERAGE(Instances!R292:Instances!R292),"median", MEDIAN(Instances!R292:Instances!R292),"min", MIN(Instances!R292:Instances!R292),"max", MAX(Instances!R292:Instances!R292),"diff", MAX(Instances!R292:Instances!R292)-MIN(Instances!R292:Instances!R292))</f>
        <v>0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 cm="1">
        <f t="array" ref="B293">_xlfn.SWITCH($A$2,"average", AVERAGE(Instances!B293:Instances!B293),"median", MEDIAN(Instances!B293:Instances!B293),"min", MIN(Instances!B293:Instances!B293),"max", MAX(Instances!B293:Instances!B293),"diff", MAX(Instances!B293:Instances!B293)-MIN(Instances!B293:Instances!B293))</f>
        <v>0</v>
      </c>
      <c r="C293" s="1" cm="1">
        <f t="array" ref="C293">_xlfn.SWITCH($A$2,"average", AVERAGE(Instances!C293:Instances!C293),"median", MEDIAN(Instances!C293:Instances!C293),"min", MIN(Instances!C293:Instances!C293),"max", MAX(Instances!C293:Instances!C293),"diff", MAX(Instances!C293:Instances!C293)-MIN(Instances!C293:Instances!C293))</f>
        <v>0</v>
      </c>
      <c r="D293" s="1" cm="1">
        <f t="array" ref="D293">_xlfn.SWITCH($A$2,"average", AVERAGE(Instances!D293:Instances!D293),"median", MEDIAN(Instances!D293:Instances!D293),"min", MIN(Instances!D293:Instances!D293),"max", MAX(Instances!D293:Instances!D293),"diff", MAX(Instances!D293:Instances!D293)-MIN(Instances!D293:Instances!D293))</f>
        <v>0</v>
      </c>
      <c r="E293" s="1" cm="1">
        <f t="array" ref="E293">_xlfn.SWITCH($A$2,"average", AVERAGE(Instances!E293:Instances!E293),"median", MEDIAN(Instances!E293:Instances!E293),"min", MIN(Instances!E293:Instances!E293),"max", MAX(Instances!E293:Instances!E293),"diff", MAX(Instances!E293:Instances!E293)-MIN(Instances!E293:Instances!E293))</f>
        <v>0</v>
      </c>
      <c r="F293" s="1" cm="1">
        <f t="array" ref="F293">_xlfn.SWITCH($A$2,"average", AVERAGE(Instances!F293:Instances!F293),"median", MEDIAN(Instances!F293:Instances!F293),"min", MIN(Instances!F293:Instances!F293),"max", MAX(Instances!F293:Instances!F293),"diff", MAX(Instances!F293:Instances!F293)-MIN(Instances!F293:Instances!F293))</f>
        <v>0</v>
      </c>
      <c r="G293" s="1" cm="1">
        <f t="array" ref="G293">_xlfn.SWITCH($A$2,"average", AVERAGE(Instances!G293:Instances!G293),"median", MEDIAN(Instances!G293:Instances!G293),"min", MIN(Instances!G293:Instances!G293),"max", MAX(Instances!G293:Instances!G293),"diff", MAX(Instances!G293:Instances!G293)-MIN(Instances!G293:Instances!G293))</f>
        <v>0</v>
      </c>
      <c r="H293" s="1" cm="1">
        <f t="array" ref="H293">_xlfn.SWITCH($A$2,"average", AVERAGE(Instances!H293:Instances!H293),"median", MEDIAN(Instances!H293:Instances!H293),"min", MIN(Instances!H293:Instances!H293),"max", MAX(Instances!H293:Instances!H293),"diff", MAX(Instances!H293:Instances!H293)-MIN(Instances!H293:Instances!H293))</f>
        <v>0</v>
      </c>
      <c r="I293" s="1" cm="1">
        <f t="array" ref="I293">_xlfn.SWITCH($A$2,"average", AVERAGE(Instances!I293:Instances!I293),"median", MEDIAN(Instances!I293:Instances!I293),"min", MIN(Instances!I293:Instances!I293),"max", MAX(Instances!I293:Instances!I293),"diff", MAX(Instances!I293:Instances!I293)-MIN(Instances!I293:Instances!I293))</f>
        <v>0</v>
      </c>
      <c r="J293" s="1" cm="1">
        <f t="array" ref="J293">_xlfn.SWITCH($A$2,"average", AVERAGE(Instances!J293:Instances!J293),"median", MEDIAN(Instances!J293:Instances!J293),"min", MIN(Instances!J293:Instances!J293),"max", MAX(Instances!J293:Instances!J293),"diff", MAX(Instances!J293:Instances!J293)-MIN(Instances!J293:Instances!J293))</f>
        <v>0</v>
      </c>
      <c r="K293" s="1" cm="1">
        <f t="array" ref="K293">_xlfn.SWITCH($A$2,"average", AVERAGE(Instances!K293:Instances!K293),"median", MEDIAN(Instances!K293:Instances!K293),"min", MIN(Instances!K293:Instances!K293),"max", MAX(Instances!K293:Instances!K293),"diff", MAX(Instances!K293:Instances!K293)-MIN(Instances!K293:Instances!K293))</f>
        <v>0</v>
      </c>
      <c r="L293" s="1"/>
      <c r="M293" s="1" cm="1">
        <f t="array" ref="M293">_xlfn.SWITCH($A$2,"average", AVERAGE(Instances!M293:Instances!M293),"median", MEDIAN(Instances!M293:Instances!M293),"min", MIN(Instances!M293:Instances!M293),"max", MAX(Instances!M293:Instances!M293),"diff", MAX(Instances!M293:Instances!M293)-MIN(Instances!M293:Instances!M293))</f>
        <v>0</v>
      </c>
      <c r="N293" s="1" cm="1">
        <f t="array" ref="N293">_xlfn.SWITCH($A$2,"average", AVERAGE(Instances!N293:Instances!N293),"median", MEDIAN(Instances!N293:Instances!N293),"min", MIN(Instances!N293:Instances!N293),"max", MAX(Instances!N293:Instances!N293),"diff", MAX(Instances!N293:Instances!N293)-MIN(Instances!N293:Instances!N293))</f>
        <v>0</v>
      </c>
      <c r="O293" s="1"/>
      <c r="P293" s="1" cm="1">
        <f t="array" ref="P293">_xlfn.SWITCH($A$2,"average", AVERAGE(Instances!P293:Instances!P293),"median", MEDIAN(Instances!P293:Instances!P293),"min", MIN(Instances!P293:Instances!P293),"max", MAX(Instances!P293:Instances!P293),"diff", MAX(Instances!P293:Instances!P293)-MIN(Instances!P293:Instances!P293))</f>
        <v>0</v>
      </c>
      <c r="Q293" s="1" cm="1">
        <f t="array" ref="Q293">_xlfn.SWITCH($A$2,"average", AVERAGE(Instances!Q293:Instances!Q293),"median", MEDIAN(Instances!Q293:Instances!Q293),"min", MIN(Instances!Q293:Instances!Q293),"max", MAX(Instances!Q293:Instances!Q293),"diff", MAX(Instances!Q293:Instances!Q293)-MIN(Instances!Q293:Instances!Q293))</f>
        <v>0</v>
      </c>
      <c r="R293" s="1" cm="1">
        <f t="array" ref="R293">_xlfn.SWITCH($A$2,"average", AVERAGE(Instances!R293:Instances!R293),"median", MEDIAN(Instances!R293:Instances!R293),"min", MIN(Instances!R293:Instances!R293),"max", MAX(Instances!R293:Instances!R293),"diff", MAX(Instances!R293:Instances!R293)-MIN(Instances!R293:Instances!R293))</f>
        <v>0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 cm="1">
        <f t="array" ref="B294">_xlfn.SWITCH($A$2,"average", AVERAGE(Instances!B294:Instances!B294),"median", MEDIAN(Instances!B294:Instances!B294),"min", MIN(Instances!B294:Instances!B294),"max", MAX(Instances!B294:Instances!B294),"diff", MAX(Instances!B294:Instances!B294)-MIN(Instances!B294:Instances!B294))</f>
        <v>0</v>
      </c>
      <c r="C294" s="1" cm="1">
        <f t="array" ref="C294">_xlfn.SWITCH($A$2,"average", AVERAGE(Instances!C294:Instances!C294),"median", MEDIAN(Instances!C294:Instances!C294),"min", MIN(Instances!C294:Instances!C294),"max", MAX(Instances!C294:Instances!C294),"diff", MAX(Instances!C294:Instances!C294)-MIN(Instances!C294:Instances!C294))</f>
        <v>0</v>
      </c>
      <c r="D294" s="1" cm="1">
        <f t="array" ref="D294">_xlfn.SWITCH($A$2,"average", AVERAGE(Instances!D294:Instances!D294),"median", MEDIAN(Instances!D294:Instances!D294),"min", MIN(Instances!D294:Instances!D294),"max", MAX(Instances!D294:Instances!D294),"diff", MAX(Instances!D294:Instances!D294)-MIN(Instances!D294:Instances!D294))</f>
        <v>0</v>
      </c>
      <c r="E294" s="1" cm="1">
        <f t="array" ref="E294">_xlfn.SWITCH($A$2,"average", AVERAGE(Instances!E294:Instances!E294),"median", MEDIAN(Instances!E294:Instances!E294),"min", MIN(Instances!E294:Instances!E294),"max", MAX(Instances!E294:Instances!E294),"diff", MAX(Instances!E294:Instances!E294)-MIN(Instances!E294:Instances!E294))</f>
        <v>0</v>
      </c>
      <c r="F294" s="1" cm="1">
        <f t="array" ref="F294">_xlfn.SWITCH($A$2,"average", AVERAGE(Instances!F294:Instances!F294),"median", MEDIAN(Instances!F294:Instances!F294),"min", MIN(Instances!F294:Instances!F294),"max", MAX(Instances!F294:Instances!F294),"diff", MAX(Instances!F294:Instances!F294)-MIN(Instances!F294:Instances!F294))</f>
        <v>0</v>
      </c>
      <c r="G294" s="1" cm="1">
        <f t="array" ref="G294">_xlfn.SWITCH($A$2,"average", AVERAGE(Instances!G294:Instances!G294),"median", MEDIAN(Instances!G294:Instances!G294),"min", MIN(Instances!G294:Instances!G294),"max", MAX(Instances!G294:Instances!G294),"diff", MAX(Instances!G294:Instances!G294)-MIN(Instances!G294:Instances!G294))</f>
        <v>0</v>
      </c>
      <c r="H294" s="1" cm="1">
        <f t="array" ref="H294">_xlfn.SWITCH($A$2,"average", AVERAGE(Instances!H294:Instances!H294),"median", MEDIAN(Instances!H294:Instances!H294),"min", MIN(Instances!H294:Instances!H294),"max", MAX(Instances!H294:Instances!H294),"diff", MAX(Instances!H294:Instances!H294)-MIN(Instances!H294:Instances!H294))</f>
        <v>0</v>
      </c>
      <c r="I294" s="1" cm="1">
        <f t="array" ref="I294">_xlfn.SWITCH($A$2,"average", AVERAGE(Instances!I294:Instances!I294),"median", MEDIAN(Instances!I294:Instances!I294),"min", MIN(Instances!I294:Instances!I294),"max", MAX(Instances!I294:Instances!I294),"diff", MAX(Instances!I294:Instances!I294)-MIN(Instances!I294:Instances!I294))</f>
        <v>0</v>
      </c>
      <c r="J294" s="1" cm="1">
        <f t="array" ref="J294">_xlfn.SWITCH($A$2,"average", AVERAGE(Instances!J294:Instances!J294),"median", MEDIAN(Instances!J294:Instances!J294),"min", MIN(Instances!J294:Instances!J294),"max", MAX(Instances!J294:Instances!J294),"diff", MAX(Instances!J294:Instances!J294)-MIN(Instances!J294:Instances!J294))</f>
        <v>0</v>
      </c>
      <c r="K294" s="1" cm="1">
        <f t="array" ref="K294">_xlfn.SWITCH($A$2,"average", AVERAGE(Instances!K294:Instances!K294),"median", MEDIAN(Instances!K294:Instances!K294),"min", MIN(Instances!K294:Instances!K294),"max", MAX(Instances!K294:Instances!K294),"diff", MAX(Instances!K294:Instances!K294)-MIN(Instances!K294:Instances!K294))</f>
        <v>0</v>
      </c>
      <c r="L294" s="1"/>
      <c r="M294" s="1" cm="1">
        <f t="array" ref="M294">_xlfn.SWITCH($A$2,"average", AVERAGE(Instances!M294:Instances!M294),"median", MEDIAN(Instances!M294:Instances!M294),"min", MIN(Instances!M294:Instances!M294),"max", MAX(Instances!M294:Instances!M294),"diff", MAX(Instances!M294:Instances!M294)-MIN(Instances!M294:Instances!M294))</f>
        <v>0</v>
      </c>
      <c r="N294" s="1" cm="1">
        <f t="array" ref="N294">_xlfn.SWITCH($A$2,"average", AVERAGE(Instances!N294:Instances!N294),"median", MEDIAN(Instances!N294:Instances!N294),"min", MIN(Instances!N294:Instances!N294),"max", MAX(Instances!N294:Instances!N294),"diff", MAX(Instances!N294:Instances!N294)-MIN(Instances!N294:Instances!N294))</f>
        <v>0</v>
      </c>
      <c r="O294" s="1"/>
      <c r="P294" s="1" cm="1">
        <f t="array" ref="P294">_xlfn.SWITCH($A$2,"average", AVERAGE(Instances!P294:Instances!P294),"median", MEDIAN(Instances!P294:Instances!P294),"min", MIN(Instances!P294:Instances!P294),"max", MAX(Instances!P294:Instances!P294),"diff", MAX(Instances!P294:Instances!P294)-MIN(Instances!P294:Instances!P294))</f>
        <v>0</v>
      </c>
      <c r="Q294" s="1" cm="1">
        <f t="array" ref="Q294">_xlfn.SWITCH($A$2,"average", AVERAGE(Instances!Q294:Instances!Q294),"median", MEDIAN(Instances!Q294:Instances!Q294),"min", MIN(Instances!Q294:Instances!Q294),"max", MAX(Instances!Q294:Instances!Q294),"diff", MAX(Instances!Q294:Instances!Q294)-MIN(Instances!Q294:Instances!Q294))</f>
        <v>0</v>
      </c>
      <c r="R294" s="1" cm="1">
        <f t="array" ref="R294">_xlfn.SWITCH($A$2,"average", AVERAGE(Instances!R294:Instances!R294),"median", MEDIAN(Instances!R294:Instances!R294),"min", MIN(Instances!R294:Instances!R294),"max", MAX(Instances!R294:Instances!R294),"diff", MAX(Instances!R294:Instances!R294)-MIN(Instances!R294:Instances!R294))</f>
        <v>0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 cm="1">
        <f t="array" ref="B295">_xlfn.SWITCH($A$2,"average", AVERAGE(Instances!B295:Instances!B295),"median", MEDIAN(Instances!B295:Instances!B295),"min", MIN(Instances!B295:Instances!B295),"max", MAX(Instances!B295:Instances!B295),"diff", MAX(Instances!B295:Instances!B295)-MIN(Instances!B295:Instances!B295))</f>
        <v>0</v>
      </c>
      <c r="C295" s="1" cm="1">
        <f t="array" ref="C295">_xlfn.SWITCH($A$2,"average", AVERAGE(Instances!C295:Instances!C295),"median", MEDIAN(Instances!C295:Instances!C295),"min", MIN(Instances!C295:Instances!C295),"max", MAX(Instances!C295:Instances!C295),"diff", MAX(Instances!C295:Instances!C295)-MIN(Instances!C295:Instances!C295))</f>
        <v>0</v>
      </c>
      <c r="D295" s="1" cm="1">
        <f t="array" ref="D295">_xlfn.SWITCH($A$2,"average", AVERAGE(Instances!D295:Instances!D295),"median", MEDIAN(Instances!D295:Instances!D295),"min", MIN(Instances!D295:Instances!D295),"max", MAX(Instances!D295:Instances!D295),"diff", MAX(Instances!D295:Instances!D295)-MIN(Instances!D295:Instances!D295))</f>
        <v>0</v>
      </c>
      <c r="E295" s="1" cm="1">
        <f t="array" ref="E295">_xlfn.SWITCH($A$2,"average", AVERAGE(Instances!E295:Instances!E295),"median", MEDIAN(Instances!E295:Instances!E295),"min", MIN(Instances!E295:Instances!E295),"max", MAX(Instances!E295:Instances!E295),"diff", MAX(Instances!E295:Instances!E295)-MIN(Instances!E295:Instances!E295))</f>
        <v>0</v>
      </c>
      <c r="F295" s="1" cm="1">
        <f t="array" ref="F295">_xlfn.SWITCH($A$2,"average", AVERAGE(Instances!F295:Instances!F295),"median", MEDIAN(Instances!F295:Instances!F295),"min", MIN(Instances!F295:Instances!F295),"max", MAX(Instances!F295:Instances!F295),"diff", MAX(Instances!F295:Instances!F295)-MIN(Instances!F295:Instances!F295))</f>
        <v>0</v>
      </c>
      <c r="G295" s="1" cm="1">
        <f t="array" ref="G295">_xlfn.SWITCH($A$2,"average", AVERAGE(Instances!G295:Instances!G295),"median", MEDIAN(Instances!G295:Instances!G295),"min", MIN(Instances!G295:Instances!G295),"max", MAX(Instances!G295:Instances!G295),"diff", MAX(Instances!G295:Instances!G295)-MIN(Instances!G295:Instances!G295))</f>
        <v>0</v>
      </c>
      <c r="H295" s="1" cm="1">
        <f t="array" ref="H295">_xlfn.SWITCH($A$2,"average", AVERAGE(Instances!H295:Instances!H295),"median", MEDIAN(Instances!H295:Instances!H295),"min", MIN(Instances!H295:Instances!H295),"max", MAX(Instances!H295:Instances!H295),"diff", MAX(Instances!H295:Instances!H295)-MIN(Instances!H295:Instances!H295))</f>
        <v>0</v>
      </c>
      <c r="I295" s="1" cm="1">
        <f t="array" ref="I295">_xlfn.SWITCH($A$2,"average", AVERAGE(Instances!I295:Instances!I295),"median", MEDIAN(Instances!I295:Instances!I295),"min", MIN(Instances!I295:Instances!I295),"max", MAX(Instances!I295:Instances!I295),"diff", MAX(Instances!I295:Instances!I295)-MIN(Instances!I295:Instances!I295))</f>
        <v>0</v>
      </c>
      <c r="J295" s="1" cm="1">
        <f t="array" ref="J295">_xlfn.SWITCH($A$2,"average", AVERAGE(Instances!J295:Instances!J295),"median", MEDIAN(Instances!J295:Instances!J295),"min", MIN(Instances!J295:Instances!J295),"max", MAX(Instances!J295:Instances!J295),"diff", MAX(Instances!J295:Instances!J295)-MIN(Instances!J295:Instances!J295))</f>
        <v>0</v>
      </c>
      <c r="K295" s="1" cm="1">
        <f t="array" ref="K295">_xlfn.SWITCH($A$2,"average", AVERAGE(Instances!K295:Instances!K295),"median", MEDIAN(Instances!K295:Instances!K295),"min", MIN(Instances!K295:Instances!K295),"max", MAX(Instances!K295:Instances!K295),"diff", MAX(Instances!K295:Instances!K295)-MIN(Instances!K295:Instances!K295))</f>
        <v>0</v>
      </c>
      <c r="L295" s="1"/>
      <c r="M295" s="1" cm="1">
        <f t="array" ref="M295">_xlfn.SWITCH($A$2,"average", AVERAGE(Instances!M295:Instances!M295),"median", MEDIAN(Instances!M295:Instances!M295),"min", MIN(Instances!M295:Instances!M295),"max", MAX(Instances!M295:Instances!M295),"diff", MAX(Instances!M295:Instances!M295)-MIN(Instances!M295:Instances!M295))</f>
        <v>0</v>
      </c>
      <c r="N295" s="1" cm="1">
        <f t="array" ref="N295">_xlfn.SWITCH($A$2,"average", AVERAGE(Instances!N295:Instances!N295),"median", MEDIAN(Instances!N295:Instances!N295),"min", MIN(Instances!N295:Instances!N295),"max", MAX(Instances!N295:Instances!N295),"diff", MAX(Instances!N295:Instances!N295)-MIN(Instances!N295:Instances!N295))</f>
        <v>0</v>
      </c>
      <c r="O295" s="1"/>
      <c r="P295" s="1" cm="1">
        <f t="array" ref="P295">_xlfn.SWITCH($A$2,"average", AVERAGE(Instances!P295:Instances!P295),"median", MEDIAN(Instances!P295:Instances!P295),"min", MIN(Instances!P295:Instances!P295),"max", MAX(Instances!P295:Instances!P295),"diff", MAX(Instances!P295:Instances!P295)-MIN(Instances!P295:Instances!P295))</f>
        <v>0</v>
      </c>
      <c r="Q295" s="1" cm="1">
        <f t="array" ref="Q295">_xlfn.SWITCH($A$2,"average", AVERAGE(Instances!Q295:Instances!Q295),"median", MEDIAN(Instances!Q295:Instances!Q295),"min", MIN(Instances!Q295:Instances!Q295),"max", MAX(Instances!Q295:Instances!Q295),"diff", MAX(Instances!Q295:Instances!Q295)-MIN(Instances!Q295:Instances!Q295))</f>
        <v>0</v>
      </c>
      <c r="R295" s="1" cm="1">
        <f t="array" ref="R295">_xlfn.SWITCH($A$2,"average", AVERAGE(Instances!R295:Instances!R295),"median", MEDIAN(Instances!R295:Instances!R295),"min", MIN(Instances!R295:Instances!R295),"max", MAX(Instances!R295:Instances!R295),"diff", MAX(Instances!R295:Instances!R295)-MIN(Instances!R295:Instances!R295))</f>
        <v>0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 cm="1">
        <f t="array" ref="B296">_xlfn.SWITCH($A$2,"average", AVERAGE(Instances!B296:Instances!B296),"median", MEDIAN(Instances!B296:Instances!B296),"min", MIN(Instances!B296:Instances!B296),"max", MAX(Instances!B296:Instances!B296),"diff", MAX(Instances!B296:Instances!B296)-MIN(Instances!B296:Instances!B296))</f>
        <v>0</v>
      </c>
      <c r="C296" s="1" cm="1">
        <f t="array" ref="C296">_xlfn.SWITCH($A$2,"average", AVERAGE(Instances!C296:Instances!C296),"median", MEDIAN(Instances!C296:Instances!C296),"min", MIN(Instances!C296:Instances!C296),"max", MAX(Instances!C296:Instances!C296),"diff", MAX(Instances!C296:Instances!C296)-MIN(Instances!C296:Instances!C296))</f>
        <v>0</v>
      </c>
      <c r="D296" s="1" cm="1">
        <f t="array" ref="D296">_xlfn.SWITCH($A$2,"average", AVERAGE(Instances!D296:Instances!D296),"median", MEDIAN(Instances!D296:Instances!D296),"min", MIN(Instances!D296:Instances!D296),"max", MAX(Instances!D296:Instances!D296),"diff", MAX(Instances!D296:Instances!D296)-MIN(Instances!D296:Instances!D296))</f>
        <v>0</v>
      </c>
      <c r="E296" s="1" cm="1">
        <f t="array" ref="E296">_xlfn.SWITCH($A$2,"average", AVERAGE(Instances!E296:Instances!E296),"median", MEDIAN(Instances!E296:Instances!E296),"min", MIN(Instances!E296:Instances!E296),"max", MAX(Instances!E296:Instances!E296),"diff", MAX(Instances!E296:Instances!E296)-MIN(Instances!E296:Instances!E296))</f>
        <v>0</v>
      </c>
      <c r="F296" s="1" cm="1">
        <f t="array" ref="F296">_xlfn.SWITCH($A$2,"average", AVERAGE(Instances!F296:Instances!F296),"median", MEDIAN(Instances!F296:Instances!F296),"min", MIN(Instances!F296:Instances!F296),"max", MAX(Instances!F296:Instances!F296),"diff", MAX(Instances!F296:Instances!F296)-MIN(Instances!F296:Instances!F296))</f>
        <v>0</v>
      </c>
      <c r="G296" s="1" cm="1">
        <f t="array" ref="G296">_xlfn.SWITCH($A$2,"average", AVERAGE(Instances!G296:Instances!G296),"median", MEDIAN(Instances!G296:Instances!G296),"min", MIN(Instances!G296:Instances!G296),"max", MAX(Instances!G296:Instances!G296),"diff", MAX(Instances!G296:Instances!G296)-MIN(Instances!G296:Instances!G296))</f>
        <v>0</v>
      </c>
      <c r="H296" s="1" cm="1">
        <f t="array" ref="H296">_xlfn.SWITCH($A$2,"average", AVERAGE(Instances!H296:Instances!H296),"median", MEDIAN(Instances!H296:Instances!H296),"min", MIN(Instances!H296:Instances!H296),"max", MAX(Instances!H296:Instances!H296),"diff", MAX(Instances!H296:Instances!H296)-MIN(Instances!H296:Instances!H296))</f>
        <v>0</v>
      </c>
      <c r="I296" s="1" cm="1">
        <f t="array" ref="I296">_xlfn.SWITCH($A$2,"average", AVERAGE(Instances!I296:Instances!I296),"median", MEDIAN(Instances!I296:Instances!I296),"min", MIN(Instances!I296:Instances!I296),"max", MAX(Instances!I296:Instances!I296),"diff", MAX(Instances!I296:Instances!I296)-MIN(Instances!I296:Instances!I296))</f>
        <v>0</v>
      </c>
      <c r="J296" s="1" cm="1">
        <f t="array" ref="J296">_xlfn.SWITCH($A$2,"average", AVERAGE(Instances!J296:Instances!J296),"median", MEDIAN(Instances!J296:Instances!J296),"min", MIN(Instances!J296:Instances!J296),"max", MAX(Instances!J296:Instances!J296),"diff", MAX(Instances!J296:Instances!J296)-MIN(Instances!J296:Instances!J296))</f>
        <v>0</v>
      </c>
      <c r="K296" s="1" cm="1">
        <f t="array" ref="K296">_xlfn.SWITCH($A$2,"average", AVERAGE(Instances!K296:Instances!K296),"median", MEDIAN(Instances!K296:Instances!K296),"min", MIN(Instances!K296:Instances!K296),"max", MAX(Instances!K296:Instances!K296),"diff", MAX(Instances!K296:Instances!K296)-MIN(Instances!K296:Instances!K296))</f>
        <v>0</v>
      </c>
      <c r="L296" s="1"/>
      <c r="M296" s="1" cm="1">
        <f t="array" ref="M296">_xlfn.SWITCH($A$2,"average", AVERAGE(Instances!M296:Instances!M296),"median", MEDIAN(Instances!M296:Instances!M296),"min", MIN(Instances!M296:Instances!M296),"max", MAX(Instances!M296:Instances!M296),"diff", MAX(Instances!M296:Instances!M296)-MIN(Instances!M296:Instances!M296))</f>
        <v>0</v>
      </c>
      <c r="N296" s="1" cm="1">
        <f t="array" ref="N296">_xlfn.SWITCH($A$2,"average", AVERAGE(Instances!N296:Instances!N296),"median", MEDIAN(Instances!N296:Instances!N296),"min", MIN(Instances!N296:Instances!N296),"max", MAX(Instances!N296:Instances!N296),"diff", MAX(Instances!N296:Instances!N296)-MIN(Instances!N296:Instances!N296))</f>
        <v>0</v>
      </c>
      <c r="O296" s="1"/>
      <c r="P296" s="1" cm="1">
        <f t="array" ref="P296">_xlfn.SWITCH($A$2,"average", AVERAGE(Instances!P296:Instances!P296),"median", MEDIAN(Instances!P296:Instances!P296),"min", MIN(Instances!P296:Instances!P296),"max", MAX(Instances!P296:Instances!P296),"diff", MAX(Instances!P296:Instances!P296)-MIN(Instances!P296:Instances!P296))</f>
        <v>0</v>
      </c>
      <c r="Q296" s="1" cm="1">
        <f t="array" ref="Q296">_xlfn.SWITCH($A$2,"average", AVERAGE(Instances!Q296:Instances!Q296),"median", MEDIAN(Instances!Q296:Instances!Q296),"min", MIN(Instances!Q296:Instances!Q296),"max", MAX(Instances!Q296:Instances!Q296),"diff", MAX(Instances!Q296:Instances!Q296)-MIN(Instances!Q296:Instances!Q296))</f>
        <v>0</v>
      </c>
      <c r="R296" s="1" cm="1">
        <f t="array" ref="R296">_xlfn.SWITCH($A$2,"average", AVERAGE(Instances!R296:Instances!R296),"median", MEDIAN(Instances!R296:Instances!R296),"min", MIN(Instances!R296:Instances!R296),"max", MAX(Instances!R296:Instances!R296),"diff", MAX(Instances!R296:Instances!R296)-MIN(Instances!R296:Instances!R296))</f>
        <v>0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 cm="1">
        <f t="array" ref="B297">_xlfn.SWITCH($A$2,"average", AVERAGE(Instances!B297:Instances!B297),"median", MEDIAN(Instances!B297:Instances!B297),"min", MIN(Instances!B297:Instances!B297),"max", MAX(Instances!B297:Instances!B297),"diff", MAX(Instances!B297:Instances!B297)-MIN(Instances!B297:Instances!B297))</f>
        <v>0</v>
      </c>
      <c r="C297" s="1" cm="1">
        <f t="array" ref="C297">_xlfn.SWITCH($A$2,"average", AVERAGE(Instances!C297:Instances!C297),"median", MEDIAN(Instances!C297:Instances!C297),"min", MIN(Instances!C297:Instances!C297),"max", MAX(Instances!C297:Instances!C297),"diff", MAX(Instances!C297:Instances!C297)-MIN(Instances!C297:Instances!C297))</f>
        <v>0</v>
      </c>
      <c r="D297" s="1" cm="1">
        <f t="array" ref="D297">_xlfn.SWITCH($A$2,"average", AVERAGE(Instances!D297:Instances!D297),"median", MEDIAN(Instances!D297:Instances!D297),"min", MIN(Instances!D297:Instances!D297),"max", MAX(Instances!D297:Instances!D297),"diff", MAX(Instances!D297:Instances!D297)-MIN(Instances!D297:Instances!D297))</f>
        <v>0</v>
      </c>
      <c r="E297" s="1" cm="1">
        <f t="array" ref="E297">_xlfn.SWITCH($A$2,"average", AVERAGE(Instances!E297:Instances!E297),"median", MEDIAN(Instances!E297:Instances!E297),"min", MIN(Instances!E297:Instances!E297),"max", MAX(Instances!E297:Instances!E297),"diff", MAX(Instances!E297:Instances!E297)-MIN(Instances!E297:Instances!E297))</f>
        <v>0</v>
      </c>
      <c r="F297" s="1" cm="1">
        <f t="array" ref="F297">_xlfn.SWITCH($A$2,"average", AVERAGE(Instances!F297:Instances!F297),"median", MEDIAN(Instances!F297:Instances!F297),"min", MIN(Instances!F297:Instances!F297),"max", MAX(Instances!F297:Instances!F297),"diff", MAX(Instances!F297:Instances!F297)-MIN(Instances!F297:Instances!F297))</f>
        <v>0</v>
      </c>
      <c r="G297" s="1" cm="1">
        <f t="array" ref="G297">_xlfn.SWITCH($A$2,"average", AVERAGE(Instances!G297:Instances!G297),"median", MEDIAN(Instances!G297:Instances!G297),"min", MIN(Instances!G297:Instances!G297),"max", MAX(Instances!G297:Instances!G297),"diff", MAX(Instances!G297:Instances!G297)-MIN(Instances!G297:Instances!G297))</f>
        <v>0</v>
      </c>
      <c r="H297" s="1" cm="1">
        <f t="array" ref="H297">_xlfn.SWITCH($A$2,"average", AVERAGE(Instances!H297:Instances!H297),"median", MEDIAN(Instances!H297:Instances!H297),"min", MIN(Instances!H297:Instances!H297),"max", MAX(Instances!H297:Instances!H297),"diff", MAX(Instances!H297:Instances!H297)-MIN(Instances!H297:Instances!H297))</f>
        <v>0</v>
      </c>
      <c r="I297" s="1" cm="1">
        <f t="array" ref="I297">_xlfn.SWITCH($A$2,"average", AVERAGE(Instances!I297:Instances!I297),"median", MEDIAN(Instances!I297:Instances!I297),"min", MIN(Instances!I297:Instances!I297),"max", MAX(Instances!I297:Instances!I297),"diff", MAX(Instances!I297:Instances!I297)-MIN(Instances!I297:Instances!I297))</f>
        <v>0</v>
      </c>
      <c r="J297" s="1" cm="1">
        <f t="array" ref="J297">_xlfn.SWITCH($A$2,"average", AVERAGE(Instances!J297:Instances!J297),"median", MEDIAN(Instances!J297:Instances!J297),"min", MIN(Instances!J297:Instances!J297),"max", MAX(Instances!J297:Instances!J297),"diff", MAX(Instances!J297:Instances!J297)-MIN(Instances!J297:Instances!J297))</f>
        <v>0</v>
      </c>
      <c r="K297" s="1" cm="1">
        <f t="array" ref="K297">_xlfn.SWITCH($A$2,"average", AVERAGE(Instances!K297:Instances!K297),"median", MEDIAN(Instances!K297:Instances!K297),"min", MIN(Instances!K297:Instances!K297),"max", MAX(Instances!K297:Instances!K297),"diff", MAX(Instances!K297:Instances!K297)-MIN(Instances!K297:Instances!K297))</f>
        <v>0</v>
      </c>
      <c r="L297" s="1"/>
      <c r="M297" s="1" cm="1">
        <f t="array" ref="M297">_xlfn.SWITCH($A$2,"average", AVERAGE(Instances!M297:Instances!M297),"median", MEDIAN(Instances!M297:Instances!M297),"min", MIN(Instances!M297:Instances!M297),"max", MAX(Instances!M297:Instances!M297),"diff", MAX(Instances!M297:Instances!M297)-MIN(Instances!M297:Instances!M297))</f>
        <v>0</v>
      </c>
      <c r="N297" s="1" cm="1">
        <f t="array" ref="N297">_xlfn.SWITCH($A$2,"average", AVERAGE(Instances!N297:Instances!N297),"median", MEDIAN(Instances!N297:Instances!N297),"min", MIN(Instances!N297:Instances!N297),"max", MAX(Instances!N297:Instances!N297),"diff", MAX(Instances!N297:Instances!N297)-MIN(Instances!N297:Instances!N297))</f>
        <v>0</v>
      </c>
      <c r="O297" s="1"/>
      <c r="P297" s="1" cm="1">
        <f t="array" ref="P297">_xlfn.SWITCH($A$2,"average", AVERAGE(Instances!P297:Instances!P297),"median", MEDIAN(Instances!P297:Instances!P297),"min", MIN(Instances!P297:Instances!P297),"max", MAX(Instances!P297:Instances!P297),"diff", MAX(Instances!P297:Instances!P297)-MIN(Instances!P297:Instances!P297))</f>
        <v>0</v>
      </c>
      <c r="Q297" s="1" cm="1">
        <f t="array" ref="Q297">_xlfn.SWITCH($A$2,"average", AVERAGE(Instances!Q297:Instances!Q297),"median", MEDIAN(Instances!Q297:Instances!Q297),"min", MIN(Instances!Q297:Instances!Q297),"max", MAX(Instances!Q297:Instances!Q297),"diff", MAX(Instances!Q297:Instances!Q297)-MIN(Instances!Q297:Instances!Q297))</f>
        <v>0</v>
      </c>
      <c r="R297" s="1" cm="1">
        <f t="array" ref="R297">_xlfn.SWITCH($A$2,"average", AVERAGE(Instances!R297:Instances!R297),"median", MEDIAN(Instances!R297:Instances!R297),"min", MIN(Instances!R297:Instances!R297),"max", MAX(Instances!R297:Instances!R297),"diff", MAX(Instances!R297:Instances!R297)-MIN(Instances!R297:Instances!R297))</f>
        <v>0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 cm="1">
        <f t="array" ref="B298">_xlfn.SWITCH($A$2,"average", AVERAGE(Instances!B298:Instances!B298),"median", MEDIAN(Instances!B298:Instances!B298),"min", MIN(Instances!B298:Instances!B298),"max", MAX(Instances!B298:Instances!B298),"diff", MAX(Instances!B298:Instances!B298)-MIN(Instances!B298:Instances!B298))</f>
        <v>0</v>
      </c>
      <c r="C298" s="1" cm="1">
        <f t="array" ref="C298">_xlfn.SWITCH($A$2,"average", AVERAGE(Instances!C298:Instances!C298),"median", MEDIAN(Instances!C298:Instances!C298),"min", MIN(Instances!C298:Instances!C298),"max", MAX(Instances!C298:Instances!C298),"diff", MAX(Instances!C298:Instances!C298)-MIN(Instances!C298:Instances!C298))</f>
        <v>0</v>
      </c>
      <c r="D298" s="1" cm="1">
        <f t="array" ref="D298">_xlfn.SWITCH($A$2,"average", AVERAGE(Instances!D298:Instances!D298),"median", MEDIAN(Instances!D298:Instances!D298),"min", MIN(Instances!D298:Instances!D298),"max", MAX(Instances!D298:Instances!D298),"diff", MAX(Instances!D298:Instances!D298)-MIN(Instances!D298:Instances!D298))</f>
        <v>0</v>
      </c>
      <c r="E298" s="1" cm="1">
        <f t="array" ref="E298">_xlfn.SWITCH($A$2,"average", AVERAGE(Instances!E298:Instances!E298),"median", MEDIAN(Instances!E298:Instances!E298),"min", MIN(Instances!E298:Instances!E298),"max", MAX(Instances!E298:Instances!E298),"diff", MAX(Instances!E298:Instances!E298)-MIN(Instances!E298:Instances!E298))</f>
        <v>0</v>
      </c>
      <c r="F298" s="1" cm="1">
        <f t="array" ref="F298">_xlfn.SWITCH($A$2,"average", AVERAGE(Instances!F298:Instances!F298),"median", MEDIAN(Instances!F298:Instances!F298),"min", MIN(Instances!F298:Instances!F298),"max", MAX(Instances!F298:Instances!F298),"diff", MAX(Instances!F298:Instances!F298)-MIN(Instances!F298:Instances!F298))</f>
        <v>0</v>
      </c>
      <c r="G298" s="1" cm="1">
        <f t="array" ref="G298">_xlfn.SWITCH($A$2,"average", AVERAGE(Instances!G298:Instances!G298),"median", MEDIAN(Instances!G298:Instances!G298),"min", MIN(Instances!G298:Instances!G298),"max", MAX(Instances!G298:Instances!G298),"diff", MAX(Instances!G298:Instances!G298)-MIN(Instances!G298:Instances!G298))</f>
        <v>0</v>
      </c>
      <c r="H298" s="1" cm="1">
        <f t="array" ref="H298">_xlfn.SWITCH($A$2,"average", AVERAGE(Instances!H298:Instances!H298),"median", MEDIAN(Instances!H298:Instances!H298),"min", MIN(Instances!H298:Instances!H298),"max", MAX(Instances!H298:Instances!H298),"diff", MAX(Instances!H298:Instances!H298)-MIN(Instances!H298:Instances!H298))</f>
        <v>0</v>
      </c>
      <c r="I298" s="1" cm="1">
        <f t="array" ref="I298">_xlfn.SWITCH($A$2,"average", AVERAGE(Instances!I298:Instances!I298),"median", MEDIAN(Instances!I298:Instances!I298),"min", MIN(Instances!I298:Instances!I298),"max", MAX(Instances!I298:Instances!I298),"diff", MAX(Instances!I298:Instances!I298)-MIN(Instances!I298:Instances!I298))</f>
        <v>0</v>
      </c>
      <c r="J298" s="1" cm="1">
        <f t="array" ref="J298">_xlfn.SWITCH($A$2,"average", AVERAGE(Instances!J298:Instances!J298),"median", MEDIAN(Instances!J298:Instances!J298),"min", MIN(Instances!J298:Instances!J298),"max", MAX(Instances!J298:Instances!J298),"diff", MAX(Instances!J298:Instances!J298)-MIN(Instances!J298:Instances!J298))</f>
        <v>0</v>
      </c>
      <c r="K298" s="1" cm="1">
        <f t="array" ref="K298">_xlfn.SWITCH($A$2,"average", AVERAGE(Instances!K298:Instances!K298),"median", MEDIAN(Instances!K298:Instances!K298),"min", MIN(Instances!K298:Instances!K298),"max", MAX(Instances!K298:Instances!K298),"diff", MAX(Instances!K298:Instances!K298)-MIN(Instances!K298:Instances!K298))</f>
        <v>0</v>
      </c>
      <c r="L298" s="1"/>
      <c r="M298" s="1" cm="1">
        <f t="array" ref="M298">_xlfn.SWITCH($A$2,"average", AVERAGE(Instances!M298:Instances!M298),"median", MEDIAN(Instances!M298:Instances!M298),"min", MIN(Instances!M298:Instances!M298),"max", MAX(Instances!M298:Instances!M298),"diff", MAX(Instances!M298:Instances!M298)-MIN(Instances!M298:Instances!M298))</f>
        <v>0</v>
      </c>
      <c r="N298" s="1" cm="1">
        <f t="array" ref="N298">_xlfn.SWITCH($A$2,"average", AVERAGE(Instances!N298:Instances!N298),"median", MEDIAN(Instances!N298:Instances!N298),"min", MIN(Instances!N298:Instances!N298),"max", MAX(Instances!N298:Instances!N298),"diff", MAX(Instances!N298:Instances!N298)-MIN(Instances!N298:Instances!N298))</f>
        <v>0</v>
      </c>
      <c r="O298" s="1"/>
      <c r="P298" s="1" cm="1">
        <f t="array" ref="P298">_xlfn.SWITCH($A$2,"average", AVERAGE(Instances!P298:Instances!P298),"median", MEDIAN(Instances!P298:Instances!P298),"min", MIN(Instances!P298:Instances!P298),"max", MAX(Instances!P298:Instances!P298),"diff", MAX(Instances!P298:Instances!P298)-MIN(Instances!P298:Instances!P298))</f>
        <v>0</v>
      </c>
      <c r="Q298" s="1" cm="1">
        <f t="array" ref="Q298">_xlfn.SWITCH($A$2,"average", AVERAGE(Instances!Q298:Instances!Q298),"median", MEDIAN(Instances!Q298:Instances!Q298),"min", MIN(Instances!Q298:Instances!Q298),"max", MAX(Instances!Q298:Instances!Q298),"diff", MAX(Instances!Q298:Instances!Q298)-MIN(Instances!Q298:Instances!Q298))</f>
        <v>0</v>
      </c>
      <c r="R298" s="1" cm="1">
        <f t="array" ref="R298">_xlfn.SWITCH($A$2,"average", AVERAGE(Instances!R298:Instances!R298),"median", MEDIAN(Instances!R298:Instances!R298),"min", MIN(Instances!R298:Instances!R298),"max", MAX(Instances!R298:Instances!R298),"diff", MAX(Instances!R298:Instances!R298)-MIN(Instances!R298:Instances!R298))</f>
        <v>0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 cm="1">
        <f t="array" ref="B299">_xlfn.SWITCH($A$2,"average", AVERAGE(Instances!B299:Instances!B299),"median", MEDIAN(Instances!B299:Instances!B299),"min", MIN(Instances!B299:Instances!B299),"max", MAX(Instances!B299:Instances!B299),"diff", MAX(Instances!B299:Instances!B299)-MIN(Instances!B299:Instances!B299))</f>
        <v>0</v>
      </c>
      <c r="C299" s="1" cm="1">
        <f t="array" ref="C299">_xlfn.SWITCH($A$2,"average", AVERAGE(Instances!C299:Instances!C299),"median", MEDIAN(Instances!C299:Instances!C299),"min", MIN(Instances!C299:Instances!C299),"max", MAX(Instances!C299:Instances!C299),"diff", MAX(Instances!C299:Instances!C299)-MIN(Instances!C299:Instances!C299))</f>
        <v>0</v>
      </c>
      <c r="D299" s="1" cm="1">
        <f t="array" ref="D299">_xlfn.SWITCH($A$2,"average", AVERAGE(Instances!D299:Instances!D299),"median", MEDIAN(Instances!D299:Instances!D299),"min", MIN(Instances!D299:Instances!D299),"max", MAX(Instances!D299:Instances!D299),"diff", MAX(Instances!D299:Instances!D299)-MIN(Instances!D299:Instances!D299))</f>
        <v>0</v>
      </c>
      <c r="E299" s="1" cm="1">
        <f t="array" ref="E299">_xlfn.SWITCH($A$2,"average", AVERAGE(Instances!E299:Instances!E299),"median", MEDIAN(Instances!E299:Instances!E299),"min", MIN(Instances!E299:Instances!E299),"max", MAX(Instances!E299:Instances!E299),"diff", MAX(Instances!E299:Instances!E299)-MIN(Instances!E299:Instances!E299))</f>
        <v>0</v>
      </c>
      <c r="F299" s="1" cm="1">
        <f t="array" ref="F299">_xlfn.SWITCH($A$2,"average", AVERAGE(Instances!F299:Instances!F299),"median", MEDIAN(Instances!F299:Instances!F299),"min", MIN(Instances!F299:Instances!F299),"max", MAX(Instances!F299:Instances!F299),"diff", MAX(Instances!F299:Instances!F299)-MIN(Instances!F299:Instances!F299))</f>
        <v>0</v>
      </c>
      <c r="G299" s="1" cm="1">
        <f t="array" ref="G299">_xlfn.SWITCH($A$2,"average", AVERAGE(Instances!G299:Instances!G299),"median", MEDIAN(Instances!G299:Instances!G299),"min", MIN(Instances!G299:Instances!G299),"max", MAX(Instances!G299:Instances!G299),"diff", MAX(Instances!G299:Instances!G299)-MIN(Instances!G299:Instances!G299))</f>
        <v>0</v>
      </c>
      <c r="H299" s="1" cm="1">
        <f t="array" ref="H299">_xlfn.SWITCH($A$2,"average", AVERAGE(Instances!H299:Instances!H299),"median", MEDIAN(Instances!H299:Instances!H299),"min", MIN(Instances!H299:Instances!H299),"max", MAX(Instances!H299:Instances!H299),"diff", MAX(Instances!H299:Instances!H299)-MIN(Instances!H299:Instances!H299))</f>
        <v>0</v>
      </c>
      <c r="I299" s="1" cm="1">
        <f t="array" ref="I299">_xlfn.SWITCH($A$2,"average", AVERAGE(Instances!I299:Instances!I299),"median", MEDIAN(Instances!I299:Instances!I299),"min", MIN(Instances!I299:Instances!I299),"max", MAX(Instances!I299:Instances!I299),"diff", MAX(Instances!I299:Instances!I299)-MIN(Instances!I299:Instances!I299))</f>
        <v>0</v>
      </c>
      <c r="J299" s="1" cm="1">
        <f t="array" ref="J299">_xlfn.SWITCH($A$2,"average", AVERAGE(Instances!J299:Instances!J299),"median", MEDIAN(Instances!J299:Instances!J299),"min", MIN(Instances!J299:Instances!J299),"max", MAX(Instances!J299:Instances!J299),"diff", MAX(Instances!J299:Instances!J299)-MIN(Instances!J299:Instances!J299))</f>
        <v>0</v>
      </c>
      <c r="K299" s="1" cm="1">
        <f t="array" ref="K299">_xlfn.SWITCH($A$2,"average", AVERAGE(Instances!K299:Instances!K299),"median", MEDIAN(Instances!K299:Instances!K299),"min", MIN(Instances!K299:Instances!K299),"max", MAX(Instances!K299:Instances!K299),"diff", MAX(Instances!K299:Instances!K299)-MIN(Instances!K299:Instances!K299))</f>
        <v>0</v>
      </c>
      <c r="L299" s="1"/>
      <c r="M299" s="1" cm="1">
        <f t="array" ref="M299">_xlfn.SWITCH($A$2,"average", AVERAGE(Instances!M299:Instances!M299),"median", MEDIAN(Instances!M299:Instances!M299),"min", MIN(Instances!M299:Instances!M299),"max", MAX(Instances!M299:Instances!M299),"diff", MAX(Instances!M299:Instances!M299)-MIN(Instances!M299:Instances!M299))</f>
        <v>0</v>
      </c>
      <c r="N299" s="1" cm="1">
        <f t="array" ref="N299">_xlfn.SWITCH($A$2,"average", AVERAGE(Instances!N299:Instances!N299),"median", MEDIAN(Instances!N299:Instances!N299),"min", MIN(Instances!N299:Instances!N299),"max", MAX(Instances!N299:Instances!N299),"diff", MAX(Instances!N299:Instances!N299)-MIN(Instances!N299:Instances!N299))</f>
        <v>0</v>
      </c>
      <c r="O299" s="1"/>
      <c r="P299" s="1" cm="1">
        <f t="array" ref="P299">_xlfn.SWITCH($A$2,"average", AVERAGE(Instances!P299:Instances!P299),"median", MEDIAN(Instances!P299:Instances!P299),"min", MIN(Instances!P299:Instances!P299),"max", MAX(Instances!P299:Instances!P299),"diff", MAX(Instances!P299:Instances!P299)-MIN(Instances!P299:Instances!P299))</f>
        <v>0</v>
      </c>
      <c r="Q299" s="1" cm="1">
        <f t="array" ref="Q299">_xlfn.SWITCH($A$2,"average", AVERAGE(Instances!Q299:Instances!Q299),"median", MEDIAN(Instances!Q299:Instances!Q299),"min", MIN(Instances!Q299:Instances!Q299),"max", MAX(Instances!Q299:Instances!Q299),"diff", MAX(Instances!Q299:Instances!Q299)-MIN(Instances!Q299:Instances!Q299))</f>
        <v>0</v>
      </c>
      <c r="R299" s="1" cm="1">
        <f t="array" ref="R299">_xlfn.SWITCH($A$2,"average", AVERAGE(Instances!R299:Instances!R299),"median", MEDIAN(Instances!R299:Instances!R299),"min", MIN(Instances!R299:Instances!R299),"max", MAX(Instances!R299:Instances!R299),"diff", MAX(Instances!R299:Instances!R299)-MIN(Instances!R299:Instances!R299))</f>
        <v>0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 cm="1">
        <f t="array" ref="B300">_xlfn.SWITCH($A$2,"average", AVERAGE(Instances!B300:Instances!B300),"median", MEDIAN(Instances!B300:Instances!B300),"min", MIN(Instances!B300:Instances!B300),"max", MAX(Instances!B300:Instances!B300),"diff", MAX(Instances!B300:Instances!B300)-MIN(Instances!B300:Instances!B300))</f>
        <v>0</v>
      </c>
      <c r="C300" s="1" cm="1">
        <f t="array" ref="C300">_xlfn.SWITCH($A$2,"average", AVERAGE(Instances!C300:Instances!C300),"median", MEDIAN(Instances!C300:Instances!C300),"min", MIN(Instances!C300:Instances!C300),"max", MAX(Instances!C300:Instances!C300),"diff", MAX(Instances!C300:Instances!C300)-MIN(Instances!C300:Instances!C300))</f>
        <v>0</v>
      </c>
      <c r="D300" s="1" cm="1">
        <f t="array" ref="D300">_xlfn.SWITCH($A$2,"average", AVERAGE(Instances!D300:Instances!D300),"median", MEDIAN(Instances!D300:Instances!D300),"min", MIN(Instances!D300:Instances!D300),"max", MAX(Instances!D300:Instances!D300),"diff", MAX(Instances!D300:Instances!D300)-MIN(Instances!D300:Instances!D300))</f>
        <v>0</v>
      </c>
      <c r="E300" s="1" cm="1">
        <f t="array" ref="E300">_xlfn.SWITCH($A$2,"average", AVERAGE(Instances!E300:Instances!E300),"median", MEDIAN(Instances!E300:Instances!E300),"min", MIN(Instances!E300:Instances!E300),"max", MAX(Instances!E300:Instances!E300),"diff", MAX(Instances!E300:Instances!E300)-MIN(Instances!E300:Instances!E300))</f>
        <v>0</v>
      </c>
      <c r="F300" s="1" cm="1">
        <f t="array" ref="F300">_xlfn.SWITCH($A$2,"average", AVERAGE(Instances!F300:Instances!F300),"median", MEDIAN(Instances!F300:Instances!F300),"min", MIN(Instances!F300:Instances!F300),"max", MAX(Instances!F300:Instances!F300),"diff", MAX(Instances!F300:Instances!F300)-MIN(Instances!F300:Instances!F300))</f>
        <v>0</v>
      </c>
      <c r="G300" s="1" cm="1">
        <f t="array" ref="G300">_xlfn.SWITCH($A$2,"average", AVERAGE(Instances!G300:Instances!G300),"median", MEDIAN(Instances!G300:Instances!G300),"min", MIN(Instances!G300:Instances!G300),"max", MAX(Instances!G300:Instances!G300),"diff", MAX(Instances!G300:Instances!G300)-MIN(Instances!G300:Instances!G300))</f>
        <v>0</v>
      </c>
      <c r="H300" s="1" cm="1">
        <f t="array" ref="H300">_xlfn.SWITCH($A$2,"average", AVERAGE(Instances!H300:Instances!H300),"median", MEDIAN(Instances!H300:Instances!H300),"min", MIN(Instances!H300:Instances!H300),"max", MAX(Instances!H300:Instances!H300),"diff", MAX(Instances!H300:Instances!H300)-MIN(Instances!H300:Instances!H300))</f>
        <v>0</v>
      </c>
      <c r="I300" s="1" cm="1">
        <f t="array" ref="I300">_xlfn.SWITCH($A$2,"average", AVERAGE(Instances!I300:Instances!I300),"median", MEDIAN(Instances!I300:Instances!I300),"min", MIN(Instances!I300:Instances!I300),"max", MAX(Instances!I300:Instances!I300),"diff", MAX(Instances!I300:Instances!I300)-MIN(Instances!I300:Instances!I300))</f>
        <v>0</v>
      </c>
      <c r="J300" s="1" cm="1">
        <f t="array" ref="J300">_xlfn.SWITCH($A$2,"average", AVERAGE(Instances!J300:Instances!J300),"median", MEDIAN(Instances!J300:Instances!J300),"min", MIN(Instances!J300:Instances!J300),"max", MAX(Instances!J300:Instances!J300),"diff", MAX(Instances!J300:Instances!J300)-MIN(Instances!J300:Instances!J300))</f>
        <v>0</v>
      </c>
      <c r="K300" s="1" cm="1">
        <f t="array" ref="K300">_xlfn.SWITCH($A$2,"average", AVERAGE(Instances!K300:Instances!K300),"median", MEDIAN(Instances!K300:Instances!K300),"min", MIN(Instances!K300:Instances!K300),"max", MAX(Instances!K300:Instances!K300),"diff", MAX(Instances!K300:Instances!K300)-MIN(Instances!K300:Instances!K300))</f>
        <v>0</v>
      </c>
      <c r="L300" s="1"/>
      <c r="M300" s="1" cm="1">
        <f t="array" ref="M300">_xlfn.SWITCH($A$2,"average", AVERAGE(Instances!M300:Instances!M300),"median", MEDIAN(Instances!M300:Instances!M300),"min", MIN(Instances!M300:Instances!M300),"max", MAX(Instances!M300:Instances!M300),"diff", MAX(Instances!M300:Instances!M300)-MIN(Instances!M300:Instances!M300))</f>
        <v>0</v>
      </c>
      <c r="N300" s="1" cm="1">
        <f t="array" ref="N300">_xlfn.SWITCH($A$2,"average", AVERAGE(Instances!N300:Instances!N300),"median", MEDIAN(Instances!N300:Instances!N300),"min", MIN(Instances!N300:Instances!N300),"max", MAX(Instances!N300:Instances!N300),"diff", MAX(Instances!N300:Instances!N300)-MIN(Instances!N300:Instances!N300))</f>
        <v>0</v>
      </c>
      <c r="O300" s="1"/>
      <c r="P300" s="1" cm="1">
        <f t="array" ref="P300">_xlfn.SWITCH($A$2,"average", AVERAGE(Instances!P300:Instances!P300),"median", MEDIAN(Instances!P300:Instances!P300),"min", MIN(Instances!P300:Instances!P300),"max", MAX(Instances!P300:Instances!P300),"diff", MAX(Instances!P300:Instances!P300)-MIN(Instances!P300:Instances!P300))</f>
        <v>0</v>
      </c>
      <c r="Q300" s="1" cm="1">
        <f t="array" ref="Q300">_xlfn.SWITCH($A$2,"average", AVERAGE(Instances!Q300:Instances!Q300),"median", MEDIAN(Instances!Q300:Instances!Q300),"min", MIN(Instances!Q300:Instances!Q300),"max", MAX(Instances!Q300:Instances!Q300),"diff", MAX(Instances!Q300:Instances!Q300)-MIN(Instances!Q300:Instances!Q300))</f>
        <v>0</v>
      </c>
      <c r="R300" s="1" cm="1">
        <f t="array" ref="R300">_xlfn.SWITCH($A$2,"average", AVERAGE(Instances!R300:Instances!R300),"median", MEDIAN(Instances!R300:Instances!R300),"min", MIN(Instances!R300:Instances!R300),"max", MAX(Instances!R300:Instances!R300),"diff", MAX(Instances!R300:Instances!R300)-MIN(Instances!R300:Instances!R300))</f>
        <v>0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 cm="1">
        <f t="array" ref="B301">_xlfn.SWITCH($A$2,"average", AVERAGE(Instances!B301:Instances!B301),"median", MEDIAN(Instances!B301:Instances!B301),"min", MIN(Instances!B301:Instances!B301),"max", MAX(Instances!B301:Instances!B301),"diff", MAX(Instances!B301:Instances!B301)-MIN(Instances!B301:Instances!B301))</f>
        <v>0</v>
      </c>
      <c r="C301" s="1" cm="1">
        <f t="array" ref="C301">_xlfn.SWITCH($A$2,"average", AVERAGE(Instances!C301:Instances!C301),"median", MEDIAN(Instances!C301:Instances!C301),"min", MIN(Instances!C301:Instances!C301),"max", MAX(Instances!C301:Instances!C301),"diff", MAX(Instances!C301:Instances!C301)-MIN(Instances!C301:Instances!C301))</f>
        <v>0</v>
      </c>
      <c r="D301" s="1" cm="1">
        <f t="array" ref="D301">_xlfn.SWITCH($A$2,"average", AVERAGE(Instances!D301:Instances!D301),"median", MEDIAN(Instances!D301:Instances!D301),"min", MIN(Instances!D301:Instances!D301),"max", MAX(Instances!D301:Instances!D301),"diff", MAX(Instances!D301:Instances!D301)-MIN(Instances!D301:Instances!D301))</f>
        <v>0</v>
      </c>
      <c r="E301" s="1" cm="1">
        <f t="array" ref="E301">_xlfn.SWITCH($A$2,"average", AVERAGE(Instances!E301:Instances!E301),"median", MEDIAN(Instances!E301:Instances!E301),"min", MIN(Instances!E301:Instances!E301),"max", MAX(Instances!E301:Instances!E301),"diff", MAX(Instances!E301:Instances!E301)-MIN(Instances!E301:Instances!E301))</f>
        <v>0</v>
      </c>
      <c r="F301" s="1" cm="1">
        <f t="array" ref="F301">_xlfn.SWITCH($A$2,"average", AVERAGE(Instances!F301:Instances!F301),"median", MEDIAN(Instances!F301:Instances!F301),"min", MIN(Instances!F301:Instances!F301),"max", MAX(Instances!F301:Instances!F301),"diff", MAX(Instances!F301:Instances!F301)-MIN(Instances!F301:Instances!F301))</f>
        <v>0</v>
      </c>
      <c r="G301" s="1" cm="1">
        <f t="array" ref="G301">_xlfn.SWITCH($A$2,"average", AVERAGE(Instances!G301:Instances!G301),"median", MEDIAN(Instances!G301:Instances!G301),"min", MIN(Instances!G301:Instances!G301),"max", MAX(Instances!G301:Instances!G301),"diff", MAX(Instances!G301:Instances!G301)-MIN(Instances!G301:Instances!G301))</f>
        <v>0</v>
      </c>
      <c r="H301" s="1" cm="1">
        <f t="array" ref="H301">_xlfn.SWITCH($A$2,"average", AVERAGE(Instances!H301:Instances!H301),"median", MEDIAN(Instances!H301:Instances!H301),"min", MIN(Instances!H301:Instances!H301),"max", MAX(Instances!H301:Instances!H301),"diff", MAX(Instances!H301:Instances!H301)-MIN(Instances!H301:Instances!H301))</f>
        <v>0</v>
      </c>
      <c r="I301" s="1" cm="1">
        <f t="array" ref="I301">_xlfn.SWITCH($A$2,"average", AVERAGE(Instances!I301:Instances!I301),"median", MEDIAN(Instances!I301:Instances!I301),"min", MIN(Instances!I301:Instances!I301),"max", MAX(Instances!I301:Instances!I301),"diff", MAX(Instances!I301:Instances!I301)-MIN(Instances!I301:Instances!I301))</f>
        <v>0</v>
      </c>
      <c r="J301" s="1" cm="1">
        <f t="array" ref="J301">_xlfn.SWITCH($A$2,"average", AVERAGE(Instances!J301:Instances!J301),"median", MEDIAN(Instances!J301:Instances!J301),"min", MIN(Instances!J301:Instances!J301),"max", MAX(Instances!J301:Instances!J301),"diff", MAX(Instances!J301:Instances!J301)-MIN(Instances!J301:Instances!J301))</f>
        <v>0</v>
      </c>
      <c r="K301" s="1" cm="1">
        <f t="array" ref="K301">_xlfn.SWITCH($A$2,"average", AVERAGE(Instances!K301:Instances!K301),"median", MEDIAN(Instances!K301:Instances!K301),"min", MIN(Instances!K301:Instances!K301),"max", MAX(Instances!K301:Instances!K301),"diff", MAX(Instances!K301:Instances!K301)-MIN(Instances!K301:Instances!K301))</f>
        <v>0</v>
      </c>
      <c r="L301" s="1"/>
      <c r="M301" s="1" cm="1">
        <f t="array" ref="M301">_xlfn.SWITCH($A$2,"average", AVERAGE(Instances!M301:Instances!M301),"median", MEDIAN(Instances!M301:Instances!M301),"min", MIN(Instances!M301:Instances!M301),"max", MAX(Instances!M301:Instances!M301),"diff", MAX(Instances!M301:Instances!M301)-MIN(Instances!M301:Instances!M301))</f>
        <v>0</v>
      </c>
      <c r="N301" s="1" cm="1">
        <f t="array" ref="N301">_xlfn.SWITCH($A$2,"average", AVERAGE(Instances!N301:Instances!N301),"median", MEDIAN(Instances!N301:Instances!N301),"min", MIN(Instances!N301:Instances!N301),"max", MAX(Instances!N301:Instances!N301),"diff", MAX(Instances!N301:Instances!N301)-MIN(Instances!N301:Instances!N301))</f>
        <v>0</v>
      </c>
      <c r="O301" s="1"/>
      <c r="P301" s="1" cm="1">
        <f t="array" ref="P301">_xlfn.SWITCH($A$2,"average", AVERAGE(Instances!P301:Instances!P301),"median", MEDIAN(Instances!P301:Instances!P301),"min", MIN(Instances!P301:Instances!P301),"max", MAX(Instances!P301:Instances!P301),"diff", MAX(Instances!P301:Instances!P301)-MIN(Instances!P301:Instances!P301))</f>
        <v>0</v>
      </c>
      <c r="Q301" s="1" cm="1">
        <f t="array" ref="Q301">_xlfn.SWITCH($A$2,"average", AVERAGE(Instances!Q301:Instances!Q301),"median", MEDIAN(Instances!Q301:Instances!Q301),"min", MIN(Instances!Q301:Instances!Q301),"max", MAX(Instances!Q301:Instances!Q301),"diff", MAX(Instances!Q301:Instances!Q301)-MIN(Instances!Q301:Instances!Q301))</f>
        <v>0</v>
      </c>
      <c r="R301" s="1" cm="1">
        <f t="array" ref="R301">_xlfn.SWITCH($A$2,"average", AVERAGE(Instances!R301:Instances!R301),"median", MEDIAN(Instances!R301:Instances!R301),"min", MIN(Instances!R301:Instances!R301),"max", MAX(Instances!R301:Instances!R301),"diff", MAX(Instances!R301:Instances!R301)-MIN(Instances!R301:Instances!R301))</f>
        <v>0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 cm="1">
        <f t="array" ref="B302">_xlfn.SWITCH($A$2,"average", AVERAGE(Instances!B302:Instances!B302),"median", MEDIAN(Instances!B302:Instances!B302),"min", MIN(Instances!B302:Instances!B302),"max", MAX(Instances!B302:Instances!B302),"diff", MAX(Instances!B302:Instances!B302)-MIN(Instances!B302:Instances!B302))</f>
        <v>0</v>
      </c>
      <c r="C302" s="1" cm="1">
        <f t="array" ref="C302">_xlfn.SWITCH($A$2,"average", AVERAGE(Instances!C302:Instances!C302),"median", MEDIAN(Instances!C302:Instances!C302),"min", MIN(Instances!C302:Instances!C302),"max", MAX(Instances!C302:Instances!C302),"diff", MAX(Instances!C302:Instances!C302)-MIN(Instances!C302:Instances!C302))</f>
        <v>0</v>
      </c>
      <c r="D302" s="1" cm="1">
        <f t="array" ref="D302">_xlfn.SWITCH($A$2,"average", AVERAGE(Instances!D302:Instances!D302),"median", MEDIAN(Instances!D302:Instances!D302),"min", MIN(Instances!D302:Instances!D302),"max", MAX(Instances!D302:Instances!D302),"diff", MAX(Instances!D302:Instances!D302)-MIN(Instances!D302:Instances!D302))</f>
        <v>0</v>
      </c>
      <c r="E302" s="1" cm="1">
        <f t="array" ref="E302">_xlfn.SWITCH($A$2,"average", AVERAGE(Instances!E302:Instances!E302),"median", MEDIAN(Instances!E302:Instances!E302),"min", MIN(Instances!E302:Instances!E302),"max", MAX(Instances!E302:Instances!E302),"diff", MAX(Instances!E302:Instances!E302)-MIN(Instances!E302:Instances!E302))</f>
        <v>0</v>
      </c>
      <c r="F302" s="1" cm="1">
        <f t="array" ref="F302">_xlfn.SWITCH($A$2,"average", AVERAGE(Instances!F302:Instances!F302),"median", MEDIAN(Instances!F302:Instances!F302),"min", MIN(Instances!F302:Instances!F302),"max", MAX(Instances!F302:Instances!F302),"diff", MAX(Instances!F302:Instances!F302)-MIN(Instances!F302:Instances!F302))</f>
        <v>0</v>
      </c>
      <c r="G302" s="1" cm="1">
        <f t="array" ref="G302">_xlfn.SWITCH($A$2,"average", AVERAGE(Instances!G302:Instances!G302),"median", MEDIAN(Instances!G302:Instances!G302),"min", MIN(Instances!G302:Instances!G302),"max", MAX(Instances!G302:Instances!G302),"diff", MAX(Instances!G302:Instances!G302)-MIN(Instances!G302:Instances!G302))</f>
        <v>0</v>
      </c>
      <c r="H302" s="1" cm="1">
        <f t="array" ref="H302">_xlfn.SWITCH($A$2,"average", AVERAGE(Instances!H302:Instances!H302),"median", MEDIAN(Instances!H302:Instances!H302),"min", MIN(Instances!H302:Instances!H302),"max", MAX(Instances!H302:Instances!H302),"diff", MAX(Instances!H302:Instances!H302)-MIN(Instances!H302:Instances!H302))</f>
        <v>0</v>
      </c>
      <c r="I302" s="1" cm="1">
        <f t="array" ref="I302">_xlfn.SWITCH($A$2,"average", AVERAGE(Instances!I302:Instances!I302),"median", MEDIAN(Instances!I302:Instances!I302),"min", MIN(Instances!I302:Instances!I302),"max", MAX(Instances!I302:Instances!I302),"diff", MAX(Instances!I302:Instances!I302)-MIN(Instances!I302:Instances!I302))</f>
        <v>0</v>
      </c>
      <c r="J302" s="1" cm="1">
        <f t="array" ref="J302">_xlfn.SWITCH($A$2,"average", AVERAGE(Instances!J302:Instances!J302),"median", MEDIAN(Instances!J302:Instances!J302),"min", MIN(Instances!J302:Instances!J302),"max", MAX(Instances!J302:Instances!J302),"diff", MAX(Instances!J302:Instances!J302)-MIN(Instances!J302:Instances!J302))</f>
        <v>0</v>
      </c>
      <c r="K302" s="1" cm="1">
        <f t="array" ref="K302">_xlfn.SWITCH($A$2,"average", AVERAGE(Instances!K302:Instances!K302),"median", MEDIAN(Instances!K302:Instances!K302),"min", MIN(Instances!K302:Instances!K302),"max", MAX(Instances!K302:Instances!K302),"diff", MAX(Instances!K302:Instances!K302)-MIN(Instances!K302:Instances!K302))</f>
        <v>0</v>
      </c>
      <c r="L302" s="1"/>
      <c r="M302" s="1" cm="1">
        <f t="array" ref="M302">_xlfn.SWITCH($A$2,"average", AVERAGE(Instances!M302:Instances!M302),"median", MEDIAN(Instances!M302:Instances!M302),"min", MIN(Instances!M302:Instances!M302),"max", MAX(Instances!M302:Instances!M302),"diff", MAX(Instances!M302:Instances!M302)-MIN(Instances!M302:Instances!M302))</f>
        <v>0</v>
      </c>
      <c r="N302" s="1" cm="1">
        <f t="array" ref="N302">_xlfn.SWITCH($A$2,"average", AVERAGE(Instances!N302:Instances!N302),"median", MEDIAN(Instances!N302:Instances!N302),"min", MIN(Instances!N302:Instances!N302),"max", MAX(Instances!N302:Instances!N302),"diff", MAX(Instances!N302:Instances!N302)-MIN(Instances!N302:Instances!N302))</f>
        <v>0</v>
      </c>
      <c r="O302" s="1"/>
      <c r="P302" s="1" cm="1">
        <f t="array" ref="P302">_xlfn.SWITCH($A$2,"average", AVERAGE(Instances!P302:Instances!P302),"median", MEDIAN(Instances!P302:Instances!P302),"min", MIN(Instances!P302:Instances!P302),"max", MAX(Instances!P302:Instances!P302),"diff", MAX(Instances!P302:Instances!P302)-MIN(Instances!P302:Instances!P302))</f>
        <v>0</v>
      </c>
      <c r="Q302" s="1" cm="1">
        <f t="array" ref="Q302">_xlfn.SWITCH($A$2,"average", AVERAGE(Instances!Q302:Instances!Q302),"median", MEDIAN(Instances!Q302:Instances!Q302),"min", MIN(Instances!Q302:Instances!Q302),"max", MAX(Instances!Q302:Instances!Q302),"diff", MAX(Instances!Q302:Instances!Q302)-MIN(Instances!Q302:Instances!Q302))</f>
        <v>0</v>
      </c>
      <c r="R302" s="1" cm="1">
        <f t="array" ref="R302">_xlfn.SWITCH($A$2,"average", AVERAGE(Instances!R302:Instances!R302),"median", MEDIAN(Instances!R302:Instances!R302),"min", MIN(Instances!R302:Instances!R302),"max", MAX(Instances!R302:Instances!R302),"diff", MAX(Instances!R302:Instances!R302)-MIN(Instances!R302:Instances!R302))</f>
        <v>0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 cm="1">
        <f t="array" ref="B303">_xlfn.SWITCH($A$2,"average", AVERAGE(Instances!B303:Instances!B303),"median", MEDIAN(Instances!B303:Instances!B303),"min", MIN(Instances!B303:Instances!B303),"max", MAX(Instances!B303:Instances!B303),"diff", MAX(Instances!B303:Instances!B303)-MIN(Instances!B303:Instances!B303))</f>
        <v>0</v>
      </c>
      <c r="C303" s="1" cm="1">
        <f t="array" ref="C303">_xlfn.SWITCH($A$2,"average", AVERAGE(Instances!C303:Instances!C303),"median", MEDIAN(Instances!C303:Instances!C303),"min", MIN(Instances!C303:Instances!C303),"max", MAX(Instances!C303:Instances!C303),"diff", MAX(Instances!C303:Instances!C303)-MIN(Instances!C303:Instances!C303))</f>
        <v>0</v>
      </c>
      <c r="D303" s="1" cm="1">
        <f t="array" ref="D303">_xlfn.SWITCH($A$2,"average", AVERAGE(Instances!D303:Instances!D303),"median", MEDIAN(Instances!D303:Instances!D303),"min", MIN(Instances!D303:Instances!D303),"max", MAX(Instances!D303:Instances!D303),"diff", MAX(Instances!D303:Instances!D303)-MIN(Instances!D303:Instances!D303))</f>
        <v>0</v>
      </c>
      <c r="E303" s="1" cm="1">
        <f t="array" ref="E303">_xlfn.SWITCH($A$2,"average", AVERAGE(Instances!E303:Instances!E303),"median", MEDIAN(Instances!E303:Instances!E303),"min", MIN(Instances!E303:Instances!E303),"max", MAX(Instances!E303:Instances!E303),"diff", MAX(Instances!E303:Instances!E303)-MIN(Instances!E303:Instances!E303))</f>
        <v>0</v>
      </c>
      <c r="F303" s="1" cm="1">
        <f t="array" ref="F303">_xlfn.SWITCH($A$2,"average", AVERAGE(Instances!F303:Instances!F303),"median", MEDIAN(Instances!F303:Instances!F303),"min", MIN(Instances!F303:Instances!F303),"max", MAX(Instances!F303:Instances!F303),"diff", MAX(Instances!F303:Instances!F303)-MIN(Instances!F303:Instances!F303))</f>
        <v>0</v>
      </c>
      <c r="G303" s="1" cm="1">
        <f t="array" ref="G303">_xlfn.SWITCH($A$2,"average", AVERAGE(Instances!G303:Instances!G303),"median", MEDIAN(Instances!G303:Instances!G303),"min", MIN(Instances!G303:Instances!G303),"max", MAX(Instances!G303:Instances!G303),"diff", MAX(Instances!G303:Instances!G303)-MIN(Instances!G303:Instances!G303))</f>
        <v>0</v>
      </c>
      <c r="H303" s="1" cm="1">
        <f t="array" ref="H303">_xlfn.SWITCH($A$2,"average", AVERAGE(Instances!H303:Instances!H303),"median", MEDIAN(Instances!H303:Instances!H303),"min", MIN(Instances!H303:Instances!H303),"max", MAX(Instances!H303:Instances!H303),"diff", MAX(Instances!H303:Instances!H303)-MIN(Instances!H303:Instances!H303))</f>
        <v>0</v>
      </c>
      <c r="I303" s="1" cm="1">
        <f t="array" ref="I303">_xlfn.SWITCH($A$2,"average", AVERAGE(Instances!I303:Instances!I303),"median", MEDIAN(Instances!I303:Instances!I303),"min", MIN(Instances!I303:Instances!I303),"max", MAX(Instances!I303:Instances!I303),"diff", MAX(Instances!I303:Instances!I303)-MIN(Instances!I303:Instances!I303))</f>
        <v>0</v>
      </c>
      <c r="J303" s="1" cm="1">
        <f t="array" ref="J303">_xlfn.SWITCH($A$2,"average", AVERAGE(Instances!J303:Instances!J303),"median", MEDIAN(Instances!J303:Instances!J303),"min", MIN(Instances!J303:Instances!J303),"max", MAX(Instances!J303:Instances!J303),"diff", MAX(Instances!J303:Instances!J303)-MIN(Instances!J303:Instances!J303))</f>
        <v>0</v>
      </c>
      <c r="K303" s="1" cm="1">
        <f t="array" ref="K303">_xlfn.SWITCH($A$2,"average", AVERAGE(Instances!K303:Instances!K303),"median", MEDIAN(Instances!K303:Instances!K303),"min", MIN(Instances!K303:Instances!K303),"max", MAX(Instances!K303:Instances!K303),"diff", MAX(Instances!K303:Instances!K303)-MIN(Instances!K303:Instances!K303))</f>
        <v>0</v>
      </c>
      <c r="L303" s="1"/>
      <c r="M303" s="1" cm="1">
        <f t="array" ref="M303">_xlfn.SWITCH($A$2,"average", AVERAGE(Instances!M303:Instances!M303),"median", MEDIAN(Instances!M303:Instances!M303),"min", MIN(Instances!M303:Instances!M303),"max", MAX(Instances!M303:Instances!M303),"diff", MAX(Instances!M303:Instances!M303)-MIN(Instances!M303:Instances!M303))</f>
        <v>0</v>
      </c>
      <c r="N303" s="1" cm="1">
        <f t="array" ref="N303">_xlfn.SWITCH($A$2,"average", AVERAGE(Instances!N303:Instances!N303),"median", MEDIAN(Instances!N303:Instances!N303),"min", MIN(Instances!N303:Instances!N303),"max", MAX(Instances!N303:Instances!N303),"diff", MAX(Instances!N303:Instances!N303)-MIN(Instances!N303:Instances!N303))</f>
        <v>0</v>
      </c>
      <c r="O303" s="1"/>
      <c r="P303" s="1" cm="1">
        <f t="array" ref="P303">_xlfn.SWITCH($A$2,"average", AVERAGE(Instances!P303:Instances!P303),"median", MEDIAN(Instances!P303:Instances!P303),"min", MIN(Instances!P303:Instances!P303),"max", MAX(Instances!P303:Instances!P303),"diff", MAX(Instances!P303:Instances!P303)-MIN(Instances!P303:Instances!P303))</f>
        <v>0</v>
      </c>
      <c r="Q303" s="1" cm="1">
        <f t="array" ref="Q303">_xlfn.SWITCH($A$2,"average", AVERAGE(Instances!Q303:Instances!Q303),"median", MEDIAN(Instances!Q303:Instances!Q303),"min", MIN(Instances!Q303:Instances!Q303),"max", MAX(Instances!Q303:Instances!Q303),"diff", MAX(Instances!Q303:Instances!Q303)-MIN(Instances!Q303:Instances!Q303))</f>
        <v>0</v>
      </c>
      <c r="R303" s="1" cm="1">
        <f t="array" ref="R303">_xlfn.SWITCH($A$2,"average", AVERAGE(Instances!R303:Instances!R303),"median", MEDIAN(Instances!R303:Instances!R303),"min", MIN(Instances!R303:Instances!R303),"max", MAX(Instances!R303:Instances!R303),"diff", MAX(Instances!R303:Instances!R303)-MIN(Instances!R303:Instances!R303))</f>
        <v>0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 cm="1">
        <f t="array" ref="B304">_xlfn.SWITCH($A$2,"average", AVERAGE(Instances!B304:Instances!B304),"median", MEDIAN(Instances!B304:Instances!B304),"min", MIN(Instances!B304:Instances!B304),"max", MAX(Instances!B304:Instances!B304),"diff", MAX(Instances!B304:Instances!B304)-MIN(Instances!B304:Instances!B304))</f>
        <v>0</v>
      </c>
      <c r="C304" s="1" cm="1">
        <f t="array" ref="C304">_xlfn.SWITCH($A$2,"average", AVERAGE(Instances!C304:Instances!C304),"median", MEDIAN(Instances!C304:Instances!C304),"min", MIN(Instances!C304:Instances!C304),"max", MAX(Instances!C304:Instances!C304),"diff", MAX(Instances!C304:Instances!C304)-MIN(Instances!C304:Instances!C304))</f>
        <v>0</v>
      </c>
      <c r="D304" s="1" cm="1">
        <f t="array" ref="D304">_xlfn.SWITCH($A$2,"average", AVERAGE(Instances!D304:Instances!D304),"median", MEDIAN(Instances!D304:Instances!D304),"min", MIN(Instances!D304:Instances!D304),"max", MAX(Instances!D304:Instances!D304),"diff", MAX(Instances!D304:Instances!D304)-MIN(Instances!D304:Instances!D304))</f>
        <v>0</v>
      </c>
      <c r="E304" s="1" cm="1">
        <f t="array" ref="E304">_xlfn.SWITCH($A$2,"average", AVERAGE(Instances!E304:Instances!E304),"median", MEDIAN(Instances!E304:Instances!E304),"min", MIN(Instances!E304:Instances!E304),"max", MAX(Instances!E304:Instances!E304),"diff", MAX(Instances!E304:Instances!E304)-MIN(Instances!E304:Instances!E304))</f>
        <v>0</v>
      </c>
      <c r="F304" s="1" cm="1">
        <f t="array" ref="F304">_xlfn.SWITCH($A$2,"average", AVERAGE(Instances!F304:Instances!F304),"median", MEDIAN(Instances!F304:Instances!F304),"min", MIN(Instances!F304:Instances!F304),"max", MAX(Instances!F304:Instances!F304),"diff", MAX(Instances!F304:Instances!F304)-MIN(Instances!F304:Instances!F304))</f>
        <v>0</v>
      </c>
      <c r="G304" s="1" cm="1">
        <f t="array" ref="G304">_xlfn.SWITCH($A$2,"average", AVERAGE(Instances!G304:Instances!G304),"median", MEDIAN(Instances!G304:Instances!G304),"min", MIN(Instances!G304:Instances!G304),"max", MAX(Instances!G304:Instances!G304),"diff", MAX(Instances!G304:Instances!G304)-MIN(Instances!G304:Instances!G304))</f>
        <v>0</v>
      </c>
      <c r="H304" s="1" cm="1">
        <f t="array" ref="H304">_xlfn.SWITCH($A$2,"average", AVERAGE(Instances!H304:Instances!H304),"median", MEDIAN(Instances!H304:Instances!H304),"min", MIN(Instances!H304:Instances!H304),"max", MAX(Instances!H304:Instances!H304),"diff", MAX(Instances!H304:Instances!H304)-MIN(Instances!H304:Instances!H304))</f>
        <v>0</v>
      </c>
      <c r="I304" s="1" cm="1">
        <f t="array" ref="I304">_xlfn.SWITCH($A$2,"average", AVERAGE(Instances!I304:Instances!I304),"median", MEDIAN(Instances!I304:Instances!I304),"min", MIN(Instances!I304:Instances!I304),"max", MAX(Instances!I304:Instances!I304),"diff", MAX(Instances!I304:Instances!I304)-MIN(Instances!I304:Instances!I304))</f>
        <v>0</v>
      </c>
      <c r="J304" s="1" cm="1">
        <f t="array" ref="J304">_xlfn.SWITCH($A$2,"average", AVERAGE(Instances!J304:Instances!J304),"median", MEDIAN(Instances!J304:Instances!J304),"min", MIN(Instances!J304:Instances!J304),"max", MAX(Instances!J304:Instances!J304),"diff", MAX(Instances!J304:Instances!J304)-MIN(Instances!J304:Instances!J304))</f>
        <v>0</v>
      </c>
      <c r="K304" s="1" cm="1">
        <f t="array" ref="K304">_xlfn.SWITCH($A$2,"average", AVERAGE(Instances!K304:Instances!K304),"median", MEDIAN(Instances!K304:Instances!K304),"min", MIN(Instances!K304:Instances!K304),"max", MAX(Instances!K304:Instances!K304),"diff", MAX(Instances!K304:Instances!K304)-MIN(Instances!K304:Instances!K304))</f>
        <v>0</v>
      </c>
      <c r="L304" s="1"/>
      <c r="M304" s="1" cm="1">
        <f t="array" ref="M304">_xlfn.SWITCH($A$2,"average", AVERAGE(Instances!M304:Instances!M304),"median", MEDIAN(Instances!M304:Instances!M304),"min", MIN(Instances!M304:Instances!M304),"max", MAX(Instances!M304:Instances!M304),"diff", MAX(Instances!M304:Instances!M304)-MIN(Instances!M304:Instances!M304))</f>
        <v>0</v>
      </c>
      <c r="N304" s="1" cm="1">
        <f t="array" ref="N304">_xlfn.SWITCH($A$2,"average", AVERAGE(Instances!N304:Instances!N304),"median", MEDIAN(Instances!N304:Instances!N304),"min", MIN(Instances!N304:Instances!N304),"max", MAX(Instances!N304:Instances!N304),"diff", MAX(Instances!N304:Instances!N304)-MIN(Instances!N304:Instances!N304))</f>
        <v>0</v>
      </c>
      <c r="O304" s="1"/>
      <c r="P304" s="1" cm="1">
        <f t="array" ref="P304">_xlfn.SWITCH($A$2,"average", AVERAGE(Instances!P304:Instances!P304),"median", MEDIAN(Instances!P304:Instances!P304),"min", MIN(Instances!P304:Instances!P304),"max", MAX(Instances!P304:Instances!P304),"diff", MAX(Instances!P304:Instances!P304)-MIN(Instances!P304:Instances!P304))</f>
        <v>0</v>
      </c>
      <c r="Q304" s="1" cm="1">
        <f t="array" ref="Q304">_xlfn.SWITCH($A$2,"average", AVERAGE(Instances!Q304:Instances!Q304),"median", MEDIAN(Instances!Q304:Instances!Q304),"min", MIN(Instances!Q304:Instances!Q304),"max", MAX(Instances!Q304:Instances!Q304),"diff", MAX(Instances!Q304:Instances!Q304)-MIN(Instances!Q304:Instances!Q304))</f>
        <v>0</v>
      </c>
      <c r="R304" s="1" cm="1">
        <f t="array" ref="R304">_xlfn.SWITCH($A$2,"average", AVERAGE(Instances!R304:Instances!R304),"median", MEDIAN(Instances!R304:Instances!R304),"min", MIN(Instances!R304:Instances!R304),"max", MAX(Instances!R304:Instances!R304),"diff", MAX(Instances!R304:Instances!R304)-MIN(Instances!R304:Instances!R304))</f>
        <v>0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 cm="1">
        <f t="array" ref="B305">_xlfn.SWITCH($A$2,"average", AVERAGE(Instances!B305:Instances!B305),"median", MEDIAN(Instances!B305:Instances!B305),"min", MIN(Instances!B305:Instances!B305),"max", MAX(Instances!B305:Instances!B305),"diff", MAX(Instances!B305:Instances!B305)-MIN(Instances!B305:Instances!B305))</f>
        <v>0</v>
      </c>
      <c r="C305" s="1" cm="1">
        <f t="array" ref="C305">_xlfn.SWITCH($A$2,"average", AVERAGE(Instances!C305:Instances!C305),"median", MEDIAN(Instances!C305:Instances!C305),"min", MIN(Instances!C305:Instances!C305),"max", MAX(Instances!C305:Instances!C305),"diff", MAX(Instances!C305:Instances!C305)-MIN(Instances!C305:Instances!C305))</f>
        <v>0</v>
      </c>
      <c r="D305" s="1" cm="1">
        <f t="array" ref="D305">_xlfn.SWITCH($A$2,"average", AVERAGE(Instances!D305:Instances!D305),"median", MEDIAN(Instances!D305:Instances!D305),"min", MIN(Instances!D305:Instances!D305),"max", MAX(Instances!D305:Instances!D305),"diff", MAX(Instances!D305:Instances!D305)-MIN(Instances!D305:Instances!D305))</f>
        <v>0</v>
      </c>
      <c r="E305" s="1" cm="1">
        <f t="array" ref="E305">_xlfn.SWITCH($A$2,"average", AVERAGE(Instances!E305:Instances!E305),"median", MEDIAN(Instances!E305:Instances!E305),"min", MIN(Instances!E305:Instances!E305),"max", MAX(Instances!E305:Instances!E305),"diff", MAX(Instances!E305:Instances!E305)-MIN(Instances!E305:Instances!E305))</f>
        <v>0</v>
      </c>
      <c r="F305" s="1" cm="1">
        <f t="array" ref="F305">_xlfn.SWITCH($A$2,"average", AVERAGE(Instances!F305:Instances!F305),"median", MEDIAN(Instances!F305:Instances!F305),"min", MIN(Instances!F305:Instances!F305),"max", MAX(Instances!F305:Instances!F305),"diff", MAX(Instances!F305:Instances!F305)-MIN(Instances!F305:Instances!F305))</f>
        <v>0</v>
      </c>
      <c r="G305" s="1" cm="1">
        <f t="array" ref="G305">_xlfn.SWITCH($A$2,"average", AVERAGE(Instances!G305:Instances!G305),"median", MEDIAN(Instances!G305:Instances!G305),"min", MIN(Instances!G305:Instances!G305),"max", MAX(Instances!G305:Instances!G305),"diff", MAX(Instances!G305:Instances!G305)-MIN(Instances!G305:Instances!G305))</f>
        <v>0</v>
      </c>
      <c r="H305" s="1" cm="1">
        <f t="array" ref="H305">_xlfn.SWITCH($A$2,"average", AVERAGE(Instances!H305:Instances!H305),"median", MEDIAN(Instances!H305:Instances!H305),"min", MIN(Instances!H305:Instances!H305),"max", MAX(Instances!H305:Instances!H305),"diff", MAX(Instances!H305:Instances!H305)-MIN(Instances!H305:Instances!H305))</f>
        <v>0</v>
      </c>
      <c r="I305" s="1" cm="1">
        <f t="array" ref="I305">_xlfn.SWITCH($A$2,"average", AVERAGE(Instances!I305:Instances!I305),"median", MEDIAN(Instances!I305:Instances!I305),"min", MIN(Instances!I305:Instances!I305),"max", MAX(Instances!I305:Instances!I305),"diff", MAX(Instances!I305:Instances!I305)-MIN(Instances!I305:Instances!I305))</f>
        <v>0</v>
      </c>
      <c r="J305" s="1" cm="1">
        <f t="array" ref="J305">_xlfn.SWITCH($A$2,"average", AVERAGE(Instances!J305:Instances!J305),"median", MEDIAN(Instances!J305:Instances!J305),"min", MIN(Instances!J305:Instances!J305),"max", MAX(Instances!J305:Instances!J305),"diff", MAX(Instances!J305:Instances!J305)-MIN(Instances!J305:Instances!J305))</f>
        <v>0</v>
      </c>
      <c r="K305" s="1" cm="1">
        <f t="array" ref="K305">_xlfn.SWITCH($A$2,"average", AVERAGE(Instances!K305:Instances!K305),"median", MEDIAN(Instances!K305:Instances!K305),"min", MIN(Instances!K305:Instances!K305),"max", MAX(Instances!K305:Instances!K305),"diff", MAX(Instances!K305:Instances!K305)-MIN(Instances!K305:Instances!K305))</f>
        <v>0</v>
      </c>
      <c r="L305" s="1"/>
      <c r="M305" s="1" cm="1">
        <f t="array" ref="M305">_xlfn.SWITCH($A$2,"average", AVERAGE(Instances!M305:Instances!M305),"median", MEDIAN(Instances!M305:Instances!M305),"min", MIN(Instances!M305:Instances!M305),"max", MAX(Instances!M305:Instances!M305),"diff", MAX(Instances!M305:Instances!M305)-MIN(Instances!M305:Instances!M305))</f>
        <v>0</v>
      </c>
      <c r="N305" s="1" cm="1">
        <f t="array" ref="N305">_xlfn.SWITCH($A$2,"average", AVERAGE(Instances!N305:Instances!N305),"median", MEDIAN(Instances!N305:Instances!N305),"min", MIN(Instances!N305:Instances!N305),"max", MAX(Instances!N305:Instances!N305),"diff", MAX(Instances!N305:Instances!N305)-MIN(Instances!N305:Instances!N305))</f>
        <v>0</v>
      </c>
      <c r="O305" s="1"/>
      <c r="P305" s="1" cm="1">
        <f t="array" ref="P305">_xlfn.SWITCH($A$2,"average", AVERAGE(Instances!P305:Instances!P305),"median", MEDIAN(Instances!P305:Instances!P305),"min", MIN(Instances!P305:Instances!P305),"max", MAX(Instances!P305:Instances!P305),"diff", MAX(Instances!P305:Instances!P305)-MIN(Instances!P305:Instances!P305))</f>
        <v>0</v>
      </c>
      <c r="Q305" s="1" cm="1">
        <f t="array" ref="Q305">_xlfn.SWITCH($A$2,"average", AVERAGE(Instances!Q305:Instances!Q305),"median", MEDIAN(Instances!Q305:Instances!Q305),"min", MIN(Instances!Q305:Instances!Q305),"max", MAX(Instances!Q305:Instances!Q305),"diff", MAX(Instances!Q305:Instances!Q305)-MIN(Instances!Q305:Instances!Q305))</f>
        <v>0</v>
      </c>
      <c r="R305" s="1" cm="1">
        <f t="array" ref="R305">_xlfn.SWITCH($A$2,"average", AVERAGE(Instances!R305:Instances!R305),"median", MEDIAN(Instances!R305:Instances!R305),"min", MIN(Instances!R305:Instances!R305),"max", MAX(Instances!R305:Instances!R305),"diff", MAX(Instances!R305:Instances!R305)-MIN(Instances!R305:Instances!R305))</f>
        <v>0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 cm="1">
        <f t="array" ref="B306">_xlfn.SWITCH($A$2,"average", AVERAGE(Instances!B306:Instances!B306),"median", MEDIAN(Instances!B306:Instances!B306),"min", MIN(Instances!B306:Instances!B306),"max", MAX(Instances!B306:Instances!B306),"diff", MAX(Instances!B306:Instances!B306)-MIN(Instances!B306:Instances!B306))</f>
        <v>0</v>
      </c>
      <c r="C306" s="1" cm="1">
        <f t="array" ref="C306">_xlfn.SWITCH($A$2,"average", AVERAGE(Instances!C306:Instances!C306),"median", MEDIAN(Instances!C306:Instances!C306),"min", MIN(Instances!C306:Instances!C306),"max", MAX(Instances!C306:Instances!C306),"diff", MAX(Instances!C306:Instances!C306)-MIN(Instances!C306:Instances!C306))</f>
        <v>0</v>
      </c>
      <c r="D306" s="1" cm="1">
        <f t="array" ref="D306">_xlfn.SWITCH($A$2,"average", AVERAGE(Instances!D306:Instances!D306),"median", MEDIAN(Instances!D306:Instances!D306),"min", MIN(Instances!D306:Instances!D306),"max", MAX(Instances!D306:Instances!D306),"diff", MAX(Instances!D306:Instances!D306)-MIN(Instances!D306:Instances!D306))</f>
        <v>0</v>
      </c>
      <c r="E306" s="1" cm="1">
        <f t="array" ref="E306">_xlfn.SWITCH($A$2,"average", AVERAGE(Instances!E306:Instances!E306),"median", MEDIAN(Instances!E306:Instances!E306),"min", MIN(Instances!E306:Instances!E306),"max", MAX(Instances!E306:Instances!E306),"diff", MAX(Instances!E306:Instances!E306)-MIN(Instances!E306:Instances!E306))</f>
        <v>0</v>
      </c>
      <c r="F306" s="1" cm="1">
        <f t="array" ref="F306">_xlfn.SWITCH($A$2,"average", AVERAGE(Instances!F306:Instances!F306),"median", MEDIAN(Instances!F306:Instances!F306),"min", MIN(Instances!F306:Instances!F306),"max", MAX(Instances!F306:Instances!F306),"diff", MAX(Instances!F306:Instances!F306)-MIN(Instances!F306:Instances!F306))</f>
        <v>0</v>
      </c>
      <c r="G306" s="1" cm="1">
        <f t="array" ref="G306">_xlfn.SWITCH($A$2,"average", AVERAGE(Instances!G306:Instances!G306),"median", MEDIAN(Instances!G306:Instances!G306),"min", MIN(Instances!G306:Instances!G306),"max", MAX(Instances!G306:Instances!G306),"diff", MAX(Instances!G306:Instances!G306)-MIN(Instances!G306:Instances!G306))</f>
        <v>0</v>
      </c>
      <c r="H306" s="1" cm="1">
        <f t="array" ref="H306">_xlfn.SWITCH($A$2,"average", AVERAGE(Instances!H306:Instances!H306),"median", MEDIAN(Instances!H306:Instances!H306),"min", MIN(Instances!H306:Instances!H306),"max", MAX(Instances!H306:Instances!H306),"diff", MAX(Instances!H306:Instances!H306)-MIN(Instances!H306:Instances!H306))</f>
        <v>0</v>
      </c>
      <c r="I306" s="1" cm="1">
        <f t="array" ref="I306">_xlfn.SWITCH($A$2,"average", AVERAGE(Instances!I306:Instances!I306),"median", MEDIAN(Instances!I306:Instances!I306),"min", MIN(Instances!I306:Instances!I306),"max", MAX(Instances!I306:Instances!I306),"diff", MAX(Instances!I306:Instances!I306)-MIN(Instances!I306:Instances!I306))</f>
        <v>0</v>
      </c>
      <c r="J306" s="1" cm="1">
        <f t="array" ref="J306">_xlfn.SWITCH($A$2,"average", AVERAGE(Instances!J306:Instances!J306),"median", MEDIAN(Instances!J306:Instances!J306),"min", MIN(Instances!J306:Instances!J306),"max", MAX(Instances!J306:Instances!J306),"diff", MAX(Instances!J306:Instances!J306)-MIN(Instances!J306:Instances!J306))</f>
        <v>0</v>
      </c>
      <c r="K306" s="1" cm="1">
        <f t="array" ref="K306">_xlfn.SWITCH($A$2,"average", AVERAGE(Instances!K306:Instances!K306),"median", MEDIAN(Instances!K306:Instances!K306),"min", MIN(Instances!K306:Instances!K306),"max", MAX(Instances!K306:Instances!K306),"diff", MAX(Instances!K306:Instances!K306)-MIN(Instances!K306:Instances!K306))</f>
        <v>0</v>
      </c>
      <c r="L306" s="1"/>
      <c r="M306" s="1" cm="1">
        <f t="array" ref="M306">_xlfn.SWITCH($A$2,"average", AVERAGE(Instances!M306:Instances!M306),"median", MEDIAN(Instances!M306:Instances!M306),"min", MIN(Instances!M306:Instances!M306),"max", MAX(Instances!M306:Instances!M306),"diff", MAX(Instances!M306:Instances!M306)-MIN(Instances!M306:Instances!M306))</f>
        <v>0</v>
      </c>
      <c r="N306" s="1" cm="1">
        <f t="array" ref="N306">_xlfn.SWITCH($A$2,"average", AVERAGE(Instances!N306:Instances!N306),"median", MEDIAN(Instances!N306:Instances!N306),"min", MIN(Instances!N306:Instances!N306),"max", MAX(Instances!N306:Instances!N306),"diff", MAX(Instances!N306:Instances!N306)-MIN(Instances!N306:Instances!N306))</f>
        <v>0</v>
      </c>
      <c r="O306" s="1"/>
      <c r="P306" s="1" cm="1">
        <f t="array" ref="P306">_xlfn.SWITCH($A$2,"average", AVERAGE(Instances!P306:Instances!P306),"median", MEDIAN(Instances!P306:Instances!P306),"min", MIN(Instances!P306:Instances!P306),"max", MAX(Instances!P306:Instances!P306),"diff", MAX(Instances!P306:Instances!P306)-MIN(Instances!P306:Instances!P306))</f>
        <v>0</v>
      </c>
      <c r="Q306" s="1" cm="1">
        <f t="array" ref="Q306">_xlfn.SWITCH($A$2,"average", AVERAGE(Instances!Q306:Instances!Q306),"median", MEDIAN(Instances!Q306:Instances!Q306),"min", MIN(Instances!Q306:Instances!Q306),"max", MAX(Instances!Q306:Instances!Q306),"diff", MAX(Instances!Q306:Instances!Q306)-MIN(Instances!Q306:Instances!Q306))</f>
        <v>0</v>
      </c>
      <c r="R306" s="1" cm="1">
        <f t="array" ref="R306">_xlfn.SWITCH($A$2,"average", AVERAGE(Instances!R306:Instances!R306),"median", MEDIAN(Instances!R306:Instances!R306),"min", MIN(Instances!R306:Instances!R306),"max", MAX(Instances!R306:Instances!R306),"diff", MAX(Instances!R306:Instances!R306)-MIN(Instances!R306:Instances!R306))</f>
        <v>0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 cm="1">
        <f t="array" ref="B307">_xlfn.SWITCH($A$2,"average", AVERAGE(Instances!B307:Instances!B307),"median", MEDIAN(Instances!B307:Instances!B307),"min", MIN(Instances!B307:Instances!B307),"max", MAX(Instances!B307:Instances!B307),"diff", MAX(Instances!B307:Instances!B307)-MIN(Instances!B307:Instances!B307))</f>
        <v>0</v>
      </c>
      <c r="C307" s="1" cm="1">
        <f t="array" ref="C307">_xlfn.SWITCH($A$2,"average", AVERAGE(Instances!C307:Instances!C307),"median", MEDIAN(Instances!C307:Instances!C307),"min", MIN(Instances!C307:Instances!C307),"max", MAX(Instances!C307:Instances!C307),"diff", MAX(Instances!C307:Instances!C307)-MIN(Instances!C307:Instances!C307))</f>
        <v>0</v>
      </c>
      <c r="D307" s="1" cm="1">
        <f t="array" ref="D307">_xlfn.SWITCH($A$2,"average", AVERAGE(Instances!D307:Instances!D307),"median", MEDIAN(Instances!D307:Instances!D307),"min", MIN(Instances!D307:Instances!D307),"max", MAX(Instances!D307:Instances!D307),"diff", MAX(Instances!D307:Instances!D307)-MIN(Instances!D307:Instances!D307))</f>
        <v>0</v>
      </c>
      <c r="E307" s="1" cm="1">
        <f t="array" ref="E307">_xlfn.SWITCH($A$2,"average", AVERAGE(Instances!E307:Instances!E307),"median", MEDIAN(Instances!E307:Instances!E307),"min", MIN(Instances!E307:Instances!E307),"max", MAX(Instances!E307:Instances!E307),"diff", MAX(Instances!E307:Instances!E307)-MIN(Instances!E307:Instances!E307))</f>
        <v>0</v>
      </c>
      <c r="F307" s="1" cm="1">
        <f t="array" ref="F307">_xlfn.SWITCH($A$2,"average", AVERAGE(Instances!F307:Instances!F307),"median", MEDIAN(Instances!F307:Instances!F307),"min", MIN(Instances!F307:Instances!F307),"max", MAX(Instances!F307:Instances!F307),"diff", MAX(Instances!F307:Instances!F307)-MIN(Instances!F307:Instances!F307))</f>
        <v>0</v>
      </c>
      <c r="G307" s="1" cm="1">
        <f t="array" ref="G307">_xlfn.SWITCH($A$2,"average", AVERAGE(Instances!G307:Instances!G307),"median", MEDIAN(Instances!G307:Instances!G307),"min", MIN(Instances!G307:Instances!G307),"max", MAX(Instances!G307:Instances!G307),"diff", MAX(Instances!G307:Instances!G307)-MIN(Instances!G307:Instances!G307))</f>
        <v>0</v>
      </c>
      <c r="H307" s="1" cm="1">
        <f t="array" ref="H307">_xlfn.SWITCH($A$2,"average", AVERAGE(Instances!H307:Instances!H307),"median", MEDIAN(Instances!H307:Instances!H307),"min", MIN(Instances!H307:Instances!H307),"max", MAX(Instances!H307:Instances!H307),"diff", MAX(Instances!H307:Instances!H307)-MIN(Instances!H307:Instances!H307))</f>
        <v>0</v>
      </c>
      <c r="I307" s="1" cm="1">
        <f t="array" ref="I307">_xlfn.SWITCH($A$2,"average", AVERAGE(Instances!I307:Instances!I307),"median", MEDIAN(Instances!I307:Instances!I307),"min", MIN(Instances!I307:Instances!I307),"max", MAX(Instances!I307:Instances!I307),"diff", MAX(Instances!I307:Instances!I307)-MIN(Instances!I307:Instances!I307))</f>
        <v>0</v>
      </c>
      <c r="J307" s="1" cm="1">
        <f t="array" ref="J307">_xlfn.SWITCH($A$2,"average", AVERAGE(Instances!J307:Instances!J307),"median", MEDIAN(Instances!J307:Instances!J307),"min", MIN(Instances!J307:Instances!J307),"max", MAX(Instances!J307:Instances!J307),"diff", MAX(Instances!J307:Instances!J307)-MIN(Instances!J307:Instances!J307))</f>
        <v>0</v>
      </c>
      <c r="K307" s="1" cm="1">
        <f t="array" ref="K307">_xlfn.SWITCH($A$2,"average", AVERAGE(Instances!K307:Instances!K307),"median", MEDIAN(Instances!K307:Instances!K307),"min", MIN(Instances!K307:Instances!K307),"max", MAX(Instances!K307:Instances!K307),"diff", MAX(Instances!K307:Instances!K307)-MIN(Instances!K307:Instances!K307))</f>
        <v>0</v>
      </c>
      <c r="L307" s="1"/>
      <c r="M307" s="1" cm="1">
        <f t="array" ref="M307">_xlfn.SWITCH($A$2,"average", AVERAGE(Instances!M307:Instances!M307),"median", MEDIAN(Instances!M307:Instances!M307),"min", MIN(Instances!M307:Instances!M307),"max", MAX(Instances!M307:Instances!M307),"diff", MAX(Instances!M307:Instances!M307)-MIN(Instances!M307:Instances!M307))</f>
        <v>0</v>
      </c>
      <c r="N307" s="1" cm="1">
        <f t="array" ref="N307">_xlfn.SWITCH($A$2,"average", AVERAGE(Instances!N307:Instances!N307),"median", MEDIAN(Instances!N307:Instances!N307),"min", MIN(Instances!N307:Instances!N307),"max", MAX(Instances!N307:Instances!N307),"diff", MAX(Instances!N307:Instances!N307)-MIN(Instances!N307:Instances!N307))</f>
        <v>0</v>
      </c>
      <c r="O307" s="1"/>
      <c r="P307" s="1" cm="1">
        <f t="array" ref="P307">_xlfn.SWITCH($A$2,"average", AVERAGE(Instances!P307:Instances!P307),"median", MEDIAN(Instances!P307:Instances!P307),"min", MIN(Instances!P307:Instances!P307),"max", MAX(Instances!P307:Instances!P307),"diff", MAX(Instances!P307:Instances!P307)-MIN(Instances!P307:Instances!P307))</f>
        <v>0</v>
      </c>
      <c r="Q307" s="1" cm="1">
        <f t="array" ref="Q307">_xlfn.SWITCH($A$2,"average", AVERAGE(Instances!Q307:Instances!Q307),"median", MEDIAN(Instances!Q307:Instances!Q307),"min", MIN(Instances!Q307:Instances!Q307),"max", MAX(Instances!Q307:Instances!Q307),"diff", MAX(Instances!Q307:Instances!Q307)-MIN(Instances!Q307:Instances!Q307))</f>
        <v>0</v>
      </c>
      <c r="R307" s="1" cm="1">
        <f t="array" ref="R307">_xlfn.SWITCH($A$2,"average", AVERAGE(Instances!R307:Instances!R307),"median", MEDIAN(Instances!R307:Instances!R307),"min", MIN(Instances!R307:Instances!R307),"max", MAX(Instances!R307:Instances!R307),"diff", MAX(Instances!R307:Instances!R307)-MIN(Instances!R307:Instances!R307))</f>
        <v>0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 cm="1">
        <f t="array" ref="B308">_xlfn.SWITCH($A$2,"average", AVERAGE(Instances!B308:Instances!B308),"median", MEDIAN(Instances!B308:Instances!B308),"min", MIN(Instances!B308:Instances!B308),"max", MAX(Instances!B308:Instances!B308),"diff", MAX(Instances!B308:Instances!B308)-MIN(Instances!B308:Instances!B308))</f>
        <v>0</v>
      </c>
      <c r="C308" s="1" cm="1">
        <f t="array" ref="C308">_xlfn.SWITCH($A$2,"average", AVERAGE(Instances!C308:Instances!C308),"median", MEDIAN(Instances!C308:Instances!C308),"min", MIN(Instances!C308:Instances!C308),"max", MAX(Instances!C308:Instances!C308),"diff", MAX(Instances!C308:Instances!C308)-MIN(Instances!C308:Instances!C308))</f>
        <v>0</v>
      </c>
      <c r="D308" s="1" cm="1">
        <f t="array" ref="D308">_xlfn.SWITCH($A$2,"average", AVERAGE(Instances!D308:Instances!D308),"median", MEDIAN(Instances!D308:Instances!D308),"min", MIN(Instances!D308:Instances!D308),"max", MAX(Instances!D308:Instances!D308),"diff", MAX(Instances!D308:Instances!D308)-MIN(Instances!D308:Instances!D308))</f>
        <v>0</v>
      </c>
      <c r="E308" s="1" cm="1">
        <f t="array" ref="E308">_xlfn.SWITCH($A$2,"average", AVERAGE(Instances!E308:Instances!E308),"median", MEDIAN(Instances!E308:Instances!E308),"min", MIN(Instances!E308:Instances!E308),"max", MAX(Instances!E308:Instances!E308),"diff", MAX(Instances!E308:Instances!E308)-MIN(Instances!E308:Instances!E308))</f>
        <v>0</v>
      </c>
      <c r="F308" s="1" cm="1">
        <f t="array" ref="F308">_xlfn.SWITCH($A$2,"average", AVERAGE(Instances!F308:Instances!F308),"median", MEDIAN(Instances!F308:Instances!F308),"min", MIN(Instances!F308:Instances!F308),"max", MAX(Instances!F308:Instances!F308),"diff", MAX(Instances!F308:Instances!F308)-MIN(Instances!F308:Instances!F308))</f>
        <v>0</v>
      </c>
      <c r="G308" s="1" cm="1">
        <f t="array" ref="G308">_xlfn.SWITCH($A$2,"average", AVERAGE(Instances!G308:Instances!G308),"median", MEDIAN(Instances!G308:Instances!G308),"min", MIN(Instances!G308:Instances!G308),"max", MAX(Instances!G308:Instances!G308),"diff", MAX(Instances!G308:Instances!G308)-MIN(Instances!G308:Instances!G308))</f>
        <v>0</v>
      </c>
      <c r="H308" s="1" cm="1">
        <f t="array" ref="H308">_xlfn.SWITCH($A$2,"average", AVERAGE(Instances!H308:Instances!H308),"median", MEDIAN(Instances!H308:Instances!H308),"min", MIN(Instances!H308:Instances!H308),"max", MAX(Instances!H308:Instances!H308),"diff", MAX(Instances!H308:Instances!H308)-MIN(Instances!H308:Instances!H308))</f>
        <v>0</v>
      </c>
      <c r="I308" s="1" cm="1">
        <f t="array" ref="I308">_xlfn.SWITCH($A$2,"average", AVERAGE(Instances!I308:Instances!I308),"median", MEDIAN(Instances!I308:Instances!I308),"min", MIN(Instances!I308:Instances!I308),"max", MAX(Instances!I308:Instances!I308),"diff", MAX(Instances!I308:Instances!I308)-MIN(Instances!I308:Instances!I308))</f>
        <v>0</v>
      </c>
      <c r="J308" s="1" cm="1">
        <f t="array" ref="J308">_xlfn.SWITCH($A$2,"average", AVERAGE(Instances!J308:Instances!J308),"median", MEDIAN(Instances!J308:Instances!J308),"min", MIN(Instances!J308:Instances!J308),"max", MAX(Instances!J308:Instances!J308),"diff", MAX(Instances!J308:Instances!J308)-MIN(Instances!J308:Instances!J308))</f>
        <v>0</v>
      </c>
      <c r="K308" s="1" cm="1">
        <f t="array" ref="K308">_xlfn.SWITCH($A$2,"average", AVERAGE(Instances!K308:Instances!K308),"median", MEDIAN(Instances!K308:Instances!K308),"min", MIN(Instances!K308:Instances!K308),"max", MAX(Instances!K308:Instances!K308),"diff", MAX(Instances!K308:Instances!K308)-MIN(Instances!K308:Instances!K308))</f>
        <v>0</v>
      </c>
      <c r="L308" s="1"/>
      <c r="M308" s="1" cm="1">
        <f t="array" ref="M308">_xlfn.SWITCH($A$2,"average", AVERAGE(Instances!M308:Instances!M308),"median", MEDIAN(Instances!M308:Instances!M308),"min", MIN(Instances!M308:Instances!M308),"max", MAX(Instances!M308:Instances!M308),"diff", MAX(Instances!M308:Instances!M308)-MIN(Instances!M308:Instances!M308))</f>
        <v>0</v>
      </c>
      <c r="N308" s="1" cm="1">
        <f t="array" ref="N308">_xlfn.SWITCH($A$2,"average", AVERAGE(Instances!N308:Instances!N308),"median", MEDIAN(Instances!N308:Instances!N308),"min", MIN(Instances!N308:Instances!N308),"max", MAX(Instances!N308:Instances!N308),"diff", MAX(Instances!N308:Instances!N308)-MIN(Instances!N308:Instances!N308))</f>
        <v>0</v>
      </c>
      <c r="O308" s="1"/>
      <c r="P308" s="1" cm="1">
        <f t="array" ref="P308">_xlfn.SWITCH($A$2,"average", AVERAGE(Instances!P308:Instances!P308),"median", MEDIAN(Instances!P308:Instances!P308),"min", MIN(Instances!P308:Instances!P308),"max", MAX(Instances!P308:Instances!P308),"diff", MAX(Instances!P308:Instances!P308)-MIN(Instances!P308:Instances!P308))</f>
        <v>0</v>
      </c>
      <c r="Q308" s="1" cm="1">
        <f t="array" ref="Q308">_xlfn.SWITCH($A$2,"average", AVERAGE(Instances!Q308:Instances!Q308),"median", MEDIAN(Instances!Q308:Instances!Q308),"min", MIN(Instances!Q308:Instances!Q308),"max", MAX(Instances!Q308:Instances!Q308),"diff", MAX(Instances!Q308:Instances!Q308)-MIN(Instances!Q308:Instances!Q308))</f>
        <v>0</v>
      </c>
      <c r="R308" s="1" cm="1">
        <f t="array" ref="R308">_xlfn.SWITCH($A$2,"average", AVERAGE(Instances!R308:Instances!R308),"median", MEDIAN(Instances!R308:Instances!R308),"min", MIN(Instances!R308:Instances!R308),"max", MAX(Instances!R308:Instances!R308),"diff", MAX(Instances!R308:Instances!R308)-MIN(Instances!R308:Instances!R308))</f>
        <v>0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 cm="1">
        <f t="array" ref="B309">_xlfn.SWITCH($A$2,"average", AVERAGE(Instances!B309:Instances!B309),"median", MEDIAN(Instances!B309:Instances!B309),"min", MIN(Instances!B309:Instances!B309),"max", MAX(Instances!B309:Instances!B309),"diff", MAX(Instances!B309:Instances!B309)-MIN(Instances!B309:Instances!B309))</f>
        <v>0</v>
      </c>
      <c r="C309" s="1" cm="1">
        <f t="array" ref="C309">_xlfn.SWITCH($A$2,"average", AVERAGE(Instances!C309:Instances!C309),"median", MEDIAN(Instances!C309:Instances!C309),"min", MIN(Instances!C309:Instances!C309),"max", MAX(Instances!C309:Instances!C309),"diff", MAX(Instances!C309:Instances!C309)-MIN(Instances!C309:Instances!C309))</f>
        <v>0</v>
      </c>
      <c r="D309" s="1" cm="1">
        <f t="array" ref="D309">_xlfn.SWITCH($A$2,"average", AVERAGE(Instances!D309:Instances!D309),"median", MEDIAN(Instances!D309:Instances!D309),"min", MIN(Instances!D309:Instances!D309),"max", MAX(Instances!D309:Instances!D309),"diff", MAX(Instances!D309:Instances!D309)-MIN(Instances!D309:Instances!D309))</f>
        <v>0</v>
      </c>
      <c r="E309" s="1" cm="1">
        <f t="array" ref="E309">_xlfn.SWITCH($A$2,"average", AVERAGE(Instances!E309:Instances!E309),"median", MEDIAN(Instances!E309:Instances!E309),"min", MIN(Instances!E309:Instances!E309),"max", MAX(Instances!E309:Instances!E309),"diff", MAX(Instances!E309:Instances!E309)-MIN(Instances!E309:Instances!E309))</f>
        <v>0</v>
      </c>
      <c r="F309" s="1" cm="1">
        <f t="array" ref="F309">_xlfn.SWITCH($A$2,"average", AVERAGE(Instances!F309:Instances!F309),"median", MEDIAN(Instances!F309:Instances!F309),"min", MIN(Instances!F309:Instances!F309),"max", MAX(Instances!F309:Instances!F309),"diff", MAX(Instances!F309:Instances!F309)-MIN(Instances!F309:Instances!F309))</f>
        <v>0</v>
      </c>
      <c r="G309" s="1" cm="1">
        <f t="array" ref="G309">_xlfn.SWITCH($A$2,"average", AVERAGE(Instances!G309:Instances!G309),"median", MEDIAN(Instances!G309:Instances!G309),"min", MIN(Instances!G309:Instances!G309),"max", MAX(Instances!G309:Instances!G309),"diff", MAX(Instances!G309:Instances!G309)-MIN(Instances!G309:Instances!G309))</f>
        <v>0</v>
      </c>
      <c r="H309" s="1" cm="1">
        <f t="array" ref="H309">_xlfn.SWITCH($A$2,"average", AVERAGE(Instances!H309:Instances!H309),"median", MEDIAN(Instances!H309:Instances!H309),"min", MIN(Instances!H309:Instances!H309),"max", MAX(Instances!H309:Instances!H309),"diff", MAX(Instances!H309:Instances!H309)-MIN(Instances!H309:Instances!H309))</f>
        <v>0</v>
      </c>
      <c r="I309" s="1" cm="1">
        <f t="array" ref="I309">_xlfn.SWITCH($A$2,"average", AVERAGE(Instances!I309:Instances!I309),"median", MEDIAN(Instances!I309:Instances!I309),"min", MIN(Instances!I309:Instances!I309),"max", MAX(Instances!I309:Instances!I309),"diff", MAX(Instances!I309:Instances!I309)-MIN(Instances!I309:Instances!I309))</f>
        <v>0</v>
      </c>
      <c r="J309" s="1" cm="1">
        <f t="array" ref="J309">_xlfn.SWITCH($A$2,"average", AVERAGE(Instances!J309:Instances!J309),"median", MEDIAN(Instances!J309:Instances!J309),"min", MIN(Instances!J309:Instances!J309),"max", MAX(Instances!J309:Instances!J309),"diff", MAX(Instances!J309:Instances!J309)-MIN(Instances!J309:Instances!J309))</f>
        <v>0</v>
      </c>
      <c r="K309" s="1" cm="1">
        <f t="array" ref="K309">_xlfn.SWITCH($A$2,"average", AVERAGE(Instances!K309:Instances!K309),"median", MEDIAN(Instances!K309:Instances!K309),"min", MIN(Instances!K309:Instances!K309),"max", MAX(Instances!K309:Instances!K309),"diff", MAX(Instances!K309:Instances!K309)-MIN(Instances!K309:Instances!K309))</f>
        <v>0</v>
      </c>
      <c r="L309" s="1"/>
      <c r="M309" s="1" cm="1">
        <f t="array" ref="M309">_xlfn.SWITCH($A$2,"average", AVERAGE(Instances!M309:Instances!M309),"median", MEDIAN(Instances!M309:Instances!M309),"min", MIN(Instances!M309:Instances!M309),"max", MAX(Instances!M309:Instances!M309),"diff", MAX(Instances!M309:Instances!M309)-MIN(Instances!M309:Instances!M309))</f>
        <v>0</v>
      </c>
      <c r="N309" s="1" cm="1">
        <f t="array" ref="N309">_xlfn.SWITCH($A$2,"average", AVERAGE(Instances!N309:Instances!N309),"median", MEDIAN(Instances!N309:Instances!N309),"min", MIN(Instances!N309:Instances!N309),"max", MAX(Instances!N309:Instances!N309),"diff", MAX(Instances!N309:Instances!N309)-MIN(Instances!N309:Instances!N309))</f>
        <v>0</v>
      </c>
      <c r="O309" s="1"/>
      <c r="P309" s="1" cm="1">
        <f t="array" ref="P309">_xlfn.SWITCH($A$2,"average", AVERAGE(Instances!P309:Instances!P309),"median", MEDIAN(Instances!P309:Instances!P309),"min", MIN(Instances!P309:Instances!P309),"max", MAX(Instances!P309:Instances!P309),"diff", MAX(Instances!P309:Instances!P309)-MIN(Instances!P309:Instances!P309))</f>
        <v>0</v>
      </c>
      <c r="Q309" s="1" cm="1">
        <f t="array" ref="Q309">_xlfn.SWITCH($A$2,"average", AVERAGE(Instances!Q309:Instances!Q309),"median", MEDIAN(Instances!Q309:Instances!Q309),"min", MIN(Instances!Q309:Instances!Q309),"max", MAX(Instances!Q309:Instances!Q309),"diff", MAX(Instances!Q309:Instances!Q309)-MIN(Instances!Q309:Instances!Q309))</f>
        <v>0</v>
      </c>
      <c r="R309" s="1" cm="1">
        <f t="array" ref="R309">_xlfn.SWITCH($A$2,"average", AVERAGE(Instances!R309:Instances!R309),"median", MEDIAN(Instances!R309:Instances!R309),"min", MIN(Instances!R309:Instances!R309),"max", MAX(Instances!R309:Instances!R309),"diff", MAX(Instances!R309:Instances!R309)-MIN(Instances!R309:Instances!R309))</f>
        <v>0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 cm="1">
        <f t="array" ref="B310">_xlfn.SWITCH($A$2,"average", AVERAGE(Instances!B310:Instances!B310),"median", MEDIAN(Instances!B310:Instances!B310),"min", MIN(Instances!B310:Instances!B310),"max", MAX(Instances!B310:Instances!B310),"diff", MAX(Instances!B310:Instances!B310)-MIN(Instances!B310:Instances!B310))</f>
        <v>0</v>
      </c>
      <c r="C310" s="1" cm="1">
        <f t="array" ref="C310">_xlfn.SWITCH($A$2,"average", AVERAGE(Instances!C310:Instances!C310),"median", MEDIAN(Instances!C310:Instances!C310),"min", MIN(Instances!C310:Instances!C310),"max", MAX(Instances!C310:Instances!C310),"diff", MAX(Instances!C310:Instances!C310)-MIN(Instances!C310:Instances!C310))</f>
        <v>0</v>
      </c>
      <c r="D310" s="1" cm="1">
        <f t="array" ref="D310">_xlfn.SWITCH($A$2,"average", AVERAGE(Instances!D310:Instances!D310),"median", MEDIAN(Instances!D310:Instances!D310),"min", MIN(Instances!D310:Instances!D310),"max", MAX(Instances!D310:Instances!D310),"diff", MAX(Instances!D310:Instances!D310)-MIN(Instances!D310:Instances!D310))</f>
        <v>0</v>
      </c>
      <c r="E310" s="1" cm="1">
        <f t="array" ref="E310">_xlfn.SWITCH($A$2,"average", AVERAGE(Instances!E310:Instances!E310),"median", MEDIAN(Instances!E310:Instances!E310),"min", MIN(Instances!E310:Instances!E310),"max", MAX(Instances!E310:Instances!E310),"diff", MAX(Instances!E310:Instances!E310)-MIN(Instances!E310:Instances!E310))</f>
        <v>0</v>
      </c>
      <c r="F310" s="1" cm="1">
        <f t="array" ref="F310">_xlfn.SWITCH($A$2,"average", AVERAGE(Instances!F310:Instances!F310),"median", MEDIAN(Instances!F310:Instances!F310),"min", MIN(Instances!F310:Instances!F310),"max", MAX(Instances!F310:Instances!F310),"diff", MAX(Instances!F310:Instances!F310)-MIN(Instances!F310:Instances!F310))</f>
        <v>0</v>
      </c>
      <c r="G310" s="1" cm="1">
        <f t="array" ref="G310">_xlfn.SWITCH($A$2,"average", AVERAGE(Instances!G310:Instances!G310),"median", MEDIAN(Instances!G310:Instances!G310),"min", MIN(Instances!G310:Instances!G310),"max", MAX(Instances!G310:Instances!G310),"diff", MAX(Instances!G310:Instances!G310)-MIN(Instances!G310:Instances!G310))</f>
        <v>0</v>
      </c>
      <c r="H310" s="1" cm="1">
        <f t="array" ref="H310">_xlfn.SWITCH($A$2,"average", AVERAGE(Instances!H310:Instances!H310),"median", MEDIAN(Instances!H310:Instances!H310),"min", MIN(Instances!H310:Instances!H310),"max", MAX(Instances!H310:Instances!H310),"diff", MAX(Instances!H310:Instances!H310)-MIN(Instances!H310:Instances!H310))</f>
        <v>0</v>
      </c>
      <c r="I310" s="1" cm="1">
        <f t="array" ref="I310">_xlfn.SWITCH($A$2,"average", AVERAGE(Instances!I310:Instances!I310),"median", MEDIAN(Instances!I310:Instances!I310),"min", MIN(Instances!I310:Instances!I310),"max", MAX(Instances!I310:Instances!I310),"diff", MAX(Instances!I310:Instances!I310)-MIN(Instances!I310:Instances!I310))</f>
        <v>0</v>
      </c>
      <c r="J310" s="1" cm="1">
        <f t="array" ref="J310">_xlfn.SWITCH($A$2,"average", AVERAGE(Instances!J310:Instances!J310),"median", MEDIAN(Instances!J310:Instances!J310),"min", MIN(Instances!J310:Instances!J310),"max", MAX(Instances!J310:Instances!J310),"diff", MAX(Instances!J310:Instances!J310)-MIN(Instances!J310:Instances!J310))</f>
        <v>0</v>
      </c>
      <c r="K310" s="1" cm="1">
        <f t="array" ref="K310">_xlfn.SWITCH($A$2,"average", AVERAGE(Instances!K310:Instances!K310),"median", MEDIAN(Instances!K310:Instances!K310),"min", MIN(Instances!K310:Instances!K310),"max", MAX(Instances!K310:Instances!K310),"diff", MAX(Instances!K310:Instances!K310)-MIN(Instances!K310:Instances!K310))</f>
        <v>0</v>
      </c>
      <c r="L310" s="1"/>
      <c r="M310" s="1" cm="1">
        <f t="array" ref="M310">_xlfn.SWITCH($A$2,"average", AVERAGE(Instances!M310:Instances!M310),"median", MEDIAN(Instances!M310:Instances!M310),"min", MIN(Instances!M310:Instances!M310),"max", MAX(Instances!M310:Instances!M310),"diff", MAX(Instances!M310:Instances!M310)-MIN(Instances!M310:Instances!M310))</f>
        <v>0</v>
      </c>
      <c r="N310" s="1" cm="1">
        <f t="array" ref="N310">_xlfn.SWITCH($A$2,"average", AVERAGE(Instances!N310:Instances!N310),"median", MEDIAN(Instances!N310:Instances!N310),"min", MIN(Instances!N310:Instances!N310),"max", MAX(Instances!N310:Instances!N310),"diff", MAX(Instances!N310:Instances!N310)-MIN(Instances!N310:Instances!N310))</f>
        <v>0</v>
      </c>
      <c r="O310" s="1"/>
      <c r="P310" s="1" cm="1">
        <f t="array" ref="P310">_xlfn.SWITCH($A$2,"average", AVERAGE(Instances!P310:Instances!P310),"median", MEDIAN(Instances!P310:Instances!P310),"min", MIN(Instances!P310:Instances!P310),"max", MAX(Instances!P310:Instances!P310),"diff", MAX(Instances!P310:Instances!P310)-MIN(Instances!P310:Instances!P310))</f>
        <v>0</v>
      </c>
      <c r="Q310" s="1" cm="1">
        <f t="array" ref="Q310">_xlfn.SWITCH($A$2,"average", AVERAGE(Instances!Q310:Instances!Q310),"median", MEDIAN(Instances!Q310:Instances!Q310),"min", MIN(Instances!Q310:Instances!Q310),"max", MAX(Instances!Q310:Instances!Q310),"diff", MAX(Instances!Q310:Instances!Q310)-MIN(Instances!Q310:Instances!Q310))</f>
        <v>0</v>
      </c>
      <c r="R310" s="1" cm="1">
        <f t="array" ref="R310">_xlfn.SWITCH($A$2,"average", AVERAGE(Instances!R310:Instances!R310),"median", MEDIAN(Instances!R310:Instances!R310),"min", MIN(Instances!R310:Instances!R310),"max", MAX(Instances!R310:Instances!R310),"diff", MAX(Instances!R310:Instances!R310)-MIN(Instances!R310:Instances!R310))</f>
        <v>0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 cm="1">
        <f t="array" ref="B311">_xlfn.SWITCH($A$2,"average", AVERAGE(Instances!B311:Instances!B311),"median", MEDIAN(Instances!B311:Instances!B311),"min", MIN(Instances!B311:Instances!B311),"max", MAX(Instances!B311:Instances!B311),"diff", MAX(Instances!B311:Instances!B311)-MIN(Instances!B311:Instances!B311))</f>
        <v>0</v>
      </c>
      <c r="C311" s="1" cm="1">
        <f t="array" ref="C311">_xlfn.SWITCH($A$2,"average", AVERAGE(Instances!C311:Instances!C311),"median", MEDIAN(Instances!C311:Instances!C311),"min", MIN(Instances!C311:Instances!C311),"max", MAX(Instances!C311:Instances!C311),"diff", MAX(Instances!C311:Instances!C311)-MIN(Instances!C311:Instances!C311))</f>
        <v>0</v>
      </c>
      <c r="D311" s="1" cm="1">
        <f t="array" ref="D311">_xlfn.SWITCH($A$2,"average", AVERAGE(Instances!D311:Instances!D311),"median", MEDIAN(Instances!D311:Instances!D311),"min", MIN(Instances!D311:Instances!D311),"max", MAX(Instances!D311:Instances!D311),"diff", MAX(Instances!D311:Instances!D311)-MIN(Instances!D311:Instances!D311))</f>
        <v>0</v>
      </c>
      <c r="E311" s="1" cm="1">
        <f t="array" ref="E311">_xlfn.SWITCH($A$2,"average", AVERAGE(Instances!E311:Instances!E311),"median", MEDIAN(Instances!E311:Instances!E311),"min", MIN(Instances!E311:Instances!E311),"max", MAX(Instances!E311:Instances!E311),"diff", MAX(Instances!E311:Instances!E311)-MIN(Instances!E311:Instances!E311))</f>
        <v>0</v>
      </c>
      <c r="F311" s="1" cm="1">
        <f t="array" ref="F311">_xlfn.SWITCH($A$2,"average", AVERAGE(Instances!F311:Instances!F311),"median", MEDIAN(Instances!F311:Instances!F311),"min", MIN(Instances!F311:Instances!F311),"max", MAX(Instances!F311:Instances!F311),"diff", MAX(Instances!F311:Instances!F311)-MIN(Instances!F311:Instances!F311))</f>
        <v>0</v>
      </c>
      <c r="G311" s="1" cm="1">
        <f t="array" ref="G311">_xlfn.SWITCH($A$2,"average", AVERAGE(Instances!G311:Instances!G311),"median", MEDIAN(Instances!G311:Instances!G311),"min", MIN(Instances!G311:Instances!G311),"max", MAX(Instances!G311:Instances!G311),"diff", MAX(Instances!G311:Instances!G311)-MIN(Instances!G311:Instances!G311))</f>
        <v>0</v>
      </c>
      <c r="H311" s="1" cm="1">
        <f t="array" ref="H311">_xlfn.SWITCH($A$2,"average", AVERAGE(Instances!H311:Instances!H311),"median", MEDIAN(Instances!H311:Instances!H311),"min", MIN(Instances!H311:Instances!H311),"max", MAX(Instances!H311:Instances!H311),"diff", MAX(Instances!H311:Instances!H311)-MIN(Instances!H311:Instances!H311))</f>
        <v>0</v>
      </c>
      <c r="I311" s="1" cm="1">
        <f t="array" ref="I311">_xlfn.SWITCH($A$2,"average", AVERAGE(Instances!I311:Instances!I311),"median", MEDIAN(Instances!I311:Instances!I311),"min", MIN(Instances!I311:Instances!I311),"max", MAX(Instances!I311:Instances!I311),"diff", MAX(Instances!I311:Instances!I311)-MIN(Instances!I311:Instances!I311))</f>
        <v>0</v>
      </c>
      <c r="J311" s="1" cm="1">
        <f t="array" ref="J311">_xlfn.SWITCH($A$2,"average", AVERAGE(Instances!J311:Instances!J311),"median", MEDIAN(Instances!J311:Instances!J311),"min", MIN(Instances!J311:Instances!J311),"max", MAX(Instances!J311:Instances!J311),"diff", MAX(Instances!J311:Instances!J311)-MIN(Instances!J311:Instances!J311))</f>
        <v>0</v>
      </c>
      <c r="K311" s="1" cm="1">
        <f t="array" ref="K311">_xlfn.SWITCH($A$2,"average", AVERAGE(Instances!K311:Instances!K311),"median", MEDIAN(Instances!K311:Instances!K311),"min", MIN(Instances!K311:Instances!K311),"max", MAX(Instances!K311:Instances!K311),"diff", MAX(Instances!K311:Instances!K311)-MIN(Instances!K311:Instances!K311))</f>
        <v>0</v>
      </c>
      <c r="L311" s="1"/>
      <c r="M311" s="1" cm="1">
        <f t="array" ref="M311">_xlfn.SWITCH($A$2,"average", AVERAGE(Instances!M311:Instances!M311),"median", MEDIAN(Instances!M311:Instances!M311),"min", MIN(Instances!M311:Instances!M311),"max", MAX(Instances!M311:Instances!M311),"diff", MAX(Instances!M311:Instances!M311)-MIN(Instances!M311:Instances!M311))</f>
        <v>0</v>
      </c>
      <c r="N311" s="1" cm="1">
        <f t="array" ref="N311">_xlfn.SWITCH($A$2,"average", AVERAGE(Instances!N311:Instances!N311),"median", MEDIAN(Instances!N311:Instances!N311),"min", MIN(Instances!N311:Instances!N311),"max", MAX(Instances!N311:Instances!N311),"diff", MAX(Instances!N311:Instances!N311)-MIN(Instances!N311:Instances!N311))</f>
        <v>0</v>
      </c>
      <c r="O311" s="1"/>
      <c r="P311" s="1" cm="1">
        <f t="array" ref="P311">_xlfn.SWITCH($A$2,"average", AVERAGE(Instances!P311:Instances!P311),"median", MEDIAN(Instances!P311:Instances!P311),"min", MIN(Instances!P311:Instances!P311),"max", MAX(Instances!P311:Instances!P311),"diff", MAX(Instances!P311:Instances!P311)-MIN(Instances!P311:Instances!P311))</f>
        <v>0</v>
      </c>
      <c r="Q311" s="1" cm="1">
        <f t="array" ref="Q311">_xlfn.SWITCH($A$2,"average", AVERAGE(Instances!Q311:Instances!Q311),"median", MEDIAN(Instances!Q311:Instances!Q311),"min", MIN(Instances!Q311:Instances!Q311),"max", MAX(Instances!Q311:Instances!Q311),"diff", MAX(Instances!Q311:Instances!Q311)-MIN(Instances!Q311:Instances!Q311))</f>
        <v>0</v>
      </c>
      <c r="R311" s="1" cm="1">
        <f t="array" ref="R311">_xlfn.SWITCH($A$2,"average", AVERAGE(Instances!R311:Instances!R311),"median", MEDIAN(Instances!R311:Instances!R311),"min", MIN(Instances!R311:Instances!R311),"max", MAX(Instances!R311:Instances!R311),"diff", MAX(Instances!R311:Instances!R311)-MIN(Instances!R311:Instances!R311))</f>
        <v>0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 cm="1">
        <f t="array" ref="B312">_xlfn.SWITCH($A$2,"average", AVERAGE(Instances!B312:Instances!B312),"median", MEDIAN(Instances!B312:Instances!B312),"min", MIN(Instances!B312:Instances!B312),"max", MAX(Instances!B312:Instances!B312),"diff", MAX(Instances!B312:Instances!B312)-MIN(Instances!B312:Instances!B312))</f>
        <v>0</v>
      </c>
      <c r="C312" s="1" cm="1">
        <f t="array" ref="C312">_xlfn.SWITCH($A$2,"average", AVERAGE(Instances!C312:Instances!C312),"median", MEDIAN(Instances!C312:Instances!C312),"min", MIN(Instances!C312:Instances!C312),"max", MAX(Instances!C312:Instances!C312),"diff", MAX(Instances!C312:Instances!C312)-MIN(Instances!C312:Instances!C312))</f>
        <v>0</v>
      </c>
      <c r="D312" s="1" cm="1">
        <f t="array" ref="D312">_xlfn.SWITCH($A$2,"average", AVERAGE(Instances!D312:Instances!D312),"median", MEDIAN(Instances!D312:Instances!D312),"min", MIN(Instances!D312:Instances!D312),"max", MAX(Instances!D312:Instances!D312),"diff", MAX(Instances!D312:Instances!D312)-MIN(Instances!D312:Instances!D312))</f>
        <v>0</v>
      </c>
      <c r="E312" s="1" cm="1">
        <f t="array" ref="E312">_xlfn.SWITCH($A$2,"average", AVERAGE(Instances!E312:Instances!E312),"median", MEDIAN(Instances!E312:Instances!E312),"min", MIN(Instances!E312:Instances!E312),"max", MAX(Instances!E312:Instances!E312),"diff", MAX(Instances!E312:Instances!E312)-MIN(Instances!E312:Instances!E312))</f>
        <v>0</v>
      </c>
      <c r="F312" s="1" cm="1">
        <f t="array" ref="F312">_xlfn.SWITCH($A$2,"average", AVERAGE(Instances!F312:Instances!F312),"median", MEDIAN(Instances!F312:Instances!F312),"min", MIN(Instances!F312:Instances!F312),"max", MAX(Instances!F312:Instances!F312),"diff", MAX(Instances!F312:Instances!F312)-MIN(Instances!F312:Instances!F312))</f>
        <v>0</v>
      </c>
      <c r="G312" s="1" cm="1">
        <f t="array" ref="G312">_xlfn.SWITCH($A$2,"average", AVERAGE(Instances!G312:Instances!G312),"median", MEDIAN(Instances!G312:Instances!G312),"min", MIN(Instances!G312:Instances!G312),"max", MAX(Instances!G312:Instances!G312),"diff", MAX(Instances!G312:Instances!G312)-MIN(Instances!G312:Instances!G312))</f>
        <v>0</v>
      </c>
      <c r="H312" s="1" cm="1">
        <f t="array" ref="H312">_xlfn.SWITCH($A$2,"average", AVERAGE(Instances!H312:Instances!H312),"median", MEDIAN(Instances!H312:Instances!H312),"min", MIN(Instances!H312:Instances!H312),"max", MAX(Instances!H312:Instances!H312),"diff", MAX(Instances!H312:Instances!H312)-MIN(Instances!H312:Instances!H312))</f>
        <v>0</v>
      </c>
      <c r="I312" s="1" cm="1">
        <f t="array" ref="I312">_xlfn.SWITCH($A$2,"average", AVERAGE(Instances!I312:Instances!I312),"median", MEDIAN(Instances!I312:Instances!I312),"min", MIN(Instances!I312:Instances!I312),"max", MAX(Instances!I312:Instances!I312),"diff", MAX(Instances!I312:Instances!I312)-MIN(Instances!I312:Instances!I312))</f>
        <v>0</v>
      </c>
      <c r="J312" s="1" cm="1">
        <f t="array" ref="J312">_xlfn.SWITCH($A$2,"average", AVERAGE(Instances!J312:Instances!J312),"median", MEDIAN(Instances!J312:Instances!J312),"min", MIN(Instances!J312:Instances!J312),"max", MAX(Instances!J312:Instances!J312),"diff", MAX(Instances!J312:Instances!J312)-MIN(Instances!J312:Instances!J312))</f>
        <v>0</v>
      </c>
      <c r="K312" s="1" cm="1">
        <f t="array" ref="K312">_xlfn.SWITCH($A$2,"average", AVERAGE(Instances!K312:Instances!K312),"median", MEDIAN(Instances!K312:Instances!K312),"min", MIN(Instances!K312:Instances!K312),"max", MAX(Instances!K312:Instances!K312),"diff", MAX(Instances!K312:Instances!K312)-MIN(Instances!K312:Instances!K312))</f>
        <v>0</v>
      </c>
      <c r="L312" s="1"/>
      <c r="M312" s="1" cm="1">
        <f t="array" ref="M312">_xlfn.SWITCH($A$2,"average", AVERAGE(Instances!M312:Instances!M312),"median", MEDIAN(Instances!M312:Instances!M312),"min", MIN(Instances!M312:Instances!M312),"max", MAX(Instances!M312:Instances!M312),"diff", MAX(Instances!M312:Instances!M312)-MIN(Instances!M312:Instances!M312))</f>
        <v>0</v>
      </c>
      <c r="N312" s="1" cm="1">
        <f t="array" ref="N312">_xlfn.SWITCH($A$2,"average", AVERAGE(Instances!N312:Instances!N312),"median", MEDIAN(Instances!N312:Instances!N312),"min", MIN(Instances!N312:Instances!N312),"max", MAX(Instances!N312:Instances!N312),"diff", MAX(Instances!N312:Instances!N312)-MIN(Instances!N312:Instances!N312))</f>
        <v>0</v>
      </c>
      <c r="O312" s="1"/>
      <c r="P312" s="1" cm="1">
        <f t="array" ref="P312">_xlfn.SWITCH($A$2,"average", AVERAGE(Instances!P312:Instances!P312),"median", MEDIAN(Instances!P312:Instances!P312),"min", MIN(Instances!P312:Instances!P312),"max", MAX(Instances!P312:Instances!P312),"diff", MAX(Instances!P312:Instances!P312)-MIN(Instances!P312:Instances!P312))</f>
        <v>0</v>
      </c>
      <c r="Q312" s="1" cm="1">
        <f t="array" ref="Q312">_xlfn.SWITCH($A$2,"average", AVERAGE(Instances!Q312:Instances!Q312),"median", MEDIAN(Instances!Q312:Instances!Q312),"min", MIN(Instances!Q312:Instances!Q312),"max", MAX(Instances!Q312:Instances!Q312),"diff", MAX(Instances!Q312:Instances!Q312)-MIN(Instances!Q312:Instances!Q312))</f>
        <v>0</v>
      </c>
      <c r="R312" s="1" cm="1">
        <f t="array" ref="R312">_xlfn.SWITCH($A$2,"average", AVERAGE(Instances!R312:Instances!R312),"median", MEDIAN(Instances!R312:Instances!R312),"min", MIN(Instances!R312:Instances!R312),"max", MAX(Instances!R312:Instances!R312),"diff", MAX(Instances!R312:Instances!R312)-MIN(Instances!R312:Instances!R312))</f>
        <v>0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 cm="1">
        <f t="array" ref="B313">_xlfn.SWITCH($A$2,"average", AVERAGE(Instances!B313:Instances!B313),"median", MEDIAN(Instances!B313:Instances!B313),"min", MIN(Instances!B313:Instances!B313),"max", MAX(Instances!B313:Instances!B313),"diff", MAX(Instances!B313:Instances!B313)-MIN(Instances!B313:Instances!B313))</f>
        <v>0</v>
      </c>
      <c r="C313" s="1" cm="1">
        <f t="array" ref="C313">_xlfn.SWITCH($A$2,"average", AVERAGE(Instances!C313:Instances!C313),"median", MEDIAN(Instances!C313:Instances!C313),"min", MIN(Instances!C313:Instances!C313),"max", MAX(Instances!C313:Instances!C313),"diff", MAX(Instances!C313:Instances!C313)-MIN(Instances!C313:Instances!C313))</f>
        <v>0</v>
      </c>
      <c r="D313" s="1" cm="1">
        <f t="array" ref="D313">_xlfn.SWITCH($A$2,"average", AVERAGE(Instances!D313:Instances!D313),"median", MEDIAN(Instances!D313:Instances!D313),"min", MIN(Instances!D313:Instances!D313),"max", MAX(Instances!D313:Instances!D313),"diff", MAX(Instances!D313:Instances!D313)-MIN(Instances!D313:Instances!D313))</f>
        <v>0</v>
      </c>
      <c r="E313" s="1" cm="1">
        <f t="array" ref="E313">_xlfn.SWITCH($A$2,"average", AVERAGE(Instances!E313:Instances!E313),"median", MEDIAN(Instances!E313:Instances!E313),"min", MIN(Instances!E313:Instances!E313),"max", MAX(Instances!E313:Instances!E313),"diff", MAX(Instances!E313:Instances!E313)-MIN(Instances!E313:Instances!E313))</f>
        <v>0</v>
      </c>
      <c r="F313" s="1" cm="1">
        <f t="array" ref="F313">_xlfn.SWITCH($A$2,"average", AVERAGE(Instances!F313:Instances!F313),"median", MEDIAN(Instances!F313:Instances!F313),"min", MIN(Instances!F313:Instances!F313),"max", MAX(Instances!F313:Instances!F313),"diff", MAX(Instances!F313:Instances!F313)-MIN(Instances!F313:Instances!F313))</f>
        <v>0</v>
      </c>
      <c r="G313" s="1" cm="1">
        <f t="array" ref="G313">_xlfn.SWITCH($A$2,"average", AVERAGE(Instances!G313:Instances!G313),"median", MEDIAN(Instances!G313:Instances!G313),"min", MIN(Instances!G313:Instances!G313),"max", MAX(Instances!G313:Instances!G313),"diff", MAX(Instances!G313:Instances!G313)-MIN(Instances!G313:Instances!G313))</f>
        <v>0</v>
      </c>
      <c r="H313" s="1" cm="1">
        <f t="array" ref="H313">_xlfn.SWITCH($A$2,"average", AVERAGE(Instances!H313:Instances!H313),"median", MEDIAN(Instances!H313:Instances!H313),"min", MIN(Instances!H313:Instances!H313),"max", MAX(Instances!H313:Instances!H313),"diff", MAX(Instances!H313:Instances!H313)-MIN(Instances!H313:Instances!H313))</f>
        <v>0</v>
      </c>
      <c r="I313" s="1" cm="1">
        <f t="array" ref="I313">_xlfn.SWITCH($A$2,"average", AVERAGE(Instances!I313:Instances!I313),"median", MEDIAN(Instances!I313:Instances!I313),"min", MIN(Instances!I313:Instances!I313),"max", MAX(Instances!I313:Instances!I313),"diff", MAX(Instances!I313:Instances!I313)-MIN(Instances!I313:Instances!I313))</f>
        <v>0</v>
      </c>
      <c r="J313" s="1" cm="1">
        <f t="array" ref="J313">_xlfn.SWITCH($A$2,"average", AVERAGE(Instances!J313:Instances!J313),"median", MEDIAN(Instances!J313:Instances!J313),"min", MIN(Instances!J313:Instances!J313),"max", MAX(Instances!J313:Instances!J313),"diff", MAX(Instances!J313:Instances!J313)-MIN(Instances!J313:Instances!J313))</f>
        <v>0</v>
      </c>
      <c r="K313" s="1" cm="1">
        <f t="array" ref="K313">_xlfn.SWITCH($A$2,"average", AVERAGE(Instances!K313:Instances!K313),"median", MEDIAN(Instances!K313:Instances!K313),"min", MIN(Instances!K313:Instances!K313),"max", MAX(Instances!K313:Instances!K313),"diff", MAX(Instances!K313:Instances!K313)-MIN(Instances!K313:Instances!K313))</f>
        <v>0</v>
      </c>
      <c r="L313" s="1"/>
      <c r="M313" s="1" cm="1">
        <f t="array" ref="M313">_xlfn.SWITCH($A$2,"average", AVERAGE(Instances!M313:Instances!M313),"median", MEDIAN(Instances!M313:Instances!M313),"min", MIN(Instances!M313:Instances!M313),"max", MAX(Instances!M313:Instances!M313),"diff", MAX(Instances!M313:Instances!M313)-MIN(Instances!M313:Instances!M313))</f>
        <v>0</v>
      </c>
      <c r="N313" s="1" cm="1">
        <f t="array" ref="N313">_xlfn.SWITCH($A$2,"average", AVERAGE(Instances!N313:Instances!N313),"median", MEDIAN(Instances!N313:Instances!N313),"min", MIN(Instances!N313:Instances!N313),"max", MAX(Instances!N313:Instances!N313),"diff", MAX(Instances!N313:Instances!N313)-MIN(Instances!N313:Instances!N313))</f>
        <v>0</v>
      </c>
      <c r="O313" s="1"/>
      <c r="P313" s="1" cm="1">
        <f t="array" ref="P313">_xlfn.SWITCH($A$2,"average", AVERAGE(Instances!P313:Instances!P313),"median", MEDIAN(Instances!P313:Instances!P313),"min", MIN(Instances!P313:Instances!P313),"max", MAX(Instances!P313:Instances!P313),"diff", MAX(Instances!P313:Instances!P313)-MIN(Instances!P313:Instances!P313))</f>
        <v>0</v>
      </c>
      <c r="Q313" s="1" cm="1">
        <f t="array" ref="Q313">_xlfn.SWITCH($A$2,"average", AVERAGE(Instances!Q313:Instances!Q313),"median", MEDIAN(Instances!Q313:Instances!Q313),"min", MIN(Instances!Q313:Instances!Q313),"max", MAX(Instances!Q313:Instances!Q313),"diff", MAX(Instances!Q313:Instances!Q313)-MIN(Instances!Q313:Instances!Q313))</f>
        <v>0</v>
      </c>
      <c r="R313" s="1" cm="1">
        <f t="array" ref="R313">_xlfn.SWITCH($A$2,"average", AVERAGE(Instances!R313:Instances!R313),"median", MEDIAN(Instances!R313:Instances!R313),"min", MIN(Instances!R313:Instances!R313),"max", MAX(Instances!R313:Instances!R313),"diff", MAX(Instances!R313:Instances!R313)-MIN(Instances!R313:Instances!R313))</f>
        <v>0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 cm="1">
        <f t="array" ref="B314">_xlfn.SWITCH($A$2,"average", AVERAGE(Instances!B314:Instances!B314),"median", MEDIAN(Instances!B314:Instances!B314),"min", MIN(Instances!B314:Instances!B314),"max", MAX(Instances!B314:Instances!B314),"diff", MAX(Instances!B314:Instances!B314)-MIN(Instances!B314:Instances!B314))</f>
        <v>0</v>
      </c>
      <c r="C314" s="1" cm="1">
        <f t="array" ref="C314">_xlfn.SWITCH($A$2,"average", AVERAGE(Instances!C314:Instances!C314),"median", MEDIAN(Instances!C314:Instances!C314),"min", MIN(Instances!C314:Instances!C314),"max", MAX(Instances!C314:Instances!C314),"diff", MAX(Instances!C314:Instances!C314)-MIN(Instances!C314:Instances!C314))</f>
        <v>0</v>
      </c>
      <c r="D314" s="1" cm="1">
        <f t="array" ref="D314">_xlfn.SWITCH($A$2,"average", AVERAGE(Instances!D314:Instances!D314),"median", MEDIAN(Instances!D314:Instances!D314),"min", MIN(Instances!D314:Instances!D314),"max", MAX(Instances!D314:Instances!D314),"diff", MAX(Instances!D314:Instances!D314)-MIN(Instances!D314:Instances!D314))</f>
        <v>0</v>
      </c>
      <c r="E314" s="1" cm="1">
        <f t="array" ref="E314">_xlfn.SWITCH($A$2,"average", AVERAGE(Instances!E314:Instances!E314),"median", MEDIAN(Instances!E314:Instances!E314),"min", MIN(Instances!E314:Instances!E314),"max", MAX(Instances!E314:Instances!E314),"diff", MAX(Instances!E314:Instances!E314)-MIN(Instances!E314:Instances!E314))</f>
        <v>0</v>
      </c>
      <c r="F314" s="1" cm="1">
        <f t="array" ref="F314">_xlfn.SWITCH($A$2,"average", AVERAGE(Instances!F314:Instances!F314),"median", MEDIAN(Instances!F314:Instances!F314),"min", MIN(Instances!F314:Instances!F314),"max", MAX(Instances!F314:Instances!F314),"diff", MAX(Instances!F314:Instances!F314)-MIN(Instances!F314:Instances!F314))</f>
        <v>0</v>
      </c>
      <c r="G314" s="1" cm="1">
        <f t="array" ref="G314">_xlfn.SWITCH($A$2,"average", AVERAGE(Instances!G314:Instances!G314),"median", MEDIAN(Instances!G314:Instances!G314),"min", MIN(Instances!G314:Instances!G314),"max", MAX(Instances!G314:Instances!G314),"diff", MAX(Instances!G314:Instances!G314)-MIN(Instances!G314:Instances!G314))</f>
        <v>0</v>
      </c>
      <c r="H314" s="1" cm="1">
        <f t="array" ref="H314">_xlfn.SWITCH($A$2,"average", AVERAGE(Instances!H314:Instances!H314),"median", MEDIAN(Instances!H314:Instances!H314),"min", MIN(Instances!H314:Instances!H314),"max", MAX(Instances!H314:Instances!H314),"diff", MAX(Instances!H314:Instances!H314)-MIN(Instances!H314:Instances!H314))</f>
        <v>0</v>
      </c>
      <c r="I314" s="1" cm="1">
        <f t="array" ref="I314">_xlfn.SWITCH($A$2,"average", AVERAGE(Instances!I314:Instances!I314),"median", MEDIAN(Instances!I314:Instances!I314),"min", MIN(Instances!I314:Instances!I314),"max", MAX(Instances!I314:Instances!I314),"diff", MAX(Instances!I314:Instances!I314)-MIN(Instances!I314:Instances!I314))</f>
        <v>0</v>
      </c>
      <c r="J314" s="1" cm="1">
        <f t="array" ref="J314">_xlfn.SWITCH($A$2,"average", AVERAGE(Instances!J314:Instances!J314),"median", MEDIAN(Instances!J314:Instances!J314),"min", MIN(Instances!J314:Instances!J314),"max", MAX(Instances!J314:Instances!J314),"diff", MAX(Instances!J314:Instances!J314)-MIN(Instances!J314:Instances!J314))</f>
        <v>0</v>
      </c>
      <c r="K314" s="1" cm="1">
        <f t="array" ref="K314">_xlfn.SWITCH($A$2,"average", AVERAGE(Instances!K314:Instances!K314),"median", MEDIAN(Instances!K314:Instances!K314),"min", MIN(Instances!K314:Instances!K314),"max", MAX(Instances!K314:Instances!K314),"diff", MAX(Instances!K314:Instances!K314)-MIN(Instances!K314:Instances!K314))</f>
        <v>0</v>
      </c>
      <c r="L314" s="1"/>
      <c r="M314" s="1" cm="1">
        <f t="array" ref="M314">_xlfn.SWITCH($A$2,"average", AVERAGE(Instances!M314:Instances!M314),"median", MEDIAN(Instances!M314:Instances!M314),"min", MIN(Instances!M314:Instances!M314),"max", MAX(Instances!M314:Instances!M314),"diff", MAX(Instances!M314:Instances!M314)-MIN(Instances!M314:Instances!M314))</f>
        <v>0</v>
      </c>
      <c r="N314" s="1" cm="1">
        <f t="array" ref="N314">_xlfn.SWITCH($A$2,"average", AVERAGE(Instances!N314:Instances!N314),"median", MEDIAN(Instances!N314:Instances!N314),"min", MIN(Instances!N314:Instances!N314),"max", MAX(Instances!N314:Instances!N314),"diff", MAX(Instances!N314:Instances!N314)-MIN(Instances!N314:Instances!N314))</f>
        <v>0</v>
      </c>
      <c r="O314" s="1"/>
      <c r="P314" s="1" cm="1">
        <f t="array" ref="P314">_xlfn.SWITCH($A$2,"average", AVERAGE(Instances!P314:Instances!P314),"median", MEDIAN(Instances!P314:Instances!P314),"min", MIN(Instances!P314:Instances!P314),"max", MAX(Instances!P314:Instances!P314),"diff", MAX(Instances!P314:Instances!P314)-MIN(Instances!P314:Instances!P314))</f>
        <v>0</v>
      </c>
      <c r="Q314" s="1" cm="1">
        <f t="array" ref="Q314">_xlfn.SWITCH($A$2,"average", AVERAGE(Instances!Q314:Instances!Q314),"median", MEDIAN(Instances!Q314:Instances!Q314),"min", MIN(Instances!Q314:Instances!Q314),"max", MAX(Instances!Q314:Instances!Q314),"diff", MAX(Instances!Q314:Instances!Q314)-MIN(Instances!Q314:Instances!Q314))</f>
        <v>0</v>
      </c>
      <c r="R314" s="1" cm="1">
        <f t="array" ref="R314">_xlfn.SWITCH($A$2,"average", AVERAGE(Instances!R314:Instances!R314),"median", MEDIAN(Instances!R314:Instances!R314),"min", MIN(Instances!R314:Instances!R314),"max", MAX(Instances!R314:Instances!R314),"diff", MAX(Instances!R314:Instances!R314)-MIN(Instances!R314:Instances!R314))</f>
        <v>0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 cm="1">
        <f t="array" ref="B315">_xlfn.SWITCH($A$2,"average", AVERAGE(Instances!B315:Instances!B315),"median", MEDIAN(Instances!B315:Instances!B315),"min", MIN(Instances!B315:Instances!B315),"max", MAX(Instances!B315:Instances!B315),"diff", MAX(Instances!B315:Instances!B315)-MIN(Instances!B315:Instances!B315))</f>
        <v>0</v>
      </c>
      <c r="C315" s="1" cm="1">
        <f t="array" ref="C315">_xlfn.SWITCH($A$2,"average", AVERAGE(Instances!C315:Instances!C315),"median", MEDIAN(Instances!C315:Instances!C315),"min", MIN(Instances!C315:Instances!C315),"max", MAX(Instances!C315:Instances!C315),"diff", MAX(Instances!C315:Instances!C315)-MIN(Instances!C315:Instances!C315))</f>
        <v>0</v>
      </c>
      <c r="D315" s="1" cm="1">
        <f t="array" ref="D315">_xlfn.SWITCH($A$2,"average", AVERAGE(Instances!D315:Instances!D315),"median", MEDIAN(Instances!D315:Instances!D315),"min", MIN(Instances!D315:Instances!D315),"max", MAX(Instances!D315:Instances!D315),"diff", MAX(Instances!D315:Instances!D315)-MIN(Instances!D315:Instances!D315))</f>
        <v>0</v>
      </c>
      <c r="E315" s="1" cm="1">
        <f t="array" ref="E315">_xlfn.SWITCH($A$2,"average", AVERAGE(Instances!E315:Instances!E315),"median", MEDIAN(Instances!E315:Instances!E315),"min", MIN(Instances!E315:Instances!E315),"max", MAX(Instances!E315:Instances!E315),"diff", MAX(Instances!E315:Instances!E315)-MIN(Instances!E315:Instances!E315))</f>
        <v>0</v>
      </c>
      <c r="F315" s="1" cm="1">
        <f t="array" ref="F315">_xlfn.SWITCH($A$2,"average", AVERAGE(Instances!F315:Instances!F315),"median", MEDIAN(Instances!F315:Instances!F315),"min", MIN(Instances!F315:Instances!F315),"max", MAX(Instances!F315:Instances!F315),"diff", MAX(Instances!F315:Instances!F315)-MIN(Instances!F315:Instances!F315))</f>
        <v>0</v>
      </c>
      <c r="G315" s="1" cm="1">
        <f t="array" ref="G315">_xlfn.SWITCH($A$2,"average", AVERAGE(Instances!G315:Instances!G315),"median", MEDIAN(Instances!G315:Instances!G315),"min", MIN(Instances!G315:Instances!G315),"max", MAX(Instances!G315:Instances!G315),"diff", MAX(Instances!G315:Instances!G315)-MIN(Instances!G315:Instances!G315))</f>
        <v>0</v>
      </c>
      <c r="H315" s="1" cm="1">
        <f t="array" ref="H315">_xlfn.SWITCH($A$2,"average", AVERAGE(Instances!H315:Instances!H315),"median", MEDIAN(Instances!H315:Instances!H315),"min", MIN(Instances!H315:Instances!H315),"max", MAX(Instances!H315:Instances!H315),"diff", MAX(Instances!H315:Instances!H315)-MIN(Instances!H315:Instances!H315))</f>
        <v>0</v>
      </c>
      <c r="I315" s="1" cm="1">
        <f t="array" ref="I315">_xlfn.SWITCH($A$2,"average", AVERAGE(Instances!I315:Instances!I315),"median", MEDIAN(Instances!I315:Instances!I315),"min", MIN(Instances!I315:Instances!I315),"max", MAX(Instances!I315:Instances!I315),"diff", MAX(Instances!I315:Instances!I315)-MIN(Instances!I315:Instances!I315))</f>
        <v>0</v>
      </c>
      <c r="J315" s="1" cm="1">
        <f t="array" ref="J315">_xlfn.SWITCH($A$2,"average", AVERAGE(Instances!J315:Instances!J315),"median", MEDIAN(Instances!J315:Instances!J315),"min", MIN(Instances!J315:Instances!J315),"max", MAX(Instances!J315:Instances!J315),"diff", MAX(Instances!J315:Instances!J315)-MIN(Instances!J315:Instances!J315))</f>
        <v>0</v>
      </c>
      <c r="K315" s="1" cm="1">
        <f t="array" ref="K315">_xlfn.SWITCH($A$2,"average", AVERAGE(Instances!K315:Instances!K315),"median", MEDIAN(Instances!K315:Instances!K315),"min", MIN(Instances!K315:Instances!K315),"max", MAX(Instances!K315:Instances!K315),"diff", MAX(Instances!K315:Instances!K315)-MIN(Instances!K315:Instances!K315))</f>
        <v>0</v>
      </c>
      <c r="L315" s="1"/>
      <c r="M315" s="1" cm="1">
        <f t="array" ref="M315">_xlfn.SWITCH($A$2,"average", AVERAGE(Instances!M315:Instances!M315),"median", MEDIAN(Instances!M315:Instances!M315),"min", MIN(Instances!M315:Instances!M315),"max", MAX(Instances!M315:Instances!M315),"diff", MAX(Instances!M315:Instances!M315)-MIN(Instances!M315:Instances!M315))</f>
        <v>0</v>
      </c>
      <c r="N315" s="1" cm="1">
        <f t="array" ref="N315">_xlfn.SWITCH($A$2,"average", AVERAGE(Instances!N315:Instances!N315),"median", MEDIAN(Instances!N315:Instances!N315),"min", MIN(Instances!N315:Instances!N315),"max", MAX(Instances!N315:Instances!N315),"diff", MAX(Instances!N315:Instances!N315)-MIN(Instances!N315:Instances!N315))</f>
        <v>0</v>
      </c>
      <c r="O315" s="1"/>
      <c r="P315" s="1" cm="1">
        <f t="array" ref="P315">_xlfn.SWITCH($A$2,"average", AVERAGE(Instances!P315:Instances!P315),"median", MEDIAN(Instances!P315:Instances!P315),"min", MIN(Instances!P315:Instances!P315),"max", MAX(Instances!P315:Instances!P315),"diff", MAX(Instances!P315:Instances!P315)-MIN(Instances!P315:Instances!P315))</f>
        <v>0</v>
      </c>
      <c r="Q315" s="1" cm="1">
        <f t="array" ref="Q315">_xlfn.SWITCH($A$2,"average", AVERAGE(Instances!Q315:Instances!Q315),"median", MEDIAN(Instances!Q315:Instances!Q315),"min", MIN(Instances!Q315:Instances!Q315),"max", MAX(Instances!Q315:Instances!Q315),"diff", MAX(Instances!Q315:Instances!Q315)-MIN(Instances!Q315:Instances!Q315))</f>
        <v>0</v>
      </c>
      <c r="R315" s="1" cm="1">
        <f t="array" ref="R315">_xlfn.SWITCH($A$2,"average", AVERAGE(Instances!R315:Instances!R315),"median", MEDIAN(Instances!R315:Instances!R315),"min", MIN(Instances!R315:Instances!R315),"max", MAX(Instances!R315:Instances!R315),"diff", MAX(Instances!R315:Instances!R315)-MIN(Instances!R315:Instances!R315))</f>
        <v>0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 cm="1">
        <f t="array" ref="B316">_xlfn.SWITCH($A$2,"average", AVERAGE(Instances!B316:Instances!B316),"median", MEDIAN(Instances!B316:Instances!B316),"min", MIN(Instances!B316:Instances!B316),"max", MAX(Instances!B316:Instances!B316),"diff", MAX(Instances!B316:Instances!B316)-MIN(Instances!B316:Instances!B316))</f>
        <v>0</v>
      </c>
      <c r="C316" s="1" cm="1">
        <f t="array" ref="C316">_xlfn.SWITCH($A$2,"average", AVERAGE(Instances!C316:Instances!C316),"median", MEDIAN(Instances!C316:Instances!C316),"min", MIN(Instances!C316:Instances!C316),"max", MAX(Instances!C316:Instances!C316),"diff", MAX(Instances!C316:Instances!C316)-MIN(Instances!C316:Instances!C316))</f>
        <v>0</v>
      </c>
      <c r="D316" s="1" cm="1">
        <f t="array" ref="D316">_xlfn.SWITCH($A$2,"average", AVERAGE(Instances!D316:Instances!D316),"median", MEDIAN(Instances!D316:Instances!D316),"min", MIN(Instances!D316:Instances!D316),"max", MAX(Instances!D316:Instances!D316),"diff", MAX(Instances!D316:Instances!D316)-MIN(Instances!D316:Instances!D316))</f>
        <v>0</v>
      </c>
      <c r="E316" s="1" cm="1">
        <f t="array" ref="E316">_xlfn.SWITCH($A$2,"average", AVERAGE(Instances!E316:Instances!E316),"median", MEDIAN(Instances!E316:Instances!E316),"min", MIN(Instances!E316:Instances!E316),"max", MAX(Instances!E316:Instances!E316),"diff", MAX(Instances!E316:Instances!E316)-MIN(Instances!E316:Instances!E316))</f>
        <v>0</v>
      </c>
      <c r="F316" s="1" cm="1">
        <f t="array" ref="F316">_xlfn.SWITCH($A$2,"average", AVERAGE(Instances!F316:Instances!F316),"median", MEDIAN(Instances!F316:Instances!F316),"min", MIN(Instances!F316:Instances!F316),"max", MAX(Instances!F316:Instances!F316),"diff", MAX(Instances!F316:Instances!F316)-MIN(Instances!F316:Instances!F316))</f>
        <v>0</v>
      </c>
      <c r="G316" s="1" cm="1">
        <f t="array" ref="G316">_xlfn.SWITCH($A$2,"average", AVERAGE(Instances!G316:Instances!G316),"median", MEDIAN(Instances!G316:Instances!G316),"min", MIN(Instances!G316:Instances!G316),"max", MAX(Instances!G316:Instances!G316),"diff", MAX(Instances!G316:Instances!G316)-MIN(Instances!G316:Instances!G316))</f>
        <v>0</v>
      </c>
      <c r="H316" s="1" cm="1">
        <f t="array" ref="H316">_xlfn.SWITCH($A$2,"average", AVERAGE(Instances!H316:Instances!H316),"median", MEDIAN(Instances!H316:Instances!H316),"min", MIN(Instances!H316:Instances!H316),"max", MAX(Instances!H316:Instances!H316),"diff", MAX(Instances!H316:Instances!H316)-MIN(Instances!H316:Instances!H316))</f>
        <v>0</v>
      </c>
      <c r="I316" s="1" cm="1">
        <f t="array" ref="I316">_xlfn.SWITCH($A$2,"average", AVERAGE(Instances!I316:Instances!I316),"median", MEDIAN(Instances!I316:Instances!I316),"min", MIN(Instances!I316:Instances!I316),"max", MAX(Instances!I316:Instances!I316),"diff", MAX(Instances!I316:Instances!I316)-MIN(Instances!I316:Instances!I316))</f>
        <v>0</v>
      </c>
      <c r="J316" s="1" cm="1">
        <f t="array" ref="J316">_xlfn.SWITCH($A$2,"average", AVERAGE(Instances!J316:Instances!J316),"median", MEDIAN(Instances!J316:Instances!J316),"min", MIN(Instances!J316:Instances!J316),"max", MAX(Instances!J316:Instances!J316),"diff", MAX(Instances!J316:Instances!J316)-MIN(Instances!J316:Instances!J316))</f>
        <v>0</v>
      </c>
      <c r="K316" s="1" cm="1">
        <f t="array" ref="K316">_xlfn.SWITCH($A$2,"average", AVERAGE(Instances!K316:Instances!K316),"median", MEDIAN(Instances!K316:Instances!K316),"min", MIN(Instances!K316:Instances!K316),"max", MAX(Instances!K316:Instances!K316),"diff", MAX(Instances!K316:Instances!K316)-MIN(Instances!K316:Instances!K316))</f>
        <v>0</v>
      </c>
      <c r="L316" s="1"/>
      <c r="M316" s="1" cm="1">
        <f t="array" ref="M316">_xlfn.SWITCH($A$2,"average", AVERAGE(Instances!M316:Instances!M316),"median", MEDIAN(Instances!M316:Instances!M316),"min", MIN(Instances!M316:Instances!M316),"max", MAX(Instances!M316:Instances!M316),"diff", MAX(Instances!M316:Instances!M316)-MIN(Instances!M316:Instances!M316))</f>
        <v>0</v>
      </c>
      <c r="N316" s="1" cm="1">
        <f t="array" ref="N316">_xlfn.SWITCH($A$2,"average", AVERAGE(Instances!N316:Instances!N316),"median", MEDIAN(Instances!N316:Instances!N316),"min", MIN(Instances!N316:Instances!N316),"max", MAX(Instances!N316:Instances!N316),"diff", MAX(Instances!N316:Instances!N316)-MIN(Instances!N316:Instances!N316))</f>
        <v>0</v>
      </c>
      <c r="O316" s="1"/>
      <c r="P316" s="1" cm="1">
        <f t="array" ref="P316">_xlfn.SWITCH($A$2,"average", AVERAGE(Instances!P316:Instances!P316),"median", MEDIAN(Instances!P316:Instances!P316),"min", MIN(Instances!P316:Instances!P316),"max", MAX(Instances!P316:Instances!P316),"diff", MAX(Instances!P316:Instances!P316)-MIN(Instances!P316:Instances!P316))</f>
        <v>0</v>
      </c>
      <c r="Q316" s="1" cm="1">
        <f t="array" ref="Q316">_xlfn.SWITCH($A$2,"average", AVERAGE(Instances!Q316:Instances!Q316),"median", MEDIAN(Instances!Q316:Instances!Q316),"min", MIN(Instances!Q316:Instances!Q316),"max", MAX(Instances!Q316:Instances!Q316),"diff", MAX(Instances!Q316:Instances!Q316)-MIN(Instances!Q316:Instances!Q316))</f>
        <v>0</v>
      </c>
      <c r="R316" s="1" cm="1">
        <f t="array" ref="R316">_xlfn.SWITCH($A$2,"average", AVERAGE(Instances!R316:Instances!R316),"median", MEDIAN(Instances!R316:Instances!R316),"min", MIN(Instances!R316:Instances!R316),"max", MAX(Instances!R316:Instances!R316),"diff", MAX(Instances!R316:Instances!R316)-MIN(Instances!R316:Instances!R316))</f>
        <v>0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 cm="1">
        <f t="array" ref="B317">_xlfn.SWITCH($A$2,"average", AVERAGE(Instances!B317:Instances!B317),"median", MEDIAN(Instances!B317:Instances!B317),"min", MIN(Instances!B317:Instances!B317),"max", MAX(Instances!B317:Instances!B317),"diff", MAX(Instances!B317:Instances!B317)-MIN(Instances!B317:Instances!B317))</f>
        <v>0</v>
      </c>
      <c r="C317" s="1" cm="1">
        <f t="array" ref="C317">_xlfn.SWITCH($A$2,"average", AVERAGE(Instances!C317:Instances!C317),"median", MEDIAN(Instances!C317:Instances!C317),"min", MIN(Instances!C317:Instances!C317),"max", MAX(Instances!C317:Instances!C317),"diff", MAX(Instances!C317:Instances!C317)-MIN(Instances!C317:Instances!C317))</f>
        <v>0</v>
      </c>
      <c r="D317" s="1" cm="1">
        <f t="array" ref="D317">_xlfn.SWITCH($A$2,"average", AVERAGE(Instances!D317:Instances!D317),"median", MEDIAN(Instances!D317:Instances!D317),"min", MIN(Instances!D317:Instances!D317),"max", MAX(Instances!D317:Instances!D317),"diff", MAX(Instances!D317:Instances!D317)-MIN(Instances!D317:Instances!D317))</f>
        <v>0</v>
      </c>
      <c r="E317" s="1" cm="1">
        <f t="array" ref="E317">_xlfn.SWITCH($A$2,"average", AVERAGE(Instances!E317:Instances!E317),"median", MEDIAN(Instances!E317:Instances!E317),"min", MIN(Instances!E317:Instances!E317),"max", MAX(Instances!E317:Instances!E317),"diff", MAX(Instances!E317:Instances!E317)-MIN(Instances!E317:Instances!E317))</f>
        <v>0</v>
      </c>
      <c r="F317" s="1" cm="1">
        <f t="array" ref="F317">_xlfn.SWITCH($A$2,"average", AVERAGE(Instances!F317:Instances!F317),"median", MEDIAN(Instances!F317:Instances!F317),"min", MIN(Instances!F317:Instances!F317),"max", MAX(Instances!F317:Instances!F317),"diff", MAX(Instances!F317:Instances!F317)-MIN(Instances!F317:Instances!F317))</f>
        <v>0</v>
      </c>
      <c r="G317" s="1" cm="1">
        <f t="array" ref="G317">_xlfn.SWITCH($A$2,"average", AVERAGE(Instances!G317:Instances!G317),"median", MEDIAN(Instances!G317:Instances!G317),"min", MIN(Instances!G317:Instances!G317),"max", MAX(Instances!G317:Instances!G317),"diff", MAX(Instances!G317:Instances!G317)-MIN(Instances!G317:Instances!G317))</f>
        <v>0</v>
      </c>
      <c r="H317" s="1" cm="1">
        <f t="array" ref="H317">_xlfn.SWITCH($A$2,"average", AVERAGE(Instances!H317:Instances!H317),"median", MEDIAN(Instances!H317:Instances!H317),"min", MIN(Instances!H317:Instances!H317),"max", MAX(Instances!H317:Instances!H317),"diff", MAX(Instances!H317:Instances!H317)-MIN(Instances!H317:Instances!H317))</f>
        <v>0</v>
      </c>
      <c r="I317" s="1" cm="1">
        <f t="array" ref="I317">_xlfn.SWITCH($A$2,"average", AVERAGE(Instances!I317:Instances!I317),"median", MEDIAN(Instances!I317:Instances!I317),"min", MIN(Instances!I317:Instances!I317),"max", MAX(Instances!I317:Instances!I317),"diff", MAX(Instances!I317:Instances!I317)-MIN(Instances!I317:Instances!I317))</f>
        <v>0</v>
      </c>
      <c r="J317" s="1" cm="1">
        <f t="array" ref="J317">_xlfn.SWITCH($A$2,"average", AVERAGE(Instances!J317:Instances!J317),"median", MEDIAN(Instances!J317:Instances!J317),"min", MIN(Instances!J317:Instances!J317),"max", MAX(Instances!J317:Instances!J317),"diff", MAX(Instances!J317:Instances!J317)-MIN(Instances!J317:Instances!J317))</f>
        <v>0</v>
      </c>
      <c r="K317" s="1" cm="1">
        <f t="array" ref="K317">_xlfn.SWITCH($A$2,"average", AVERAGE(Instances!K317:Instances!K317),"median", MEDIAN(Instances!K317:Instances!K317),"min", MIN(Instances!K317:Instances!K317),"max", MAX(Instances!K317:Instances!K317),"diff", MAX(Instances!K317:Instances!K317)-MIN(Instances!K317:Instances!K317))</f>
        <v>0</v>
      </c>
      <c r="L317" s="1"/>
      <c r="M317" s="1" cm="1">
        <f t="array" ref="M317">_xlfn.SWITCH($A$2,"average", AVERAGE(Instances!M317:Instances!M317),"median", MEDIAN(Instances!M317:Instances!M317),"min", MIN(Instances!M317:Instances!M317),"max", MAX(Instances!M317:Instances!M317),"diff", MAX(Instances!M317:Instances!M317)-MIN(Instances!M317:Instances!M317))</f>
        <v>0</v>
      </c>
      <c r="N317" s="1" cm="1">
        <f t="array" ref="N317">_xlfn.SWITCH($A$2,"average", AVERAGE(Instances!N317:Instances!N317),"median", MEDIAN(Instances!N317:Instances!N317),"min", MIN(Instances!N317:Instances!N317),"max", MAX(Instances!N317:Instances!N317),"diff", MAX(Instances!N317:Instances!N317)-MIN(Instances!N317:Instances!N317))</f>
        <v>0</v>
      </c>
      <c r="O317" s="1"/>
      <c r="P317" s="1" cm="1">
        <f t="array" ref="P317">_xlfn.SWITCH($A$2,"average", AVERAGE(Instances!P317:Instances!P317),"median", MEDIAN(Instances!P317:Instances!P317),"min", MIN(Instances!P317:Instances!P317),"max", MAX(Instances!P317:Instances!P317),"diff", MAX(Instances!P317:Instances!P317)-MIN(Instances!P317:Instances!P317))</f>
        <v>0</v>
      </c>
      <c r="Q317" s="1" cm="1">
        <f t="array" ref="Q317">_xlfn.SWITCH($A$2,"average", AVERAGE(Instances!Q317:Instances!Q317),"median", MEDIAN(Instances!Q317:Instances!Q317),"min", MIN(Instances!Q317:Instances!Q317),"max", MAX(Instances!Q317:Instances!Q317),"diff", MAX(Instances!Q317:Instances!Q317)-MIN(Instances!Q317:Instances!Q317))</f>
        <v>0</v>
      </c>
      <c r="R317" s="1" cm="1">
        <f t="array" ref="R317">_xlfn.SWITCH($A$2,"average", AVERAGE(Instances!R317:Instances!R317),"median", MEDIAN(Instances!R317:Instances!R317),"min", MIN(Instances!R317:Instances!R317),"max", MAX(Instances!R317:Instances!R317),"diff", MAX(Instances!R317:Instances!R317)-MIN(Instances!R317:Instances!R317))</f>
        <v>0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 cm="1">
        <f t="array" ref="B318">_xlfn.SWITCH($A$2,"average", AVERAGE(Instances!B318:Instances!B318),"median", MEDIAN(Instances!B318:Instances!B318),"min", MIN(Instances!B318:Instances!B318),"max", MAX(Instances!B318:Instances!B318),"diff", MAX(Instances!B318:Instances!B318)-MIN(Instances!B318:Instances!B318))</f>
        <v>0</v>
      </c>
      <c r="C318" s="1" cm="1">
        <f t="array" ref="C318">_xlfn.SWITCH($A$2,"average", AVERAGE(Instances!C318:Instances!C318),"median", MEDIAN(Instances!C318:Instances!C318),"min", MIN(Instances!C318:Instances!C318),"max", MAX(Instances!C318:Instances!C318),"diff", MAX(Instances!C318:Instances!C318)-MIN(Instances!C318:Instances!C318))</f>
        <v>0</v>
      </c>
      <c r="D318" s="1" cm="1">
        <f t="array" ref="D318">_xlfn.SWITCH($A$2,"average", AVERAGE(Instances!D318:Instances!D318),"median", MEDIAN(Instances!D318:Instances!D318),"min", MIN(Instances!D318:Instances!D318),"max", MAX(Instances!D318:Instances!D318),"diff", MAX(Instances!D318:Instances!D318)-MIN(Instances!D318:Instances!D318))</f>
        <v>0</v>
      </c>
      <c r="E318" s="1" cm="1">
        <f t="array" ref="E318">_xlfn.SWITCH($A$2,"average", AVERAGE(Instances!E318:Instances!E318),"median", MEDIAN(Instances!E318:Instances!E318),"min", MIN(Instances!E318:Instances!E318),"max", MAX(Instances!E318:Instances!E318),"diff", MAX(Instances!E318:Instances!E318)-MIN(Instances!E318:Instances!E318))</f>
        <v>0</v>
      </c>
      <c r="F318" s="1" cm="1">
        <f t="array" ref="F318">_xlfn.SWITCH($A$2,"average", AVERAGE(Instances!F318:Instances!F318),"median", MEDIAN(Instances!F318:Instances!F318),"min", MIN(Instances!F318:Instances!F318),"max", MAX(Instances!F318:Instances!F318),"diff", MAX(Instances!F318:Instances!F318)-MIN(Instances!F318:Instances!F318))</f>
        <v>0</v>
      </c>
      <c r="G318" s="1" cm="1">
        <f t="array" ref="G318">_xlfn.SWITCH($A$2,"average", AVERAGE(Instances!G318:Instances!G318),"median", MEDIAN(Instances!G318:Instances!G318),"min", MIN(Instances!G318:Instances!G318),"max", MAX(Instances!G318:Instances!G318),"diff", MAX(Instances!G318:Instances!G318)-MIN(Instances!G318:Instances!G318))</f>
        <v>0</v>
      </c>
      <c r="H318" s="1" cm="1">
        <f t="array" ref="H318">_xlfn.SWITCH($A$2,"average", AVERAGE(Instances!H318:Instances!H318),"median", MEDIAN(Instances!H318:Instances!H318),"min", MIN(Instances!H318:Instances!H318),"max", MAX(Instances!H318:Instances!H318),"diff", MAX(Instances!H318:Instances!H318)-MIN(Instances!H318:Instances!H318))</f>
        <v>0</v>
      </c>
      <c r="I318" s="1" cm="1">
        <f t="array" ref="I318">_xlfn.SWITCH($A$2,"average", AVERAGE(Instances!I318:Instances!I318),"median", MEDIAN(Instances!I318:Instances!I318),"min", MIN(Instances!I318:Instances!I318),"max", MAX(Instances!I318:Instances!I318),"diff", MAX(Instances!I318:Instances!I318)-MIN(Instances!I318:Instances!I318))</f>
        <v>0</v>
      </c>
      <c r="J318" s="1" cm="1">
        <f t="array" ref="J318">_xlfn.SWITCH($A$2,"average", AVERAGE(Instances!J318:Instances!J318),"median", MEDIAN(Instances!J318:Instances!J318),"min", MIN(Instances!J318:Instances!J318),"max", MAX(Instances!J318:Instances!J318),"diff", MAX(Instances!J318:Instances!J318)-MIN(Instances!J318:Instances!J318))</f>
        <v>0</v>
      </c>
      <c r="K318" s="1" cm="1">
        <f t="array" ref="K318">_xlfn.SWITCH($A$2,"average", AVERAGE(Instances!K318:Instances!K318),"median", MEDIAN(Instances!K318:Instances!K318),"min", MIN(Instances!K318:Instances!K318),"max", MAX(Instances!K318:Instances!K318),"diff", MAX(Instances!K318:Instances!K318)-MIN(Instances!K318:Instances!K318))</f>
        <v>0</v>
      </c>
      <c r="L318" s="1"/>
      <c r="M318" s="1" cm="1">
        <f t="array" ref="M318">_xlfn.SWITCH($A$2,"average", AVERAGE(Instances!M318:Instances!M318),"median", MEDIAN(Instances!M318:Instances!M318),"min", MIN(Instances!M318:Instances!M318),"max", MAX(Instances!M318:Instances!M318),"diff", MAX(Instances!M318:Instances!M318)-MIN(Instances!M318:Instances!M318))</f>
        <v>0</v>
      </c>
      <c r="N318" s="1" cm="1">
        <f t="array" ref="N318">_xlfn.SWITCH($A$2,"average", AVERAGE(Instances!N318:Instances!N318),"median", MEDIAN(Instances!N318:Instances!N318),"min", MIN(Instances!N318:Instances!N318),"max", MAX(Instances!N318:Instances!N318),"diff", MAX(Instances!N318:Instances!N318)-MIN(Instances!N318:Instances!N318))</f>
        <v>0</v>
      </c>
      <c r="O318" s="1"/>
      <c r="P318" s="1" cm="1">
        <f t="array" ref="P318">_xlfn.SWITCH($A$2,"average", AVERAGE(Instances!P318:Instances!P318),"median", MEDIAN(Instances!P318:Instances!P318),"min", MIN(Instances!P318:Instances!P318),"max", MAX(Instances!P318:Instances!P318),"diff", MAX(Instances!P318:Instances!P318)-MIN(Instances!P318:Instances!P318))</f>
        <v>0</v>
      </c>
      <c r="Q318" s="1" cm="1">
        <f t="array" ref="Q318">_xlfn.SWITCH($A$2,"average", AVERAGE(Instances!Q318:Instances!Q318),"median", MEDIAN(Instances!Q318:Instances!Q318),"min", MIN(Instances!Q318:Instances!Q318),"max", MAX(Instances!Q318:Instances!Q318),"diff", MAX(Instances!Q318:Instances!Q318)-MIN(Instances!Q318:Instances!Q318))</f>
        <v>0</v>
      </c>
      <c r="R318" s="1" cm="1">
        <f t="array" ref="R318">_xlfn.SWITCH($A$2,"average", AVERAGE(Instances!R318:Instances!R318),"median", MEDIAN(Instances!R318:Instances!R318),"min", MIN(Instances!R318:Instances!R318),"max", MAX(Instances!R318:Instances!R318),"diff", MAX(Instances!R318:Instances!R318)-MIN(Instances!R318:Instances!R318))</f>
        <v>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 cm="1">
        <f t="array" ref="B319">_xlfn.SWITCH($A$2,"average", AVERAGE(Instances!B319:Instances!B319),"median", MEDIAN(Instances!B319:Instances!B319),"min", MIN(Instances!B319:Instances!B319),"max", MAX(Instances!B319:Instances!B319),"diff", MAX(Instances!B319:Instances!B319)-MIN(Instances!B319:Instances!B319))</f>
        <v>0</v>
      </c>
      <c r="C319" s="1" cm="1">
        <f t="array" ref="C319">_xlfn.SWITCH($A$2,"average", AVERAGE(Instances!C319:Instances!C319),"median", MEDIAN(Instances!C319:Instances!C319),"min", MIN(Instances!C319:Instances!C319),"max", MAX(Instances!C319:Instances!C319),"diff", MAX(Instances!C319:Instances!C319)-MIN(Instances!C319:Instances!C319))</f>
        <v>0</v>
      </c>
      <c r="D319" s="1" cm="1">
        <f t="array" ref="D319">_xlfn.SWITCH($A$2,"average", AVERAGE(Instances!D319:Instances!D319),"median", MEDIAN(Instances!D319:Instances!D319),"min", MIN(Instances!D319:Instances!D319),"max", MAX(Instances!D319:Instances!D319),"diff", MAX(Instances!D319:Instances!D319)-MIN(Instances!D319:Instances!D319))</f>
        <v>0</v>
      </c>
      <c r="E319" s="1" cm="1">
        <f t="array" ref="E319">_xlfn.SWITCH($A$2,"average", AVERAGE(Instances!E319:Instances!E319),"median", MEDIAN(Instances!E319:Instances!E319),"min", MIN(Instances!E319:Instances!E319),"max", MAX(Instances!E319:Instances!E319),"diff", MAX(Instances!E319:Instances!E319)-MIN(Instances!E319:Instances!E319))</f>
        <v>0</v>
      </c>
      <c r="F319" s="1" cm="1">
        <f t="array" ref="F319">_xlfn.SWITCH($A$2,"average", AVERAGE(Instances!F319:Instances!F319),"median", MEDIAN(Instances!F319:Instances!F319),"min", MIN(Instances!F319:Instances!F319),"max", MAX(Instances!F319:Instances!F319),"diff", MAX(Instances!F319:Instances!F319)-MIN(Instances!F319:Instances!F319))</f>
        <v>0</v>
      </c>
      <c r="G319" s="1" cm="1">
        <f t="array" ref="G319">_xlfn.SWITCH($A$2,"average", AVERAGE(Instances!G319:Instances!G319),"median", MEDIAN(Instances!G319:Instances!G319),"min", MIN(Instances!G319:Instances!G319),"max", MAX(Instances!G319:Instances!G319),"diff", MAX(Instances!G319:Instances!G319)-MIN(Instances!G319:Instances!G319))</f>
        <v>0</v>
      </c>
      <c r="H319" s="1" cm="1">
        <f t="array" ref="H319">_xlfn.SWITCH($A$2,"average", AVERAGE(Instances!H319:Instances!H319),"median", MEDIAN(Instances!H319:Instances!H319),"min", MIN(Instances!H319:Instances!H319),"max", MAX(Instances!H319:Instances!H319),"diff", MAX(Instances!H319:Instances!H319)-MIN(Instances!H319:Instances!H319))</f>
        <v>0</v>
      </c>
      <c r="I319" s="1" cm="1">
        <f t="array" ref="I319">_xlfn.SWITCH($A$2,"average", AVERAGE(Instances!I319:Instances!I319),"median", MEDIAN(Instances!I319:Instances!I319),"min", MIN(Instances!I319:Instances!I319),"max", MAX(Instances!I319:Instances!I319),"diff", MAX(Instances!I319:Instances!I319)-MIN(Instances!I319:Instances!I319))</f>
        <v>0</v>
      </c>
      <c r="J319" s="1" cm="1">
        <f t="array" ref="J319">_xlfn.SWITCH($A$2,"average", AVERAGE(Instances!J319:Instances!J319),"median", MEDIAN(Instances!J319:Instances!J319),"min", MIN(Instances!J319:Instances!J319),"max", MAX(Instances!J319:Instances!J319),"diff", MAX(Instances!J319:Instances!J319)-MIN(Instances!J319:Instances!J319))</f>
        <v>0</v>
      </c>
      <c r="K319" s="1" cm="1">
        <f t="array" ref="K319">_xlfn.SWITCH($A$2,"average", AVERAGE(Instances!K319:Instances!K319),"median", MEDIAN(Instances!K319:Instances!K319),"min", MIN(Instances!K319:Instances!K319),"max", MAX(Instances!K319:Instances!K319),"diff", MAX(Instances!K319:Instances!K319)-MIN(Instances!K319:Instances!K319))</f>
        <v>0</v>
      </c>
      <c r="L319" s="1"/>
      <c r="M319" s="1" cm="1">
        <f t="array" ref="M319">_xlfn.SWITCH($A$2,"average", AVERAGE(Instances!M319:Instances!M319),"median", MEDIAN(Instances!M319:Instances!M319),"min", MIN(Instances!M319:Instances!M319),"max", MAX(Instances!M319:Instances!M319),"diff", MAX(Instances!M319:Instances!M319)-MIN(Instances!M319:Instances!M319))</f>
        <v>0</v>
      </c>
      <c r="N319" s="1" cm="1">
        <f t="array" ref="N319">_xlfn.SWITCH($A$2,"average", AVERAGE(Instances!N319:Instances!N319),"median", MEDIAN(Instances!N319:Instances!N319),"min", MIN(Instances!N319:Instances!N319),"max", MAX(Instances!N319:Instances!N319),"diff", MAX(Instances!N319:Instances!N319)-MIN(Instances!N319:Instances!N319))</f>
        <v>0</v>
      </c>
      <c r="O319" s="1"/>
      <c r="P319" s="1" cm="1">
        <f t="array" ref="P319">_xlfn.SWITCH($A$2,"average", AVERAGE(Instances!P319:Instances!P319),"median", MEDIAN(Instances!P319:Instances!P319),"min", MIN(Instances!P319:Instances!P319),"max", MAX(Instances!P319:Instances!P319),"diff", MAX(Instances!P319:Instances!P319)-MIN(Instances!P319:Instances!P319))</f>
        <v>0</v>
      </c>
      <c r="Q319" s="1" cm="1">
        <f t="array" ref="Q319">_xlfn.SWITCH($A$2,"average", AVERAGE(Instances!Q319:Instances!Q319),"median", MEDIAN(Instances!Q319:Instances!Q319),"min", MIN(Instances!Q319:Instances!Q319),"max", MAX(Instances!Q319:Instances!Q319),"diff", MAX(Instances!Q319:Instances!Q319)-MIN(Instances!Q319:Instances!Q319))</f>
        <v>0</v>
      </c>
      <c r="R319" s="1" cm="1">
        <f t="array" ref="R319">_xlfn.SWITCH($A$2,"average", AVERAGE(Instances!R319:Instances!R319),"median", MEDIAN(Instances!R319:Instances!R319),"min", MIN(Instances!R319:Instances!R319),"max", MAX(Instances!R319:Instances!R319),"diff", MAX(Instances!R319:Instances!R319)-MIN(Instances!R319:Instances!R319))</f>
        <v>0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 cm="1">
        <f t="array" ref="B320">_xlfn.SWITCH($A$2,"average", AVERAGE(Instances!B320:Instances!B320),"median", MEDIAN(Instances!B320:Instances!B320),"min", MIN(Instances!B320:Instances!B320),"max", MAX(Instances!B320:Instances!B320),"diff", MAX(Instances!B320:Instances!B320)-MIN(Instances!B320:Instances!B320))</f>
        <v>0</v>
      </c>
      <c r="C320" s="1" cm="1">
        <f t="array" ref="C320">_xlfn.SWITCH($A$2,"average", AVERAGE(Instances!C320:Instances!C320),"median", MEDIAN(Instances!C320:Instances!C320),"min", MIN(Instances!C320:Instances!C320),"max", MAX(Instances!C320:Instances!C320),"diff", MAX(Instances!C320:Instances!C320)-MIN(Instances!C320:Instances!C320))</f>
        <v>0</v>
      </c>
      <c r="D320" s="1" cm="1">
        <f t="array" ref="D320">_xlfn.SWITCH($A$2,"average", AVERAGE(Instances!D320:Instances!D320),"median", MEDIAN(Instances!D320:Instances!D320),"min", MIN(Instances!D320:Instances!D320),"max", MAX(Instances!D320:Instances!D320),"diff", MAX(Instances!D320:Instances!D320)-MIN(Instances!D320:Instances!D320))</f>
        <v>0</v>
      </c>
      <c r="E320" s="1" cm="1">
        <f t="array" ref="E320">_xlfn.SWITCH($A$2,"average", AVERAGE(Instances!E320:Instances!E320),"median", MEDIAN(Instances!E320:Instances!E320),"min", MIN(Instances!E320:Instances!E320),"max", MAX(Instances!E320:Instances!E320),"diff", MAX(Instances!E320:Instances!E320)-MIN(Instances!E320:Instances!E320))</f>
        <v>0</v>
      </c>
      <c r="F320" s="1" cm="1">
        <f t="array" ref="F320">_xlfn.SWITCH($A$2,"average", AVERAGE(Instances!F320:Instances!F320),"median", MEDIAN(Instances!F320:Instances!F320),"min", MIN(Instances!F320:Instances!F320),"max", MAX(Instances!F320:Instances!F320),"diff", MAX(Instances!F320:Instances!F320)-MIN(Instances!F320:Instances!F320))</f>
        <v>0</v>
      </c>
      <c r="G320" s="1" cm="1">
        <f t="array" ref="G320">_xlfn.SWITCH($A$2,"average", AVERAGE(Instances!G320:Instances!G320),"median", MEDIAN(Instances!G320:Instances!G320),"min", MIN(Instances!G320:Instances!G320),"max", MAX(Instances!G320:Instances!G320),"diff", MAX(Instances!G320:Instances!G320)-MIN(Instances!G320:Instances!G320))</f>
        <v>0</v>
      </c>
      <c r="H320" s="1" cm="1">
        <f t="array" ref="H320">_xlfn.SWITCH($A$2,"average", AVERAGE(Instances!H320:Instances!H320),"median", MEDIAN(Instances!H320:Instances!H320),"min", MIN(Instances!H320:Instances!H320),"max", MAX(Instances!H320:Instances!H320),"diff", MAX(Instances!H320:Instances!H320)-MIN(Instances!H320:Instances!H320))</f>
        <v>0</v>
      </c>
      <c r="I320" s="1" cm="1">
        <f t="array" ref="I320">_xlfn.SWITCH($A$2,"average", AVERAGE(Instances!I320:Instances!I320),"median", MEDIAN(Instances!I320:Instances!I320),"min", MIN(Instances!I320:Instances!I320),"max", MAX(Instances!I320:Instances!I320),"diff", MAX(Instances!I320:Instances!I320)-MIN(Instances!I320:Instances!I320))</f>
        <v>0</v>
      </c>
      <c r="J320" s="1" cm="1">
        <f t="array" ref="J320">_xlfn.SWITCH($A$2,"average", AVERAGE(Instances!J320:Instances!J320),"median", MEDIAN(Instances!J320:Instances!J320),"min", MIN(Instances!J320:Instances!J320),"max", MAX(Instances!J320:Instances!J320),"diff", MAX(Instances!J320:Instances!J320)-MIN(Instances!J320:Instances!J320))</f>
        <v>0</v>
      </c>
      <c r="K320" s="1" cm="1">
        <f t="array" ref="K320">_xlfn.SWITCH($A$2,"average", AVERAGE(Instances!K320:Instances!K320),"median", MEDIAN(Instances!K320:Instances!K320),"min", MIN(Instances!K320:Instances!K320),"max", MAX(Instances!K320:Instances!K320),"diff", MAX(Instances!K320:Instances!K320)-MIN(Instances!K320:Instances!K320))</f>
        <v>0</v>
      </c>
      <c r="L320" s="1"/>
      <c r="M320" s="1" cm="1">
        <f t="array" ref="M320">_xlfn.SWITCH($A$2,"average", AVERAGE(Instances!M320:Instances!M320),"median", MEDIAN(Instances!M320:Instances!M320),"min", MIN(Instances!M320:Instances!M320),"max", MAX(Instances!M320:Instances!M320),"diff", MAX(Instances!M320:Instances!M320)-MIN(Instances!M320:Instances!M320))</f>
        <v>0</v>
      </c>
      <c r="N320" s="1" cm="1">
        <f t="array" ref="N320">_xlfn.SWITCH($A$2,"average", AVERAGE(Instances!N320:Instances!N320),"median", MEDIAN(Instances!N320:Instances!N320),"min", MIN(Instances!N320:Instances!N320),"max", MAX(Instances!N320:Instances!N320),"diff", MAX(Instances!N320:Instances!N320)-MIN(Instances!N320:Instances!N320))</f>
        <v>0</v>
      </c>
      <c r="O320" s="1"/>
      <c r="P320" s="1" cm="1">
        <f t="array" ref="P320">_xlfn.SWITCH($A$2,"average", AVERAGE(Instances!P320:Instances!P320),"median", MEDIAN(Instances!P320:Instances!P320),"min", MIN(Instances!P320:Instances!P320),"max", MAX(Instances!P320:Instances!P320),"diff", MAX(Instances!P320:Instances!P320)-MIN(Instances!P320:Instances!P320))</f>
        <v>0</v>
      </c>
      <c r="Q320" s="1" cm="1">
        <f t="array" ref="Q320">_xlfn.SWITCH($A$2,"average", AVERAGE(Instances!Q320:Instances!Q320),"median", MEDIAN(Instances!Q320:Instances!Q320),"min", MIN(Instances!Q320:Instances!Q320),"max", MAX(Instances!Q320:Instances!Q320),"diff", MAX(Instances!Q320:Instances!Q320)-MIN(Instances!Q320:Instances!Q320))</f>
        <v>0</v>
      </c>
      <c r="R320" s="1" cm="1">
        <f t="array" ref="R320">_xlfn.SWITCH($A$2,"average", AVERAGE(Instances!R320:Instances!R320),"median", MEDIAN(Instances!R320:Instances!R320),"min", MIN(Instances!R320:Instances!R320),"max", MAX(Instances!R320:Instances!R320),"diff", MAX(Instances!R320:Instances!R320)-MIN(Instances!R320:Instances!R320))</f>
        <v>0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 cm="1">
        <f t="array" ref="B321">_xlfn.SWITCH($A$2,"average", AVERAGE(Instances!B321:Instances!B321),"median", MEDIAN(Instances!B321:Instances!B321),"min", MIN(Instances!B321:Instances!B321),"max", MAX(Instances!B321:Instances!B321),"diff", MAX(Instances!B321:Instances!B321)-MIN(Instances!B321:Instances!B321))</f>
        <v>0</v>
      </c>
      <c r="C321" s="1" cm="1">
        <f t="array" ref="C321">_xlfn.SWITCH($A$2,"average", AVERAGE(Instances!C321:Instances!C321),"median", MEDIAN(Instances!C321:Instances!C321),"min", MIN(Instances!C321:Instances!C321),"max", MAX(Instances!C321:Instances!C321),"diff", MAX(Instances!C321:Instances!C321)-MIN(Instances!C321:Instances!C321))</f>
        <v>0</v>
      </c>
      <c r="D321" s="1" cm="1">
        <f t="array" ref="D321">_xlfn.SWITCH($A$2,"average", AVERAGE(Instances!D321:Instances!D321),"median", MEDIAN(Instances!D321:Instances!D321),"min", MIN(Instances!D321:Instances!D321),"max", MAX(Instances!D321:Instances!D321),"diff", MAX(Instances!D321:Instances!D321)-MIN(Instances!D321:Instances!D321))</f>
        <v>0</v>
      </c>
      <c r="E321" s="1" cm="1">
        <f t="array" ref="E321">_xlfn.SWITCH($A$2,"average", AVERAGE(Instances!E321:Instances!E321),"median", MEDIAN(Instances!E321:Instances!E321),"min", MIN(Instances!E321:Instances!E321),"max", MAX(Instances!E321:Instances!E321),"diff", MAX(Instances!E321:Instances!E321)-MIN(Instances!E321:Instances!E321))</f>
        <v>0</v>
      </c>
      <c r="F321" s="1" cm="1">
        <f t="array" ref="F321">_xlfn.SWITCH($A$2,"average", AVERAGE(Instances!F321:Instances!F321),"median", MEDIAN(Instances!F321:Instances!F321),"min", MIN(Instances!F321:Instances!F321),"max", MAX(Instances!F321:Instances!F321),"diff", MAX(Instances!F321:Instances!F321)-MIN(Instances!F321:Instances!F321))</f>
        <v>0</v>
      </c>
      <c r="G321" s="1" cm="1">
        <f t="array" ref="G321">_xlfn.SWITCH($A$2,"average", AVERAGE(Instances!G321:Instances!G321),"median", MEDIAN(Instances!G321:Instances!G321),"min", MIN(Instances!G321:Instances!G321),"max", MAX(Instances!G321:Instances!G321),"diff", MAX(Instances!G321:Instances!G321)-MIN(Instances!G321:Instances!G321))</f>
        <v>0</v>
      </c>
      <c r="H321" s="1" cm="1">
        <f t="array" ref="H321">_xlfn.SWITCH($A$2,"average", AVERAGE(Instances!H321:Instances!H321),"median", MEDIAN(Instances!H321:Instances!H321),"min", MIN(Instances!H321:Instances!H321),"max", MAX(Instances!H321:Instances!H321),"diff", MAX(Instances!H321:Instances!H321)-MIN(Instances!H321:Instances!H321))</f>
        <v>0</v>
      </c>
      <c r="I321" s="1" cm="1">
        <f t="array" ref="I321">_xlfn.SWITCH($A$2,"average", AVERAGE(Instances!I321:Instances!I321),"median", MEDIAN(Instances!I321:Instances!I321),"min", MIN(Instances!I321:Instances!I321),"max", MAX(Instances!I321:Instances!I321),"diff", MAX(Instances!I321:Instances!I321)-MIN(Instances!I321:Instances!I321))</f>
        <v>0</v>
      </c>
      <c r="J321" s="1" cm="1">
        <f t="array" ref="J321">_xlfn.SWITCH($A$2,"average", AVERAGE(Instances!J321:Instances!J321),"median", MEDIAN(Instances!J321:Instances!J321),"min", MIN(Instances!J321:Instances!J321),"max", MAX(Instances!J321:Instances!J321),"diff", MAX(Instances!J321:Instances!J321)-MIN(Instances!J321:Instances!J321))</f>
        <v>0</v>
      </c>
      <c r="K321" s="1" cm="1">
        <f t="array" ref="K321">_xlfn.SWITCH($A$2,"average", AVERAGE(Instances!K321:Instances!K321),"median", MEDIAN(Instances!K321:Instances!K321),"min", MIN(Instances!K321:Instances!K321),"max", MAX(Instances!K321:Instances!K321),"diff", MAX(Instances!K321:Instances!K321)-MIN(Instances!K321:Instances!K321))</f>
        <v>0</v>
      </c>
      <c r="L321" s="1"/>
      <c r="M321" s="1" cm="1">
        <f t="array" ref="M321">_xlfn.SWITCH($A$2,"average", AVERAGE(Instances!M321:Instances!M321),"median", MEDIAN(Instances!M321:Instances!M321),"min", MIN(Instances!M321:Instances!M321),"max", MAX(Instances!M321:Instances!M321),"diff", MAX(Instances!M321:Instances!M321)-MIN(Instances!M321:Instances!M321))</f>
        <v>0</v>
      </c>
      <c r="N321" s="1" cm="1">
        <f t="array" ref="N321">_xlfn.SWITCH($A$2,"average", AVERAGE(Instances!N321:Instances!N321),"median", MEDIAN(Instances!N321:Instances!N321),"min", MIN(Instances!N321:Instances!N321),"max", MAX(Instances!N321:Instances!N321),"diff", MAX(Instances!N321:Instances!N321)-MIN(Instances!N321:Instances!N321))</f>
        <v>0</v>
      </c>
      <c r="O321" s="1"/>
      <c r="P321" s="1" cm="1">
        <f t="array" ref="P321">_xlfn.SWITCH($A$2,"average", AVERAGE(Instances!P321:Instances!P321),"median", MEDIAN(Instances!P321:Instances!P321),"min", MIN(Instances!P321:Instances!P321),"max", MAX(Instances!P321:Instances!P321),"diff", MAX(Instances!P321:Instances!P321)-MIN(Instances!P321:Instances!P321))</f>
        <v>0</v>
      </c>
      <c r="Q321" s="1" cm="1">
        <f t="array" ref="Q321">_xlfn.SWITCH($A$2,"average", AVERAGE(Instances!Q321:Instances!Q321),"median", MEDIAN(Instances!Q321:Instances!Q321),"min", MIN(Instances!Q321:Instances!Q321),"max", MAX(Instances!Q321:Instances!Q321),"diff", MAX(Instances!Q321:Instances!Q321)-MIN(Instances!Q321:Instances!Q321))</f>
        <v>0</v>
      </c>
      <c r="R321" s="1" cm="1">
        <f t="array" ref="R321">_xlfn.SWITCH($A$2,"average", AVERAGE(Instances!R321:Instances!R321),"median", MEDIAN(Instances!R321:Instances!R321),"min", MIN(Instances!R321:Instances!R321),"max", MAX(Instances!R321:Instances!R321),"diff", MAX(Instances!R321:Instances!R321)-MIN(Instances!R321:Instances!R321))</f>
        <v>0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 cm="1">
        <f t="array" ref="B322">_xlfn.SWITCH($A$2,"average", AVERAGE(Instances!B322:Instances!B322),"median", MEDIAN(Instances!B322:Instances!B322),"min", MIN(Instances!B322:Instances!B322),"max", MAX(Instances!B322:Instances!B322),"diff", MAX(Instances!B322:Instances!B322)-MIN(Instances!B322:Instances!B322))</f>
        <v>0</v>
      </c>
      <c r="C322" s="1" cm="1">
        <f t="array" ref="C322">_xlfn.SWITCH($A$2,"average", AVERAGE(Instances!C322:Instances!C322),"median", MEDIAN(Instances!C322:Instances!C322),"min", MIN(Instances!C322:Instances!C322),"max", MAX(Instances!C322:Instances!C322),"diff", MAX(Instances!C322:Instances!C322)-MIN(Instances!C322:Instances!C322))</f>
        <v>0</v>
      </c>
      <c r="D322" s="1" cm="1">
        <f t="array" ref="D322">_xlfn.SWITCH($A$2,"average", AVERAGE(Instances!D322:Instances!D322),"median", MEDIAN(Instances!D322:Instances!D322),"min", MIN(Instances!D322:Instances!D322),"max", MAX(Instances!D322:Instances!D322),"diff", MAX(Instances!D322:Instances!D322)-MIN(Instances!D322:Instances!D322))</f>
        <v>0</v>
      </c>
      <c r="E322" s="1" cm="1">
        <f t="array" ref="E322">_xlfn.SWITCH($A$2,"average", AVERAGE(Instances!E322:Instances!E322),"median", MEDIAN(Instances!E322:Instances!E322),"min", MIN(Instances!E322:Instances!E322),"max", MAX(Instances!E322:Instances!E322),"diff", MAX(Instances!E322:Instances!E322)-MIN(Instances!E322:Instances!E322))</f>
        <v>0</v>
      </c>
      <c r="F322" s="1" cm="1">
        <f t="array" ref="F322">_xlfn.SWITCH($A$2,"average", AVERAGE(Instances!F322:Instances!F322),"median", MEDIAN(Instances!F322:Instances!F322),"min", MIN(Instances!F322:Instances!F322),"max", MAX(Instances!F322:Instances!F322),"diff", MAX(Instances!F322:Instances!F322)-MIN(Instances!F322:Instances!F322))</f>
        <v>0</v>
      </c>
      <c r="G322" s="1" cm="1">
        <f t="array" ref="G322">_xlfn.SWITCH($A$2,"average", AVERAGE(Instances!G322:Instances!G322),"median", MEDIAN(Instances!G322:Instances!G322),"min", MIN(Instances!G322:Instances!G322),"max", MAX(Instances!G322:Instances!G322),"diff", MAX(Instances!G322:Instances!G322)-MIN(Instances!G322:Instances!G322))</f>
        <v>0</v>
      </c>
      <c r="H322" s="1" cm="1">
        <f t="array" ref="H322">_xlfn.SWITCH($A$2,"average", AVERAGE(Instances!H322:Instances!H322),"median", MEDIAN(Instances!H322:Instances!H322),"min", MIN(Instances!H322:Instances!H322),"max", MAX(Instances!H322:Instances!H322),"diff", MAX(Instances!H322:Instances!H322)-MIN(Instances!H322:Instances!H322))</f>
        <v>0</v>
      </c>
      <c r="I322" s="1" cm="1">
        <f t="array" ref="I322">_xlfn.SWITCH($A$2,"average", AVERAGE(Instances!I322:Instances!I322),"median", MEDIAN(Instances!I322:Instances!I322),"min", MIN(Instances!I322:Instances!I322),"max", MAX(Instances!I322:Instances!I322),"diff", MAX(Instances!I322:Instances!I322)-MIN(Instances!I322:Instances!I322))</f>
        <v>0</v>
      </c>
      <c r="J322" s="1" cm="1">
        <f t="array" ref="J322">_xlfn.SWITCH($A$2,"average", AVERAGE(Instances!J322:Instances!J322),"median", MEDIAN(Instances!J322:Instances!J322),"min", MIN(Instances!J322:Instances!J322),"max", MAX(Instances!J322:Instances!J322),"diff", MAX(Instances!J322:Instances!J322)-MIN(Instances!J322:Instances!J322))</f>
        <v>0</v>
      </c>
      <c r="K322" s="1" cm="1">
        <f t="array" ref="K322">_xlfn.SWITCH($A$2,"average", AVERAGE(Instances!K322:Instances!K322),"median", MEDIAN(Instances!K322:Instances!K322),"min", MIN(Instances!K322:Instances!K322),"max", MAX(Instances!K322:Instances!K322),"diff", MAX(Instances!K322:Instances!K322)-MIN(Instances!K322:Instances!K322))</f>
        <v>0</v>
      </c>
      <c r="L322" s="1"/>
      <c r="M322" s="1" cm="1">
        <f t="array" ref="M322">_xlfn.SWITCH($A$2,"average", AVERAGE(Instances!M322:Instances!M322),"median", MEDIAN(Instances!M322:Instances!M322),"min", MIN(Instances!M322:Instances!M322),"max", MAX(Instances!M322:Instances!M322),"diff", MAX(Instances!M322:Instances!M322)-MIN(Instances!M322:Instances!M322))</f>
        <v>0</v>
      </c>
      <c r="N322" s="1" cm="1">
        <f t="array" ref="N322">_xlfn.SWITCH($A$2,"average", AVERAGE(Instances!N322:Instances!N322),"median", MEDIAN(Instances!N322:Instances!N322),"min", MIN(Instances!N322:Instances!N322),"max", MAX(Instances!N322:Instances!N322),"diff", MAX(Instances!N322:Instances!N322)-MIN(Instances!N322:Instances!N322))</f>
        <v>0</v>
      </c>
      <c r="O322" s="1"/>
      <c r="P322" s="1" cm="1">
        <f t="array" ref="P322">_xlfn.SWITCH($A$2,"average", AVERAGE(Instances!P322:Instances!P322),"median", MEDIAN(Instances!P322:Instances!P322),"min", MIN(Instances!P322:Instances!P322),"max", MAX(Instances!P322:Instances!P322),"diff", MAX(Instances!P322:Instances!P322)-MIN(Instances!P322:Instances!P322))</f>
        <v>0</v>
      </c>
      <c r="Q322" s="1" cm="1">
        <f t="array" ref="Q322">_xlfn.SWITCH($A$2,"average", AVERAGE(Instances!Q322:Instances!Q322),"median", MEDIAN(Instances!Q322:Instances!Q322),"min", MIN(Instances!Q322:Instances!Q322),"max", MAX(Instances!Q322:Instances!Q322),"diff", MAX(Instances!Q322:Instances!Q322)-MIN(Instances!Q322:Instances!Q322))</f>
        <v>0</v>
      </c>
      <c r="R322" s="1" cm="1">
        <f t="array" ref="R322">_xlfn.SWITCH($A$2,"average", AVERAGE(Instances!R322:Instances!R322),"median", MEDIAN(Instances!R322:Instances!R322),"min", MIN(Instances!R322:Instances!R322),"max", MAX(Instances!R322:Instances!R322),"diff", MAX(Instances!R322:Instances!R322)-MIN(Instances!R322:Instances!R322))</f>
        <v>0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 cm="1">
        <f t="array" ref="B323">_xlfn.SWITCH($A$2,"average", AVERAGE(Instances!B323:Instances!B323),"median", MEDIAN(Instances!B323:Instances!B323),"min", MIN(Instances!B323:Instances!B323),"max", MAX(Instances!B323:Instances!B323),"diff", MAX(Instances!B323:Instances!B323)-MIN(Instances!B323:Instances!B323))</f>
        <v>0</v>
      </c>
      <c r="C323" s="1" cm="1">
        <f t="array" ref="C323">_xlfn.SWITCH($A$2,"average", AVERAGE(Instances!C323:Instances!C323),"median", MEDIAN(Instances!C323:Instances!C323),"min", MIN(Instances!C323:Instances!C323),"max", MAX(Instances!C323:Instances!C323),"diff", MAX(Instances!C323:Instances!C323)-MIN(Instances!C323:Instances!C323))</f>
        <v>0</v>
      </c>
      <c r="D323" s="1" cm="1">
        <f t="array" ref="D323">_xlfn.SWITCH($A$2,"average", AVERAGE(Instances!D323:Instances!D323),"median", MEDIAN(Instances!D323:Instances!D323),"min", MIN(Instances!D323:Instances!D323),"max", MAX(Instances!D323:Instances!D323),"diff", MAX(Instances!D323:Instances!D323)-MIN(Instances!D323:Instances!D323))</f>
        <v>0</v>
      </c>
      <c r="E323" s="1" cm="1">
        <f t="array" ref="E323">_xlfn.SWITCH($A$2,"average", AVERAGE(Instances!E323:Instances!E323),"median", MEDIAN(Instances!E323:Instances!E323),"min", MIN(Instances!E323:Instances!E323),"max", MAX(Instances!E323:Instances!E323),"diff", MAX(Instances!E323:Instances!E323)-MIN(Instances!E323:Instances!E323))</f>
        <v>0</v>
      </c>
      <c r="F323" s="1" cm="1">
        <f t="array" ref="F323">_xlfn.SWITCH($A$2,"average", AVERAGE(Instances!F323:Instances!F323),"median", MEDIAN(Instances!F323:Instances!F323),"min", MIN(Instances!F323:Instances!F323),"max", MAX(Instances!F323:Instances!F323),"diff", MAX(Instances!F323:Instances!F323)-MIN(Instances!F323:Instances!F323))</f>
        <v>0</v>
      </c>
      <c r="G323" s="1" cm="1">
        <f t="array" ref="G323">_xlfn.SWITCH($A$2,"average", AVERAGE(Instances!G323:Instances!G323),"median", MEDIAN(Instances!G323:Instances!G323),"min", MIN(Instances!G323:Instances!G323),"max", MAX(Instances!G323:Instances!G323),"diff", MAX(Instances!G323:Instances!G323)-MIN(Instances!G323:Instances!G323))</f>
        <v>0</v>
      </c>
      <c r="H323" s="1" cm="1">
        <f t="array" ref="H323">_xlfn.SWITCH($A$2,"average", AVERAGE(Instances!H323:Instances!H323),"median", MEDIAN(Instances!H323:Instances!H323),"min", MIN(Instances!H323:Instances!H323),"max", MAX(Instances!H323:Instances!H323),"diff", MAX(Instances!H323:Instances!H323)-MIN(Instances!H323:Instances!H323))</f>
        <v>0</v>
      </c>
      <c r="I323" s="1" cm="1">
        <f t="array" ref="I323">_xlfn.SWITCH($A$2,"average", AVERAGE(Instances!I323:Instances!I323),"median", MEDIAN(Instances!I323:Instances!I323),"min", MIN(Instances!I323:Instances!I323),"max", MAX(Instances!I323:Instances!I323),"diff", MAX(Instances!I323:Instances!I323)-MIN(Instances!I323:Instances!I323))</f>
        <v>0</v>
      </c>
      <c r="J323" s="1" cm="1">
        <f t="array" ref="J323">_xlfn.SWITCH($A$2,"average", AVERAGE(Instances!J323:Instances!J323),"median", MEDIAN(Instances!J323:Instances!J323),"min", MIN(Instances!J323:Instances!J323),"max", MAX(Instances!J323:Instances!J323),"diff", MAX(Instances!J323:Instances!J323)-MIN(Instances!J323:Instances!J323))</f>
        <v>0</v>
      </c>
      <c r="K323" s="1" cm="1">
        <f t="array" ref="K323">_xlfn.SWITCH($A$2,"average", AVERAGE(Instances!K323:Instances!K323),"median", MEDIAN(Instances!K323:Instances!K323),"min", MIN(Instances!K323:Instances!K323),"max", MAX(Instances!K323:Instances!K323),"diff", MAX(Instances!K323:Instances!K323)-MIN(Instances!K323:Instances!K323))</f>
        <v>0</v>
      </c>
      <c r="L323" s="1"/>
      <c r="M323" s="1" cm="1">
        <f t="array" ref="M323">_xlfn.SWITCH($A$2,"average", AVERAGE(Instances!M323:Instances!M323),"median", MEDIAN(Instances!M323:Instances!M323),"min", MIN(Instances!M323:Instances!M323),"max", MAX(Instances!M323:Instances!M323),"diff", MAX(Instances!M323:Instances!M323)-MIN(Instances!M323:Instances!M323))</f>
        <v>0</v>
      </c>
      <c r="N323" s="1" cm="1">
        <f t="array" ref="N323">_xlfn.SWITCH($A$2,"average", AVERAGE(Instances!N323:Instances!N323),"median", MEDIAN(Instances!N323:Instances!N323),"min", MIN(Instances!N323:Instances!N323),"max", MAX(Instances!N323:Instances!N323),"diff", MAX(Instances!N323:Instances!N323)-MIN(Instances!N323:Instances!N323))</f>
        <v>0</v>
      </c>
      <c r="O323" s="1"/>
      <c r="P323" s="1" cm="1">
        <f t="array" ref="P323">_xlfn.SWITCH($A$2,"average", AVERAGE(Instances!P323:Instances!P323),"median", MEDIAN(Instances!P323:Instances!P323),"min", MIN(Instances!P323:Instances!P323),"max", MAX(Instances!P323:Instances!P323),"diff", MAX(Instances!P323:Instances!P323)-MIN(Instances!P323:Instances!P323))</f>
        <v>0</v>
      </c>
      <c r="Q323" s="1" cm="1">
        <f t="array" ref="Q323">_xlfn.SWITCH($A$2,"average", AVERAGE(Instances!Q323:Instances!Q323),"median", MEDIAN(Instances!Q323:Instances!Q323),"min", MIN(Instances!Q323:Instances!Q323),"max", MAX(Instances!Q323:Instances!Q323),"diff", MAX(Instances!Q323:Instances!Q323)-MIN(Instances!Q323:Instances!Q323))</f>
        <v>0</v>
      </c>
      <c r="R323" s="1" cm="1">
        <f t="array" ref="R323">_xlfn.SWITCH($A$2,"average", AVERAGE(Instances!R323:Instances!R323),"median", MEDIAN(Instances!R323:Instances!R323),"min", MIN(Instances!R323:Instances!R323),"max", MAX(Instances!R323:Instances!R323),"diff", MAX(Instances!R323:Instances!R323)-MIN(Instances!R323:Instances!R323))</f>
        <v>0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 cm="1">
        <f t="array" ref="B324">_xlfn.SWITCH($A$2,"average", AVERAGE(Instances!B324:Instances!B324),"median", MEDIAN(Instances!B324:Instances!B324),"min", MIN(Instances!B324:Instances!B324),"max", MAX(Instances!B324:Instances!B324),"diff", MAX(Instances!B324:Instances!B324)-MIN(Instances!B324:Instances!B324))</f>
        <v>0</v>
      </c>
      <c r="C324" s="1" cm="1">
        <f t="array" ref="C324">_xlfn.SWITCH($A$2,"average", AVERAGE(Instances!C324:Instances!C324),"median", MEDIAN(Instances!C324:Instances!C324),"min", MIN(Instances!C324:Instances!C324),"max", MAX(Instances!C324:Instances!C324),"diff", MAX(Instances!C324:Instances!C324)-MIN(Instances!C324:Instances!C324))</f>
        <v>0</v>
      </c>
      <c r="D324" s="1" cm="1">
        <f t="array" ref="D324">_xlfn.SWITCH($A$2,"average", AVERAGE(Instances!D324:Instances!D324),"median", MEDIAN(Instances!D324:Instances!D324),"min", MIN(Instances!D324:Instances!D324),"max", MAX(Instances!D324:Instances!D324),"diff", MAX(Instances!D324:Instances!D324)-MIN(Instances!D324:Instances!D324))</f>
        <v>0</v>
      </c>
      <c r="E324" s="1" cm="1">
        <f t="array" ref="E324">_xlfn.SWITCH($A$2,"average", AVERAGE(Instances!E324:Instances!E324),"median", MEDIAN(Instances!E324:Instances!E324),"min", MIN(Instances!E324:Instances!E324),"max", MAX(Instances!E324:Instances!E324),"diff", MAX(Instances!E324:Instances!E324)-MIN(Instances!E324:Instances!E324))</f>
        <v>0</v>
      </c>
      <c r="F324" s="1" cm="1">
        <f t="array" ref="F324">_xlfn.SWITCH($A$2,"average", AVERAGE(Instances!F324:Instances!F324),"median", MEDIAN(Instances!F324:Instances!F324),"min", MIN(Instances!F324:Instances!F324),"max", MAX(Instances!F324:Instances!F324),"diff", MAX(Instances!F324:Instances!F324)-MIN(Instances!F324:Instances!F324))</f>
        <v>0</v>
      </c>
      <c r="G324" s="1" cm="1">
        <f t="array" ref="G324">_xlfn.SWITCH($A$2,"average", AVERAGE(Instances!G324:Instances!G324),"median", MEDIAN(Instances!G324:Instances!G324),"min", MIN(Instances!G324:Instances!G324),"max", MAX(Instances!G324:Instances!G324),"diff", MAX(Instances!G324:Instances!G324)-MIN(Instances!G324:Instances!G324))</f>
        <v>0</v>
      </c>
      <c r="H324" s="1" cm="1">
        <f t="array" ref="H324">_xlfn.SWITCH($A$2,"average", AVERAGE(Instances!H324:Instances!H324),"median", MEDIAN(Instances!H324:Instances!H324),"min", MIN(Instances!H324:Instances!H324),"max", MAX(Instances!H324:Instances!H324),"diff", MAX(Instances!H324:Instances!H324)-MIN(Instances!H324:Instances!H324))</f>
        <v>0</v>
      </c>
      <c r="I324" s="1" cm="1">
        <f t="array" ref="I324">_xlfn.SWITCH($A$2,"average", AVERAGE(Instances!I324:Instances!I324),"median", MEDIAN(Instances!I324:Instances!I324),"min", MIN(Instances!I324:Instances!I324),"max", MAX(Instances!I324:Instances!I324),"diff", MAX(Instances!I324:Instances!I324)-MIN(Instances!I324:Instances!I324))</f>
        <v>0</v>
      </c>
      <c r="J324" s="1" cm="1">
        <f t="array" ref="J324">_xlfn.SWITCH($A$2,"average", AVERAGE(Instances!J324:Instances!J324),"median", MEDIAN(Instances!J324:Instances!J324),"min", MIN(Instances!J324:Instances!J324),"max", MAX(Instances!J324:Instances!J324),"diff", MAX(Instances!J324:Instances!J324)-MIN(Instances!J324:Instances!J324))</f>
        <v>0</v>
      </c>
      <c r="K324" s="1" cm="1">
        <f t="array" ref="K324">_xlfn.SWITCH($A$2,"average", AVERAGE(Instances!K324:Instances!K324),"median", MEDIAN(Instances!K324:Instances!K324),"min", MIN(Instances!K324:Instances!K324),"max", MAX(Instances!K324:Instances!K324),"diff", MAX(Instances!K324:Instances!K324)-MIN(Instances!K324:Instances!K324))</f>
        <v>0</v>
      </c>
      <c r="L324" s="1"/>
      <c r="M324" s="1" cm="1">
        <f t="array" ref="M324">_xlfn.SWITCH($A$2,"average", AVERAGE(Instances!M324:Instances!M324),"median", MEDIAN(Instances!M324:Instances!M324),"min", MIN(Instances!M324:Instances!M324),"max", MAX(Instances!M324:Instances!M324),"diff", MAX(Instances!M324:Instances!M324)-MIN(Instances!M324:Instances!M324))</f>
        <v>0</v>
      </c>
      <c r="N324" s="1" cm="1">
        <f t="array" ref="N324">_xlfn.SWITCH($A$2,"average", AVERAGE(Instances!N324:Instances!N324),"median", MEDIAN(Instances!N324:Instances!N324),"min", MIN(Instances!N324:Instances!N324),"max", MAX(Instances!N324:Instances!N324),"diff", MAX(Instances!N324:Instances!N324)-MIN(Instances!N324:Instances!N324))</f>
        <v>0</v>
      </c>
      <c r="O324" s="1"/>
      <c r="P324" s="1" cm="1">
        <f t="array" ref="P324">_xlfn.SWITCH($A$2,"average", AVERAGE(Instances!P324:Instances!P324),"median", MEDIAN(Instances!P324:Instances!P324),"min", MIN(Instances!P324:Instances!P324),"max", MAX(Instances!P324:Instances!P324),"diff", MAX(Instances!P324:Instances!P324)-MIN(Instances!P324:Instances!P324))</f>
        <v>0</v>
      </c>
      <c r="Q324" s="1" cm="1">
        <f t="array" ref="Q324">_xlfn.SWITCH($A$2,"average", AVERAGE(Instances!Q324:Instances!Q324),"median", MEDIAN(Instances!Q324:Instances!Q324),"min", MIN(Instances!Q324:Instances!Q324),"max", MAX(Instances!Q324:Instances!Q324),"diff", MAX(Instances!Q324:Instances!Q324)-MIN(Instances!Q324:Instances!Q324))</f>
        <v>0</v>
      </c>
      <c r="R324" s="1" cm="1">
        <f t="array" ref="R324">_xlfn.SWITCH($A$2,"average", AVERAGE(Instances!R324:Instances!R324),"median", MEDIAN(Instances!R324:Instances!R324),"min", MIN(Instances!R324:Instances!R324),"max", MAX(Instances!R324:Instances!R324),"diff", MAX(Instances!R324:Instances!R324)-MIN(Instances!R324:Instances!R324))</f>
        <v>0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 cm="1">
        <f t="array" ref="B325">_xlfn.SWITCH($A$2,"average", AVERAGE(Instances!B325:Instances!B325),"median", MEDIAN(Instances!B325:Instances!B325),"min", MIN(Instances!B325:Instances!B325),"max", MAX(Instances!B325:Instances!B325),"diff", MAX(Instances!B325:Instances!B325)-MIN(Instances!B325:Instances!B325))</f>
        <v>0</v>
      </c>
      <c r="C325" s="1" cm="1">
        <f t="array" ref="C325">_xlfn.SWITCH($A$2,"average", AVERAGE(Instances!C325:Instances!C325),"median", MEDIAN(Instances!C325:Instances!C325),"min", MIN(Instances!C325:Instances!C325),"max", MAX(Instances!C325:Instances!C325),"diff", MAX(Instances!C325:Instances!C325)-MIN(Instances!C325:Instances!C325))</f>
        <v>0</v>
      </c>
      <c r="D325" s="1" cm="1">
        <f t="array" ref="D325">_xlfn.SWITCH($A$2,"average", AVERAGE(Instances!D325:Instances!D325),"median", MEDIAN(Instances!D325:Instances!D325),"min", MIN(Instances!D325:Instances!D325),"max", MAX(Instances!D325:Instances!D325),"diff", MAX(Instances!D325:Instances!D325)-MIN(Instances!D325:Instances!D325))</f>
        <v>0</v>
      </c>
      <c r="E325" s="1" cm="1">
        <f t="array" ref="E325">_xlfn.SWITCH($A$2,"average", AVERAGE(Instances!E325:Instances!E325),"median", MEDIAN(Instances!E325:Instances!E325),"min", MIN(Instances!E325:Instances!E325),"max", MAX(Instances!E325:Instances!E325),"diff", MAX(Instances!E325:Instances!E325)-MIN(Instances!E325:Instances!E325))</f>
        <v>0</v>
      </c>
      <c r="F325" s="1" cm="1">
        <f t="array" ref="F325">_xlfn.SWITCH($A$2,"average", AVERAGE(Instances!F325:Instances!F325),"median", MEDIAN(Instances!F325:Instances!F325),"min", MIN(Instances!F325:Instances!F325),"max", MAX(Instances!F325:Instances!F325),"diff", MAX(Instances!F325:Instances!F325)-MIN(Instances!F325:Instances!F325))</f>
        <v>0</v>
      </c>
      <c r="G325" s="1" cm="1">
        <f t="array" ref="G325">_xlfn.SWITCH($A$2,"average", AVERAGE(Instances!G325:Instances!G325),"median", MEDIAN(Instances!G325:Instances!G325),"min", MIN(Instances!G325:Instances!G325),"max", MAX(Instances!G325:Instances!G325),"diff", MAX(Instances!G325:Instances!G325)-MIN(Instances!G325:Instances!G325))</f>
        <v>0</v>
      </c>
      <c r="H325" s="1" cm="1">
        <f t="array" ref="H325">_xlfn.SWITCH($A$2,"average", AVERAGE(Instances!H325:Instances!H325),"median", MEDIAN(Instances!H325:Instances!H325),"min", MIN(Instances!H325:Instances!H325),"max", MAX(Instances!H325:Instances!H325),"diff", MAX(Instances!H325:Instances!H325)-MIN(Instances!H325:Instances!H325))</f>
        <v>0</v>
      </c>
      <c r="I325" s="1" cm="1">
        <f t="array" ref="I325">_xlfn.SWITCH($A$2,"average", AVERAGE(Instances!I325:Instances!I325),"median", MEDIAN(Instances!I325:Instances!I325),"min", MIN(Instances!I325:Instances!I325),"max", MAX(Instances!I325:Instances!I325),"diff", MAX(Instances!I325:Instances!I325)-MIN(Instances!I325:Instances!I325))</f>
        <v>0</v>
      </c>
      <c r="J325" s="1" cm="1">
        <f t="array" ref="J325">_xlfn.SWITCH($A$2,"average", AVERAGE(Instances!J325:Instances!J325),"median", MEDIAN(Instances!J325:Instances!J325),"min", MIN(Instances!J325:Instances!J325),"max", MAX(Instances!J325:Instances!J325),"diff", MAX(Instances!J325:Instances!J325)-MIN(Instances!J325:Instances!J325))</f>
        <v>0</v>
      </c>
      <c r="K325" s="1" cm="1">
        <f t="array" ref="K325">_xlfn.SWITCH($A$2,"average", AVERAGE(Instances!K325:Instances!K325),"median", MEDIAN(Instances!K325:Instances!K325),"min", MIN(Instances!K325:Instances!K325),"max", MAX(Instances!K325:Instances!K325),"diff", MAX(Instances!K325:Instances!K325)-MIN(Instances!K325:Instances!K325))</f>
        <v>0</v>
      </c>
      <c r="L325" s="1"/>
      <c r="M325" s="1" cm="1">
        <f t="array" ref="M325">_xlfn.SWITCH($A$2,"average", AVERAGE(Instances!M325:Instances!M325),"median", MEDIAN(Instances!M325:Instances!M325),"min", MIN(Instances!M325:Instances!M325),"max", MAX(Instances!M325:Instances!M325),"diff", MAX(Instances!M325:Instances!M325)-MIN(Instances!M325:Instances!M325))</f>
        <v>0</v>
      </c>
      <c r="N325" s="1" cm="1">
        <f t="array" ref="N325">_xlfn.SWITCH($A$2,"average", AVERAGE(Instances!N325:Instances!N325),"median", MEDIAN(Instances!N325:Instances!N325),"min", MIN(Instances!N325:Instances!N325),"max", MAX(Instances!N325:Instances!N325),"diff", MAX(Instances!N325:Instances!N325)-MIN(Instances!N325:Instances!N325))</f>
        <v>0</v>
      </c>
      <c r="O325" s="1"/>
      <c r="P325" s="1" cm="1">
        <f t="array" ref="P325">_xlfn.SWITCH($A$2,"average", AVERAGE(Instances!P325:Instances!P325),"median", MEDIAN(Instances!P325:Instances!P325),"min", MIN(Instances!P325:Instances!P325),"max", MAX(Instances!P325:Instances!P325),"diff", MAX(Instances!P325:Instances!P325)-MIN(Instances!P325:Instances!P325))</f>
        <v>0</v>
      </c>
      <c r="Q325" s="1" cm="1">
        <f t="array" ref="Q325">_xlfn.SWITCH($A$2,"average", AVERAGE(Instances!Q325:Instances!Q325),"median", MEDIAN(Instances!Q325:Instances!Q325),"min", MIN(Instances!Q325:Instances!Q325),"max", MAX(Instances!Q325:Instances!Q325),"diff", MAX(Instances!Q325:Instances!Q325)-MIN(Instances!Q325:Instances!Q325))</f>
        <v>0</v>
      </c>
      <c r="R325" s="1" cm="1">
        <f t="array" ref="R325">_xlfn.SWITCH($A$2,"average", AVERAGE(Instances!R325:Instances!R325),"median", MEDIAN(Instances!R325:Instances!R325),"min", MIN(Instances!R325:Instances!R325),"max", MAX(Instances!R325:Instances!R325),"diff", MAX(Instances!R325:Instances!R325)-MIN(Instances!R325:Instances!R325))</f>
        <v>0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 cm="1">
        <f t="array" ref="B326">_xlfn.SWITCH($A$2,"average", AVERAGE(Instances!B326:Instances!B326),"median", MEDIAN(Instances!B326:Instances!B326),"min", MIN(Instances!B326:Instances!B326),"max", MAX(Instances!B326:Instances!B326),"diff", MAX(Instances!B326:Instances!B326)-MIN(Instances!B326:Instances!B326))</f>
        <v>0</v>
      </c>
      <c r="C326" s="1" cm="1">
        <f t="array" ref="C326">_xlfn.SWITCH($A$2,"average", AVERAGE(Instances!C326:Instances!C326),"median", MEDIAN(Instances!C326:Instances!C326),"min", MIN(Instances!C326:Instances!C326),"max", MAX(Instances!C326:Instances!C326),"diff", MAX(Instances!C326:Instances!C326)-MIN(Instances!C326:Instances!C326))</f>
        <v>0</v>
      </c>
      <c r="D326" s="1" cm="1">
        <f t="array" ref="D326">_xlfn.SWITCH($A$2,"average", AVERAGE(Instances!D326:Instances!D326),"median", MEDIAN(Instances!D326:Instances!D326),"min", MIN(Instances!D326:Instances!D326),"max", MAX(Instances!D326:Instances!D326),"diff", MAX(Instances!D326:Instances!D326)-MIN(Instances!D326:Instances!D326))</f>
        <v>0</v>
      </c>
      <c r="E326" s="1" cm="1">
        <f t="array" ref="E326">_xlfn.SWITCH($A$2,"average", AVERAGE(Instances!E326:Instances!E326),"median", MEDIAN(Instances!E326:Instances!E326),"min", MIN(Instances!E326:Instances!E326),"max", MAX(Instances!E326:Instances!E326),"diff", MAX(Instances!E326:Instances!E326)-MIN(Instances!E326:Instances!E326))</f>
        <v>0</v>
      </c>
      <c r="F326" s="1" cm="1">
        <f t="array" ref="F326">_xlfn.SWITCH($A$2,"average", AVERAGE(Instances!F326:Instances!F326),"median", MEDIAN(Instances!F326:Instances!F326),"min", MIN(Instances!F326:Instances!F326),"max", MAX(Instances!F326:Instances!F326),"diff", MAX(Instances!F326:Instances!F326)-MIN(Instances!F326:Instances!F326))</f>
        <v>0</v>
      </c>
      <c r="G326" s="1" cm="1">
        <f t="array" ref="G326">_xlfn.SWITCH($A$2,"average", AVERAGE(Instances!G326:Instances!G326),"median", MEDIAN(Instances!G326:Instances!G326),"min", MIN(Instances!G326:Instances!G326),"max", MAX(Instances!G326:Instances!G326),"diff", MAX(Instances!G326:Instances!G326)-MIN(Instances!G326:Instances!G326))</f>
        <v>0</v>
      </c>
      <c r="H326" s="1" cm="1">
        <f t="array" ref="H326">_xlfn.SWITCH($A$2,"average", AVERAGE(Instances!H326:Instances!H326),"median", MEDIAN(Instances!H326:Instances!H326),"min", MIN(Instances!H326:Instances!H326),"max", MAX(Instances!H326:Instances!H326),"diff", MAX(Instances!H326:Instances!H326)-MIN(Instances!H326:Instances!H326))</f>
        <v>0</v>
      </c>
      <c r="I326" s="1" cm="1">
        <f t="array" ref="I326">_xlfn.SWITCH($A$2,"average", AVERAGE(Instances!I326:Instances!I326),"median", MEDIAN(Instances!I326:Instances!I326),"min", MIN(Instances!I326:Instances!I326),"max", MAX(Instances!I326:Instances!I326),"diff", MAX(Instances!I326:Instances!I326)-MIN(Instances!I326:Instances!I326))</f>
        <v>0</v>
      </c>
      <c r="J326" s="1" cm="1">
        <f t="array" ref="J326">_xlfn.SWITCH($A$2,"average", AVERAGE(Instances!J326:Instances!J326),"median", MEDIAN(Instances!J326:Instances!J326),"min", MIN(Instances!J326:Instances!J326),"max", MAX(Instances!J326:Instances!J326),"diff", MAX(Instances!J326:Instances!J326)-MIN(Instances!J326:Instances!J326))</f>
        <v>0</v>
      </c>
      <c r="K326" s="1" cm="1">
        <f t="array" ref="K326">_xlfn.SWITCH($A$2,"average", AVERAGE(Instances!K326:Instances!K326),"median", MEDIAN(Instances!K326:Instances!K326),"min", MIN(Instances!K326:Instances!K326),"max", MAX(Instances!K326:Instances!K326),"diff", MAX(Instances!K326:Instances!K326)-MIN(Instances!K326:Instances!K326))</f>
        <v>0</v>
      </c>
      <c r="L326" s="1"/>
      <c r="M326" s="1" cm="1">
        <f t="array" ref="M326">_xlfn.SWITCH($A$2,"average", AVERAGE(Instances!M326:Instances!M326),"median", MEDIAN(Instances!M326:Instances!M326),"min", MIN(Instances!M326:Instances!M326),"max", MAX(Instances!M326:Instances!M326),"diff", MAX(Instances!M326:Instances!M326)-MIN(Instances!M326:Instances!M326))</f>
        <v>0</v>
      </c>
      <c r="N326" s="1" cm="1">
        <f t="array" ref="N326">_xlfn.SWITCH($A$2,"average", AVERAGE(Instances!N326:Instances!N326),"median", MEDIAN(Instances!N326:Instances!N326),"min", MIN(Instances!N326:Instances!N326),"max", MAX(Instances!N326:Instances!N326),"diff", MAX(Instances!N326:Instances!N326)-MIN(Instances!N326:Instances!N326))</f>
        <v>0</v>
      </c>
      <c r="O326" s="1"/>
      <c r="P326" s="1" cm="1">
        <f t="array" ref="P326">_xlfn.SWITCH($A$2,"average", AVERAGE(Instances!P326:Instances!P326),"median", MEDIAN(Instances!P326:Instances!P326),"min", MIN(Instances!P326:Instances!P326),"max", MAX(Instances!P326:Instances!P326),"diff", MAX(Instances!P326:Instances!P326)-MIN(Instances!P326:Instances!P326))</f>
        <v>0</v>
      </c>
      <c r="Q326" s="1" cm="1">
        <f t="array" ref="Q326">_xlfn.SWITCH($A$2,"average", AVERAGE(Instances!Q326:Instances!Q326),"median", MEDIAN(Instances!Q326:Instances!Q326),"min", MIN(Instances!Q326:Instances!Q326),"max", MAX(Instances!Q326:Instances!Q326),"diff", MAX(Instances!Q326:Instances!Q326)-MIN(Instances!Q326:Instances!Q326))</f>
        <v>0</v>
      </c>
      <c r="R326" s="1" cm="1">
        <f t="array" ref="R326">_xlfn.SWITCH($A$2,"average", AVERAGE(Instances!R326:Instances!R326),"median", MEDIAN(Instances!R326:Instances!R326),"min", MIN(Instances!R326:Instances!R326),"max", MAX(Instances!R326:Instances!R326),"diff", MAX(Instances!R326:Instances!R326)-MIN(Instances!R326:Instances!R326))</f>
        <v>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 cm="1">
        <f t="array" ref="B327">_xlfn.SWITCH($A$2,"average", AVERAGE(Instances!B327:Instances!B327),"median", MEDIAN(Instances!B327:Instances!B327),"min", MIN(Instances!B327:Instances!B327),"max", MAX(Instances!B327:Instances!B327),"diff", MAX(Instances!B327:Instances!B327)-MIN(Instances!B327:Instances!B327))</f>
        <v>0</v>
      </c>
      <c r="C327" s="1" cm="1">
        <f t="array" ref="C327">_xlfn.SWITCH($A$2,"average", AVERAGE(Instances!C327:Instances!C327),"median", MEDIAN(Instances!C327:Instances!C327),"min", MIN(Instances!C327:Instances!C327),"max", MAX(Instances!C327:Instances!C327),"diff", MAX(Instances!C327:Instances!C327)-MIN(Instances!C327:Instances!C327))</f>
        <v>0</v>
      </c>
      <c r="D327" s="1" cm="1">
        <f t="array" ref="D327">_xlfn.SWITCH($A$2,"average", AVERAGE(Instances!D327:Instances!D327),"median", MEDIAN(Instances!D327:Instances!D327),"min", MIN(Instances!D327:Instances!D327),"max", MAX(Instances!D327:Instances!D327),"diff", MAX(Instances!D327:Instances!D327)-MIN(Instances!D327:Instances!D327))</f>
        <v>0</v>
      </c>
      <c r="E327" s="1" cm="1">
        <f t="array" ref="E327">_xlfn.SWITCH($A$2,"average", AVERAGE(Instances!E327:Instances!E327),"median", MEDIAN(Instances!E327:Instances!E327),"min", MIN(Instances!E327:Instances!E327),"max", MAX(Instances!E327:Instances!E327),"diff", MAX(Instances!E327:Instances!E327)-MIN(Instances!E327:Instances!E327))</f>
        <v>0</v>
      </c>
      <c r="F327" s="1" cm="1">
        <f t="array" ref="F327">_xlfn.SWITCH($A$2,"average", AVERAGE(Instances!F327:Instances!F327),"median", MEDIAN(Instances!F327:Instances!F327),"min", MIN(Instances!F327:Instances!F327),"max", MAX(Instances!F327:Instances!F327),"diff", MAX(Instances!F327:Instances!F327)-MIN(Instances!F327:Instances!F327))</f>
        <v>0</v>
      </c>
      <c r="G327" s="1" cm="1">
        <f t="array" ref="G327">_xlfn.SWITCH($A$2,"average", AVERAGE(Instances!G327:Instances!G327),"median", MEDIAN(Instances!G327:Instances!G327),"min", MIN(Instances!G327:Instances!G327),"max", MAX(Instances!G327:Instances!G327),"diff", MAX(Instances!G327:Instances!G327)-MIN(Instances!G327:Instances!G327))</f>
        <v>0</v>
      </c>
      <c r="H327" s="1" cm="1">
        <f t="array" ref="H327">_xlfn.SWITCH($A$2,"average", AVERAGE(Instances!H327:Instances!H327),"median", MEDIAN(Instances!H327:Instances!H327),"min", MIN(Instances!H327:Instances!H327),"max", MAX(Instances!H327:Instances!H327),"diff", MAX(Instances!H327:Instances!H327)-MIN(Instances!H327:Instances!H327))</f>
        <v>0</v>
      </c>
      <c r="I327" s="1" cm="1">
        <f t="array" ref="I327">_xlfn.SWITCH($A$2,"average", AVERAGE(Instances!I327:Instances!I327),"median", MEDIAN(Instances!I327:Instances!I327),"min", MIN(Instances!I327:Instances!I327),"max", MAX(Instances!I327:Instances!I327),"diff", MAX(Instances!I327:Instances!I327)-MIN(Instances!I327:Instances!I327))</f>
        <v>0</v>
      </c>
      <c r="J327" s="1" cm="1">
        <f t="array" ref="J327">_xlfn.SWITCH($A$2,"average", AVERAGE(Instances!J327:Instances!J327),"median", MEDIAN(Instances!J327:Instances!J327),"min", MIN(Instances!J327:Instances!J327),"max", MAX(Instances!J327:Instances!J327),"diff", MAX(Instances!J327:Instances!J327)-MIN(Instances!J327:Instances!J327))</f>
        <v>0</v>
      </c>
      <c r="K327" s="1" cm="1">
        <f t="array" ref="K327">_xlfn.SWITCH($A$2,"average", AVERAGE(Instances!K327:Instances!K327),"median", MEDIAN(Instances!K327:Instances!K327),"min", MIN(Instances!K327:Instances!K327),"max", MAX(Instances!K327:Instances!K327),"diff", MAX(Instances!K327:Instances!K327)-MIN(Instances!K327:Instances!K327))</f>
        <v>0</v>
      </c>
      <c r="L327" s="1"/>
      <c r="M327" s="1" cm="1">
        <f t="array" ref="M327">_xlfn.SWITCH($A$2,"average", AVERAGE(Instances!M327:Instances!M327),"median", MEDIAN(Instances!M327:Instances!M327),"min", MIN(Instances!M327:Instances!M327),"max", MAX(Instances!M327:Instances!M327),"diff", MAX(Instances!M327:Instances!M327)-MIN(Instances!M327:Instances!M327))</f>
        <v>0</v>
      </c>
      <c r="N327" s="1" cm="1">
        <f t="array" ref="N327">_xlfn.SWITCH($A$2,"average", AVERAGE(Instances!N327:Instances!N327),"median", MEDIAN(Instances!N327:Instances!N327),"min", MIN(Instances!N327:Instances!N327),"max", MAX(Instances!N327:Instances!N327),"diff", MAX(Instances!N327:Instances!N327)-MIN(Instances!N327:Instances!N327))</f>
        <v>0</v>
      </c>
      <c r="O327" s="1"/>
      <c r="P327" s="1" cm="1">
        <f t="array" ref="P327">_xlfn.SWITCH($A$2,"average", AVERAGE(Instances!P327:Instances!P327),"median", MEDIAN(Instances!P327:Instances!P327),"min", MIN(Instances!P327:Instances!P327),"max", MAX(Instances!P327:Instances!P327),"diff", MAX(Instances!P327:Instances!P327)-MIN(Instances!P327:Instances!P327))</f>
        <v>0</v>
      </c>
      <c r="Q327" s="1" cm="1">
        <f t="array" ref="Q327">_xlfn.SWITCH($A$2,"average", AVERAGE(Instances!Q327:Instances!Q327),"median", MEDIAN(Instances!Q327:Instances!Q327),"min", MIN(Instances!Q327:Instances!Q327),"max", MAX(Instances!Q327:Instances!Q327),"diff", MAX(Instances!Q327:Instances!Q327)-MIN(Instances!Q327:Instances!Q327))</f>
        <v>0</v>
      </c>
      <c r="R327" s="1" cm="1">
        <f t="array" ref="R327">_xlfn.SWITCH($A$2,"average", AVERAGE(Instances!R327:Instances!R327),"median", MEDIAN(Instances!R327:Instances!R327),"min", MIN(Instances!R327:Instances!R327),"max", MAX(Instances!R327:Instances!R327),"diff", MAX(Instances!R327:Instances!R327)-MIN(Instances!R327:Instances!R327))</f>
        <v>0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 cm="1">
        <f t="array" ref="B328">_xlfn.SWITCH($A$2,"average", AVERAGE(Instances!B328:Instances!B328),"median", MEDIAN(Instances!B328:Instances!B328),"min", MIN(Instances!B328:Instances!B328),"max", MAX(Instances!B328:Instances!B328),"diff", MAX(Instances!B328:Instances!B328)-MIN(Instances!B328:Instances!B328))</f>
        <v>0</v>
      </c>
      <c r="C328" s="1" cm="1">
        <f t="array" ref="C328">_xlfn.SWITCH($A$2,"average", AVERAGE(Instances!C328:Instances!C328),"median", MEDIAN(Instances!C328:Instances!C328),"min", MIN(Instances!C328:Instances!C328),"max", MAX(Instances!C328:Instances!C328),"diff", MAX(Instances!C328:Instances!C328)-MIN(Instances!C328:Instances!C328))</f>
        <v>0</v>
      </c>
      <c r="D328" s="1" cm="1">
        <f t="array" ref="D328">_xlfn.SWITCH($A$2,"average", AVERAGE(Instances!D328:Instances!D328),"median", MEDIAN(Instances!D328:Instances!D328),"min", MIN(Instances!D328:Instances!D328),"max", MAX(Instances!D328:Instances!D328),"diff", MAX(Instances!D328:Instances!D328)-MIN(Instances!D328:Instances!D328))</f>
        <v>0</v>
      </c>
      <c r="E328" s="1" cm="1">
        <f t="array" ref="E328">_xlfn.SWITCH($A$2,"average", AVERAGE(Instances!E328:Instances!E328),"median", MEDIAN(Instances!E328:Instances!E328),"min", MIN(Instances!E328:Instances!E328),"max", MAX(Instances!E328:Instances!E328),"diff", MAX(Instances!E328:Instances!E328)-MIN(Instances!E328:Instances!E328))</f>
        <v>0</v>
      </c>
      <c r="F328" s="1" cm="1">
        <f t="array" ref="F328">_xlfn.SWITCH($A$2,"average", AVERAGE(Instances!F328:Instances!F328),"median", MEDIAN(Instances!F328:Instances!F328),"min", MIN(Instances!F328:Instances!F328),"max", MAX(Instances!F328:Instances!F328),"diff", MAX(Instances!F328:Instances!F328)-MIN(Instances!F328:Instances!F328))</f>
        <v>0</v>
      </c>
      <c r="G328" s="1" cm="1">
        <f t="array" ref="G328">_xlfn.SWITCH($A$2,"average", AVERAGE(Instances!G328:Instances!G328),"median", MEDIAN(Instances!G328:Instances!G328),"min", MIN(Instances!G328:Instances!G328),"max", MAX(Instances!G328:Instances!G328),"diff", MAX(Instances!G328:Instances!G328)-MIN(Instances!G328:Instances!G328))</f>
        <v>0</v>
      </c>
      <c r="H328" s="1" cm="1">
        <f t="array" ref="H328">_xlfn.SWITCH($A$2,"average", AVERAGE(Instances!H328:Instances!H328),"median", MEDIAN(Instances!H328:Instances!H328),"min", MIN(Instances!H328:Instances!H328),"max", MAX(Instances!H328:Instances!H328),"diff", MAX(Instances!H328:Instances!H328)-MIN(Instances!H328:Instances!H328))</f>
        <v>0</v>
      </c>
      <c r="I328" s="1" cm="1">
        <f t="array" ref="I328">_xlfn.SWITCH($A$2,"average", AVERAGE(Instances!I328:Instances!I328),"median", MEDIAN(Instances!I328:Instances!I328),"min", MIN(Instances!I328:Instances!I328),"max", MAX(Instances!I328:Instances!I328),"diff", MAX(Instances!I328:Instances!I328)-MIN(Instances!I328:Instances!I328))</f>
        <v>0</v>
      </c>
      <c r="J328" s="1" cm="1">
        <f t="array" ref="J328">_xlfn.SWITCH($A$2,"average", AVERAGE(Instances!J328:Instances!J328),"median", MEDIAN(Instances!J328:Instances!J328),"min", MIN(Instances!J328:Instances!J328),"max", MAX(Instances!J328:Instances!J328),"diff", MAX(Instances!J328:Instances!J328)-MIN(Instances!J328:Instances!J328))</f>
        <v>0</v>
      </c>
      <c r="K328" s="1" cm="1">
        <f t="array" ref="K328">_xlfn.SWITCH($A$2,"average", AVERAGE(Instances!K328:Instances!K328),"median", MEDIAN(Instances!K328:Instances!K328),"min", MIN(Instances!K328:Instances!K328),"max", MAX(Instances!K328:Instances!K328),"diff", MAX(Instances!K328:Instances!K328)-MIN(Instances!K328:Instances!K328))</f>
        <v>0</v>
      </c>
      <c r="L328" s="1"/>
      <c r="M328" s="1" cm="1">
        <f t="array" ref="M328">_xlfn.SWITCH($A$2,"average", AVERAGE(Instances!M328:Instances!M328),"median", MEDIAN(Instances!M328:Instances!M328),"min", MIN(Instances!M328:Instances!M328),"max", MAX(Instances!M328:Instances!M328),"diff", MAX(Instances!M328:Instances!M328)-MIN(Instances!M328:Instances!M328))</f>
        <v>0</v>
      </c>
      <c r="N328" s="1" cm="1">
        <f t="array" ref="N328">_xlfn.SWITCH($A$2,"average", AVERAGE(Instances!N328:Instances!N328),"median", MEDIAN(Instances!N328:Instances!N328),"min", MIN(Instances!N328:Instances!N328),"max", MAX(Instances!N328:Instances!N328),"diff", MAX(Instances!N328:Instances!N328)-MIN(Instances!N328:Instances!N328))</f>
        <v>0</v>
      </c>
      <c r="O328" s="1"/>
      <c r="P328" s="1" cm="1">
        <f t="array" ref="P328">_xlfn.SWITCH($A$2,"average", AVERAGE(Instances!P328:Instances!P328),"median", MEDIAN(Instances!P328:Instances!P328),"min", MIN(Instances!P328:Instances!P328),"max", MAX(Instances!P328:Instances!P328),"diff", MAX(Instances!P328:Instances!P328)-MIN(Instances!P328:Instances!P328))</f>
        <v>0</v>
      </c>
      <c r="Q328" s="1" cm="1">
        <f t="array" ref="Q328">_xlfn.SWITCH($A$2,"average", AVERAGE(Instances!Q328:Instances!Q328),"median", MEDIAN(Instances!Q328:Instances!Q328),"min", MIN(Instances!Q328:Instances!Q328),"max", MAX(Instances!Q328:Instances!Q328),"diff", MAX(Instances!Q328:Instances!Q328)-MIN(Instances!Q328:Instances!Q328))</f>
        <v>0</v>
      </c>
      <c r="R328" s="1" cm="1">
        <f t="array" ref="R328">_xlfn.SWITCH($A$2,"average", AVERAGE(Instances!R328:Instances!R328),"median", MEDIAN(Instances!R328:Instances!R328),"min", MIN(Instances!R328:Instances!R328),"max", MAX(Instances!R328:Instances!R328),"diff", MAX(Instances!R328:Instances!R328)-MIN(Instances!R328:Instances!R328))</f>
        <v>0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 cm="1">
        <f t="array" ref="B329">_xlfn.SWITCH($A$2,"average", AVERAGE(Instances!B329:Instances!B329),"median", MEDIAN(Instances!B329:Instances!B329),"min", MIN(Instances!B329:Instances!B329),"max", MAX(Instances!B329:Instances!B329),"diff", MAX(Instances!B329:Instances!B329)-MIN(Instances!B329:Instances!B329))</f>
        <v>0</v>
      </c>
      <c r="C329" s="1" cm="1">
        <f t="array" ref="C329">_xlfn.SWITCH($A$2,"average", AVERAGE(Instances!C329:Instances!C329),"median", MEDIAN(Instances!C329:Instances!C329),"min", MIN(Instances!C329:Instances!C329),"max", MAX(Instances!C329:Instances!C329),"diff", MAX(Instances!C329:Instances!C329)-MIN(Instances!C329:Instances!C329))</f>
        <v>0</v>
      </c>
      <c r="D329" s="1" cm="1">
        <f t="array" ref="D329">_xlfn.SWITCH($A$2,"average", AVERAGE(Instances!D329:Instances!D329),"median", MEDIAN(Instances!D329:Instances!D329),"min", MIN(Instances!D329:Instances!D329),"max", MAX(Instances!D329:Instances!D329),"diff", MAX(Instances!D329:Instances!D329)-MIN(Instances!D329:Instances!D329))</f>
        <v>0</v>
      </c>
      <c r="E329" s="1" cm="1">
        <f t="array" ref="E329">_xlfn.SWITCH($A$2,"average", AVERAGE(Instances!E329:Instances!E329),"median", MEDIAN(Instances!E329:Instances!E329),"min", MIN(Instances!E329:Instances!E329),"max", MAX(Instances!E329:Instances!E329),"diff", MAX(Instances!E329:Instances!E329)-MIN(Instances!E329:Instances!E329))</f>
        <v>0</v>
      </c>
      <c r="F329" s="1" cm="1">
        <f t="array" ref="F329">_xlfn.SWITCH($A$2,"average", AVERAGE(Instances!F329:Instances!F329),"median", MEDIAN(Instances!F329:Instances!F329),"min", MIN(Instances!F329:Instances!F329),"max", MAX(Instances!F329:Instances!F329),"diff", MAX(Instances!F329:Instances!F329)-MIN(Instances!F329:Instances!F329))</f>
        <v>0</v>
      </c>
      <c r="G329" s="1" cm="1">
        <f t="array" ref="G329">_xlfn.SWITCH($A$2,"average", AVERAGE(Instances!G329:Instances!G329),"median", MEDIAN(Instances!G329:Instances!G329),"min", MIN(Instances!G329:Instances!G329),"max", MAX(Instances!G329:Instances!G329),"diff", MAX(Instances!G329:Instances!G329)-MIN(Instances!G329:Instances!G329))</f>
        <v>0</v>
      </c>
      <c r="H329" s="1" cm="1">
        <f t="array" ref="H329">_xlfn.SWITCH($A$2,"average", AVERAGE(Instances!H329:Instances!H329),"median", MEDIAN(Instances!H329:Instances!H329),"min", MIN(Instances!H329:Instances!H329),"max", MAX(Instances!H329:Instances!H329),"diff", MAX(Instances!H329:Instances!H329)-MIN(Instances!H329:Instances!H329))</f>
        <v>0</v>
      </c>
      <c r="I329" s="1" cm="1">
        <f t="array" ref="I329">_xlfn.SWITCH($A$2,"average", AVERAGE(Instances!I329:Instances!I329),"median", MEDIAN(Instances!I329:Instances!I329),"min", MIN(Instances!I329:Instances!I329),"max", MAX(Instances!I329:Instances!I329),"diff", MAX(Instances!I329:Instances!I329)-MIN(Instances!I329:Instances!I329))</f>
        <v>0</v>
      </c>
      <c r="J329" s="1" cm="1">
        <f t="array" ref="J329">_xlfn.SWITCH($A$2,"average", AVERAGE(Instances!J329:Instances!J329),"median", MEDIAN(Instances!J329:Instances!J329),"min", MIN(Instances!J329:Instances!J329),"max", MAX(Instances!J329:Instances!J329),"diff", MAX(Instances!J329:Instances!J329)-MIN(Instances!J329:Instances!J329))</f>
        <v>0</v>
      </c>
      <c r="K329" s="1" cm="1">
        <f t="array" ref="K329">_xlfn.SWITCH($A$2,"average", AVERAGE(Instances!K329:Instances!K329),"median", MEDIAN(Instances!K329:Instances!K329),"min", MIN(Instances!K329:Instances!K329),"max", MAX(Instances!K329:Instances!K329),"diff", MAX(Instances!K329:Instances!K329)-MIN(Instances!K329:Instances!K329))</f>
        <v>0</v>
      </c>
      <c r="L329" s="1"/>
      <c r="M329" s="1" cm="1">
        <f t="array" ref="M329">_xlfn.SWITCH($A$2,"average", AVERAGE(Instances!M329:Instances!M329),"median", MEDIAN(Instances!M329:Instances!M329),"min", MIN(Instances!M329:Instances!M329),"max", MAX(Instances!M329:Instances!M329),"diff", MAX(Instances!M329:Instances!M329)-MIN(Instances!M329:Instances!M329))</f>
        <v>0</v>
      </c>
      <c r="N329" s="1" cm="1">
        <f t="array" ref="N329">_xlfn.SWITCH($A$2,"average", AVERAGE(Instances!N329:Instances!N329),"median", MEDIAN(Instances!N329:Instances!N329),"min", MIN(Instances!N329:Instances!N329),"max", MAX(Instances!N329:Instances!N329),"diff", MAX(Instances!N329:Instances!N329)-MIN(Instances!N329:Instances!N329))</f>
        <v>0</v>
      </c>
      <c r="O329" s="1"/>
      <c r="P329" s="1" cm="1">
        <f t="array" ref="P329">_xlfn.SWITCH($A$2,"average", AVERAGE(Instances!P329:Instances!P329),"median", MEDIAN(Instances!P329:Instances!P329),"min", MIN(Instances!P329:Instances!P329),"max", MAX(Instances!P329:Instances!P329),"diff", MAX(Instances!P329:Instances!P329)-MIN(Instances!P329:Instances!P329))</f>
        <v>0</v>
      </c>
      <c r="Q329" s="1" cm="1">
        <f t="array" ref="Q329">_xlfn.SWITCH($A$2,"average", AVERAGE(Instances!Q329:Instances!Q329),"median", MEDIAN(Instances!Q329:Instances!Q329),"min", MIN(Instances!Q329:Instances!Q329),"max", MAX(Instances!Q329:Instances!Q329),"diff", MAX(Instances!Q329:Instances!Q329)-MIN(Instances!Q329:Instances!Q329))</f>
        <v>0</v>
      </c>
      <c r="R329" s="1" cm="1">
        <f t="array" ref="R329">_xlfn.SWITCH($A$2,"average", AVERAGE(Instances!R329:Instances!R329),"median", MEDIAN(Instances!R329:Instances!R329),"min", MIN(Instances!R329:Instances!R329),"max", MAX(Instances!R329:Instances!R329),"diff", MAX(Instances!R329:Instances!R329)-MIN(Instances!R329:Instances!R329))</f>
        <v>0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 cm="1">
        <f t="array" ref="B330">_xlfn.SWITCH($A$2,"average", AVERAGE(Instances!B330:Instances!B330),"median", MEDIAN(Instances!B330:Instances!B330),"min", MIN(Instances!B330:Instances!B330),"max", MAX(Instances!B330:Instances!B330),"diff", MAX(Instances!B330:Instances!B330)-MIN(Instances!B330:Instances!B330))</f>
        <v>0</v>
      </c>
      <c r="C330" s="1" cm="1">
        <f t="array" ref="C330">_xlfn.SWITCH($A$2,"average", AVERAGE(Instances!C330:Instances!C330),"median", MEDIAN(Instances!C330:Instances!C330),"min", MIN(Instances!C330:Instances!C330),"max", MAX(Instances!C330:Instances!C330),"diff", MAX(Instances!C330:Instances!C330)-MIN(Instances!C330:Instances!C330))</f>
        <v>0</v>
      </c>
      <c r="D330" s="1" cm="1">
        <f t="array" ref="D330">_xlfn.SWITCH($A$2,"average", AVERAGE(Instances!D330:Instances!D330),"median", MEDIAN(Instances!D330:Instances!D330),"min", MIN(Instances!D330:Instances!D330),"max", MAX(Instances!D330:Instances!D330),"diff", MAX(Instances!D330:Instances!D330)-MIN(Instances!D330:Instances!D330))</f>
        <v>0</v>
      </c>
      <c r="E330" s="1" cm="1">
        <f t="array" ref="E330">_xlfn.SWITCH($A$2,"average", AVERAGE(Instances!E330:Instances!E330),"median", MEDIAN(Instances!E330:Instances!E330),"min", MIN(Instances!E330:Instances!E330),"max", MAX(Instances!E330:Instances!E330),"diff", MAX(Instances!E330:Instances!E330)-MIN(Instances!E330:Instances!E330))</f>
        <v>0</v>
      </c>
      <c r="F330" s="1" cm="1">
        <f t="array" ref="F330">_xlfn.SWITCH($A$2,"average", AVERAGE(Instances!F330:Instances!F330),"median", MEDIAN(Instances!F330:Instances!F330),"min", MIN(Instances!F330:Instances!F330),"max", MAX(Instances!F330:Instances!F330),"diff", MAX(Instances!F330:Instances!F330)-MIN(Instances!F330:Instances!F330))</f>
        <v>0</v>
      </c>
      <c r="G330" s="1" cm="1">
        <f t="array" ref="G330">_xlfn.SWITCH($A$2,"average", AVERAGE(Instances!G330:Instances!G330),"median", MEDIAN(Instances!G330:Instances!G330),"min", MIN(Instances!G330:Instances!G330),"max", MAX(Instances!G330:Instances!G330),"diff", MAX(Instances!G330:Instances!G330)-MIN(Instances!G330:Instances!G330))</f>
        <v>0</v>
      </c>
      <c r="H330" s="1" cm="1">
        <f t="array" ref="H330">_xlfn.SWITCH($A$2,"average", AVERAGE(Instances!H330:Instances!H330),"median", MEDIAN(Instances!H330:Instances!H330),"min", MIN(Instances!H330:Instances!H330),"max", MAX(Instances!H330:Instances!H330),"diff", MAX(Instances!H330:Instances!H330)-MIN(Instances!H330:Instances!H330))</f>
        <v>0</v>
      </c>
      <c r="I330" s="1" cm="1">
        <f t="array" ref="I330">_xlfn.SWITCH($A$2,"average", AVERAGE(Instances!I330:Instances!I330),"median", MEDIAN(Instances!I330:Instances!I330),"min", MIN(Instances!I330:Instances!I330),"max", MAX(Instances!I330:Instances!I330),"diff", MAX(Instances!I330:Instances!I330)-MIN(Instances!I330:Instances!I330))</f>
        <v>0</v>
      </c>
      <c r="J330" s="1" cm="1">
        <f t="array" ref="J330">_xlfn.SWITCH($A$2,"average", AVERAGE(Instances!J330:Instances!J330),"median", MEDIAN(Instances!J330:Instances!J330),"min", MIN(Instances!J330:Instances!J330),"max", MAX(Instances!J330:Instances!J330),"diff", MAX(Instances!J330:Instances!J330)-MIN(Instances!J330:Instances!J330))</f>
        <v>0</v>
      </c>
      <c r="K330" s="1" cm="1">
        <f t="array" ref="K330">_xlfn.SWITCH($A$2,"average", AVERAGE(Instances!K330:Instances!K330),"median", MEDIAN(Instances!K330:Instances!K330),"min", MIN(Instances!K330:Instances!K330),"max", MAX(Instances!K330:Instances!K330),"diff", MAX(Instances!K330:Instances!K330)-MIN(Instances!K330:Instances!K330))</f>
        <v>0</v>
      </c>
      <c r="L330" s="1"/>
      <c r="M330" s="1" cm="1">
        <f t="array" ref="M330">_xlfn.SWITCH($A$2,"average", AVERAGE(Instances!M330:Instances!M330),"median", MEDIAN(Instances!M330:Instances!M330),"min", MIN(Instances!M330:Instances!M330),"max", MAX(Instances!M330:Instances!M330),"diff", MAX(Instances!M330:Instances!M330)-MIN(Instances!M330:Instances!M330))</f>
        <v>0</v>
      </c>
      <c r="N330" s="1" cm="1">
        <f t="array" ref="N330">_xlfn.SWITCH($A$2,"average", AVERAGE(Instances!N330:Instances!N330),"median", MEDIAN(Instances!N330:Instances!N330),"min", MIN(Instances!N330:Instances!N330),"max", MAX(Instances!N330:Instances!N330),"diff", MAX(Instances!N330:Instances!N330)-MIN(Instances!N330:Instances!N330))</f>
        <v>0</v>
      </c>
      <c r="O330" s="1"/>
      <c r="P330" s="1" cm="1">
        <f t="array" ref="P330">_xlfn.SWITCH($A$2,"average", AVERAGE(Instances!P330:Instances!P330),"median", MEDIAN(Instances!P330:Instances!P330),"min", MIN(Instances!P330:Instances!P330),"max", MAX(Instances!P330:Instances!P330),"diff", MAX(Instances!P330:Instances!P330)-MIN(Instances!P330:Instances!P330))</f>
        <v>0</v>
      </c>
      <c r="Q330" s="1" cm="1">
        <f t="array" ref="Q330">_xlfn.SWITCH($A$2,"average", AVERAGE(Instances!Q330:Instances!Q330),"median", MEDIAN(Instances!Q330:Instances!Q330),"min", MIN(Instances!Q330:Instances!Q330),"max", MAX(Instances!Q330:Instances!Q330),"diff", MAX(Instances!Q330:Instances!Q330)-MIN(Instances!Q330:Instances!Q330))</f>
        <v>0</v>
      </c>
      <c r="R330" s="1" cm="1">
        <f t="array" ref="R330">_xlfn.SWITCH($A$2,"average", AVERAGE(Instances!R330:Instances!R330),"median", MEDIAN(Instances!R330:Instances!R330),"min", MIN(Instances!R330:Instances!R330),"max", MAX(Instances!R330:Instances!R330),"diff", MAX(Instances!R330:Instances!R330)-MIN(Instances!R330:Instances!R330))</f>
        <v>0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 cm="1">
        <f t="array" ref="B331">_xlfn.SWITCH($A$2,"average", AVERAGE(Instances!B331:Instances!B331),"median", MEDIAN(Instances!B331:Instances!B331),"min", MIN(Instances!B331:Instances!B331),"max", MAX(Instances!B331:Instances!B331),"diff", MAX(Instances!B331:Instances!B331)-MIN(Instances!B331:Instances!B331))</f>
        <v>0</v>
      </c>
      <c r="C331" s="1" cm="1">
        <f t="array" ref="C331">_xlfn.SWITCH($A$2,"average", AVERAGE(Instances!C331:Instances!C331),"median", MEDIAN(Instances!C331:Instances!C331),"min", MIN(Instances!C331:Instances!C331),"max", MAX(Instances!C331:Instances!C331),"diff", MAX(Instances!C331:Instances!C331)-MIN(Instances!C331:Instances!C331))</f>
        <v>0</v>
      </c>
      <c r="D331" s="1" cm="1">
        <f t="array" ref="D331">_xlfn.SWITCH($A$2,"average", AVERAGE(Instances!D331:Instances!D331),"median", MEDIAN(Instances!D331:Instances!D331),"min", MIN(Instances!D331:Instances!D331),"max", MAX(Instances!D331:Instances!D331),"diff", MAX(Instances!D331:Instances!D331)-MIN(Instances!D331:Instances!D331))</f>
        <v>0</v>
      </c>
      <c r="E331" s="1" cm="1">
        <f t="array" ref="E331">_xlfn.SWITCH($A$2,"average", AVERAGE(Instances!E331:Instances!E331),"median", MEDIAN(Instances!E331:Instances!E331),"min", MIN(Instances!E331:Instances!E331),"max", MAX(Instances!E331:Instances!E331),"diff", MAX(Instances!E331:Instances!E331)-MIN(Instances!E331:Instances!E331))</f>
        <v>0</v>
      </c>
      <c r="F331" s="1" cm="1">
        <f t="array" ref="F331">_xlfn.SWITCH($A$2,"average", AVERAGE(Instances!F331:Instances!F331),"median", MEDIAN(Instances!F331:Instances!F331),"min", MIN(Instances!F331:Instances!F331),"max", MAX(Instances!F331:Instances!F331),"diff", MAX(Instances!F331:Instances!F331)-MIN(Instances!F331:Instances!F331))</f>
        <v>0</v>
      </c>
      <c r="G331" s="1" cm="1">
        <f t="array" ref="G331">_xlfn.SWITCH($A$2,"average", AVERAGE(Instances!G331:Instances!G331),"median", MEDIAN(Instances!G331:Instances!G331),"min", MIN(Instances!G331:Instances!G331),"max", MAX(Instances!G331:Instances!G331),"diff", MAX(Instances!G331:Instances!G331)-MIN(Instances!G331:Instances!G331))</f>
        <v>0</v>
      </c>
      <c r="H331" s="1" cm="1">
        <f t="array" ref="H331">_xlfn.SWITCH($A$2,"average", AVERAGE(Instances!H331:Instances!H331),"median", MEDIAN(Instances!H331:Instances!H331),"min", MIN(Instances!H331:Instances!H331),"max", MAX(Instances!H331:Instances!H331),"diff", MAX(Instances!H331:Instances!H331)-MIN(Instances!H331:Instances!H331))</f>
        <v>0</v>
      </c>
      <c r="I331" s="1" cm="1">
        <f t="array" ref="I331">_xlfn.SWITCH($A$2,"average", AVERAGE(Instances!I331:Instances!I331),"median", MEDIAN(Instances!I331:Instances!I331),"min", MIN(Instances!I331:Instances!I331),"max", MAX(Instances!I331:Instances!I331),"diff", MAX(Instances!I331:Instances!I331)-MIN(Instances!I331:Instances!I331))</f>
        <v>0</v>
      </c>
      <c r="J331" s="1" cm="1">
        <f t="array" ref="J331">_xlfn.SWITCH($A$2,"average", AVERAGE(Instances!J331:Instances!J331),"median", MEDIAN(Instances!J331:Instances!J331),"min", MIN(Instances!J331:Instances!J331),"max", MAX(Instances!J331:Instances!J331),"diff", MAX(Instances!J331:Instances!J331)-MIN(Instances!J331:Instances!J331))</f>
        <v>0</v>
      </c>
      <c r="K331" s="1" cm="1">
        <f t="array" ref="K331">_xlfn.SWITCH($A$2,"average", AVERAGE(Instances!K331:Instances!K331),"median", MEDIAN(Instances!K331:Instances!K331),"min", MIN(Instances!K331:Instances!K331),"max", MAX(Instances!K331:Instances!K331),"diff", MAX(Instances!K331:Instances!K331)-MIN(Instances!K331:Instances!K331))</f>
        <v>0</v>
      </c>
      <c r="L331" s="1"/>
      <c r="M331" s="1" cm="1">
        <f t="array" ref="M331">_xlfn.SWITCH($A$2,"average", AVERAGE(Instances!M331:Instances!M331),"median", MEDIAN(Instances!M331:Instances!M331),"min", MIN(Instances!M331:Instances!M331),"max", MAX(Instances!M331:Instances!M331),"diff", MAX(Instances!M331:Instances!M331)-MIN(Instances!M331:Instances!M331))</f>
        <v>0</v>
      </c>
      <c r="N331" s="1" cm="1">
        <f t="array" ref="N331">_xlfn.SWITCH($A$2,"average", AVERAGE(Instances!N331:Instances!N331),"median", MEDIAN(Instances!N331:Instances!N331),"min", MIN(Instances!N331:Instances!N331),"max", MAX(Instances!N331:Instances!N331),"diff", MAX(Instances!N331:Instances!N331)-MIN(Instances!N331:Instances!N331))</f>
        <v>0</v>
      </c>
      <c r="O331" s="1"/>
      <c r="P331" s="1" cm="1">
        <f t="array" ref="P331">_xlfn.SWITCH($A$2,"average", AVERAGE(Instances!P331:Instances!P331),"median", MEDIAN(Instances!P331:Instances!P331),"min", MIN(Instances!P331:Instances!P331),"max", MAX(Instances!P331:Instances!P331),"diff", MAX(Instances!P331:Instances!P331)-MIN(Instances!P331:Instances!P331))</f>
        <v>0</v>
      </c>
      <c r="Q331" s="1" cm="1">
        <f t="array" ref="Q331">_xlfn.SWITCH($A$2,"average", AVERAGE(Instances!Q331:Instances!Q331),"median", MEDIAN(Instances!Q331:Instances!Q331),"min", MIN(Instances!Q331:Instances!Q331),"max", MAX(Instances!Q331:Instances!Q331),"diff", MAX(Instances!Q331:Instances!Q331)-MIN(Instances!Q331:Instances!Q331))</f>
        <v>0</v>
      </c>
      <c r="R331" s="1" cm="1">
        <f t="array" ref="R331">_xlfn.SWITCH($A$2,"average", AVERAGE(Instances!R331:Instances!R331),"median", MEDIAN(Instances!R331:Instances!R331),"min", MIN(Instances!R331:Instances!R331),"max", MAX(Instances!R331:Instances!R331),"diff", MAX(Instances!R331:Instances!R331)-MIN(Instances!R331:Instances!R331))</f>
        <v>0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 cm="1">
        <f t="array" ref="B332">_xlfn.SWITCH($A$2,"average", AVERAGE(Instances!B332:Instances!B332),"median", MEDIAN(Instances!B332:Instances!B332),"min", MIN(Instances!B332:Instances!B332),"max", MAX(Instances!B332:Instances!B332),"diff", MAX(Instances!B332:Instances!B332)-MIN(Instances!B332:Instances!B332))</f>
        <v>0</v>
      </c>
      <c r="C332" s="1" cm="1">
        <f t="array" ref="C332">_xlfn.SWITCH($A$2,"average", AVERAGE(Instances!C332:Instances!C332),"median", MEDIAN(Instances!C332:Instances!C332),"min", MIN(Instances!C332:Instances!C332),"max", MAX(Instances!C332:Instances!C332),"diff", MAX(Instances!C332:Instances!C332)-MIN(Instances!C332:Instances!C332))</f>
        <v>0</v>
      </c>
      <c r="D332" s="1" cm="1">
        <f t="array" ref="D332">_xlfn.SWITCH($A$2,"average", AVERAGE(Instances!D332:Instances!D332),"median", MEDIAN(Instances!D332:Instances!D332),"min", MIN(Instances!D332:Instances!D332),"max", MAX(Instances!D332:Instances!D332),"diff", MAX(Instances!D332:Instances!D332)-MIN(Instances!D332:Instances!D332))</f>
        <v>0</v>
      </c>
      <c r="E332" s="1" cm="1">
        <f t="array" ref="E332">_xlfn.SWITCH($A$2,"average", AVERAGE(Instances!E332:Instances!E332),"median", MEDIAN(Instances!E332:Instances!E332),"min", MIN(Instances!E332:Instances!E332),"max", MAX(Instances!E332:Instances!E332),"diff", MAX(Instances!E332:Instances!E332)-MIN(Instances!E332:Instances!E332))</f>
        <v>0</v>
      </c>
      <c r="F332" s="1" cm="1">
        <f t="array" ref="F332">_xlfn.SWITCH($A$2,"average", AVERAGE(Instances!F332:Instances!F332),"median", MEDIAN(Instances!F332:Instances!F332),"min", MIN(Instances!F332:Instances!F332),"max", MAX(Instances!F332:Instances!F332),"diff", MAX(Instances!F332:Instances!F332)-MIN(Instances!F332:Instances!F332))</f>
        <v>0</v>
      </c>
      <c r="G332" s="1" cm="1">
        <f t="array" ref="G332">_xlfn.SWITCH($A$2,"average", AVERAGE(Instances!G332:Instances!G332),"median", MEDIAN(Instances!G332:Instances!G332),"min", MIN(Instances!G332:Instances!G332),"max", MAX(Instances!G332:Instances!G332),"diff", MAX(Instances!G332:Instances!G332)-MIN(Instances!G332:Instances!G332))</f>
        <v>0</v>
      </c>
      <c r="H332" s="1" cm="1">
        <f t="array" ref="H332">_xlfn.SWITCH($A$2,"average", AVERAGE(Instances!H332:Instances!H332),"median", MEDIAN(Instances!H332:Instances!H332),"min", MIN(Instances!H332:Instances!H332),"max", MAX(Instances!H332:Instances!H332),"diff", MAX(Instances!H332:Instances!H332)-MIN(Instances!H332:Instances!H332))</f>
        <v>0</v>
      </c>
      <c r="I332" s="1" cm="1">
        <f t="array" ref="I332">_xlfn.SWITCH($A$2,"average", AVERAGE(Instances!I332:Instances!I332),"median", MEDIAN(Instances!I332:Instances!I332),"min", MIN(Instances!I332:Instances!I332),"max", MAX(Instances!I332:Instances!I332),"diff", MAX(Instances!I332:Instances!I332)-MIN(Instances!I332:Instances!I332))</f>
        <v>0</v>
      </c>
      <c r="J332" s="1" cm="1">
        <f t="array" ref="J332">_xlfn.SWITCH($A$2,"average", AVERAGE(Instances!J332:Instances!J332),"median", MEDIAN(Instances!J332:Instances!J332),"min", MIN(Instances!J332:Instances!J332),"max", MAX(Instances!J332:Instances!J332),"diff", MAX(Instances!J332:Instances!J332)-MIN(Instances!J332:Instances!J332))</f>
        <v>0</v>
      </c>
      <c r="K332" s="1" cm="1">
        <f t="array" ref="K332">_xlfn.SWITCH($A$2,"average", AVERAGE(Instances!K332:Instances!K332),"median", MEDIAN(Instances!K332:Instances!K332),"min", MIN(Instances!K332:Instances!K332),"max", MAX(Instances!K332:Instances!K332),"diff", MAX(Instances!K332:Instances!K332)-MIN(Instances!K332:Instances!K332))</f>
        <v>0</v>
      </c>
      <c r="L332" s="1"/>
      <c r="M332" s="1" cm="1">
        <f t="array" ref="M332">_xlfn.SWITCH($A$2,"average", AVERAGE(Instances!M332:Instances!M332),"median", MEDIAN(Instances!M332:Instances!M332),"min", MIN(Instances!M332:Instances!M332),"max", MAX(Instances!M332:Instances!M332),"diff", MAX(Instances!M332:Instances!M332)-MIN(Instances!M332:Instances!M332))</f>
        <v>0</v>
      </c>
      <c r="N332" s="1" cm="1">
        <f t="array" ref="N332">_xlfn.SWITCH($A$2,"average", AVERAGE(Instances!N332:Instances!N332),"median", MEDIAN(Instances!N332:Instances!N332),"min", MIN(Instances!N332:Instances!N332),"max", MAX(Instances!N332:Instances!N332),"diff", MAX(Instances!N332:Instances!N332)-MIN(Instances!N332:Instances!N332))</f>
        <v>0</v>
      </c>
      <c r="O332" s="1"/>
      <c r="P332" s="1" cm="1">
        <f t="array" ref="P332">_xlfn.SWITCH($A$2,"average", AVERAGE(Instances!P332:Instances!P332),"median", MEDIAN(Instances!P332:Instances!P332),"min", MIN(Instances!P332:Instances!P332),"max", MAX(Instances!P332:Instances!P332),"diff", MAX(Instances!P332:Instances!P332)-MIN(Instances!P332:Instances!P332))</f>
        <v>0</v>
      </c>
      <c r="Q332" s="1" cm="1">
        <f t="array" ref="Q332">_xlfn.SWITCH($A$2,"average", AVERAGE(Instances!Q332:Instances!Q332),"median", MEDIAN(Instances!Q332:Instances!Q332),"min", MIN(Instances!Q332:Instances!Q332),"max", MAX(Instances!Q332:Instances!Q332),"diff", MAX(Instances!Q332:Instances!Q332)-MIN(Instances!Q332:Instances!Q332))</f>
        <v>0</v>
      </c>
      <c r="R332" s="1" cm="1">
        <f t="array" ref="R332">_xlfn.SWITCH($A$2,"average", AVERAGE(Instances!R332:Instances!R332),"median", MEDIAN(Instances!R332:Instances!R332),"min", MIN(Instances!R332:Instances!R332),"max", MAX(Instances!R332:Instances!R332),"diff", MAX(Instances!R332:Instances!R332)-MIN(Instances!R332:Instances!R332))</f>
        <v>0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 cm="1">
        <f t="array" ref="B333">_xlfn.SWITCH($A$2,"average", AVERAGE(Instances!B333:Instances!B333),"median", MEDIAN(Instances!B333:Instances!B333),"min", MIN(Instances!B333:Instances!B333),"max", MAX(Instances!B333:Instances!B333),"diff", MAX(Instances!B333:Instances!B333)-MIN(Instances!B333:Instances!B333))</f>
        <v>0</v>
      </c>
      <c r="C333" s="1" cm="1">
        <f t="array" ref="C333">_xlfn.SWITCH($A$2,"average", AVERAGE(Instances!C333:Instances!C333),"median", MEDIAN(Instances!C333:Instances!C333),"min", MIN(Instances!C333:Instances!C333),"max", MAX(Instances!C333:Instances!C333),"diff", MAX(Instances!C333:Instances!C333)-MIN(Instances!C333:Instances!C333))</f>
        <v>0</v>
      </c>
      <c r="D333" s="1" cm="1">
        <f t="array" ref="D333">_xlfn.SWITCH($A$2,"average", AVERAGE(Instances!D333:Instances!D333),"median", MEDIAN(Instances!D333:Instances!D333),"min", MIN(Instances!D333:Instances!D333),"max", MAX(Instances!D333:Instances!D333),"diff", MAX(Instances!D333:Instances!D333)-MIN(Instances!D333:Instances!D333))</f>
        <v>0</v>
      </c>
      <c r="E333" s="1" cm="1">
        <f t="array" ref="E333">_xlfn.SWITCH($A$2,"average", AVERAGE(Instances!E333:Instances!E333),"median", MEDIAN(Instances!E333:Instances!E333),"min", MIN(Instances!E333:Instances!E333),"max", MAX(Instances!E333:Instances!E333),"diff", MAX(Instances!E333:Instances!E333)-MIN(Instances!E333:Instances!E333))</f>
        <v>0</v>
      </c>
      <c r="F333" s="1" cm="1">
        <f t="array" ref="F333">_xlfn.SWITCH($A$2,"average", AVERAGE(Instances!F333:Instances!F333),"median", MEDIAN(Instances!F333:Instances!F333),"min", MIN(Instances!F333:Instances!F333),"max", MAX(Instances!F333:Instances!F333),"diff", MAX(Instances!F333:Instances!F333)-MIN(Instances!F333:Instances!F333))</f>
        <v>0</v>
      </c>
      <c r="G333" s="1" cm="1">
        <f t="array" ref="G333">_xlfn.SWITCH($A$2,"average", AVERAGE(Instances!G333:Instances!G333),"median", MEDIAN(Instances!G333:Instances!G333),"min", MIN(Instances!G333:Instances!G333),"max", MAX(Instances!G333:Instances!G333),"diff", MAX(Instances!G333:Instances!G333)-MIN(Instances!G333:Instances!G333))</f>
        <v>0</v>
      </c>
      <c r="H333" s="1" cm="1">
        <f t="array" ref="H333">_xlfn.SWITCH($A$2,"average", AVERAGE(Instances!H333:Instances!H333),"median", MEDIAN(Instances!H333:Instances!H333),"min", MIN(Instances!H333:Instances!H333),"max", MAX(Instances!H333:Instances!H333),"diff", MAX(Instances!H333:Instances!H333)-MIN(Instances!H333:Instances!H333))</f>
        <v>0</v>
      </c>
      <c r="I333" s="1" cm="1">
        <f t="array" ref="I333">_xlfn.SWITCH($A$2,"average", AVERAGE(Instances!I333:Instances!I333),"median", MEDIAN(Instances!I333:Instances!I333),"min", MIN(Instances!I333:Instances!I333),"max", MAX(Instances!I333:Instances!I333),"diff", MAX(Instances!I333:Instances!I333)-MIN(Instances!I333:Instances!I333))</f>
        <v>0</v>
      </c>
      <c r="J333" s="1" cm="1">
        <f t="array" ref="J333">_xlfn.SWITCH($A$2,"average", AVERAGE(Instances!J333:Instances!J333),"median", MEDIAN(Instances!J333:Instances!J333),"min", MIN(Instances!J333:Instances!J333),"max", MAX(Instances!J333:Instances!J333),"diff", MAX(Instances!J333:Instances!J333)-MIN(Instances!J333:Instances!J333))</f>
        <v>0</v>
      </c>
      <c r="K333" s="1" cm="1">
        <f t="array" ref="K333">_xlfn.SWITCH($A$2,"average", AVERAGE(Instances!K333:Instances!K333),"median", MEDIAN(Instances!K333:Instances!K333),"min", MIN(Instances!K333:Instances!K333),"max", MAX(Instances!K333:Instances!K333),"diff", MAX(Instances!K333:Instances!K333)-MIN(Instances!K333:Instances!K333))</f>
        <v>0</v>
      </c>
      <c r="L333" s="1"/>
      <c r="M333" s="1" cm="1">
        <f t="array" ref="M333">_xlfn.SWITCH($A$2,"average", AVERAGE(Instances!M333:Instances!M333),"median", MEDIAN(Instances!M333:Instances!M333),"min", MIN(Instances!M333:Instances!M333),"max", MAX(Instances!M333:Instances!M333),"diff", MAX(Instances!M333:Instances!M333)-MIN(Instances!M333:Instances!M333))</f>
        <v>0</v>
      </c>
      <c r="N333" s="1" cm="1">
        <f t="array" ref="N333">_xlfn.SWITCH($A$2,"average", AVERAGE(Instances!N333:Instances!N333),"median", MEDIAN(Instances!N333:Instances!N333),"min", MIN(Instances!N333:Instances!N333),"max", MAX(Instances!N333:Instances!N333),"diff", MAX(Instances!N333:Instances!N333)-MIN(Instances!N333:Instances!N333))</f>
        <v>0</v>
      </c>
      <c r="O333" s="1"/>
      <c r="P333" s="1" cm="1">
        <f t="array" ref="P333">_xlfn.SWITCH($A$2,"average", AVERAGE(Instances!P333:Instances!P333),"median", MEDIAN(Instances!P333:Instances!P333),"min", MIN(Instances!P333:Instances!P333),"max", MAX(Instances!P333:Instances!P333),"diff", MAX(Instances!P333:Instances!P333)-MIN(Instances!P333:Instances!P333))</f>
        <v>0</v>
      </c>
      <c r="Q333" s="1" cm="1">
        <f t="array" ref="Q333">_xlfn.SWITCH($A$2,"average", AVERAGE(Instances!Q333:Instances!Q333),"median", MEDIAN(Instances!Q333:Instances!Q333),"min", MIN(Instances!Q333:Instances!Q333),"max", MAX(Instances!Q333:Instances!Q333),"diff", MAX(Instances!Q333:Instances!Q333)-MIN(Instances!Q333:Instances!Q333))</f>
        <v>0</v>
      </c>
      <c r="R333" s="1" cm="1">
        <f t="array" ref="R333">_xlfn.SWITCH($A$2,"average", AVERAGE(Instances!R333:Instances!R333),"median", MEDIAN(Instances!R333:Instances!R333),"min", MIN(Instances!R333:Instances!R333),"max", MAX(Instances!R333:Instances!R333),"diff", MAX(Instances!R333:Instances!R333)-MIN(Instances!R333:Instances!R333))</f>
        <v>0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 cm="1">
        <f t="array" ref="B334">_xlfn.SWITCH($A$2,"average", AVERAGE(Instances!B334:Instances!B334),"median", MEDIAN(Instances!B334:Instances!B334),"min", MIN(Instances!B334:Instances!B334),"max", MAX(Instances!B334:Instances!B334),"diff", MAX(Instances!B334:Instances!B334)-MIN(Instances!B334:Instances!B334))</f>
        <v>0</v>
      </c>
      <c r="C334" s="1" cm="1">
        <f t="array" ref="C334">_xlfn.SWITCH($A$2,"average", AVERAGE(Instances!C334:Instances!C334),"median", MEDIAN(Instances!C334:Instances!C334),"min", MIN(Instances!C334:Instances!C334),"max", MAX(Instances!C334:Instances!C334),"diff", MAX(Instances!C334:Instances!C334)-MIN(Instances!C334:Instances!C334))</f>
        <v>0</v>
      </c>
      <c r="D334" s="1" cm="1">
        <f t="array" ref="D334">_xlfn.SWITCH($A$2,"average", AVERAGE(Instances!D334:Instances!D334),"median", MEDIAN(Instances!D334:Instances!D334),"min", MIN(Instances!D334:Instances!D334),"max", MAX(Instances!D334:Instances!D334),"diff", MAX(Instances!D334:Instances!D334)-MIN(Instances!D334:Instances!D334))</f>
        <v>0</v>
      </c>
      <c r="E334" s="1" cm="1">
        <f t="array" ref="E334">_xlfn.SWITCH($A$2,"average", AVERAGE(Instances!E334:Instances!E334),"median", MEDIAN(Instances!E334:Instances!E334),"min", MIN(Instances!E334:Instances!E334),"max", MAX(Instances!E334:Instances!E334),"diff", MAX(Instances!E334:Instances!E334)-MIN(Instances!E334:Instances!E334))</f>
        <v>0</v>
      </c>
      <c r="F334" s="1" cm="1">
        <f t="array" ref="F334">_xlfn.SWITCH($A$2,"average", AVERAGE(Instances!F334:Instances!F334),"median", MEDIAN(Instances!F334:Instances!F334),"min", MIN(Instances!F334:Instances!F334),"max", MAX(Instances!F334:Instances!F334),"diff", MAX(Instances!F334:Instances!F334)-MIN(Instances!F334:Instances!F334))</f>
        <v>0</v>
      </c>
      <c r="G334" s="1" cm="1">
        <f t="array" ref="G334">_xlfn.SWITCH($A$2,"average", AVERAGE(Instances!G334:Instances!G334),"median", MEDIAN(Instances!G334:Instances!G334),"min", MIN(Instances!G334:Instances!G334),"max", MAX(Instances!G334:Instances!G334),"diff", MAX(Instances!G334:Instances!G334)-MIN(Instances!G334:Instances!G334))</f>
        <v>0</v>
      </c>
      <c r="H334" s="1" cm="1">
        <f t="array" ref="H334">_xlfn.SWITCH($A$2,"average", AVERAGE(Instances!H334:Instances!H334),"median", MEDIAN(Instances!H334:Instances!H334),"min", MIN(Instances!H334:Instances!H334),"max", MAX(Instances!H334:Instances!H334),"diff", MAX(Instances!H334:Instances!H334)-MIN(Instances!H334:Instances!H334))</f>
        <v>0</v>
      </c>
      <c r="I334" s="1" cm="1">
        <f t="array" ref="I334">_xlfn.SWITCH($A$2,"average", AVERAGE(Instances!I334:Instances!I334),"median", MEDIAN(Instances!I334:Instances!I334),"min", MIN(Instances!I334:Instances!I334),"max", MAX(Instances!I334:Instances!I334),"diff", MAX(Instances!I334:Instances!I334)-MIN(Instances!I334:Instances!I334))</f>
        <v>0</v>
      </c>
      <c r="J334" s="1" cm="1">
        <f t="array" ref="J334">_xlfn.SWITCH($A$2,"average", AVERAGE(Instances!J334:Instances!J334),"median", MEDIAN(Instances!J334:Instances!J334),"min", MIN(Instances!J334:Instances!J334),"max", MAX(Instances!J334:Instances!J334),"diff", MAX(Instances!J334:Instances!J334)-MIN(Instances!J334:Instances!J334))</f>
        <v>0</v>
      </c>
      <c r="K334" s="1" cm="1">
        <f t="array" ref="K334">_xlfn.SWITCH($A$2,"average", AVERAGE(Instances!K334:Instances!K334),"median", MEDIAN(Instances!K334:Instances!K334),"min", MIN(Instances!K334:Instances!K334),"max", MAX(Instances!K334:Instances!K334),"diff", MAX(Instances!K334:Instances!K334)-MIN(Instances!K334:Instances!K334))</f>
        <v>0</v>
      </c>
      <c r="L334" s="1"/>
      <c r="M334" s="1" cm="1">
        <f t="array" ref="M334">_xlfn.SWITCH($A$2,"average", AVERAGE(Instances!M334:Instances!M334),"median", MEDIAN(Instances!M334:Instances!M334),"min", MIN(Instances!M334:Instances!M334),"max", MAX(Instances!M334:Instances!M334),"diff", MAX(Instances!M334:Instances!M334)-MIN(Instances!M334:Instances!M334))</f>
        <v>0</v>
      </c>
      <c r="N334" s="1" cm="1">
        <f t="array" ref="N334">_xlfn.SWITCH($A$2,"average", AVERAGE(Instances!N334:Instances!N334),"median", MEDIAN(Instances!N334:Instances!N334),"min", MIN(Instances!N334:Instances!N334),"max", MAX(Instances!N334:Instances!N334),"diff", MAX(Instances!N334:Instances!N334)-MIN(Instances!N334:Instances!N334))</f>
        <v>0</v>
      </c>
      <c r="O334" s="1"/>
      <c r="P334" s="1" cm="1">
        <f t="array" ref="P334">_xlfn.SWITCH($A$2,"average", AVERAGE(Instances!P334:Instances!P334),"median", MEDIAN(Instances!P334:Instances!P334),"min", MIN(Instances!P334:Instances!P334),"max", MAX(Instances!P334:Instances!P334),"diff", MAX(Instances!P334:Instances!P334)-MIN(Instances!P334:Instances!P334))</f>
        <v>0</v>
      </c>
      <c r="Q334" s="1" cm="1">
        <f t="array" ref="Q334">_xlfn.SWITCH($A$2,"average", AVERAGE(Instances!Q334:Instances!Q334),"median", MEDIAN(Instances!Q334:Instances!Q334),"min", MIN(Instances!Q334:Instances!Q334),"max", MAX(Instances!Q334:Instances!Q334),"diff", MAX(Instances!Q334:Instances!Q334)-MIN(Instances!Q334:Instances!Q334))</f>
        <v>0</v>
      </c>
      <c r="R334" s="1" cm="1">
        <f t="array" ref="R334">_xlfn.SWITCH($A$2,"average", AVERAGE(Instances!R334:Instances!R334),"median", MEDIAN(Instances!R334:Instances!R334),"min", MIN(Instances!R334:Instances!R334),"max", MAX(Instances!R334:Instances!R334),"diff", MAX(Instances!R334:Instances!R334)-MIN(Instances!R334:Instances!R334))</f>
        <v>0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 cm="1">
        <f t="array" ref="B335">_xlfn.SWITCH($A$2,"average", AVERAGE(Instances!B335:Instances!B335),"median", MEDIAN(Instances!B335:Instances!B335),"min", MIN(Instances!B335:Instances!B335),"max", MAX(Instances!B335:Instances!B335),"diff", MAX(Instances!B335:Instances!B335)-MIN(Instances!B335:Instances!B335))</f>
        <v>0</v>
      </c>
      <c r="C335" s="1" cm="1">
        <f t="array" ref="C335">_xlfn.SWITCH($A$2,"average", AVERAGE(Instances!C335:Instances!C335),"median", MEDIAN(Instances!C335:Instances!C335),"min", MIN(Instances!C335:Instances!C335),"max", MAX(Instances!C335:Instances!C335),"diff", MAX(Instances!C335:Instances!C335)-MIN(Instances!C335:Instances!C335))</f>
        <v>0</v>
      </c>
      <c r="D335" s="1" cm="1">
        <f t="array" ref="D335">_xlfn.SWITCH($A$2,"average", AVERAGE(Instances!D335:Instances!D335),"median", MEDIAN(Instances!D335:Instances!D335),"min", MIN(Instances!D335:Instances!D335),"max", MAX(Instances!D335:Instances!D335),"diff", MAX(Instances!D335:Instances!D335)-MIN(Instances!D335:Instances!D335))</f>
        <v>0</v>
      </c>
      <c r="E335" s="1" cm="1">
        <f t="array" ref="E335">_xlfn.SWITCH($A$2,"average", AVERAGE(Instances!E335:Instances!E335),"median", MEDIAN(Instances!E335:Instances!E335),"min", MIN(Instances!E335:Instances!E335),"max", MAX(Instances!E335:Instances!E335),"diff", MAX(Instances!E335:Instances!E335)-MIN(Instances!E335:Instances!E335))</f>
        <v>0</v>
      </c>
      <c r="F335" s="1" cm="1">
        <f t="array" ref="F335">_xlfn.SWITCH($A$2,"average", AVERAGE(Instances!F335:Instances!F335),"median", MEDIAN(Instances!F335:Instances!F335),"min", MIN(Instances!F335:Instances!F335),"max", MAX(Instances!F335:Instances!F335),"diff", MAX(Instances!F335:Instances!F335)-MIN(Instances!F335:Instances!F335))</f>
        <v>0</v>
      </c>
      <c r="G335" s="1" cm="1">
        <f t="array" ref="G335">_xlfn.SWITCH($A$2,"average", AVERAGE(Instances!G335:Instances!G335),"median", MEDIAN(Instances!G335:Instances!G335),"min", MIN(Instances!G335:Instances!G335),"max", MAX(Instances!G335:Instances!G335),"diff", MAX(Instances!G335:Instances!G335)-MIN(Instances!G335:Instances!G335))</f>
        <v>0</v>
      </c>
      <c r="H335" s="1" cm="1">
        <f t="array" ref="H335">_xlfn.SWITCH($A$2,"average", AVERAGE(Instances!H335:Instances!H335),"median", MEDIAN(Instances!H335:Instances!H335),"min", MIN(Instances!H335:Instances!H335),"max", MAX(Instances!H335:Instances!H335),"diff", MAX(Instances!H335:Instances!H335)-MIN(Instances!H335:Instances!H335))</f>
        <v>0</v>
      </c>
      <c r="I335" s="1" cm="1">
        <f t="array" ref="I335">_xlfn.SWITCH($A$2,"average", AVERAGE(Instances!I335:Instances!I335),"median", MEDIAN(Instances!I335:Instances!I335),"min", MIN(Instances!I335:Instances!I335),"max", MAX(Instances!I335:Instances!I335),"diff", MAX(Instances!I335:Instances!I335)-MIN(Instances!I335:Instances!I335))</f>
        <v>0</v>
      </c>
      <c r="J335" s="1" cm="1">
        <f t="array" ref="J335">_xlfn.SWITCH($A$2,"average", AVERAGE(Instances!J335:Instances!J335),"median", MEDIAN(Instances!J335:Instances!J335),"min", MIN(Instances!J335:Instances!J335),"max", MAX(Instances!J335:Instances!J335),"diff", MAX(Instances!J335:Instances!J335)-MIN(Instances!J335:Instances!J335))</f>
        <v>0</v>
      </c>
      <c r="K335" s="1" cm="1">
        <f t="array" ref="K335">_xlfn.SWITCH($A$2,"average", AVERAGE(Instances!K335:Instances!K335),"median", MEDIAN(Instances!K335:Instances!K335),"min", MIN(Instances!K335:Instances!K335),"max", MAX(Instances!K335:Instances!K335),"diff", MAX(Instances!K335:Instances!K335)-MIN(Instances!K335:Instances!K335))</f>
        <v>0</v>
      </c>
      <c r="L335" s="1"/>
      <c r="M335" s="1" cm="1">
        <f t="array" ref="M335">_xlfn.SWITCH($A$2,"average", AVERAGE(Instances!M335:Instances!M335),"median", MEDIAN(Instances!M335:Instances!M335),"min", MIN(Instances!M335:Instances!M335),"max", MAX(Instances!M335:Instances!M335),"diff", MAX(Instances!M335:Instances!M335)-MIN(Instances!M335:Instances!M335))</f>
        <v>0</v>
      </c>
      <c r="N335" s="1" cm="1">
        <f t="array" ref="N335">_xlfn.SWITCH($A$2,"average", AVERAGE(Instances!N335:Instances!N335),"median", MEDIAN(Instances!N335:Instances!N335),"min", MIN(Instances!N335:Instances!N335),"max", MAX(Instances!N335:Instances!N335),"diff", MAX(Instances!N335:Instances!N335)-MIN(Instances!N335:Instances!N335))</f>
        <v>0</v>
      </c>
      <c r="O335" s="1"/>
      <c r="P335" s="1" cm="1">
        <f t="array" ref="P335">_xlfn.SWITCH($A$2,"average", AVERAGE(Instances!P335:Instances!P335),"median", MEDIAN(Instances!P335:Instances!P335),"min", MIN(Instances!P335:Instances!P335),"max", MAX(Instances!P335:Instances!P335),"diff", MAX(Instances!P335:Instances!P335)-MIN(Instances!P335:Instances!P335))</f>
        <v>0</v>
      </c>
      <c r="Q335" s="1" cm="1">
        <f t="array" ref="Q335">_xlfn.SWITCH($A$2,"average", AVERAGE(Instances!Q335:Instances!Q335),"median", MEDIAN(Instances!Q335:Instances!Q335),"min", MIN(Instances!Q335:Instances!Q335),"max", MAX(Instances!Q335:Instances!Q335),"diff", MAX(Instances!Q335:Instances!Q335)-MIN(Instances!Q335:Instances!Q335))</f>
        <v>0</v>
      </c>
      <c r="R335" s="1" cm="1">
        <f t="array" ref="R335">_xlfn.SWITCH($A$2,"average", AVERAGE(Instances!R335:Instances!R335),"median", MEDIAN(Instances!R335:Instances!R335),"min", MIN(Instances!R335:Instances!R335),"max", MAX(Instances!R335:Instances!R335),"diff", MAX(Instances!R335:Instances!R335)-MIN(Instances!R335:Instances!R335))</f>
        <v>0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 cm="1">
        <f t="array" ref="B336">_xlfn.SWITCH($A$2,"average", AVERAGE(Instances!B336:Instances!B336),"median", MEDIAN(Instances!B336:Instances!B336),"min", MIN(Instances!B336:Instances!B336),"max", MAX(Instances!B336:Instances!B336),"diff", MAX(Instances!B336:Instances!B336)-MIN(Instances!B336:Instances!B336))</f>
        <v>0</v>
      </c>
      <c r="C336" s="1" cm="1">
        <f t="array" ref="C336">_xlfn.SWITCH($A$2,"average", AVERAGE(Instances!C336:Instances!C336),"median", MEDIAN(Instances!C336:Instances!C336),"min", MIN(Instances!C336:Instances!C336),"max", MAX(Instances!C336:Instances!C336),"diff", MAX(Instances!C336:Instances!C336)-MIN(Instances!C336:Instances!C336))</f>
        <v>0</v>
      </c>
      <c r="D336" s="1" cm="1">
        <f t="array" ref="D336">_xlfn.SWITCH($A$2,"average", AVERAGE(Instances!D336:Instances!D336),"median", MEDIAN(Instances!D336:Instances!D336),"min", MIN(Instances!D336:Instances!D336),"max", MAX(Instances!D336:Instances!D336),"diff", MAX(Instances!D336:Instances!D336)-MIN(Instances!D336:Instances!D336))</f>
        <v>0</v>
      </c>
      <c r="E336" s="1" cm="1">
        <f t="array" ref="E336">_xlfn.SWITCH($A$2,"average", AVERAGE(Instances!E336:Instances!E336),"median", MEDIAN(Instances!E336:Instances!E336),"min", MIN(Instances!E336:Instances!E336),"max", MAX(Instances!E336:Instances!E336),"diff", MAX(Instances!E336:Instances!E336)-MIN(Instances!E336:Instances!E336))</f>
        <v>0</v>
      </c>
      <c r="F336" s="1" cm="1">
        <f t="array" ref="F336">_xlfn.SWITCH($A$2,"average", AVERAGE(Instances!F336:Instances!F336),"median", MEDIAN(Instances!F336:Instances!F336),"min", MIN(Instances!F336:Instances!F336),"max", MAX(Instances!F336:Instances!F336),"diff", MAX(Instances!F336:Instances!F336)-MIN(Instances!F336:Instances!F336))</f>
        <v>0</v>
      </c>
      <c r="G336" s="1" cm="1">
        <f t="array" ref="G336">_xlfn.SWITCH($A$2,"average", AVERAGE(Instances!G336:Instances!G336),"median", MEDIAN(Instances!G336:Instances!G336),"min", MIN(Instances!G336:Instances!G336),"max", MAX(Instances!G336:Instances!G336),"diff", MAX(Instances!G336:Instances!G336)-MIN(Instances!G336:Instances!G336))</f>
        <v>0</v>
      </c>
      <c r="H336" s="1" cm="1">
        <f t="array" ref="H336">_xlfn.SWITCH($A$2,"average", AVERAGE(Instances!H336:Instances!H336),"median", MEDIAN(Instances!H336:Instances!H336),"min", MIN(Instances!H336:Instances!H336),"max", MAX(Instances!H336:Instances!H336),"diff", MAX(Instances!H336:Instances!H336)-MIN(Instances!H336:Instances!H336))</f>
        <v>0</v>
      </c>
      <c r="I336" s="1" cm="1">
        <f t="array" ref="I336">_xlfn.SWITCH($A$2,"average", AVERAGE(Instances!I336:Instances!I336),"median", MEDIAN(Instances!I336:Instances!I336),"min", MIN(Instances!I336:Instances!I336),"max", MAX(Instances!I336:Instances!I336),"diff", MAX(Instances!I336:Instances!I336)-MIN(Instances!I336:Instances!I336))</f>
        <v>0</v>
      </c>
      <c r="J336" s="1" cm="1">
        <f t="array" ref="J336">_xlfn.SWITCH($A$2,"average", AVERAGE(Instances!J336:Instances!J336),"median", MEDIAN(Instances!J336:Instances!J336),"min", MIN(Instances!J336:Instances!J336),"max", MAX(Instances!J336:Instances!J336),"diff", MAX(Instances!J336:Instances!J336)-MIN(Instances!J336:Instances!J336))</f>
        <v>0</v>
      </c>
      <c r="K336" s="1" cm="1">
        <f t="array" ref="K336">_xlfn.SWITCH($A$2,"average", AVERAGE(Instances!K336:Instances!K336),"median", MEDIAN(Instances!K336:Instances!K336),"min", MIN(Instances!K336:Instances!K336),"max", MAX(Instances!K336:Instances!K336),"diff", MAX(Instances!K336:Instances!K336)-MIN(Instances!K336:Instances!K336))</f>
        <v>0</v>
      </c>
      <c r="L336" s="1"/>
      <c r="M336" s="1" cm="1">
        <f t="array" ref="M336">_xlfn.SWITCH($A$2,"average", AVERAGE(Instances!M336:Instances!M336),"median", MEDIAN(Instances!M336:Instances!M336),"min", MIN(Instances!M336:Instances!M336),"max", MAX(Instances!M336:Instances!M336),"diff", MAX(Instances!M336:Instances!M336)-MIN(Instances!M336:Instances!M336))</f>
        <v>0</v>
      </c>
      <c r="N336" s="1" cm="1">
        <f t="array" ref="N336">_xlfn.SWITCH($A$2,"average", AVERAGE(Instances!N336:Instances!N336),"median", MEDIAN(Instances!N336:Instances!N336),"min", MIN(Instances!N336:Instances!N336),"max", MAX(Instances!N336:Instances!N336),"diff", MAX(Instances!N336:Instances!N336)-MIN(Instances!N336:Instances!N336))</f>
        <v>0</v>
      </c>
      <c r="O336" s="1"/>
      <c r="P336" s="1" cm="1">
        <f t="array" ref="P336">_xlfn.SWITCH($A$2,"average", AVERAGE(Instances!P336:Instances!P336),"median", MEDIAN(Instances!P336:Instances!P336),"min", MIN(Instances!P336:Instances!P336),"max", MAX(Instances!P336:Instances!P336),"diff", MAX(Instances!P336:Instances!P336)-MIN(Instances!P336:Instances!P336))</f>
        <v>0</v>
      </c>
      <c r="Q336" s="1" cm="1">
        <f t="array" ref="Q336">_xlfn.SWITCH($A$2,"average", AVERAGE(Instances!Q336:Instances!Q336),"median", MEDIAN(Instances!Q336:Instances!Q336),"min", MIN(Instances!Q336:Instances!Q336),"max", MAX(Instances!Q336:Instances!Q336),"diff", MAX(Instances!Q336:Instances!Q336)-MIN(Instances!Q336:Instances!Q336))</f>
        <v>0</v>
      </c>
      <c r="R336" s="1" cm="1">
        <f t="array" ref="R336">_xlfn.SWITCH($A$2,"average", AVERAGE(Instances!R336:Instances!R336),"median", MEDIAN(Instances!R336:Instances!R336),"min", MIN(Instances!R336:Instances!R336),"max", MAX(Instances!R336:Instances!R336),"diff", MAX(Instances!R336:Instances!R336)-MIN(Instances!R336:Instances!R336))</f>
        <v>0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 cm="1">
        <f t="array" ref="B337">_xlfn.SWITCH($A$2,"average", AVERAGE(Instances!B337:Instances!B337),"median", MEDIAN(Instances!B337:Instances!B337),"min", MIN(Instances!B337:Instances!B337),"max", MAX(Instances!B337:Instances!B337),"diff", MAX(Instances!B337:Instances!B337)-MIN(Instances!B337:Instances!B337))</f>
        <v>0</v>
      </c>
      <c r="C337" s="1" cm="1">
        <f t="array" ref="C337">_xlfn.SWITCH($A$2,"average", AVERAGE(Instances!C337:Instances!C337),"median", MEDIAN(Instances!C337:Instances!C337),"min", MIN(Instances!C337:Instances!C337),"max", MAX(Instances!C337:Instances!C337),"diff", MAX(Instances!C337:Instances!C337)-MIN(Instances!C337:Instances!C337))</f>
        <v>0</v>
      </c>
      <c r="D337" s="1" cm="1">
        <f t="array" ref="D337">_xlfn.SWITCH($A$2,"average", AVERAGE(Instances!D337:Instances!D337),"median", MEDIAN(Instances!D337:Instances!D337),"min", MIN(Instances!D337:Instances!D337),"max", MAX(Instances!D337:Instances!D337),"diff", MAX(Instances!D337:Instances!D337)-MIN(Instances!D337:Instances!D337))</f>
        <v>0</v>
      </c>
      <c r="E337" s="1" cm="1">
        <f t="array" ref="E337">_xlfn.SWITCH($A$2,"average", AVERAGE(Instances!E337:Instances!E337),"median", MEDIAN(Instances!E337:Instances!E337),"min", MIN(Instances!E337:Instances!E337),"max", MAX(Instances!E337:Instances!E337),"diff", MAX(Instances!E337:Instances!E337)-MIN(Instances!E337:Instances!E337))</f>
        <v>0</v>
      </c>
      <c r="F337" s="1" cm="1">
        <f t="array" ref="F337">_xlfn.SWITCH($A$2,"average", AVERAGE(Instances!F337:Instances!F337),"median", MEDIAN(Instances!F337:Instances!F337),"min", MIN(Instances!F337:Instances!F337),"max", MAX(Instances!F337:Instances!F337),"diff", MAX(Instances!F337:Instances!F337)-MIN(Instances!F337:Instances!F337))</f>
        <v>0</v>
      </c>
      <c r="G337" s="1" cm="1">
        <f t="array" ref="G337">_xlfn.SWITCH($A$2,"average", AVERAGE(Instances!G337:Instances!G337),"median", MEDIAN(Instances!G337:Instances!G337),"min", MIN(Instances!G337:Instances!G337),"max", MAX(Instances!G337:Instances!G337),"diff", MAX(Instances!G337:Instances!G337)-MIN(Instances!G337:Instances!G337))</f>
        <v>0</v>
      </c>
      <c r="H337" s="1" cm="1">
        <f t="array" ref="H337">_xlfn.SWITCH($A$2,"average", AVERAGE(Instances!H337:Instances!H337),"median", MEDIAN(Instances!H337:Instances!H337),"min", MIN(Instances!H337:Instances!H337),"max", MAX(Instances!H337:Instances!H337),"diff", MAX(Instances!H337:Instances!H337)-MIN(Instances!H337:Instances!H337))</f>
        <v>0</v>
      </c>
      <c r="I337" s="1" cm="1">
        <f t="array" ref="I337">_xlfn.SWITCH($A$2,"average", AVERAGE(Instances!I337:Instances!I337),"median", MEDIAN(Instances!I337:Instances!I337),"min", MIN(Instances!I337:Instances!I337),"max", MAX(Instances!I337:Instances!I337),"diff", MAX(Instances!I337:Instances!I337)-MIN(Instances!I337:Instances!I337))</f>
        <v>0</v>
      </c>
      <c r="J337" s="1" cm="1">
        <f t="array" ref="J337">_xlfn.SWITCH($A$2,"average", AVERAGE(Instances!J337:Instances!J337),"median", MEDIAN(Instances!J337:Instances!J337),"min", MIN(Instances!J337:Instances!J337),"max", MAX(Instances!J337:Instances!J337),"diff", MAX(Instances!J337:Instances!J337)-MIN(Instances!J337:Instances!J337))</f>
        <v>0</v>
      </c>
      <c r="K337" s="1" cm="1">
        <f t="array" ref="K337">_xlfn.SWITCH($A$2,"average", AVERAGE(Instances!K337:Instances!K337),"median", MEDIAN(Instances!K337:Instances!K337),"min", MIN(Instances!K337:Instances!K337),"max", MAX(Instances!K337:Instances!K337),"diff", MAX(Instances!K337:Instances!K337)-MIN(Instances!K337:Instances!K337))</f>
        <v>0</v>
      </c>
      <c r="L337" s="1"/>
      <c r="M337" s="1" cm="1">
        <f t="array" ref="M337">_xlfn.SWITCH($A$2,"average", AVERAGE(Instances!M337:Instances!M337),"median", MEDIAN(Instances!M337:Instances!M337),"min", MIN(Instances!M337:Instances!M337),"max", MAX(Instances!M337:Instances!M337),"diff", MAX(Instances!M337:Instances!M337)-MIN(Instances!M337:Instances!M337))</f>
        <v>0</v>
      </c>
      <c r="N337" s="1" cm="1">
        <f t="array" ref="N337">_xlfn.SWITCH($A$2,"average", AVERAGE(Instances!N337:Instances!N337),"median", MEDIAN(Instances!N337:Instances!N337),"min", MIN(Instances!N337:Instances!N337),"max", MAX(Instances!N337:Instances!N337),"diff", MAX(Instances!N337:Instances!N337)-MIN(Instances!N337:Instances!N337))</f>
        <v>0</v>
      </c>
      <c r="O337" s="1"/>
      <c r="P337" s="1" cm="1">
        <f t="array" ref="P337">_xlfn.SWITCH($A$2,"average", AVERAGE(Instances!P337:Instances!P337),"median", MEDIAN(Instances!P337:Instances!P337),"min", MIN(Instances!P337:Instances!P337),"max", MAX(Instances!P337:Instances!P337),"diff", MAX(Instances!P337:Instances!P337)-MIN(Instances!P337:Instances!P337))</f>
        <v>0</v>
      </c>
      <c r="Q337" s="1" cm="1">
        <f t="array" ref="Q337">_xlfn.SWITCH($A$2,"average", AVERAGE(Instances!Q337:Instances!Q337),"median", MEDIAN(Instances!Q337:Instances!Q337),"min", MIN(Instances!Q337:Instances!Q337),"max", MAX(Instances!Q337:Instances!Q337),"diff", MAX(Instances!Q337:Instances!Q337)-MIN(Instances!Q337:Instances!Q337))</f>
        <v>0</v>
      </c>
      <c r="R337" s="1" cm="1">
        <f t="array" ref="R337">_xlfn.SWITCH($A$2,"average", AVERAGE(Instances!R337:Instances!R337),"median", MEDIAN(Instances!R337:Instances!R337),"min", MIN(Instances!R337:Instances!R337),"max", MAX(Instances!R337:Instances!R337),"diff", MAX(Instances!R337:Instances!R337)-MIN(Instances!R337:Instances!R337))</f>
        <v>0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 cm="1">
        <f t="array" ref="B338">_xlfn.SWITCH($A$2,"average", AVERAGE(Instances!B338:Instances!B338),"median", MEDIAN(Instances!B338:Instances!B338),"min", MIN(Instances!B338:Instances!B338),"max", MAX(Instances!B338:Instances!B338),"diff", MAX(Instances!B338:Instances!B338)-MIN(Instances!B338:Instances!B338))</f>
        <v>0</v>
      </c>
      <c r="C338" s="1" cm="1">
        <f t="array" ref="C338">_xlfn.SWITCH($A$2,"average", AVERAGE(Instances!C338:Instances!C338),"median", MEDIAN(Instances!C338:Instances!C338),"min", MIN(Instances!C338:Instances!C338),"max", MAX(Instances!C338:Instances!C338),"diff", MAX(Instances!C338:Instances!C338)-MIN(Instances!C338:Instances!C338))</f>
        <v>0</v>
      </c>
      <c r="D338" s="1" cm="1">
        <f t="array" ref="D338">_xlfn.SWITCH($A$2,"average", AVERAGE(Instances!D338:Instances!D338),"median", MEDIAN(Instances!D338:Instances!D338),"min", MIN(Instances!D338:Instances!D338),"max", MAX(Instances!D338:Instances!D338),"diff", MAX(Instances!D338:Instances!D338)-MIN(Instances!D338:Instances!D338))</f>
        <v>0</v>
      </c>
      <c r="E338" s="1" cm="1">
        <f t="array" ref="E338">_xlfn.SWITCH($A$2,"average", AVERAGE(Instances!E338:Instances!E338),"median", MEDIAN(Instances!E338:Instances!E338),"min", MIN(Instances!E338:Instances!E338),"max", MAX(Instances!E338:Instances!E338),"diff", MAX(Instances!E338:Instances!E338)-MIN(Instances!E338:Instances!E338))</f>
        <v>0</v>
      </c>
      <c r="F338" s="1" cm="1">
        <f t="array" ref="F338">_xlfn.SWITCH($A$2,"average", AVERAGE(Instances!F338:Instances!F338),"median", MEDIAN(Instances!F338:Instances!F338),"min", MIN(Instances!F338:Instances!F338),"max", MAX(Instances!F338:Instances!F338),"diff", MAX(Instances!F338:Instances!F338)-MIN(Instances!F338:Instances!F338))</f>
        <v>0</v>
      </c>
      <c r="G338" s="1" cm="1">
        <f t="array" ref="G338">_xlfn.SWITCH($A$2,"average", AVERAGE(Instances!G338:Instances!G338),"median", MEDIAN(Instances!G338:Instances!G338),"min", MIN(Instances!G338:Instances!G338),"max", MAX(Instances!G338:Instances!G338),"diff", MAX(Instances!G338:Instances!G338)-MIN(Instances!G338:Instances!G338))</f>
        <v>0</v>
      </c>
      <c r="H338" s="1" cm="1">
        <f t="array" ref="H338">_xlfn.SWITCH($A$2,"average", AVERAGE(Instances!H338:Instances!H338),"median", MEDIAN(Instances!H338:Instances!H338),"min", MIN(Instances!H338:Instances!H338),"max", MAX(Instances!H338:Instances!H338),"diff", MAX(Instances!H338:Instances!H338)-MIN(Instances!H338:Instances!H338))</f>
        <v>0</v>
      </c>
      <c r="I338" s="1" cm="1">
        <f t="array" ref="I338">_xlfn.SWITCH($A$2,"average", AVERAGE(Instances!I338:Instances!I338),"median", MEDIAN(Instances!I338:Instances!I338),"min", MIN(Instances!I338:Instances!I338),"max", MAX(Instances!I338:Instances!I338),"diff", MAX(Instances!I338:Instances!I338)-MIN(Instances!I338:Instances!I338))</f>
        <v>0</v>
      </c>
      <c r="J338" s="1" cm="1">
        <f t="array" ref="J338">_xlfn.SWITCH($A$2,"average", AVERAGE(Instances!J338:Instances!J338),"median", MEDIAN(Instances!J338:Instances!J338),"min", MIN(Instances!J338:Instances!J338),"max", MAX(Instances!J338:Instances!J338),"diff", MAX(Instances!J338:Instances!J338)-MIN(Instances!J338:Instances!J338))</f>
        <v>0</v>
      </c>
      <c r="K338" s="1" cm="1">
        <f t="array" ref="K338">_xlfn.SWITCH($A$2,"average", AVERAGE(Instances!K338:Instances!K338),"median", MEDIAN(Instances!K338:Instances!K338),"min", MIN(Instances!K338:Instances!K338),"max", MAX(Instances!K338:Instances!K338),"diff", MAX(Instances!K338:Instances!K338)-MIN(Instances!K338:Instances!K338))</f>
        <v>0</v>
      </c>
      <c r="L338" s="1"/>
      <c r="M338" s="1" cm="1">
        <f t="array" ref="M338">_xlfn.SWITCH($A$2,"average", AVERAGE(Instances!M338:Instances!M338),"median", MEDIAN(Instances!M338:Instances!M338),"min", MIN(Instances!M338:Instances!M338),"max", MAX(Instances!M338:Instances!M338),"diff", MAX(Instances!M338:Instances!M338)-MIN(Instances!M338:Instances!M338))</f>
        <v>0</v>
      </c>
      <c r="N338" s="1" cm="1">
        <f t="array" ref="N338">_xlfn.SWITCH($A$2,"average", AVERAGE(Instances!N338:Instances!N338),"median", MEDIAN(Instances!N338:Instances!N338),"min", MIN(Instances!N338:Instances!N338),"max", MAX(Instances!N338:Instances!N338),"diff", MAX(Instances!N338:Instances!N338)-MIN(Instances!N338:Instances!N338))</f>
        <v>0</v>
      </c>
      <c r="O338" s="1"/>
      <c r="P338" s="1" cm="1">
        <f t="array" ref="P338">_xlfn.SWITCH($A$2,"average", AVERAGE(Instances!P338:Instances!P338),"median", MEDIAN(Instances!P338:Instances!P338),"min", MIN(Instances!P338:Instances!P338),"max", MAX(Instances!P338:Instances!P338),"diff", MAX(Instances!P338:Instances!P338)-MIN(Instances!P338:Instances!P338))</f>
        <v>0</v>
      </c>
      <c r="Q338" s="1" cm="1">
        <f t="array" ref="Q338">_xlfn.SWITCH($A$2,"average", AVERAGE(Instances!Q338:Instances!Q338),"median", MEDIAN(Instances!Q338:Instances!Q338),"min", MIN(Instances!Q338:Instances!Q338),"max", MAX(Instances!Q338:Instances!Q338),"diff", MAX(Instances!Q338:Instances!Q338)-MIN(Instances!Q338:Instances!Q338))</f>
        <v>0</v>
      </c>
      <c r="R338" s="1" cm="1">
        <f t="array" ref="R338">_xlfn.SWITCH($A$2,"average", AVERAGE(Instances!R338:Instances!R338),"median", MEDIAN(Instances!R338:Instances!R338),"min", MIN(Instances!R338:Instances!R338),"max", MAX(Instances!R338:Instances!R338),"diff", MAX(Instances!R338:Instances!R338)-MIN(Instances!R338:Instances!R338))</f>
        <v>0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 cm="1">
        <f t="array" ref="B339">_xlfn.SWITCH($A$2,"average", AVERAGE(Instances!B339:Instances!B339),"median", MEDIAN(Instances!B339:Instances!B339),"min", MIN(Instances!B339:Instances!B339),"max", MAX(Instances!B339:Instances!B339),"diff", MAX(Instances!B339:Instances!B339)-MIN(Instances!B339:Instances!B339))</f>
        <v>0</v>
      </c>
      <c r="C339" s="1" cm="1">
        <f t="array" ref="C339">_xlfn.SWITCH($A$2,"average", AVERAGE(Instances!C339:Instances!C339),"median", MEDIAN(Instances!C339:Instances!C339),"min", MIN(Instances!C339:Instances!C339),"max", MAX(Instances!C339:Instances!C339),"diff", MAX(Instances!C339:Instances!C339)-MIN(Instances!C339:Instances!C339))</f>
        <v>0</v>
      </c>
      <c r="D339" s="1" cm="1">
        <f t="array" ref="D339">_xlfn.SWITCH($A$2,"average", AVERAGE(Instances!D339:Instances!D339),"median", MEDIAN(Instances!D339:Instances!D339),"min", MIN(Instances!D339:Instances!D339),"max", MAX(Instances!D339:Instances!D339),"diff", MAX(Instances!D339:Instances!D339)-MIN(Instances!D339:Instances!D339))</f>
        <v>0</v>
      </c>
      <c r="E339" s="1" cm="1">
        <f t="array" ref="E339">_xlfn.SWITCH($A$2,"average", AVERAGE(Instances!E339:Instances!E339),"median", MEDIAN(Instances!E339:Instances!E339),"min", MIN(Instances!E339:Instances!E339),"max", MAX(Instances!E339:Instances!E339),"diff", MAX(Instances!E339:Instances!E339)-MIN(Instances!E339:Instances!E339))</f>
        <v>0</v>
      </c>
      <c r="F339" s="1" cm="1">
        <f t="array" ref="F339">_xlfn.SWITCH($A$2,"average", AVERAGE(Instances!F339:Instances!F339),"median", MEDIAN(Instances!F339:Instances!F339),"min", MIN(Instances!F339:Instances!F339),"max", MAX(Instances!F339:Instances!F339),"diff", MAX(Instances!F339:Instances!F339)-MIN(Instances!F339:Instances!F339))</f>
        <v>0</v>
      </c>
      <c r="G339" s="1" cm="1">
        <f t="array" ref="G339">_xlfn.SWITCH($A$2,"average", AVERAGE(Instances!G339:Instances!G339),"median", MEDIAN(Instances!G339:Instances!G339),"min", MIN(Instances!G339:Instances!G339),"max", MAX(Instances!G339:Instances!G339),"diff", MAX(Instances!G339:Instances!G339)-MIN(Instances!G339:Instances!G339))</f>
        <v>0</v>
      </c>
      <c r="H339" s="1" cm="1">
        <f t="array" ref="H339">_xlfn.SWITCH($A$2,"average", AVERAGE(Instances!H339:Instances!H339),"median", MEDIAN(Instances!H339:Instances!H339),"min", MIN(Instances!H339:Instances!H339),"max", MAX(Instances!H339:Instances!H339),"diff", MAX(Instances!H339:Instances!H339)-MIN(Instances!H339:Instances!H339))</f>
        <v>0</v>
      </c>
      <c r="I339" s="1" cm="1">
        <f t="array" ref="I339">_xlfn.SWITCH($A$2,"average", AVERAGE(Instances!I339:Instances!I339),"median", MEDIAN(Instances!I339:Instances!I339),"min", MIN(Instances!I339:Instances!I339),"max", MAX(Instances!I339:Instances!I339),"diff", MAX(Instances!I339:Instances!I339)-MIN(Instances!I339:Instances!I339))</f>
        <v>0</v>
      </c>
      <c r="J339" s="1" cm="1">
        <f t="array" ref="J339">_xlfn.SWITCH($A$2,"average", AVERAGE(Instances!J339:Instances!J339),"median", MEDIAN(Instances!J339:Instances!J339),"min", MIN(Instances!J339:Instances!J339),"max", MAX(Instances!J339:Instances!J339),"diff", MAX(Instances!J339:Instances!J339)-MIN(Instances!J339:Instances!J339))</f>
        <v>0</v>
      </c>
      <c r="K339" s="1" cm="1">
        <f t="array" ref="K339">_xlfn.SWITCH($A$2,"average", AVERAGE(Instances!K339:Instances!K339),"median", MEDIAN(Instances!K339:Instances!K339),"min", MIN(Instances!K339:Instances!K339),"max", MAX(Instances!K339:Instances!K339),"diff", MAX(Instances!K339:Instances!K339)-MIN(Instances!K339:Instances!K339))</f>
        <v>0</v>
      </c>
      <c r="L339" s="1"/>
      <c r="M339" s="1" cm="1">
        <f t="array" ref="M339">_xlfn.SWITCH($A$2,"average", AVERAGE(Instances!M339:Instances!M339),"median", MEDIAN(Instances!M339:Instances!M339),"min", MIN(Instances!M339:Instances!M339),"max", MAX(Instances!M339:Instances!M339),"diff", MAX(Instances!M339:Instances!M339)-MIN(Instances!M339:Instances!M339))</f>
        <v>0</v>
      </c>
      <c r="N339" s="1" cm="1">
        <f t="array" ref="N339">_xlfn.SWITCH($A$2,"average", AVERAGE(Instances!N339:Instances!N339),"median", MEDIAN(Instances!N339:Instances!N339),"min", MIN(Instances!N339:Instances!N339),"max", MAX(Instances!N339:Instances!N339),"diff", MAX(Instances!N339:Instances!N339)-MIN(Instances!N339:Instances!N339))</f>
        <v>0</v>
      </c>
      <c r="O339" s="1"/>
      <c r="P339" s="1" cm="1">
        <f t="array" ref="P339">_xlfn.SWITCH($A$2,"average", AVERAGE(Instances!P339:Instances!P339),"median", MEDIAN(Instances!P339:Instances!P339),"min", MIN(Instances!P339:Instances!P339),"max", MAX(Instances!P339:Instances!P339),"diff", MAX(Instances!P339:Instances!P339)-MIN(Instances!P339:Instances!P339))</f>
        <v>0</v>
      </c>
      <c r="Q339" s="1" cm="1">
        <f t="array" ref="Q339">_xlfn.SWITCH($A$2,"average", AVERAGE(Instances!Q339:Instances!Q339),"median", MEDIAN(Instances!Q339:Instances!Q339),"min", MIN(Instances!Q339:Instances!Q339),"max", MAX(Instances!Q339:Instances!Q339),"diff", MAX(Instances!Q339:Instances!Q339)-MIN(Instances!Q339:Instances!Q339))</f>
        <v>0</v>
      </c>
      <c r="R339" s="1" cm="1">
        <f t="array" ref="R339">_xlfn.SWITCH($A$2,"average", AVERAGE(Instances!R339:Instances!R339),"median", MEDIAN(Instances!R339:Instances!R339),"min", MIN(Instances!R339:Instances!R339),"max", MAX(Instances!R339:Instances!R339),"diff", MAX(Instances!R339:Instances!R339)-MIN(Instances!R339:Instances!R339))</f>
        <v>0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 cm="1">
        <f t="array" ref="B340">_xlfn.SWITCH($A$2,"average", AVERAGE(Instances!B340:Instances!B340),"median", MEDIAN(Instances!B340:Instances!B340),"min", MIN(Instances!B340:Instances!B340),"max", MAX(Instances!B340:Instances!B340),"diff", MAX(Instances!B340:Instances!B340)-MIN(Instances!B340:Instances!B340))</f>
        <v>0</v>
      </c>
      <c r="C340" s="1" cm="1">
        <f t="array" ref="C340">_xlfn.SWITCH($A$2,"average", AVERAGE(Instances!C340:Instances!C340),"median", MEDIAN(Instances!C340:Instances!C340),"min", MIN(Instances!C340:Instances!C340),"max", MAX(Instances!C340:Instances!C340),"diff", MAX(Instances!C340:Instances!C340)-MIN(Instances!C340:Instances!C340))</f>
        <v>0</v>
      </c>
      <c r="D340" s="1" cm="1">
        <f t="array" ref="D340">_xlfn.SWITCH($A$2,"average", AVERAGE(Instances!D340:Instances!D340),"median", MEDIAN(Instances!D340:Instances!D340),"min", MIN(Instances!D340:Instances!D340),"max", MAX(Instances!D340:Instances!D340),"diff", MAX(Instances!D340:Instances!D340)-MIN(Instances!D340:Instances!D340))</f>
        <v>0</v>
      </c>
      <c r="E340" s="1" cm="1">
        <f t="array" ref="E340">_xlfn.SWITCH($A$2,"average", AVERAGE(Instances!E340:Instances!E340),"median", MEDIAN(Instances!E340:Instances!E340),"min", MIN(Instances!E340:Instances!E340),"max", MAX(Instances!E340:Instances!E340),"diff", MAX(Instances!E340:Instances!E340)-MIN(Instances!E340:Instances!E340))</f>
        <v>0</v>
      </c>
      <c r="F340" s="1" cm="1">
        <f t="array" ref="F340">_xlfn.SWITCH($A$2,"average", AVERAGE(Instances!F340:Instances!F340),"median", MEDIAN(Instances!F340:Instances!F340),"min", MIN(Instances!F340:Instances!F340),"max", MAX(Instances!F340:Instances!F340),"diff", MAX(Instances!F340:Instances!F340)-MIN(Instances!F340:Instances!F340))</f>
        <v>0</v>
      </c>
      <c r="G340" s="1" cm="1">
        <f t="array" ref="G340">_xlfn.SWITCH($A$2,"average", AVERAGE(Instances!G340:Instances!G340),"median", MEDIAN(Instances!G340:Instances!G340),"min", MIN(Instances!G340:Instances!G340),"max", MAX(Instances!G340:Instances!G340),"diff", MAX(Instances!G340:Instances!G340)-MIN(Instances!G340:Instances!G340))</f>
        <v>0</v>
      </c>
      <c r="H340" s="1" cm="1">
        <f t="array" ref="H340">_xlfn.SWITCH($A$2,"average", AVERAGE(Instances!H340:Instances!H340),"median", MEDIAN(Instances!H340:Instances!H340),"min", MIN(Instances!H340:Instances!H340),"max", MAX(Instances!H340:Instances!H340),"diff", MAX(Instances!H340:Instances!H340)-MIN(Instances!H340:Instances!H340))</f>
        <v>0</v>
      </c>
      <c r="I340" s="1" cm="1">
        <f t="array" ref="I340">_xlfn.SWITCH($A$2,"average", AVERAGE(Instances!I340:Instances!I340),"median", MEDIAN(Instances!I340:Instances!I340),"min", MIN(Instances!I340:Instances!I340),"max", MAX(Instances!I340:Instances!I340),"diff", MAX(Instances!I340:Instances!I340)-MIN(Instances!I340:Instances!I340))</f>
        <v>0</v>
      </c>
      <c r="J340" s="1" cm="1">
        <f t="array" ref="J340">_xlfn.SWITCH($A$2,"average", AVERAGE(Instances!J340:Instances!J340),"median", MEDIAN(Instances!J340:Instances!J340),"min", MIN(Instances!J340:Instances!J340),"max", MAX(Instances!J340:Instances!J340),"diff", MAX(Instances!J340:Instances!J340)-MIN(Instances!J340:Instances!J340))</f>
        <v>0</v>
      </c>
      <c r="K340" s="1" cm="1">
        <f t="array" ref="K340">_xlfn.SWITCH($A$2,"average", AVERAGE(Instances!K340:Instances!K340),"median", MEDIAN(Instances!K340:Instances!K340),"min", MIN(Instances!K340:Instances!K340),"max", MAX(Instances!K340:Instances!K340),"diff", MAX(Instances!K340:Instances!K340)-MIN(Instances!K340:Instances!K340))</f>
        <v>0</v>
      </c>
      <c r="L340" s="1"/>
      <c r="M340" s="1" cm="1">
        <f t="array" ref="M340">_xlfn.SWITCH($A$2,"average", AVERAGE(Instances!M340:Instances!M340),"median", MEDIAN(Instances!M340:Instances!M340),"min", MIN(Instances!M340:Instances!M340),"max", MAX(Instances!M340:Instances!M340),"diff", MAX(Instances!M340:Instances!M340)-MIN(Instances!M340:Instances!M340))</f>
        <v>0</v>
      </c>
      <c r="N340" s="1" cm="1">
        <f t="array" ref="N340">_xlfn.SWITCH($A$2,"average", AVERAGE(Instances!N340:Instances!N340),"median", MEDIAN(Instances!N340:Instances!N340),"min", MIN(Instances!N340:Instances!N340),"max", MAX(Instances!N340:Instances!N340),"diff", MAX(Instances!N340:Instances!N340)-MIN(Instances!N340:Instances!N340))</f>
        <v>0</v>
      </c>
      <c r="O340" s="1"/>
      <c r="P340" s="1" cm="1">
        <f t="array" ref="P340">_xlfn.SWITCH($A$2,"average", AVERAGE(Instances!P340:Instances!P340),"median", MEDIAN(Instances!P340:Instances!P340),"min", MIN(Instances!P340:Instances!P340),"max", MAX(Instances!P340:Instances!P340),"diff", MAX(Instances!P340:Instances!P340)-MIN(Instances!P340:Instances!P340))</f>
        <v>0</v>
      </c>
      <c r="Q340" s="1" cm="1">
        <f t="array" ref="Q340">_xlfn.SWITCH($A$2,"average", AVERAGE(Instances!Q340:Instances!Q340),"median", MEDIAN(Instances!Q340:Instances!Q340),"min", MIN(Instances!Q340:Instances!Q340),"max", MAX(Instances!Q340:Instances!Q340),"diff", MAX(Instances!Q340:Instances!Q340)-MIN(Instances!Q340:Instances!Q340))</f>
        <v>0</v>
      </c>
      <c r="R340" s="1" cm="1">
        <f t="array" ref="R340">_xlfn.SWITCH($A$2,"average", AVERAGE(Instances!R340:Instances!R340),"median", MEDIAN(Instances!R340:Instances!R340),"min", MIN(Instances!R340:Instances!R340),"max", MAX(Instances!R340:Instances!R340),"diff", MAX(Instances!R340:Instances!R340)-MIN(Instances!R340:Instances!R340))</f>
        <v>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 cm="1">
        <f t="array" ref="B341">_xlfn.SWITCH($A$2,"average", AVERAGE(Instances!B341:Instances!B341),"median", MEDIAN(Instances!B341:Instances!B341),"min", MIN(Instances!B341:Instances!B341),"max", MAX(Instances!B341:Instances!B341),"diff", MAX(Instances!B341:Instances!B341)-MIN(Instances!B341:Instances!B341))</f>
        <v>0</v>
      </c>
      <c r="C341" s="1" cm="1">
        <f t="array" ref="C341">_xlfn.SWITCH($A$2,"average", AVERAGE(Instances!C341:Instances!C341),"median", MEDIAN(Instances!C341:Instances!C341),"min", MIN(Instances!C341:Instances!C341),"max", MAX(Instances!C341:Instances!C341),"diff", MAX(Instances!C341:Instances!C341)-MIN(Instances!C341:Instances!C341))</f>
        <v>0</v>
      </c>
      <c r="D341" s="1" cm="1">
        <f t="array" ref="D341">_xlfn.SWITCH($A$2,"average", AVERAGE(Instances!D341:Instances!D341),"median", MEDIAN(Instances!D341:Instances!D341),"min", MIN(Instances!D341:Instances!D341),"max", MAX(Instances!D341:Instances!D341),"diff", MAX(Instances!D341:Instances!D341)-MIN(Instances!D341:Instances!D341))</f>
        <v>0</v>
      </c>
      <c r="E341" s="1" cm="1">
        <f t="array" ref="E341">_xlfn.SWITCH($A$2,"average", AVERAGE(Instances!E341:Instances!E341),"median", MEDIAN(Instances!E341:Instances!E341),"min", MIN(Instances!E341:Instances!E341),"max", MAX(Instances!E341:Instances!E341),"diff", MAX(Instances!E341:Instances!E341)-MIN(Instances!E341:Instances!E341))</f>
        <v>0</v>
      </c>
      <c r="F341" s="1" cm="1">
        <f t="array" ref="F341">_xlfn.SWITCH($A$2,"average", AVERAGE(Instances!F341:Instances!F341),"median", MEDIAN(Instances!F341:Instances!F341),"min", MIN(Instances!F341:Instances!F341),"max", MAX(Instances!F341:Instances!F341),"diff", MAX(Instances!F341:Instances!F341)-MIN(Instances!F341:Instances!F341))</f>
        <v>0</v>
      </c>
      <c r="G341" s="1" cm="1">
        <f t="array" ref="G341">_xlfn.SWITCH($A$2,"average", AVERAGE(Instances!G341:Instances!G341),"median", MEDIAN(Instances!G341:Instances!G341),"min", MIN(Instances!G341:Instances!G341),"max", MAX(Instances!G341:Instances!G341),"diff", MAX(Instances!G341:Instances!G341)-MIN(Instances!G341:Instances!G341))</f>
        <v>0</v>
      </c>
      <c r="H341" s="1" cm="1">
        <f t="array" ref="H341">_xlfn.SWITCH($A$2,"average", AVERAGE(Instances!H341:Instances!H341),"median", MEDIAN(Instances!H341:Instances!H341),"min", MIN(Instances!H341:Instances!H341),"max", MAX(Instances!H341:Instances!H341),"diff", MAX(Instances!H341:Instances!H341)-MIN(Instances!H341:Instances!H341))</f>
        <v>0</v>
      </c>
      <c r="I341" s="1" cm="1">
        <f t="array" ref="I341">_xlfn.SWITCH($A$2,"average", AVERAGE(Instances!I341:Instances!I341),"median", MEDIAN(Instances!I341:Instances!I341),"min", MIN(Instances!I341:Instances!I341),"max", MAX(Instances!I341:Instances!I341),"diff", MAX(Instances!I341:Instances!I341)-MIN(Instances!I341:Instances!I341))</f>
        <v>0</v>
      </c>
      <c r="J341" s="1" cm="1">
        <f t="array" ref="J341">_xlfn.SWITCH($A$2,"average", AVERAGE(Instances!J341:Instances!J341),"median", MEDIAN(Instances!J341:Instances!J341),"min", MIN(Instances!J341:Instances!J341),"max", MAX(Instances!J341:Instances!J341),"diff", MAX(Instances!J341:Instances!J341)-MIN(Instances!J341:Instances!J341))</f>
        <v>0</v>
      </c>
      <c r="K341" s="1" cm="1">
        <f t="array" ref="K341">_xlfn.SWITCH($A$2,"average", AVERAGE(Instances!K341:Instances!K341),"median", MEDIAN(Instances!K341:Instances!K341),"min", MIN(Instances!K341:Instances!K341),"max", MAX(Instances!K341:Instances!K341),"diff", MAX(Instances!K341:Instances!K341)-MIN(Instances!K341:Instances!K341))</f>
        <v>0</v>
      </c>
      <c r="L341" s="1"/>
      <c r="M341" s="1" cm="1">
        <f t="array" ref="M341">_xlfn.SWITCH($A$2,"average", AVERAGE(Instances!M341:Instances!M341),"median", MEDIAN(Instances!M341:Instances!M341),"min", MIN(Instances!M341:Instances!M341),"max", MAX(Instances!M341:Instances!M341),"diff", MAX(Instances!M341:Instances!M341)-MIN(Instances!M341:Instances!M341))</f>
        <v>0</v>
      </c>
      <c r="N341" s="1" cm="1">
        <f t="array" ref="N341">_xlfn.SWITCH($A$2,"average", AVERAGE(Instances!N341:Instances!N341),"median", MEDIAN(Instances!N341:Instances!N341),"min", MIN(Instances!N341:Instances!N341),"max", MAX(Instances!N341:Instances!N341),"diff", MAX(Instances!N341:Instances!N341)-MIN(Instances!N341:Instances!N341))</f>
        <v>0</v>
      </c>
      <c r="O341" s="1"/>
      <c r="P341" s="1" cm="1">
        <f t="array" ref="P341">_xlfn.SWITCH($A$2,"average", AVERAGE(Instances!P341:Instances!P341),"median", MEDIAN(Instances!P341:Instances!P341),"min", MIN(Instances!P341:Instances!P341),"max", MAX(Instances!P341:Instances!P341),"diff", MAX(Instances!P341:Instances!P341)-MIN(Instances!P341:Instances!P341))</f>
        <v>0</v>
      </c>
      <c r="Q341" s="1" cm="1">
        <f t="array" ref="Q341">_xlfn.SWITCH($A$2,"average", AVERAGE(Instances!Q341:Instances!Q341),"median", MEDIAN(Instances!Q341:Instances!Q341),"min", MIN(Instances!Q341:Instances!Q341),"max", MAX(Instances!Q341:Instances!Q341),"diff", MAX(Instances!Q341:Instances!Q341)-MIN(Instances!Q341:Instances!Q341))</f>
        <v>0</v>
      </c>
      <c r="R341" s="1" cm="1">
        <f t="array" ref="R341">_xlfn.SWITCH($A$2,"average", AVERAGE(Instances!R341:Instances!R341),"median", MEDIAN(Instances!R341:Instances!R341),"min", MIN(Instances!R341:Instances!R341),"max", MAX(Instances!R341:Instances!R341),"diff", MAX(Instances!R341:Instances!R341)-MIN(Instances!R341:Instances!R341))</f>
        <v>0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 cm="1">
        <f t="array" ref="B342">_xlfn.SWITCH($A$2,"average", AVERAGE(Instances!B342:Instances!B342),"median", MEDIAN(Instances!B342:Instances!B342),"min", MIN(Instances!B342:Instances!B342),"max", MAX(Instances!B342:Instances!B342),"diff", MAX(Instances!B342:Instances!B342)-MIN(Instances!B342:Instances!B342))</f>
        <v>0</v>
      </c>
      <c r="C342" s="1" cm="1">
        <f t="array" ref="C342">_xlfn.SWITCH($A$2,"average", AVERAGE(Instances!C342:Instances!C342),"median", MEDIAN(Instances!C342:Instances!C342),"min", MIN(Instances!C342:Instances!C342),"max", MAX(Instances!C342:Instances!C342),"diff", MAX(Instances!C342:Instances!C342)-MIN(Instances!C342:Instances!C342))</f>
        <v>0</v>
      </c>
      <c r="D342" s="1" cm="1">
        <f t="array" ref="D342">_xlfn.SWITCH($A$2,"average", AVERAGE(Instances!D342:Instances!D342),"median", MEDIAN(Instances!D342:Instances!D342),"min", MIN(Instances!D342:Instances!D342),"max", MAX(Instances!D342:Instances!D342),"diff", MAX(Instances!D342:Instances!D342)-MIN(Instances!D342:Instances!D342))</f>
        <v>0</v>
      </c>
      <c r="E342" s="1" cm="1">
        <f t="array" ref="E342">_xlfn.SWITCH($A$2,"average", AVERAGE(Instances!E342:Instances!E342),"median", MEDIAN(Instances!E342:Instances!E342),"min", MIN(Instances!E342:Instances!E342),"max", MAX(Instances!E342:Instances!E342),"diff", MAX(Instances!E342:Instances!E342)-MIN(Instances!E342:Instances!E342))</f>
        <v>0</v>
      </c>
      <c r="F342" s="1" cm="1">
        <f t="array" ref="F342">_xlfn.SWITCH($A$2,"average", AVERAGE(Instances!F342:Instances!F342),"median", MEDIAN(Instances!F342:Instances!F342),"min", MIN(Instances!F342:Instances!F342),"max", MAX(Instances!F342:Instances!F342),"diff", MAX(Instances!F342:Instances!F342)-MIN(Instances!F342:Instances!F342))</f>
        <v>0</v>
      </c>
      <c r="G342" s="1" cm="1">
        <f t="array" ref="G342">_xlfn.SWITCH($A$2,"average", AVERAGE(Instances!G342:Instances!G342),"median", MEDIAN(Instances!G342:Instances!G342),"min", MIN(Instances!G342:Instances!G342),"max", MAX(Instances!G342:Instances!G342),"diff", MAX(Instances!G342:Instances!G342)-MIN(Instances!G342:Instances!G342))</f>
        <v>0</v>
      </c>
      <c r="H342" s="1" cm="1">
        <f t="array" ref="H342">_xlfn.SWITCH($A$2,"average", AVERAGE(Instances!H342:Instances!H342),"median", MEDIAN(Instances!H342:Instances!H342),"min", MIN(Instances!H342:Instances!H342),"max", MAX(Instances!H342:Instances!H342),"diff", MAX(Instances!H342:Instances!H342)-MIN(Instances!H342:Instances!H342))</f>
        <v>0</v>
      </c>
      <c r="I342" s="1" cm="1">
        <f t="array" ref="I342">_xlfn.SWITCH($A$2,"average", AVERAGE(Instances!I342:Instances!I342),"median", MEDIAN(Instances!I342:Instances!I342),"min", MIN(Instances!I342:Instances!I342),"max", MAX(Instances!I342:Instances!I342),"diff", MAX(Instances!I342:Instances!I342)-MIN(Instances!I342:Instances!I342))</f>
        <v>0</v>
      </c>
      <c r="J342" s="1" cm="1">
        <f t="array" ref="J342">_xlfn.SWITCH($A$2,"average", AVERAGE(Instances!J342:Instances!J342),"median", MEDIAN(Instances!J342:Instances!J342),"min", MIN(Instances!J342:Instances!J342),"max", MAX(Instances!J342:Instances!J342),"diff", MAX(Instances!J342:Instances!J342)-MIN(Instances!J342:Instances!J342))</f>
        <v>0</v>
      </c>
      <c r="K342" s="1" cm="1">
        <f t="array" ref="K342">_xlfn.SWITCH($A$2,"average", AVERAGE(Instances!K342:Instances!K342),"median", MEDIAN(Instances!K342:Instances!K342),"min", MIN(Instances!K342:Instances!K342),"max", MAX(Instances!K342:Instances!K342),"diff", MAX(Instances!K342:Instances!K342)-MIN(Instances!K342:Instances!K342))</f>
        <v>0</v>
      </c>
      <c r="L342" s="1"/>
      <c r="M342" s="1" cm="1">
        <f t="array" ref="M342">_xlfn.SWITCH($A$2,"average", AVERAGE(Instances!M342:Instances!M342),"median", MEDIAN(Instances!M342:Instances!M342),"min", MIN(Instances!M342:Instances!M342),"max", MAX(Instances!M342:Instances!M342),"diff", MAX(Instances!M342:Instances!M342)-MIN(Instances!M342:Instances!M342))</f>
        <v>0</v>
      </c>
      <c r="N342" s="1" cm="1">
        <f t="array" ref="N342">_xlfn.SWITCH($A$2,"average", AVERAGE(Instances!N342:Instances!N342),"median", MEDIAN(Instances!N342:Instances!N342),"min", MIN(Instances!N342:Instances!N342),"max", MAX(Instances!N342:Instances!N342),"diff", MAX(Instances!N342:Instances!N342)-MIN(Instances!N342:Instances!N342))</f>
        <v>0</v>
      </c>
      <c r="O342" s="1"/>
      <c r="P342" s="1" cm="1">
        <f t="array" ref="P342">_xlfn.SWITCH($A$2,"average", AVERAGE(Instances!P342:Instances!P342),"median", MEDIAN(Instances!P342:Instances!P342),"min", MIN(Instances!P342:Instances!P342),"max", MAX(Instances!P342:Instances!P342),"diff", MAX(Instances!P342:Instances!P342)-MIN(Instances!P342:Instances!P342))</f>
        <v>0</v>
      </c>
      <c r="Q342" s="1" cm="1">
        <f t="array" ref="Q342">_xlfn.SWITCH($A$2,"average", AVERAGE(Instances!Q342:Instances!Q342),"median", MEDIAN(Instances!Q342:Instances!Q342),"min", MIN(Instances!Q342:Instances!Q342),"max", MAX(Instances!Q342:Instances!Q342),"diff", MAX(Instances!Q342:Instances!Q342)-MIN(Instances!Q342:Instances!Q342))</f>
        <v>0</v>
      </c>
      <c r="R342" s="1" cm="1">
        <f t="array" ref="R342">_xlfn.SWITCH($A$2,"average", AVERAGE(Instances!R342:Instances!R342),"median", MEDIAN(Instances!R342:Instances!R342),"min", MIN(Instances!R342:Instances!R342),"max", MAX(Instances!R342:Instances!R342),"diff", MAX(Instances!R342:Instances!R342)-MIN(Instances!R342:Instances!R342))</f>
        <v>0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 cm="1">
        <f t="array" ref="B343">_xlfn.SWITCH($A$2,"average", AVERAGE(Instances!B343:Instances!B343),"median", MEDIAN(Instances!B343:Instances!B343),"min", MIN(Instances!B343:Instances!B343),"max", MAX(Instances!B343:Instances!B343),"diff", MAX(Instances!B343:Instances!B343)-MIN(Instances!B343:Instances!B343))</f>
        <v>0</v>
      </c>
      <c r="C343" s="1" cm="1">
        <f t="array" ref="C343">_xlfn.SWITCH($A$2,"average", AVERAGE(Instances!C343:Instances!C343),"median", MEDIAN(Instances!C343:Instances!C343),"min", MIN(Instances!C343:Instances!C343),"max", MAX(Instances!C343:Instances!C343),"diff", MAX(Instances!C343:Instances!C343)-MIN(Instances!C343:Instances!C343))</f>
        <v>0</v>
      </c>
      <c r="D343" s="1" cm="1">
        <f t="array" ref="D343">_xlfn.SWITCH($A$2,"average", AVERAGE(Instances!D343:Instances!D343),"median", MEDIAN(Instances!D343:Instances!D343),"min", MIN(Instances!D343:Instances!D343),"max", MAX(Instances!D343:Instances!D343),"diff", MAX(Instances!D343:Instances!D343)-MIN(Instances!D343:Instances!D343))</f>
        <v>0</v>
      </c>
      <c r="E343" s="1" cm="1">
        <f t="array" ref="E343">_xlfn.SWITCH($A$2,"average", AVERAGE(Instances!E343:Instances!E343),"median", MEDIAN(Instances!E343:Instances!E343),"min", MIN(Instances!E343:Instances!E343),"max", MAX(Instances!E343:Instances!E343),"diff", MAX(Instances!E343:Instances!E343)-MIN(Instances!E343:Instances!E343))</f>
        <v>0</v>
      </c>
      <c r="F343" s="1" cm="1">
        <f t="array" ref="F343">_xlfn.SWITCH($A$2,"average", AVERAGE(Instances!F343:Instances!F343),"median", MEDIAN(Instances!F343:Instances!F343),"min", MIN(Instances!F343:Instances!F343),"max", MAX(Instances!F343:Instances!F343),"diff", MAX(Instances!F343:Instances!F343)-MIN(Instances!F343:Instances!F343))</f>
        <v>0</v>
      </c>
      <c r="G343" s="1" cm="1">
        <f t="array" ref="G343">_xlfn.SWITCH($A$2,"average", AVERAGE(Instances!G343:Instances!G343),"median", MEDIAN(Instances!G343:Instances!G343),"min", MIN(Instances!G343:Instances!G343),"max", MAX(Instances!G343:Instances!G343),"diff", MAX(Instances!G343:Instances!G343)-MIN(Instances!G343:Instances!G343))</f>
        <v>0</v>
      </c>
      <c r="H343" s="1" cm="1">
        <f t="array" ref="H343">_xlfn.SWITCH($A$2,"average", AVERAGE(Instances!H343:Instances!H343),"median", MEDIAN(Instances!H343:Instances!H343),"min", MIN(Instances!H343:Instances!H343),"max", MAX(Instances!H343:Instances!H343),"diff", MAX(Instances!H343:Instances!H343)-MIN(Instances!H343:Instances!H343))</f>
        <v>0</v>
      </c>
      <c r="I343" s="1" cm="1">
        <f t="array" ref="I343">_xlfn.SWITCH($A$2,"average", AVERAGE(Instances!I343:Instances!I343),"median", MEDIAN(Instances!I343:Instances!I343),"min", MIN(Instances!I343:Instances!I343),"max", MAX(Instances!I343:Instances!I343),"diff", MAX(Instances!I343:Instances!I343)-MIN(Instances!I343:Instances!I343))</f>
        <v>0</v>
      </c>
      <c r="J343" s="1" cm="1">
        <f t="array" ref="J343">_xlfn.SWITCH($A$2,"average", AVERAGE(Instances!J343:Instances!J343),"median", MEDIAN(Instances!J343:Instances!J343),"min", MIN(Instances!J343:Instances!J343),"max", MAX(Instances!J343:Instances!J343),"diff", MAX(Instances!J343:Instances!J343)-MIN(Instances!J343:Instances!J343))</f>
        <v>0</v>
      </c>
      <c r="K343" s="1" cm="1">
        <f t="array" ref="K343">_xlfn.SWITCH($A$2,"average", AVERAGE(Instances!K343:Instances!K343),"median", MEDIAN(Instances!K343:Instances!K343),"min", MIN(Instances!K343:Instances!K343),"max", MAX(Instances!K343:Instances!K343),"diff", MAX(Instances!K343:Instances!K343)-MIN(Instances!K343:Instances!K343))</f>
        <v>0</v>
      </c>
      <c r="L343" s="1"/>
      <c r="M343" s="1" cm="1">
        <f t="array" ref="M343">_xlfn.SWITCH($A$2,"average", AVERAGE(Instances!M343:Instances!M343),"median", MEDIAN(Instances!M343:Instances!M343),"min", MIN(Instances!M343:Instances!M343),"max", MAX(Instances!M343:Instances!M343),"diff", MAX(Instances!M343:Instances!M343)-MIN(Instances!M343:Instances!M343))</f>
        <v>0</v>
      </c>
      <c r="N343" s="1" cm="1">
        <f t="array" ref="N343">_xlfn.SWITCH($A$2,"average", AVERAGE(Instances!N343:Instances!N343),"median", MEDIAN(Instances!N343:Instances!N343),"min", MIN(Instances!N343:Instances!N343),"max", MAX(Instances!N343:Instances!N343),"diff", MAX(Instances!N343:Instances!N343)-MIN(Instances!N343:Instances!N343))</f>
        <v>0</v>
      </c>
      <c r="O343" s="1"/>
      <c r="P343" s="1" cm="1">
        <f t="array" ref="P343">_xlfn.SWITCH($A$2,"average", AVERAGE(Instances!P343:Instances!P343),"median", MEDIAN(Instances!P343:Instances!P343),"min", MIN(Instances!P343:Instances!P343),"max", MAX(Instances!P343:Instances!P343),"diff", MAX(Instances!P343:Instances!P343)-MIN(Instances!P343:Instances!P343))</f>
        <v>0</v>
      </c>
      <c r="Q343" s="1" cm="1">
        <f t="array" ref="Q343">_xlfn.SWITCH($A$2,"average", AVERAGE(Instances!Q343:Instances!Q343),"median", MEDIAN(Instances!Q343:Instances!Q343),"min", MIN(Instances!Q343:Instances!Q343),"max", MAX(Instances!Q343:Instances!Q343),"diff", MAX(Instances!Q343:Instances!Q343)-MIN(Instances!Q343:Instances!Q343))</f>
        <v>0</v>
      </c>
      <c r="R343" s="1" cm="1">
        <f t="array" ref="R343">_xlfn.SWITCH($A$2,"average", AVERAGE(Instances!R343:Instances!R343),"median", MEDIAN(Instances!R343:Instances!R343),"min", MIN(Instances!R343:Instances!R343),"max", MAX(Instances!R343:Instances!R343),"diff", MAX(Instances!R343:Instances!R343)-MIN(Instances!R343:Instances!R343))</f>
        <v>0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 cm="1">
        <f t="array" ref="B344">_xlfn.SWITCH($A$2,"average", AVERAGE(Instances!B344:Instances!B344),"median", MEDIAN(Instances!B344:Instances!B344),"min", MIN(Instances!B344:Instances!B344),"max", MAX(Instances!B344:Instances!B344),"diff", MAX(Instances!B344:Instances!B344)-MIN(Instances!B344:Instances!B344))</f>
        <v>0</v>
      </c>
      <c r="C344" s="1" cm="1">
        <f t="array" ref="C344">_xlfn.SWITCH($A$2,"average", AVERAGE(Instances!C344:Instances!C344),"median", MEDIAN(Instances!C344:Instances!C344),"min", MIN(Instances!C344:Instances!C344),"max", MAX(Instances!C344:Instances!C344),"diff", MAX(Instances!C344:Instances!C344)-MIN(Instances!C344:Instances!C344))</f>
        <v>0</v>
      </c>
      <c r="D344" s="1" cm="1">
        <f t="array" ref="D344">_xlfn.SWITCH($A$2,"average", AVERAGE(Instances!D344:Instances!D344),"median", MEDIAN(Instances!D344:Instances!D344),"min", MIN(Instances!D344:Instances!D344),"max", MAX(Instances!D344:Instances!D344),"diff", MAX(Instances!D344:Instances!D344)-MIN(Instances!D344:Instances!D344))</f>
        <v>0</v>
      </c>
      <c r="E344" s="1" cm="1">
        <f t="array" ref="E344">_xlfn.SWITCH($A$2,"average", AVERAGE(Instances!E344:Instances!E344),"median", MEDIAN(Instances!E344:Instances!E344),"min", MIN(Instances!E344:Instances!E344),"max", MAX(Instances!E344:Instances!E344),"diff", MAX(Instances!E344:Instances!E344)-MIN(Instances!E344:Instances!E344))</f>
        <v>0</v>
      </c>
      <c r="F344" s="1" cm="1">
        <f t="array" ref="F344">_xlfn.SWITCH($A$2,"average", AVERAGE(Instances!F344:Instances!F344),"median", MEDIAN(Instances!F344:Instances!F344),"min", MIN(Instances!F344:Instances!F344),"max", MAX(Instances!F344:Instances!F344),"diff", MAX(Instances!F344:Instances!F344)-MIN(Instances!F344:Instances!F344))</f>
        <v>0</v>
      </c>
      <c r="G344" s="1" cm="1">
        <f t="array" ref="G344">_xlfn.SWITCH($A$2,"average", AVERAGE(Instances!G344:Instances!G344),"median", MEDIAN(Instances!G344:Instances!G344),"min", MIN(Instances!G344:Instances!G344),"max", MAX(Instances!G344:Instances!G344),"diff", MAX(Instances!G344:Instances!G344)-MIN(Instances!G344:Instances!G344))</f>
        <v>0</v>
      </c>
      <c r="H344" s="1" cm="1">
        <f t="array" ref="H344">_xlfn.SWITCH($A$2,"average", AVERAGE(Instances!H344:Instances!H344),"median", MEDIAN(Instances!H344:Instances!H344),"min", MIN(Instances!H344:Instances!H344),"max", MAX(Instances!H344:Instances!H344),"diff", MAX(Instances!H344:Instances!H344)-MIN(Instances!H344:Instances!H344))</f>
        <v>0</v>
      </c>
      <c r="I344" s="1" cm="1">
        <f t="array" ref="I344">_xlfn.SWITCH($A$2,"average", AVERAGE(Instances!I344:Instances!I344),"median", MEDIAN(Instances!I344:Instances!I344),"min", MIN(Instances!I344:Instances!I344),"max", MAX(Instances!I344:Instances!I344),"diff", MAX(Instances!I344:Instances!I344)-MIN(Instances!I344:Instances!I344))</f>
        <v>0</v>
      </c>
      <c r="J344" s="1" cm="1">
        <f t="array" ref="J344">_xlfn.SWITCH($A$2,"average", AVERAGE(Instances!J344:Instances!J344),"median", MEDIAN(Instances!J344:Instances!J344),"min", MIN(Instances!J344:Instances!J344),"max", MAX(Instances!J344:Instances!J344),"diff", MAX(Instances!J344:Instances!J344)-MIN(Instances!J344:Instances!J344))</f>
        <v>0</v>
      </c>
      <c r="K344" s="1" cm="1">
        <f t="array" ref="K344">_xlfn.SWITCH($A$2,"average", AVERAGE(Instances!K344:Instances!K344),"median", MEDIAN(Instances!K344:Instances!K344),"min", MIN(Instances!K344:Instances!K344),"max", MAX(Instances!K344:Instances!K344),"diff", MAX(Instances!K344:Instances!K344)-MIN(Instances!K344:Instances!K344))</f>
        <v>0</v>
      </c>
      <c r="L344" s="1"/>
      <c r="M344" s="1" cm="1">
        <f t="array" ref="M344">_xlfn.SWITCH($A$2,"average", AVERAGE(Instances!M344:Instances!M344),"median", MEDIAN(Instances!M344:Instances!M344),"min", MIN(Instances!M344:Instances!M344),"max", MAX(Instances!M344:Instances!M344),"diff", MAX(Instances!M344:Instances!M344)-MIN(Instances!M344:Instances!M344))</f>
        <v>0</v>
      </c>
      <c r="N344" s="1" cm="1">
        <f t="array" ref="N344">_xlfn.SWITCH($A$2,"average", AVERAGE(Instances!N344:Instances!N344),"median", MEDIAN(Instances!N344:Instances!N344),"min", MIN(Instances!N344:Instances!N344),"max", MAX(Instances!N344:Instances!N344),"diff", MAX(Instances!N344:Instances!N344)-MIN(Instances!N344:Instances!N344))</f>
        <v>0</v>
      </c>
      <c r="O344" s="1"/>
      <c r="P344" s="1" cm="1">
        <f t="array" ref="P344">_xlfn.SWITCH($A$2,"average", AVERAGE(Instances!P344:Instances!P344),"median", MEDIAN(Instances!P344:Instances!P344),"min", MIN(Instances!P344:Instances!P344),"max", MAX(Instances!P344:Instances!P344),"diff", MAX(Instances!P344:Instances!P344)-MIN(Instances!P344:Instances!P344))</f>
        <v>0</v>
      </c>
      <c r="Q344" s="1" cm="1">
        <f t="array" ref="Q344">_xlfn.SWITCH($A$2,"average", AVERAGE(Instances!Q344:Instances!Q344),"median", MEDIAN(Instances!Q344:Instances!Q344),"min", MIN(Instances!Q344:Instances!Q344),"max", MAX(Instances!Q344:Instances!Q344),"diff", MAX(Instances!Q344:Instances!Q344)-MIN(Instances!Q344:Instances!Q344))</f>
        <v>0</v>
      </c>
      <c r="R344" s="1" cm="1">
        <f t="array" ref="R344">_xlfn.SWITCH($A$2,"average", AVERAGE(Instances!R344:Instances!R344),"median", MEDIAN(Instances!R344:Instances!R344),"min", MIN(Instances!R344:Instances!R344),"max", MAX(Instances!R344:Instances!R344),"diff", MAX(Instances!R344:Instances!R344)-MIN(Instances!R344:Instances!R344))</f>
        <v>0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 cm="1">
        <f t="array" ref="B345">_xlfn.SWITCH($A$2,"average", AVERAGE(Instances!B345:Instances!B345),"median", MEDIAN(Instances!B345:Instances!B345),"min", MIN(Instances!B345:Instances!B345),"max", MAX(Instances!B345:Instances!B345),"diff", MAX(Instances!B345:Instances!B345)-MIN(Instances!B345:Instances!B345))</f>
        <v>0</v>
      </c>
      <c r="C345" s="1" cm="1">
        <f t="array" ref="C345">_xlfn.SWITCH($A$2,"average", AVERAGE(Instances!C345:Instances!C345),"median", MEDIAN(Instances!C345:Instances!C345),"min", MIN(Instances!C345:Instances!C345),"max", MAX(Instances!C345:Instances!C345),"diff", MAX(Instances!C345:Instances!C345)-MIN(Instances!C345:Instances!C345))</f>
        <v>0</v>
      </c>
      <c r="D345" s="1" cm="1">
        <f t="array" ref="D345">_xlfn.SWITCH($A$2,"average", AVERAGE(Instances!D345:Instances!D345),"median", MEDIAN(Instances!D345:Instances!D345),"min", MIN(Instances!D345:Instances!D345),"max", MAX(Instances!D345:Instances!D345),"diff", MAX(Instances!D345:Instances!D345)-MIN(Instances!D345:Instances!D345))</f>
        <v>0</v>
      </c>
      <c r="E345" s="1" cm="1">
        <f t="array" ref="E345">_xlfn.SWITCH($A$2,"average", AVERAGE(Instances!E345:Instances!E345),"median", MEDIAN(Instances!E345:Instances!E345),"min", MIN(Instances!E345:Instances!E345),"max", MAX(Instances!E345:Instances!E345),"diff", MAX(Instances!E345:Instances!E345)-MIN(Instances!E345:Instances!E345))</f>
        <v>0</v>
      </c>
      <c r="F345" s="1" cm="1">
        <f t="array" ref="F345">_xlfn.SWITCH($A$2,"average", AVERAGE(Instances!F345:Instances!F345),"median", MEDIAN(Instances!F345:Instances!F345),"min", MIN(Instances!F345:Instances!F345),"max", MAX(Instances!F345:Instances!F345),"diff", MAX(Instances!F345:Instances!F345)-MIN(Instances!F345:Instances!F345))</f>
        <v>0</v>
      </c>
      <c r="G345" s="1" cm="1">
        <f t="array" ref="G345">_xlfn.SWITCH($A$2,"average", AVERAGE(Instances!G345:Instances!G345),"median", MEDIAN(Instances!G345:Instances!G345),"min", MIN(Instances!G345:Instances!G345),"max", MAX(Instances!G345:Instances!G345),"diff", MAX(Instances!G345:Instances!G345)-MIN(Instances!G345:Instances!G345))</f>
        <v>0</v>
      </c>
      <c r="H345" s="1" cm="1">
        <f t="array" ref="H345">_xlfn.SWITCH($A$2,"average", AVERAGE(Instances!H345:Instances!H345),"median", MEDIAN(Instances!H345:Instances!H345),"min", MIN(Instances!H345:Instances!H345),"max", MAX(Instances!H345:Instances!H345),"diff", MAX(Instances!H345:Instances!H345)-MIN(Instances!H345:Instances!H345))</f>
        <v>0</v>
      </c>
      <c r="I345" s="1" cm="1">
        <f t="array" ref="I345">_xlfn.SWITCH($A$2,"average", AVERAGE(Instances!I345:Instances!I345),"median", MEDIAN(Instances!I345:Instances!I345),"min", MIN(Instances!I345:Instances!I345),"max", MAX(Instances!I345:Instances!I345),"diff", MAX(Instances!I345:Instances!I345)-MIN(Instances!I345:Instances!I345))</f>
        <v>0</v>
      </c>
      <c r="J345" s="1" cm="1">
        <f t="array" ref="J345">_xlfn.SWITCH($A$2,"average", AVERAGE(Instances!J345:Instances!J345),"median", MEDIAN(Instances!J345:Instances!J345),"min", MIN(Instances!J345:Instances!J345),"max", MAX(Instances!J345:Instances!J345),"diff", MAX(Instances!J345:Instances!J345)-MIN(Instances!J345:Instances!J345))</f>
        <v>0</v>
      </c>
      <c r="K345" s="1" cm="1">
        <f t="array" ref="K345">_xlfn.SWITCH($A$2,"average", AVERAGE(Instances!K345:Instances!K345),"median", MEDIAN(Instances!K345:Instances!K345),"min", MIN(Instances!K345:Instances!K345),"max", MAX(Instances!K345:Instances!K345),"diff", MAX(Instances!K345:Instances!K345)-MIN(Instances!K345:Instances!K345))</f>
        <v>0</v>
      </c>
      <c r="L345" s="1"/>
      <c r="M345" s="1" cm="1">
        <f t="array" ref="M345">_xlfn.SWITCH($A$2,"average", AVERAGE(Instances!M345:Instances!M345),"median", MEDIAN(Instances!M345:Instances!M345),"min", MIN(Instances!M345:Instances!M345),"max", MAX(Instances!M345:Instances!M345),"diff", MAX(Instances!M345:Instances!M345)-MIN(Instances!M345:Instances!M345))</f>
        <v>0</v>
      </c>
      <c r="N345" s="1" cm="1">
        <f t="array" ref="N345">_xlfn.SWITCH($A$2,"average", AVERAGE(Instances!N345:Instances!N345),"median", MEDIAN(Instances!N345:Instances!N345),"min", MIN(Instances!N345:Instances!N345),"max", MAX(Instances!N345:Instances!N345),"diff", MAX(Instances!N345:Instances!N345)-MIN(Instances!N345:Instances!N345))</f>
        <v>0</v>
      </c>
      <c r="O345" s="1"/>
      <c r="P345" s="1" cm="1">
        <f t="array" ref="P345">_xlfn.SWITCH($A$2,"average", AVERAGE(Instances!P345:Instances!P345),"median", MEDIAN(Instances!P345:Instances!P345),"min", MIN(Instances!P345:Instances!P345),"max", MAX(Instances!P345:Instances!P345),"diff", MAX(Instances!P345:Instances!P345)-MIN(Instances!P345:Instances!P345))</f>
        <v>0</v>
      </c>
      <c r="Q345" s="1" cm="1">
        <f t="array" ref="Q345">_xlfn.SWITCH($A$2,"average", AVERAGE(Instances!Q345:Instances!Q345),"median", MEDIAN(Instances!Q345:Instances!Q345),"min", MIN(Instances!Q345:Instances!Q345),"max", MAX(Instances!Q345:Instances!Q345),"diff", MAX(Instances!Q345:Instances!Q345)-MIN(Instances!Q345:Instances!Q345))</f>
        <v>0</v>
      </c>
      <c r="R345" s="1" cm="1">
        <f t="array" ref="R345">_xlfn.SWITCH($A$2,"average", AVERAGE(Instances!R345:Instances!R345),"median", MEDIAN(Instances!R345:Instances!R345),"min", MIN(Instances!R345:Instances!R345),"max", MAX(Instances!R345:Instances!R345),"diff", MAX(Instances!R345:Instances!R345)-MIN(Instances!R345:Instances!R345))</f>
        <v>0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 cm="1">
        <f t="array" ref="B346">_xlfn.SWITCH($A$2,"average", AVERAGE(Instances!B346:Instances!B346),"median", MEDIAN(Instances!B346:Instances!B346),"min", MIN(Instances!B346:Instances!B346),"max", MAX(Instances!B346:Instances!B346),"diff", MAX(Instances!B346:Instances!B346)-MIN(Instances!B346:Instances!B346))</f>
        <v>0</v>
      </c>
      <c r="C346" s="1" cm="1">
        <f t="array" ref="C346">_xlfn.SWITCH($A$2,"average", AVERAGE(Instances!C346:Instances!C346),"median", MEDIAN(Instances!C346:Instances!C346),"min", MIN(Instances!C346:Instances!C346),"max", MAX(Instances!C346:Instances!C346),"diff", MAX(Instances!C346:Instances!C346)-MIN(Instances!C346:Instances!C346))</f>
        <v>0</v>
      </c>
      <c r="D346" s="1" cm="1">
        <f t="array" ref="D346">_xlfn.SWITCH($A$2,"average", AVERAGE(Instances!D346:Instances!D346),"median", MEDIAN(Instances!D346:Instances!D346),"min", MIN(Instances!D346:Instances!D346),"max", MAX(Instances!D346:Instances!D346),"diff", MAX(Instances!D346:Instances!D346)-MIN(Instances!D346:Instances!D346))</f>
        <v>0</v>
      </c>
      <c r="E346" s="1" cm="1">
        <f t="array" ref="E346">_xlfn.SWITCH($A$2,"average", AVERAGE(Instances!E346:Instances!E346),"median", MEDIAN(Instances!E346:Instances!E346),"min", MIN(Instances!E346:Instances!E346),"max", MAX(Instances!E346:Instances!E346),"diff", MAX(Instances!E346:Instances!E346)-MIN(Instances!E346:Instances!E346))</f>
        <v>0</v>
      </c>
      <c r="F346" s="1" cm="1">
        <f t="array" ref="F346">_xlfn.SWITCH($A$2,"average", AVERAGE(Instances!F346:Instances!F346),"median", MEDIAN(Instances!F346:Instances!F346),"min", MIN(Instances!F346:Instances!F346),"max", MAX(Instances!F346:Instances!F346),"diff", MAX(Instances!F346:Instances!F346)-MIN(Instances!F346:Instances!F346))</f>
        <v>0</v>
      </c>
      <c r="G346" s="1" cm="1">
        <f t="array" ref="G346">_xlfn.SWITCH($A$2,"average", AVERAGE(Instances!G346:Instances!G346),"median", MEDIAN(Instances!G346:Instances!G346),"min", MIN(Instances!G346:Instances!G346),"max", MAX(Instances!G346:Instances!G346),"diff", MAX(Instances!G346:Instances!G346)-MIN(Instances!G346:Instances!G346))</f>
        <v>0</v>
      </c>
      <c r="H346" s="1" cm="1">
        <f t="array" ref="H346">_xlfn.SWITCH($A$2,"average", AVERAGE(Instances!H346:Instances!H346),"median", MEDIAN(Instances!H346:Instances!H346),"min", MIN(Instances!H346:Instances!H346),"max", MAX(Instances!H346:Instances!H346),"diff", MAX(Instances!H346:Instances!H346)-MIN(Instances!H346:Instances!H346))</f>
        <v>0</v>
      </c>
      <c r="I346" s="1" cm="1">
        <f t="array" ref="I346">_xlfn.SWITCH($A$2,"average", AVERAGE(Instances!I346:Instances!I346),"median", MEDIAN(Instances!I346:Instances!I346),"min", MIN(Instances!I346:Instances!I346),"max", MAX(Instances!I346:Instances!I346),"diff", MAX(Instances!I346:Instances!I346)-MIN(Instances!I346:Instances!I346))</f>
        <v>0</v>
      </c>
      <c r="J346" s="1" cm="1">
        <f t="array" ref="J346">_xlfn.SWITCH($A$2,"average", AVERAGE(Instances!J346:Instances!J346),"median", MEDIAN(Instances!J346:Instances!J346),"min", MIN(Instances!J346:Instances!J346),"max", MAX(Instances!J346:Instances!J346),"diff", MAX(Instances!J346:Instances!J346)-MIN(Instances!J346:Instances!J346))</f>
        <v>0</v>
      </c>
      <c r="K346" s="1" cm="1">
        <f t="array" ref="K346">_xlfn.SWITCH($A$2,"average", AVERAGE(Instances!K346:Instances!K346),"median", MEDIAN(Instances!K346:Instances!K346),"min", MIN(Instances!K346:Instances!K346),"max", MAX(Instances!K346:Instances!K346),"diff", MAX(Instances!K346:Instances!K346)-MIN(Instances!K346:Instances!K346))</f>
        <v>0</v>
      </c>
      <c r="L346" s="1"/>
      <c r="M346" s="1" cm="1">
        <f t="array" ref="M346">_xlfn.SWITCH($A$2,"average", AVERAGE(Instances!M346:Instances!M346),"median", MEDIAN(Instances!M346:Instances!M346),"min", MIN(Instances!M346:Instances!M346),"max", MAX(Instances!M346:Instances!M346),"diff", MAX(Instances!M346:Instances!M346)-MIN(Instances!M346:Instances!M346))</f>
        <v>0</v>
      </c>
      <c r="N346" s="1" cm="1">
        <f t="array" ref="N346">_xlfn.SWITCH($A$2,"average", AVERAGE(Instances!N346:Instances!N346),"median", MEDIAN(Instances!N346:Instances!N346),"min", MIN(Instances!N346:Instances!N346),"max", MAX(Instances!N346:Instances!N346),"diff", MAX(Instances!N346:Instances!N346)-MIN(Instances!N346:Instances!N346))</f>
        <v>0</v>
      </c>
      <c r="O346" s="1"/>
      <c r="P346" s="1" cm="1">
        <f t="array" ref="P346">_xlfn.SWITCH($A$2,"average", AVERAGE(Instances!P346:Instances!P346),"median", MEDIAN(Instances!P346:Instances!P346),"min", MIN(Instances!P346:Instances!P346),"max", MAX(Instances!P346:Instances!P346),"diff", MAX(Instances!P346:Instances!P346)-MIN(Instances!P346:Instances!P346))</f>
        <v>0</v>
      </c>
      <c r="Q346" s="1" cm="1">
        <f t="array" ref="Q346">_xlfn.SWITCH($A$2,"average", AVERAGE(Instances!Q346:Instances!Q346),"median", MEDIAN(Instances!Q346:Instances!Q346),"min", MIN(Instances!Q346:Instances!Q346),"max", MAX(Instances!Q346:Instances!Q346),"diff", MAX(Instances!Q346:Instances!Q346)-MIN(Instances!Q346:Instances!Q346))</f>
        <v>0</v>
      </c>
      <c r="R346" s="1" cm="1">
        <f t="array" ref="R346">_xlfn.SWITCH($A$2,"average", AVERAGE(Instances!R346:Instances!R346),"median", MEDIAN(Instances!R346:Instances!R346),"min", MIN(Instances!R346:Instances!R346),"max", MAX(Instances!R346:Instances!R346),"diff", MAX(Instances!R346:Instances!R346)-MIN(Instances!R346:Instances!R346))</f>
        <v>0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 cm="1">
        <f t="array" ref="B347">_xlfn.SWITCH($A$2,"average", AVERAGE(Instances!B347:Instances!B347),"median", MEDIAN(Instances!B347:Instances!B347),"min", MIN(Instances!B347:Instances!B347),"max", MAX(Instances!B347:Instances!B347),"diff", MAX(Instances!B347:Instances!B347)-MIN(Instances!B347:Instances!B347))</f>
        <v>0</v>
      </c>
      <c r="C347" s="1" cm="1">
        <f t="array" ref="C347">_xlfn.SWITCH($A$2,"average", AVERAGE(Instances!C347:Instances!C347),"median", MEDIAN(Instances!C347:Instances!C347),"min", MIN(Instances!C347:Instances!C347),"max", MAX(Instances!C347:Instances!C347),"diff", MAX(Instances!C347:Instances!C347)-MIN(Instances!C347:Instances!C347))</f>
        <v>0</v>
      </c>
      <c r="D347" s="1" cm="1">
        <f t="array" ref="D347">_xlfn.SWITCH($A$2,"average", AVERAGE(Instances!D347:Instances!D347),"median", MEDIAN(Instances!D347:Instances!D347),"min", MIN(Instances!D347:Instances!D347),"max", MAX(Instances!D347:Instances!D347),"diff", MAX(Instances!D347:Instances!D347)-MIN(Instances!D347:Instances!D347))</f>
        <v>0</v>
      </c>
      <c r="E347" s="1" cm="1">
        <f t="array" ref="E347">_xlfn.SWITCH($A$2,"average", AVERAGE(Instances!E347:Instances!E347),"median", MEDIAN(Instances!E347:Instances!E347),"min", MIN(Instances!E347:Instances!E347),"max", MAX(Instances!E347:Instances!E347),"diff", MAX(Instances!E347:Instances!E347)-MIN(Instances!E347:Instances!E347))</f>
        <v>0</v>
      </c>
      <c r="F347" s="1" cm="1">
        <f t="array" ref="F347">_xlfn.SWITCH($A$2,"average", AVERAGE(Instances!F347:Instances!F347),"median", MEDIAN(Instances!F347:Instances!F347),"min", MIN(Instances!F347:Instances!F347),"max", MAX(Instances!F347:Instances!F347),"diff", MAX(Instances!F347:Instances!F347)-MIN(Instances!F347:Instances!F347))</f>
        <v>0</v>
      </c>
      <c r="G347" s="1" cm="1">
        <f t="array" ref="G347">_xlfn.SWITCH($A$2,"average", AVERAGE(Instances!G347:Instances!G347),"median", MEDIAN(Instances!G347:Instances!G347),"min", MIN(Instances!G347:Instances!G347),"max", MAX(Instances!G347:Instances!G347),"diff", MAX(Instances!G347:Instances!G347)-MIN(Instances!G347:Instances!G347))</f>
        <v>0</v>
      </c>
      <c r="H347" s="1" cm="1">
        <f t="array" ref="H347">_xlfn.SWITCH($A$2,"average", AVERAGE(Instances!H347:Instances!H347),"median", MEDIAN(Instances!H347:Instances!H347),"min", MIN(Instances!H347:Instances!H347),"max", MAX(Instances!H347:Instances!H347),"diff", MAX(Instances!H347:Instances!H347)-MIN(Instances!H347:Instances!H347))</f>
        <v>0</v>
      </c>
      <c r="I347" s="1" cm="1">
        <f t="array" ref="I347">_xlfn.SWITCH($A$2,"average", AVERAGE(Instances!I347:Instances!I347),"median", MEDIAN(Instances!I347:Instances!I347),"min", MIN(Instances!I347:Instances!I347),"max", MAX(Instances!I347:Instances!I347),"diff", MAX(Instances!I347:Instances!I347)-MIN(Instances!I347:Instances!I347))</f>
        <v>0</v>
      </c>
      <c r="J347" s="1" cm="1">
        <f t="array" ref="J347">_xlfn.SWITCH($A$2,"average", AVERAGE(Instances!J347:Instances!J347),"median", MEDIAN(Instances!J347:Instances!J347),"min", MIN(Instances!J347:Instances!J347),"max", MAX(Instances!J347:Instances!J347),"diff", MAX(Instances!J347:Instances!J347)-MIN(Instances!J347:Instances!J347))</f>
        <v>0</v>
      </c>
      <c r="K347" s="1" cm="1">
        <f t="array" ref="K347">_xlfn.SWITCH($A$2,"average", AVERAGE(Instances!K347:Instances!K347),"median", MEDIAN(Instances!K347:Instances!K347),"min", MIN(Instances!K347:Instances!K347),"max", MAX(Instances!K347:Instances!K347),"diff", MAX(Instances!K347:Instances!K347)-MIN(Instances!K347:Instances!K347))</f>
        <v>0</v>
      </c>
      <c r="L347" s="1"/>
      <c r="M347" s="1" cm="1">
        <f t="array" ref="M347">_xlfn.SWITCH($A$2,"average", AVERAGE(Instances!M347:Instances!M347),"median", MEDIAN(Instances!M347:Instances!M347),"min", MIN(Instances!M347:Instances!M347),"max", MAX(Instances!M347:Instances!M347),"diff", MAX(Instances!M347:Instances!M347)-MIN(Instances!M347:Instances!M347))</f>
        <v>0</v>
      </c>
      <c r="N347" s="1" cm="1">
        <f t="array" ref="N347">_xlfn.SWITCH($A$2,"average", AVERAGE(Instances!N347:Instances!N347),"median", MEDIAN(Instances!N347:Instances!N347),"min", MIN(Instances!N347:Instances!N347),"max", MAX(Instances!N347:Instances!N347),"diff", MAX(Instances!N347:Instances!N347)-MIN(Instances!N347:Instances!N347))</f>
        <v>0</v>
      </c>
      <c r="O347" s="1"/>
      <c r="P347" s="1" cm="1">
        <f t="array" ref="P347">_xlfn.SWITCH($A$2,"average", AVERAGE(Instances!P347:Instances!P347),"median", MEDIAN(Instances!P347:Instances!P347),"min", MIN(Instances!P347:Instances!P347),"max", MAX(Instances!P347:Instances!P347),"diff", MAX(Instances!P347:Instances!P347)-MIN(Instances!P347:Instances!P347))</f>
        <v>0</v>
      </c>
      <c r="Q347" s="1" cm="1">
        <f t="array" ref="Q347">_xlfn.SWITCH($A$2,"average", AVERAGE(Instances!Q347:Instances!Q347),"median", MEDIAN(Instances!Q347:Instances!Q347),"min", MIN(Instances!Q347:Instances!Q347),"max", MAX(Instances!Q347:Instances!Q347),"diff", MAX(Instances!Q347:Instances!Q347)-MIN(Instances!Q347:Instances!Q347))</f>
        <v>0</v>
      </c>
      <c r="R347" s="1" cm="1">
        <f t="array" ref="R347">_xlfn.SWITCH($A$2,"average", AVERAGE(Instances!R347:Instances!R347),"median", MEDIAN(Instances!R347:Instances!R347),"min", MIN(Instances!R347:Instances!R347),"max", MAX(Instances!R347:Instances!R347),"diff", MAX(Instances!R347:Instances!R347)-MIN(Instances!R347:Instances!R347))</f>
        <v>0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 cm="1">
        <f t="array" ref="B348">_xlfn.SWITCH($A$2,"average", AVERAGE(Instances!B348:Instances!B348),"median", MEDIAN(Instances!B348:Instances!B348),"min", MIN(Instances!B348:Instances!B348),"max", MAX(Instances!B348:Instances!B348),"diff", MAX(Instances!B348:Instances!B348)-MIN(Instances!B348:Instances!B348))</f>
        <v>0</v>
      </c>
      <c r="C348" s="1" cm="1">
        <f t="array" ref="C348">_xlfn.SWITCH($A$2,"average", AVERAGE(Instances!C348:Instances!C348),"median", MEDIAN(Instances!C348:Instances!C348),"min", MIN(Instances!C348:Instances!C348),"max", MAX(Instances!C348:Instances!C348),"diff", MAX(Instances!C348:Instances!C348)-MIN(Instances!C348:Instances!C348))</f>
        <v>0</v>
      </c>
      <c r="D348" s="1" cm="1">
        <f t="array" ref="D348">_xlfn.SWITCH($A$2,"average", AVERAGE(Instances!D348:Instances!D348),"median", MEDIAN(Instances!D348:Instances!D348),"min", MIN(Instances!D348:Instances!D348),"max", MAX(Instances!D348:Instances!D348),"diff", MAX(Instances!D348:Instances!D348)-MIN(Instances!D348:Instances!D348))</f>
        <v>0</v>
      </c>
      <c r="E348" s="1" cm="1">
        <f t="array" ref="E348">_xlfn.SWITCH($A$2,"average", AVERAGE(Instances!E348:Instances!E348),"median", MEDIAN(Instances!E348:Instances!E348),"min", MIN(Instances!E348:Instances!E348),"max", MAX(Instances!E348:Instances!E348),"diff", MAX(Instances!E348:Instances!E348)-MIN(Instances!E348:Instances!E348))</f>
        <v>0</v>
      </c>
      <c r="F348" s="1" cm="1">
        <f t="array" ref="F348">_xlfn.SWITCH($A$2,"average", AVERAGE(Instances!F348:Instances!F348),"median", MEDIAN(Instances!F348:Instances!F348),"min", MIN(Instances!F348:Instances!F348),"max", MAX(Instances!F348:Instances!F348),"diff", MAX(Instances!F348:Instances!F348)-MIN(Instances!F348:Instances!F348))</f>
        <v>0</v>
      </c>
      <c r="G348" s="1" cm="1">
        <f t="array" ref="G348">_xlfn.SWITCH($A$2,"average", AVERAGE(Instances!G348:Instances!G348),"median", MEDIAN(Instances!G348:Instances!G348),"min", MIN(Instances!G348:Instances!G348),"max", MAX(Instances!G348:Instances!G348),"diff", MAX(Instances!G348:Instances!G348)-MIN(Instances!G348:Instances!G348))</f>
        <v>0</v>
      </c>
      <c r="H348" s="1" cm="1">
        <f t="array" ref="H348">_xlfn.SWITCH($A$2,"average", AVERAGE(Instances!H348:Instances!H348),"median", MEDIAN(Instances!H348:Instances!H348),"min", MIN(Instances!H348:Instances!H348),"max", MAX(Instances!H348:Instances!H348),"diff", MAX(Instances!H348:Instances!H348)-MIN(Instances!H348:Instances!H348))</f>
        <v>0</v>
      </c>
      <c r="I348" s="1" cm="1">
        <f t="array" ref="I348">_xlfn.SWITCH($A$2,"average", AVERAGE(Instances!I348:Instances!I348),"median", MEDIAN(Instances!I348:Instances!I348),"min", MIN(Instances!I348:Instances!I348),"max", MAX(Instances!I348:Instances!I348),"diff", MAX(Instances!I348:Instances!I348)-MIN(Instances!I348:Instances!I348))</f>
        <v>0</v>
      </c>
      <c r="J348" s="1" cm="1">
        <f t="array" ref="J348">_xlfn.SWITCH($A$2,"average", AVERAGE(Instances!J348:Instances!J348),"median", MEDIAN(Instances!J348:Instances!J348),"min", MIN(Instances!J348:Instances!J348),"max", MAX(Instances!J348:Instances!J348),"diff", MAX(Instances!J348:Instances!J348)-MIN(Instances!J348:Instances!J348))</f>
        <v>0</v>
      </c>
      <c r="K348" s="1" cm="1">
        <f t="array" ref="K348">_xlfn.SWITCH($A$2,"average", AVERAGE(Instances!K348:Instances!K348),"median", MEDIAN(Instances!K348:Instances!K348),"min", MIN(Instances!K348:Instances!K348),"max", MAX(Instances!K348:Instances!K348),"diff", MAX(Instances!K348:Instances!K348)-MIN(Instances!K348:Instances!K348))</f>
        <v>0</v>
      </c>
      <c r="L348" s="1"/>
      <c r="M348" s="1" cm="1">
        <f t="array" ref="M348">_xlfn.SWITCH($A$2,"average", AVERAGE(Instances!M348:Instances!M348),"median", MEDIAN(Instances!M348:Instances!M348),"min", MIN(Instances!M348:Instances!M348),"max", MAX(Instances!M348:Instances!M348),"diff", MAX(Instances!M348:Instances!M348)-MIN(Instances!M348:Instances!M348))</f>
        <v>0</v>
      </c>
      <c r="N348" s="1" cm="1">
        <f t="array" ref="N348">_xlfn.SWITCH($A$2,"average", AVERAGE(Instances!N348:Instances!N348),"median", MEDIAN(Instances!N348:Instances!N348),"min", MIN(Instances!N348:Instances!N348),"max", MAX(Instances!N348:Instances!N348),"diff", MAX(Instances!N348:Instances!N348)-MIN(Instances!N348:Instances!N348))</f>
        <v>0</v>
      </c>
      <c r="O348" s="1"/>
      <c r="P348" s="1" cm="1">
        <f t="array" ref="P348">_xlfn.SWITCH($A$2,"average", AVERAGE(Instances!P348:Instances!P348),"median", MEDIAN(Instances!P348:Instances!P348),"min", MIN(Instances!P348:Instances!P348),"max", MAX(Instances!P348:Instances!P348),"diff", MAX(Instances!P348:Instances!P348)-MIN(Instances!P348:Instances!P348))</f>
        <v>0</v>
      </c>
      <c r="Q348" s="1" cm="1">
        <f t="array" ref="Q348">_xlfn.SWITCH($A$2,"average", AVERAGE(Instances!Q348:Instances!Q348),"median", MEDIAN(Instances!Q348:Instances!Q348),"min", MIN(Instances!Q348:Instances!Q348),"max", MAX(Instances!Q348:Instances!Q348),"diff", MAX(Instances!Q348:Instances!Q348)-MIN(Instances!Q348:Instances!Q348))</f>
        <v>0</v>
      </c>
      <c r="R348" s="1" cm="1">
        <f t="array" ref="R348">_xlfn.SWITCH($A$2,"average", AVERAGE(Instances!R348:Instances!R348),"median", MEDIAN(Instances!R348:Instances!R348),"min", MIN(Instances!R348:Instances!R348),"max", MAX(Instances!R348:Instances!R348),"diff", MAX(Instances!R348:Instances!R348)-MIN(Instances!R348:Instances!R348))</f>
        <v>0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 cm="1">
        <f t="array" ref="B349">_xlfn.SWITCH($A$2,"average", AVERAGE(Instances!B349:Instances!B349),"median", MEDIAN(Instances!B349:Instances!B349),"min", MIN(Instances!B349:Instances!B349),"max", MAX(Instances!B349:Instances!B349),"diff", MAX(Instances!B349:Instances!B349)-MIN(Instances!B349:Instances!B349))</f>
        <v>0</v>
      </c>
      <c r="C349" s="1" cm="1">
        <f t="array" ref="C349">_xlfn.SWITCH($A$2,"average", AVERAGE(Instances!C349:Instances!C349),"median", MEDIAN(Instances!C349:Instances!C349),"min", MIN(Instances!C349:Instances!C349),"max", MAX(Instances!C349:Instances!C349),"diff", MAX(Instances!C349:Instances!C349)-MIN(Instances!C349:Instances!C349))</f>
        <v>0</v>
      </c>
      <c r="D349" s="1" cm="1">
        <f t="array" ref="D349">_xlfn.SWITCH($A$2,"average", AVERAGE(Instances!D349:Instances!D349),"median", MEDIAN(Instances!D349:Instances!D349),"min", MIN(Instances!D349:Instances!D349),"max", MAX(Instances!D349:Instances!D349),"diff", MAX(Instances!D349:Instances!D349)-MIN(Instances!D349:Instances!D349))</f>
        <v>0</v>
      </c>
      <c r="E349" s="1" cm="1">
        <f t="array" ref="E349">_xlfn.SWITCH($A$2,"average", AVERAGE(Instances!E349:Instances!E349),"median", MEDIAN(Instances!E349:Instances!E349),"min", MIN(Instances!E349:Instances!E349),"max", MAX(Instances!E349:Instances!E349),"diff", MAX(Instances!E349:Instances!E349)-MIN(Instances!E349:Instances!E349))</f>
        <v>0</v>
      </c>
      <c r="F349" s="1" cm="1">
        <f t="array" ref="F349">_xlfn.SWITCH($A$2,"average", AVERAGE(Instances!F349:Instances!F349),"median", MEDIAN(Instances!F349:Instances!F349),"min", MIN(Instances!F349:Instances!F349),"max", MAX(Instances!F349:Instances!F349),"diff", MAX(Instances!F349:Instances!F349)-MIN(Instances!F349:Instances!F349))</f>
        <v>0</v>
      </c>
      <c r="G349" s="1" cm="1">
        <f t="array" ref="G349">_xlfn.SWITCH($A$2,"average", AVERAGE(Instances!G349:Instances!G349),"median", MEDIAN(Instances!G349:Instances!G349),"min", MIN(Instances!G349:Instances!G349),"max", MAX(Instances!G349:Instances!G349),"diff", MAX(Instances!G349:Instances!G349)-MIN(Instances!G349:Instances!G349))</f>
        <v>0</v>
      </c>
      <c r="H349" s="1" cm="1">
        <f t="array" ref="H349">_xlfn.SWITCH($A$2,"average", AVERAGE(Instances!H349:Instances!H349),"median", MEDIAN(Instances!H349:Instances!H349),"min", MIN(Instances!H349:Instances!H349),"max", MAX(Instances!H349:Instances!H349),"diff", MAX(Instances!H349:Instances!H349)-MIN(Instances!H349:Instances!H349))</f>
        <v>0</v>
      </c>
      <c r="I349" s="1" cm="1">
        <f t="array" ref="I349">_xlfn.SWITCH($A$2,"average", AVERAGE(Instances!I349:Instances!I349),"median", MEDIAN(Instances!I349:Instances!I349),"min", MIN(Instances!I349:Instances!I349),"max", MAX(Instances!I349:Instances!I349),"diff", MAX(Instances!I349:Instances!I349)-MIN(Instances!I349:Instances!I349))</f>
        <v>0</v>
      </c>
      <c r="J349" s="1" cm="1">
        <f t="array" ref="J349">_xlfn.SWITCH($A$2,"average", AVERAGE(Instances!J349:Instances!J349),"median", MEDIAN(Instances!J349:Instances!J349),"min", MIN(Instances!J349:Instances!J349),"max", MAX(Instances!J349:Instances!J349),"diff", MAX(Instances!J349:Instances!J349)-MIN(Instances!J349:Instances!J349))</f>
        <v>0</v>
      </c>
      <c r="K349" s="1" cm="1">
        <f t="array" ref="K349">_xlfn.SWITCH($A$2,"average", AVERAGE(Instances!K349:Instances!K349),"median", MEDIAN(Instances!K349:Instances!K349),"min", MIN(Instances!K349:Instances!K349),"max", MAX(Instances!K349:Instances!K349),"diff", MAX(Instances!K349:Instances!K349)-MIN(Instances!K349:Instances!K349))</f>
        <v>0</v>
      </c>
      <c r="L349" s="1"/>
      <c r="M349" s="1" cm="1">
        <f t="array" ref="M349">_xlfn.SWITCH($A$2,"average", AVERAGE(Instances!M349:Instances!M349),"median", MEDIAN(Instances!M349:Instances!M349),"min", MIN(Instances!M349:Instances!M349),"max", MAX(Instances!M349:Instances!M349),"diff", MAX(Instances!M349:Instances!M349)-MIN(Instances!M349:Instances!M349))</f>
        <v>0</v>
      </c>
      <c r="N349" s="1" cm="1">
        <f t="array" ref="N349">_xlfn.SWITCH($A$2,"average", AVERAGE(Instances!N349:Instances!N349),"median", MEDIAN(Instances!N349:Instances!N349),"min", MIN(Instances!N349:Instances!N349),"max", MAX(Instances!N349:Instances!N349),"diff", MAX(Instances!N349:Instances!N349)-MIN(Instances!N349:Instances!N349))</f>
        <v>0</v>
      </c>
      <c r="O349" s="1"/>
      <c r="P349" s="1" cm="1">
        <f t="array" ref="P349">_xlfn.SWITCH($A$2,"average", AVERAGE(Instances!P349:Instances!P349),"median", MEDIAN(Instances!P349:Instances!P349),"min", MIN(Instances!P349:Instances!P349),"max", MAX(Instances!P349:Instances!P349),"diff", MAX(Instances!P349:Instances!P349)-MIN(Instances!P349:Instances!P349))</f>
        <v>0</v>
      </c>
      <c r="Q349" s="1" cm="1">
        <f t="array" ref="Q349">_xlfn.SWITCH($A$2,"average", AVERAGE(Instances!Q349:Instances!Q349),"median", MEDIAN(Instances!Q349:Instances!Q349),"min", MIN(Instances!Q349:Instances!Q349),"max", MAX(Instances!Q349:Instances!Q349),"diff", MAX(Instances!Q349:Instances!Q349)-MIN(Instances!Q349:Instances!Q349))</f>
        <v>0</v>
      </c>
      <c r="R349" s="1" cm="1">
        <f t="array" ref="R349">_xlfn.SWITCH($A$2,"average", AVERAGE(Instances!R349:Instances!R349),"median", MEDIAN(Instances!R349:Instances!R349),"min", MIN(Instances!R349:Instances!R349),"max", MAX(Instances!R349:Instances!R349),"diff", MAX(Instances!R349:Instances!R349)-MIN(Instances!R349:Instances!R349))</f>
        <v>0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 cm="1">
        <f t="array" ref="B350">_xlfn.SWITCH($A$2,"average", AVERAGE(Instances!B350:Instances!B350),"median", MEDIAN(Instances!B350:Instances!B350),"min", MIN(Instances!B350:Instances!B350),"max", MAX(Instances!B350:Instances!B350),"diff", MAX(Instances!B350:Instances!B350)-MIN(Instances!B350:Instances!B350))</f>
        <v>0</v>
      </c>
      <c r="C350" s="1" cm="1">
        <f t="array" ref="C350">_xlfn.SWITCH($A$2,"average", AVERAGE(Instances!C350:Instances!C350),"median", MEDIAN(Instances!C350:Instances!C350),"min", MIN(Instances!C350:Instances!C350),"max", MAX(Instances!C350:Instances!C350),"diff", MAX(Instances!C350:Instances!C350)-MIN(Instances!C350:Instances!C350))</f>
        <v>0</v>
      </c>
      <c r="D350" s="1" cm="1">
        <f t="array" ref="D350">_xlfn.SWITCH($A$2,"average", AVERAGE(Instances!D350:Instances!D350),"median", MEDIAN(Instances!D350:Instances!D350),"min", MIN(Instances!D350:Instances!D350),"max", MAX(Instances!D350:Instances!D350),"diff", MAX(Instances!D350:Instances!D350)-MIN(Instances!D350:Instances!D350))</f>
        <v>0</v>
      </c>
      <c r="E350" s="1" cm="1">
        <f t="array" ref="E350">_xlfn.SWITCH($A$2,"average", AVERAGE(Instances!E350:Instances!E350),"median", MEDIAN(Instances!E350:Instances!E350),"min", MIN(Instances!E350:Instances!E350),"max", MAX(Instances!E350:Instances!E350),"diff", MAX(Instances!E350:Instances!E350)-MIN(Instances!E350:Instances!E350))</f>
        <v>0</v>
      </c>
      <c r="F350" s="1" cm="1">
        <f t="array" ref="F350">_xlfn.SWITCH($A$2,"average", AVERAGE(Instances!F350:Instances!F350),"median", MEDIAN(Instances!F350:Instances!F350),"min", MIN(Instances!F350:Instances!F350),"max", MAX(Instances!F350:Instances!F350),"diff", MAX(Instances!F350:Instances!F350)-MIN(Instances!F350:Instances!F350))</f>
        <v>0</v>
      </c>
      <c r="G350" s="1" cm="1">
        <f t="array" ref="G350">_xlfn.SWITCH($A$2,"average", AVERAGE(Instances!G350:Instances!G350),"median", MEDIAN(Instances!G350:Instances!G350),"min", MIN(Instances!G350:Instances!G350),"max", MAX(Instances!G350:Instances!G350),"diff", MAX(Instances!G350:Instances!G350)-MIN(Instances!G350:Instances!G350))</f>
        <v>0</v>
      </c>
      <c r="H350" s="1" cm="1">
        <f t="array" ref="H350">_xlfn.SWITCH($A$2,"average", AVERAGE(Instances!H350:Instances!H350),"median", MEDIAN(Instances!H350:Instances!H350),"min", MIN(Instances!H350:Instances!H350),"max", MAX(Instances!H350:Instances!H350),"diff", MAX(Instances!H350:Instances!H350)-MIN(Instances!H350:Instances!H350))</f>
        <v>0</v>
      </c>
      <c r="I350" s="1" cm="1">
        <f t="array" ref="I350">_xlfn.SWITCH($A$2,"average", AVERAGE(Instances!I350:Instances!I350),"median", MEDIAN(Instances!I350:Instances!I350),"min", MIN(Instances!I350:Instances!I350),"max", MAX(Instances!I350:Instances!I350),"diff", MAX(Instances!I350:Instances!I350)-MIN(Instances!I350:Instances!I350))</f>
        <v>0</v>
      </c>
      <c r="J350" s="1" cm="1">
        <f t="array" ref="J350">_xlfn.SWITCH($A$2,"average", AVERAGE(Instances!J350:Instances!J350),"median", MEDIAN(Instances!J350:Instances!J350),"min", MIN(Instances!J350:Instances!J350),"max", MAX(Instances!J350:Instances!J350),"diff", MAX(Instances!J350:Instances!J350)-MIN(Instances!J350:Instances!J350))</f>
        <v>0</v>
      </c>
      <c r="K350" s="1" cm="1">
        <f t="array" ref="K350">_xlfn.SWITCH($A$2,"average", AVERAGE(Instances!K350:Instances!K350),"median", MEDIAN(Instances!K350:Instances!K350),"min", MIN(Instances!K350:Instances!K350),"max", MAX(Instances!K350:Instances!K350),"diff", MAX(Instances!K350:Instances!K350)-MIN(Instances!K350:Instances!K350))</f>
        <v>0</v>
      </c>
      <c r="L350" s="1"/>
      <c r="M350" s="1" cm="1">
        <f t="array" ref="M350">_xlfn.SWITCH($A$2,"average", AVERAGE(Instances!M350:Instances!M350),"median", MEDIAN(Instances!M350:Instances!M350),"min", MIN(Instances!M350:Instances!M350),"max", MAX(Instances!M350:Instances!M350),"diff", MAX(Instances!M350:Instances!M350)-MIN(Instances!M350:Instances!M350))</f>
        <v>0</v>
      </c>
      <c r="N350" s="1" cm="1">
        <f t="array" ref="N350">_xlfn.SWITCH($A$2,"average", AVERAGE(Instances!N350:Instances!N350),"median", MEDIAN(Instances!N350:Instances!N350),"min", MIN(Instances!N350:Instances!N350),"max", MAX(Instances!N350:Instances!N350),"diff", MAX(Instances!N350:Instances!N350)-MIN(Instances!N350:Instances!N350))</f>
        <v>0</v>
      </c>
      <c r="O350" s="1"/>
      <c r="P350" s="1" cm="1">
        <f t="array" ref="P350">_xlfn.SWITCH($A$2,"average", AVERAGE(Instances!P350:Instances!P350),"median", MEDIAN(Instances!P350:Instances!P350),"min", MIN(Instances!P350:Instances!P350),"max", MAX(Instances!P350:Instances!P350),"diff", MAX(Instances!P350:Instances!P350)-MIN(Instances!P350:Instances!P350))</f>
        <v>0</v>
      </c>
      <c r="Q350" s="1" cm="1">
        <f t="array" ref="Q350">_xlfn.SWITCH($A$2,"average", AVERAGE(Instances!Q350:Instances!Q350),"median", MEDIAN(Instances!Q350:Instances!Q350),"min", MIN(Instances!Q350:Instances!Q350),"max", MAX(Instances!Q350:Instances!Q350),"diff", MAX(Instances!Q350:Instances!Q350)-MIN(Instances!Q350:Instances!Q350))</f>
        <v>0</v>
      </c>
      <c r="R350" s="1" cm="1">
        <f t="array" ref="R350">_xlfn.SWITCH($A$2,"average", AVERAGE(Instances!R350:Instances!R350),"median", MEDIAN(Instances!R350:Instances!R350),"min", MIN(Instances!R350:Instances!R350),"max", MAX(Instances!R350:Instances!R350),"diff", MAX(Instances!R350:Instances!R350)-MIN(Instances!R350:Instances!R350))</f>
        <v>0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 cm="1">
        <f t="array" ref="B351">_xlfn.SWITCH($A$2,"average", AVERAGE(Instances!B351:Instances!B351),"median", MEDIAN(Instances!B351:Instances!B351),"min", MIN(Instances!B351:Instances!B351),"max", MAX(Instances!B351:Instances!B351),"diff", MAX(Instances!B351:Instances!B351)-MIN(Instances!B351:Instances!B351))</f>
        <v>0</v>
      </c>
      <c r="C351" s="1" cm="1">
        <f t="array" ref="C351">_xlfn.SWITCH($A$2,"average", AVERAGE(Instances!C351:Instances!C351),"median", MEDIAN(Instances!C351:Instances!C351),"min", MIN(Instances!C351:Instances!C351),"max", MAX(Instances!C351:Instances!C351),"diff", MAX(Instances!C351:Instances!C351)-MIN(Instances!C351:Instances!C351))</f>
        <v>0</v>
      </c>
      <c r="D351" s="1" cm="1">
        <f t="array" ref="D351">_xlfn.SWITCH($A$2,"average", AVERAGE(Instances!D351:Instances!D351),"median", MEDIAN(Instances!D351:Instances!D351),"min", MIN(Instances!D351:Instances!D351),"max", MAX(Instances!D351:Instances!D351),"diff", MAX(Instances!D351:Instances!D351)-MIN(Instances!D351:Instances!D351))</f>
        <v>0</v>
      </c>
      <c r="E351" s="1" cm="1">
        <f t="array" ref="E351">_xlfn.SWITCH($A$2,"average", AVERAGE(Instances!E351:Instances!E351),"median", MEDIAN(Instances!E351:Instances!E351),"min", MIN(Instances!E351:Instances!E351),"max", MAX(Instances!E351:Instances!E351),"diff", MAX(Instances!E351:Instances!E351)-MIN(Instances!E351:Instances!E351))</f>
        <v>0</v>
      </c>
      <c r="F351" s="1" cm="1">
        <f t="array" ref="F351">_xlfn.SWITCH($A$2,"average", AVERAGE(Instances!F351:Instances!F351),"median", MEDIAN(Instances!F351:Instances!F351),"min", MIN(Instances!F351:Instances!F351),"max", MAX(Instances!F351:Instances!F351),"diff", MAX(Instances!F351:Instances!F351)-MIN(Instances!F351:Instances!F351))</f>
        <v>0</v>
      </c>
      <c r="G351" s="1" cm="1">
        <f t="array" ref="G351">_xlfn.SWITCH($A$2,"average", AVERAGE(Instances!G351:Instances!G351),"median", MEDIAN(Instances!G351:Instances!G351),"min", MIN(Instances!G351:Instances!G351),"max", MAX(Instances!G351:Instances!G351),"diff", MAX(Instances!G351:Instances!G351)-MIN(Instances!G351:Instances!G351))</f>
        <v>0</v>
      </c>
      <c r="H351" s="1" cm="1">
        <f t="array" ref="H351">_xlfn.SWITCH($A$2,"average", AVERAGE(Instances!H351:Instances!H351),"median", MEDIAN(Instances!H351:Instances!H351),"min", MIN(Instances!H351:Instances!H351),"max", MAX(Instances!H351:Instances!H351),"diff", MAX(Instances!H351:Instances!H351)-MIN(Instances!H351:Instances!H351))</f>
        <v>0</v>
      </c>
      <c r="I351" s="1" cm="1">
        <f t="array" ref="I351">_xlfn.SWITCH($A$2,"average", AVERAGE(Instances!I351:Instances!I351),"median", MEDIAN(Instances!I351:Instances!I351),"min", MIN(Instances!I351:Instances!I351),"max", MAX(Instances!I351:Instances!I351),"diff", MAX(Instances!I351:Instances!I351)-MIN(Instances!I351:Instances!I351))</f>
        <v>0</v>
      </c>
      <c r="J351" s="1" cm="1">
        <f t="array" ref="J351">_xlfn.SWITCH($A$2,"average", AVERAGE(Instances!J351:Instances!J351),"median", MEDIAN(Instances!J351:Instances!J351),"min", MIN(Instances!J351:Instances!J351),"max", MAX(Instances!J351:Instances!J351),"diff", MAX(Instances!J351:Instances!J351)-MIN(Instances!J351:Instances!J351))</f>
        <v>0</v>
      </c>
      <c r="K351" s="1" cm="1">
        <f t="array" ref="K351">_xlfn.SWITCH($A$2,"average", AVERAGE(Instances!K351:Instances!K351),"median", MEDIAN(Instances!K351:Instances!K351),"min", MIN(Instances!K351:Instances!K351),"max", MAX(Instances!K351:Instances!K351),"diff", MAX(Instances!K351:Instances!K351)-MIN(Instances!K351:Instances!K351))</f>
        <v>0</v>
      </c>
      <c r="L351" s="1"/>
      <c r="M351" s="1" cm="1">
        <f t="array" ref="M351">_xlfn.SWITCH($A$2,"average", AVERAGE(Instances!M351:Instances!M351),"median", MEDIAN(Instances!M351:Instances!M351),"min", MIN(Instances!M351:Instances!M351),"max", MAX(Instances!M351:Instances!M351),"diff", MAX(Instances!M351:Instances!M351)-MIN(Instances!M351:Instances!M351))</f>
        <v>0</v>
      </c>
      <c r="N351" s="1" cm="1">
        <f t="array" ref="N351">_xlfn.SWITCH($A$2,"average", AVERAGE(Instances!N351:Instances!N351),"median", MEDIAN(Instances!N351:Instances!N351),"min", MIN(Instances!N351:Instances!N351),"max", MAX(Instances!N351:Instances!N351),"diff", MAX(Instances!N351:Instances!N351)-MIN(Instances!N351:Instances!N351))</f>
        <v>0</v>
      </c>
      <c r="O351" s="1"/>
      <c r="P351" s="1" cm="1">
        <f t="array" ref="P351">_xlfn.SWITCH($A$2,"average", AVERAGE(Instances!P351:Instances!P351),"median", MEDIAN(Instances!P351:Instances!P351),"min", MIN(Instances!P351:Instances!P351),"max", MAX(Instances!P351:Instances!P351),"diff", MAX(Instances!P351:Instances!P351)-MIN(Instances!P351:Instances!P351))</f>
        <v>0</v>
      </c>
      <c r="Q351" s="1" cm="1">
        <f t="array" ref="Q351">_xlfn.SWITCH($A$2,"average", AVERAGE(Instances!Q351:Instances!Q351),"median", MEDIAN(Instances!Q351:Instances!Q351),"min", MIN(Instances!Q351:Instances!Q351),"max", MAX(Instances!Q351:Instances!Q351),"diff", MAX(Instances!Q351:Instances!Q351)-MIN(Instances!Q351:Instances!Q351))</f>
        <v>0</v>
      </c>
      <c r="R351" s="1" cm="1">
        <f t="array" ref="R351">_xlfn.SWITCH($A$2,"average", AVERAGE(Instances!R351:Instances!R351),"median", MEDIAN(Instances!R351:Instances!R351),"min", MIN(Instances!R351:Instances!R351),"max", MAX(Instances!R351:Instances!R351),"diff", MAX(Instances!R351:Instances!R351)-MIN(Instances!R351:Instances!R351))</f>
        <v>0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 cm="1">
        <f t="array" ref="B352">_xlfn.SWITCH($A$2,"average", AVERAGE(Instances!B352:Instances!B352),"median", MEDIAN(Instances!B352:Instances!B352),"min", MIN(Instances!B352:Instances!B352),"max", MAX(Instances!B352:Instances!B352),"diff", MAX(Instances!B352:Instances!B352)-MIN(Instances!B352:Instances!B352))</f>
        <v>0</v>
      </c>
      <c r="C352" s="1" cm="1">
        <f t="array" ref="C352">_xlfn.SWITCH($A$2,"average", AVERAGE(Instances!C352:Instances!C352),"median", MEDIAN(Instances!C352:Instances!C352),"min", MIN(Instances!C352:Instances!C352),"max", MAX(Instances!C352:Instances!C352),"diff", MAX(Instances!C352:Instances!C352)-MIN(Instances!C352:Instances!C352))</f>
        <v>0</v>
      </c>
      <c r="D352" s="1" cm="1">
        <f t="array" ref="D352">_xlfn.SWITCH($A$2,"average", AVERAGE(Instances!D352:Instances!D352),"median", MEDIAN(Instances!D352:Instances!D352),"min", MIN(Instances!D352:Instances!D352),"max", MAX(Instances!D352:Instances!D352),"diff", MAX(Instances!D352:Instances!D352)-MIN(Instances!D352:Instances!D352))</f>
        <v>0</v>
      </c>
      <c r="E352" s="1" cm="1">
        <f t="array" ref="E352">_xlfn.SWITCH($A$2,"average", AVERAGE(Instances!E352:Instances!E352),"median", MEDIAN(Instances!E352:Instances!E352),"min", MIN(Instances!E352:Instances!E352),"max", MAX(Instances!E352:Instances!E352),"diff", MAX(Instances!E352:Instances!E352)-MIN(Instances!E352:Instances!E352))</f>
        <v>0</v>
      </c>
      <c r="F352" s="1" cm="1">
        <f t="array" ref="F352">_xlfn.SWITCH($A$2,"average", AVERAGE(Instances!F352:Instances!F352),"median", MEDIAN(Instances!F352:Instances!F352),"min", MIN(Instances!F352:Instances!F352),"max", MAX(Instances!F352:Instances!F352),"diff", MAX(Instances!F352:Instances!F352)-MIN(Instances!F352:Instances!F352))</f>
        <v>0</v>
      </c>
      <c r="G352" s="1" cm="1">
        <f t="array" ref="G352">_xlfn.SWITCH($A$2,"average", AVERAGE(Instances!G352:Instances!G352),"median", MEDIAN(Instances!G352:Instances!G352),"min", MIN(Instances!G352:Instances!G352),"max", MAX(Instances!G352:Instances!G352),"diff", MAX(Instances!G352:Instances!G352)-MIN(Instances!G352:Instances!G352))</f>
        <v>0</v>
      </c>
      <c r="H352" s="1" cm="1">
        <f t="array" ref="H352">_xlfn.SWITCH($A$2,"average", AVERAGE(Instances!H352:Instances!H352),"median", MEDIAN(Instances!H352:Instances!H352),"min", MIN(Instances!H352:Instances!H352),"max", MAX(Instances!H352:Instances!H352),"diff", MAX(Instances!H352:Instances!H352)-MIN(Instances!H352:Instances!H352))</f>
        <v>0</v>
      </c>
      <c r="I352" s="1" cm="1">
        <f t="array" ref="I352">_xlfn.SWITCH($A$2,"average", AVERAGE(Instances!I352:Instances!I352),"median", MEDIAN(Instances!I352:Instances!I352),"min", MIN(Instances!I352:Instances!I352),"max", MAX(Instances!I352:Instances!I352),"diff", MAX(Instances!I352:Instances!I352)-MIN(Instances!I352:Instances!I352))</f>
        <v>0</v>
      </c>
      <c r="J352" s="1" cm="1">
        <f t="array" ref="J352">_xlfn.SWITCH($A$2,"average", AVERAGE(Instances!J352:Instances!J352),"median", MEDIAN(Instances!J352:Instances!J352),"min", MIN(Instances!J352:Instances!J352),"max", MAX(Instances!J352:Instances!J352),"diff", MAX(Instances!J352:Instances!J352)-MIN(Instances!J352:Instances!J352))</f>
        <v>0</v>
      </c>
      <c r="K352" s="1" cm="1">
        <f t="array" ref="K352">_xlfn.SWITCH($A$2,"average", AVERAGE(Instances!K352:Instances!K352),"median", MEDIAN(Instances!K352:Instances!K352),"min", MIN(Instances!K352:Instances!K352),"max", MAX(Instances!K352:Instances!K352),"diff", MAX(Instances!K352:Instances!K352)-MIN(Instances!K352:Instances!K352))</f>
        <v>0</v>
      </c>
      <c r="L352" s="1"/>
      <c r="M352" s="1" cm="1">
        <f t="array" ref="M352">_xlfn.SWITCH($A$2,"average", AVERAGE(Instances!M352:Instances!M352),"median", MEDIAN(Instances!M352:Instances!M352),"min", MIN(Instances!M352:Instances!M352),"max", MAX(Instances!M352:Instances!M352),"diff", MAX(Instances!M352:Instances!M352)-MIN(Instances!M352:Instances!M352))</f>
        <v>0</v>
      </c>
      <c r="N352" s="1" cm="1">
        <f t="array" ref="N352">_xlfn.SWITCH($A$2,"average", AVERAGE(Instances!N352:Instances!N352),"median", MEDIAN(Instances!N352:Instances!N352),"min", MIN(Instances!N352:Instances!N352),"max", MAX(Instances!N352:Instances!N352),"diff", MAX(Instances!N352:Instances!N352)-MIN(Instances!N352:Instances!N352))</f>
        <v>0</v>
      </c>
      <c r="O352" s="1"/>
      <c r="P352" s="1" cm="1">
        <f t="array" ref="P352">_xlfn.SWITCH($A$2,"average", AVERAGE(Instances!P352:Instances!P352),"median", MEDIAN(Instances!P352:Instances!P352),"min", MIN(Instances!P352:Instances!P352),"max", MAX(Instances!P352:Instances!P352),"diff", MAX(Instances!P352:Instances!P352)-MIN(Instances!P352:Instances!P352))</f>
        <v>0</v>
      </c>
      <c r="Q352" s="1" cm="1">
        <f t="array" ref="Q352">_xlfn.SWITCH($A$2,"average", AVERAGE(Instances!Q352:Instances!Q352),"median", MEDIAN(Instances!Q352:Instances!Q352),"min", MIN(Instances!Q352:Instances!Q352),"max", MAX(Instances!Q352:Instances!Q352),"diff", MAX(Instances!Q352:Instances!Q352)-MIN(Instances!Q352:Instances!Q352))</f>
        <v>0</v>
      </c>
      <c r="R352" s="1" cm="1">
        <f t="array" ref="R352">_xlfn.SWITCH($A$2,"average", AVERAGE(Instances!R352:Instances!R352),"median", MEDIAN(Instances!R352:Instances!R352),"min", MIN(Instances!R352:Instances!R352),"max", MAX(Instances!R352:Instances!R352),"diff", MAX(Instances!R352:Instances!R352)-MIN(Instances!R352:Instances!R352))</f>
        <v>0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 cm="1">
        <f t="array" ref="B353">_xlfn.SWITCH($A$2,"average", AVERAGE(Instances!B353:Instances!B353),"median", MEDIAN(Instances!B353:Instances!B353),"min", MIN(Instances!B353:Instances!B353),"max", MAX(Instances!B353:Instances!B353),"diff", MAX(Instances!B353:Instances!B353)-MIN(Instances!B353:Instances!B353))</f>
        <v>0</v>
      </c>
      <c r="C353" s="1" cm="1">
        <f t="array" ref="C353">_xlfn.SWITCH($A$2,"average", AVERAGE(Instances!C353:Instances!C353),"median", MEDIAN(Instances!C353:Instances!C353),"min", MIN(Instances!C353:Instances!C353),"max", MAX(Instances!C353:Instances!C353),"diff", MAX(Instances!C353:Instances!C353)-MIN(Instances!C353:Instances!C353))</f>
        <v>0</v>
      </c>
      <c r="D353" s="1" cm="1">
        <f t="array" ref="D353">_xlfn.SWITCH($A$2,"average", AVERAGE(Instances!D353:Instances!D353),"median", MEDIAN(Instances!D353:Instances!D353),"min", MIN(Instances!D353:Instances!D353),"max", MAX(Instances!D353:Instances!D353),"diff", MAX(Instances!D353:Instances!D353)-MIN(Instances!D353:Instances!D353))</f>
        <v>0</v>
      </c>
      <c r="E353" s="1" cm="1">
        <f t="array" ref="E353">_xlfn.SWITCH($A$2,"average", AVERAGE(Instances!E353:Instances!E353),"median", MEDIAN(Instances!E353:Instances!E353),"min", MIN(Instances!E353:Instances!E353),"max", MAX(Instances!E353:Instances!E353),"diff", MAX(Instances!E353:Instances!E353)-MIN(Instances!E353:Instances!E353))</f>
        <v>0</v>
      </c>
      <c r="F353" s="1" cm="1">
        <f t="array" ref="F353">_xlfn.SWITCH($A$2,"average", AVERAGE(Instances!F353:Instances!F353),"median", MEDIAN(Instances!F353:Instances!F353),"min", MIN(Instances!F353:Instances!F353),"max", MAX(Instances!F353:Instances!F353),"diff", MAX(Instances!F353:Instances!F353)-MIN(Instances!F353:Instances!F353))</f>
        <v>0</v>
      </c>
      <c r="G353" s="1" cm="1">
        <f t="array" ref="G353">_xlfn.SWITCH($A$2,"average", AVERAGE(Instances!G353:Instances!G353),"median", MEDIAN(Instances!G353:Instances!G353),"min", MIN(Instances!G353:Instances!G353),"max", MAX(Instances!G353:Instances!G353),"diff", MAX(Instances!G353:Instances!G353)-MIN(Instances!G353:Instances!G353))</f>
        <v>0</v>
      </c>
      <c r="H353" s="1" cm="1">
        <f t="array" ref="H353">_xlfn.SWITCH($A$2,"average", AVERAGE(Instances!H353:Instances!H353),"median", MEDIAN(Instances!H353:Instances!H353),"min", MIN(Instances!H353:Instances!H353),"max", MAX(Instances!H353:Instances!H353),"diff", MAX(Instances!H353:Instances!H353)-MIN(Instances!H353:Instances!H353))</f>
        <v>0</v>
      </c>
      <c r="I353" s="1" cm="1">
        <f t="array" ref="I353">_xlfn.SWITCH($A$2,"average", AVERAGE(Instances!I353:Instances!I353),"median", MEDIAN(Instances!I353:Instances!I353),"min", MIN(Instances!I353:Instances!I353),"max", MAX(Instances!I353:Instances!I353),"diff", MAX(Instances!I353:Instances!I353)-MIN(Instances!I353:Instances!I353))</f>
        <v>0</v>
      </c>
      <c r="J353" s="1" cm="1">
        <f t="array" ref="J353">_xlfn.SWITCH($A$2,"average", AVERAGE(Instances!J353:Instances!J353),"median", MEDIAN(Instances!J353:Instances!J353),"min", MIN(Instances!J353:Instances!J353),"max", MAX(Instances!J353:Instances!J353),"diff", MAX(Instances!J353:Instances!J353)-MIN(Instances!J353:Instances!J353))</f>
        <v>0</v>
      </c>
      <c r="K353" s="1" cm="1">
        <f t="array" ref="K353">_xlfn.SWITCH($A$2,"average", AVERAGE(Instances!K353:Instances!K353),"median", MEDIAN(Instances!K353:Instances!K353),"min", MIN(Instances!K353:Instances!K353),"max", MAX(Instances!K353:Instances!K353),"diff", MAX(Instances!K353:Instances!K353)-MIN(Instances!K353:Instances!K353))</f>
        <v>0</v>
      </c>
      <c r="L353" s="1"/>
      <c r="M353" s="1" cm="1">
        <f t="array" ref="M353">_xlfn.SWITCH($A$2,"average", AVERAGE(Instances!M353:Instances!M353),"median", MEDIAN(Instances!M353:Instances!M353),"min", MIN(Instances!M353:Instances!M353),"max", MAX(Instances!M353:Instances!M353),"diff", MAX(Instances!M353:Instances!M353)-MIN(Instances!M353:Instances!M353))</f>
        <v>0</v>
      </c>
      <c r="N353" s="1" cm="1">
        <f t="array" ref="N353">_xlfn.SWITCH($A$2,"average", AVERAGE(Instances!N353:Instances!N353),"median", MEDIAN(Instances!N353:Instances!N353),"min", MIN(Instances!N353:Instances!N353),"max", MAX(Instances!N353:Instances!N353),"diff", MAX(Instances!N353:Instances!N353)-MIN(Instances!N353:Instances!N353))</f>
        <v>0</v>
      </c>
      <c r="O353" s="1"/>
      <c r="P353" s="1" cm="1">
        <f t="array" ref="P353">_xlfn.SWITCH($A$2,"average", AVERAGE(Instances!P353:Instances!P353),"median", MEDIAN(Instances!P353:Instances!P353),"min", MIN(Instances!P353:Instances!P353),"max", MAX(Instances!P353:Instances!P353),"diff", MAX(Instances!P353:Instances!P353)-MIN(Instances!P353:Instances!P353))</f>
        <v>0</v>
      </c>
      <c r="Q353" s="1" cm="1">
        <f t="array" ref="Q353">_xlfn.SWITCH($A$2,"average", AVERAGE(Instances!Q353:Instances!Q353),"median", MEDIAN(Instances!Q353:Instances!Q353),"min", MIN(Instances!Q353:Instances!Q353),"max", MAX(Instances!Q353:Instances!Q353),"diff", MAX(Instances!Q353:Instances!Q353)-MIN(Instances!Q353:Instances!Q353))</f>
        <v>0</v>
      </c>
      <c r="R353" s="1" cm="1">
        <f t="array" ref="R353">_xlfn.SWITCH($A$2,"average", AVERAGE(Instances!R353:Instances!R353),"median", MEDIAN(Instances!R353:Instances!R353),"min", MIN(Instances!R353:Instances!R353),"max", MAX(Instances!R353:Instances!R353),"diff", MAX(Instances!R353:Instances!R353)-MIN(Instances!R353:Instances!R353))</f>
        <v>0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 cm="1">
        <f t="array" ref="B354">_xlfn.SWITCH($A$2,"average", AVERAGE(Instances!B354:Instances!B354),"median", MEDIAN(Instances!B354:Instances!B354),"min", MIN(Instances!B354:Instances!B354),"max", MAX(Instances!B354:Instances!B354),"diff", MAX(Instances!B354:Instances!B354)-MIN(Instances!B354:Instances!B354))</f>
        <v>0</v>
      </c>
      <c r="C354" s="1" cm="1">
        <f t="array" ref="C354">_xlfn.SWITCH($A$2,"average", AVERAGE(Instances!C354:Instances!C354),"median", MEDIAN(Instances!C354:Instances!C354),"min", MIN(Instances!C354:Instances!C354),"max", MAX(Instances!C354:Instances!C354),"diff", MAX(Instances!C354:Instances!C354)-MIN(Instances!C354:Instances!C354))</f>
        <v>0</v>
      </c>
      <c r="D354" s="1" cm="1">
        <f t="array" ref="D354">_xlfn.SWITCH($A$2,"average", AVERAGE(Instances!D354:Instances!D354),"median", MEDIAN(Instances!D354:Instances!D354),"min", MIN(Instances!D354:Instances!D354),"max", MAX(Instances!D354:Instances!D354),"diff", MAX(Instances!D354:Instances!D354)-MIN(Instances!D354:Instances!D354))</f>
        <v>0</v>
      </c>
      <c r="E354" s="1" cm="1">
        <f t="array" ref="E354">_xlfn.SWITCH($A$2,"average", AVERAGE(Instances!E354:Instances!E354),"median", MEDIAN(Instances!E354:Instances!E354),"min", MIN(Instances!E354:Instances!E354),"max", MAX(Instances!E354:Instances!E354),"diff", MAX(Instances!E354:Instances!E354)-MIN(Instances!E354:Instances!E354))</f>
        <v>0</v>
      </c>
      <c r="F354" s="1" cm="1">
        <f t="array" ref="F354">_xlfn.SWITCH($A$2,"average", AVERAGE(Instances!F354:Instances!F354),"median", MEDIAN(Instances!F354:Instances!F354),"min", MIN(Instances!F354:Instances!F354),"max", MAX(Instances!F354:Instances!F354),"diff", MAX(Instances!F354:Instances!F354)-MIN(Instances!F354:Instances!F354))</f>
        <v>0</v>
      </c>
      <c r="G354" s="1" cm="1">
        <f t="array" ref="G354">_xlfn.SWITCH($A$2,"average", AVERAGE(Instances!G354:Instances!G354),"median", MEDIAN(Instances!G354:Instances!G354),"min", MIN(Instances!G354:Instances!G354),"max", MAX(Instances!G354:Instances!G354),"diff", MAX(Instances!G354:Instances!G354)-MIN(Instances!G354:Instances!G354))</f>
        <v>0</v>
      </c>
      <c r="H354" s="1" cm="1">
        <f t="array" ref="H354">_xlfn.SWITCH($A$2,"average", AVERAGE(Instances!H354:Instances!H354),"median", MEDIAN(Instances!H354:Instances!H354),"min", MIN(Instances!H354:Instances!H354),"max", MAX(Instances!H354:Instances!H354),"diff", MAX(Instances!H354:Instances!H354)-MIN(Instances!H354:Instances!H354))</f>
        <v>0</v>
      </c>
      <c r="I354" s="1" cm="1">
        <f t="array" ref="I354">_xlfn.SWITCH($A$2,"average", AVERAGE(Instances!I354:Instances!I354),"median", MEDIAN(Instances!I354:Instances!I354),"min", MIN(Instances!I354:Instances!I354),"max", MAX(Instances!I354:Instances!I354),"diff", MAX(Instances!I354:Instances!I354)-MIN(Instances!I354:Instances!I354))</f>
        <v>0</v>
      </c>
      <c r="J354" s="1" cm="1">
        <f t="array" ref="J354">_xlfn.SWITCH($A$2,"average", AVERAGE(Instances!J354:Instances!J354),"median", MEDIAN(Instances!J354:Instances!J354),"min", MIN(Instances!J354:Instances!J354),"max", MAX(Instances!J354:Instances!J354),"diff", MAX(Instances!J354:Instances!J354)-MIN(Instances!J354:Instances!J354))</f>
        <v>0</v>
      </c>
      <c r="K354" s="1" cm="1">
        <f t="array" ref="K354">_xlfn.SWITCH($A$2,"average", AVERAGE(Instances!K354:Instances!K354),"median", MEDIAN(Instances!K354:Instances!K354),"min", MIN(Instances!K354:Instances!K354),"max", MAX(Instances!K354:Instances!K354),"diff", MAX(Instances!K354:Instances!K354)-MIN(Instances!K354:Instances!K354))</f>
        <v>0</v>
      </c>
      <c r="L354" s="1"/>
      <c r="M354" s="1" cm="1">
        <f t="array" ref="M354">_xlfn.SWITCH($A$2,"average", AVERAGE(Instances!M354:Instances!M354),"median", MEDIAN(Instances!M354:Instances!M354),"min", MIN(Instances!M354:Instances!M354),"max", MAX(Instances!M354:Instances!M354),"diff", MAX(Instances!M354:Instances!M354)-MIN(Instances!M354:Instances!M354))</f>
        <v>0</v>
      </c>
      <c r="N354" s="1" cm="1">
        <f t="array" ref="N354">_xlfn.SWITCH($A$2,"average", AVERAGE(Instances!N354:Instances!N354),"median", MEDIAN(Instances!N354:Instances!N354),"min", MIN(Instances!N354:Instances!N354),"max", MAX(Instances!N354:Instances!N354),"diff", MAX(Instances!N354:Instances!N354)-MIN(Instances!N354:Instances!N354))</f>
        <v>0</v>
      </c>
      <c r="O354" s="1"/>
      <c r="P354" s="1" cm="1">
        <f t="array" ref="P354">_xlfn.SWITCH($A$2,"average", AVERAGE(Instances!P354:Instances!P354),"median", MEDIAN(Instances!P354:Instances!P354),"min", MIN(Instances!P354:Instances!P354),"max", MAX(Instances!P354:Instances!P354),"diff", MAX(Instances!P354:Instances!P354)-MIN(Instances!P354:Instances!P354))</f>
        <v>0</v>
      </c>
      <c r="Q354" s="1" cm="1">
        <f t="array" ref="Q354">_xlfn.SWITCH($A$2,"average", AVERAGE(Instances!Q354:Instances!Q354),"median", MEDIAN(Instances!Q354:Instances!Q354),"min", MIN(Instances!Q354:Instances!Q354),"max", MAX(Instances!Q354:Instances!Q354),"diff", MAX(Instances!Q354:Instances!Q354)-MIN(Instances!Q354:Instances!Q354))</f>
        <v>0</v>
      </c>
      <c r="R354" s="1" cm="1">
        <f t="array" ref="R354">_xlfn.SWITCH($A$2,"average", AVERAGE(Instances!R354:Instances!R354),"median", MEDIAN(Instances!R354:Instances!R354),"min", MIN(Instances!R354:Instances!R354),"max", MAX(Instances!R354:Instances!R354),"diff", MAX(Instances!R354:Instances!R354)-MIN(Instances!R354:Instances!R354))</f>
        <v>0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 cm="1">
        <f t="array" ref="B355">_xlfn.SWITCH($A$2,"average", AVERAGE(Instances!B355:Instances!B355),"median", MEDIAN(Instances!B355:Instances!B355),"min", MIN(Instances!B355:Instances!B355),"max", MAX(Instances!B355:Instances!B355),"diff", MAX(Instances!B355:Instances!B355)-MIN(Instances!B355:Instances!B355))</f>
        <v>0</v>
      </c>
      <c r="C355" s="1" cm="1">
        <f t="array" ref="C355">_xlfn.SWITCH($A$2,"average", AVERAGE(Instances!C355:Instances!C355),"median", MEDIAN(Instances!C355:Instances!C355),"min", MIN(Instances!C355:Instances!C355),"max", MAX(Instances!C355:Instances!C355),"diff", MAX(Instances!C355:Instances!C355)-MIN(Instances!C355:Instances!C355))</f>
        <v>0</v>
      </c>
      <c r="D355" s="1" cm="1">
        <f t="array" ref="D355">_xlfn.SWITCH($A$2,"average", AVERAGE(Instances!D355:Instances!D355),"median", MEDIAN(Instances!D355:Instances!D355),"min", MIN(Instances!D355:Instances!D355),"max", MAX(Instances!D355:Instances!D355),"diff", MAX(Instances!D355:Instances!D355)-MIN(Instances!D355:Instances!D355))</f>
        <v>0</v>
      </c>
      <c r="E355" s="1" cm="1">
        <f t="array" ref="E355">_xlfn.SWITCH($A$2,"average", AVERAGE(Instances!E355:Instances!E355),"median", MEDIAN(Instances!E355:Instances!E355),"min", MIN(Instances!E355:Instances!E355),"max", MAX(Instances!E355:Instances!E355),"diff", MAX(Instances!E355:Instances!E355)-MIN(Instances!E355:Instances!E355))</f>
        <v>0</v>
      </c>
      <c r="F355" s="1" cm="1">
        <f t="array" ref="F355">_xlfn.SWITCH($A$2,"average", AVERAGE(Instances!F355:Instances!F355),"median", MEDIAN(Instances!F355:Instances!F355),"min", MIN(Instances!F355:Instances!F355),"max", MAX(Instances!F355:Instances!F355),"diff", MAX(Instances!F355:Instances!F355)-MIN(Instances!F355:Instances!F355))</f>
        <v>0</v>
      </c>
      <c r="G355" s="1" cm="1">
        <f t="array" ref="G355">_xlfn.SWITCH($A$2,"average", AVERAGE(Instances!G355:Instances!G355),"median", MEDIAN(Instances!G355:Instances!G355),"min", MIN(Instances!G355:Instances!G355),"max", MAX(Instances!G355:Instances!G355),"diff", MAX(Instances!G355:Instances!G355)-MIN(Instances!G355:Instances!G355))</f>
        <v>0</v>
      </c>
      <c r="H355" s="1" cm="1">
        <f t="array" ref="H355">_xlfn.SWITCH($A$2,"average", AVERAGE(Instances!H355:Instances!H355),"median", MEDIAN(Instances!H355:Instances!H355),"min", MIN(Instances!H355:Instances!H355),"max", MAX(Instances!H355:Instances!H355),"diff", MAX(Instances!H355:Instances!H355)-MIN(Instances!H355:Instances!H355))</f>
        <v>0</v>
      </c>
      <c r="I355" s="1" cm="1">
        <f t="array" ref="I355">_xlfn.SWITCH($A$2,"average", AVERAGE(Instances!I355:Instances!I355),"median", MEDIAN(Instances!I355:Instances!I355),"min", MIN(Instances!I355:Instances!I355),"max", MAX(Instances!I355:Instances!I355),"diff", MAX(Instances!I355:Instances!I355)-MIN(Instances!I355:Instances!I355))</f>
        <v>0</v>
      </c>
      <c r="J355" s="1" cm="1">
        <f t="array" ref="J355">_xlfn.SWITCH($A$2,"average", AVERAGE(Instances!J355:Instances!J355),"median", MEDIAN(Instances!J355:Instances!J355),"min", MIN(Instances!J355:Instances!J355),"max", MAX(Instances!J355:Instances!J355),"diff", MAX(Instances!J355:Instances!J355)-MIN(Instances!J355:Instances!J355))</f>
        <v>0</v>
      </c>
      <c r="K355" s="1" cm="1">
        <f t="array" ref="K355">_xlfn.SWITCH($A$2,"average", AVERAGE(Instances!K355:Instances!K355),"median", MEDIAN(Instances!K355:Instances!K355),"min", MIN(Instances!K355:Instances!K355),"max", MAX(Instances!K355:Instances!K355),"diff", MAX(Instances!K355:Instances!K355)-MIN(Instances!K355:Instances!K355))</f>
        <v>0</v>
      </c>
      <c r="L355" s="1"/>
      <c r="M355" s="1" cm="1">
        <f t="array" ref="M355">_xlfn.SWITCH($A$2,"average", AVERAGE(Instances!M355:Instances!M355),"median", MEDIAN(Instances!M355:Instances!M355),"min", MIN(Instances!M355:Instances!M355),"max", MAX(Instances!M355:Instances!M355),"diff", MAX(Instances!M355:Instances!M355)-MIN(Instances!M355:Instances!M355))</f>
        <v>0</v>
      </c>
      <c r="N355" s="1" cm="1">
        <f t="array" ref="N355">_xlfn.SWITCH($A$2,"average", AVERAGE(Instances!N355:Instances!N355),"median", MEDIAN(Instances!N355:Instances!N355),"min", MIN(Instances!N355:Instances!N355),"max", MAX(Instances!N355:Instances!N355),"diff", MAX(Instances!N355:Instances!N355)-MIN(Instances!N355:Instances!N355))</f>
        <v>0</v>
      </c>
      <c r="O355" s="1"/>
      <c r="P355" s="1" cm="1">
        <f t="array" ref="P355">_xlfn.SWITCH($A$2,"average", AVERAGE(Instances!P355:Instances!P355),"median", MEDIAN(Instances!P355:Instances!P355),"min", MIN(Instances!P355:Instances!P355),"max", MAX(Instances!P355:Instances!P355),"diff", MAX(Instances!P355:Instances!P355)-MIN(Instances!P355:Instances!P355))</f>
        <v>0</v>
      </c>
      <c r="Q355" s="1" cm="1">
        <f t="array" ref="Q355">_xlfn.SWITCH($A$2,"average", AVERAGE(Instances!Q355:Instances!Q355),"median", MEDIAN(Instances!Q355:Instances!Q355),"min", MIN(Instances!Q355:Instances!Q355),"max", MAX(Instances!Q355:Instances!Q355),"diff", MAX(Instances!Q355:Instances!Q355)-MIN(Instances!Q355:Instances!Q355))</f>
        <v>0</v>
      </c>
      <c r="R355" s="1" cm="1">
        <f t="array" ref="R355">_xlfn.SWITCH($A$2,"average", AVERAGE(Instances!R355:Instances!R355),"median", MEDIAN(Instances!R355:Instances!R355),"min", MIN(Instances!R355:Instances!R355),"max", MAX(Instances!R355:Instances!R355),"diff", MAX(Instances!R355:Instances!R355)-MIN(Instances!R355:Instances!R355))</f>
        <v>0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 cm="1">
        <f t="array" ref="B356">_xlfn.SWITCH($A$2,"average", AVERAGE(Instances!B356:Instances!B356),"median", MEDIAN(Instances!B356:Instances!B356),"min", MIN(Instances!B356:Instances!B356),"max", MAX(Instances!B356:Instances!B356),"diff", MAX(Instances!B356:Instances!B356)-MIN(Instances!B356:Instances!B356))</f>
        <v>0</v>
      </c>
      <c r="C356" s="1" cm="1">
        <f t="array" ref="C356">_xlfn.SWITCH($A$2,"average", AVERAGE(Instances!C356:Instances!C356),"median", MEDIAN(Instances!C356:Instances!C356),"min", MIN(Instances!C356:Instances!C356),"max", MAX(Instances!C356:Instances!C356),"diff", MAX(Instances!C356:Instances!C356)-MIN(Instances!C356:Instances!C356))</f>
        <v>0</v>
      </c>
      <c r="D356" s="1" cm="1">
        <f t="array" ref="D356">_xlfn.SWITCH($A$2,"average", AVERAGE(Instances!D356:Instances!D356),"median", MEDIAN(Instances!D356:Instances!D356),"min", MIN(Instances!D356:Instances!D356),"max", MAX(Instances!D356:Instances!D356),"diff", MAX(Instances!D356:Instances!D356)-MIN(Instances!D356:Instances!D356))</f>
        <v>0</v>
      </c>
      <c r="E356" s="1" cm="1">
        <f t="array" ref="E356">_xlfn.SWITCH($A$2,"average", AVERAGE(Instances!E356:Instances!E356),"median", MEDIAN(Instances!E356:Instances!E356),"min", MIN(Instances!E356:Instances!E356),"max", MAX(Instances!E356:Instances!E356),"diff", MAX(Instances!E356:Instances!E356)-MIN(Instances!E356:Instances!E356))</f>
        <v>0</v>
      </c>
      <c r="F356" s="1" cm="1">
        <f t="array" ref="F356">_xlfn.SWITCH($A$2,"average", AVERAGE(Instances!F356:Instances!F356),"median", MEDIAN(Instances!F356:Instances!F356),"min", MIN(Instances!F356:Instances!F356),"max", MAX(Instances!F356:Instances!F356),"diff", MAX(Instances!F356:Instances!F356)-MIN(Instances!F356:Instances!F356))</f>
        <v>0</v>
      </c>
      <c r="G356" s="1" cm="1">
        <f t="array" ref="G356">_xlfn.SWITCH($A$2,"average", AVERAGE(Instances!G356:Instances!G356),"median", MEDIAN(Instances!G356:Instances!G356),"min", MIN(Instances!G356:Instances!G356),"max", MAX(Instances!G356:Instances!G356),"diff", MAX(Instances!G356:Instances!G356)-MIN(Instances!G356:Instances!G356))</f>
        <v>0</v>
      </c>
      <c r="H356" s="1" cm="1">
        <f t="array" ref="H356">_xlfn.SWITCH($A$2,"average", AVERAGE(Instances!H356:Instances!H356),"median", MEDIAN(Instances!H356:Instances!H356),"min", MIN(Instances!H356:Instances!H356),"max", MAX(Instances!H356:Instances!H356),"diff", MAX(Instances!H356:Instances!H356)-MIN(Instances!H356:Instances!H356))</f>
        <v>0</v>
      </c>
      <c r="I356" s="1" cm="1">
        <f t="array" ref="I356">_xlfn.SWITCH($A$2,"average", AVERAGE(Instances!I356:Instances!I356),"median", MEDIAN(Instances!I356:Instances!I356),"min", MIN(Instances!I356:Instances!I356),"max", MAX(Instances!I356:Instances!I356),"diff", MAX(Instances!I356:Instances!I356)-MIN(Instances!I356:Instances!I356))</f>
        <v>0</v>
      </c>
      <c r="J356" s="1" cm="1">
        <f t="array" ref="J356">_xlfn.SWITCH($A$2,"average", AVERAGE(Instances!J356:Instances!J356),"median", MEDIAN(Instances!J356:Instances!J356),"min", MIN(Instances!J356:Instances!J356),"max", MAX(Instances!J356:Instances!J356),"diff", MAX(Instances!J356:Instances!J356)-MIN(Instances!J356:Instances!J356))</f>
        <v>0</v>
      </c>
      <c r="K356" s="1" cm="1">
        <f t="array" ref="K356">_xlfn.SWITCH($A$2,"average", AVERAGE(Instances!K356:Instances!K356),"median", MEDIAN(Instances!K356:Instances!K356),"min", MIN(Instances!K356:Instances!K356),"max", MAX(Instances!K356:Instances!K356),"diff", MAX(Instances!K356:Instances!K356)-MIN(Instances!K356:Instances!K356))</f>
        <v>0</v>
      </c>
      <c r="L356" s="1"/>
      <c r="M356" s="1" cm="1">
        <f t="array" ref="M356">_xlfn.SWITCH($A$2,"average", AVERAGE(Instances!M356:Instances!M356),"median", MEDIAN(Instances!M356:Instances!M356),"min", MIN(Instances!M356:Instances!M356),"max", MAX(Instances!M356:Instances!M356),"diff", MAX(Instances!M356:Instances!M356)-MIN(Instances!M356:Instances!M356))</f>
        <v>0</v>
      </c>
      <c r="N356" s="1" cm="1">
        <f t="array" ref="N356">_xlfn.SWITCH($A$2,"average", AVERAGE(Instances!N356:Instances!N356),"median", MEDIAN(Instances!N356:Instances!N356),"min", MIN(Instances!N356:Instances!N356),"max", MAX(Instances!N356:Instances!N356),"diff", MAX(Instances!N356:Instances!N356)-MIN(Instances!N356:Instances!N356))</f>
        <v>0</v>
      </c>
      <c r="O356" s="1"/>
      <c r="P356" s="1" cm="1">
        <f t="array" ref="P356">_xlfn.SWITCH($A$2,"average", AVERAGE(Instances!P356:Instances!P356),"median", MEDIAN(Instances!P356:Instances!P356),"min", MIN(Instances!P356:Instances!P356),"max", MAX(Instances!P356:Instances!P356),"diff", MAX(Instances!P356:Instances!P356)-MIN(Instances!P356:Instances!P356))</f>
        <v>0</v>
      </c>
      <c r="Q356" s="1" cm="1">
        <f t="array" ref="Q356">_xlfn.SWITCH($A$2,"average", AVERAGE(Instances!Q356:Instances!Q356),"median", MEDIAN(Instances!Q356:Instances!Q356),"min", MIN(Instances!Q356:Instances!Q356),"max", MAX(Instances!Q356:Instances!Q356),"diff", MAX(Instances!Q356:Instances!Q356)-MIN(Instances!Q356:Instances!Q356))</f>
        <v>0</v>
      </c>
      <c r="R356" s="1" cm="1">
        <f t="array" ref="R356">_xlfn.SWITCH($A$2,"average", AVERAGE(Instances!R356:Instances!R356),"median", MEDIAN(Instances!R356:Instances!R356),"min", MIN(Instances!R356:Instances!R356),"max", MAX(Instances!R356:Instances!R356),"diff", MAX(Instances!R356:Instances!R356)-MIN(Instances!R356:Instances!R356))</f>
        <v>0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 cm="1">
        <f t="array" ref="B357">_xlfn.SWITCH($A$2,"average", AVERAGE(Instances!B357:Instances!B357),"median", MEDIAN(Instances!B357:Instances!B357),"min", MIN(Instances!B357:Instances!B357),"max", MAX(Instances!B357:Instances!B357),"diff", MAX(Instances!B357:Instances!B357)-MIN(Instances!B357:Instances!B357))</f>
        <v>0</v>
      </c>
      <c r="C357" s="1" cm="1">
        <f t="array" ref="C357">_xlfn.SWITCH($A$2,"average", AVERAGE(Instances!C357:Instances!C357),"median", MEDIAN(Instances!C357:Instances!C357),"min", MIN(Instances!C357:Instances!C357),"max", MAX(Instances!C357:Instances!C357),"diff", MAX(Instances!C357:Instances!C357)-MIN(Instances!C357:Instances!C357))</f>
        <v>0</v>
      </c>
      <c r="D357" s="1" cm="1">
        <f t="array" ref="D357">_xlfn.SWITCH($A$2,"average", AVERAGE(Instances!D357:Instances!D357),"median", MEDIAN(Instances!D357:Instances!D357),"min", MIN(Instances!D357:Instances!D357),"max", MAX(Instances!D357:Instances!D357),"diff", MAX(Instances!D357:Instances!D357)-MIN(Instances!D357:Instances!D357))</f>
        <v>0</v>
      </c>
      <c r="E357" s="1" cm="1">
        <f t="array" ref="E357">_xlfn.SWITCH($A$2,"average", AVERAGE(Instances!E357:Instances!E357),"median", MEDIAN(Instances!E357:Instances!E357),"min", MIN(Instances!E357:Instances!E357),"max", MAX(Instances!E357:Instances!E357),"diff", MAX(Instances!E357:Instances!E357)-MIN(Instances!E357:Instances!E357))</f>
        <v>0</v>
      </c>
      <c r="F357" s="1" cm="1">
        <f t="array" ref="F357">_xlfn.SWITCH($A$2,"average", AVERAGE(Instances!F357:Instances!F357),"median", MEDIAN(Instances!F357:Instances!F357),"min", MIN(Instances!F357:Instances!F357),"max", MAX(Instances!F357:Instances!F357),"diff", MAX(Instances!F357:Instances!F357)-MIN(Instances!F357:Instances!F357))</f>
        <v>0</v>
      </c>
      <c r="G357" s="1" cm="1">
        <f t="array" ref="G357">_xlfn.SWITCH($A$2,"average", AVERAGE(Instances!G357:Instances!G357),"median", MEDIAN(Instances!G357:Instances!G357),"min", MIN(Instances!G357:Instances!G357),"max", MAX(Instances!G357:Instances!G357),"diff", MAX(Instances!G357:Instances!G357)-MIN(Instances!G357:Instances!G357))</f>
        <v>0</v>
      </c>
      <c r="H357" s="1" cm="1">
        <f t="array" ref="H357">_xlfn.SWITCH($A$2,"average", AVERAGE(Instances!H357:Instances!H357),"median", MEDIAN(Instances!H357:Instances!H357),"min", MIN(Instances!H357:Instances!H357),"max", MAX(Instances!H357:Instances!H357),"diff", MAX(Instances!H357:Instances!H357)-MIN(Instances!H357:Instances!H357))</f>
        <v>0</v>
      </c>
      <c r="I357" s="1" cm="1">
        <f t="array" ref="I357">_xlfn.SWITCH($A$2,"average", AVERAGE(Instances!I357:Instances!I357),"median", MEDIAN(Instances!I357:Instances!I357),"min", MIN(Instances!I357:Instances!I357),"max", MAX(Instances!I357:Instances!I357),"diff", MAX(Instances!I357:Instances!I357)-MIN(Instances!I357:Instances!I357))</f>
        <v>0</v>
      </c>
      <c r="J357" s="1" cm="1">
        <f t="array" ref="J357">_xlfn.SWITCH($A$2,"average", AVERAGE(Instances!J357:Instances!J357),"median", MEDIAN(Instances!J357:Instances!J357),"min", MIN(Instances!J357:Instances!J357),"max", MAX(Instances!J357:Instances!J357),"diff", MAX(Instances!J357:Instances!J357)-MIN(Instances!J357:Instances!J357))</f>
        <v>0</v>
      </c>
      <c r="K357" s="1" cm="1">
        <f t="array" ref="K357">_xlfn.SWITCH($A$2,"average", AVERAGE(Instances!K357:Instances!K357),"median", MEDIAN(Instances!K357:Instances!K357),"min", MIN(Instances!K357:Instances!K357),"max", MAX(Instances!K357:Instances!K357),"diff", MAX(Instances!K357:Instances!K357)-MIN(Instances!K357:Instances!K357))</f>
        <v>0</v>
      </c>
      <c r="L357" s="1"/>
      <c r="M357" s="1" cm="1">
        <f t="array" ref="M357">_xlfn.SWITCH($A$2,"average", AVERAGE(Instances!M357:Instances!M357),"median", MEDIAN(Instances!M357:Instances!M357),"min", MIN(Instances!M357:Instances!M357),"max", MAX(Instances!M357:Instances!M357),"diff", MAX(Instances!M357:Instances!M357)-MIN(Instances!M357:Instances!M357))</f>
        <v>0</v>
      </c>
      <c r="N357" s="1" cm="1">
        <f t="array" ref="N357">_xlfn.SWITCH($A$2,"average", AVERAGE(Instances!N357:Instances!N357),"median", MEDIAN(Instances!N357:Instances!N357),"min", MIN(Instances!N357:Instances!N357),"max", MAX(Instances!N357:Instances!N357),"diff", MAX(Instances!N357:Instances!N357)-MIN(Instances!N357:Instances!N357))</f>
        <v>0</v>
      </c>
      <c r="O357" s="1"/>
      <c r="P357" s="1" cm="1">
        <f t="array" ref="P357">_xlfn.SWITCH($A$2,"average", AVERAGE(Instances!P357:Instances!P357),"median", MEDIAN(Instances!P357:Instances!P357),"min", MIN(Instances!P357:Instances!P357),"max", MAX(Instances!P357:Instances!P357),"diff", MAX(Instances!P357:Instances!P357)-MIN(Instances!P357:Instances!P357))</f>
        <v>0</v>
      </c>
      <c r="Q357" s="1" cm="1">
        <f t="array" ref="Q357">_xlfn.SWITCH($A$2,"average", AVERAGE(Instances!Q357:Instances!Q357),"median", MEDIAN(Instances!Q357:Instances!Q357),"min", MIN(Instances!Q357:Instances!Q357),"max", MAX(Instances!Q357:Instances!Q357),"diff", MAX(Instances!Q357:Instances!Q357)-MIN(Instances!Q357:Instances!Q357))</f>
        <v>0</v>
      </c>
      <c r="R357" s="1" cm="1">
        <f t="array" ref="R357">_xlfn.SWITCH($A$2,"average", AVERAGE(Instances!R357:Instances!R357),"median", MEDIAN(Instances!R357:Instances!R357),"min", MIN(Instances!R357:Instances!R357),"max", MAX(Instances!R357:Instances!R357),"diff", MAX(Instances!R357:Instances!R357)-MIN(Instances!R357:Instances!R357))</f>
        <v>0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 cm="1">
        <f t="array" ref="B358">_xlfn.SWITCH($A$2,"average", AVERAGE(Instances!B358:Instances!B358),"median", MEDIAN(Instances!B358:Instances!B358),"min", MIN(Instances!B358:Instances!B358),"max", MAX(Instances!B358:Instances!B358),"diff", MAX(Instances!B358:Instances!B358)-MIN(Instances!B358:Instances!B358))</f>
        <v>0</v>
      </c>
      <c r="C358" s="1" cm="1">
        <f t="array" ref="C358">_xlfn.SWITCH($A$2,"average", AVERAGE(Instances!C358:Instances!C358),"median", MEDIAN(Instances!C358:Instances!C358),"min", MIN(Instances!C358:Instances!C358),"max", MAX(Instances!C358:Instances!C358),"diff", MAX(Instances!C358:Instances!C358)-MIN(Instances!C358:Instances!C358))</f>
        <v>0</v>
      </c>
      <c r="D358" s="1" cm="1">
        <f t="array" ref="D358">_xlfn.SWITCH($A$2,"average", AVERAGE(Instances!D358:Instances!D358),"median", MEDIAN(Instances!D358:Instances!D358),"min", MIN(Instances!D358:Instances!D358),"max", MAX(Instances!D358:Instances!D358),"diff", MAX(Instances!D358:Instances!D358)-MIN(Instances!D358:Instances!D358))</f>
        <v>0</v>
      </c>
      <c r="E358" s="1" cm="1">
        <f t="array" ref="E358">_xlfn.SWITCH($A$2,"average", AVERAGE(Instances!E358:Instances!E358),"median", MEDIAN(Instances!E358:Instances!E358),"min", MIN(Instances!E358:Instances!E358),"max", MAX(Instances!E358:Instances!E358),"diff", MAX(Instances!E358:Instances!E358)-MIN(Instances!E358:Instances!E358))</f>
        <v>0</v>
      </c>
      <c r="F358" s="1" cm="1">
        <f t="array" ref="F358">_xlfn.SWITCH($A$2,"average", AVERAGE(Instances!F358:Instances!F358),"median", MEDIAN(Instances!F358:Instances!F358),"min", MIN(Instances!F358:Instances!F358),"max", MAX(Instances!F358:Instances!F358),"diff", MAX(Instances!F358:Instances!F358)-MIN(Instances!F358:Instances!F358))</f>
        <v>0</v>
      </c>
      <c r="G358" s="1" cm="1">
        <f t="array" ref="G358">_xlfn.SWITCH($A$2,"average", AVERAGE(Instances!G358:Instances!G358),"median", MEDIAN(Instances!G358:Instances!G358),"min", MIN(Instances!G358:Instances!G358),"max", MAX(Instances!G358:Instances!G358),"diff", MAX(Instances!G358:Instances!G358)-MIN(Instances!G358:Instances!G358))</f>
        <v>0</v>
      </c>
      <c r="H358" s="1" cm="1">
        <f t="array" ref="H358">_xlfn.SWITCH($A$2,"average", AVERAGE(Instances!H358:Instances!H358),"median", MEDIAN(Instances!H358:Instances!H358),"min", MIN(Instances!H358:Instances!H358),"max", MAX(Instances!H358:Instances!H358),"diff", MAX(Instances!H358:Instances!H358)-MIN(Instances!H358:Instances!H358))</f>
        <v>0</v>
      </c>
      <c r="I358" s="1" cm="1">
        <f t="array" ref="I358">_xlfn.SWITCH($A$2,"average", AVERAGE(Instances!I358:Instances!I358),"median", MEDIAN(Instances!I358:Instances!I358),"min", MIN(Instances!I358:Instances!I358),"max", MAX(Instances!I358:Instances!I358),"diff", MAX(Instances!I358:Instances!I358)-MIN(Instances!I358:Instances!I358))</f>
        <v>0</v>
      </c>
      <c r="J358" s="1" cm="1">
        <f t="array" ref="J358">_xlfn.SWITCH($A$2,"average", AVERAGE(Instances!J358:Instances!J358),"median", MEDIAN(Instances!J358:Instances!J358),"min", MIN(Instances!J358:Instances!J358),"max", MAX(Instances!J358:Instances!J358),"diff", MAX(Instances!J358:Instances!J358)-MIN(Instances!J358:Instances!J358))</f>
        <v>0</v>
      </c>
      <c r="K358" s="1" cm="1">
        <f t="array" ref="K358">_xlfn.SWITCH($A$2,"average", AVERAGE(Instances!K358:Instances!K358),"median", MEDIAN(Instances!K358:Instances!K358),"min", MIN(Instances!K358:Instances!K358),"max", MAX(Instances!K358:Instances!K358),"diff", MAX(Instances!K358:Instances!K358)-MIN(Instances!K358:Instances!K358))</f>
        <v>0</v>
      </c>
      <c r="L358" s="1"/>
      <c r="M358" s="1" cm="1">
        <f t="array" ref="M358">_xlfn.SWITCH($A$2,"average", AVERAGE(Instances!M358:Instances!M358),"median", MEDIAN(Instances!M358:Instances!M358),"min", MIN(Instances!M358:Instances!M358),"max", MAX(Instances!M358:Instances!M358),"diff", MAX(Instances!M358:Instances!M358)-MIN(Instances!M358:Instances!M358))</f>
        <v>0</v>
      </c>
      <c r="N358" s="1" cm="1">
        <f t="array" ref="N358">_xlfn.SWITCH($A$2,"average", AVERAGE(Instances!N358:Instances!N358),"median", MEDIAN(Instances!N358:Instances!N358),"min", MIN(Instances!N358:Instances!N358),"max", MAX(Instances!N358:Instances!N358),"diff", MAX(Instances!N358:Instances!N358)-MIN(Instances!N358:Instances!N358))</f>
        <v>0</v>
      </c>
      <c r="O358" s="1"/>
      <c r="P358" s="1" cm="1">
        <f t="array" ref="P358">_xlfn.SWITCH($A$2,"average", AVERAGE(Instances!P358:Instances!P358),"median", MEDIAN(Instances!P358:Instances!P358),"min", MIN(Instances!P358:Instances!P358),"max", MAX(Instances!P358:Instances!P358),"diff", MAX(Instances!P358:Instances!P358)-MIN(Instances!P358:Instances!P358))</f>
        <v>0</v>
      </c>
      <c r="Q358" s="1" cm="1">
        <f t="array" ref="Q358">_xlfn.SWITCH($A$2,"average", AVERAGE(Instances!Q358:Instances!Q358),"median", MEDIAN(Instances!Q358:Instances!Q358),"min", MIN(Instances!Q358:Instances!Q358),"max", MAX(Instances!Q358:Instances!Q358),"diff", MAX(Instances!Q358:Instances!Q358)-MIN(Instances!Q358:Instances!Q358))</f>
        <v>0</v>
      </c>
      <c r="R358" s="1" cm="1">
        <f t="array" ref="R358">_xlfn.SWITCH($A$2,"average", AVERAGE(Instances!R358:Instances!R358),"median", MEDIAN(Instances!R358:Instances!R358),"min", MIN(Instances!R358:Instances!R358),"max", MAX(Instances!R358:Instances!R358),"diff", MAX(Instances!R358:Instances!R358)-MIN(Instances!R358:Instances!R358))</f>
        <v>0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 cm="1">
        <f t="array" ref="B359">_xlfn.SWITCH($A$2,"average", AVERAGE(Instances!B359:Instances!B359),"median", MEDIAN(Instances!B359:Instances!B359),"min", MIN(Instances!B359:Instances!B359),"max", MAX(Instances!B359:Instances!B359),"diff", MAX(Instances!B359:Instances!B359)-MIN(Instances!B359:Instances!B359))</f>
        <v>0</v>
      </c>
      <c r="C359" s="1" cm="1">
        <f t="array" ref="C359">_xlfn.SWITCH($A$2,"average", AVERAGE(Instances!C359:Instances!C359),"median", MEDIAN(Instances!C359:Instances!C359),"min", MIN(Instances!C359:Instances!C359),"max", MAX(Instances!C359:Instances!C359),"diff", MAX(Instances!C359:Instances!C359)-MIN(Instances!C359:Instances!C359))</f>
        <v>0</v>
      </c>
      <c r="D359" s="1" cm="1">
        <f t="array" ref="D359">_xlfn.SWITCH($A$2,"average", AVERAGE(Instances!D359:Instances!D359),"median", MEDIAN(Instances!D359:Instances!D359),"min", MIN(Instances!D359:Instances!D359),"max", MAX(Instances!D359:Instances!D359),"diff", MAX(Instances!D359:Instances!D359)-MIN(Instances!D359:Instances!D359))</f>
        <v>0</v>
      </c>
      <c r="E359" s="1" cm="1">
        <f t="array" ref="E359">_xlfn.SWITCH($A$2,"average", AVERAGE(Instances!E359:Instances!E359),"median", MEDIAN(Instances!E359:Instances!E359),"min", MIN(Instances!E359:Instances!E359),"max", MAX(Instances!E359:Instances!E359),"diff", MAX(Instances!E359:Instances!E359)-MIN(Instances!E359:Instances!E359))</f>
        <v>0</v>
      </c>
      <c r="F359" s="1" cm="1">
        <f t="array" ref="F359">_xlfn.SWITCH($A$2,"average", AVERAGE(Instances!F359:Instances!F359),"median", MEDIAN(Instances!F359:Instances!F359),"min", MIN(Instances!F359:Instances!F359),"max", MAX(Instances!F359:Instances!F359),"diff", MAX(Instances!F359:Instances!F359)-MIN(Instances!F359:Instances!F359))</f>
        <v>0</v>
      </c>
      <c r="G359" s="1" cm="1">
        <f t="array" ref="G359">_xlfn.SWITCH($A$2,"average", AVERAGE(Instances!G359:Instances!G359),"median", MEDIAN(Instances!G359:Instances!G359),"min", MIN(Instances!G359:Instances!G359),"max", MAX(Instances!G359:Instances!G359),"diff", MAX(Instances!G359:Instances!G359)-MIN(Instances!G359:Instances!G359))</f>
        <v>0</v>
      </c>
      <c r="H359" s="1" cm="1">
        <f t="array" ref="H359">_xlfn.SWITCH($A$2,"average", AVERAGE(Instances!H359:Instances!H359),"median", MEDIAN(Instances!H359:Instances!H359),"min", MIN(Instances!H359:Instances!H359),"max", MAX(Instances!H359:Instances!H359),"diff", MAX(Instances!H359:Instances!H359)-MIN(Instances!H359:Instances!H359))</f>
        <v>0</v>
      </c>
      <c r="I359" s="1" cm="1">
        <f t="array" ref="I359">_xlfn.SWITCH($A$2,"average", AVERAGE(Instances!I359:Instances!I359),"median", MEDIAN(Instances!I359:Instances!I359),"min", MIN(Instances!I359:Instances!I359),"max", MAX(Instances!I359:Instances!I359),"diff", MAX(Instances!I359:Instances!I359)-MIN(Instances!I359:Instances!I359))</f>
        <v>0</v>
      </c>
      <c r="J359" s="1" cm="1">
        <f t="array" ref="J359">_xlfn.SWITCH($A$2,"average", AVERAGE(Instances!J359:Instances!J359),"median", MEDIAN(Instances!J359:Instances!J359),"min", MIN(Instances!J359:Instances!J359),"max", MAX(Instances!J359:Instances!J359),"diff", MAX(Instances!J359:Instances!J359)-MIN(Instances!J359:Instances!J359))</f>
        <v>0</v>
      </c>
      <c r="K359" s="1" cm="1">
        <f t="array" ref="K359">_xlfn.SWITCH($A$2,"average", AVERAGE(Instances!K359:Instances!K359),"median", MEDIAN(Instances!K359:Instances!K359),"min", MIN(Instances!K359:Instances!K359),"max", MAX(Instances!K359:Instances!K359),"diff", MAX(Instances!K359:Instances!K359)-MIN(Instances!K359:Instances!K359))</f>
        <v>0</v>
      </c>
      <c r="L359" s="1"/>
      <c r="M359" s="1" cm="1">
        <f t="array" ref="M359">_xlfn.SWITCH($A$2,"average", AVERAGE(Instances!M359:Instances!M359),"median", MEDIAN(Instances!M359:Instances!M359),"min", MIN(Instances!M359:Instances!M359),"max", MAX(Instances!M359:Instances!M359),"diff", MAX(Instances!M359:Instances!M359)-MIN(Instances!M359:Instances!M359))</f>
        <v>0</v>
      </c>
      <c r="N359" s="1" cm="1">
        <f t="array" ref="N359">_xlfn.SWITCH($A$2,"average", AVERAGE(Instances!N359:Instances!N359),"median", MEDIAN(Instances!N359:Instances!N359),"min", MIN(Instances!N359:Instances!N359),"max", MAX(Instances!N359:Instances!N359),"diff", MAX(Instances!N359:Instances!N359)-MIN(Instances!N359:Instances!N359))</f>
        <v>0</v>
      </c>
      <c r="O359" s="1"/>
      <c r="P359" s="1" cm="1">
        <f t="array" ref="P359">_xlfn.SWITCH($A$2,"average", AVERAGE(Instances!P359:Instances!P359),"median", MEDIAN(Instances!P359:Instances!P359),"min", MIN(Instances!P359:Instances!P359),"max", MAX(Instances!P359:Instances!P359),"diff", MAX(Instances!P359:Instances!P359)-MIN(Instances!P359:Instances!P359))</f>
        <v>0</v>
      </c>
      <c r="Q359" s="1" cm="1">
        <f t="array" ref="Q359">_xlfn.SWITCH($A$2,"average", AVERAGE(Instances!Q359:Instances!Q359),"median", MEDIAN(Instances!Q359:Instances!Q359),"min", MIN(Instances!Q359:Instances!Q359),"max", MAX(Instances!Q359:Instances!Q359),"diff", MAX(Instances!Q359:Instances!Q359)-MIN(Instances!Q359:Instances!Q359))</f>
        <v>0</v>
      </c>
      <c r="R359" s="1" cm="1">
        <f t="array" ref="R359">_xlfn.SWITCH($A$2,"average", AVERAGE(Instances!R359:Instances!R359),"median", MEDIAN(Instances!R359:Instances!R359),"min", MIN(Instances!R359:Instances!R359),"max", MAX(Instances!R359:Instances!R359),"diff", MAX(Instances!R359:Instances!R359)-MIN(Instances!R359:Instances!R359))</f>
        <v>0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 cm="1">
        <f t="array" ref="B360">_xlfn.SWITCH($A$2,"average", AVERAGE(Instances!B360:Instances!B360),"median", MEDIAN(Instances!B360:Instances!B360),"min", MIN(Instances!B360:Instances!B360),"max", MAX(Instances!B360:Instances!B360),"diff", MAX(Instances!B360:Instances!B360)-MIN(Instances!B360:Instances!B360))</f>
        <v>0</v>
      </c>
      <c r="C360" s="1" cm="1">
        <f t="array" ref="C360">_xlfn.SWITCH($A$2,"average", AVERAGE(Instances!C360:Instances!C360),"median", MEDIAN(Instances!C360:Instances!C360),"min", MIN(Instances!C360:Instances!C360),"max", MAX(Instances!C360:Instances!C360),"diff", MAX(Instances!C360:Instances!C360)-MIN(Instances!C360:Instances!C360))</f>
        <v>0</v>
      </c>
      <c r="D360" s="1" cm="1">
        <f t="array" ref="D360">_xlfn.SWITCH($A$2,"average", AVERAGE(Instances!D360:Instances!D360),"median", MEDIAN(Instances!D360:Instances!D360),"min", MIN(Instances!D360:Instances!D360),"max", MAX(Instances!D360:Instances!D360),"diff", MAX(Instances!D360:Instances!D360)-MIN(Instances!D360:Instances!D360))</f>
        <v>0</v>
      </c>
      <c r="E360" s="1" cm="1">
        <f t="array" ref="E360">_xlfn.SWITCH($A$2,"average", AVERAGE(Instances!E360:Instances!E360),"median", MEDIAN(Instances!E360:Instances!E360),"min", MIN(Instances!E360:Instances!E360),"max", MAX(Instances!E360:Instances!E360),"diff", MAX(Instances!E360:Instances!E360)-MIN(Instances!E360:Instances!E360))</f>
        <v>0</v>
      </c>
      <c r="F360" s="1" cm="1">
        <f t="array" ref="F360">_xlfn.SWITCH($A$2,"average", AVERAGE(Instances!F360:Instances!F360),"median", MEDIAN(Instances!F360:Instances!F360),"min", MIN(Instances!F360:Instances!F360),"max", MAX(Instances!F360:Instances!F360),"diff", MAX(Instances!F360:Instances!F360)-MIN(Instances!F360:Instances!F360))</f>
        <v>0</v>
      </c>
      <c r="G360" s="1" cm="1">
        <f t="array" ref="G360">_xlfn.SWITCH($A$2,"average", AVERAGE(Instances!G360:Instances!G360),"median", MEDIAN(Instances!G360:Instances!G360),"min", MIN(Instances!G360:Instances!G360),"max", MAX(Instances!G360:Instances!G360),"diff", MAX(Instances!G360:Instances!G360)-MIN(Instances!G360:Instances!G360))</f>
        <v>0</v>
      </c>
      <c r="H360" s="1" cm="1">
        <f t="array" ref="H360">_xlfn.SWITCH($A$2,"average", AVERAGE(Instances!H360:Instances!H360),"median", MEDIAN(Instances!H360:Instances!H360),"min", MIN(Instances!H360:Instances!H360),"max", MAX(Instances!H360:Instances!H360),"diff", MAX(Instances!H360:Instances!H360)-MIN(Instances!H360:Instances!H360))</f>
        <v>0</v>
      </c>
      <c r="I360" s="1" cm="1">
        <f t="array" ref="I360">_xlfn.SWITCH($A$2,"average", AVERAGE(Instances!I360:Instances!I360),"median", MEDIAN(Instances!I360:Instances!I360),"min", MIN(Instances!I360:Instances!I360),"max", MAX(Instances!I360:Instances!I360),"diff", MAX(Instances!I360:Instances!I360)-MIN(Instances!I360:Instances!I360))</f>
        <v>0</v>
      </c>
      <c r="J360" s="1" cm="1">
        <f t="array" ref="J360">_xlfn.SWITCH($A$2,"average", AVERAGE(Instances!J360:Instances!J360),"median", MEDIAN(Instances!J360:Instances!J360),"min", MIN(Instances!J360:Instances!J360),"max", MAX(Instances!J360:Instances!J360),"diff", MAX(Instances!J360:Instances!J360)-MIN(Instances!J360:Instances!J360))</f>
        <v>0</v>
      </c>
      <c r="K360" s="1" cm="1">
        <f t="array" ref="K360">_xlfn.SWITCH($A$2,"average", AVERAGE(Instances!K360:Instances!K360),"median", MEDIAN(Instances!K360:Instances!K360),"min", MIN(Instances!K360:Instances!K360),"max", MAX(Instances!K360:Instances!K360),"diff", MAX(Instances!K360:Instances!K360)-MIN(Instances!K360:Instances!K360))</f>
        <v>0</v>
      </c>
      <c r="L360" s="1"/>
      <c r="M360" s="1" cm="1">
        <f t="array" ref="M360">_xlfn.SWITCH($A$2,"average", AVERAGE(Instances!M360:Instances!M360),"median", MEDIAN(Instances!M360:Instances!M360),"min", MIN(Instances!M360:Instances!M360),"max", MAX(Instances!M360:Instances!M360),"diff", MAX(Instances!M360:Instances!M360)-MIN(Instances!M360:Instances!M360))</f>
        <v>0</v>
      </c>
      <c r="N360" s="1" cm="1">
        <f t="array" ref="N360">_xlfn.SWITCH($A$2,"average", AVERAGE(Instances!N360:Instances!N360),"median", MEDIAN(Instances!N360:Instances!N360),"min", MIN(Instances!N360:Instances!N360),"max", MAX(Instances!N360:Instances!N360),"diff", MAX(Instances!N360:Instances!N360)-MIN(Instances!N360:Instances!N360))</f>
        <v>0</v>
      </c>
      <c r="O360" s="1"/>
      <c r="P360" s="1" cm="1">
        <f t="array" ref="P360">_xlfn.SWITCH($A$2,"average", AVERAGE(Instances!P360:Instances!P360),"median", MEDIAN(Instances!P360:Instances!P360),"min", MIN(Instances!P360:Instances!P360),"max", MAX(Instances!P360:Instances!P360),"diff", MAX(Instances!P360:Instances!P360)-MIN(Instances!P360:Instances!P360))</f>
        <v>0</v>
      </c>
      <c r="Q360" s="1" cm="1">
        <f t="array" ref="Q360">_xlfn.SWITCH($A$2,"average", AVERAGE(Instances!Q360:Instances!Q360),"median", MEDIAN(Instances!Q360:Instances!Q360),"min", MIN(Instances!Q360:Instances!Q360),"max", MAX(Instances!Q360:Instances!Q360),"diff", MAX(Instances!Q360:Instances!Q360)-MIN(Instances!Q360:Instances!Q360))</f>
        <v>0</v>
      </c>
      <c r="R360" s="1" cm="1">
        <f t="array" ref="R360">_xlfn.SWITCH($A$2,"average", AVERAGE(Instances!R360:Instances!R360),"median", MEDIAN(Instances!R360:Instances!R360),"min", MIN(Instances!R360:Instances!R360),"max", MAX(Instances!R360:Instances!R360),"diff", MAX(Instances!R360:Instances!R360)-MIN(Instances!R360:Instances!R360))</f>
        <v>0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 cm="1">
        <f t="array" ref="B361">_xlfn.SWITCH($A$2,"average", AVERAGE(Instances!B361:Instances!B361),"median", MEDIAN(Instances!B361:Instances!B361),"min", MIN(Instances!B361:Instances!B361),"max", MAX(Instances!B361:Instances!B361),"diff", MAX(Instances!B361:Instances!B361)-MIN(Instances!B361:Instances!B361))</f>
        <v>0</v>
      </c>
      <c r="C361" s="1" cm="1">
        <f t="array" ref="C361">_xlfn.SWITCH($A$2,"average", AVERAGE(Instances!C361:Instances!C361),"median", MEDIAN(Instances!C361:Instances!C361),"min", MIN(Instances!C361:Instances!C361),"max", MAX(Instances!C361:Instances!C361),"diff", MAX(Instances!C361:Instances!C361)-MIN(Instances!C361:Instances!C361))</f>
        <v>0</v>
      </c>
      <c r="D361" s="1" cm="1">
        <f t="array" ref="D361">_xlfn.SWITCH($A$2,"average", AVERAGE(Instances!D361:Instances!D361),"median", MEDIAN(Instances!D361:Instances!D361),"min", MIN(Instances!D361:Instances!D361),"max", MAX(Instances!D361:Instances!D361),"diff", MAX(Instances!D361:Instances!D361)-MIN(Instances!D361:Instances!D361))</f>
        <v>0</v>
      </c>
      <c r="E361" s="1" cm="1">
        <f t="array" ref="E361">_xlfn.SWITCH($A$2,"average", AVERAGE(Instances!E361:Instances!E361),"median", MEDIAN(Instances!E361:Instances!E361),"min", MIN(Instances!E361:Instances!E361),"max", MAX(Instances!E361:Instances!E361),"diff", MAX(Instances!E361:Instances!E361)-MIN(Instances!E361:Instances!E361))</f>
        <v>0</v>
      </c>
      <c r="F361" s="1" cm="1">
        <f t="array" ref="F361">_xlfn.SWITCH($A$2,"average", AVERAGE(Instances!F361:Instances!F361),"median", MEDIAN(Instances!F361:Instances!F361),"min", MIN(Instances!F361:Instances!F361),"max", MAX(Instances!F361:Instances!F361),"diff", MAX(Instances!F361:Instances!F361)-MIN(Instances!F361:Instances!F361))</f>
        <v>0</v>
      </c>
      <c r="G361" s="1" cm="1">
        <f t="array" ref="G361">_xlfn.SWITCH($A$2,"average", AVERAGE(Instances!G361:Instances!G361),"median", MEDIAN(Instances!G361:Instances!G361),"min", MIN(Instances!G361:Instances!G361),"max", MAX(Instances!G361:Instances!G361),"diff", MAX(Instances!G361:Instances!G361)-MIN(Instances!G361:Instances!G361))</f>
        <v>0</v>
      </c>
      <c r="H361" s="1" cm="1">
        <f t="array" ref="H361">_xlfn.SWITCH($A$2,"average", AVERAGE(Instances!H361:Instances!H361),"median", MEDIAN(Instances!H361:Instances!H361),"min", MIN(Instances!H361:Instances!H361),"max", MAX(Instances!H361:Instances!H361),"diff", MAX(Instances!H361:Instances!H361)-MIN(Instances!H361:Instances!H361))</f>
        <v>0</v>
      </c>
      <c r="I361" s="1" cm="1">
        <f t="array" ref="I361">_xlfn.SWITCH($A$2,"average", AVERAGE(Instances!I361:Instances!I361),"median", MEDIAN(Instances!I361:Instances!I361),"min", MIN(Instances!I361:Instances!I361),"max", MAX(Instances!I361:Instances!I361),"diff", MAX(Instances!I361:Instances!I361)-MIN(Instances!I361:Instances!I361))</f>
        <v>0</v>
      </c>
      <c r="J361" s="1" cm="1">
        <f t="array" ref="J361">_xlfn.SWITCH($A$2,"average", AVERAGE(Instances!J361:Instances!J361),"median", MEDIAN(Instances!J361:Instances!J361),"min", MIN(Instances!J361:Instances!J361),"max", MAX(Instances!J361:Instances!J361),"diff", MAX(Instances!J361:Instances!J361)-MIN(Instances!J361:Instances!J361))</f>
        <v>0</v>
      </c>
      <c r="K361" s="1" cm="1">
        <f t="array" ref="K361">_xlfn.SWITCH($A$2,"average", AVERAGE(Instances!K361:Instances!K361),"median", MEDIAN(Instances!K361:Instances!K361),"min", MIN(Instances!K361:Instances!K361),"max", MAX(Instances!K361:Instances!K361),"diff", MAX(Instances!K361:Instances!K361)-MIN(Instances!K361:Instances!K361))</f>
        <v>0</v>
      </c>
      <c r="L361" s="1"/>
      <c r="M361" s="1" cm="1">
        <f t="array" ref="M361">_xlfn.SWITCH($A$2,"average", AVERAGE(Instances!M361:Instances!M361),"median", MEDIAN(Instances!M361:Instances!M361),"min", MIN(Instances!M361:Instances!M361),"max", MAX(Instances!M361:Instances!M361),"diff", MAX(Instances!M361:Instances!M361)-MIN(Instances!M361:Instances!M361))</f>
        <v>0</v>
      </c>
      <c r="N361" s="1" cm="1">
        <f t="array" ref="N361">_xlfn.SWITCH($A$2,"average", AVERAGE(Instances!N361:Instances!N361),"median", MEDIAN(Instances!N361:Instances!N361),"min", MIN(Instances!N361:Instances!N361),"max", MAX(Instances!N361:Instances!N361),"diff", MAX(Instances!N361:Instances!N361)-MIN(Instances!N361:Instances!N361))</f>
        <v>0</v>
      </c>
      <c r="O361" s="1"/>
      <c r="P361" s="1" cm="1">
        <f t="array" ref="P361">_xlfn.SWITCH($A$2,"average", AVERAGE(Instances!P361:Instances!P361),"median", MEDIAN(Instances!P361:Instances!P361),"min", MIN(Instances!P361:Instances!P361),"max", MAX(Instances!P361:Instances!P361),"diff", MAX(Instances!P361:Instances!P361)-MIN(Instances!P361:Instances!P361))</f>
        <v>0</v>
      </c>
      <c r="Q361" s="1" cm="1">
        <f t="array" ref="Q361">_xlfn.SWITCH($A$2,"average", AVERAGE(Instances!Q361:Instances!Q361),"median", MEDIAN(Instances!Q361:Instances!Q361),"min", MIN(Instances!Q361:Instances!Q361),"max", MAX(Instances!Q361:Instances!Q361),"diff", MAX(Instances!Q361:Instances!Q361)-MIN(Instances!Q361:Instances!Q361))</f>
        <v>0</v>
      </c>
      <c r="R361" s="1" cm="1">
        <f t="array" ref="R361">_xlfn.SWITCH($A$2,"average", AVERAGE(Instances!R361:Instances!R361),"median", MEDIAN(Instances!R361:Instances!R361),"min", MIN(Instances!R361:Instances!R361),"max", MAX(Instances!R361:Instances!R361),"diff", MAX(Instances!R361:Instances!R361)-MIN(Instances!R361:Instances!R361))</f>
        <v>0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 cm="1">
        <f t="array" ref="B362">_xlfn.SWITCH($A$2,"average", AVERAGE(Instances!B362:Instances!B362),"median", MEDIAN(Instances!B362:Instances!B362),"min", MIN(Instances!B362:Instances!B362),"max", MAX(Instances!B362:Instances!B362),"diff", MAX(Instances!B362:Instances!B362)-MIN(Instances!B362:Instances!B362))</f>
        <v>0</v>
      </c>
      <c r="C362" s="1" cm="1">
        <f t="array" ref="C362">_xlfn.SWITCH($A$2,"average", AVERAGE(Instances!C362:Instances!C362),"median", MEDIAN(Instances!C362:Instances!C362),"min", MIN(Instances!C362:Instances!C362),"max", MAX(Instances!C362:Instances!C362),"diff", MAX(Instances!C362:Instances!C362)-MIN(Instances!C362:Instances!C362))</f>
        <v>0</v>
      </c>
      <c r="D362" s="1" cm="1">
        <f t="array" ref="D362">_xlfn.SWITCH($A$2,"average", AVERAGE(Instances!D362:Instances!D362),"median", MEDIAN(Instances!D362:Instances!D362),"min", MIN(Instances!D362:Instances!D362),"max", MAX(Instances!D362:Instances!D362),"diff", MAX(Instances!D362:Instances!D362)-MIN(Instances!D362:Instances!D362))</f>
        <v>0</v>
      </c>
      <c r="E362" s="1" cm="1">
        <f t="array" ref="E362">_xlfn.SWITCH($A$2,"average", AVERAGE(Instances!E362:Instances!E362),"median", MEDIAN(Instances!E362:Instances!E362),"min", MIN(Instances!E362:Instances!E362),"max", MAX(Instances!E362:Instances!E362),"diff", MAX(Instances!E362:Instances!E362)-MIN(Instances!E362:Instances!E362))</f>
        <v>0</v>
      </c>
      <c r="F362" s="1" cm="1">
        <f t="array" ref="F362">_xlfn.SWITCH($A$2,"average", AVERAGE(Instances!F362:Instances!F362),"median", MEDIAN(Instances!F362:Instances!F362),"min", MIN(Instances!F362:Instances!F362),"max", MAX(Instances!F362:Instances!F362),"diff", MAX(Instances!F362:Instances!F362)-MIN(Instances!F362:Instances!F362))</f>
        <v>0</v>
      </c>
      <c r="G362" s="1" cm="1">
        <f t="array" ref="G362">_xlfn.SWITCH($A$2,"average", AVERAGE(Instances!G362:Instances!G362),"median", MEDIAN(Instances!G362:Instances!G362),"min", MIN(Instances!G362:Instances!G362),"max", MAX(Instances!G362:Instances!G362),"diff", MAX(Instances!G362:Instances!G362)-MIN(Instances!G362:Instances!G362))</f>
        <v>0</v>
      </c>
      <c r="H362" s="1" cm="1">
        <f t="array" ref="H362">_xlfn.SWITCH($A$2,"average", AVERAGE(Instances!H362:Instances!H362),"median", MEDIAN(Instances!H362:Instances!H362),"min", MIN(Instances!H362:Instances!H362),"max", MAX(Instances!H362:Instances!H362),"diff", MAX(Instances!H362:Instances!H362)-MIN(Instances!H362:Instances!H362))</f>
        <v>0</v>
      </c>
      <c r="I362" s="1" cm="1">
        <f t="array" ref="I362">_xlfn.SWITCH($A$2,"average", AVERAGE(Instances!I362:Instances!I362),"median", MEDIAN(Instances!I362:Instances!I362),"min", MIN(Instances!I362:Instances!I362),"max", MAX(Instances!I362:Instances!I362),"diff", MAX(Instances!I362:Instances!I362)-MIN(Instances!I362:Instances!I362))</f>
        <v>0</v>
      </c>
      <c r="J362" s="1" cm="1">
        <f t="array" ref="J362">_xlfn.SWITCH($A$2,"average", AVERAGE(Instances!J362:Instances!J362),"median", MEDIAN(Instances!J362:Instances!J362),"min", MIN(Instances!J362:Instances!J362),"max", MAX(Instances!J362:Instances!J362),"diff", MAX(Instances!J362:Instances!J362)-MIN(Instances!J362:Instances!J362))</f>
        <v>0</v>
      </c>
      <c r="K362" s="1" cm="1">
        <f t="array" ref="K362">_xlfn.SWITCH($A$2,"average", AVERAGE(Instances!K362:Instances!K362),"median", MEDIAN(Instances!K362:Instances!K362),"min", MIN(Instances!K362:Instances!K362),"max", MAX(Instances!K362:Instances!K362),"diff", MAX(Instances!K362:Instances!K362)-MIN(Instances!K362:Instances!K362))</f>
        <v>0</v>
      </c>
      <c r="L362" s="1"/>
      <c r="M362" s="1" cm="1">
        <f t="array" ref="M362">_xlfn.SWITCH($A$2,"average", AVERAGE(Instances!M362:Instances!M362),"median", MEDIAN(Instances!M362:Instances!M362),"min", MIN(Instances!M362:Instances!M362),"max", MAX(Instances!M362:Instances!M362),"diff", MAX(Instances!M362:Instances!M362)-MIN(Instances!M362:Instances!M362))</f>
        <v>0</v>
      </c>
      <c r="N362" s="1" cm="1">
        <f t="array" ref="N362">_xlfn.SWITCH($A$2,"average", AVERAGE(Instances!N362:Instances!N362),"median", MEDIAN(Instances!N362:Instances!N362),"min", MIN(Instances!N362:Instances!N362),"max", MAX(Instances!N362:Instances!N362),"diff", MAX(Instances!N362:Instances!N362)-MIN(Instances!N362:Instances!N362))</f>
        <v>0</v>
      </c>
      <c r="O362" s="1"/>
      <c r="P362" s="1" cm="1">
        <f t="array" ref="P362">_xlfn.SWITCH($A$2,"average", AVERAGE(Instances!P362:Instances!P362),"median", MEDIAN(Instances!P362:Instances!P362),"min", MIN(Instances!P362:Instances!P362),"max", MAX(Instances!P362:Instances!P362),"diff", MAX(Instances!P362:Instances!P362)-MIN(Instances!P362:Instances!P362))</f>
        <v>0</v>
      </c>
      <c r="Q362" s="1" cm="1">
        <f t="array" ref="Q362">_xlfn.SWITCH($A$2,"average", AVERAGE(Instances!Q362:Instances!Q362),"median", MEDIAN(Instances!Q362:Instances!Q362),"min", MIN(Instances!Q362:Instances!Q362),"max", MAX(Instances!Q362:Instances!Q362),"diff", MAX(Instances!Q362:Instances!Q362)-MIN(Instances!Q362:Instances!Q362))</f>
        <v>0</v>
      </c>
      <c r="R362" s="1" cm="1">
        <f t="array" ref="R362">_xlfn.SWITCH($A$2,"average", AVERAGE(Instances!R362:Instances!R362),"median", MEDIAN(Instances!R362:Instances!R362),"min", MIN(Instances!R362:Instances!R362),"max", MAX(Instances!R362:Instances!R362),"diff", MAX(Instances!R362:Instances!R362)-MIN(Instances!R362:Instances!R362))</f>
        <v>0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389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385</v>
      </c>
      <c r="Q2" s="1" t="s">
        <v>386</v>
      </c>
      <c r="R2" s="1" t="s">
        <v>387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385</v>
      </c>
      <c r="AF2" s="1" t="s">
        <v>386</v>
      </c>
      <c r="AG2" s="1" t="s">
        <v>387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385</v>
      </c>
      <c r="AU2" s="1" t="s">
        <v>386</v>
      </c>
      <c r="AV2" s="1" t="s">
        <v>387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385</v>
      </c>
      <c r="BJ2" s="1" t="s">
        <v>386</v>
      </c>
      <c r="BK2" s="1" t="s">
        <v>387</v>
      </c>
    </row>
    <row r="3" spans="1:63">
      <c r="A3" s="1" t="s">
        <v>392</v>
      </c>
      <c r="B3" s="1">
        <f>AVERAGE(Instances!B3:Instances!B38)</f>
        <v>0</v>
      </c>
      <c r="C3" s="1">
        <f>AVERAGE(Instances!C3:Instances!C38)</f>
        <v>0</v>
      </c>
      <c r="D3" s="1">
        <f>AVERAGE(Instances!D3:Instances!D38)</f>
        <v>0</v>
      </c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>
        <f>AVERAGE(Instances!I3:Instances!I38)</f>
        <v>0</v>
      </c>
      <c r="J3" s="1">
        <f>AVERAGE(Instances!J3:Instances!J38)</f>
        <v>0</v>
      </c>
      <c r="K3" s="1">
        <f>AVERAGE(Instances!K3:Instances!K38)</f>
        <v>0</v>
      </c>
      <c r="L3" s="1"/>
      <c r="M3" s="1">
        <f>AVERAGE(Instances!M3:Instances!M38)</f>
        <v>0</v>
      </c>
      <c r="N3" s="1">
        <f>AVERAGE(Instances!N3:Instances!N38)</f>
        <v>0</v>
      </c>
      <c r="O3" s="1"/>
      <c r="P3" s="1">
        <f>AVERAGE(Instances!P3:Instances!P38)</f>
        <v>0</v>
      </c>
      <c r="Q3" s="1">
        <f>SUM(Instances!Q3:Instances!Q38)</f>
        <v>0</v>
      </c>
      <c r="R3" s="1">
        <f>AVERAGE(Instances!R3:Instances!R38)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393</v>
      </c>
      <c r="B4" s="1">
        <f>AVERAGE(Instances!B39:Instances!B74)</f>
        <v>0</v>
      </c>
      <c r="C4" s="1">
        <f>AVERAGE(Instances!C39:Instances!C74)</f>
        <v>0</v>
      </c>
      <c r="D4" s="1">
        <f>AVERAGE(Instances!D39:Instances!D74)</f>
        <v>0</v>
      </c>
      <c r="E4" s="1">
        <f>AVERAGE(Instances!E39:Instances!E74)</f>
        <v>0</v>
      </c>
      <c r="F4" s="1">
        <f>AVERAGE(Instances!F39:Instances!F74)</f>
        <v>0</v>
      </c>
      <c r="G4" s="1">
        <f>AVERAGE(Instances!G39:Instances!G74)</f>
        <v>0</v>
      </c>
      <c r="H4" s="1">
        <f>AVERAGE(Instances!H39:Instances!H74)</f>
        <v>0</v>
      </c>
      <c r="I4" s="1">
        <f>AVERAGE(Instances!I39:Instances!I74)</f>
        <v>0</v>
      </c>
      <c r="J4" s="1">
        <f>AVERAGE(Instances!J39:Instances!J74)</f>
        <v>0</v>
      </c>
      <c r="K4" s="1">
        <f>AVERAGE(Instances!K39:Instances!K74)</f>
        <v>0</v>
      </c>
      <c r="L4" s="1"/>
      <c r="M4" s="1">
        <f>AVERAGE(Instances!M39:Instances!M74)</f>
        <v>0</v>
      </c>
      <c r="N4" s="1">
        <f>AVERAGE(Instances!N39:Instances!N74)</f>
        <v>0</v>
      </c>
      <c r="O4" s="1"/>
      <c r="P4" s="1">
        <f>AVERAGE(Instances!P39:Instances!P74)</f>
        <v>0</v>
      </c>
      <c r="Q4" s="1">
        <f>SUM(Instances!Q39:Instances!Q74)</f>
        <v>0</v>
      </c>
      <c r="R4" s="1">
        <f>AVERAGE(Instances!R39:Instances!R74)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394</v>
      </c>
      <c r="B5" s="1">
        <f>AVERAGE(Instances!B75:Instances!B110)</f>
        <v>0</v>
      </c>
      <c r="C5" s="1">
        <f>AVERAGE(Instances!C75:Instances!C110)</f>
        <v>0</v>
      </c>
      <c r="D5" s="1">
        <f>AVERAGE(Instances!D75:Instances!D110)</f>
        <v>0</v>
      </c>
      <c r="E5" s="1">
        <f>AVERAGE(Instances!E75:Instances!E110)</f>
        <v>0</v>
      </c>
      <c r="F5" s="1">
        <f>AVERAGE(Instances!F75:Instances!F110)</f>
        <v>0</v>
      </c>
      <c r="G5" s="1">
        <f>AVERAGE(Instances!G75:Instances!G110)</f>
        <v>0</v>
      </c>
      <c r="H5" s="1">
        <f>AVERAGE(Instances!H75:Instances!H110)</f>
        <v>0</v>
      </c>
      <c r="I5" s="1">
        <f>AVERAGE(Instances!I75:Instances!I110)</f>
        <v>0</v>
      </c>
      <c r="J5" s="1">
        <f>AVERAGE(Instances!J75:Instances!J110)</f>
        <v>0</v>
      </c>
      <c r="K5" s="1">
        <f>AVERAGE(Instances!K75:Instances!K110)</f>
        <v>0</v>
      </c>
      <c r="L5" s="1"/>
      <c r="M5" s="1">
        <f>AVERAGE(Instances!M75:Instances!M110)</f>
        <v>0</v>
      </c>
      <c r="N5" s="1">
        <f>AVERAGE(Instances!N75:Instances!N110)</f>
        <v>0</v>
      </c>
      <c r="O5" s="1"/>
      <c r="P5" s="1">
        <f>AVERAGE(Instances!P75:Instances!P110)</f>
        <v>0</v>
      </c>
      <c r="Q5" s="1">
        <f>SUM(Instances!Q75:Instances!Q110)</f>
        <v>0</v>
      </c>
      <c r="R5" s="1">
        <f>AVERAGE(Instances!R75:Instances!R110)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395</v>
      </c>
      <c r="B6" s="1">
        <f>AVERAGE(Instances!B111:Instances!B146)</f>
        <v>0</v>
      </c>
      <c r="C6" s="1">
        <f>AVERAGE(Instances!C111:Instances!C146)</f>
        <v>0</v>
      </c>
      <c r="D6" s="1">
        <f>AVERAGE(Instances!D111:Instances!D146)</f>
        <v>0</v>
      </c>
      <c r="E6" s="1">
        <f>AVERAGE(Instances!E111:Instances!E146)</f>
        <v>0</v>
      </c>
      <c r="F6" s="1">
        <f>AVERAGE(Instances!F111:Instances!F146)</f>
        <v>0</v>
      </c>
      <c r="G6" s="1">
        <f>AVERAGE(Instances!G111:Instances!G146)</f>
        <v>0</v>
      </c>
      <c r="H6" s="1">
        <f>AVERAGE(Instances!H111:Instances!H146)</f>
        <v>0</v>
      </c>
      <c r="I6" s="1">
        <f>AVERAGE(Instances!I111:Instances!I146)</f>
        <v>0</v>
      </c>
      <c r="J6" s="1">
        <f>AVERAGE(Instances!J111:Instances!J146)</f>
        <v>0</v>
      </c>
      <c r="K6" s="1">
        <f>AVERAGE(Instances!K111:Instances!K146)</f>
        <v>0</v>
      </c>
      <c r="L6" s="1"/>
      <c r="M6" s="1">
        <f>AVERAGE(Instances!M111:Instances!M146)</f>
        <v>0</v>
      </c>
      <c r="N6" s="1">
        <f>AVERAGE(Instances!N111:Instances!N146)</f>
        <v>0</v>
      </c>
      <c r="O6" s="1"/>
      <c r="P6" s="1">
        <f>AVERAGE(Instances!P111:Instances!P146)</f>
        <v>0</v>
      </c>
      <c r="Q6" s="1">
        <f>SUM(Instances!Q111:Instances!Q146)</f>
        <v>0</v>
      </c>
      <c r="R6" s="1">
        <f>AVERAGE(Instances!R111:Instances!R146)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396</v>
      </c>
      <c r="B7" s="1">
        <f>AVERAGE(Instances!B147:Instances!B182)</f>
        <v>0</v>
      </c>
      <c r="C7" s="1">
        <f>AVERAGE(Instances!C147:Instances!C182)</f>
        <v>0</v>
      </c>
      <c r="D7" s="1">
        <f>AVERAGE(Instances!D147:Instances!D182)</f>
        <v>0</v>
      </c>
      <c r="E7" s="1">
        <f>AVERAGE(Instances!E147:Instances!E182)</f>
        <v>0</v>
      </c>
      <c r="F7" s="1">
        <f>AVERAGE(Instances!F147:Instances!F182)</f>
        <v>0</v>
      </c>
      <c r="G7" s="1">
        <f>AVERAGE(Instances!G147:Instances!G182)</f>
        <v>0</v>
      </c>
      <c r="H7" s="1">
        <f>AVERAGE(Instances!H147:Instances!H182)</f>
        <v>0</v>
      </c>
      <c r="I7" s="1">
        <f>AVERAGE(Instances!I147:Instances!I182)</f>
        <v>0</v>
      </c>
      <c r="J7" s="1">
        <f>AVERAGE(Instances!J147:Instances!J182)</f>
        <v>0</v>
      </c>
      <c r="K7" s="1">
        <f>AVERAGE(Instances!K147:Instances!K182)</f>
        <v>0</v>
      </c>
      <c r="L7" s="1"/>
      <c r="M7" s="1">
        <f>AVERAGE(Instances!M147:Instances!M182)</f>
        <v>0</v>
      </c>
      <c r="N7" s="1">
        <f>AVERAGE(Instances!N147:Instances!N182)</f>
        <v>0</v>
      </c>
      <c r="O7" s="1"/>
      <c r="P7" s="1">
        <f>AVERAGE(Instances!P147:Instances!P182)</f>
        <v>0</v>
      </c>
      <c r="Q7" s="1">
        <f>SUM(Instances!Q147:Instances!Q182)</f>
        <v>0</v>
      </c>
      <c r="R7" s="1">
        <f>AVERAGE(Instances!R147:Instances!R182)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397</v>
      </c>
      <c r="B8" s="1">
        <f>AVERAGE(Instances!B183:Instances!B218)</f>
        <v>0</v>
      </c>
      <c r="C8" s="1">
        <f>AVERAGE(Instances!C183:Instances!C218)</f>
        <v>0</v>
      </c>
      <c r="D8" s="1">
        <f>AVERAGE(Instances!D183:Instances!D218)</f>
        <v>0</v>
      </c>
      <c r="E8" s="1">
        <f>AVERAGE(Instances!E183:Instances!E218)</f>
        <v>0</v>
      </c>
      <c r="F8" s="1">
        <f>AVERAGE(Instances!F183:Instances!F218)</f>
        <v>0</v>
      </c>
      <c r="G8" s="1">
        <f>AVERAGE(Instances!G183:Instances!G218)</f>
        <v>0</v>
      </c>
      <c r="H8" s="1">
        <f>AVERAGE(Instances!H183:Instances!H218)</f>
        <v>0</v>
      </c>
      <c r="I8" s="1">
        <f>AVERAGE(Instances!I183:Instances!I218)</f>
        <v>0</v>
      </c>
      <c r="J8" s="1">
        <f>AVERAGE(Instances!J183:Instances!J218)</f>
        <v>0</v>
      </c>
      <c r="K8" s="1">
        <f>AVERAGE(Instances!K183:Instances!K218)</f>
        <v>0</v>
      </c>
      <c r="L8" s="1"/>
      <c r="M8" s="1">
        <f>AVERAGE(Instances!M183:Instances!M218)</f>
        <v>0</v>
      </c>
      <c r="N8" s="1">
        <f>AVERAGE(Instances!N183:Instances!N218)</f>
        <v>0</v>
      </c>
      <c r="O8" s="1"/>
      <c r="P8" s="1">
        <f>AVERAGE(Instances!P183:Instances!P218)</f>
        <v>0</v>
      </c>
      <c r="Q8" s="1">
        <f>SUM(Instances!Q183:Instances!Q218)</f>
        <v>0</v>
      </c>
      <c r="R8" s="1">
        <f>AVERAGE(Instances!R183:Instances!R218)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398</v>
      </c>
      <c r="B9" s="1">
        <f>AVERAGE(Instances!B219:Instances!B254)</f>
        <v>0</v>
      </c>
      <c r="C9" s="1">
        <f>AVERAGE(Instances!C219:Instances!C254)</f>
        <v>0</v>
      </c>
      <c r="D9" s="1">
        <f>AVERAGE(Instances!D219:Instances!D254)</f>
        <v>0</v>
      </c>
      <c r="E9" s="1">
        <f>AVERAGE(Instances!E219:Instances!E254)</f>
        <v>0</v>
      </c>
      <c r="F9" s="1">
        <f>AVERAGE(Instances!F219:Instances!F254)</f>
        <v>0</v>
      </c>
      <c r="G9" s="1">
        <f>AVERAGE(Instances!G219:Instances!G254)</f>
        <v>0</v>
      </c>
      <c r="H9" s="1">
        <f>AVERAGE(Instances!H219:Instances!H254)</f>
        <v>0</v>
      </c>
      <c r="I9" s="1">
        <f>AVERAGE(Instances!I219:Instances!I254)</f>
        <v>0</v>
      </c>
      <c r="J9" s="1">
        <f>AVERAGE(Instances!J219:Instances!J254)</f>
        <v>0</v>
      </c>
      <c r="K9" s="1">
        <f>AVERAGE(Instances!K219:Instances!K254)</f>
        <v>0</v>
      </c>
      <c r="L9" s="1"/>
      <c r="M9" s="1">
        <f>AVERAGE(Instances!M219:Instances!M254)</f>
        <v>0</v>
      </c>
      <c r="N9" s="1">
        <f>AVERAGE(Instances!N219:Instances!N254)</f>
        <v>0</v>
      </c>
      <c r="O9" s="1"/>
      <c r="P9" s="1">
        <f>AVERAGE(Instances!P219:Instances!P254)</f>
        <v>0</v>
      </c>
      <c r="Q9" s="1">
        <f>SUM(Instances!Q219:Instances!Q254)</f>
        <v>0</v>
      </c>
      <c r="R9" s="1">
        <f>AVERAGE(Instances!R219:Instances!R254)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399</v>
      </c>
      <c r="B10" s="1">
        <f>AVERAGE(Instances!B255:Instances!B290)</f>
        <v>0</v>
      </c>
      <c r="C10" s="1">
        <f>AVERAGE(Instances!C255:Instances!C290)</f>
        <v>0</v>
      </c>
      <c r="D10" s="1">
        <f>AVERAGE(Instances!D255:Instances!D290)</f>
        <v>0</v>
      </c>
      <c r="E10" s="1">
        <f>AVERAGE(Instances!E255:Instances!E290)</f>
        <v>0</v>
      </c>
      <c r="F10" s="1">
        <f>AVERAGE(Instances!F255:Instances!F290)</f>
        <v>0</v>
      </c>
      <c r="G10" s="1">
        <f>AVERAGE(Instances!G255:Instances!G290)</f>
        <v>0</v>
      </c>
      <c r="H10" s="1">
        <f>AVERAGE(Instances!H255:Instances!H290)</f>
        <v>0</v>
      </c>
      <c r="I10" s="1">
        <f>AVERAGE(Instances!I255:Instances!I290)</f>
        <v>0</v>
      </c>
      <c r="J10" s="1">
        <f>AVERAGE(Instances!J255:Instances!J290)</f>
        <v>0</v>
      </c>
      <c r="K10" s="1">
        <f>AVERAGE(Instances!K255:Instances!K290)</f>
        <v>0</v>
      </c>
      <c r="L10" s="1"/>
      <c r="M10" s="1">
        <f>AVERAGE(Instances!M255:Instances!M290)</f>
        <v>0</v>
      </c>
      <c r="N10" s="1">
        <f>AVERAGE(Instances!N255:Instances!N290)</f>
        <v>0</v>
      </c>
      <c r="O10" s="1"/>
      <c r="P10" s="1">
        <f>AVERAGE(Instances!P255:Instances!P290)</f>
        <v>0</v>
      </c>
      <c r="Q10" s="1">
        <f>SUM(Instances!Q255:Instances!Q290)</f>
        <v>0</v>
      </c>
      <c r="R10" s="1">
        <f>AVERAGE(Instances!R255:Instances!R290)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400</v>
      </c>
      <c r="B11" s="1">
        <f>AVERAGE(Instances!B291:Instances!B326)</f>
        <v>0</v>
      </c>
      <c r="C11" s="1">
        <f>AVERAGE(Instances!C291:Instances!C326)</f>
        <v>0</v>
      </c>
      <c r="D11" s="1">
        <f>AVERAGE(Instances!D291:Instances!D326)</f>
        <v>0</v>
      </c>
      <c r="E11" s="1">
        <f>AVERAGE(Instances!E291:Instances!E326)</f>
        <v>0</v>
      </c>
      <c r="F11" s="1">
        <f>AVERAGE(Instances!F291:Instances!F326)</f>
        <v>0</v>
      </c>
      <c r="G11" s="1">
        <f>AVERAGE(Instances!G291:Instances!G326)</f>
        <v>0</v>
      </c>
      <c r="H11" s="1">
        <f>AVERAGE(Instances!H291:Instances!H326)</f>
        <v>0</v>
      </c>
      <c r="I11" s="1">
        <f>AVERAGE(Instances!I291:Instances!I326)</f>
        <v>0</v>
      </c>
      <c r="J11" s="1">
        <f>AVERAGE(Instances!J291:Instances!J326)</f>
        <v>0</v>
      </c>
      <c r="K11" s="1">
        <f>AVERAGE(Instances!K291:Instances!K326)</f>
        <v>0</v>
      </c>
      <c r="L11" s="1"/>
      <c r="M11" s="1">
        <f>AVERAGE(Instances!M291:Instances!M326)</f>
        <v>0</v>
      </c>
      <c r="N11" s="1">
        <f>AVERAGE(Instances!N291:Instances!N326)</f>
        <v>0</v>
      </c>
      <c r="O11" s="1"/>
      <c r="P11" s="1">
        <f>AVERAGE(Instances!P291:Instances!P326)</f>
        <v>0</v>
      </c>
      <c r="Q11" s="1">
        <f>SUM(Instances!Q291:Instances!Q326)</f>
        <v>0</v>
      </c>
      <c r="R11" s="1">
        <f>AVERAGE(Instances!R291:Instances!R326)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401</v>
      </c>
      <c r="B12" s="1">
        <f>AVERAGE(Instances!B327:Instances!B362)</f>
        <v>0</v>
      </c>
      <c r="C12" s="1">
        <f>AVERAGE(Instances!C327:Instances!C362)</f>
        <v>0</v>
      </c>
      <c r="D12" s="1">
        <f>AVERAGE(Instances!D327:Instances!D362)</f>
        <v>0</v>
      </c>
      <c r="E12" s="1">
        <f>AVERAGE(Instances!E327:Instances!E362)</f>
        <v>0</v>
      </c>
      <c r="F12" s="1">
        <f>AVERAGE(Instances!F327:Instances!F362)</f>
        <v>0</v>
      </c>
      <c r="G12" s="1">
        <f>AVERAGE(Instances!G327:Instances!G362)</f>
        <v>0</v>
      </c>
      <c r="H12" s="1">
        <f>AVERAGE(Instances!H327:Instances!H362)</f>
        <v>0</v>
      </c>
      <c r="I12" s="1">
        <f>AVERAGE(Instances!I327:Instances!I362)</f>
        <v>0</v>
      </c>
      <c r="J12" s="1">
        <f>AVERAGE(Instances!J327:Instances!J362)</f>
        <v>0</v>
      </c>
      <c r="K12" s="1">
        <f>AVERAGE(Instances!K327:Instances!K362)</f>
        <v>0</v>
      </c>
      <c r="L12" s="1"/>
      <c r="M12" s="1">
        <f>AVERAGE(Instances!M327:Instances!M362)</f>
        <v>0</v>
      </c>
      <c r="N12" s="1">
        <f>AVERAGE(Instances!N327:Instances!N362)</f>
        <v>0</v>
      </c>
      <c r="O12" s="1"/>
      <c r="P12" s="1">
        <f>AVERAGE(Instances!P327:Instances!P362)</f>
        <v>0</v>
      </c>
      <c r="Q12" s="1">
        <f>SUM(Instances!Q327:Instances!Q362)</f>
        <v>0</v>
      </c>
      <c r="R12" s="1">
        <f>AVERAGE(Instances!R327:Instances!R362)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>
      <c r="A14" s="1" t="s">
        <v>360</v>
      </c>
      <c r="B14" s="1">
        <f>SUM(B$3:B$12)</f>
        <v>0</v>
      </c>
      <c r="C14" s="1">
        <f>SUM(C$3:C$12)</f>
        <v>0</v>
      </c>
      <c r="D14" s="1">
        <f>SUM(D$3:D$12)</f>
        <v>0</v>
      </c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>
        <f>SUM(K$3:K$12)</f>
        <v>0</v>
      </c>
      <c r="L14" s="1"/>
      <c r="M14" s="1">
        <f>SUM(M$3:M$12)</f>
        <v>0</v>
      </c>
      <c r="N14" s="1">
        <f>SUM(N$3:N$12)</f>
        <v>0</v>
      </c>
      <c r="O14" s="1"/>
      <c r="P14" s="1">
        <f>SUM(P$3:P$12)</f>
        <v>0</v>
      </c>
      <c r="Q14" s="1">
        <f>SUM(Q$3:Q$12)</f>
        <v>0</v>
      </c>
      <c r="R14" s="1">
        <f>SUM(R$3:R$12)</f>
        <v>0</v>
      </c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  <c r="BJ14" s="1">
        <f>SUM(BJ$3:BJ$12)</f>
        <v>0</v>
      </c>
      <c r="BK14" s="1">
        <f>SUM(BK$3:BK$12)</f>
        <v>0</v>
      </c>
    </row>
    <row r="15" spans="1:63">
      <c r="A15" s="1" t="s">
        <v>361</v>
      </c>
      <c r="B15" s="1">
        <f>AVERAGE(B$3:B$12)</f>
        <v>0</v>
      </c>
      <c r="C15" s="1">
        <f>AVERAGE(C$3:C$12)</f>
        <v>0</v>
      </c>
      <c r="D15" s="1">
        <f>AVERAGE(D$3:D$12)</f>
        <v>0</v>
      </c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>
        <f>AVERAGE(K$3:K$12)</f>
        <v>0</v>
      </c>
      <c r="L15" s="1"/>
      <c r="M15" s="1">
        <f>AVERAGE(M$3:M$12)</f>
        <v>0</v>
      </c>
      <c r="N15" s="1">
        <f>AVERAGE(N$3:N$12)</f>
        <v>0</v>
      </c>
      <c r="O15" s="1"/>
      <c r="P15" s="1">
        <f>AVERAGE(P$3:P$12)</f>
        <v>0</v>
      </c>
      <c r="Q15" s="1">
        <f>AVERAGE(Q$3:Q$12)</f>
        <v>0</v>
      </c>
      <c r="R15" s="1">
        <f>AVERAGE(R$3:R$12)</f>
        <v>0</v>
      </c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  <c r="BJ15" s="1">
        <f>AVERAGE(BJ$3:BJ$12)</f>
        <v>0</v>
      </c>
      <c r="BK15" s="1">
        <f>AVERAGE(BK$3:BK$12)</f>
        <v>0</v>
      </c>
    </row>
    <row r="16" spans="1:63">
      <c r="A16" s="1" t="s">
        <v>362</v>
      </c>
      <c r="B16" s="1">
        <f>STDEV(B$3:B$12)</f>
        <v>0</v>
      </c>
      <c r="C16" s="1">
        <f>STDEV(C$3:C$12)</f>
        <v>0</v>
      </c>
      <c r="D16" s="1">
        <f>STDEV(D$3:D$12)</f>
        <v>0</v>
      </c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>
        <f>STDEV(K$3:K$12)</f>
        <v>0</v>
      </c>
      <c r="L16" s="1"/>
      <c r="M16" s="1">
        <f>STDEV(M$3:M$12)</f>
        <v>0</v>
      </c>
      <c r="N16" s="1">
        <f>STDEV(N$3:N$12)</f>
        <v>0</v>
      </c>
      <c r="O16" s="1"/>
      <c r="P16" s="1">
        <f>STDEV(P$3:P$12)</f>
        <v>0</v>
      </c>
      <c r="Q16" s="1">
        <f>STDEV(Q$3:Q$12)</f>
        <v>0</v>
      </c>
      <c r="R16" s="1">
        <f>STDEV(R$3:R$12)</f>
        <v>0</v>
      </c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  <c r="BJ16" s="1">
        <f>STDEV(BJ$3:BJ$12)</f>
        <v>0</v>
      </c>
      <c r="BK16" s="1">
        <f>STDEV(BK$3:BK$12)</f>
        <v>0</v>
      </c>
    </row>
    <row r="17" spans="1:63">
      <c r="A17" s="1" t="s">
        <v>363</v>
      </c>
      <c r="B17" s="1">
        <f>SUMPRODUCT(--(B$3:B$12-$S$3:$S$12)^2)^0.5</f>
        <v>0</v>
      </c>
      <c r="C17" s="1">
        <f>SUMPRODUCT(--(C$3:C$12-$T$3:$T$12)^2)^0.5</f>
        <v>0</v>
      </c>
      <c r="D17" s="1">
        <f>SUMPRODUCT(--(D$3:D$12-$U$3:$U$12)^2)^0.5</f>
        <v>0</v>
      </c>
      <c r="E17" s="1">
        <f>SUMPRODUCT(--(E$3:E$12-$V$3:$V$12)^2)^0.5</f>
        <v>0</v>
      </c>
      <c r="F17" s="1">
        <f>SUMPRODUCT(--(F$3:F$12-$W$3:$W$12)^2)^0.5</f>
        <v>0</v>
      </c>
      <c r="G17" s="1">
        <f>SUMPRODUCT(--(G$3:G$12-$X$3:$X$12)^2)^0.5</f>
        <v>0</v>
      </c>
      <c r="H17" s="1">
        <f>SUMPRODUCT(--(H$3:H$12-$Y$3:$Y$12)^2)^0.5</f>
        <v>0</v>
      </c>
      <c r="I17" s="1">
        <f>SUMPRODUCT(--(I$3:I$12-$Z$3:$Z$12)^2)^0.5</f>
        <v>0</v>
      </c>
      <c r="J17" s="1">
        <f>SUMPRODUCT(--(J$3:J$12-$AA$3:$AA$12)^2)^0.5</f>
        <v>0</v>
      </c>
      <c r="K17" s="1">
        <f>SUMPRODUCT(--(K$3:K$12-$AB$3:$AB$12)^2)^0.5</f>
        <v>0</v>
      </c>
      <c r="L17" s="1"/>
      <c r="M17" s="1">
        <f>SUMPRODUCT(--(M$3:M$12-$AC$3:$AC$12)^2)^0.5</f>
        <v>0</v>
      </c>
      <c r="N17" s="1">
        <f>SUMPRODUCT(--(N$3:N$12-$AD$3:$AD$12)^2)^0.5</f>
        <v>0</v>
      </c>
      <c r="O17" s="1"/>
      <c r="P17" s="1">
        <f>SUMPRODUCT(--(P$3:P$12-$AE$3:$AE$12)^2)^0.5</f>
        <v>0</v>
      </c>
      <c r="Q17" s="1">
        <f>SUMPRODUCT(--(Q$3:Q$12-$AF$3:$AF$12)^2)^0.5</f>
        <v>0</v>
      </c>
      <c r="R17" s="1">
        <f>SUMPRODUCT(--(R$3:R$12-$AG$3:$AG$12)^2)^0.5</f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>
      <c r="A18" s="1" t="s">
        <v>364</v>
      </c>
      <c r="B18" s="1">
        <f>SUMPRODUCT(NOT(ISBLANK(B$3:B$12))*(B$3:B$12=$S$3:$S$12))</f>
        <v>0</v>
      </c>
      <c r="C18" s="1">
        <f>SUMPRODUCT(NOT(ISBLANK(C$3:C$12))*(C$3:C$12=$T$3:$T$12))</f>
        <v>0</v>
      </c>
      <c r="D18" s="1">
        <f>SUMPRODUCT(NOT(ISBLANK(D$3:D$12))*(D$3:D$12=$U$3:$U$12))</f>
        <v>0</v>
      </c>
      <c r="E18" s="1">
        <f>SUMPRODUCT(NOT(ISBLANK(E$3:E$12))*(E$3:E$12=$V$3:$V$12))</f>
        <v>0</v>
      </c>
      <c r="F18" s="1">
        <f>SUMPRODUCT(NOT(ISBLANK(F$3:F$12))*(F$3:F$12=$W$3:$W$12))</f>
        <v>0</v>
      </c>
      <c r="G18" s="1">
        <f>SUMPRODUCT(NOT(ISBLANK(G$3:G$12))*(G$3:G$12=$X$3:$X$12))</f>
        <v>0</v>
      </c>
      <c r="H18" s="1">
        <f>SUMPRODUCT(NOT(ISBLANK(H$3:H$12))*(H$3:H$12=$Y$3:$Y$12))</f>
        <v>0</v>
      </c>
      <c r="I18" s="1">
        <f>SUMPRODUCT(NOT(ISBLANK(I$3:I$12))*(I$3:I$12=$Z$3:$Z$12))</f>
        <v>0</v>
      </c>
      <c r="J18" s="1">
        <f>SUMPRODUCT(NOT(ISBLANK(J$3:J$12))*(J$3:J$12=$AA$3:$AA$12))</f>
        <v>0</v>
      </c>
      <c r="K18" s="1">
        <f>SUMPRODUCT(NOT(ISBLANK(K$3:K$12))*(K$3:K$12=$AB$3:$AB$12))</f>
        <v>0</v>
      </c>
      <c r="L18" s="1"/>
      <c r="M18" s="1">
        <f>SUMPRODUCT(NOT(ISBLANK(M$3:M$12))*(M$3:M$12=$AC$3:$AC$12))</f>
        <v>0</v>
      </c>
      <c r="N18" s="1">
        <f>SUMPRODUCT(NOT(ISBLANK(N$3:N$12))*(N$3:N$12=$AD$3:$AD$12))</f>
        <v>0</v>
      </c>
      <c r="O18" s="1"/>
      <c r="P18" s="1">
        <f>SUMPRODUCT(NOT(ISBLANK(P$3:P$12))*(P$3:P$12=$AE$3:$AE$12))</f>
        <v>0</v>
      </c>
      <c r="Q18" s="1">
        <f>SUMPRODUCT(NOT(ISBLANK(Q$3:Q$12))*(Q$3:Q$12=$AF$3:$AF$12))</f>
        <v>0</v>
      </c>
      <c r="R18" s="1">
        <f>SUMPRODUCT(NOT(ISBLANK(R$3:R$12))*(R$3:R$12=$AG$3:$AG$12))</f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>
      <c r="A19" s="1" t="s">
        <v>365</v>
      </c>
      <c r="B19" s="1">
        <f>SUMPRODUCT(NOT(ISBLANK(B$3:B$12))*(B$3:B$12&lt;$AH$3:$AH$12))</f>
        <v>0</v>
      </c>
      <c r="C19" s="1">
        <f>SUMPRODUCT(NOT(ISBLANK(C$3:C$12))*(C$3:C$12&lt;$AI$3:$AI$12))</f>
        <v>0</v>
      </c>
      <c r="D19" s="1">
        <f>SUMPRODUCT(NOT(ISBLANK(D$3:D$12))*(D$3:D$12&lt;$AJ$3:$AJ$12))</f>
        <v>0</v>
      </c>
      <c r="E19" s="1">
        <f>SUMPRODUCT(NOT(ISBLANK(E$3:E$12))*(E$3:E$12&lt;$AK$3:$AK$12))</f>
        <v>0</v>
      </c>
      <c r="F19" s="1">
        <f>SUMPRODUCT(NOT(ISBLANK(F$3:F$12))*(F$3:F$12&lt;$AL$3:$AL$12))</f>
        <v>0</v>
      </c>
      <c r="G19" s="1">
        <f>SUMPRODUCT(NOT(ISBLANK(G$3:G$12))*(G$3:G$12&lt;$AM$3:$AM$12))</f>
        <v>0</v>
      </c>
      <c r="H19" s="1">
        <f>SUMPRODUCT(NOT(ISBLANK(H$3:H$12))*(H$3:H$12&lt;$AN$3:$AN$12))</f>
        <v>0</v>
      </c>
      <c r="I19" s="1">
        <f>SUMPRODUCT(NOT(ISBLANK(I$3:I$12))*(I$3:I$12&lt;$AO$3:$AO$12))</f>
        <v>0</v>
      </c>
      <c r="J19" s="1">
        <f>SUMPRODUCT(NOT(ISBLANK(J$3:J$12))*(J$3:J$12&lt;$AP$3:$AP$12))</f>
        <v>0</v>
      </c>
      <c r="K19" s="1">
        <f>SUMPRODUCT(NOT(ISBLANK(K$3:K$12))*(K$3:K$12&lt;$AQ$3:$AQ$12))</f>
        <v>0</v>
      </c>
      <c r="L19" s="1"/>
      <c r="M19" s="1">
        <f>SUMPRODUCT(NOT(ISBLANK(M$3:M$12))*(M$3:M$12&lt;$AR$3:$AR$12))</f>
        <v>0</v>
      </c>
      <c r="N19" s="1">
        <f>SUMPRODUCT(NOT(ISBLANK(N$3:N$12))*(N$3:N$12&lt;$AS$3:$AS$12))</f>
        <v>0</v>
      </c>
      <c r="O19" s="1"/>
      <c r="P19" s="1">
        <f>SUMPRODUCT(NOT(ISBLANK(P$3:P$12))*(P$3:P$12&lt;$AT$3:$AT$12))</f>
        <v>0</v>
      </c>
      <c r="Q19" s="1">
        <f>SUMPRODUCT(NOT(ISBLANK(Q$3:Q$12))*(Q$3:Q$12&lt;$AU$3:$AU$12))</f>
        <v>0</v>
      </c>
      <c r="R19" s="1">
        <f>SUMPRODUCT(NOT(ISBLANK(R$3:R$12))*(R$3:R$12&lt;$AV$3:$AV$12))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>
      <c r="A20" s="1" t="s">
        <v>366</v>
      </c>
      <c r="B20" s="1">
        <f>SUMPRODUCT((NOT(ISBLANK(B$3:B$12))*(B$3:B$12&gt;$AH$3:$AH$12))+ISBLANK(B$3:B$12))</f>
        <v>0</v>
      </c>
      <c r="C20" s="1">
        <f>SUMPRODUCT((NOT(ISBLANK(C$3:C$12))*(C$3:C$12&gt;$AI$3:$AI$12))+ISBLANK(C$3:C$12))</f>
        <v>0</v>
      </c>
      <c r="D20" s="1">
        <f>SUMPRODUCT((NOT(ISBLANK(D$3:D$12))*(D$3:D$12&gt;$AJ$3:$AJ$12))+ISBLANK(D$3:D$12))</f>
        <v>0</v>
      </c>
      <c r="E20" s="1">
        <f>SUMPRODUCT((NOT(ISBLANK(E$3:E$12))*(E$3:E$12&gt;$AK$3:$AK$12))+ISBLANK(E$3:E$12))</f>
        <v>0</v>
      </c>
      <c r="F20" s="1">
        <f>SUMPRODUCT((NOT(ISBLANK(F$3:F$12))*(F$3:F$12&gt;$AL$3:$AL$12))+ISBLANK(F$3:F$12))</f>
        <v>0</v>
      </c>
      <c r="G20" s="1">
        <f>SUMPRODUCT((NOT(ISBLANK(G$3:G$12))*(G$3:G$12&gt;$AM$3:$AM$12))+ISBLANK(G$3:G$12))</f>
        <v>0</v>
      </c>
      <c r="H20" s="1">
        <f>SUMPRODUCT((NOT(ISBLANK(H$3:H$12))*(H$3:H$12&gt;$AN$3:$AN$12))+ISBLANK(H$3:H$12))</f>
        <v>0</v>
      </c>
      <c r="I20" s="1">
        <f>SUMPRODUCT((NOT(ISBLANK(I$3:I$12))*(I$3:I$12&gt;$AO$3:$AO$12))+ISBLANK(I$3:I$12))</f>
        <v>0</v>
      </c>
      <c r="J20" s="1">
        <f>SUMPRODUCT((NOT(ISBLANK(J$3:J$12))*(J$3:J$12&gt;$AP$3:$AP$12))+ISBLANK(J$3:J$12))</f>
        <v>0</v>
      </c>
      <c r="K20" s="1">
        <f>SUMPRODUCT((NOT(ISBLANK(K$3:K$12))*(K$3:K$12&gt;$AQ$3:$AQ$12))+ISBLANK(K$3:K$12))</f>
        <v>0</v>
      </c>
      <c r="L20" s="1"/>
      <c r="M20" s="1">
        <f>SUMPRODUCT((NOT(ISBLANK(M$3:M$12))*(M$3:M$12&gt;$AR$3:$AR$12))+ISBLANK(M$3:M$12))</f>
        <v>0</v>
      </c>
      <c r="N20" s="1">
        <f>SUMPRODUCT((NOT(ISBLANK(N$3:N$12))*(N$3:N$12&gt;$AS$3:$AS$12))+ISBLANK(N$3:N$12))</f>
        <v>0</v>
      </c>
      <c r="O20" s="1"/>
      <c r="P20" s="1">
        <f>SUMPRODUCT((NOT(ISBLANK(P$3:P$12))*(P$3:P$12&gt;$AT$3:$AT$12))+ISBLANK(P$3:P$12))</f>
        <v>0</v>
      </c>
      <c r="Q20" s="1">
        <f>SUMPRODUCT((NOT(ISBLANK(Q$3:Q$12))*(Q$3:Q$12&gt;$AU$3:$AU$12))+ISBLANK(Q$3:Q$12))</f>
        <v>0</v>
      </c>
      <c r="R20" s="1">
        <f>SUMPRODUCT((NOT(ISBLANK(R$3:R$12))*(R$3:R$12&gt;$AV$3:$AV$12))+ISBLANK(R$3:R$12))</f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>
      <c r="A21" s="1" t="s">
        <v>367</v>
      </c>
      <c r="B21" s="1">
        <f>SUMPRODUCT((NOT(ISBLANK(B$3:B$12))*(B$3:B$12=$AW$3:$AW$12))+ISBLANK(B$3:B$12))</f>
        <v>0</v>
      </c>
      <c r="C21" s="1">
        <f>SUMPRODUCT((NOT(ISBLANK(C$3:C$12))*(C$3:C$12=$AX$3:$AX$12))+ISBLANK(C$3:C$12))</f>
        <v>0</v>
      </c>
      <c r="D21" s="1">
        <f>SUMPRODUCT((NOT(ISBLANK(D$3:D$12))*(D$3:D$12=$AY$3:$AY$12))+ISBLANK(D$3:D$12))</f>
        <v>0</v>
      </c>
      <c r="E21" s="1">
        <f>SUMPRODUCT((NOT(ISBLANK(E$3:E$12))*(E$3:E$12=$AZ$3:$AZ$12))+ISBLANK(E$3:E$12))</f>
        <v>0</v>
      </c>
      <c r="F21" s="1">
        <f>SUMPRODUCT((NOT(ISBLANK(F$3:F$12))*(F$3:F$12=$BA$3:$BA$12))+ISBLANK(F$3:F$12))</f>
        <v>0</v>
      </c>
      <c r="G21" s="1">
        <f>SUMPRODUCT((NOT(ISBLANK(G$3:G$12))*(G$3:G$12=$BB$3:$BB$12))+ISBLANK(G$3:G$12))</f>
        <v>0</v>
      </c>
      <c r="H21" s="1">
        <f>SUMPRODUCT((NOT(ISBLANK(H$3:H$12))*(H$3:H$12=$BC$3:$BC$12))+ISBLANK(H$3:H$12))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>
        <f>SUMPRODUCT((NOT(ISBLANK(K$3:K$12))*(K$3:K$12=$BF$3:$BF$12))+ISBLANK(K$3:K$12))</f>
        <v>0</v>
      </c>
      <c r="L21" s="1"/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/>
      <c r="P21" s="1">
        <f>SUMPRODUCT((NOT(ISBLANK(P$3:P$12))*(P$3:P$12=$BI$3:$BI$12))+ISBLANK(P$3:P$12))</f>
        <v>0</v>
      </c>
      <c r="Q21" s="1">
        <f>SUMPRODUCT((NOT(ISBLANK(Q$3:Q$12))*(Q$3:Q$12=$BJ$3:$BJ$12))+ISBLANK(Q$3:Q$12))</f>
        <v>0</v>
      </c>
      <c r="R21" s="1">
        <f>SUMPRODUCT((NOT(ISBLANK(R$3:R$12))*(R$3:R$12=$BK$3:$BK$12))+ISBLANK(R$3:R$12))</f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T2531"/>
  <sheetViews>
    <sheetView workbookViewId="0"/>
  </sheetViews>
  <sheetFormatPr defaultRowHeight="15"/>
  <sheetData>
    <row r="2" spans="1:20">
      <c r="A2" t="s">
        <v>369</v>
      </c>
      <c r="B2">
        <v>1</v>
      </c>
      <c r="E2">
        <f>VLOOKUP(Charts!$F$3,A2:B16,2,FALSE)</f>
        <v>0</v>
      </c>
      <c r="K2">
        <f>E2</f>
        <v>0</v>
      </c>
      <c r="Q2">
        <f>VLOOKUP(Charts!$F$3,A2:B16,2,FALSE)</f>
        <v>0</v>
      </c>
    </row>
    <row r="3" spans="1:20">
      <c r="A3" t="s">
        <v>370</v>
      </c>
      <c r="B3">
        <v>2</v>
      </c>
      <c r="D3" t="s">
        <v>402</v>
      </c>
      <c r="E3">
        <f>Instances!B1</f>
        <v>0</v>
      </c>
      <c r="J3" t="s">
        <v>402</v>
      </c>
      <c r="K3">
        <f>E3</f>
        <v>0</v>
      </c>
      <c r="Q3">
        <f>Instances!B1</f>
        <v>0</v>
      </c>
    </row>
    <row r="4" spans="1:20">
      <c r="A4" t="s">
        <v>371</v>
      </c>
      <c r="B4">
        <v>3</v>
      </c>
      <c r="D4" t="s">
        <v>403</v>
      </c>
      <c r="E4" t="s">
        <v>407</v>
      </c>
      <c r="F4" t="s">
        <v>408</v>
      </c>
      <c r="H4" t="s">
        <v>409</v>
      </c>
      <c r="J4" t="s">
        <v>403</v>
      </c>
      <c r="K4" t="s">
        <v>407</v>
      </c>
      <c r="L4" t="s">
        <v>408</v>
      </c>
      <c r="N4" t="s">
        <v>409</v>
      </c>
      <c r="P4" t="s">
        <v>410</v>
      </c>
      <c r="Q4" t="s">
        <v>403</v>
      </c>
      <c r="R4" t="s">
        <v>408</v>
      </c>
      <c r="S4" t="s">
        <v>403</v>
      </c>
      <c r="T4" t="s">
        <v>409</v>
      </c>
    </row>
    <row r="5" spans="1:20">
      <c r="A5" t="s">
        <v>372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IFERROR(SMALL(E5:E364,ROW()-ROW($F$5)+1),"")</f>
        <v>0</v>
      </c>
      <c r="H5">
        <f>IFERROR(SUM(F5:F5),"")</f>
        <v>0</v>
      </c>
      <c r="J5">
        <v>1</v>
      </c>
      <c r="K5" cm="1">
        <f t="array" ref="K5">_xlfn.SWITCH(Charts!$B$3,"average",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0</v>
      </c>
      <c r="L5">
        <f>IFERROR(SMALL(K5:K364,ROW()-ROW($L$5)+1),"")</f>
        <v>0</v>
      </c>
      <c r="N5">
        <f>IFERROR(SUM(L5:L5),"")</f>
        <v>0</v>
      </c>
      <c r="Q5">
        <f>IF(Charts!$B$3="none",E1812,IF(K1812="",NA(),K1812))</f>
        <v>0</v>
      </c>
      <c r="R5">
        <f>IF(Charts!$B$3="none",F1812,IF(L1812="",NA(),L1812))</f>
        <v>0</v>
      </c>
      <c r="S5">
        <f>IF(Charts!$B$3="none",G1812,IF(M1812="",NA(),M1812))</f>
        <v>0</v>
      </c>
      <c r="T5">
        <f>IF(Charts!$B$3="none",H1812,IF(N1812="",NA(),N1812))</f>
        <v>0</v>
      </c>
    </row>
    <row r="6" spans="1:20">
      <c r="A6" t="s">
        <v>373</v>
      </c>
      <c r="B6">
        <v>5</v>
      </c>
      <c r="D6">
        <v>2</v>
      </c>
      <c r="E6">
        <f>IF(INDIRECT(ADDRESS($D6+2,E$2+1,,,"Instances"))="","",INDIRECT(ADDRESS($D6+2,E$2+1,,,"Instances")))</f>
        <v>0</v>
      </c>
      <c r="F6">
        <f>IFERROR(SMALL(E5:E364,ROW()-ROW($F$5)+1),"")</f>
        <v>0</v>
      </c>
      <c r="H6">
        <f>IFERROR(SUM(F5:F6),"")</f>
        <v>0</v>
      </c>
      <c r="J6">
        <v>2</v>
      </c>
      <c r="K6" cm="1">
        <f t="array" ref="K6">_xlfn.SWITCH(Charts!$B$3,"average", AVERAGE(INDIRECT(ADDRESS(1+3,K$2+1,,,"Instances") &amp; ":" &amp; ADDRESS(1+3,K$2+1))),"median", MEDIAN(INDIRECT(ADDRESS(1+3,K$2+1,,,"Instances") &amp; ":" &amp; ADDRESS(1+3,K$2+1))),"min", MIN(INDIRECT(ADDRESS(1+3,K$2+1,,,"Instances") &amp; ":" &amp; ADDRESS(1+3,K$2+1))),"max", MAX(INDIRECT(ADDRESS(1+3,K$2+1,,,"Instances") &amp; ":" &amp; ADDRESS(1+3,K$2+1))),"diff", MAX(INDIRECT(ADDRESS(1+3,K$2+1,,,"Instances") &amp; ":" &amp; ADDRESS(1+3,K$2+1)))-MIN(INDIRECT(ADDRESS(1+3,K$2+1,,,"Instances") &amp; ":" &amp; ADDRESS(1+3,K$2+1))))</f>
        <v>0</v>
      </c>
      <c r="L6">
        <f>IFERROR(SMALL(K5:K364,ROW()-ROW($L$5)+1),"")</f>
        <v>0</v>
      </c>
      <c r="N6">
        <f>IFERROR(SUM(L5:L6),"")</f>
        <v>0</v>
      </c>
      <c r="Q6">
        <f>IF(Charts!$B$3="none",E1813,IF(K1813="",NA(),K1813))</f>
        <v>0</v>
      </c>
      <c r="R6">
        <f>IF(Charts!$B$3="none",F1813,IF(L1813="",NA(),L1813))</f>
        <v>0</v>
      </c>
      <c r="S6">
        <f>IF(Charts!$B$3="none",G1813,IF(M1813="",NA(),M1813))</f>
        <v>0</v>
      </c>
      <c r="T6">
        <f>IF(Charts!$B$3="none",H1813,IF(N1813="",NA(),N1813))</f>
        <v>0</v>
      </c>
    </row>
    <row r="7" spans="1:20">
      <c r="A7" t="s">
        <v>374</v>
      </c>
      <c r="B7">
        <v>6</v>
      </c>
      <c r="D7">
        <v>3</v>
      </c>
      <c r="E7">
        <f>IF(INDIRECT(ADDRESS($D7+2,E$2+1,,,"Instances"))="","",INDIRECT(ADDRESS($D7+2,E$2+1,,,"Instances")))</f>
        <v>0</v>
      </c>
      <c r="F7">
        <f>IFERROR(SMALL(E5:E364,ROW()-ROW($F$5)+1),"")</f>
        <v>0</v>
      </c>
      <c r="H7">
        <f>IFERROR(SUM(F5:F7),"")</f>
        <v>0</v>
      </c>
      <c r="J7">
        <v>3</v>
      </c>
      <c r="K7" cm="1">
        <f t="array" ref="K7">_xlfn.SWITCH(Charts!$B$3,"average", AVERAGE(INDIRECT(ADDRESS(2+3,K$2+1,,,"Instances") &amp; ":" &amp; ADDRESS(2+3,K$2+1))),"median", MEDIAN(INDIRECT(ADDRESS(2+3,K$2+1,,,"Instances") &amp; ":" &amp; ADDRESS(2+3,K$2+1))),"min", MIN(INDIRECT(ADDRESS(2+3,K$2+1,,,"Instances") &amp; ":" &amp; ADDRESS(2+3,K$2+1))),"max", MAX(INDIRECT(ADDRESS(2+3,K$2+1,,,"Instances") &amp; ":" &amp; ADDRESS(2+3,K$2+1))),"diff", MAX(INDIRECT(ADDRESS(2+3,K$2+1,,,"Instances") &amp; ":" &amp; ADDRESS(2+3,K$2+1)))-MIN(INDIRECT(ADDRESS(2+3,K$2+1,,,"Instances") &amp; ":" &amp; ADDRESS(2+3,K$2+1))))</f>
        <v>0</v>
      </c>
      <c r="L7">
        <f>IFERROR(SMALL(K5:K364,ROW()-ROW($L$5)+1),"")</f>
        <v>0</v>
      </c>
      <c r="N7">
        <f>IFERROR(SUM(L5:L7),"")</f>
        <v>0</v>
      </c>
      <c r="Q7">
        <f>IF(Charts!$B$3="none",E1814,IF(K1814="",NA(),K1814))</f>
        <v>0</v>
      </c>
      <c r="R7">
        <f>IF(Charts!$B$3="none",F1814,IF(L1814="",NA(),L1814))</f>
        <v>0</v>
      </c>
      <c r="S7">
        <f>IF(Charts!$B$3="none",G1814,IF(M1814="",NA(),M1814))</f>
        <v>0</v>
      </c>
      <c r="T7">
        <f>IF(Charts!$B$3="none",H1814,IF(N1814="",NA(),N1814))</f>
        <v>0</v>
      </c>
    </row>
    <row r="8" spans="1:20">
      <c r="A8" t="s">
        <v>375</v>
      </c>
      <c r="B8">
        <v>7</v>
      </c>
      <c r="D8">
        <v>4</v>
      </c>
      <c r="E8">
        <f>IF(INDIRECT(ADDRESS($D8+2,E$2+1,,,"Instances"))="","",INDIRECT(ADDRESS($D8+2,E$2+1,,,"Instances")))</f>
        <v>0</v>
      </c>
      <c r="F8">
        <f>IFERROR(SMALL(E5:E364,ROW()-ROW($F$5)+1),"")</f>
        <v>0</v>
      </c>
      <c r="H8">
        <f>IFERROR(SUM(F5:F8),"")</f>
        <v>0</v>
      </c>
      <c r="J8">
        <v>4</v>
      </c>
      <c r="K8" cm="1">
        <f t="array" ref="K8">_xlfn.SWITCH(Charts!$B$3,"average", AVERAGE(INDIRECT(ADDRESS(3+3,K$2+1,,,"Instances") &amp; ":" &amp; ADDRESS(3+3,K$2+1))),"median", MEDIAN(INDIRECT(ADDRESS(3+3,K$2+1,,,"Instances") &amp; ":" &amp; ADDRESS(3+3,K$2+1))),"min", MIN(INDIRECT(ADDRESS(3+3,K$2+1,,,"Instances") &amp; ":" &amp; ADDRESS(3+3,K$2+1))),"max", MAX(INDIRECT(ADDRESS(3+3,K$2+1,,,"Instances") &amp; ":" &amp; ADDRESS(3+3,K$2+1))),"diff", MAX(INDIRECT(ADDRESS(3+3,K$2+1,,,"Instances") &amp; ":" &amp; ADDRESS(3+3,K$2+1)))-MIN(INDIRECT(ADDRESS(3+3,K$2+1,,,"Instances") &amp; ":" &amp; ADDRESS(3+3,K$2+1))))</f>
        <v>0</v>
      </c>
      <c r="L8">
        <f>IFERROR(SMALL(K5:K364,ROW()-ROW($L$5)+1),"")</f>
        <v>0</v>
      </c>
      <c r="N8">
        <f>IFERROR(SUM(L5:L8),"")</f>
        <v>0</v>
      </c>
      <c r="Q8">
        <f>IF(Charts!$B$3="none",E1815,IF(K1815="",NA(),K1815))</f>
        <v>0</v>
      </c>
      <c r="R8">
        <f>IF(Charts!$B$3="none",F1815,IF(L1815="",NA(),L1815))</f>
        <v>0</v>
      </c>
      <c r="S8">
        <f>IF(Charts!$B$3="none",G1815,IF(M1815="",NA(),M1815))</f>
        <v>0</v>
      </c>
      <c r="T8">
        <f>IF(Charts!$B$3="none",H1815,IF(N1815="",NA(),N1815))</f>
        <v>0</v>
      </c>
    </row>
    <row r="9" spans="1:20">
      <c r="A9" t="s">
        <v>376</v>
      </c>
      <c r="B9">
        <v>8</v>
      </c>
      <c r="D9">
        <v>5</v>
      </c>
      <c r="E9">
        <f>IF(INDIRECT(ADDRESS($D9+2,E$2+1,,,"Instances"))="","",INDIRECT(ADDRESS($D9+2,E$2+1,,,"Instances")))</f>
        <v>0</v>
      </c>
      <c r="F9">
        <f>IFERROR(SMALL(E5:E364,ROW()-ROW($F$5)+1),"")</f>
        <v>0</v>
      </c>
      <c r="H9">
        <f>IFERROR(SUM(F5:F9),"")</f>
        <v>0</v>
      </c>
      <c r="J9">
        <v>5</v>
      </c>
      <c r="K9" cm="1">
        <f t="array" ref="K9">_xlfn.SWITCH(Charts!$B$3,"average", AVERAGE(INDIRECT(ADDRESS(4+3,K$2+1,,,"Instances") &amp; ":" &amp; ADDRESS(4+3,K$2+1))),"median", MEDIAN(INDIRECT(ADDRESS(4+3,K$2+1,,,"Instances") &amp; ":" &amp; ADDRESS(4+3,K$2+1))),"min", MIN(INDIRECT(ADDRESS(4+3,K$2+1,,,"Instances") &amp; ":" &amp; ADDRESS(4+3,K$2+1))),"max", MAX(INDIRECT(ADDRESS(4+3,K$2+1,,,"Instances") &amp; ":" &amp; ADDRESS(4+3,K$2+1))),"diff", MAX(INDIRECT(ADDRESS(4+3,K$2+1,,,"Instances") &amp; ":" &amp; ADDRESS(4+3,K$2+1)))-MIN(INDIRECT(ADDRESS(4+3,K$2+1,,,"Instances") &amp; ":" &amp; ADDRESS(4+3,K$2+1))))</f>
        <v>0</v>
      </c>
      <c r="L9">
        <f>IFERROR(SMALL(K5:K364,ROW()-ROW($L$5)+1),"")</f>
        <v>0</v>
      </c>
      <c r="N9">
        <f>IFERROR(SUM(L5:L9),"")</f>
        <v>0</v>
      </c>
      <c r="Q9">
        <f>IF(Charts!$B$3="none",E1816,IF(K1816="",NA(),K1816))</f>
        <v>0</v>
      </c>
      <c r="R9">
        <f>IF(Charts!$B$3="none",F1816,IF(L1816="",NA(),L1816))</f>
        <v>0</v>
      </c>
      <c r="S9">
        <f>IF(Charts!$B$3="none",G1816,IF(M1816="",NA(),M1816))</f>
        <v>0</v>
      </c>
      <c r="T9">
        <f>IF(Charts!$B$3="none",H1816,IF(N1816="",NA(),N1816))</f>
        <v>0</v>
      </c>
    </row>
    <row r="10" spans="1:20">
      <c r="A10" t="s">
        <v>377</v>
      </c>
      <c r="B10">
        <v>9</v>
      </c>
      <c r="D10">
        <v>6</v>
      </c>
      <c r="E10">
        <f>IF(INDIRECT(ADDRESS($D10+2,E$2+1,,,"Instances"))="","",INDIRECT(ADDRESS($D10+2,E$2+1,,,"Instances")))</f>
        <v>0</v>
      </c>
      <c r="F10">
        <f>IFERROR(SMALL(E5:E364,ROW()-ROW($F$5)+1),"")</f>
        <v>0</v>
      </c>
      <c r="H10">
        <f>IFERROR(SUM(F5:F10),"")</f>
        <v>0</v>
      </c>
      <c r="J10">
        <v>6</v>
      </c>
      <c r="K10" cm="1">
        <f t="array" ref="K10">_xlfn.SWITCH(Charts!$B$3,"average", AVERAGE(INDIRECT(ADDRESS(5+3,K$2+1,,,"Instances") &amp; ":" &amp; ADDRESS(5+3,K$2+1))),"median", MEDIAN(INDIRECT(ADDRESS(5+3,K$2+1,,,"Instances") &amp; ":" &amp; ADDRESS(5+3,K$2+1))),"min", MIN(INDIRECT(ADDRESS(5+3,K$2+1,,,"Instances") &amp; ":" &amp; ADDRESS(5+3,K$2+1))),"max", MAX(INDIRECT(ADDRESS(5+3,K$2+1,,,"Instances") &amp; ":" &amp; ADDRESS(5+3,K$2+1))),"diff", MAX(INDIRECT(ADDRESS(5+3,K$2+1,,,"Instances") &amp; ":" &amp; ADDRESS(5+3,K$2+1)))-MIN(INDIRECT(ADDRESS(5+3,K$2+1,,,"Instances") &amp; ":" &amp; ADDRESS(5+3,K$2+1))))</f>
        <v>0</v>
      </c>
      <c r="L10">
        <f>IFERROR(SMALL(K5:K364,ROW()-ROW($L$5)+1),"")</f>
        <v>0</v>
      </c>
      <c r="N10">
        <f>IFERROR(SUM(L5:L10),"")</f>
        <v>0</v>
      </c>
      <c r="Q10">
        <f>IF(Charts!$B$3="none",E1817,IF(K1817="",NA(),K1817))</f>
        <v>0</v>
      </c>
      <c r="R10">
        <f>IF(Charts!$B$3="none",F1817,IF(L1817="",NA(),L1817))</f>
        <v>0</v>
      </c>
      <c r="S10">
        <f>IF(Charts!$B$3="none",G1817,IF(M1817="",NA(),M1817))</f>
        <v>0</v>
      </c>
      <c r="T10">
        <f>IF(Charts!$B$3="none",H1817,IF(N1817="",NA(),N1817))</f>
        <v>0</v>
      </c>
    </row>
    <row r="11" spans="1:20">
      <c r="A11" t="s">
        <v>378</v>
      </c>
      <c r="B11">
        <v>10</v>
      </c>
      <c r="D11">
        <v>7</v>
      </c>
      <c r="E11">
        <f>IF(INDIRECT(ADDRESS($D11+2,E$2+1,,,"Instances"))="","",INDIRECT(ADDRESS($D11+2,E$2+1,,,"Instances")))</f>
        <v>0</v>
      </c>
      <c r="F11">
        <f>IFERROR(SMALL(E5:E364,ROW()-ROW($F$5)+1),"")</f>
        <v>0</v>
      </c>
      <c r="H11">
        <f>IFERROR(SUM(F5:F11),"")</f>
        <v>0</v>
      </c>
      <c r="J11">
        <v>7</v>
      </c>
      <c r="K11" cm="1">
        <f t="array" ref="K11">_xlfn.SWITCH(Charts!$B$3,"average", AVERAGE(INDIRECT(ADDRESS(6+3,K$2+1,,,"Instances") &amp; ":" &amp; ADDRESS(6+3,K$2+1))),"median", MEDIAN(INDIRECT(ADDRESS(6+3,K$2+1,,,"Instances") &amp; ":" &amp; ADDRESS(6+3,K$2+1))),"min", MIN(INDIRECT(ADDRESS(6+3,K$2+1,,,"Instances") &amp; ":" &amp; ADDRESS(6+3,K$2+1))),"max", MAX(INDIRECT(ADDRESS(6+3,K$2+1,,,"Instances") &amp; ":" &amp; ADDRESS(6+3,K$2+1))),"diff", MAX(INDIRECT(ADDRESS(6+3,K$2+1,,,"Instances") &amp; ":" &amp; ADDRESS(6+3,K$2+1)))-MIN(INDIRECT(ADDRESS(6+3,K$2+1,,,"Instances") &amp; ":" &amp; ADDRESS(6+3,K$2+1))))</f>
        <v>0</v>
      </c>
      <c r="L11">
        <f>IFERROR(SMALL(K5:K364,ROW()-ROW($L$5)+1),"")</f>
        <v>0</v>
      </c>
      <c r="N11">
        <f>IFERROR(SUM(L5:L11),"")</f>
        <v>0</v>
      </c>
      <c r="Q11">
        <f>IF(Charts!$B$3="none",E1818,IF(K1818="",NA(),K1818))</f>
        <v>0</v>
      </c>
      <c r="R11">
        <f>IF(Charts!$B$3="none",F1818,IF(L1818="",NA(),L1818))</f>
        <v>0</v>
      </c>
      <c r="S11">
        <f>IF(Charts!$B$3="none",G1818,IF(M1818="",NA(),M1818))</f>
        <v>0</v>
      </c>
      <c r="T11">
        <f>IF(Charts!$B$3="none",H1818,IF(N1818="",NA(),N1818))</f>
        <v>0</v>
      </c>
    </row>
    <row r="12" spans="1:20">
      <c r="A12" t="s">
        <v>381</v>
      </c>
      <c r="B12">
        <v>12</v>
      </c>
      <c r="D12">
        <v>8</v>
      </c>
      <c r="E12">
        <f>IF(INDIRECT(ADDRESS($D12+2,E$2+1,,,"Instances"))="","",INDIRECT(ADDRESS($D12+2,E$2+1,,,"Instances")))</f>
        <v>0</v>
      </c>
      <c r="F12">
        <f>IFERROR(SMALL(E5:E364,ROW()-ROW($F$5)+1),"")</f>
        <v>0</v>
      </c>
      <c r="H12">
        <f>IFERROR(SUM(F5:F12),"")</f>
        <v>0</v>
      </c>
      <c r="J12">
        <v>8</v>
      </c>
      <c r="K12" cm="1">
        <f t="array" ref="K12">_xlfn.SWITCH(Charts!$B$3,"average", AVERAGE(INDIRECT(ADDRESS(7+3,K$2+1,,,"Instances") &amp; ":" &amp; ADDRESS(7+3,K$2+1))),"median", MEDIAN(INDIRECT(ADDRESS(7+3,K$2+1,,,"Instances") &amp; ":" &amp; ADDRESS(7+3,K$2+1))),"min", MIN(INDIRECT(ADDRESS(7+3,K$2+1,,,"Instances") &amp; ":" &amp; ADDRESS(7+3,K$2+1))),"max", MAX(INDIRECT(ADDRESS(7+3,K$2+1,,,"Instances") &amp; ":" &amp; ADDRESS(7+3,K$2+1))),"diff", MAX(INDIRECT(ADDRESS(7+3,K$2+1,,,"Instances") &amp; ":" &amp; ADDRESS(7+3,K$2+1)))-MIN(INDIRECT(ADDRESS(7+3,K$2+1,,,"Instances") &amp; ":" &amp; ADDRESS(7+3,K$2+1))))</f>
        <v>0</v>
      </c>
      <c r="L12">
        <f>IFERROR(SMALL(K5:K364,ROW()-ROW($L$5)+1),"")</f>
        <v>0</v>
      </c>
      <c r="N12">
        <f>IFERROR(SUM(L5:L12),"")</f>
        <v>0</v>
      </c>
      <c r="Q12">
        <f>IF(Charts!$B$3="none",E1819,IF(K1819="",NA(),K1819))</f>
        <v>0</v>
      </c>
      <c r="R12">
        <f>IF(Charts!$B$3="none",F1819,IF(L1819="",NA(),L1819))</f>
        <v>0</v>
      </c>
      <c r="S12">
        <f>IF(Charts!$B$3="none",G1819,IF(M1819="",NA(),M1819))</f>
        <v>0</v>
      </c>
      <c r="T12">
        <f>IF(Charts!$B$3="none",H1819,IF(N1819="",NA(),N1819))</f>
        <v>0</v>
      </c>
    </row>
    <row r="13" spans="1:20">
      <c r="A13" t="s">
        <v>382</v>
      </c>
      <c r="B13">
        <v>13</v>
      </c>
      <c r="D13">
        <v>9</v>
      </c>
      <c r="E13">
        <f>IF(INDIRECT(ADDRESS($D13+2,E$2+1,,,"Instances"))="","",INDIRECT(ADDRESS($D13+2,E$2+1,,,"Instances")))</f>
        <v>0</v>
      </c>
      <c r="F13">
        <f>IFERROR(SMALL(E5:E364,ROW()-ROW($F$5)+1),"")</f>
        <v>0</v>
      </c>
      <c r="H13">
        <f>IFERROR(SUM(F5:F13),"")</f>
        <v>0</v>
      </c>
      <c r="J13">
        <v>9</v>
      </c>
      <c r="K13" cm="1">
        <f t="array" ref="K13">_xlfn.SWITCH(Charts!$B$3,"average", AVERAGE(INDIRECT(ADDRESS(8+3,K$2+1,,,"Instances") &amp; ":" &amp; ADDRESS(8+3,K$2+1))),"median", MEDIAN(INDIRECT(ADDRESS(8+3,K$2+1,,,"Instances") &amp; ":" &amp; ADDRESS(8+3,K$2+1))),"min", MIN(INDIRECT(ADDRESS(8+3,K$2+1,,,"Instances") &amp; ":" &amp; ADDRESS(8+3,K$2+1))),"max", MAX(INDIRECT(ADDRESS(8+3,K$2+1,,,"Instances") &amp; ":" &amp; ADDRESS(8+3,K$2+1))),"diff", MAX(INDIRECT(ADDRESS(8+3,K$2+1,,,"Instances") &amp; ":" &amp; ADDRESS(8+3,K$2+1)))-MIN(INDIRECT(ADDRESS(8+3,K$2+1,,,"Instances") &amp; ":" &amp; ADDRESS(8+3,K$2+1))))</f>
        <v>0</v>
      </c>
      <c r="L13">
        <f>IFERROR(SMALL(K5:K364,ROW()-ROW($L$5)+1),"")</f>
        <v>0</v>
      </c>
      <c r="N13">
        <f>IFERROR(SUM(L5:L13),"")</f>
        <v>0</v>
      </c>
      <c r="Q13">
        <f>IF(Charts!$B$3="none",E1820,IF(K1820="",NA(),K1820))</f>
        <v>0</v>
      </c>
      <c r="R13">
        <f>IF(Charts!$B$3="none",F1820,IF(L1820="",NA(),L1820))</f>
        <v>0</v>
      </c>
      <c r="S13">
        <f>IF(Charts!$B$3="none",G1820,IF(M1820="",NA(),M1820))</f>
        <v>0</v>
      </c>
      <c r="T13">
        <f>IF(Charts!$B$3="none",H1820,IF(N1820="",NA(),N1820))</f>
        <v>0</v>
      </c>
    </row>
    <row r="14" spans="1:20">
      <c r="A14" t="s">
        <v>385</v>
      </c>
      <c r="B14">
        <v>15</v>
      </c>
      <c r="D14">
        <v>10</v>
      </c>
      <c r="E14">
        <f>IF(INDIRECT(ADDRESS($D14+2,E$2+1,,,"Instances"))="","",INDIRECT(ADDRESS($D14+2,E$2+1,,,"Instances")))</f>
        <v>0</v>
      </c>
      <c r="F14">
        <f>IFERROR(SMALL(E5:E364,ROW()-ROW($F$5)+1),"")</f>
        <v>0</v>
      </c>
      <c r="H14">
        <f>IFERROR(SUM(F5:F14),"")</f>
        <v>0</v>
      </c>
      <c r="J14">
        <v>10</v>
      </c>
      <c r="K14" cm="1">
        <f t="array" ref="K14">_xlfn.SWITCH(Charts!$B$3,"average", AVERAGE(INDIRECT(ADDRESS(9+3,K$2+1,,,"Instances") &amp; ":" &amp; ADDRESS(9+3,K$2+1))),"median", MEDIAN(INDIRECT(ADDRESS(9+3,K$2+1,,,"Instances") &amp; ":" &amp; ADDRESS(9+3,K$2+1))),"min", MIN(INDIRECT(ADDRESS(9+3,K$2+1,,,"Instances") &amp; ":" &amp; ADDRESS(9+3,K$2+1))),"max", MAX(INDIRECT(ADDRESS(9+3,K$2+1,,,"Instances") &amp; ":" &amp; ADDRESS(9+3,K$2+1))),"diff", MAX(INDIRECT(ADDRESS(9+3,K$2+1,,,"Instances") &amp; ":" &amp; ADDRESS(9+3,K$2+1)))-MIN(INDIRECT(ADDRESS(9+3,K$2+1,,,"Instances") &amp; ":" &amp; ADDRESS(9+3,K$2+1))))</f>
        <v>0</v>
      </c>
      <c r="L14">
        <f>IFERROR(SMALL(K5:K364,ROW()-ROW($L$5)+1),"")</f>
        <v>0</v>
      </c>
      <c r="N14">
        <f>IFERROR(SUM(L5:L14),"")</f>
        <v>0</v>
      </c>
      <c r="Q14">
        <f>IF(Charts!$B$3="none",E1821,IF(K1821="",NA(),K1821))</f>
        <v>0</v>
      </c>
      <c r="R14">
        <f>IF(Charts!$B$3="none",F1821,IF(L1821="",NA(),L1821))</f>
        <v>0</v>
      </c>
      <c r="S14">
        <f>IF(Charts!$B$3="none",G1821,IF(M1821="",NA(),M1821))</f>
        <v>0</v>
      </c>
      <c r="T14">
        <f>IF(Charts!$B$3="none",H1821,IF(N1821="",NA(),N1821))</f>
        <v>0</v>
      </c>
    </row>
    <row r="15" spans="1:20">
      <c r="A15" t="s">
        <v>386</v>
      </c>
      <c r="B15">
        <v>16</v>
      </c>
      <c r="D15">
        <v>11</v>
      </c>
      <c r="E15">
        <f>IF(INDIRECT(ADDRESS($D15+2,E$2+1,,,"Instances"))="","",INDIRECT(ADDRESS($D15+2,E$2+1,,,"Instances")))</f>
        <v>0</v>
      </c>
      <c r="F15">
        <f>IFERROR(SMALL(E5:E364,ROW()-ROW($F$5)+1),"")</f>
        <v>0</v>
      </c>
      <c r="H15">
        <f>IFERROR(SUM(F5:F15),"")</f>
        <v>0</v>
      </c>
      <c r="J15">
        <v>11</v>
      </c>
      <c r="K15" cm="1">
        <f t="array" ref="K15">_xlfn.SWITCH(Charts!$B$3,"average", AVERAGE(INDIRECT(ADDRESS(10+3,K$2+1,,,"Instances") &amp; ":" &amp; ADDRESS(10+3,K$2+1))),"median", MEDIAN(INDIRECT(ADDRESS(10+3,K$2+1,,,"Instances") &amp; ":" &amp; ADDRESS(10+3,K$2+1))),"min", MIN(INDIRECT(ADDRESS(10+3,K$2+1,,,"Instances") &amp; ":" &amp; ADDRESS(10+3,K$2+1))),"max", MAX(INDIRECT(ADDRESS(10+3,K$2+1,,,"Instances") &amp; ":" &amp; ADDRESS(10+3,K$2+1))),"diff", MAX(INDIRECT(ADDRESS(10+3,K$2+1,,,"Instances") &amp; ":" &amp; ADDRESS(10+3,K$2+1)))-MIN(INDIRECT(ADDRESS(10+3,K$2+1,,,"Instances") &amp; ":" &amp; ADDRESS(10+3,K$2+1))))</f>
        <v>0</v>
      </c>
      <c r="L15">
        <f>IFERROR(SMALL(K5:K364,ROW()-ROW($L$5)+1),"")</f>
        <v>0</v>
      </c>
      <c r="N15">
        <f>IFERROR(SUM(L5:L15),"")</f>
        <v>0</v>
      </c>
      <c r="Q15">
        <f>IF(Charts!$B$3="none",E1822,IF(K1822="",NA(),K1822))</f>
        <v>0</v>
      </c>
      <c r="R15">
        <f>IF(Charts!$B$3="none",F1822,IF(L1822="",NA(),L1822))</f>
        <v>0</v>
      </c>
      <c r="S15">
        <f>IF(Charts!$B$3="none",G1822,IF(M1822="",NA(),M1822))</f>
        <v>0</v>
      </c>
      <c r="T15">
        <f>IF(Charts!$B$3="none",H1822,IF(N1822="",NA(),N1822))</f>
        <v>0</v>
      </c>
    </row>
    <row r="16" spans="1:20">
      <c r="A16" t="s">
        <v>387</v>
      </c>
      <c r="B16">
        <v>17</v>
      </c>
      <c r="D16">
        <v>12</v>
      </c>
      <c r="E16">
        <f>IF(INDIRECT(ADDRESS($D16+2,E$2+1,,,"Instances"))="","",INDIRECT(ADDRESS($D16+2,E$2+1,,,"Instances")))</f>
        <v>0</v>
      </c>
      <c r="F16">
        <f>IFERROR(SMALL(E5:E364,ROW()-ROW($F$5)+1),"")</f>
        <v>0</v>
      </c>
      <c r="H16">
        <f>IFERROR(SUM(F5:F16),"")</f>
        <v>0</v>
      </c>
      <c r="J16">
        <v>12</v>
      </c>
      <c r="K16" cm="1">
        <f t="array" ref="K16">_xlfn.SWITCH(Charts!$B$3,"average", AVERAGE(INDIRECT(ADDRESS(11+3,K$2+1,,,"Instances") &amp; ":" &amp; ADDRESS(11+3,K$2+1))),"median", MEDIAN(INDIRECT(ADDRESS(11+3,K$2+1,,,"Instances") &amp; ":" &amp; ADDRESS(11+3,K$2+1))),"min", MIN(INDIRECT(ADDRESS(11+3,K$2+1,,,"Instances") &amp; ":" &amp; ADDRESS(11+3,K$2+1))),"max", MAX(INDIRECT(ADDRESS(11+3,K$2+1,,,"Instances") &amp; ":" &amp; ADDRESS(11+3,K$2+1))),"diff", MAX(INDIRECT(ADDRESS(11+3,K$2+1,,,"Instances") &amp; ":" &amp; ADDRESS(11+3,K$2+1)))-MIN(INDIRECT(ADDRESS(11+3,K$2+1,,,"Instances") &amp; ":" &amp; ADDRESS(11+3,K$2+1))))</f>
        <v>0</v>
      </c>
      <c r="L16">
        <f>IFERROR(SMALL(K5:K364,ROW()-ROW($L$5)+1),"")</f>
        <v>0</v>
      </c>
      <c r="N16">
        <f>IFERROR(SUM(L5:L16),"")</f>
        <v>0</v>
      </c>
      <c r="Q16">
        <f>IF(Charts!$B$3="none",E1823,IF(K1823="",NA(),K1823))</f>
        <v>0</v>
      </c>
      <c r="R16">
        <f>IF(Charts!$B$3="none",F1823,IF(L1823="",NA(),L1823))</f>
        <v>0</v>
      </c>
      <c r="S16">
        <f>IF(Charts!$B$3="none",G1823,IF(M1823="",NA(),M1823))</f>
        <v>0</v>
      </c>
      <c r="T16">
        <f>IF(Charts!$B$3="none",H1823,IF(N1823="",NA(),N1823))</f>
        <v>0</v>
      </c>
    </row>
    <row r="17" spans="4:20">
      <c r="D17">
        <v>13</v>
      </c>
      <c r="E17">
        <f>IF(INDIRECT(ADDRESS($D17+2,E$2+1,,,"Instances"))="","",INDIRECT(ADDRESS($D17+2,E$2+1,,,"Instances")))</f>
        <v>0</v>
      </c>
      <c r="F17">
        <f>IFERROR(SMALL(E5:E364,ROW()-ROW($F$5)+1),"")</f>
        <v>0</v>
      </c>
      <c r="H17">
        <f>IFERROR(SUM(F5:F17),"")</f>
        <v>0</v>
      </c>
      <c r="J17">
        <v>13</v>
      </c>
      <c r="K17" cm="1">
        <f t="array" ref="K17">_xlfn.SWITCH(Charts!$B$3,"average", AVERAGE(INDIRECT(ADDRESS(12+3,K$2+1,,,"Instances") &amp; ":" &amp; ADDRESS(12+3,K$2+1))),"median", MEDIAN(INDIRECT(ADDRESS(12+3,K$2+1,,,"Instances") &amp; ":" &amp; ADDRESS(12+3,K$2+1))),"min", MIN(INDIRECT(ADDRESS(12+3,K$2+1,,,"Instances") &amp; ":" &amp; ADDRESS(12+3,K$2+1))),"max", MAX(INDIRECT(ADDRESS(12+3,K$2+1,,,"Instances") &amp; ":" &amp; ADDRESS(12+3,K$2+1))),"diff", MAX(INDIRECT(ADDRESS(12+3,K$2+1,,,"Instances") &amp; ":" &amp; ADDRESS(12+3,K$2+1)))-MIN(INDIRECT(ADDRESS(12+3,K$2+1,,,"Instances") &amp; ":" &amp; ADDRESS(12+3,K$2+1))))</f>
        <v>0</v>
      </c>
      <c r="L17">
        <f>IFERROR(SMALL(K5:K364,ROW()-ROW($L$5)+1),"")</f>
        <v>0</v>
      </c>
      <c r="N17">
        <f>IFERROR(SUM(L5:L17),"")</f>
        <v>0</v>
      </c>
      <c r="Q17">
        <f>IF(Charts!$B$3="none",E1824,IF(K1824="",NA(),K1824))</f>
        <v>0</v>
      </c>
      <c r="R17">
        <f>IF(Charts!$B$3="none",F1824,IF(L1824="",NA(),L1824))</f>
        <v>0</v>
      </c>
      <c r="S17">
        <f>IF(Charts!$B$3="none",G1824,IF(M1824="",NA(),M1824))</f>
        <v>0</v>
      </c>
      <c r="T17">
        <f>IF(Charts!$B$3="none",H1824,IF(N1824="",NA(),N1824))</f>
        <v>0</v>
      </c>
    </row>
    <row r="18" spans="4:20">
      <c r="D18">
        <v>14</v>
      </c>
      <c r="E18">
        <f>IF(INDIRECT(ADDRESS($D18+2,E$2+1,,,"Instances"))="","",INDIRECT(ADDRESS($D18+2,E$2+1,,,"Instances")))</f>
        <v>0</v>
      </c>
      <c r="F18">
        <f>IFERROR(SMALL(E5:E364,ROW()-ROW($F$5)+1),"")</f>
        <v>0</v>
      </c>
      <c r="H18">
        <f>IFERROR(SUM(F5:F18),"")</f>
        <v>0</v>
      </c>
      <c r="J18">
        <v>14</v>
      </c>
      <c r="K18" cm="1">
        <f t="array" ref="K18">_xlfn.SWITCH(Charts!$B$3,"average", AVERAGE(INDIRECT(ADDRESS(13+3,K$2+1,,,"Instances") &amp; ":" &amp; ADDRESS(13+3,K$2+1))),"median", MEDIAN(INDIRECT(ADDRESS(13+3,K$2+1,,,"Instances") &amp; ":" &amp; ADDRESS(13+3,K$2+1))),"min", MIN(INDIRECT(ADDRESS(13+3,K$2+1,,,"Instances") &amp; ":" &amp; ADDRESS(13+3,K$2+1))),"max", MAX(INDIRECT(ADDRESS(13+3,K$2+1,,,"Instances") &amp; ":" &amp; ADDRESS(13+3,K$2+1))),"diff", MAX(INDIRECT(ADDRESS(13+3,K$2+1,,,"Instances") &amp; ":" &amp; ADDRESS(13+3,K$2+1)))-MIN(INDIRECT(ADDRESS(13+3,K$2+1,,,"Instances") &amp; ":" &amp; ADDRESS(13+3,K$2+1))))</f>
        <v>0</v>
      </c>
      <c r="L18">
        <f>IFERROR(SMALL(K5:K364,ROW()-ROW($L$5)+1),"")</f>
        <v>0</v>
      </c>
      <c r="N18">
        <f>IFERROR(SUM(L5:L18),"")</f>
        <v>0</v>
      </c>
      <c r="Q18">
        <f>IF(Charts!$B$3="none",E1825,IF(K1825="",NA(),K1825))</f>
        <v>0</v>
      </c>
      <c r="R18">
        <f>IF(Charts!$B$3="none",F1825,IF(L1825="",NA(),L1825))</f>
        <v>0</v>
      </c>
      <c r="S18">
        <f>IF(Charts!$B$3="none",G1825,IF(M1825="",NA(),M1825))</f>
        <v>0</v>
      </c>
      <c r="T18">
        <f>IF(Charts!$B$3="none",H1825,IF(N1825="",NA(),N1825))</f>
        <v>0</v>
      </c>
    </row>
    <row r="19" spans="4:20">
      <c r="D19">
        <v>15</v>
      </c>
      <c r="E19">
        <f>IF(INDIRECT(ADDRESS($D19+2,E$2+1,,,"Instances"))="","",INDIRECT(ADDRESS($D19+2,E$2+1,,,"Instances")))</f>
        <v>0</v>
      </c>
      <c r="F19">
        <f>IFERROR(SMALL(E5:E364,ROW()-ROW($F$5)+1),"")</f>
        <v>0</v>
      </c>
      <c r="H19">
        <f>IFERROR(SUM(F5:F19),"")</f>
        <v>0</v>
      </c>
      <c r="J19">
        <v>15</v>
      </c>
      <c r="K19" cm="1">
        <f t="array" ref="K19">_xlfn.SWITCH(Charts!$B$3,"average", AVERAGE(INDIRECT(ADDRESS(14+3,K$2+1,,,"Instances") &amp; ":" &amp; ADDRESS(14+3,K$2+1))),"median", MEDIAN(INDIRECT(ADDRESS(14+3,K$2+1,,,"Instances") &amp; ":" &amp; ADDRESS(14+3,K$2+1))),"min", MIN(INDIRECT(ADDRESS(14+3,K$2+1,,,"Instances") &amp; ":" &amp; ADDRESS(14+3,K$2+1))),"max", MAX(INDIRECT(ADDRESS(14+3,K$2+1,,,"Instances") &amp; ":" &amp; ADDRESS(14+3,K$2+1))),"diff", MAX(INDIRECT(ADDRESS(14+3,K$2+1,,,"Instances") &amp; ":" &amp; ADDRESS(14+3,K$2+1)))-MIN(INDIRECT(ADDRESS(14+3,K$2+1,,,"Instances") &amp; ":" &amp; ADDRESS(14+3,K$2+1))))</f>
        <v>0</v>
      </c>
      <c r="L19">
        <f>IFERROR(SMALL(K5:K364,ROW()-ROW($L$5)+1),"")</f>
        <v>0</v>
      </c>
      <c r="N19">
        <f>IFERROR(SUM(L5:L19),"")</f>
        <v>0</v>
      </c>
      <c r="Q19">
        <f>IF(Charts!$B$3="none",E1826,IF(K1826="",NA(),K1826))</f>
        <v>0</v>
      </c>
      <c r="R19">
        <f>IF(Charts!$B$3="none",F1826,IF(L1826="",NA(),L1826))</f>
        <v>0</v>
      </c>
      <c r="S19">
        <f>IF(Charts!$B$3="none",G1826,IF(M1826="",NA(),M1826))</f>
        <v>0</v>
      </c>
      <c r="T19">
        <f>IF(Charts!$B$3="none",H1826,IF(N1826="",NA(),N1826))</f>
        <v>0</v>
      </c>
    </row>
    <row r="20" spans="4:20">
      <c r="D20">
        <v>16</v>
      </c>
      <c r="E20">
        <f>IF(INDIRECT(ADDRESS($D20+2,E$2+1,,,"Instances"))="","",INDIRECT(ADDRESS($D20+2,E$2+1,,,"Instances")))</f>
        <v>0</v>
      </c>
      <c r="F20">
        <f>IFERROR(SMALL(E5:E364,ROW()-ROW($F$5)+1),"")</f>
        <v>0</v>
      </c>
      <c r="H20">
        <f>IFERROR(SUM(F5:F20),"")</f>
        <v>0</v>
      </c>
      <c r="J20">
        <v>16</v>
      </c>
      <c r="K20" cm="1">
        <f t="array" ref="K20">_xlfn.SWITCH(Charts!$B$3,"average", AVERAGE(INDIRECT(ADDRESS(15+3,K$2+1,,,"Instances") &amp; ":" &amp; ADDRESS(15+3,K$2+1))),"median", MEDIAN(INDIRECT(ADDRESS(15+3,K$2+1,,,"Instances") &amp; ":" &amp; ADDRESS(15+3,K$2+1))),"min", MIN(INDIRECT(ADDRESS(15+3,K$2+1,,,"Instances") &amp; ":" &amp; ADDRESS(15+3,K$2+1))),"max", MAX(INDIRECT(ADDRESS(15+3,K$2+1,,,"Instances") &amp; ":" &amp; ADDRESS(15+3,K$2+1))),"diff", MAX(INDIRECT(ADDRESS(15+3,K$2+1,,,"Instances") &amp; ":" &amp; ADDRESS(15+3,K$2+1)))-MIN(INDIRECT(ADDRESS(15+3,K$2+1,,,"Instances") &amp; ":" &amp; ADDRESS(15+3,K$2+1))))</f>
        <v>0</v>
      </c>
      <c r="L20">
        <f>IFERROR(SMALL(K5:K364,ROW()-ROW($L$5)+1),"")</f>
        <v>0</v>
      </c>
      <c r="N20">
        <f>IFERROR(SUM(L5:L20),"")</f>
        <v>0</v>
      </c>
      <c r="Q20">
        <f>IF(Charts!$B$3="none",E1827,IF(K1827="",NA(),K1827))</f>
        <v>0</v>
      </c>
      <c r="R20">
        <f>IF(Charts!$B$3="none",F1827,IF(L1827="",NA(),L1827))</f>
        <v>0</v>
      </c>
      <c r="S20">
        <f>IF(Charts!$B$3="none",G1827,IF(M1827="",NA(),M1827))</f>
        <v>0</v>
      </c>
      <c r="T20">
        <f>IF(Charts!$B$3="none",H1827,IF(N1827="",NA(),N1827))</f>
        <v>0</v>
      </c>
    </row>
    <row r="21" spans="4:20">
      <c r="D21">
        <v>17</v>
      </c>
      <c r="E21">
        <f>IF(INDIRECT(ADDRESS($D21+2,E$2+1,,,"Instances"))="","",INDIRECT(ADDRESS($D21+2,E$2+1,,,"Instances")))</f>
        <v>0</v>
      </c>
      <c r="F21">
        <f>IFERROR(SMALL(E5:E364,ROW()-ROW($F$5)+1),"")</f>
        <v>0</v>
      </c>
      <c r="H21">
        <f>IFERROR(SUM(F5:F21),"")</f>
        <v>0</v>
      </c>
      <c r="J21">
        <v>17</v>
      </c>
      <c r="K21" cm="1">
        <f t="array" ref="K21">_xlfn.SWITCH(Charts!$B$3,"average", AVERAGE(INDIRECT(ADDRESS(16+3,K$2+1,,,"Instances") &amp; ":" &amp; ADDRESS(16+3,K$2+1))),"median", MEDIAN(INDIRECT(ADDRESS(16+3,K$2+1,,,"Instances") &amp; ":" &amp; ADDRESS(16+3,K$2+1))),"min", MIN(INDIRECT(ADDRESS(16+3,K$2+1,,,"Instances") &amp; ":" &amp; ADDRESS(16+3,K$2+1))),"max", MAX(INDIRECT(ADDRESS(16+3,K$2+1,,,"Instances") &amp; ":" &amp; ADDRESS(16+3,K$2+1))),"diff", MAX(INDIRECT(ADDRESS(16+3,K$2+1,,,"Instances") &amp; ":" &amp; ADDRESS(16+3,K$2+1)))-MIN(INDIRECT(ADDRESS(16+3,K$2+1,,,"Instances") &amp; ":" &amp; ADDRESS(16+3,K$2+1))))</f>
        <v>0</v>
      </c>
      <c r="L21">
        <f>IFERROR(SMALL(K5:K364,ROW()-ROW($L$5)+1),"")</f>
        <v>0</v>
      </c>
      <c r="N21">
        <f>IFERROR(SUM(L5:L21),"")</f>
        <v>0</v>
      </c>
      <c r="Q21">
        <f>IF(Charts!$B$3="none",E1828,IF(K1828="",NA(),K1828))</f>
        <v>0</v>
      </c>
      <c r="R21">
        <f>IF(Charts!$B$3="none",F1828,IF(L1828="",NA(),L1828))</f>
        <v>0</v>
      </c>
      <c r="S21">
        <f>IF(Charts!$B$3="none",G1828,IF(M1828="",NA(),M1828))</f>
        <v>0</v>
      </c>
      <c r="T21">
        <f>IF(Charts!$B$3="none",H1828,IF(N1828="",NA(),N1828))</f>
        <v>0</v>
      </c>
    </row>
    <row r="22" spans="4:20">
      <c r="D22">
        <v>18</v>
      </c>
      <c r="E22">
        <f>IF(INDIRECT(ADDRESS($D22+2,E$2+1,,,"Instances"))="","",INDIRECT(ADDRESS($D22+2,E$2+1,,,"Instances")))</f>
        <v>0</v>
      </c>
      <c r="F22">
        <f>IFERROR(SMALL(E5:E364,ROW()-ROW($F$5)+1),"")</f>
        <v>0</v>
      </c>
      <c r="H22">
        <f>IFERROR(SUM(F5:F22),"")</f>
        <v>0</v>
      </c>
      <c r="J22">
        <v>18</v>
      </c>
      <c r="K22" cm="1">
        <f t="array" ref="K22">_xlfn.SWITCH(Charts!$B$3,"average", AVERAGE(INDIRECT(ADDRESS(17+3,K$2+1,,,"Instances") &amp; ":" &amp; ADDRESS(17+3,K$2+1))),"median", MEDIAN(INDIRECT(ADDRESS(17+3,K$2+1,,,"Instances") &amp; ":" &amp; ADDRESS(17+3,K$2+1))),"min", MIN(INDIRECT(ADDRESS(17+3,K$2+1,,,"Instances") &amp; ":" &amp; ADDRESS(17+3,K$2+1))),"max", MAX(INDIRECT(ADDRESS(17+3,K$2+1,,,"Instances") &amp; ":" &amp; ADDRESS(17+3,K$2+1))),"diff", MAX(INDIRECT(ADDRESS(17+3,K$2+1,,,"Instances") &amp; ":" &amp; ADDRESS(17+3,K$2+1)))-MIN(INDIRECT(ADDRESS(17+3,K$2+1,,,"Instances") &amp; ":" &amp; ADDRESS(17+3,K$2+1))))</f>
        <v>0</v>
      </c>
      <c r="L22">
        <f>IFERROR(SMALL(K5:K364,ROW()-ROW($L$5)+1),"")</f>
        <v>0</v>
      </c>
      <c r="N22">
        <f>IFERROR(SUM(L5:L22),"")</f>
        <v>0</v>
      </c>
      <c r="Q22">
        <f>IF(Charts!$B$3="none",E1829,IF(K1829="",NA(),K1829))</f>
        <v>0</v>
      </c>
      <c r="R22">
        <f>IF(Charts!$B$3="none",F1829,IF(L1829="",NA(),L1829))</f>
        <v>0</v>
      </c>
      <c r="S22">
        <f>IF(Charts!$B$3="none",G1829,IF(M1829="",NA(),M1829))</f>
        <v>0</v>
      </c>
      <c r="T22">
        <f>IF(Charts!$B$3="none",H1829,IF(N1829="",NA(),N1829))</f>
        <v>0</v>
      </c>
    </row>
    <row r="23" spans="4:20">
      <c r="D23">
        <v>19</v>
      </c>
      <c r="E23">
        <f>IF(INDIRECT(ADDRESS($D23+2,E$2+1,,,"Instances"))="","",INDIRECT(ADDRESS($D23+2,E$2+1,,,"Instances")))</f>
        <v>0</v>
      </c>
      <c r="F23">
        <f>IFERROR(SMALL(E5:E364,ROW()-ROW($F$5)+1),"")</f>
        <v>0</v>
      </c>
      <c r="H23">
        <f>IFERROR(SUM(F5:F23),"")</f>
        <v>0</v>
      </c>
      <c r="J23">
        <v>19</v>
      </c>
      <c r="K23" cm="1">
        <f t="array" ref="K23">_xlfn.SWITCH(Charts!$B$3,"average", AVERAGE(INDIRECT(ADDRESS(18+3,K$2+1,,,"Instances") &amp; ":" &amp; ADDRESS(18+3,K$2+1))),"median", MEDIAN(INDIRECT(ADDRESS(18+3,K$2+1,,,"Instances") &amp; ":" &amp; ADDRESS(18+3,K$2+1))),"min", MIN(INDIRECT(ADDRESS(18+3,K$2+1,,,"Instances") &amp; ":" &amp; ADDRESS(18+3,K$2+1))),"max", MAX(INDIRECT(ADDRESS(18+3,K$2+1,,,"Instances") &amp; ":" &amp; ADDRESS(18+3,K$2+1))),"diff", MAX(INDIRECT(ADDRESS(18+3,K$2+1,,,"Instances") &amp; ":" &amp; ADDRESS(18+3,K$2+1)))-MIN(INDIRECT(ADDRESS(18+3,K$2+1,,,"Instances") &amp; ":" &amp; ADDRESS(18+3,K$2+1))))</f>
        <v>0</v>
      </c>
      <c r="L23">
        <f>IFERROR(SMALL(K5:K364,ROW()-ROW($L$5)+1),"")</f>
        <v>0</v>
      </c>
      <c r="N23">
        <f>IFERROR(SUM(L5:L23),"")</f>
        <v>0</v>
      </c>
      <c r="Q23">
        <f>IF(Charts!$B$3="none",E1830,IF(K1830="",NA(),K1830))</f>
        <v>0</v>
      </c>
      <c r="R23">
        <f>IF(Charts!$B$3="none",F1830,IF(L1830="",NA(),L1830))</f>
        <v>0</v>
      </c>
      <c r="S23">
        <f>IF(Charts!$B$3="none",G1830,IF(M1830="",NA(),M1830))</f>
        <v>0</v>
      </c>
      <c r="T23">
        <f>IF(Charts!$B$3="none",H1830,IF(N1830="",NA(),N1830))</f>
        <v>0</v>
      </c>
    </row>
    <row r="24" spans="4:20">
      <c r="D24">
        <v>20</v>
      </c>
      <c r="E24">
        <f>IF(INDIRECT(ADDRESS($D24+2,E$2+1,,,"Instances"))="","",INDIRECT(ADDRESS($D24+2,E$2+1,,,"Instances")))</f>
        <v>0</v>
      </c>
      <c r="F24">
        <f>IFERROR(SMALL(E5:E364,ROW()-ROW($F$5)+1),"")</f>
        <v>0</v>
      </c>
      <c r="H24">
        <f>IFERROR(SUM(F5:F24),"")</f>
        <v>0</v>
      </c>
      <c r="J24">
        <v>20</v>
      </c>
      <c r="K24" cm="1">
        <f t="array" ref="K24">_xlfn.SWITCH(Charts!$B$3,"average", AVERAGE(INDIRECT(ADDRESS(19+3,K$2+1,,,"Instances") &amp; ":" &amp; ADDRESS(19+3,K$2+1))),"median", MEDIAN(INDIRECT(ADDRESS(19+3,K$2+1,,,"Instances") &amp; ":" &amp; ADDRESS(19+3,K$2+1))),"min", MIN(INDIRECT(ADDRESS(19+3,K$2+1,,,"Instances") &amp; ":" &amp; ADDRESS(19+3,K$2+1))),"max", MAX(INDIRECT(ADDRESS(19+3,K$2+1,,,"Instances") &amp; ":" &amp; ADDRESS(19+3,K$2+1))),"diff", MAX(INDIRECT(ADDRESS(19+3,K$2+1,,,"Instances") &amp; ":" &amp; ADDRESS(19+3,K$2+1)))-MIN(INDIRECT(ADDRESS(19+3,K$2+1,,,"Instances") &amp; ":" &amp; ADDRESS(19+3,K$2+1))))</f>
        <v>0</v>
      </c>
      <c r="L24">
        <f>IFERROR(SMALL(K5:K364,ROW()-ROW($L$5)+1),"")</f>
        <v>0</v>
      </c>
      <c r="N24">
        <f>IFERROR(SUM(L5:L24),"")</f>
        <v>0</v>
      </c>
      <c r="Q24">
        <f>IF(Charts!$B$3="none",E1831,IF(K1831="",NA(),K1831))</f>
        <v>0</v>
      </c>
      <c r="R24">
        <f>IF(Charts!$B$3="none",F1831,IF(L1831="",NA(),L1831))</f>
        <v>0</v>
      </c>
      <c r="S24">
        <f>IF(Charts!$B$3="none",G1831,IF(M1831="",NA(),M1831))</f>
        <v>0</v>
      </c>
      <c r="T24">
        <f>IF(Charts!$B$3="none",H1831,IF(N1831="",NA(),N1831))</f>
        <v>0</v>
      </c>
    </row>
    <row r="25" spans="4:20">
      <c r="D25">
        <v>21</v>
      </c>
      <c r="E25">
        <f>IF(INDIRECT(ADDRESS($D25+2,E$2+1,,,"Instances"))="","",INDIRECT(ADDRESS($D25+2,E$2+1,,,"Instances")))</f>
        <v>0</v>
      </c>
      <c r="F25">
        <f>IFERROR(SMALL(E5:E364,ROW()-ROW($F$5)+1),"")</f>
        <v>0</v>
      </c>
      <c r="H25">
        <f>IFERROR(SUM(F5:F25),"")</f>
        <v>0</v>
      </c>
      <c r="J25">
        <v>21</v>
      </c>
      <c r="K25" cm="1">
        <f t="array" ref="K25">_xlfn.SWITCH(Charts!$B$3,"average", AVERAGE(INDIRECT(ADDRESS(20+3,K$2+1,,,"Instances") &amp; ":" &amp; ADDRESS(20+3,K$2+1))),"median", MEDIAN(INDIRECT(ADDRESS(20+3,K$2+1,,,"Instances") &amp; ":" &amp; ADDRESS(20+3,K$2+1))),"min", MIN(INDIRECT(ADDRESS(20+3,K$2+1,,,"Instances") &amp; ":" &amp; ADDRESS(20+3,K$2+1))),"max", MAX(INDIRECT(ADDRESS(20+3,K$2+1,,,"Instances") &amp; ":" &amp; ADDRESS(20+3,K$2+1))),"diff", MAX(INDIRECT(ADDRESS(20+3,K$2+1,,,"Instances") &amp; ":" &amp; ADDRESS(20+3,K$2+1)))-MIN(INDIRECT(ADDRESS(20+3,K$2+1,,,"Instances") &amp; ":" &amp; ADDRESS(20+3,K$2+1))))</f>
        <v>0</v>
      </c>
      <c r="L25">
        <f>IFERROR(SMALL(K5:K364,ROW()-ROW($L$5)+1),"")</f>
        <v>0</v>
      </c>
      <c r="N25">
        <f>IFERROR(SUM(L5:L25),"")</f>
        <v>0</v>
      </c>
      <c r="Q25">
        <f>IF(Charts!$B$3="none",E1832,IF(K1832="",NA(),K1832))</f>
        <v>0</v>
      </c>
      <c r="R25">
        <f>IF(Charts!$B$3="none",F1832,IF(L1832="",NA(),L1832))</f>
        <v>0</v>
      </c>
      <c r="S25">
        <f>IF(Charts!$B$3="none",G1832,IF(M1832="",NA(),M1832))</f>
        <v>0</v>
      </c>
      <c r="T25">
        <f>IF(Charts!$B$3="none",H1832,IF(N1832="",NA(),N1832))</f>
        <v>0</v>
      </c>
    </row>
    <row r="26" spans="4:20">
      <c r="D26">
        <v>22</v>
      </c>
      <c r="E26">
        <f>IF(INDIRECT(ADDRESS($D26+2,E$2+1,,,"Instances"))="","",INDIRECT(ADDRESS($D26+2,E$2+1,,,"Instances")))</f>
        <v>0</v>
      </c>
      <c r="F26">
        <f>IFERROR(SMALL(E5:E364,ROW()-ROW($F$5)+1),"")</f>
        <v>0</v>
      </c>
      <c r="H26">
        <f>IFERROR(SUM(F5:F26),"")</f>
        <v>0</v>
      </c>
      <c r="J26">
        <v>22</v>
      </c>
      <c r="K26" cm="1">
        <f t="array" ref="K26">_xlfn.SWITCH(Charts!$B$3,"average", AVERAGE(INDIRECT(ADDRESS(21+3,K$2+1,,,"Instances") &amp; ":" &amp; ADDRESS(21+3,K$2+1))),"median", MEDIAN(INDIRECT(ADDRESS(21+3,K$2+1,,,"Instances") &amp; ":" &amp; ADDRESS(21+3,K$2+1))),"min", MIN(INDIRECT(ADDRESS(21+3,K$2+1,,,"Instances") &amp; ":" &amp; ADDRESS(21+3,K$2+1))),"max", MAX(INDIRECT(ADDRESS(21+3,K$2+1,,,"Instances") &amp; ":" &amp; ADDRESS(21+3,K$2+1))),"diff", MAX(INDIRECT(ADDRESS(21+3,K$2+1,,,"Instances") &amp; ":" &amp; ADDRESS(21+3,K$2+1)))-MIN(INDIRECT(ADDRESS(21+3,K$2+1,,,"Instances") &amp; ":" &amp; ADDRESS(21+3,K$2+1))))</f>
        <v>0</v>
      </c>
      <c r="L26">
        <f>IFERROR(SMALL(K5:K364,ROW()-ROW($L$5)+1),"")</f>
        <v>0</v>
      </c>
      <c r="N26">
        <f>IFERROR(SUM(L5:L26),"")</f>
        <v>0</v>
      </c>
      <c r="Q26">
        <f>IF(Charts!$B$3="none",E1833,IF(K1833="",NA(),K1833))</f>
        <v>0</v>
      </c>
      <c r="R26">
        <f>IF(Charts!$B$3="none",F1833,IF(L1833="",NA(),L1833))</f>
        <v>0</v>
      </c>
      <c r="S26">
        <f>IF(Charts!$B$3="none",G1833,IF(M1833="",NA(),M1833))</f>
        <v>0</v>
      </c>
      <c r="T26">
        <f>IF(Charts!$B$3="none",H1833,IF(N1833="",NA(),N1833))</f>
        <v>0</v>
      </c>
    </row>
    <row r="27" spans="4:20">
      <c r="D27">
        <v>23</v>
      </c>
      <c r="E27">
        <f>IF(INDIRECT(ADDRESS($D27+2,E$2+1,,,"Instances"))="","",INDIRECT(ADDRESS($D27+2,E$2+1,,,"Instances")))</f>
        <v>0</v>
      </c>
      <c r="F27">
        <f>IFERROR(SMALL(E5:E364,ROW()-ROW($F$5)+1),"")</f>
        <v>0</v>
      </c>
      <c r="H27">
        <f>IFERROR(SUM(F5:F27),"")</f>
        <v>0</v>
      </c>
      <c r="J27">
        <v>23</v>
      </c>
      <c r="K27" cm="1">
        <f t="array" ref="K27">_xlfn.SWITCH(Charts!$B$3,"average", AVERAGE(INDIRECT(ADDRESS(22+3,K$2+1,,,"Instances") &amp; ":" &amp; ADDRESS(22+3,K$2+1))),"median", MEDIAN(INDIRECT(ADDRESS(22+3,K$2+1,,,"Instances") &amp; ":" &amp; ADDRESS(22+3,K$2+1))),"min", MIN(INDIRECT(ADDRESS(22+3,K$2+1,,,"Instances") &amp; ":" &amp; ADDRESS(22+3,K$2+1))),"max", MAX(INDIRECT(ADDRESS(22+3,K$2+1,,,"Instances") &amp; ":" &amp; ADDRESS(22+3,K$2+1))),"diff", MAX(INDIRECT(ADDRESS(22+3,K$2+1,,,"Instances") &amp; ":" &amp; ADDRESS(22+3,K$2+1)))-MIN(INDIRECT(ADDRESS(22+3,K$2+1,,,"Instances") &amp; ":" &amp; ADDRESS(22+3,K$2+1))))</f>
        <v>0</v>
      </c>
      <c r="L27">
        <f>IFERROR(SMALL(K5:K364,ROW()-ROW($L$5)+1),"")</f>
        <v>0</v>
      </c>
      <c r="N27">
        <f>IFERROR(SUM(L5:L27),"")</f>
        <v>0</v>
      </c>
      <c r="Q27">
        <f>IF(Charts!$B$3="none",E1834,IF(K1834="",NA(),K1834))</f>
        <v>0</v>
      </c>
      <c r="R27">
        <f>IF(Charts!$B$3="none",F1834,IF(L1834="",NA(),L1834))</f>
        <v>0</v>
      </c>
      <c r="S27">
        <f>IF(Charts!$B$3="none",G1834,IF(M1834="",NA(),M1834))</f>
        <v>0</v>
      </c>
      <c r="T27">
        <f>IF(Charts!$B$3="none",H1834,IF(N1834="",NA(),N1834))</f>
        <v>0</v>
      </c>
    </row>
    <row r="28" spans="4:20">
      <c r="D28">
        <v>24</v>
      </c>
      <c r="E28">
        <f>IF(INDIRECT(ADDRESS($D28+2,E$2+1,,,"Instances"))="","",INDIRECT(ADDRESS($D28+2,E$2+1,,,"Instances")))</f>
        <v>0</v>
      </c>
      <c r="F28">
        <f>IFERROR(SMALL(E5:E364,ROW()-ROW($F$5)+1),"")</f>
        <v>0</v>
      </c>
      <c r="H28">
        <f>IFERROR(SUM(F5:F28),"")</f>
        <v>0</v>
      </c>
      <c r="J28">
        <v>24</v>
      </c>
      <c r="K28" cm="1">
        <f t="array" ref="K28">_xlfn.SWITCH(Charts!$B$3,"average", AVERAGE(INDIRECT(ADDRESS(23+3,K$2+1,,,"Instances") &amp; ":" &amp; ADDRESS(23+3,K$2+1))),"median", MEDIAN(INDIRECT(ADDRESS(23+3,K$2+1,,,"Instances") &amp; ":" &amp; ADDRESS(23+3,K$2+1))),"min", MIN(INDIRECT(ADDRESS(23+3,K$2+1,,,"Instances") &amp; ":" &amp; ADDRESS(23+3,K$2+1))),"max", MAX(INDIRECT(ADDRESS(23+3,K$2+1,,,"Instances") &amp; ":" &amp; ADDRESS(23+3,K$2+1))),"diff", MAX(INDIRECT(ADDRESS(23+3,K$2+1,,,"Instances") &amp; ":" &amp; ADDRESS(23+3,K$2+1)))-MIN(INDIRECT(ADDRESS(23+3,K$2+1,,,"Instances") &amp; ":" &amp; ADDRESS(23+3,K$2+1))))</f>
        <v>0</v>
      </c>
      <c r="L28">
        <f>IFERROR(SMALL(K5:K364,ROW()-ROW($L$5)+1),"")</f>
        <v>0</v>
      </c>
      <c r="N28">
        <f>IFERROR(SUM(L5:L28),"")</f>
        <v>0</v>
      </c>
      <c r="Q28">
        <f>IF(Charts!$B$3="none",E1835,IF(K1835="",NA(),K1835))</f>
        <v>0</v>
      </c>
      <c r="R28">
        <f>IF(Charts!$B$3="none",F1835,IF(L1835="",NA(),L1835))</f>
        <v>0</v>
      </c>
      <c r="S28">
        <f>IF(Charts!$B$3="none",G1835,IF(M1835="",NA(),M1835))</f>
        <v>0</v>
      </c>
      <c r="T28">
        <f>IF(Charts!$B$3="none",H1835,IF(N1835="",NA(),N1835))</f>
        <v>0</v>
      </c>
    </row>
    <row r="29" spans="4:20">
      <c r="D29">
        <v>25</v>
      </c>
      <c r="E29">
        <f>IF(INDIRECT(ADDRESS($D29+2,E$2+1,,,"Instances"))="","",INDIRECT(ADDRESS($D29+2,E$2+1,,,"Instances")))</f>
        <v>0</v>
      </c>
      <c r="F29">
        <f>IFERROR(SMALL(E5:E364,ROW()-ROW($F$5)+1),"")</f>
        <v>0</v>
      </c>
      <c r="H29">
        <f>IFERROR(SUM(F5:F29),"")</f>
        <v>0</v>
      </c>
      <c r="J29">
        <v>25</v>
      </c>
      <c r="K29" cm="1">
        <f t="array" ref="K29">_xlfn.SWITCH(Charts!$B$3,"average", AVERAGE(INDIRECT(ADDRESS(24+3,K$2+1,,,"Instances") &amp; ":" &amp; ADDRESS(24+3,K$2+1))),"median", MEDIAN(INDIRECT(ADDRESS(24+3,K$2+1,,,"Instances") &amp; ":" &amp; ADDRESS(24+3,K$2+1))),"min", MIN(INDIRECT(ADDRESS(24+3,K$2+1,,,"Instances") &amp; ":" &amp; ADDRESS(24+3,K$2+1))),"max", MAX(INDIRECT(ADDRESS(24+3,K$2+1,,,"Instances") &amp; ":" &amp; ADDRESS(24+3,K$2+1))),"diff", MAX(INDIRECT(ADDRESS(24+3,K$2+1,,,"Instances") &amp; ":" &amp; ADDRESS(24+3,K$2+1)))-MIN(INDIRECT(ADDRESS(24+3,K$2+1,,,"Instances") &amp; ":" &amp; ADDRESS(24+3,K$2+1))))</f>
        <v>0</v>
      </c>
      <c r="L29">
        <f>IFERROR(SMALL(K5:K364,ROW()-ROW($L$5)+1),"")</f>
        <v>0</v>
      </c>
      <c r="N29">
        <f>IFERROR(SUM(L5:L29),"")</f>
        <v>0</v>
      </c>
      <c r="Q29">
        <f>IF(Charts!$B$3="none",E1836,IF(K1836="",NA(),K1836))</f>
        <v>0</v>
      </c>
      <c r="R29">
        <f>IF(Charts!$B$3="none",F1836,IF(L1836="",NA(),L1836))</f>
        <v>0</v>
      </c>
      <c r="S29">
        <f>IF(Charts!$B$3="none",G1836,IF(M1836="",NA(),M1836))</f>
        <v>0</v>
      </c>
      <c r="T29">
        <f>IF(Charts!$B$3="none",H1836,IF(N1836="",NA(),N1836))</f>
        <v>0</v>
      </c>
    </row>
    <row r="30" spans="4:20">
      <c r="D30">
        <v>26</v>
      </c>
      <c r="E30">
        <f>IF(INDIRECT(ADDRESS($D30+2,E$2+1,,,"Instances"))="","",INDIRECT(ADDRESS($D30+2,E$2+1,,,"Instances")))</f>
        <v>0</v>
      </c>
      <c r="F30">
        <f>IFERROR(SMALL(E5:E364,ROW()-ROW($F$5)+1),"")</f>
        <v>0</v>
      </c>
      <c r="H30">
        <f>IFERROR(SUM(F5:F30),"")</f>
        <v>0</v>
      </c>
      <c r="J30">
        <v>26</v>
      </c>
      <c r="K30" cm="1">
        <f t="array" ref="K30">_xlfn.SWITCH(Charts!$B$3,"average", AVERAGE(INDIRECT(ADDRESS(25+3,K$2+1,,,"Instances") &amp; ":" &amp; ADDRESS(25+3,K$2+1))),"median", MEDIAN(INDIRECT(ADDRESS(25+3,K$2+1,,,"Instances") &amp; ":" &amp; ADDRESS(25+3,K$2+1))),"min", MIN(INDIRECT(ADDRESS(25+3,K$2+1,,,"Instances") &amp; ":" &amp; ADDRESS(25+3,K$2+1))),"max", MAX(INDIRECT(ADDRESS(25+3,K$2+1,,,"Instances") &amp; ":" &amp; ADDRESS(25+3,K$2+1))),"diff", MAX(INDIRECT(ADDRESS(25+3,K$2+1,,,"Instances") &amp; ":" &amp; ADDRESS(25+3,K$2+1)))-MIN(INDIRECT(ADDRESS(25+3,K$2+1,,,"Instances") &amp; ":" &amp; ADDRESS(25+3,K$2+1))))</f>
        <v>0</v>
      </c>
      <c r="L30">
        <f>IFERROR(SMALL(K5:K364,ROW()-ROW($L$5)+1),"")</f>
        <v>0</v>
      </c>
      <c r="N30">
        <f>IFERROR(SUM(L5:L30),"")</f>
        <v>0</v>
      </c>
      <c r="Q30">
        <f>IF(Charts!$B$3="none",E1837,IF(K1837="",NA(),K1837))</f>
        <v>0</v>
      </c>
      <c r="R30">
        <f>IF(Charts!$B$3="none",F1837,IF(L1837="",NA(),L1837))</f>
        <v>0</v>
      </c>
      <c r="S30">
        <f>IF(Charts!$B$3="none",G1837,IF(M1837="",NA(),M1837))</f>
        <v>0</v>
      </c>
      <c r="T30">
        <f>IF(Charts!$B$3="none",H1837,IF(N1837="",NA(),N1837))</f>
        <v>0</v>
      </c>
    </row>
    <row r="31" spans="4:20">
      <c r="D31">
        <v>27</v>
      </c>
      <c r="E31">
        <f>IF(INDIRECT(ADDRESS($D31+2,E$2+1,,,"Instances"))="","",INDIRECT(ADDRESS($D31+2,E$2+1,,,"Instances")))</f>
        <v>0</v>
      </c>
      <c r="F31">
        <f>IFERROR(SMALL(E5:E364,ROW()-ROW($F$5)+1),"")</f>
        <v>0</v>
      </c>
      <c r="H31">
        <f>IFERROR(SUM(F5:F31),"")</f>
        <v>0</v>
      </c>
      <c r="J31">
        <v>27</v>
      </c>
      <c r="K31" cm="1">
        <f t="array" ref="K31">_xlfn.SWITCH(Charts!$B$3,"average", AVERAGE(INDIRECT(ADDRESS(26+3,K$2+1,,,"Instances") &amp; ":" &amp; ADDRESS(26+3,K$2+1))),"median", MEDIAN(INDIRECT(ADDRESS(26+3,K$2+1,,,"Instances") &amp; ":" &amp; ADDRESS(26+3,K$2+1))),"min", MIN(INDIRECT(ADDRESS(26+3,K$2+1,,,"Instances") &amp; ":" &amp; ADDRESS(26+3,K$2+1))),"max", MAX(INDIRECT(ADDRESS(26+3,K$2+1,,,"Instances") &amp; ":" &amp; ADDRESS(26+3,K$2+1))),"diff", MAX(INDIRECT(ADDRESS(26+3,K$2+1,,,"Instances") &amp; ":" &amp; ADDRESS(26+3,K$2+1)))-MIN(INDIRECT(ADDRESS(26+3,K$2+1,,,"Instances") &amp; ":" &amp; ADDRESS(26+3,K$2+1))))</f>
        <v>0</v>
      </c>
      <c r="L31">
        <f>IFERROR(SMALL(K5:K364,ROW()-ROW($L$5)+1),"")</f>
        <v>0</v>
      </c>
      <c r="N31">
        <f>IFERROR(SUM(L5:L31),"")</f>
        <v>0</v>
      </c>
      <c r="Q31">
        <f>IF(Charts!$B$3="none",E1838,IF(K1838="",NA(),K1838))</f>
        <v>0</v>
      </c>
      <c r="R31">
        <f>IF(Charts!$B$3="none",F1838,IF(L1838="",NA(),L1838))</f>
        <v>0</v>
      </c>
      <c r="S31">
        <f>IF(Charts!$B$3="none",G1838,IF(M1838="",NA(),M1838))</f>
        <v>0</v>
      </c>
      <c r="T31">
        <f>IF(Charts!$B$3="none",H1838,IF(N1838="",NA(),N1838))</f>
        <v>0</v>
      </c>
    </row>
    <row r="32" spans="4:20">
      <c r="D32">
        <v>28</v>
      </c>
      <c r="E32">
        <f>IF(INDIRECT(ADDRESS($D32+2,E$2+1,,,"Instances"))="","",INDIRECT(ADDRESS($D32+2,E$2+1,,,"Instances")))</f>
        <v>0</v>
      </c>
      <c r="F32">
        <f>IFERROR(SMALL(E5:E364,ROW()-ROW($F$5)+1),"")</f>
        <v>0</v>
      </c>
      <c r="H32">
        <f>IFERROR(SUM(F5:F32),"")</f>
        <v>0</v>
      </c>
      <c r="J32">
        <v>28</v>
      </c>
      <c r="K32" cm="1">
        <f t="array" ref="K32">_xlfn.SWITCH(Charts!$B$3,"average", AVERAGE(INDIRECT(ADDRESS(27+3,K$2+1,,,"Instances") &amp; ":" &amp; ADDRESS(27+3,K$2+1))),"median", MEDIAN(INDIRECT(ADDRESS(27+3,K$2+1,,,"Instances") &amp; ":" &amp; ADDRESS(27+3,K$2+1))),"min", MIN(INDIRECT(ADDRESS(27+3,K$2+1,,,"Instances") &amp; ":" &amp; ADDRESS(27+3,K$2+1))),"max", MAX(INDIRECT(ADDRESS(27+3,K$2+1,,,"Instances") &amp; ":" &amp; ADDRESS(27+3,K$2+1))),"diff", MAX(INDIRECT(ADDRESS(27+3,K$2+1,,,"Instances") &amp; ":" &amp; ADDRESS(27+3,K$2+1)))-MIN(INDIRECT(ADDRESS(27+3,K$2+1,,,"Instances") &amp; ":" &amp; ADDRESS(27+3,K$2+1))))</f>
        <v>0</v>
      </c>
      <c r="L32">
        <f>IFERROR(SMALL(K5:K364,ROW()-ROW($L$5)+1),"")</f>
        <v>0</v>
      </c>
      <c r="N32">
        <f>IFERROR(SUM(L5:L32),"")</f>
        <v>0</v>
      </c>
      <c r="Q32">
        <f>IF(Charts!$B$3="none",E1839,IF(K1839="",NA(),K1839))</f>
        <v>0</v>
      </c>
      <c r="R32">
        <f>IF(Charts!$B$3="none",F1839,IF(L1839="",NA(),L1839))</f>
        <v>0</v>
      </c>
      <c r="S32">
        <f>IF(Charts!$B$3="none",G1839,IF(M1839="",NA(),M1839))</f>
        <v>0</v>
      </c>
      <c r="T32">
        <f>IF(Charts!$B$3="none",H1839,IF(N1839="",NA(),N1839))</f>
        <v>0</v>
      </c>
    </row>
    <row r="33" spans="4:20">
      <c r="D33">
        <v>29</v>
      </c>
      <c r="E33">
        <f>IF(INDIRECT(ADDRESS($D33+2,E$2+1,,,"Instances"))="","",INDIRECT(ADDRESS($D33+2,E$2+1,,,"Instances")))</f>
        <v>0</v>
      </c>
      <c r="F33">
        <f>IFERROR(SMALL(E5:E364,ROW()-ROW($F$5)+1),"")</f>
        <v>0</v>
      </c>
      <c r="H33">
        <f>IFERROR(SUM(F5:F33),"")</f>
        <v>0</v>
      </c>
      <c r="J33">
        <v>29</v>
      </c>
      <c r="K33" cm="1">
        <f t="array" ref="K33">_xlfn.SWITCH(Charts!$B$3,"average", AVERAGE(INDIRECT(ADDRESS(28+3,K$2+1,,,"Instances") &amp; ":" &amp; ADDRESS(28+3,K$2+1))),"median", MEDIAN(INDIRECT(ADDRESS(28+3,K$2+1,,,"Instances") &amp; ":" &amp; ADDRESS(28+3,K$2+1))),"min", MIN(INDIRECT(ADDRESS(28+3,K$2+1,,,"Instances") &amp; ":" &amp; ADDRESS(28+3,K$2+1))),"max", MAX(INDIRECT(ADDRESS(28+3,K$2+1,,,"Instances") &amp; ":" &amp; ADDRESS(28+3,K$2+1))),"diff", MAX(INDIRECT(ADDRESS(28+3,K$2+1,,,"Instances") &amp; ":" &amp; ADDRESS(28+3,K$2+1)))-MIN(INDIRECT(ADDRESS(28+3,K$2+1,,,"Instances") &amp; ":" &amp; ADDRESS(28+3,K$2+1))))</f>
        <v>0</v>
      </c>
      <c r="L33">
        <f>IFERROR(SMALL(K5:K364,ROW()-ROW($L$5)+1),"")</f>
        <v>0</v>
      </c>
      <c r="N33">
        <f>IFERROR(SUM(L5:L33),"")</f>
        <v>0</v>
      </c>
      <c r="Q33">
        <f>IF(Charts!$B$3="none",E1840,IF(K1840="",NA(),K1840))</f>
        <v>0</v>
      </c>
      <c r="R33">
        <f>IF(Charts!$B$3="none",F1840,IF(L1840="",NA(),L1840))</f>
        <v>0</v>
      </c>
      <c r="S33">
        <f>IF(Charts!$B$3="none",G1840,IF(M1840="",NA(),M1840))</f>
        <v>0</v>
      </c>
      <c r="T33">
        <f>IF(Charts!$B$3="none",H1840,IF(N1840="",NA(),N1840))</f>
        <v>0</v>
      </c>
    </row>
    <row r="34" spans="4:20">
      <c r="D34">
        <v>30</v>
      </c>
      <c r="E34">
        <f>IF(INDIRECT(ADDRESS($D34+2,E$2+1,,,"Instances"))="","",INDIRECT(ADDRESS($D34+2,E$2+1,,,"Instances")))</f>
        <v>0</v>
      </c>
      <c r="F34">
        <f>IFERROR(SMALL(E5:E364,ROW()-ROW($F$5)+1),"")</f>
        <v>0</v>
      </c>
      <c r="H34">
        <f>IFERROR(SUM(F5:F34),"")</f>
        <v>0</v>
      </c>
      <c r="J34">
        <v>30</v>
      </c>
      <c r="K34" cm="1">
        <f t="array" ref="K34">_xlfn.SWITCH(Charts!$B$3,"average", AVERAGE(INDIRECT(ADDRESS(29+3,K$2+1,,,"Instances") &amp; ":" &amp; ADDRESS(29+3,K$2+1))),"median", MEDIAN(INDIRECT(ADDRESS(29+3,K$2+1,,,"Instances") &amp; ":" &amp; ADDRESS(29+3,K$2+1))),"min", MIN(INDIRECT(ADDRESS(29+3,K$2+1,,,"Instances") &amp; ":" &amp; ADDRESS(29+3,K$2+1))),"max", MAX(INDIRECT(ADDRESS(29+3,K$2+1,,,"Instances") &amp; ":" &amp; ADDRESS(29+3,K$2+1))),"diff", MAX(INDIRECT(ADDRESS(29+3,K$2+1,,,"Instances") &amp; ":" &amp; ADDRESS(29+3,K$2+1)))-MIN(INDIRECT(ADDRESS(29+3,K$2+1,,,"Instances") &amp; ":" &amp; ADDRESS(29+3,K$2+1))))</f>
        <v>0</v>
      </c>
      <c r="L34">
        <f>IFERROR(SMALL(K5:K364,ROW()-ROW($L$5)+1),"")</f>
        <v>0</v>
      </c>
      <c r="N34">
        <f>IFERROR(SUM(L5:L34),"")</f>
        <v>0</v>
      </c>
      <c r="Q34">
        <f>IF(Charts!$B$3="none",E1841,IF(K1841="",NA(),K1841))</f>
        <v>0</v>
      </c>
      <c r="R34">
        <f>IF(Charts!$B$3="none",F1841,IF(L1841="",NA(),L1841))</f>
        <v>0</v>
      </c>
      <c r="S34">
        <f>IF(Charts!$B$3="none",G1841,IF(M1841="",NA(),M1841))</f>
        <v>0</v>
      </c>
      <c r="T34">
        <f>IF(Charts!$B$3="none",H1841,IF(N1841="",NA(),N1841))</f>
        <v>0</v>
      </c>
    </row>
    <row r="35" spans="4:20">
      <c r="D35">
        <v>31</v>
      </c>
      <c r="E35">
        <f>IF(INDIRECT(ADDRESS($D35+2,E$2+1,,,"Instances"))="","",INDIRECT(ADDRESS($D35+2,E$2+1,,,"Instances")))</f>
        <v>0</v>
      </c>
      <c r="F35">
        <f>IFERROR(SMALL(E5:E364,ROW()-ROW($F$5)+1),"")</f>
        <v>0</v>
      </c>
      <c r="H35">
        <f>IFERROR(SUM(F5:F35),"")</f>
        <v>0</v>
      </c>
      <c r="J35">
        <v>31</v>
      </c>
      <c r="K35" cm="1">
        <f t="array" ref="K35">_xlfn.SWITCH(Charts!$B$3,"average", AVERAGE(INDIRECT(ADDRESS(30+3,K$2+1,,,"Instances") &amp; ":" &amp; ADDRESS(30+3,K$2+1))),"median", MEDIAN(INDIRECT(ADDRESS(30+3,K$2+1,,,"Instances") &amp; ":" &amp; ADDRESS(30+3,K$2+1))),"min", MIN(INDIRECT(ADDRESS(30+3,K$2+1,,,"Instances") &amp; ":" &amp; ADDRESS(30+3,K$2+1))),"max", MAX(INDIRECT(ADDRESS(30+3,K$2+1,,,"Instances") &amp; ":" &amp; ADDRESS(30+3,K$2+1))),"diff", MAX(INDIRECT(ADDRESS(30+3,K$2+1,,,"Instances") &amp; ":" &amp; ADDRESS(30+3,K$2+1)))-MIN(INDIRECT(ADDRESS(30+3,K$2+1,,,"Instances") &amp; ":" &amp; ADDRESS(30+3,K$2+1))))</f>
        <v>0</v>
      </c>
      <c r="L35">
        <f>IFERROR(SMALL(K5:K364,ROW()-ROW($L$5)+1),"")</f>
        <v>0</v>
      </c>
      <c r="N35">
        <f>IFERROR(SUM(L5:L35),"")</f>
        <v>0</v>
      </c>
      <c r="Q35">
        <f>IF(Charts!$B$3="none",E1842,IF(K1842="",NA(),K1842))</f>
        <v>0</v>
      </c>
      <c r="R35">
        <f>IF(Charts!$B$3="none",F1842,IF(L1842="",NA(),L1842))</f>
        <v>0</v>
      </c>
      <c r="S35">
        <f>IF(Charts!$B$3="none",G1842,IF(M1842="",NA(),M1842))</f>
        <v>0</v>
      </c>
      <c r="T35">
        <f>IF(Charts!$B$3="none",H1842,IF(N1842="",NA(),N1842))</f>
        <v>0</v>
      </c>
    </row>
    <row r="36" spans="4:20">
      <c r="D36">
        <v>32</v>
      </c>
      <c r="E36">
        <f>IF(INDIRECT(ADDRESS($D36+2,E$2+1,,,"Instances"))="","",INDIRECT(ADDRESS($D36+2,E$2+1,,,"Instances")))</f>
        <v>0</v>
      </c>
      <c r="F36">
        <f>IFERROR(SMALL(E5:E364,ROW()-ROW($F$5)+1),"")</f>
        <v>0</v>
      </c>
      <c r="H36">
        <f>IFERROR(SUM(F5:F36),"")</f>
        <v>0</v>
      </c>
      <c r="J36">
        <v>32</v>
      </c>
      <c r="K36" cm="1">
        <f t="array" ref="K36">_xlfn.SWITCH(Charts!$B$3,"average", AVERAGE(INDIRECT(ADDRESS(31+3,K$2+1,,,"Instances") &amp; ":" &amp; ADDRESS(31+3,K$2+1))),"median", MEDIAN(INDIRECT(ADDRESS(31+3,K$2+1,,,"Instances") &amp; ":" &amp; ADDRESS(31+3,K$2+1))),"min", MIN(INDIRECT(ADDRESS(31+3,K$2+1,,,"Instances") &amp; ":" &amp; ADDRESS(31+3,K$2+1))),"max", MAX(INDIRECT(ADDRESS(31+3,K$2+1,,,"Instances") &amp; ":" &amp; ADDRESS(31+3,K$2+1))),"diff", MAX(INDIRECT(ADDRESS(31+3,K$2+1,,,"Instances") &amp; ":" &amp; ADDRESS(31+3,K$2+1)))-MIN(INDIRECT(ADDRESS(31+3,K$2+1,,,"Instances") &amp; ":" &amp; ADDRESS(31+3,K$2+1))))</f>
        <v>0</v>
      </c>
      <c r="L36">
        <f>IFERROR(SMALL(K5:K364,ROW()-ROW($L$5)+1),"")</f>
        <v>0</v>
      </c>
      <c r="N36">
        <f>IFERROR(SUM(L5:L36),"")</f>
        <v>0</v>
      </c>
      <c r="Q36">
        <f>IF(Charts!$B$3="none",E1843,IF(K1843="",NA(),K1843))</f>
        <v>0</v>
      </c>
      <c r="R36">
        <f>IF(Charts!$B$3="none",F1843,IF(L1843="",NA(),L1843))</f>
        <v>0</v>
      </c>
      <c r="S36">
        <f>IF(Charts!$B$3="none",G1843,IF(M1843="",NA(),M1843))</f>
        <v>0</v>
      </c>
      <c r="T36">
        <f>IF(Charts!$B$3="none",H1843,IF(N1843="",NA(),N1843))</f>
        <v>0</v>
      </c>
    </row>
    <row r="37" spans="4:20">
      <c r="D37">
        <v>33</v>
      </c>
      <c r="E37">
        <f>IF(INDIRECT(ADDRESS($D37+2,E$2+1,,,"Instances"))="","",INDIRECT(ADDRESS($D37+2,E$2+1,,,"Instances")))</f>
        <v>0</v>
      </c>
      <c r="F37">
        <f>IFERROR(SMALL(E5:E364,ROW()-ROW($F$5)+1),"")</f>
        <v>0</v>
      </c>
      <c r="H37">
        <f>IFERROR(SUM(F5:F37),"")</f>
        <v>0</v>
      </c>
      <c r="J37">
        <v>33</v>
      </c>
      <c r="K37" cm="1">
        <f t="array" ref="K37">_xlfn.SWITCH(Charts!$B$3,"average", AVERAGE(INDIRECT(ADDRESS(32+3,K$2+1,,,"Instances") &amp; ":" &amp; ADDRESS(32+3,K$2+1))),"median", MEDIAN(INDIRECT(ADDRESS(32+3,K$2+1,,,"Instances") &amp; ":" &amp; ADDRESS(32+3,K$2+1))),"min", MIN(INDIRECT(ADDRESS(32+3,K$2+1,,,"Instances") &amp; ":" &amp; ADDRESS(32+3,K$2+1))),"max", MAX(INDIRECT(ADDRESS(32+3,K$2+1,,,"Instances") &amp; ":" &amp; ADDRESS(32+3,K$2+1))),"diff", MAX(INDIRECT(ADDRESS(32+3,K$2+1,,,"Instances") &amp; ":" &amp; ADDRESS(32+3,K$2+1)))-MIN(INDIRECT(ADDRESS(32+3,K$2+1,,,"Instances") &amp; ":" &amp; ADDRESS(32+3,K$2+1))))</f>
        <v>0</v>
      </c>
      <c r="L37">
        <f>IFERROR(SMALL(K5:K364,ROW()-ROW($L$5)+1),"")</f>
        <v>0</v>
      </c>
      <c r="N37">
        <f>IFERROR(SUM(L5:L37),"")</f>
        <v>0</v>
      </c>
      <c r="Q37">
        <f>IF(Charts!$B$3="none",E1844,IF(K1844="",NA(),K1844))</f>
        <v>0</v>
      </c>
      <c r="R37">
        <f>IF(Charts!$B$3="none",F1844,IF(L1844="",NA(),L1844))</f>
        <v>0</v>
      </c>
      <c r="S37">
        <f>IF(Charts!$B$3="none",G1844,IF(M1844="",NA(),M1844))</f>
        <v>0</v>
      </c>
      <c r="T37">
        <f>IF(Charts!$B$3="none",H1844,IF(N1844="",NA(),N1844))</f>
        <v>0</v>
      </c>
    </row>
    <row r="38" spans="4:20">
      <c r="D38">
        <v>34</v>
      </c>
      <c r="E38">
        <f>IF(INDIRECT(ADDRESS($D38+2,E$2+1,,,"Instances"))="","",INDIRECT(ADDRESS($D38+2,E$2+1,,,"Instances")))</f>
        <v>0</v>
      </c>
      <c r="F38">
        <f>IFERROR(SMALL(E5:E364,ROW()-ROW($F$5)+1),"")</f>
        <v>0</v>
      </c>
      <c r="H38">
        <f>IFERROR(SUM(F5:F38),"")</f>
        <v>0</v>
      </c>
      <c r="J38">
        <v>34</v>
      </c>
      <c r="K38" cm="1">
        <f t="array" ref="K38">_xlfn.SWITCH(Charts!$B$3,"average", AVERAGE(INDIRECT(ADDRESS(33+3,K$2+1,,,"Instances") &amp; ":" &amp; ADDRESS(33+3,K$2+1))),"median", MEDIAN(INDIRECT(ADDRESS(33+3,K$2+1,,,"Instances") &amp; ":" &amp; ADDRESS(33+3,K$2+1))),"min", MIN(INDIRECT(ADDRESS(33+3,K$2+1,,,"Instances") &amp; ":" &amp; ADDRESS(33+3,K$2+1))),"max", MAX(INDIRECT(ADDRESS(33+3,K$2+1,,,"Instances") &amp; ":" &amp; ADDRESS(33+3,K$2+1))),"diff", MAX(INDIRECT(ADDRESS(33+3,K$2+1,,,"Instances") &amp; ":" &amp; ADDRESS(33+3,K$2+1)))-MIN(INDIRECT(ADDRESS(33+3,K$2+1,,,"Instances") &amp; ":" &amp; ADDRESS(33+3,K$2+1))))</f>
        <v>0</v>
      </c>
      <c r="L38">
        <f>IFERROR(SMALL(K5:K364,ROW()-ROW($L$5)+1),"")</f>
        <v>0</v>
      </c>
      <c r="N38">
        <f>IFERROR(SUM(L5:L38),"")</f>
        <v>0</v>
      </c>
      <c r="Q38">
        <f>IF(Charts!$B$3="none",E1845,IF(K1845="",NA(),K1845))</f>
        <v>0</v>
      </c>
      <c r="R38">
        <f>IF(Charts!$B$3="none",F1845,IF(L1845="",NA(),L1845))</f>
        <v>0</v>
      </c>
      <c r="S38">
        <f>IF(Charts!$B$3="none",G1845,IF(M1845="",NA(),M1845))</f>
        <v>0</v>
      </c>
      <c r="T38">
        <f>IF(Charts!$B$3="none",H1845,IF(N1845="",NA(),N1845))</f>
        <v>0</v>
      </c>
    </row>
    <row r="39" spans="4:20">
      <c r="D39">
        <v>35</v>
      </c>
      <c r="E39">
        <f>IF(INDIRECT(ADDRESS($D39+2,E$2+1,,,"Instances"))="","",INDIRECT(ADDRESS($D39+2,E$2+1,,,"Instances")))</f>
        <v>0</v>
      </c>
      <c r="F39">
        <f>IFERROR(SMALL(E5:E364,ROW()-ROW($F$5)+1),"")</f>
        <v>0</v>
      </c>
      <c r="H39">
        <f>IFERROR(SUM(F5:F39),"")</f>
        <v>0</v>
      </c>
      <c r="J39">
        <v>35</v>
      </c>
      <c r="K39" cm="1">
        <f t="array" ref="K39">_xlfn.SWITCH(Charts!$B$3,"average", AVERAGE(INDIRECT(ADDRESS(34+3,K$2+1,,,"Instances") &amp; ":" &amp; ADDRESS(34+3,K$2+1))),"median", MEDIAN(INDIRECT(ADDRESS(34+3,K$2+1,,,"Instances") &amp; ":" &amp; ADDRESS(34+3,K$2+1))),"min", MIN(INDIRECT(ADDRESS(34+3,K$2+1,,,"Instances") &amp; ":" &amp; ADDRESS(34+3,K$2+1))),"max", MAX(INDIRECT(ADDRESS(34+3,K$2+1,,,"Instances") &amp; ":" &amp; ADDRESS(34+3,K$2+1))),"diff", MAX(INDIRECT(ADDRESS(34+3,K$2+1,,,"Instances") &amp; ":" &amp; ADDRESS(34+3,K$2+1)))-MIN(INDIRECT(ADDRESS(34+3,K$2+1,,,"Instances") &amp; ":" &amp; ADDRESS(34+3,K$2+1))))</f>
        <v>0</v>
      </c>
      <c r="L39">
        <f>IFERROR(SMALL(K5:K364,ROW()-ROW($L$5)+1),"")</f>
        <v>0</v>
      </c>
      <c r="N39">
        <f>IFERROR(SUM(L5:L39),"")</f>
        <v>0</v>
      </c>
      <c r="Q39">
        <f>IF(Charts!$B$3="none",E1846,IF(K1846="",NA(),K1846))</f>
        <v>0</v>
      </c>
      <c r="R39">
        <f>IF(Charts!$B$3="none",F1846,IF(L1846="",NA(),L1846))</f>
        <v>0</v>
      </c>
      <c r="S39">
        <f>IF(Charts!$B$3="none",G1846,IF(M1846="",NA(),M1846))</f>
        <v>0</v>
      </c>
      <c r="T39">
        <f>IF(Charts!$B$3="none",H1846,IF(N1846="",NA(),N1846))</f>
        <v>0</v>
      </c>
    </row>
    <row r="40" spans="4:20">
      <c r="D40">
        <v>36</v>
      </c>
      <c r="E40">
        <f>IF(INDIRECT(ADDRESS($D40+2,E$2+1,,,"Instances"))="","",INDIRECT(ADDRESS($D40+2,E$2+1,,,"Instances")))</f>
        <v>0</v>
      </c>
      <c r="F40">
        <f>IFERROR(SMALL(E5:E364,ROW()-ROW($F$5)+1),"")</f>
        <v>0</v>
      </c>
      <c r="H40">
        <f>IFERROR(SUM(F5:F40),"")</f>
        <v>0</v>
      </c>
      <c r="J40">
        <v>36</v>
      </c>
      <c r="K40" cm="1">
        <f t="array" ref="K40">_xlfn.SWITCH(Charts!$B$3,"average", AVERAGE(INDIRECT(ADDRESS(35+3,K$2+1,,,"Instances") &amp; ":" &amp; ADDRESS(35+3,K$2+1))),"median", MEDIAN(INDIRECT(ADDRESS(35+3,K$2+1,,,"Instances") &amp; ":" &amp; ADDRESS(35+3,K$2+1))),"min", MIN(INDIRECT(ADDRESS(35+3,K$2+1,,,"Instances") &amp; ":" &amp; ADDRESS(35+3,K$2+1))),"max", MAX(INDIRECT(ADDRESS(35+3,K$2+1,,,"Instances") &amp; ":" &amp; ADDRESS(35+3,K$2+1))),"diff", MAX(INDIRECT(ADDRESS(35+3,K$2+1,,,"Instances") &amp; ":" &amp; ADDRESS(35+3,K$2+1)))-MIN(INDIRECT(ADDRESS(35+3,K$2+1,,,"Instances") &amp; ":" &amp; ADDRESS(35+3,K$2+1))))</f>
        <v>0</v>
      </c>
      <c r="L40">
        <f>IFERROR(SMALL(K5:K364,ROW()-ROW($L$5)+1),"")</f>
        <v>0</v>
      </c>
      <c r="N40">
        <f>IFERROR(SUM(L5:L40),"")</f>
        <v>0</v>
      </c>
      <c r="Q40">
        <f>IF(Charts!$B$3="none",E1847,IF(K1847="",NA(),K1847))</f>
        <v>0</v>
      </c>
      <c r="R40">
        <f>IF(Charts!$B$3="none",F1847,IF(L1847="",NA(),L1847))</f>
        <v>0</v>
      </c>
      <c r="S40">
        <f>IF(Charts!$B$3="none",G1847,IF(M1847="",NA(),M1847))</f>
        <v>0</v>
      </c>
      <c r="T40">
        <f>IF(Charts!$B$3="none",H1847,IF(N1847="",NA(),N1847))</f>
        <v>0</v>
      </c>
    </row>
    <row r="41" spans="4:20">
      <c r="D41">
        <v>37</v>
      </c>
      <c r="E41">
        <f>IF(INDIRECT(ADDRESS($D41+2,E$2+1,,,"Instances"))="","",INDIRECT(ADDRESS($D41+2,E$2+1,,,"Instances")))</f>
        <v>0</v>
      </c>
      <c r="F41">
        <f>IFERROR(SMALL(E5:E364,ROW()-ROW($F$5)+1),"")</f>
        <v>0</v>
      </c>
      <c r="H41">
        <f>IFERROR(SUM(F5:F41),"")</f>
        <v>0</v>
      </c>
      <c r="J41">
        <v>37</v>
      </c>
      <c r="K41" cm="1">
        <f t="array" ref="K41">_xlfn.SWITCH(Charts!$B$3,"average", AVERAGE(INDIRECT(ADDRESS(36+3,K$2+1,,,"Instances") &amp; ":" &amp; ADDRESS(36+3,K$2+1))),"median", MEDIAN(INDIRECT(ADDRESS(36+3,K$2+1,,,"Instances") &amp; ":" &amp; ADDRESS(36+3,K$2+1))),"min", MIN(INDIRECT(ADDRESS(36+3,K$2+1,,,"Instances") &amp; ":" &amp; ADDRESS(36+3,K$2+1))),"max", MAX(INDIRECT(ADDRESS(36+3,K$2+1,,,"Instances") &amp; ":" &amp; ADDRESS(36+3,K$2+1))),"diff", MAX(INDIRECT(ADDRESS(36+3,K$2+1,,,"Instances") &amp; ":" &amp; ADDRESS(36+3,K$2+1)))-MIN(INDIRECT(ADDRESS(36+3,K$2+1,,,"Instances") &amp; ":" &amp; ADDRESS(36+3,K$2+1))))</f>
        <v>0</v>
      </c>
      <c r="L41">
        <f>IFERROR(SMALL(K5:K364,ROW()-ROW($L$5)+1),"")</f>
        <v>0</v>
      </c>
      <c r="N41">
        <f>IFERROR(SUM(L5:L41),"")</f>
        <v>0</v>
      </c>
      <c r="Q41">
        <f>IF(Charts!$B$3="none",E1848,IF(K1848="",NA(),K1848))</f>
        <v>0</v>
      </c>
      <c r="R41">
        <f>IF(Charts!$B$3="none",F1848,IF(L1848="",NA(),L1848))</f>
        <v>0</v>
      </c>
      <c r="S41">
        <f>IF(Charts!$B$3="none",G1848,IF(M1848="",NA(),M1848))</f>
        <v>0</v>
      </c>
      <c r="T41">
        <f>IF(Charts!$B$3="none",H1848,IF(N1848="",NA(),N1848))</f>
        <v>0</v>
      </c>
    </row>
    <row r="42" spans="4:20">
      <c r="D42">
        <v>38</v>
      </c>
      <c r="E42">
        <f>IF(INDIRECT(ADDRESS($D42+2,E$2+1,,,"Instances"))="","",INDIRECT(ADDRESS($D42+2,E$2+1,,,"Instances")))</f>
        <v>0</v>
      </c>
      <c r="F42">
        <f>IFERROR(SMALL(E5:E364,ROW()-ROW($F$5)+1),"")</f>
        <v>0</v>
      </c>
      <c r="H42">
        <f>IFERROR(SUM(F5:F42),"")</f>
        <v>0</v>
      </c>
      <c r="J42">
        <v>38</v>
      </c>
      <c r="K42" cm="1">
        <f t="array" ref="K42">_xlfn.SWITCH(Charts!$B$3,"average", AVERAGE(INDIRECT(ADDRESS(37+3,K$2+1,,,"Instances") &amp; ":" &amp; ADDRESS(37+3,K$2+1))),"median", MEDIAN(INDIRECT(ADDRESS(37+3,K$2+1,,,"Instances") &amp; ":" &amp; ADDRESS(37+3,K$2+1))),"min", MIN(INDIRECT(ADDRESS(37+3,K$2+1,,,"Instances") &amp; ":" &amp; ADDRESS(37+3,K$2+1))),"max", MAX(INDIRECT(ADDRESS(37+3,K$2+1,,,"Instances") &amp; ":" &amp; ADDRESS(37+3,K$2+1))),"diff", MAX(INDIRECT(ADDRESS(37+3,K$2+1,,,"Instances") &amp; ":" &amp; ADDRESS(37+3,K$2+1)))-MIN(INDIRECT(ADDRESS(37+3,K$2+1,,,"Instances") &amp; ":" &amp; ADDRESS(37+3,K$2+1))))</f>
        <v>0</v>
      </c>
      <c r="L42">
        <f>IFERROR(SMALL(K5:K364,ROW()-ROW($L$5)+1),"")</f>
        <v>0</v>
      </c>
      <c r="N42">
        <f>IFERROR(SUM(L5:L42),"")</f>
        <v>0</v>
      </c>
      <c r="Q42">
        <f>IF(Charts!$B$3="none",E1849,IF(K1849="",NA(),K1849))</f>
        <v>0</v>
      </c>
      <c r="R42">
        <f>IF(Charts!$B$3="none",F1849,IF(L1849="",NA(),L1849))</f>
        <v>0</v>
      </c>
      <c r="S42">
        <f>IF(Charts!$B$3="none",G1849,IF(M1849="",NA(),M1849))</f>
        <v>0</v>
      </c>
      <c r="T42">
        <f>IF(Charts!$B$3="none",H1849,IF(N1849="",NA(),N1849))</f>
        <v>0</v>
      </c>
    </row>
    <row r="43" spans="4:20">
      <c r="D43">
        <v>39</v>
      </c>
      <c r="E43">
        <f>IF(INDIRECT(ADDRESS($D43+2,E$2+1,,,"Instances"))="","",INDIRECT(ADDRESS($D43+2,E$2+1,,,"Instances")))</f>
        <v>0</v>
      </c>
      <c r="F43">
        <f>IFERROR(SMALL(E5:E364,ROW()-ROW($F$5)+1),"")</f>
        <v>0</v>
      </c>
      <c r="H43">
        <f>IFERROR(SUM(F5:F43),"")</f>
        <v>0</v>
      </c>
      <c r="J43">
        <v>39</v>
      </c>
      <c r="K43" cm="1">
        <f t="array" ref="K43">_xlfn.SWITCH(Charts!$B$3,"average", AVERAGE(INDIRECT(ADDRESS(38+3,K$2+1,,,"Instances") &amp; ":" &amp; ADDRESS(38+3,K$2+1))),"median", MEDIAN(INDIRECT(ADDRESS(38+3,K$2+1,,,"Instances") &amp; ":" &amp; ADDRESS(38+3,K$2+1))),"min", MIN(INDIRECT(ADDRESS(38+3,K$2+1,,,"Instances") &amp; ":" &amp; ADDRESS(38+3,K$2+1))),"max", MAX(INDIRECT(ADDRESS(38+3,K$2+1,,,"Instances") &amp; ":" &amp; ADDRESS(38+3,K$2+1))),"diff", MAX(INDIRECT(ADDRESS(38+3,K$2+1,,,"Instances") &amp; ":" &amp; ADDRESS(38+3,K$2+1)))-MIN(INDIRECT(ADDRESS(38+3,K$2+1,,,"Instances") &amp; ":" &amp; ADDRESS(38+3,K$2+1))))</f>
        <v>0</v>
      </c>
      <c r="L43">
        <f>IFERROR(SMALL(K5:K364,ROW()-ROW($L$5)+1),"")</f>
        <v>0</v>
      </c>
      <c r="N43">
        <f>IFERROR(SUM(L5:L43),"")</f>
        <v>0</v>
      </c>
      <c r="Q43">
        <f>IF(Charts!$B$3="none",E1850,IF(K1850="",NA(),K1850))</f>
        <v>0</v>
      </c>
      <c r="R43">
        <f>IF(Charts!$B$3="none",F1850,IF(L1850="",NA(),L1850))</f>
        <v>0</v>
      </c>
      <c r="S43">
        <f>IF(Charts!$B$3="none",G1850,IF(M1850="",NA(),M1850))</f>
        <v>0</v>
      </c>
      <c r="T43">
        <f>IF(Charts!$B$3="none",H1850,IF(N1850="",NA(),N1850))</f>
        <v>0</v>
      </c>
    </row>
    <row r="44" spans="4:20">
      <c r="D44">
        <v>40</v>
      </c>
      <c r="E44">
        <f>IF(INDIRECT(ADDRESS($D44+2,E$2+1,,,"Instances"))="","",INDIRECT(ADDRESS($D44+2,E$2+1,,,"Instances")))</f>
        <v>0</v>
      </c>
      <c r="F44">
        <f>IFERROR(SMALL(E5:E364,ROW()-ROW($F$5)+1),"")</f>
        <v>0</v>
      </c>
      <c r="H44">
        <f>IFERROR(SUM(F5:F44),"")</f>
        <v>0</v>
      </c>
      <c r="J44">
        <v>40</v>
      </c>
      <c r="K44" cm="1">
        <f t="array" ref="K44">_xlfn.SWITCH(Charts!$B$3,"average", AVERAGE(INDIRECT(ADDRESS(39+3,K$2+1,,,"Instances") &amp; ":" &amp; ADDRESS(39+3,K$2+1))),"median", MEDIAN(INDIRECT(ADDRESS(39+3,K$2+1,,,"Instances") &amp; ":" &amp; ADDRESS(39+3,K$2+1))),"min", MIN(INDIRECT(ADDRESS(39+3,K$2+1,,,"Instances") &amp; ":" &amp; ADDRESS(39+3,K$2+1))),"max", MAX(INDIRECT(ADDRESS(39+3,K$2+1,,,"Instances") &amp; ":" &amp; ADDRESS(39+3,K$2+1))),"diff", MAX(INDIRECT(ADDRESS(39+3,K$2+1,,,"Instances") &amp; ":" &amp; ADDRESS(39+3,K$2+1)))-MIN(INDIRECT(ADDRESS(39+3,K$2+1,,,"Instances") &amp; ":" &amp; ADDRESS(39+3,K$2+1))))</f>
        <v>0</v>
      </c>
      <c r="L44">
        <f>IFERROR(SMALL(K5:K364,ROW()-ROW($L$5)+1),"")</f>
        <v>0</v>
      </c>
      <c r="N44">
        <f>IFERROR(SUM(L5:L44),"")</f>
        <v>0</v>
      </c>
      <c r="Q44">
        <f>IF(Charts!$B$3="none",E1851,IF(K1851="",NA(),K1851))</f>
        <v>0</v>
      </c>
      <c r="R44">
        <f>IF(Charts!$B$3="none",F1851,IF(L1851="",NA(),L1851))</f>
        <v>0</v>
      </c>
      <c r="S44">
        <f>IF(Charts!$B$3="none",G1851,IF(M1851="",NA(),M1851))</f>
        <v>0</v>
      </c>
      <c r="T44">
        <f>IF(Charts!$B$3="none",H1851,IF(N1851="",NA(),N1851))</f>
        <v>0</v>
      </c>
    </row>
    <row r="45" spans="4:20">
      <c r="D45">
        <v>41</v>
      </c>
      <c r="E45">
        <f>IF(INDIRECT(ADDRESS($D45+2,E$2+1,,,"Instances"))="","",INDIRECT(ADDRESS($D45+2,E$2+1,,,"Instances")))</f>
        <v>0</v>
      </c>
      <c r="F45">
        <f>IFERROR(SMALL(E5:E364,ROW()-ROW($F$5)+1),"")</f>
        <v>0</v>
      </c>
      <c r="H45">
        <f>IFERROR(SUM(F5:F45),"")</f>
        <v>0</v>
      </c>
      <c r="J45">
        <v>41</v>
      </c>
      <c r="K45" cm="1">
        <f t="array" ref="K45">_xlfn.SWITCH(Charts!$B$3,"average", AVERAGE(INDIRECT(ADDRESS(40+3,K$2+1,,,"Instances") &amp; ":" &amp; ADDRESS(40+3,K$2+1))),"median", MEDIAN(INDIRECT(ADDRESS(40+3,K$2+1,,,"Instances") &amp; ":" &amp; ADDRESS(40+3,K$2+1))),"min", MIN(INDIRECT(ADDRESS(40+3,K$2+1,,,"Instances") &amp; ":" &amp; ADDRESS(40+3,K$2+1))),"max", MAX(INDIRECT(ADDRESS(40+3,K$2+1,,,"Instances") &amp; ":" &amp; ADDRESS(40+3,K$2+1))),"diff", MAX(INDIRECT(ADDRESS(40+3,K$2+1,,,"Instances") &amp; ":" &amp; ADDRESS(40+3,K$2+1)))-MIN(INDIRECT(ADDRESS(40+3,K$2+1,,,"Instances") &amp; ":" &amp; ADDRESS(40+3,K$2+1))))</f>
        <v>0</v>
      </c>
      <c r="L45">
        <f>IFERROR(SMALL(K5:K364,ROW()-ROW($L$5)+1),"")</f>
        <v>0</v>
      </c>
      <c r="N45">
        <f>IFERROR(SUM(L5:L45),"")</f>
        <v>0</v>
      </c>
      <c r="Q45">
        <f>IF(Charts!$B$3="none",E1852,IF(K1852="",NA(),K1852))</f>
        <v>0</v>
      </c>
      <c r="R45">
        <f>IF(Charts!$B$3="none",F1852,IF(L1852="",NA(),L1852))</f>
        <v>0</v>
      </c>
      <c r="S45">
        <f>IF(Charts!$B$3="none",G1852,IF(M1852="",NA(),M1852))</f>
        <v>0</v>
      </c>
      <c r="T45">
        <f>IF(Charts!$B$3="none",H1852,IF(N1852="",NA(),N1852))</f>
        <v>0</v>
      </c>
    </row>
    <row r="46" spans="4:20">
      <c r="D46">
        <v>42</v>
      </c>
      <c r="E46">
        <f>IF(INDIRECT(ADDRESS($D46+2,E$2+1,,,"Instances"))="","",INDIRECT(ADDRESS($D46+2,E$2+1,,,"Instances")))</f>
        <v>0</v>
      </c>
      <c r="F46">
        <f>IFERROR(SMALL(E5:E364,ROW()-ROW($F$5)+1),"")</f>
        <v>0</v>
      </c>
      <c r="H46">
        <f>IFERROR(SUM(F5:F46),"")</f>
        <v>0</v>
      </c>
      <c r="J46">
        <v>42</v>
      </c>
      <c r="K46" cm="1">
        <f t="array" ref="K46">_xlfn.SWITCH(Charts!$B$3,"average", AVERAGE(INDIRECT(ADDRESS(41+3,K$2+1,,,"Instances") &amp; ":" &amp; ADDRESS(41+3,K$2+1))),"median", MEDIAN(INDIRECT(ADDRESS(41+3,K$2+1,,,"Instances") &amp; ":" &amp; ADDRESS(41+3,K$2+1))),"min", MIN(INDIRECT(ADDRESS(41+3,K$2+1,,,"Instances") &amp; ":" &amp; ADDRESS(41+3,K$2+1))),"max", MAX(INDIRECT(ADDRESS(41+3,K$2+1,,,"Instances") &amp; ":" &amp; ADDRESS(41+3,K$2+1))),"diff", MAX(INDIRECT(ADDRESS(41+3,K$2+1,,,"Instances") &amp; ":" &amp; ADDRESS(41+3,K$2+1)))-MIN(INDIRECT(ADDRESS(41+3,K$2+1,,,"Instances") &amp; ":" &amp; ADDRESS(41+3,K$2+1))))</f>
        <v>0</v>
      </c>
      <c r="L46">
        <f>IFERROR(SMALL(K5:K364,ROW()-ROW($L$5)+1),"")</f>
        <v>0</v>
      </c>
      <c r="N46">
        <f>IFERROR(SUM(L5:L46),"")</f>
        <v>0</v>
      </c>
      <c r="Q46">
        <f>IF(Charts!$B$3="none",E1853,IF(K1853="",NA(),K1853))</f>
        <v>0</v>
      </c>
      <c r="R46">
        <f>IF(Charts!$B$3="none",F1853,IF(L1853="",NA(),L1853))</f>
        <v>0</v>
      </c>
      <c r="S46">
        <f>IF(Charts!$B$3="none",G1853,IF(M1853="",NA(),M1853))</f>
        <v>0</v>
      </c>
      <c r="T46">
        <f>IF(Charts!$B$3="none",H1853,IF(N1853="",NA(),N1853))</f>
        <v>0</v>
      </c>
    </row>
    <row r="47" spans="4:20">
      <c r="D47">
        <v>43</v>
      </c>
      <c r="E47">
        <f>IF(INDIRECT(ADDRESS($D47+2,E$2+1,,,"Instances"))="","",INDIRECT(ADDRESS($D47+2,E$2+1,,,"Instances")))</f>
        <v>0</v>
      </c>
      <c r="F47">
        <f>IFERROR(SMALL(E5:E364,ROW()-ROW($F$5)+1),"")</f>
        <v>0</v>
      </c>
      <c r="H47">
        <f>IFERROR(SUM(F5:F47),"")</f>
        <v>0</v>
      </c>
      <c r="J47">
        <v>43</v>
      </c>
      <c r="K47" cm="1">
        <f t="array" ref="K47">_xlfn.SWITCH(Charts!$B$3,"average", AVERAGE(INDIRECT(ADDRESS(42+3,K$2+1,,,"Instances") &amp; ":" &amp; ADDRESS(42+3,K$2+1))),"median", MEDIAN(INDIRECT(ADDRESS(42+3,K$2+1,,,"Instances") &amp; ":" &amp; ADDRESS(42+3,K$2+1))),"min", MIN(INDIRECT(ADDRESS(42+3,K$2+1,,,"Instances") &amp; ":" &amp; ADDRESS(42+3,K$2+1))),"max", MAX(INDIRECT(ADDRESS(42+3,K$2+1,,,"Instances") &amp; ":" &amp; ADDRESS(42+3,K$2+1))),"diff", MAX(INDIRECT(ADDRESS(42+3,K$2+1,,,"Instances") &amp; ":" &amp; ADDRESS(42+3,K$2+1)))-MIN(INDIRECT(ADDRESS(42+3,K$2+1,,,"Instances") &amp; ":" &amp; ADDRESS(42+3,K$2+1))))</f>
        <v>0</v>
      </c>
      <c r="L47">
        <f>IFERROR(SMALL(K5:K364,ROW()-ROW($L$5)+1),"")</f>
        <v>0</v>
      </c>
      <c r="N47">
        <f>IFERROR(SUM(L5:L47),"")</f>
        <v>0</v>
      </c>
      <c r="Q47">
        <f>IF(Charts!$B$3="none",E1854,IF(K1854="",NA(),K1854))</f>
        <v>0</v>
      </c>
      <c r="R47">
        <f>IF(Charts!$B$3="none",F1854,IF(L1854="",NA(),L1854))</f>
        <v>0</v>
      </c>
      <c r="S47">
        <f>IF(Charts!$B$3="none",G1854,IF(M1854="",NA(),M1854))</f>
        <v>0</v>
      </c>
      <c r="T47">
        <f>IF(Charts!$B$3="none",H1854,IF(N1854="",NA(),N1854))</f>
        <v>0</v>
      </c>
    </row>
    <row r="48" spans="4:20">
      <c r="D48">
        <v>44</v>
      </c>
      <c r="E48">
        <f>IF(INDIRECT(ADDRESS($D48+2,E$2+1,,,"Instances"))="","",INDIRECT(ADDRESS($D48+2,E$2+1,,,"Instances")))</f>
        <v>0</v>
      </c>
      <c r="F48">
        <f>IFERROR(SMALL(E5:E364,ROW()-ROW($F$5)+1),"")</f>
        <v>0</v>
      </c>
      <c r="H48">
        <f>IFERROR(SUM(F5:F48),"")</f>
        <v>0</v>
      </c>
      <c r="J48">
        <v>44</v>
      </c>
      <c r="K48" cm="1">
        <f t="array" ref="K48">_xlfn.SWITCH(Charts!$B$3,"average", AVERAGE(INDIRECT(ADDRESS(43+3,K$2+1,,,"Instances") &amp; ":" &amp; ADDRESS(43+3,K$2+1))),"median", MEDIAN(INDIRECT(ADDRESS(43+3,K$2+1,,,"Instances") &amp; ":" &amp; ADDRESS(43+3,K$2+1))),"min", MIN(INDIRECT(ADDRESS(43+3,K$2+1,,,"Instances") &amp; ":" &amp; ADDRESS(43+3,K$2+1))),"max", MAX(INDIRECT(ADDRESS(43+3,K$2+1,,,"Instances") &amp; ":" &amp; ADDRESS(43+3,K$2+1))),"diff", MAX(INDIRECT(ADDRESS(43+3,K$2+1,,,"Instances") &amp; ":" &amp; ADDRESS(43+3,K$2+1)))-MIN(INDIRECT(ADDRESS(43+3,K$2+1,,,"Instances") &amp; ":" &amp; ADDRESS(43+3,K$2+1))))</f>
        <v>0</v>
      </c>
      <c r="L48">
        <f>IFERROR(SMALL(K5:K364,ROW()-ROW($L$5)+1),"")</f>
        <v>0</v>
      </c>
      <c r="N48">
        <f>IFERROR(SUM(L5:L48),"")</f>
        <v>0</v>
      </c>
      <c r="Q48">
        <f>IF(Charts!$B$3="none",E1855,IF(K1855="",NA(),K1855))</f>
        <v>0</v>
      </c>
      <c r="R48">
        <f>IF(Charts!$B$3="none",F1855,IF(L1855="",NA(),L1855))</f>
        <v>0</v>
      </c>
      <c r="S48">
        <f>IF(Charts!$B$3="none",G1855,IF(M1855="",NA(),M1855))</f>
        <v>0</v>
      </c>
      <c r="T48">
        <f>IF(Charts!$B$3="none",H1855,IF(N1855="",NA(),N1855))</f>
        <v>0</v>
      </c>
    </row>
    <row r="49" spans="4:20">
      <c r="D49">
        <v>45</v>
      </c>
      <c r="E49">
        <f>IF(INDIRECT(ADDRESS($D49+2,E$2+1,,,"Instances"))="","",INDIRECT(ADDRESS($D49+2,E$2+1,,,"Instances")))</f>
        <v>0</v>
      </c>
      <c r="F49">
        <f>IFERROR(SMALL(E5:E364,ROW()-ROW($F$5)+1),"")</f>
        <v>0</v>
      </c>
      <c r="H49">
        <f>IFERROR(SUM(F5:F49),"")</f>
        <v>0</v>
      </c>
      <c r="J49">
        <v>45</v>
      </c>
      <c r="K49" cm="1">
        <f t="array" ref="K49">_xlfn.SWITCH(Charts!$B$3,"average", AVERAGE(INDIRECT(ADDRESS(44+3,K$2+1,,,"Instances") &amp; ":" &amp; ADDRESS(44+3,K$2+1))),"median", MEDIAN(INDIRECT(ADDRESS(44+3,K$2+1,,,"Instances") &amp; ":" &amp; ADDRESS(44+3,K$2+1))),"min", MIN(INDIRECT(ADDRESS(44+3,K$2+1,,,"Instances") &amp; ":" &amp; ADDRESS(44+3,K$2+1))),"max", MAX(INDIRECT(ADDRESS(44+3,K$2+1,,,"Instances") &amp; ":" &amp; ADDRESS(44+3,K$2+1))),"diff", MAX(INDIRECT(ADDRESS(44+3,K$2+1,,,"Instances") &amp; ":" &amp; ADDRESS(44+3,K$2+1)))-MIN(INDIRECT(ADDRESS(44+3,K$2+1,,,"Instances") &amp; ":" &amp; ADDRESS(44+3,K$2+1))))</f>
        <v>0</v>
      </c>
      <c r="L49">
        <f>IFERROR(SMALL(K5:K364,ROW()-ROW($L$5)+1),"")</f>
        <v>0</v>
      </c>
      <c r="N49">
        <f>IFERROR(SUM(L5:L49),"")</f>
        <v>0</v>
      </c>
      <c r="Q49">
        <f>IF(Charts!$B$3="none",E1856,IF(K1856="",NA(),K1856))</f>
        <v>0</v>
      </c>
      <c r="R49">
        <f>IF(Charts!$B$3="none",F1856,IF(L1856="",NA(),L1856))</f>
        <v>0</v>
      </c>
      <c r="S49">
        <f>IF(Charts!$B$3="none",G1856,IF(M1856="",NA(),M1856))</f>
        <v>0</v>
      </c>
      <c r="T49">
        <f>IF(Charts!$B$3="none",H1856,IF(N1856="",NA(),N1856))</f>
        <v>0</v>
      </c>
    </row>
    <row r="50" spans="4:20">
      <c r="D50">
        <v>46</v>
      </c>
      <c r="E50">
        <f>IF(INDIRECT(ADDRESS($D50+2,E$2+1,,,"Instances"))="","",INDIRECT(ADDRESS($D50+2,E$2+1,,,"Instances")))</f>
        <v>0</v>
      </c>
      <c r="F50">
        <f>IFERROR(SMALL(E5:E364,ROW()-ROW($F$5)+1),"")</f>
        <v>0</v>
      </c>
      <c r="H50">
        <f>IFERROR(SUM(F5:F50),"")</f>
        <v>0</v>
      </c>
      <c r="J50">
        <v>46</v>
      </c>
      <c r="K50" cm="1">
        <f t="array" ref="K50">_xlfn.SWITCH(Charts!$B$3,"average", AVERAGE(INDIRECT(ADDRESS(45+3,K$2+1,,,"Instances") &amp; ":" &amp; ADDRESS(45+3,K$2+1))),"median", MEDIAN(INDIRECT(ADDRESS(45+3,K$2+1,,,"Instances") &amp; ":" &amp; ADDRESS(45+3,K$2+1))),"min", MIN(INDIRECT(ADDRESS(45+3,K$2+1,,,"Instances") &amp; ":" &amp; ADDRESS(45+3,K$2+1))),"max", MAX(INDIRECT(ADDRESS(45+3,K$2+1,,,"Instances") &amp; ":" &amp; ADDRESS(45+3,K$2+1))),"diff", MAX(INDIRECT(ADDRESS(45+3,K$2+1,,,"Instances") &amp; ":" &amp; ADDRESS(45+3,K$2+1)))-MIN(INDIRECT(ADDRESS(45+3,K$2+1,,,"Instances") &amp; ":" &amp; ADDRESS(45+3,K$2+1))))</f>
        <v>0</v>
      </c>
      <c r="L50">
        <f>IFERROR(SMALL(K5:K364,ROW()-ROW($L$5)+1),"")</f>
        <v>0</v>
      </c>
      <c r="N50">
        <f>IFERROR(SUM(L5:L50),"")</f>
        <v>0</v>
      </c>
      <c r="Q50">
        <f>IF(Charts!$B$3="none",E1857,IF(K1857="",NA(),K1857))</f>
        <v>0</v>
      </c>
      <c r="R50">
        <f>IF(Charts!$B$3="none",F1857,IF(L1857="",NA(),L1857))</f>
        <v>0</v>
      </c>
      <c r="S50">
        <f>IF(Charts!$B$3="none",G1857,IF(M1857="",NA(),M1857))</f>
        <v>0</v>
      </c>
      <c r="T50">
        <f>IF(Charts!$B$3="none",H1857,IF(N1857="",NA(),N1857))</f>
        <v>0</v>
      </c>
    </row>
    <row r="51" spans="4:20">
      <c r="D51">
        <v>47</v>
      </c>
      <c r="E51">
        <f>IF(INDIRECT(ADDRESS($D51+2,E$2+1,,,"Instances"))="","",INDIRECT(ADDRESS($D51+2,E$2+1,,,"Instances")))</f>
        <v>0</v>
      </c>
      <c r="F51">
        <f>IFERROR(SMALL(E5:E364,ROW()-ROW($F$5)+1),"")</f>
        <v>0</v>
      </c>
      <c r="H51">
        <f>IFERROR(SUM(F5:F51),"")</f>
        <v>0</v>
      </c>
      <c r="J51">
        <v>47</v>
      </c>
      <c r="K51" cm="1">
        <f t="array" ref="K51">_xlfn.SWITCH(Charts!$B$3,"average", AVERAGE(INDIRECT(ADDRESS(46+3,K$2+1,,,"Instances") &amp; ":" &amp; ADDRESS(46+3,K$2+1))),"median", MEDIAN(INDIRECT(ADDRESS(46+3,K$2+1,,,"Instances") &amp; ":" &amp; ADDRESS(46+3,K$2+1))),"min", MIN(INDIRECT(ADDRESS(46+3,K$2+1,,,"Instances") &amp; ":" &amp; ADDRESS(46+3,K$2+1))),"max", MAX(INDIRECT(ADDRESS(46+3,K$2+1,,,"Instances") &amp; ":" &amp; ADDRESS(46+3,K$2+1))),"diff", MAX(INDIRECT(ADDRESS(46+3,K$2+1,,,"Instances") &amp; ":" &amp; ADDRESS(46+3,K$2+1)))-MIN(INDIRECT(ADDRESS(46+3,K$2+1,,,"Instances") &amp; ":" &amp; ADDRESS(46+3,K$2+1))))</f>
        <v>0</v>
      </c>
      <c r="L51">
        <f>IFERROR(SMALL(K5:K364,ROW()-ROW($L$5)+1),"")</f>
        <v>0</v>
      </c>
      <c r="N51">
        <f>IFERROR(SUM(L5:L51),"")</f>
        <v>0</v>
      </c>
      <c r="Q51">
        <f>IF(Charts!$B$3="none",E1858,IF(K1858="",NA(),K1858))</f>
        <v>0</v>
      </c>
      <c r="R51">
        <f>IF(Charts!$B$3="none",F1858,IF(L1858="",NA(),L1858))</f>
        <v>0</v>
      </c>
      <c r="S51">
        <f>IF(Charts!$B$3="none",G1858,IF(M1858="",NA(),M1858))</f>
        <v>0</v>
      </c>
      <c r="T51">
        <f>IF(Charts!$B$3="none",H1858,IF(N1858="",NA(),N1858))</f>
        <v>0</v>
      </c>
    </row>
    <row r="52" spans="4:20">
      <c r="D52">
        <v>48</v>
      </c>
      <c r="E52">
        <f>IF(INDIRECT(ADDRESS($D52+2,E$2+1,,,"Instances"))="","",INDIRECT(ADDRESS($D52+2,E$2+1,,,"Instances")))</f>
        <v>0</v>
      </c>
      <c r="F52">
        <f>IFERROR(SMALL(E5:E364,ROW()-ROW($F$5)+1),"")</f>
        <v>0</v>
      </c>
      <c r="H52">
        <f>IFERROR(SUM(F5:F52),"")</f>
        <v>0</v>
      </c>
      <c r="J52">
        <v>48</v>
      </c>
      <c r="K52" cm="1">
        <f t="array" ref="K52">_xlfn.SWITCH(Charts!$B$3,"average", AVERAGE(INDIRECT(ADDRESS(47+3,K$2+1,,,"Instances") &amp; ":" &amp; ADDRESS(47+3,K$2+1))),"median", MEDIAN(INDIRECT(ADDRESS(47+3,K$2+1,,,"Instances") &amp; ":" &amp; ADDRESS(47+3,K$2+1))),"min", MIN(INDIRECT(ADDRESS(47+3,K$2+1,,,"Instances") &amp; ":" &amp; ADDRESS(47+3,K$2+1))),"max", MAX(INDIRECT(ADDRESS(47+3,K$2+1,,,"Instances") &amp; ":" &amp; ADDRESS(47+3,K$2+1))),"diff", MAX(INDIRECT(ADDRESS(47+3,K$2+1,,,"Instances") &amp; ":" &amp; ADDRESS(47+3,K$2+1)))-MIN(INDIRECT(ADDRESS(47+3,K$2+1,,,"Instances") &amp; ":" &amp; ADDRESS(47+3,K$2+1))))</f>
        <v>0</v>
      </c>
      <c r="L52">
        <f>IFERROR(SMALL(K5:K364,ROW()-ROW($L$5)+1),"")</f>
        <v>0</v>
      </c>
      <c r="N52">
        <f>IFERROR(SUM(L5:L52),"")</f>
        <v>0</v>
      </c>
      <c r="Q52">
        <f>IF(Charts!$B$3="none",E1859,IF(K1859="",NA(),K1859))</f>
        <v>0</v>
      </c>
      <c r="R52">
        <f>IF(Charts!$B$3="none",F1859,IF(L1859="",NA(),L1859))</f>
        <v>0</v>
      </c>
      <c r="S52">
        <f>IF(Charts!$B$3="none",G1859,IF(M1859="",NA(),M1859))</f>
        <v>0</v>
      </c>
      <c r="T52">
        <f>IF(Charts!$B$3="none",H1859,IF(N1859="",NA(),N1859))</f>
        <v>0</v>
      </c>
    </row>
    <row r="53" spans="4:20">
      <c r="D53">
        <v>49</v>
      </c>
      <c r="E53">
        <f>IF(INDIRECT(ADDRESS($D53+2,E$2+1,,,"Instances"))="","",INDIRECT(ADDRESS($D53+2,E$2+1,,,"Instances")))</f>
        <v>0</v>
      </c>
      <c r="F53">
        <f>IFERROR(SMALL(E5:E364,ROW()-ROW($F$5)+1),"")</f>
        <v>0</v>
      </c>
      <c r="H53">
        <f>IFERROR(SUM(F5:F53),"")</f>
        <v>0</v>
      </c>
      <c r="J53">
        <v>49</v>
      </c>
      <c r="K53" cm="1">
        <f t="array" ref="K53">_xlfn.SWITCH(Charts!$B$3,"average", AVERAGE(INDIRECT(ADDRESS(48+3,K$2+1,,,"Instances") &amp; ":" &amp; ADDRESS(48+3,K$2+1))),"median", MEDIAN(INDIRECT(ADDRESS(48+3,K$2+1,,,"Instances") &amp; ":" &amp; ADDRESS(48+3,K$2+1))),"min", MIN(INDIRECT(ADDRESS(48+3,K$2+1,,,"Instances") &amp; ":" &amp; ADDRESS(48+3,K$2+1))),"max", MAX(INDIRECT(ADDRESS(48+3,K$2+1,,,"Instances") &amp; ":" &amp; ADDRESS(48+3,K$2+1))),"diff", MAX(INDIRECT(ADDRESS(48+3,K$2+1,,,"Instances") &amp; ":" &amp; ADDRESS(48+3,K$2+1)))-MIN(INDIRECT(ADDRESS(48+3,K$2+1,,,"Instances") &amp; ":" &amp; ADDRESS(48+3,K$2+1))))</f>
        <v>0</v>
      </c>
      <c r="L53">
        <f>IFERROR(SMALL(K5:K364,ROW()-ROW($L$5)+1),"")</f>
        <v>0</v>
      </c>
      <c r="N53">
        <f>IFERROR(SUM(L5:L53),"")</f>
        <v>0</v>
      </c>
      <c r="Q53">
        <f>IF(Charts!$B$3="none",E1860,IF(K1860="",NA(),K1860))</f>
        <v>0</v>
      </c>
      <c r="R53">
        <f>IF(Charts!$B$3="none",F1860,IF(L1860="",NA(),L1860))</f>
        <v>0</v>
      </c>
      <c r="S53">
        <f>IF(Charts!$B$3="none",G1860,IF(M1860="",NA(),M1860))</f>
        <v>0</v>
      </c>
      <c r="T53">
        <f>IF(Charts!$B$3="none",H1860,IF(N1860="",NA(),N1860))</f>
        <v>0</v>
      </c>
    </row>
    <row r="54" spans="4:20">
      <c r="D54">
        <v>50</v>
      </c>
      <c r="E54">
        <f>IF(INDIRECT(ADDRESS($D54+2,E$2+1,,,"Instances"))="","",INDIRECT(ADDRESS($D54+2,E$2+1,,,"Instances")))</f>
        <v>0</v>
      </c>
      <c r="F54">
        <f>IFERROR(SMALL(E5:E364,ROW()-ROW($F$5)+1),"")</f>
        <v>0</v>
      </c>
      <c r="H54">
        <f>IFERROR(SUM(F5:F54),"")</f>
        <v>0</v>
      </c>
      <c r="J54">
        <v>50</v>
      </c>
      <c r="K54" cm="1">
        <f t="array" ref="K54">_xlfn.SWITCH(Charts!$B$3,"average", AVERAGE(INDIRECT(ADDRESS(49+3,K$2+1,,,"Instances") &amp; ":" &amp; ADDRESS(49+3,K$2+1))),"median", MEDIAN(INDIRECT(ADDRESS(49+3,K$2+1,,,"Instances") &amp; ":" &amp; ADDRESS(49+3,K$2+1))),"min", MIN(INDIRECT(ADDRESS(49+3,K$2+1,,,"Instances") &amp; ":" &amp; ADDRESS(49+3,K$2+1))),"max", MAX(INDIRECT(ADDRESS(49+3,K$2+1,,,"Instances") &amp; ":" &amp; ADDRESS(49+3,K$2+1))),"diff", MAX(INDIRECT(ADDRESS(49+3,K$2+1,,,"Instances") &amp; ":" &amp; ADDRESS(49+3,K$2+1)))-MIN(INDIRECT(ADDRESS(49+3,K$2+1,,,"Instances") &amp; ":" &amp; ADDRESS(49+3,K$2+1))))</f>
        <v>0</v>
      </c>
      <c r="L54">
        <f>IFERROR(SMALL(K5:K364,ROW()-ROW($L$5)+1),"")</f>
        <v>0</v>
      </c>
      <c r="N54">
        <f>IFERROR(SUM(L5:L54),"")</f>
        <v>0</v>
      </c>
      <c r="Q54">
        <f>IF(Charts!$B$3="none",E1861,IF(K1861="",NA(),K1861))</f>
        <v>0</v>
      </c>
      <c r="R54">
        <f>IF(Charts!$B$3="none",F1861,IF(L1861="",NA(),L1861))</f>
        <v>0</v>
      </c>
      <c r="S54">
        <f>IF(Charts!$B$3="none",G1861,IF(M1861="",NA(),M1861))</f>
        <v>0</v>
      </c>
      <c r="T54">
        <f>IF(Charts!$B$3="none",H1861,IF(N1861="",NA(),N1861))</f>
        <v>0</v>
      </c>
    </row>
    <row r="55" spans="4:20">
      <c r="D55">
        <v>51</v>
      </c>
      <c r="E55">
        <f>IF(INDIRECT(ADDRESS($D55+2,E$2+1,,,"Instances"))="","",INDIRECT(ADDRESS($D55+2,E$2+1,,,"Instances")))</f>
        <v>0</v>
      </c>
      <c r="F55">
        <f>IFERROR(SMALL(E5:E364,ROW()-ROW($F$5)+1),"")</f>
        <v>0</v>
      </c>
      <c r="H55">
        <f>IFERROR(SUM(F5:F55),"")</f>
        <v>0</v>
      </c>
      <c r="J55">
        <v>51</v>
      </c>
      <c r="K55" cm="1">
        <f t="array" ref="K55">_xlfn.SWITCH(Charts!$B$3,"average", AVERAGE(INDIRECT(ADDRESS(50+3,K$2+1,,,"Instances") &amp; ":" &amp; ADDRESS(50+3,K$2+1))),"median", MEDIAN(INDIRECT(ADDRESS(50+3,K$2+1,,,"Instances") &amp; ":" &amp; ADDRESS(50+3,K$2+1))),"min", MIN(INDIRECT(ADDRESS(50+3,K$2+1,,,"Instances") &amp; ":" &amp; ADDRESS(50+3,K$2+1))),"max", MAX(INDIRECT(ADDRESS(50+3,K$2+1,,,"Instances") &amp; ":" &amp; ADDRESS(50+3,K$2+1))),"diff", MAX(INDIRECT(ADDRESS(50+3,K$2+1,,,"Instances") &amp; ":" &amp; ADDRESS(50+3,K$2+1)))-MIN(INDIRECT(ADDRESS(50+3,K$2+1,,,"Instances") &amp; ":" &amp; ADDRESS(50+3,K$2+1))))</f>
        <v>0</v>
      </c>
      <c r="L55">
        <f>IFERROR(SMALL(K5:K364,ROW()-ROW($L$5)+1),"")</f>
        <v>0</v>
      </c>
      <c r="N55">
        <f>IFERROR(SUM(L5:L55),"")</f>
        <v>0</v>
      </c>
      <c r="Q55">
        <f>IF(Charts!$B$3="none",E1862,IF(K1862="",NA(),K1862))</f>
        <v>0</v>
      </c>
      <c r="R55">
        <f>IF(Charts!$B$3="none",F1862,IF(L1862="",NA(),L1862))</f>
        <v>0</v>
      </c>
      <c r="S55">
        <f>IF(Charts!$B$3="none",G1862,IF(M1862="",NA(),M1862))</f>
        <v>0</v>
      </c>
      <c r="T55">
        <f>IF(Charts!$B$3="none",H1862,IF(N1862="",NA(),N1862))</f>
        <v>0</v>
      </c>
    </row>
    <row r="56" spans="4:20">
      <c r="D56">
        <v>52</v>
      </c>
      <c r="E56">
        <f>IF(INDIRECT(ADDRESS($D56+2,E$2+1,,,"Instances"))="","",INDIRECT(ADDRESS($D56+2,E$2+1,,,"Instances")))</f>
        <v>0</v>
      </c>
      <c r="F56">
        <f>IFERROR(SMALL(E5:E364,ROW()-ROW($F$5)+1),"")</f>
        <v>0</v>
      </c>
      <c r="H56">
        <f>IFERROR(SUM(F5:F56),"")</f>
        <v>0</v>
      </c>
      <c r="J56">
        <v>52</v>
      </c>
      <c r="K56" cm="1">
        <f t="array" ref="K56">_xlfn.SWITCH(Charts!$B$3,"average", AVERAGE(INDIRECT(ADDRESS(51+3,K$2+1,,,"Instances") &amp; ":" &amp; ADDRESS(51+3,K$2+1))),"median", MEDIAN(INDIRECT(ADDRESS(51+3,K$2+1,,,"Instances") &amp; ":" &amp; ADDRESS(51+3,K$2+1))),"min", MIN(INDIRECT(ADDRESS(51+3,K$2+1,,,"Instances") &amp; ":" &amp; ADDRESS(51+3,K$2+1))),"max", MAX(INDIRECT(ADDRESS(51+3,K$2+1,,,"Instances") &amp; ":" &amp; ADDRESS(51+3,K$2+1))),"diff", MAX(INDIRECT(ADDRESS(51+3,K$2+1,,,"Instances") &amp; ":" &amp; ADDRESS(51+3,K$2+1)))-MIN(INDIRECT(ADDRESS(51+3,K$2+1,,,"Instances") &amp; ":" &amp; ADDRESS(51+3,K$2+1))))</f>
        <v>0</v>
      </c>
      <c r="L56">
        <f>IFERROR(SMALL(K5:K364,ROW()-ROW($L$5)+1),"")</f>
        <v>0</v>
      </c>
      <c r="N56">
        <f>IFERROR(SUM(L5:L56),"")</f>
        <v>0</v>
      </c>
      <c r="Q56">
        <f>IF(Charts!$B$3="none",E1863,IF(K1863="",NA(),K1863))</f>
        <v>0</v>
      </c>
      <c r="R56">
        <f>IF(Charts!$B$3="none",F1863,IF(L1863="",NA(),L1863))</f>
        <v>0</v>
      </c>
      <c r="S56">
        <f>IF(Charts!$B$3="none",G1863,IF(M1863="",NA(),M1863))</f>
        <v>0</v>
      </c>
      <c r="T56">
        <f>IF(Charts!$B$3="none",H1863,IF(N1863="",NA(),N1863))</f>
        <v>0</v>
      </c>
    </row>
    <row r="57" spans="4:20">
      <c r="D57">
        <v>53</v>
      </c>
      <c r="E57">
        <f>IF(INDIRECT(ADDRESS($D57+2,E$2+1,,,"Instances"))="","",INDIRECT(ADDRESS($D57+2,E$2+1,,,"Instances")))</f>
        <v>0</v>
      </c>
      <c r="F57">
        <f>IFERROR(SMALL(E5:E364,ROW()-ROW($F$5)+1),"")</f>
        <v>0</v>
      </c>
      <c r="H57">
        <f>IFERROR(SUM(F5:F57),"")</f>
        <v>0</v>
      </c>
      <c r="J57">
        <v>53</v>
      </c>
      <c r="K57" cm="1">
        <f t="array" ref="K57">_xlfn.SWITCH(Charts!$B$3,"average", AVERAGE(INDIRECT(ADDRESS(52+3,K$2+1,,,"Instances") &amp; ":" &amp; ADDRESS(52+3,K$2+1))),"median", MEDIAN(INDIRECT(ADDRESS(52+3,K$2+1,,,"Instances") &amp; ":" &amp; ADDRESS(52+3,K$2+1))),"min", MIN(INDIRECT(ADDRESS(52+3,K$2+1,,,"Instances") &amp; ":" &amp; ADDRESS(52+3,K$2+1))),"max", MAX(INDIRECT(ADDRESS(52+3,K$2+1,,,"Instances") &amp; ":" &amp; ADDRESS(52+3,K$2+1))),"diff", MAX(INDIRECT(ADDRESS(52+3,K$2+1,,,"Instances") &amp; ":" &amp; ADDRESS(52+3,K$2+1)))-MIN(INDIRECT(ADDRESS(52+3,K$2+1,,,"Instances") &amp; ":" &amp; ADDRESS(52+3,K$2+1))))</f>
        <v>0</v>
      </c>
      <c r="L57">
        <f>IFERROR(SMALL(K5:K364,ROW()-ROW($L$5)+1),"")</f>
        <v>0</v>
      </c>
      <c r="N57">
        <f>IFERROR(SUM(L5:L57),"")</f>
        <v>0</v>
      </c>
      <c r="Q57">
        <f>IF(Charts!$B$3="none",E1864,IF(K1864="",NA(),K1864))</f>
        <v>0</v>
      </c>
      <c r="R57">
        <f>IF(Charts!$B$3="none",F1864,IF(L1864="",NA(),L1864))</f>
        <v>0</v>
      </c>
      <c r="S57">
        <f>IF(Charts!$B$3="none",G1864,IF(M1864="",NA(),M1864))</f>
        <v>0</v>
      </c>
      <c r="T57">
        <f>IF(Charts!$B$3="none",H1864,IF(N1864="",NA(),N1864))</f>
        <v>0</v>
      </c>
    </row>
    <row r="58" spans="4:20">
      <c r="D58">
        <v>54</v>
      </c>
      <c r="E58">
        <f>IF(INDIRECT(ADDRESS($D58+2,E$2+1,,,"Instances"))="","",INDIRECT(ADDRESS($D58+2,E$2+1,,,"Instances")))</f>
        <v>0</v>
      </c>
      <c r="F58">
        <f>IFERROR(SMALL(E5:E364,ROW()-ROW($F$5)+1),"")</f>
        <v>0</v>
      </c>
      <c r="H58">
        <f>IFERROR(SUM(F5:F58),"")</f>
        <v>0</v>
      </c>
      <c r="J58">
        <v>54</v>
      </c>
      <c r="K58" cm="1">
        <f t="array" ref="K58">_xlfn.SWITCH(Charts!$B$3,"average", AVERAGE(INDIRECT(ADDRESS(53+3,K$2+1,,,"Instances") &amp; ":" &amp; ADDRESS(53+3,K$2+1))),"median", MEDIAN(INDIRECT(ADDRESS(53+3,K$2+1,,,"Instances") &amp; ":" &amp; ADDRESS(53+3,K$2+1))),"min", MIN(INDIRECT(ADDRESS(53+3,K$2+1,,,"Instances") &amp; ":" &amp; ADDRESS(53+3,K$2+1))),"max", MAX(INDIRECT(ADDRESS(53+3,K$2+1,,,"Instances") &amp; ":" &amp; ADDRESS(53+3,K$2+1))),"diff", MAX(INDIRECT(ADDRESS(53+3,K$2+1,,,"Instances") &amp; ":" &amp; ADDRESS(53+3,K$2+1)))-MIN(INDIRECT(ADDRESS(53+3,K$2+1,,,"Instances") &amp; ":" &amp; ADDRESS(53+3,K$2+1))))</f>
        <v>0</v>
      </c>
      <c r="L58">
        <f>IFERROR(SMALL(K5:K364,ROW()-ROW($L$5)+1),"")</f>
        <v>0</v>
      </c>
      <c r="N58">
        <f>IFERROR(SUM(L5:L58),"")</f>
        <v>0</v>
      </c>
      <c r="Q58">
        <f>IF(Charts!$B$3="none",E1865,IF(K1865="",NA(),K1865))</f>
        <v>0</v>
      </c>
      <c r="R58">
        <f>IF(Charts!$B$3="none",F1865,IF(L1865="",NA(),L1865))</f>
        <v>0</v>
      </c>
      <c r="S58">
        <f>IF(Charts!$B$3="none",G1865,IF(M1865="",NA(),M1865))</f>
        <v>0</v>
      </c>
      <c r="T58">
        <f>IF(Charts!$B$3="none",H1865,IF(N1865="",NA(),N1865))</f>
        <v>0</v>
      </c>
    </row>
    <row r="59" spans="4:20">
      <c r="D59">
        <v>55</v>
      </c>
      <c r="E59">
        <f>IF(INDIRECT(ADDRESS($D59+2,E$2+1,,,"Instances"))="","",INDIRECT(ADDRESS($D59+2,E$2+1,,,"Instances")))</f>
        <v>0</v>
      </c>
      <c r="F59">
        <f>IFERROR(SMALL(E5:E364,ROW()-ROW($F$5)+1),"")</f>
        <v>0</v>
      </c>
      <c r="H59">
        <f>IFERROR(SUM(F5:F59),"")</f>
        <v>0</v>
      </c>
      <c r="J59">
        <v>55</v>
      </c>
      <c r="K59" cm="1">
        <f t="array" ref="K59">_xlfn.SWITCH(Charts!$B$3,"average", AVERAGE(INDIRECT(ADDRESS(54+3,K$2+1,,,"Instances") &amp; ":" &amp; ADDRESS(54+3,K$2+1))),"median", MEDIAN(INDIRECT(ADDRESS(54+3,K$2+1,,,"Instances") &amp; ":" &amp; ADDRESS(54+3,K$2+1))),"min", MIN(INDIRECT(ADDRESS(54+3,K$2+1,,,"Instances") &amp; ":" &amp; ADDRESS(54+3,K$2+1))),"max", MAX(INDIRECT(ADDRESS(54+3,K$2+1,,,"Instances") &amp; ":" &amp; ADDRESS(54+3,K$2+1))),"diff", MAX(INDIRECT(ADDRESS(54+3,K$2+1,,,"Instances") &amp; ":" &amp; ADDRESS(54+3,K$2+1)))-MIN(INDIRECT(ADDRESS(54+3,K$2+1,,,"Instances") &amp; ":" &amp; ADDRESS(54+3,K$2+1))))</f>
        <v>0</v>
      </c>
      <c r="L59">
        <f>IFERROR(SMALL(K5:K364,ROW()-ROW($L$5)+1),"")</f>
        <v>0</v>
      </c>
      <c r="N59">
        <f>IFERROR(SUM(L5:L59),"")</f>
        <v>0</v>
      </c>
      <c r="Q59">
        <f>IF(Charts!$B$3="none",E1866,IF(K1866="",NA(),K1866))</f>
        <v>0</v>
      </c>
      <c r="R59">
        <f>IF(Charts!$B$3="none",F1866,IF(L1866="",NA(),L1866))</f>
        <v>0</v>
      </c>
      <c r="S59">
        <f>IF(Charts!$B$3="none",G1866,IF(M1866="",NA(),M1866))</f>
        <v>0</v>
      </c>
      <c r="T59">
        <f>IF(Charts!$B$3="none",H1866,IF(N1866="",NA(),N1866))</f>
        <v>0</v>
      </c>
    </row>
    <row r="60" spans="4:20">
      <c r="D60">
        <v>56</v>
      </c>
      <c r="E60">
        <f>IF(INDIRECT(ADDRESS($D60+2,E$2+1,,,"Instances"))="","",INDIRECT(ADDRESS($D60+2,E$2+1,,,"Instances")))</f>
        <v>0</v>
      </c>
      <c r="F60">
        <f>IFERROR(SMALL(E5:E364,ROW()-ROW($F$5)+1),"")</f>
        <v>0</v>
      </c>
      <c r="H60">
        <f>IFERROR(SUM(F5:F60),"")</f>
        <v>0</v>
      </c>
      <c r="J60">
        <v>56</v>
      </c>
      <c r="K60" cm="1">
        <f t="array" ref="K60">_xlfn.SWITCH(Charts!$B$3,"average", AVERAGE(INDIRECT(ADDRESS(55+3,K$2+1,,,"Instances") &amp; ":" &amp; ADDRESS(55+3,K$2+1))),"median", MEDIAN(INDIRECT(ADDRESS(55+3,K$2+1,,,"Instances") &amp; ":" &amp; ADDRESS(55+3,K$2+1))),"min", MIN(INDIRECT(ADDRESS(55+3,K$2+1,,,"Instances") &amp; ":" &amp; ADDRESS(55+3,K$2+1))),"max", MAX(INDIRECT(ADDRESS(55+3,K$2+1,,,"Instances") &amp; ":" &amp; ADDRESS(55+3,K$2+1))),"diff", MAX(INDIRECT(ADDRESS(55+3,K$2+1,,,"Instances") &amp; ":" &amp; ADDRESS(55+3,K$2+1)))-MIN(INDIRECT(ADDRESS(55+3,K$2+1,,,"Instances") &amp; ":" &amp; ADDRESS(55+3,K$2+1))))</f>
        <v>0</v>
      </c>
      <c r="L60">
        <f>IFERROR(SMALL(K5:K364,ROW()-ROW($L$5)+1),"")</f>
        <v>0</v>
      </c>
      <c r="N60">
        <f>IFERROR(SUM(L5:L60),"")</f>
        <v>0</v>
      </c>
      <c r="Q60">
        <f>IF(Charts!$B$3="none",E1867,IF(K1867="",NA(),K1867))</f>
        <v>0</v>
      </c>
      <c r="R60">
        <f>IF(Charts!$B$3="none",F1867,IF(L1867="",NA(),L1867))</f>
        <v>0</v>
      </c>
      <c r="S60">
        <f>IF(Charts!$B$3="none",G1867,IF(M1867="",NA(),M1867))</f>
        <v>0</v>
      </c>
      <c r="T60">
        <f>IF(Charts!$B$3="none",H1867,IF(N1867="",NA(),N1867))</f>
        <v>0</v>
      </c>
    </row>
    <row r="61" spans="4:20">
      <c r="D61">
        <v>57</v>
      </c>
      <c r="E61">
        <f>IF(INDIRECT(ADDRESS($D61+2,E$2+1,,,"Instances"))="","",INDIRECT(ADDRESS($D61+2,E$2+1,,,"Instances")))</f>
        <v>0</v>
      </c>
      <c r="F61">
        <f>IFERROR(SMALL(E5:E364,ROW()-ROW($F$5)+1),"")</f>
        <v>0</v>
      </c>
      <c r="H61">
        <f>IFERROR(SUM(F5:F61),"")</f>
        <v>0</v>
      </c>
      <c r="J61">
        <v>57</v>
      </c>
      <c r="K61" cm="1">
        <f t="array" ref="K61">_xlfn.SWITCH(Charts!$B$3,"average", AVERAGE(INDIRECT(ADDRESS(56+3,K$2+1,,,"Instances") &amp; ":" &amp; ADDRESS(56+3,K$2+1))),"median", MEDIAN(INDIRECT(ADDRESS(56+3,K$2+1,,,"Instances") &amp; ":" &amp; ADDRESS(56+3,K$2+1))),"min", MIN(INDIRECT(ADDRESS(56+3,K$2+1,,,"Instances") &amp; ":" &amp; ADDRESS(56+3,K$2+1))),"max", MAX(INDIRECT(ADDRESS(56+3,K$2+1,,,"Instances") &amp; ":" &amp; ADDRESS(56+3,K$2+1))),"diff", MAX(INDIRECT(ADDRESS(56+3,K$2+1,,,"Instances") &amp; ":" &amp; ADDRESS(56+3,K$2+1)))-MIN(INDIRECT(ADDRESS(56+3,K$2+1,,,"Instances") &amp; ":" &amp; ADDRESS(56+3,K$2+1))))</f>
        <v>0</v>
      </c>
      <c r="L61">
        <f>IFERROR(SMALL(K5:K364,ROW()-ROW($L$5)+1),"")</f>
        <v>0</v>
      </c>
      <c r="N61">
        <f>IFERROR(SUM(L5:L61),"")</f>
        <v>0</v>
      </c>
      <c r="Q61">
        <f>IF(Charts!$B$3="none",E1868,IF(K1868="",NA(),K1868))</f>
        <v>0</v>
      </c>
      <c r="R61">
        <f>IF(Charts!$B$3="none",F1868,IF(L1868="",NA(),L1868))</f>
        <v>0</v>
      </c>
      <c r="S61">
        <f>IF(Charts!$B$3="none",G1868,IF(M1868="",NA(),M1868))</f>
        <v>0</v>
      </c>
      <c r="T61">
        <f>IF(Charts!$B$3="none",H1868,IF(N1868="",NA(),N1868))</f>
        <v>0</v>
      </c>
    </row>
    <row r="62" spans="4:20">
      <c r="D62">
        <v>58</v>
      </c>
      <c r="E62">
        <f>IF(INDIRECT(ADDRESS($D62+2,E$2+1,,,"Instances"))="","",INDIRECT(ADDRESS($D62+2,E$2+1,,,"Instances")))</f>
        <v>0</v>
      </c>
      <c r="F62">
        <f>IFERROR(SMALL(E5:E364,ROW()-ROW($F$5)+1),"")</f>
        <v>0</v>
      </c>
      <c r="H62">
        <f>IFERROR(SUM(F5:F62),"")</f>
        <v>0</v>
      </c>
      <c r="J62">
        <v>58</v>
      </c>
      <c r="K62" cm="1">
        <f t="array" ref="K62">_xlfn.SWITCH(Charts!$B$3,"average", AVERAGE(INDIRECT(ADDRESS(57+3,K$2+1,,,"Instances") &amp; ":" &amp; ADDRESS(57+3,K$2+1))),"median", MEDIAN(INDIRECT(ADDRESS(57+3,K$2+1,,,"Instances") &amp; ":" &amp; ADDRESS(57+3,K$2+1))),"min", MIN(INDIRECT(ADDRESS(57+3,K$2+1,,,"Instances") &amp; ":" &amp; ADDRESS(57+3,K$2+1))),"max", MAX(INDIRECT(ADDRESS(57+3,K$2+1,,,"Instances") &amp; ":" &amp; ADDRESS(57+3,K$2+1))),"diff", MAX(INDIRECT(ADDRESS(57+3,K$2+1,,,"Instances") &amp; ":" &amp; ADDRESS(57+3,K$2+1)))-MIN(INDIRECT(ADDRESS(57+3,K$2+1,,,"Instances") &amp; ":" &amp; ADDRESS(57+3,K$2+1))))</f>
        <v>0</v>
      </c>
      <c r="L62">
        <f>IFERROR(SMALL(K5:K364,ROW()-ROW($L$5)+1),"")</f>
        <v>0</v>
      </c>
      <c r="N62">
        <f>IFERROR(SUM(L5:L62),"")</f>
        <v>0</v>
      </c>
      <c r="Q62">
        <f>IF(Charts!$B$3="none",E1869,IF(K1869="",NA(),K1869))</f>
        <v>0</v>
      </c>
      <c r="R62">
        <f>IF(Charts!$B$3="none",F1869,IF(L1869="",NA(),L1869))</f>
        <v>0</v>
      </c>
      <c r="S62">
        <f>IF(Charts!$B$3="none",G1869,IF(M1869="",NA(),M1869))</f>
        <v>0</v>
      </c>
      <c r="T62">
        <f>IF(Charts!$B$3="none",H1869,IF(N1869="",NA(),N1869))</f>
        <v>0</v>
      </c>
    </row>
    <row r="63" spans="4:20">
      <c r="D63">
        <v>59</v>
      </c>
      <c r="E63">
        <f>IF(INDIRECT(ADDRESS($D63+2,E$2+1,,,"Instances"))="","",INDIRECT(ADDRESS($D63+2,E$2+1,,,"Instances")))</f>
        <v>0</v>
      </c>
      <c r="F63">
        <f>IFERROR(SMALL(E5:E364,ROW()-ROW($F$5)+1),"")</f>
        <v>0</v>
      </c>
      <c r="H63">
        <f>IFERROR(SUM(F5:F63),"")</f>
        <v>0</v>
      </c>
      <c r="J63">
        <v>59</v>
      </c>
      <c r="K63" cm="1">
        <f t="array" ref="K63">_xlfn.SWITCH(Charts!$B$3,"average", AVERAGE(INDIRECT(ADDRESS(58+3,K$2+1,,,"Instances") &amp; ":" &amp; ADDRESS(58+3,K$2+1))),"median", MEDIAN(INDIRECT(ADDRESS(58+3,K$2+1,,,"Instances") &amp; ":" &amp; ADDRESS(58+3,K$2+1))),"min", MIN(INDIRECT(ADDRESS(58+3,K$2+1,,,"Instances") &amp; ":" &amp; ADDRESS(58+3,K$2+1))),"max", MAX(INDIRECT(ADDRESS(58+3,K$2+1,,,"Instances") &amp; ":" &amp; ADDRESS(58+3,K$2+1))),"diff", MAX(INDIRECT(ADDRESS(58+3,K$2+1,,,"Instances") &amp; ":" &amp; ADDRESS(58+3,K$2+1)))-MIN(INDIRECT(ADDRESS(58+3,K$2+1,,,"Instances") &amp; ":" &amp; ADDRESS(58+3,K$2+1))))</f>
        <v>0</v>
      </c>
      <c r="L63">
        <f>IFERROR(SMALL(K5:K364,ROW()-ROW($L$5)+1),"")</f>
        <v>0</v>
      </c>
      <c r="N63">
        <f>IFERROR(SUM(L5:L63),"")</f>
        <v>0</v>
      </c>
      <c r="Q63">
        <f>IF(Charts!$B$3="none",E1870,IF(K1870="",NA(),K1870))</f>
        <v>0</v>
      </c>
      <c r="R63">
        <f>IF(Charts!$B$3="none",F1870,IF(L1870="",NA(),L1870))</f>
        <v>0</v>
      </c>
      <c r="S63">
        <f>IF(Charts!$B$3="none",G1870,IF(M1870="",NA(),M1870))</f>
        <v>0</v>
      </c>
      <c r="T63">
        <f>IF(Charts!$B$3="none",H1870,IF(N1870="",NA(),N1870))</f>
        <v>0</v>
      </c>
    </row>
    <row r="64" spans="4:20">
      <c r="D64">
        <v>60</v>
      </c>
      <c r="E64">
        <f>IF(INDIRECT(ADDRESS($D64+2,E$2+1,,,"Instances"))="","",INDIRECT(ADDRESS($D64+2,E$2+1,,,"Instances")))</f>
        <v>0</v>
      </c>
      <c r="F64">
        <f>IFERROR(SMALL(E5:E364,ROW()-ROW($F$5)+1),"")</f>
        <v>0</v>
      </c>
      <c r="H64">
        <f>IFERROR(SUM(F5:F64),"")</f>
        <v>0</v>
      </c>
      <c r="J64">
        <v>60</v>
      </c>
      <c r="K64" cm="1">
        <f t="array" ref="K64">_xlfn.SWITCH(Charts!$B$3,"average", AVERAGE(INDIRECT(ADDRESS(59+3,K$2+1,,,"Instances") &amp; ":" &amp; ADDRESS(59+3,K$2+1))),"median", MEDIAN(INDIRECT(ADDRESS(59+3,K$2+1,,,"Instances") &amp; ":" &amp; ADDRESS(59+3,K$2+1))),"min", MIN(INDIRECT(ADDRESS(59+3,K$2+1,,,"Instances") &amp; ":" &amp; ADDRESS(59+3,K$2+1))),"max", MAX(INDIRECT(ADDRESS(59+3,K$2+1,,,"Instances") &amp; ":" &amp; ADDRESS(59+3,K$2+1))),"diff", MAX(INDIRECT(ADDRESS(59+3,K$2+1,,,"Instances") &amp; ":" &amp; ADDRESS(59+3,K$2+1)))-MIN(INDIRECT(ADDRESS(59+3,K$2+1,,,"Instances") &amp; ":" &amp; ADDRESS(59+3,K$2+1))))</f>
        <v>0</v>
      </c>
      <c r="L64">
        <f>IFERROR(SMALL(K5:K364,ROW()-ROW($L$5)+1),"")</f>
        <v>0</v>
      </c>
      <c r="N64">
        <f>IFERROR(SUM(L5:L64),"")</f>
        <v>0</v>
      </c>
      <c r="Q64">
        <f>IF(Charts!$B$3="none",E1871,IF(K1871="",NA(),K1871))</f>
        <v>0</v>
      </c>
      <c r="R64">
        <f>IF(Charts!$B$3="none",F1871,IF(L1871="",NA(),L1871))</f>
        <v>0</v>
      </c>
      <c r="S64">
        <f>IF(Charts!$B$3="none",G1871,IF(M1871="",NA(),M1871))</f>
        <v>0</v>
      </c>
      <c r="T64">
        <f>IF(Charts!$B$3="none",H1871,IF(N1871="",NA(),N1871))</f>
        <v>0</v>
      </c>
    </row>
    <row r="65" spans="4:20">
      <c r="D65">
        <v>61</v>
      </c>
      <c r="E65">
        <f>IF(INDIRECT(ADDRESS($D65+2,E$2+1,,,"Instances"))="","",INDIRECT(ADDRESS($D65+2,E$2+1,,,"Instances")))</f>
        <v>0</v>
      </c>
      <c r="F65">
        <f>IFERROR(SMALL(E5:E364,ROW()-ROW($F$5)+1),"")</f>
        <v>0</v>
      </c>
      <c r="H65">
        <f>IFERROR(SUM(F5:F65),"")</f>
        <v>0</v>
      </c>
      <c r="J65">
        <v>61</v>
      </c>
      <c r="K65" cm="1">
        <f t="array" ref="K65">_xlfn.SWITCH(Charts!$B$3,"average", AVERAGE(INDIRECT(ADDRESS(60+3,K$2+1,,,"Instances") &amp; ":" &amp; ADDRESS(60+3,K$2+1))),"median", MEDIAN(INDIRECT(ADDRESS(60+3,K$2+1,,,"Instances") &amp; ":" &amp; ADDRESS(60+3,K$2+1))),"min", MIN(INDIRECT(ADDRESS(60+3,K$2+1,,,"Instances") &amp; ":" &amp; ADDRESS(60+3,K$2+1))),"max", MAX(INDIRECT(ADDRESS(60+3,K$2+1,,,"Instances") &amp; ":" &amp; ADDRESS(60+3,K$2+1))),"diff", MAX(INDIRECT(ADDRESS(60+3,K$2+1,,,"Instances") &amp; ":" &amp; ADDRESS(60+3,K$2+1)))-MIN(INDIRECT(ADDRESS(60+3,K$2+1,,,"Instances") &amp; ":" &amp; ADDRESS(60+3,K$2+1))))</f>
        <v>0</v>
      </c>
      <c r="L65">
        <f>IFERROR(SMALL(K5:K364,ROW()-ROW($L$5)+1),"")</f>
        <v>0</v>
      </c>
      <c r="N65">
        <f>IFERROR(SUM(L5:L65),"")</f>
        <v>0</v>
      </c>
      <c r="Q65">
        <f>IF(Charts!$B$3="none",E1872,IF(K1872="",NA(),K1872))</f>
        <v>0</v>
      </c>
      <c r="R65">
        <f>IF(Charts!$B$3="none",F1872,IF(L1872="",NA(),L1872))</f>
        <v>0</v>
      </c>
      <c r="S65">
        <f>IF(Charts!$B$3="none",G1872,IF(M1872="",NA(),M1872))</f>
        <v>0</v>
      </c>
      <c r="T65">
        <f>IF(Charts!$B$3="none",H1872,IF(N1872="",NA(),N1872))</f>
        <v>0</v>
      </c>
    </row>
    <row r="66" spans="4:20">
      <c r="D66">
        <v>62</v>
      </c>
      <c r="E66">
        <f>IF(INDIRECT(ADDRESS($D66+2,E$2+1,,,"Instances"))="","",INDIRECT(ADDRESS($D66+2,E$2+1,,,"Instances")))</f>
        <v>0</v>
      </c>
      <c r="F66">
        <f>IFERROR(SMALL(E5:E364,ROW()-ROW($F$5)+1),"")</f>
        <v>0</v>
      </c>
      <c r="H66">
        <f>IFERROR(SUM(F5:F66),"")</f>
        <v>0</v>
      </c>
      <c r="J66">
        <v>62</v>
      </c>
      <c r="K66" cm="1">
        <f t="array" ref="K66">_xlfn.SWITCH(Charts!$B$3,"average", AVERAGE(INDIRECT(ADDRESS(61+3,K$2+1,,,"Instances") &amp; ":" &amp; ADDRESS(61+3,K$2+1))),"median", MEDIAN(INDIRECT(ADDRESS(61+3,K$2+1,,,"Instances") &amp; ":" &amp; ADDRESS(61+3,K$2+1))),"min", MIN(INDIRECT(ADDRESS(61+3,K$2+1,,,"Instances") &amp; ":" &amp; ADDRESS(61+3,K$2+1))),"max", MAX(INDIRECT(ADDRESS(61+3,K$2+1,,,"Instances") &amp; ":" &amp; ADDRESS(61+3,K$2+1))),"diff", MAX(INDIRECT(ADDRESS(61+3,K$2+1,,,"Instances") &amp; ":" &amp; ADDRESS(61+3,K$2+1)))-MIN(INDIRECT(ADDRESS(61+3,K$2+1,,,"Instances") &amp; ":" &amp; ADDRESS(61+3,K$2+1))))</f>
        <v>0</v>
      </c>
      <c r="L66">
        <f>IFERROR(SMALL(K5:K364,ROW()-ROW($L$5)+1),"")</f>
        <v>0</v>
      </c>
      <c r="N66">
        <f>IFERROR(SUM(L5:L66),"")</f>
        <v>0</v>
      </c>
      <c r="Q66">
        <f>IF(Charts!$B$3="none",E1873,IF(K1873="",NA(),K1873))</f>
        <v>0</v>
      </c>
      <c r="R66">
        <f>IF(Charts!$B$3="none",F1873,IF(L1873="",NA(),L1873))</f>
        <v>0</v>
      </c>
      <c r="S66">
        <f>IF(Charts!$B$3="none",G1873,IF(M1873="",NA(),M1873))</f>
        <v>0</v>
      </c>
      <c r="T66">
        <f>IF(Charts!$B$3="none",H1873,IF(N1873="",NA(),N1873))</f>
        <v>0</v>
      </c>
    </row>
    <row r="67" spans="4:20">
      <c r="D67">
        <v>63</v>
      </c>
      <c r="E67">
        <f>IF(INDIRECT(ADDRESS($D67+2,E$2+1,,,"Instances"))="","",INDIRECT(ADDRESS($D67+2,E$2+1,,,"Instances")))</f>
        <v>0</v>
      </c>
      <c r="F67">
        <f>IFERROR(SMALL(E5:E364,ROW()-ROW($F$5)+1),"")</f>
        <v>0</v>
      </c>
      <c r="H67">
        <f>IFERROR(SUM(F5:F67),"")</f>
        <v>0</v>
      </c>
      <c r="J67">
        <v>63</v>
      </c>
      <c r="K67" cm="1">
        <f t="array" ref="K67">_xlfn.SWITCH(Charts!$B$3,"average", AVERAGE(INDIRECT(ADDRESS(62+3,K$2+1,,,"Instances") &amp; ":" &amp; ADDRESS(62+3,K$2+1))),"median", MEDIAN(INDIRECT(ADDRESS(62+3,K$2+1,,,"Instances") &amp; ":" &amp; ADDRESS(62+3,K$2+1))),"min", MIN(INDIRECT(ADDRESS(62+3,K$2+1,,,"Instances") &amp; ":" &amp; ADDRESS(62+3,K$2+1))),"max", MAX(INDIRECT(ADDRESS(62+3,K$2+1,,,"Instances") &amp; ":" &amp; ADDRESS(62+3,K$2+1))),"diff", MAX(INDIRECT(ADDRESS(62+3,K$2+1,,,"Instances") &amp; ":" &amp; ADDRESS(62+3,K$2+1)))-MIN(INDIRECT(ADDRESS(62+3,K$2+1,,,"Instances") &amp; ":" &amp; ADDRESS(62+3,K$2+1))))</f>
        <v>0</v>
      </c>
      <c r="L67">
        <f>IFERROR(SMALL(K5:K364,ROW()-ROW($L$5)+1),"")</f>
        <v>0</v>
      </c>
      <c r="N67">
        <f>IFERROR(SUM(L5:L67),"")</f>
        <v>0</v>
      </c>
      <c r="Q67">
        <f>IF(Charts!$B$3="none",E1874,IF(K1874="",NA(),K1874))</f>
        <v>0</v>
      </c>
      <c r="R67">
        <f>IF(Charts!$B$3="none",F1874,IF(L1874="",NA(),L1874))</f>
        <v>0</v>
      </c>
      <c r="S67">
        <f>IF(Charts!$B$3="none",G1874,IF(M1874="",NA(),M1874))</f>
        <v>0</v>
      </c>
      <c r="T67">
        <f>IF(Charts!$B$3="none",H1874,IF(N1874="",NA(),N1874))</f>
        <v>0</v>
      </c>
    </row>
    <row r="68" spans="4:20">
      <c r="D68">
        <v>64</v>
      </c>
      <c r="E68">
        <f>IF(INDIRECT(ADDRESS($D68+2,E$2+1,,,"Instances"))="","",INDIRECT(ADDRESS($D68+2,E$2+1,,,"Instances")))</f>
        <v>0</v>
      </c>
      <c r="F68">
        <f>IFERROR(SMALL(E5:E364,ROW()-ROW($F$5)+1),"")</f>
        <v>0</v>
      </c>
      <c r="H68">
        <f>IFERROR(SUM(F5:F68),"")</f>
        <v>0</v>
      </c>
      <c r="J68">
        <v>64</v>
      </c>
      <c r="K68" cm="1">
        <f t="array" ref="K68">_xlfn.SWITCH(Charts!$B$3,"average", AVERAGE(INDIRECT(ADDRESS(63+3,K$2+1,,,"Instances") &amp; ":" &amp; ADDRESS(63+3,K$2+1))),"median", MEDIAN(INDIRECT(ADDRESS(63+3,K$2+1,,,"Instances") &amp; ":" &amp; ADDRESS(63+3,K$2+1))),"min", MIN(INDIRECT(ADDRESS(63+3,K$2+1,,,"Instances") &amp; ":" &amp; ADDRESS(63+3,K$2+1))),"max", MAX(INDIRECT(ADDRESS(63+3,K$2+1,,,"Instances") &amp; ":" &amp; ADDRESS(63+3,K$2+1))),"diff", MAX(INDIRECT(ADDRESS(63+3,K$2+1,,,"Instances") &amp; ":" &amp; ADDRESS(63+3,K$2+1)))-MIN(INDIRECT(ADDRESS(63+3,K$2+1,,,"Instances") &amp; ":" &amp; ADDRESS(63+3,K$2+1))))</f>
        <v>0</v>
      </c>
      <c r="L68">
        <f>IFERROR(SMALL(K5:K364,ROW()-ROW($L$5)+1),"")</f>
        <v>0</v>
      </c>
      <c r="N68">
        <f>IFERROR(SUM(L5:L68),"")</f>
        <v>0</v>
      </c>
      <c r="Q68">
        <f>IF(Charts!$B$3="none",E1875,IF(K1875="",NA(),K1875))</f>
        <v>0</v>
      </c>
      <c r="R68">
        <f>IF(Charts!$B$3="none",F1875,IF(L1875="",NA(),L1875))</f>
        <v>0</v>
      </c>
      <c r="S68">
        <f>IF(Charts!$B$3="none",G1875,IF(M1875="",NA(),M1875))</f>
        <v>0</v>
      </c>
      <c r="T68">
        <f>IF(Charts!$B$3="none",H1875,IF(N1875="",NA(),N1875))</f>
        <v>0</v>
      </c>
    </row>
    <row r="69" spans="4:20">
      <c r="D69">
        <v>65</v>
      </c>
      <c r="E69">
        <f>IF(INDIRECT(ADDRESS($D69+2,E$2+1,,,"Instances"))="","",INDIRECT(ADDRESS($D69+2,E$2+1,,,"Instances")))</f>
        <v>0</v>
      </c>
      <c r="F69">
        <f>IFERROR(SMALL(E5:E364,ROW()-ROW($F$5)+1),"")</f>
        <v>0</v>
      </c>
      <c r="H69">
        <f>IFERROR(SUM(F5:F69),"")</f>
        <v>0</v>
      </c>
      <c r="J69">
        <v>65</v>
      </c>
      <c r="K69" cm="1">
        <f t="array" ref="K69">_xlfn.SWITCH(Charts!$B$3,"average", AVERAGE(INDIRECT(ADDRESS(64+3,K$2+1,,,"Instances") &amp; ":" &amp; ADDRESS(64+3,K$2+1))),"median", MEDIAN(INDIRECT(ADDRESS(64+3,K$2+1,,,"Instances") &amp; ":" &amp; ADDRESS(64+3,K$2+1))),"min", MIN(INDIRECT(ADDRESS(64+3,K$2+1,,,"Instances") &amp; ":" &amp; ADDRESS(64+3,K$2+1))),"max", MAX(INDIRECT(ADDRESS(64+3,K$2+1,,,"Instances") &amp; ":" &amp; ADDRESS(64+3,K$2+1))),"diff", MAX(INDIRECT(ADDRESS(64+3,K$2+1,,,"Instances") &amp; ":" &amp; ADDRESS(64+3,K$2+1)))-MIN(INDIRECT(ADDRESS(64+3,K$2+1,,,"Instances") &amp; ":" &amp; ADDRESS(64+3,K$2+1))))</f>
        <v>0</v>
      </c>
      <c r="L69">
        <f>IFERROR(SMALL(K5:K364,ROW()-ROW($L$5)+1),"")</f>
        <v>0</v>
      </c>
      <c r="N69">
        <f>IFERROR(SUM(L5:L69),"")</f>
        <v>0</v>
      </c>
      <c r="Q69">
        <f>IF(Charts!$B$3="none",E1876,IF(K1876="",NA(),K1876))</f>
        <v>0</v>
      </c>
      <c r="R69">
        <f>IF(Charts!$B$3="none",F1876,IF(L1876="",NA(),L1876))</f>
        <v>0</v>
      </c>
      <c r="S69">
        <f>IF(Charts!$B$3="none",G1876,IF(M1876="",NA(),M1876))</f>
        <v>0</v>
      </c>
      <c r="T69">
        <f>IF(Charts!$B$3="none",H1876,IF(N1876="",NA(),N1876))</f>
        <v>0</v>
      </c>
    </row>
    <row r="70" spans="4:20">
      <c r="D70">
        <v>66</v>
      </c>
      <c r="E70">
        <f>IF(INDIRECT(ADDRESS($D70+2,E$2+1,,,"Instances"))="","",INDIRECT(ADDRESS($D70+2,E$2+1,,,"Instances")))</f>
        <v>0</v>
      </c>
      <c r="F70">
        <f>IFERROR(SMALL(E5:E364,ROW()-ROW($F$5)+1),"")</f>
        <v>0</v>
      </c>
      <c r="H70">
        <f>IFERROR(SUM(F5:F70),"")</f>
        <v>0</v>
      </c>
      <c r="J70">
        <v>66</v>
      </c>
      <c r="K70" cm="1">
        <f t="array" ref="K70">_xlfn.SWITCH(Charts!$B$3,"average", AVERAGE(INDIRECT(ADDRESS(65+3,K$2+1,,,"Instances") &amp; ":" &amp; ADDRESS(65+3,K$2+1))),"median", MEDIAN(INDIRECT(ADDRESS(65+3,K$2+1,,,"Instances") &amp; ":" &amp; ADDRESS(65+3,K$2+1))),"min", MIN(INDIRECT(ADDRESS(65+3,K$2+1,,,"Instances") &amp; ":" &amp; ADDRESS(65+3,K$2+1))),"max", MAX(INDIRECT(ADDRESS(65+3,K$2+1,,,"Instances") &amp; ":" &amp; ADDRESS(65+3,K$2+1))),"diff", MAX(INDIRECT(ADDRESS(65+3,K$2+1,,,"Instances") &amp; ":" &amp; ADDRESS(65+3,K$2+1)))-MIN(INDIRECT(ADDRESS(65+3,K$2+1,,,"Instances") &amp; ":" &amp; ADDRESS(65+3,K$2+1))))</f>
        <v>0</v>
      </c>
      <c r="L70">
        <f>IFERROR(SMALL(K5:K364,ROW()-ROW($L$5)+1),"")</f>
        <v>0</v>
      </c>
      <c r="N70">
        <f>IFERROR(SUM(L5:L70),"")</f>
        <v>0</v>
      </c>
      <c r="Q70">
        <f>IF(Charts!$B$3="none",E1877,IF(K1877="",NA(),K1877))</f>
        <v>0</v>
      </c>
      <c r="R70">
        <f>IF(Charts!$B$3="none",F1877,IF(L1877="",NA(),L1877))</f>
        <v>0</v>
      </c>
      <c r="S70">
        <f>IF(Charts!$B$3="none",G1877,IF(M1877="",NA(),M1877))</f>
        <v>0</v>
      </c>
      <c r="T70">
        <f>IF(Charts!$B$3="none",H1877,IF(N1877="",NA(),N1877))</f>
        <v>0</v>
      </c>
    </row>
    <row r="71" spans="4:20">
      <c r="D71">
        <v>67</v>
      </c>
      <c r="E71">
        <f>IF(INDIRECT(ADDRESS($D71+2,E$2+1,,,"Instances"))="","",INDIRECT(ADDRESS($D71+2,E$2+1,,,"Instances")))</f>
        <v>0</v>
      </c>
      <c r="F71">
        <f>IFERROR(SMALL(E5:E364,ROW()-ROW($F$5)+1),"")</f>
        <v>0</v>
      </c>
      <c r="H71">
        <f>IFERROR(SUM(F5:F71),"")</f>
        <v>0</v>
      </c>
      <c r="J71">
        <v>67</v>
      </c>
      <c r="K71" cm="1">
        <f t="array" ref="K71">_xlfn.SWITCH(Charts!$B$3,"average", AVERAGE(INDIRECT(ADDRESS(66+3,K$2+1,,,"Instances") &amp; ":" &amp; ADDRESS(66+3,K$2+1))),"median", MEDIAN(INDIRECT(ADDRESS(66+3,K$2+1,,,"Instances") &amp; ":" &amp; ADDRESS(66+3,K$2+1))),"min", MIN(INDIRECT(ADDRESS(66+3,K$2+1,,,"Instances") &amp; ":" &amp; ADDRESS(66+3,K$2+1))),"max", MAX(INDIRECT(ADDRESS(66+3,K$2+1,,,"Instances") &amp; ":" &amp; ADDRESS(66+3,K$2+1))),"diff", MAX(INDIRECT(ADDRESS(66+3,K$2+1,,,"Instances") &amp; ":" &amp; ADDRESS(66+3,K$2+1)))-MIN(INDIRECT(ADDRESS(66+3,K$2+1,,,"Instances") &amp; ":" &amp; ADDRESS(66+3,K$2+1))))</f>
        <v>0</v>
      </c>
      <c r="L71">
        <f>IFERROR(SMALL(K5:K364,ROW()-ROW($L$5)+1),"")</f>
        <v>0</v>
      </c>
      <c r="N71">
        <f>IFERROR(SUM(L5:L71),"")</f>
        <v>0</v>
      </c>
      <c r="Q71">
        <f>IF(Charts!$B$3="none",E1878,IF(K1878="",NA(),K1878))</f>
        <v>0</v>
      </c>
      <c r="R71">
        <f>IF(Charts!$B$3="none",F1878,IF(L1878="",NA(),L1878))</f>
        <v>0</v>
      </c>
      <c r="S71">
        <f>IF(Charts!$B$3="none",G1878,IF(M1878="",NA(),M1878))</f>
        <v>0</v>
      </c>
      <c r="T71">
        <f>IF(Charts!$B$3="none",H1878,IF(N1878="",NA(),N1878))</f>
        <v>0</v>
      </c>
    </row>
    <row r="72" spans="4:20">
      <c r="D72">
        <v>68</v>
      </c>
      <c r="E72">
        <f>IF(INDIRECT(ADDRESS($D72+2,E$2+1,,,"Instances"))="","",INDIRECT(ADDRESS($D72+2,E$2+1,,,"Instances")))</f>
        <v>0</v>
      </c>
      <c r="F72">
        <f>IFERROR(SMALL(E5:E364,ROW()-ROW($F$5)+1),"")</f>
        <v>0</v>
      </c>
      <c r="H72">
        <f>IFERROR(SUM(F5:F72),"")</f>
        <v>0</v>
      </c>
      <c r="J72">
        <v>68</v>
      </c>
      <c r="K72" cm="1">
        <f t="array" ref="K72">_xlfn.SWITCH(Charts!$B$3,"average", AVERAGE(INDIRECT(ADDRESS(67+3,K$2+1,,,"Instances") &amp; ":" &amp; ADDRESS(67+3,K$2+1))),"median", MEDIAN(INDIRECT(ADDRESS(67+3,K$2+1,,,"Instances") &amp; ":" &amp; ADDRESS(67+3,K$2+1))),"min", MIN(INDIRECT(ADDRESS(67+3,K$2+1,,,"Instances") &amp; ":" &amp; ADDRESS(67+3,K$2+1))),"max", MAX(INDIRECT(ADDRESS(67+3,K$2+1,,,"Instances") &amp; ":" &amp; ADDRESS(67+3,K$2+1))),"diff", MAX(INDIRECT(ADDRESS(67+3,K$2+1,,,"Instances") &amp; ":" &amp; ADDRESS(67+3,K$2+1)))-MIN(INDIRECT(ADDRESS(67+3,K$2+1,,,"Instances") &amp; ":" &amp; ADDRESS(67+3,K$2+1))))</f>
        <v>0</v>
      </c>
      <c r="L72">
        <f>IFERROR(SMALL(K5:K364,ROW()-ROW($L$5)+1),"")</f>
        <v>0</v>
      </c>
      <c r="N72">
        <f>IFERROR(SUM(L5:L72),"")</f>
        <v>0</v>
      </c>
      <c r="Q72">
        <f>IF(Charts!$B$3="none",E1879,IF(K1879="",NA(),K1879))</f>
        <v>0</v>
      </c>
      <c r="R72">
        <f>IF(Charts!$B$3="none",F1879,IF(L1879="",NA(),L1879))</f>
        <v>0</v>
      </c>
      <c r="S72">
        <f>IF(Charts!$B$3="none",G1879,IF(M1879="",NA(),M1879))</f>
        <v>0</v>
      </c>
      <c r="T72">
        <f>IF(Charts!$B$3="none",H1879,IF(N1879="",NA(),N1879))</f>
        <v>0</v>
      </c>
    </row>
    <row r="73" spans="4:20">
      <c r="D73">
        <v>69</v>
      </c>
      <c r="E73">
        <f>IF(INDIRECT(ADDRESS($D73+2,E$2+1,,,"Instances"))="","",INDIRECT(ADDRESS($D73+2,E$2+1,,,"Instances")))</f>
        <v>0</v>
      </c>
      <c r="F73">
        <f>IFERROR(SMALL(E5:E364,ROW()-ROW($F$5)+1),"")</f>
        <v>0</v>
      </c>
      <c r="H73">
        <f>IFERROR(SUM(F5:F73),"")</f>
        <v>0</v>
      </c>
      <c r="J73">
        <v>69</v>
      </c>
      <c r="K73" cm="1">
        <f t="array" ref="K73">_xlfn.SWITCH(Charts!$B$3,"average", AVERAGE(INDIRECT(ADDRESS(68+3,K$2+1,,,"Instances") &amp; ":" &amp; ADDRESS(68+3,K$2+1))),"median", MEDIAN(INDIRECT(ADDRESS(68+3,K$2+1,,,"Instances") &amp; ":" &amp; ADDRESS(68+3,K$2+1))),"min", MIN(INDIRECT(ADDRESS(68+3,K$2+1,,,"Instances") &amp; ":" &amp; ADDRESS(68+3,K$2+1))),"max", MAX(INDIRECT(ADDRESS(68+3,K$2+1,,,"Instances") &amp; ":" &amp; ADDRESS(68+3,K$2+1))),"diff", MAX(INDIRECT(ADDRESS(68+3,K$2+1,,,"Instances") &amp; ":" &amp; ADDRESS(68+3,K$2+1)))-MIN(INDIRECT(ADDRESS(68+3,K$2+1,,,"Instances") &amp; ":" &amp; ADDRESS(68+3,K$2+1))))</f>
        <v>0</v>
      </c>
      <c r="L73">
        <f>IFERROR(SMALL(K5:K364,ROW()-ROW($L$5)+1),"")</f>
        <v>0</v>
      </c>
      <c r="N73">
        <f>IFERROR(SUM(L5:L73),"")</f>
        <v>0</v>
      </c>
      <c r="Q73">
        <f>IF(Charts!$B$3="none",E1880,IF(K1880="",NA(),K1880))</f>
        <v>0</v>
      </c>
      <c r="R73">
        <f>IF(Charts!$B$3="none",F1880,IF(L1880="",NA(),L1880))</f>
        <v>0</v>
      </c>
      <c r="S73">
        <f>IF(Charts!$B$3="none",G1880,IF(M1880="",NA(),M1880))</f>
        <v>0</v>
      </c>
      <c r="T73">
        <f>IF(Charts!$B$3="none",H1880,IF(N1880="",NA(),N1880))</f>
        <v>0</v>
      </c>
    </row>
    <row r="74" spans="4:20">
      <c r="D74">
        <v>70</v>
      </c>
      <c r="E74">
        <f>IF(INDIRECT(ADDRESS($D74+2,E$2+1,,,"Instances"))="","",INDIRECT(ADDRESS($D74+2,E$2+1,,,"Instances")))</f>
        <v>0</v>
      </c>
      <c r="F74">
        <f>IFERROR(SMALL(E5:E364,ROW()-ROW($F$5)+1),"")</f>
        <v>0</v>
      </c>
      <c r="H74">
        <f>IFERROR(SUM(F5:F74),"")</f>
        <v>0</v>
      </c>
      <c r="J74">
        <v>70</v>
      </c>
      <c r="K74" cm="1">
        <f t="array" ref="K74">_xlfn.SWITCH(Charts!$B$3,"average", AVERAGE(INDIRECT(ADDRESS(69+3,K$2+1,,,"Instances") &amp; ":" &amp; ADDRESS(69+3,K$2+1))),"median", MEDIAN(INDIRECT(ADDRESS(69+3,K$2+1,,,"Instances") &amp; ":" &amp; ADDRESS(69+3,K$2+1))),"min", MIN(INDIRECT(ADDRESS(69+3,K$2+1,,,"Instances") &amp; ":" &amp; ADDRESS(69+3,K$2+1))),"max", MAX(INDIRECT(ADDRESS(69+3,K$2+1,,,"Instances") &amp; ":" &amp; ADDRESS(69+3,K$2+1))),"diff", MAX(INDIRECT(ADDRESS(69+3,K$2+1,,,"Instances") &amp; ":" &amp; ADDRESS(69+3,K$2+1)))-MIN(INDIRECT(ADDRESS(69+3,K$2+1,,,"Instances") &amp; ":" &amp; ADDRESS(69+3,K$2+1))))</f>
        <v>0</v>
      </c>
      <c r="L74">
        <f>IFERROR(SMALL(K5:K364,ROW()-ROW($L$5)+1),"")</f>
        <v>0</v>
      </c>
      <c r="N74">
        <f>IFERROR(SUM(L5:L74),"")</f>
        <v>0</v>
      </c>
      <c r="Q74">
        <f>IF(Charts!$B$3="none",E1881,IF(K1881="",NA(),K1881))</f>
        <v>0</v>
      </c>
      <c r="R74">
        <f>IF(Charts!$B$3="none",F1881,IF(L1881="",NA(),L1881))</f>
        <v>0</v>
      </c>
      <c r="S74">
        <f>IF(Charts!$B$3="none",G1881,IF(M1881="",NA(),M1881))</f>
        <v>0</v>
      </c>
      <c r="T74">
        <f>IF(Charts!$B$3="none",H1881,IF(N1881="",NA(),N1881))</f>
        <v>0</v>
      </c>
    </row>
    <row r="75" spans="4:20">
      <c r="D75">
        <v>71</v>
      </c>
      <c r="E75">
        <f>IF(INDIRECT(ADDRESS($D75+2,E$2+1,,,"Instances"))="","",INDIRECT(ADDRESS($D75+2,E$2+1,,,"Instances")))</f>
        <v>0</v>
      </c>
      <c r="F75">
        <f>IFERROR(SMALL(E5:E364,ROW()-ROW($F$5)+1),"")</f>
        <v>0</v>
      </c>
      <c r="H75">
        <f>IFERROR(SUM(F5:F75),"")</f>
        <v>0</v>
      </c>
      <c r="J75">
        <v>71</v>
      </c>
      <c r="K75" cm="1">
        <f t="array" ref="K75">_xlfn.SWITCH(Charts!$B$3,"average", AVERAGE(INDIRECT(ADDRESS(70+3,K$2+1,,,"Instances") &amp; ":" &amp; ADDRESS(70+3,K$2+1))),"median", MEDIAN(INDIRECT(ADDRESS(70+3,K$2+1,,,"Instances") &amp; ":" &amp; ADDRESS(70+3,K$2+1))),"min", MIN(INDIRECT(ADDRESS(70+3,K$2+1,,,"Instances") &amp; ":" &amp; ADDRESS(70+3,K$2+1))),"max", MAX(INDIRECT(ADDRESS(70+3,K$2+1,,,"Instances") &amp; ":" &amp; ADDRESS(70+3,K$2+1))),"diff", MAX(INDIRECT(ADDRESS(70+3,K$2+1,,,"Instances") &amp; ":" &amp; ADDRESS(70+3,K$2+1)))-MIN(INDIRECT(ADDRESS(70+3,K$2+1,,,"Instances") &amp; ":" &amp; ADDRESS(70+3,K$2+1))))</f>
        <v>0</v>
      </c>
      <c r="L75">
        <f>IFERROR(SMALL(K5:K364,ROW()-ROW($L$5)+1),"")</f>
        <v>0</v>
      </c>
      <c r="N75">
        <f>IFERROR(SUM(L5:L75),"")</f>
        <v>0</v>
      </c>
      <c r="Q75">
        <f>IF(Charts!$B$3="none",E1882,IF(K1882="",NA(),K1882))</f>
        <v>0</v>
      </c>
      <c r="R75">
        <f>IF(Charts!$B$3="none",F1882,IF(L1882="",NA(),L1882))</f>
        <v>0</v>
      </c>
      <c r="S75">
        <f>IF(Charts!$B$3="none",G1882,IF(M1882="",NA(),M1882))</f>
        <v>0</v>
      </c>
      <c r="T75">
        <f>IF(Charts!$B$3="none",H1882,IF(N1882="",NA(),N1882))</f>
        <v>0</v>
      </c>
    </row>
    <row r="76" spans="4:20">
      <c r="D76">
        <v>72</v>
      </c>
      <c r="E76">
        <f>IF(INDIRECT(ADDRESS($D76+2,E$2+1,,,"Instances"))="","",INDIRECT(ADDRESS($D76+2,E$2+1,,,"Instances")))</f>
        <v>0</v>
      </c>
      <c r="F76">
        <f>IFERROR(SMALL(E5:E364,ROW()-ROW($F$5)+1),"")</f>
        <v>0</v>
      </c>
      <c r="H76">
        <f>IFERROR(SUM(F5:F76),"")</f>
        <v>0</v>
      </c>
      <c r="J76">
        <v>72</v>
      </c>
      <c r="K76" cm="1">
        <f t="array" ref="K76">_xlfn.SWITCH(Charts!$B$3,"average", AVERAGE(INDIRECT(ADDRESS(71+3,K$2+1,,,"Instances") &amp; ":" &amp; ADDRESS(71+3,K$2+1))),"median", MEDIAN(INDIRECT(ADDRESS(71+3,K$2+1,,,"Instances") &amp; ":" &amp; ADDRESS(71+3,K$2+1))),"min", MIN(INDIRECT(ADDRESS(71+3,K$2+1,,,"Instances") &amp; ":" &amp; ADDRESS(71+3,K$2+1))),"max", MAX(INDIRECT(ADDRESS(71+3,K$2+1,,,"Instances") &amp; ":" &amp; ADDRESS(71+3,K$2+1))),"diff", MAX(INDIRECT(ADDRESS(71+3,K$2+1,,,"Instances") &amp; ":" &amp; ADDRESS(71+3,K$2+1)))-MIN(INDIRECT(ADDRESS(71+3,K$2+1,,,"Instances") &amp; ":" &amp; ADDRESS(71+3,K$2+1))))</f>
        <v>0</v>
      </c>
      <c r="L76">
        <f>IFERROR(SMALL(K5:K364,ROW()-ROW($L$5)+1),"")</f>
        <v>0</v>
      </c>
      <c r="N76">
        <f>IFERROR(SUM(L5:L76),"")</f>
        <v>0</v>
      </c>
      <c r="Q76">
        <f>IF(Charts!$B$3="none",E1883,IF(K1883="",NA(),K1883))</f>
        <v>0</v>
      </c>
      <c r="R76">
        <f>IF(Charts!$B$3="none",F1883,IF(L1883="",NA(),L1883))</f>
        <v>0</v>
      </c>
      <c r="S76">
        <f>IF(Charts!$B$3="none",G1883,IF(M1883="",NA(),M1883))</f>
        <v>0</v>
      </c>
      <c r="T76">
        <f>IF(Charts!$B$3="none",H1883,IF(N1883="",NA(),N1883))</f>
        <v>0</v>
      </c>
    </row>
    <row r="77" spans="4:20">
      <c r="D77">
        <v>73</v>
      </c>
      <c r="E77">
        <f>IF(INDIRECT(ADDRESS($D77+2,E$2+1,,,"Instances"))="","",INDIRECT(ADDRESS($D77+2,E$2+1,,,"Instances")))</f>
        <v>0</v>
      </c>
      <c r="F77">
        <f>IFERROR(SMALL(E5:E364,ROW()-ROW($F$5)+1),"")</f>
        <v>0</v>
      </c>
      <c r="H77">
        <f>IFERROR(SUM(F5:F77),"")</f>
        <v>0</v>
      </c>
      <c r="J77">
        <v>73</v>
      </c>
      <c r="K77" cm="1">
        <f t="array" ref="K77">_xlfn.SWITCH(Charts!$B$3,"average", AVERAGE(INDIRECT(ADDRESS(72+3,K$2+1,,,"Instances") &amp; ":" &amp; ADDRESS(72+3,K$2+1))),"median", MEDIAN(INDIRECT(ADDRESS(72+3,K$2+1,,,"Instances") &amp; ":" &amp; ADDRESS(72+3,K$2+1))),"min", MIN(INDIRECT(ADDRESS(72+3,K$2+1,,,"Instances") &amp; ":" &amp; ADDRESS(72+3,K$2+1))),"max", MAX(INDIRECT(ADDRESS(72+3,K$2+1,,,"Instances") &amp; ":" &amp; ADDRESS(72+3,K$2+1))),"diff", MAX(INDIRECT(ADDRESS(72+3,K$2+1,,,"Instances") &amp; ":" &amp; ADDRESS(72+3,K$2+1)))-MIN(INDIRECT(ADDRESS(72+3,K$2+1,,,"Instances") &amp; ":" &amp; ADDRESS(72+3,K$2+1))))</f>
        <v>0</v>
      </c>
      <c r="L77">
        <f>IFERROR(SMALL(K5:K364,ROW()-ROW($L$5)+1),"")</f>
        <v>0</v>
      </c>
      <c r="N77">
        <f>IFERROR(SUM(L5:L77),"")</f>
        <v>0</v>
      </c>
      <c r="Q77">
        <f>IF(Charts!$B$3="none",E1884,IF(K1884="",NA(),K1884))</f>
        <v>0</v>
      </c>
      <c r="R77">
        <f>IF(Charts!$B$3="none",F1884,IF(L1884="",NA(),L1884))</f>
        <v>0</v>
      </c>
      <c r="S77">
        <f>IF(Charts!$B$3="none",G1884,IF(M1884="",NA(),M1884))</f>
        <v>0</v>
      </c>
      <c r="T77">
        <f>IF(Charts!$B$3="none",H1884,IF(N1884="",NA(),N1884))</f>
        <v>0</v>
      </c>
    </row>
    <row r="78" spans="4:20">
      <c r="D78">
        <v>74</v>
      </c>
      <c r="E78">
        <f>IF(INDIRECT(ADDRESS($D78+2,E$2+1,,,"Instances"))="","",INDIRECT(ADDRESS($D78+2,E$2+1,,,"Instances")))</f>
        <v>0</v>
      </c>
      <c r="F78">
        <f>IFERROR(SMALL(E5:E364,ROW()-ROW($F$5)+1),"")</f>
        <v>0</v>
      </c>
      <c r="H78">
        <f>IFERROR(SUM(F5:F78),"")</f>
        <v>0</v>
      </c>
      <c r="J78">
        <v>74</v>
      </c>
      <c r="K78" cm="1">
        <f t="array" ref="K78">_xlfn.SWITCH(Charts!$B$3,"average", AVERAGE(INDIRECT(ADDRESS(73+3,K$2+1,,,"Instances") &amp; ":" &amp; ADDRESS(73+3,K$2+1))),"median", MEDIAN(INDIRECT(ADDRESS(73+3,K$2+1,,,"Instances") &amp; ":" &amp; ADDRESS(73+3,K$2+1))),"min", MIN(INDIRECT(ADDRESS(73+3,K$2+1,,,"Instances") &amp; ":" &amp; ADDRESS(73+3,K$2+1))),"max", MAX(INDIRECT(ADDRESS(73+3,K$2+1,,,"Instances") &amp; ":" &amp; ADDRESS(73+3,K$2+1))),"diff", MAX(INDIRECT(ADDRESS(73+3,K$2+1,,,"Instances") &amp; ":" &amp; ADDRESS(73+3,K$2+1)))-MIN(INDIRECT(ADDRESS(73+3,K$2+1,,,"Instances") &amp; ":" &amp; ADDRESS(73+3,K$2+1))))</f>
        <v>0</v>
      </c>
      <c r="L78">
        <f>IFERROR(SMALL(K5:K364,ROW()-ROW($L$5)+1),"")</f>
        <v>0</v>
      </c>
      <c r="N78">
        <f>IFERROR(SUM(L5:L78),"")</f>
        <v>0</v>
      </c>
      <c r="Q78">
        <f>IF(Charts!$B$3="none",E1885,IF(K1885="",NA(),K1885))</f>
        <v>0</v>
      </c>
      <c r="R78">
        <f>IF(Charts!$B$3="none",F1885,IF(L1885="",NA(),L1885))</f>
        <v>0</v>
      </c>
      <c r="S78">
        <f>IF(Charts!$B$3="none",G1885,IF(M1885="",NA(),M1885))</f>
        <v>0</v>
      </c>
      <c r="T78">
        <f>IF(Charts!$B$3="none",H1885,IF(N1885="",NA(),N1885))</f>
        <v>0</v>
      </c>
    </row>
    <row r="79" spans="4:20">
      <c r="D79">
        <v>75</v>
      </c>
      <c r="E79">
        <f>IF(INDIRECT(ADDRESS($D79+2,E$2+1,,,"Instances"))="","",INDIRECT(ADDRESS($D79+2,E$2+1,,,"Instances")))</f>
        <v>0</v>
      </c>
      <c r="F79">
        <f>IFERROR(SMALL(E5:E364,ROW()-ROW($F$5)+1),"")</f>
        <v>0</v>
      </c>
      <c r="H79">
        <f>IFERROR(SUM(F5:F79),"")</f>
        <v>0</v>
      </c>
      <c r="J79">
        <v>75</v>
      </c>
      <c r="K79" cm="1">
        <f t="array" ref="K79">_xlfn.SWITCH(Charts!$B$3,"average", AVERAGE(INDIRECT(ADDRESS(74+3,K$2+1,,,"Instances") &amp; ":" &amp; ADDRESS(74+3,K$2+1))),"median", MEDIAN(INDIRECT(ADDRESS(74+3,K$2+1,,,"Instances") &amp; ":" &amp; ADDRESS(74+3,K$2+1))),"min", MIN(INDIRECT(ADDRESS(74+3,K$2+1,,,"Instances") &amp; ":" &amp; ADDRESS(74+3,K$2+1))),"max", MAX(INDIRECT(ADDRESS(74+3,K$2+1,,,"Instances") &amp; ":" &amp; ADDRESS(74+3,K$2+1))),"diff", MAX(INDIRECT(ADDRESS(74+3,K$2+1,,,"Instances") &amp; ":" &amp; ADDRESS(74+3,K$2+1)))-MIN(INDIRECT(ADDRESS(74+3,K$2+1,,,"Instances") &amp; ":" &amp; ADDRESS(74+3,K$2+1))))</f>
        <v>0</v>
      </c>
      <c r="L79">
        <f>IFERROR(SMALL(K5:K364,ROW()-ROW($L$5)+1),"")</f>
        <v>0</v>
      </c>
      <c r="N79">
        <f>IFERROR(SUM(L5:L79),"")</f>
        <v>0</v>
      </c>
      <c r="Q79">
        <f>IF(Charts!$B$3="none",E1886,IF(K1886="",NA(),K1886))</f>
        <v>0</v>
      </c>
      <c r="R79">
        <f>IF(Charts!$B$3="none",F1886,IF(L1886="",NA(),L1886))</f>
        <v>0</v>
      </c>
      <c r="S79">
        <f>IF(Charts!$B$3="none",G1886,IF(M1886="",NA(),M1886))</f>
        <v>0</v>
      </c>
      <c r="T79">
        <f>IF(Charts!$B$3="none",H1886,IF(N1886="",NA(),N1886))</f>
        <v>0</v>
      </c>
    </row>
    <row r="80" spans="4:20">
      <c r="D80">
        <v>76</v>
      </c>
      <c r="E80">
        <f>IF(INDIRECT(ADDRESS($D80+2,E$2+1,,,"Instances"))="","",INDIRECT(ADDRESS($D80+2,E$2+1,,,"Instances")))</f>
        <v>0</v>
      </c>
      <c r="F80">
        <f>IFERROR(SMALL(E5:E364,ROW()-ROW($F$5)+1),"")</f>
        <v>0</v>
      </c>
      <c r="H80">
        <f>IFERROR(SUM(F5:F80),"")</f>
        <v>0</v>
      </c>
      <c r="J80">
        <v>76</v>
      </c>
      <c r="K80" cm="1">
        <f t="array" ref="K80">_xlfn.SWITCH(Charts!$B$3,"average", AVERAGE(INDIRECT(ADDRESS(75+3,K$2+1,,,"Instances") &amp; ":" &amp; ADDRESS(75+3,K$2+1))),"median", MEDIAN(INDIRECT(ADDRESS(75+3,K$2+1,,,"Instances") &amp; ":" &amp; ADDRESS(75+3,K$2+1))),"min", MIN(INDIRECT(ADDRESS(75+3,K$2+1,,,"Instances") &amp; ":" &amp; ADDRESS(75+3,K$2+1))),"max", MAX(INDIRECT(ADDRESS(75+3,K$2+1,,,"Instances") &amp; ":" &amp; ADDRESS(75+3,K$2+1))),"diff", MAX(INDIRECT(ADDRESS(75+3,K$2+1,,,"Instances") &amp; ":" &amp; ADDRESS(75+3,K$2+1)))-MIN(INDIRECT(ADDRESS(75+3,K$2+1,,,"Instances") &amp; ":" &amp; ADDRESS(75+3,K$2+1))))</f>
        <v>0</v>
      </c>
      <c r="L80">
        <f>IFERROR(SMALL(K5:K364,ROW()-ROW($L$5)+1),"")</f>
        <v>0</v>
      </c>
      <c r="N80">
        <f>IFERROR(SUM(L5:L80),"")</f>
        <v>0</v>
      </c>
      <c r="Q80">
        <f>IF(Charts!$B$3="none",E1887,IF(K1887="",NA(),K1887))</f>
        <v>0</v>
      </c>
      <c r="R80">
        <f>IF(Charts!$B$3="none",F1887,IF(L1887="",NA(),L1887))</f>
        <v>0</v>
      </c>
      <c r="S80">
        <f>IF(Charts!$B$3="none",G1887,IF(M1887="",NA(),M1887))</f>
        <v>0</v>
      </c>
      <c r="T80">
        <f>IF(Charts!$B$3="none",H1887,IF(N1887="",NA(),N1887))</f>
        <v>0</v>
      </c>
    </row>
    <row r="81" spans="4:20">
      <c r="D81">
        <v>77</v>
      </c>
      <c r="E81">
        <f>IF(INDIRECT(ADDRESS($D81+2,E$2+1,,,"Instances"))="","",INDIRECT(ADDRESS($D81+2,E$2+1,,,"Instances")))</f>
        <v>0</v>
      </c>
      <c r="F81">
        <f>IFERROR(SMALL(E5:E364,ROW()-ROW($F$5)+1),"")</f>
        <v>0</v>
      </c>
      <c r="H81">
        <f>IFERROR(SUM(F5:F81),"")</f>
        <v>0</v>
      </c>
      <c r="J81">
        <v>77</v>
      </c>
      <c r="K81" cm="1">
        <f t="array" ref="K81">_xlfn.SWITCH(Charts!$B$3,"average", AVERAGE(INDIRECT(ADDRESS(76+3,K$2+1,,,"Instances") &amp; ":" &amp; ADDRESS(76+3,K$2+1))),"median", MEDIAN(INDIRECT(ADDRESS(76+3,K$2+1,,,"Instances") &amp; ":" &amp; ADDRESS(76+3,K$2+1))),"min", MIN(INDIRECT(ADDRESS(76+3,K$2+1,,,"Instances") &amp; ":" &amp; ADDRESS(76+3,K$2+1))),"max", MAX(INDIRECT(ADDRESS(76+3,K$2+1,,,"Instances") &amp; ":" &amp; ADDRESS(76+3,K$2+1))),"diff", MAX(INDIRECT(ADDRESS(76+3,K$2+1,,,"Instances") &amp; ":" &amp; ADDRESS(76+3,K$2+1)))-MIN(INDIRECT(ADDRESS(76+3,K$2+1,,,"Instances") &amp; ":" &amp; ADDRESS(76+3,K$2+1))))</f>
        <v>0</v>
      </c>
      <c r="L81">
        <f>IFERROR(SMALL(K5:K364,ROW()-ROW($L$5)+1),"")</f>
        <v>0</v>
      </c>
      <c r="N81">
        <f>IFERROR(SUM(L5:L81),"")</f>
        <v>0</v>
      </c>
      <c r="Q81">
        <f>IF(Charts!$B$3="none",E1888,IF(K1888="",NA(),K1888))</f>
        <v>0</v>
      </c>
      <c r="R81">
        <f>IF(Charts!$B$3="none",F1888,IF(L1888="",NA(),L1888))</f>
        <v>0</v>
      </c>
      <c r="S81">
        <f>IF(Charts!$B$3="none",G1888,IF(M1888="",NA(),M1888))</f>
        <v>0</v>
      </c>
      <c r="T81">
        <f>IF(Charts!$B$3="none",H1888,IF(N1888="",NA(),N1888))</f>
        <v>0</v>
      </c>
    </row>
    <row r="82" spans="4:20">
      <c r="D82">
        <v>78</v>
      </c>
      <c r="E82">
        <f>IF(INDIRECT(ADDRESS($D82+2,E$2+1,,,"Instances"))="","",INDIRECT(ADDRESS($D82+2,E$2+1,,,"Instances")))</f>
        <v>0</v>
      </c>
      <c r="F82">
        <f>IFERROR(SMALL(E5:E364,ROW()-ROW($F$5)+1),"")</f>
        <v>0</v>
      </c>
      <c r="H82">
        <f>IFERROR(SUM(F5:F82),"")</f>
        <v>0</v>
      </c>
      <c r="J82">
        <v>78</v>
      </c>
      <c r="K82" cm="1">
        <f t="array" ref="K82">_xlfn.SWITCH(Charts!$B$3,"average", AVERAGE(INDIRECT(ADDRESS(77+3,K$2+1,,,"Instances") &amp; ":" &amp; ADDRESS(77+3,K$2+1))),"median", MEDIAN(INDIRECT(ADDRESS(77+3,K$2+1,,,"Instances") &amp; ":" &amp; ADDRESS(77+3,K$2+1))),"min", MIN(INDIRECT(ADDRESS(77+3,K$2+1,,,"Instances") &amp; ":" &amp; ADDRESS(77+3,K$2+1))),"max", MAX(INDIRECT(ADDRESS(77+3,K$2+1,,,"Instances") &amp; ":" &amp; ADDRESS(77+3,K$2+1))),"diff", MAX(INDIRECT(ADDRESS(77+3,K$2+1,,,"Instances") &amp; ":" &amp; ADDRESS(77+3,K$2+1)))-MIN(INDIRECT(ADDRESS(77+3,K$2+1,,,"Instances") &amp; ":" &amp; ADDRESS(77+3,K$2+1))))</f>
        <v>0</v>
      </c>
      <c r="L82">
        <f>IFERROR(SMALL(K5:K364,ROW()-ROW($L$5)+1),"")</f>
        <v>0</v>
      </c>
      <c r="N82">
        <f>IFERROR(SUM(L5:L82),"")</f>
        <v>0</v>
      </c>
      <c r="Q82">
        <f>IF(Charts!$B$3="none",E1889,IF(K1889="",NA(),K1889))</f>
        <v>0</v>
      </c>
      <c r="R82">
        <f>IF(Charts!$B$3="none",F1889,IF(L1889="",NA(),L1889))</f>
        <v>0</v>
      </c>
      <c r="S82">
        <f>IF(Charts!$B$3="none",G1889,IF(M1889="",NA(),M1889))</f>
        <v>0</v>
      </c>
      <c r="T82">
        <f>IF(Charts!$B$3="none",H1889,IF(N1889="",NA(),N1889))</f>
        <v>0</v>
      </c>
    </row>
    <row r="83" spans="4:20">
      <c r="D83">
        <v>79</v>
      </c>
      <c r="E83">
        <f>IF(INDIRECT(ADDRESS($D83+2,E$2+1,,,"Instances"))="","",INDIRECT(ADDRESS($D83+2,E$2+1,,,"Instances")))</f>
        <v>0</v>
      </c>
      <c r="F83">
        <f>IFERROR(SMALL(E5:E364,ROW()-ROW($F$5)+1),"")</f>
        <v>0</v>
      </c>
      <c r="H83">
        <f>IFERROR(SUM(F5:F83),"")</f>
        <v>0</v>
      </c>
      <c r="J83">
        <v>79</v>
      </c>
      <c r="K83" cm="1">
        <f t="array" ref="K83">_xlfn.SWITCH(Charts!$B$3,"average", AVERAGE(INDIRECT(ADDRESS(78+3,K$2+1,,,"Instances") &amp; ":" &amp; ADDRESS(78+3,K$2+1))),"median", MEDIAN(INDIRECT(ADDRESS(78+3,K$2+1,,,"Instances") &amp; ":" &amp; ADDRESS(78+3,K$2+1))),"min", MIN(INDIRECT(ADDRESS(78+3,K$2+1,,,"Instances") &amp; ":" &amp; ADDRESS(78+3,K$2+1))),"max", MAX(INDIRECT(ADDRESS(78+3,K$2+1,,,"Instances") &amp; ":" &amp; ADDRESS(78+3,K$2+1))),"diff", MAX(INDIRECT(ADDRESS(78+3,K$2+1,,,"Instances") &amp; ":" &amp; ADDRESS(78+3,K$2+1)))-MIN(INDIRECT(ADDRESS(78+3,K$2+1,,,"Instances") &amp; ":" &amp; ADDRESS(78+3,K$2+1))))</f>
        <v>0</v>
      </c>
      <c r="L83">
        <f>IFERROR(SMALL(K5:K364,ROW()-ROW($L$5)+1),"")</f>
        <v>0</v>
      </c>
      <c r="N83">
        <f>IFERROR(SUM(L5:L83),"")</f>
        <v>0</v>
      </c>
      <c r="Q83">
        <f>IF(Charts!$B$3="none",E1890,IF(K1890="",NA(),K1890))</f>
        <v>0</v>
      </c>
      <c r="R83">
        <f>IF(Charts!$B$3="none",F1890,IF(L1890="",NA(),L1890))</f>
        <v>0</v>
      </c>
      <c r="S83">
        <f>IF(Charts!$B$3="none",G1890,IF(M1890="",NA(),M1890))</f>
        <v>0</v>
      </c>
      <c r="T83">
        <f>IF(Charts!$B$3="none",H1890,IF(N1890="",NA(),N1890))</f>
        <v>0</v>
      </c>
    </row>
    <row r="84" spans="4:20">
      <c r="D84">
        <v>80</v>
      </c>
      <c r="E84">
        <f>IF(INDIRECT(ADDRESS($D84+2,E$2+1,,,"Instances"))="","",INDIRECT(ADDRESS($D84+2,E$2+1,,,"Instances")))</f>
        <v>0</v>
      </c>
      <c r="F84">
        <f>IFERROR(SMALL(E5:E364,ROW()-ROW($F$5)+1),"")</f>
        <v>0</v>
      </c>
      <c r="H84">
        <f>IFERROR(SUM(F5:F84),"")</f>
        <v>0</v>
      </c>
      <c r="J84">
        <v>80</v>
      </c>
      <c r="K84" cm="1">
        <f t="array" ref="K84">_xlfn.SWITCH(Charts!$B$3,"average", AVERAGE(INDIRECT(ADDRESS(79+3,K$2+1,,,"Instances") &amp; ":" &amp; ADDRESS(79+3,K$2+1))),"median", MEDIAN(INDIRECT(ADDRESS(79+3,K$2+1,,,"Instances") &amp; ":" &amp; ADDRESS(79+3,K$2+1))),"min", MIN(INDIRECT(ADDRESS(79+3,K$2+1,,,"Instances") &amp; ":" &amp; ADDRESS(79+3,K$2+1))),"max", MAX(INDIRECT(ADDRESS(79+3,K$2+1,,,"Instances") &amp; ":" &amp; ADDRESS(79+3,K$2+1))),"diff", MAX(INDIRECT(ADDRESS(79+3,K$2+1,,,"Instances") &amp; ":" &amp; ADDRESS(79+3,K$2+1)))-MIN(INDIRECT(ADDRESS(79+3,K$2+1,,,"Instances") &amp; ":" &amp; ADDRESS(79+3,K$2+1))))</f>
        <v>0</v>
      </c>
      <c r="L84">
        <f>IFERROR(SMALL(K5:K364,ROW()-ROW($L$5)+1),"")</f>
        <v>0</v>
      </c>
      <c r="N84">
        <f>IFERROR(SUM(L5:L84),"")</f>
        <v>0</v>
      </c>
      <c r="Q84">
        <f>IF(Charts!$B$3="none",E1891,IF(K1891="",NA(),K1891))</f>
        <v>0</v>
      </c>
      <c r="R84">
        <f>IF(Charts!$B$3="none",F1891,IF(L1891="",NA(),L1891))</f>
        <v>0</v>
      </c>
      <c r="S84">
        <f>IF(Charts!$B$3="none",G1891,IF(M1891="",NA(),M1891))</f>
        <v>0</v>
      </c>
      <c r="T84">
        <f>IF(Charts!$B$3="none",H1891,IF(N1891="",NA(),N1891))</f>
        <v>0</v>
      </c>
    </row>
    <row r="85" spans="4:20">
      <c r="D85">
        <v>81</v>
      </c>
      <c r="E85">
        <f>IF(INDIRECT(ADDRESS($D85+2,E$2+1,,,"Instances"))="","",INDIRECT(ADDRESS($D85+2,E$2+1,,,"Instances")))</f>
        <v>0</v>
      </c>
      <c r="F85">
        <f>IFERROR(SMALL(E5:E364,ROW()-ROW($F$5)+1),"")</f>
        <v>0</v>
      </c>
      <c r="H85">
        <f>IFERROR(SUM(F5:F85),"")</f>
        <v>0</v>
      </c>
      <c r="J85">
        <v>81</v>
      </c>
      <c r="K85" cm="1">
        <f t="array" ref="K85">_xlfn.SWITCH(Charts!$B$3,"average", AVERAGE(INDIRECT(ADDRESS(80+3,K$2+1,,,"Instances") &amp; ":" &amp; ADDRESS(80+3,K$2+1))),"median", MEDIAN(INDIRECT(ADDRESS(80+3,K$2+1,,,"Instances") &amp; ":" &amp; ADDRESS(80+3,K$2+1))),"min", MIN(INDIRECT(ADDRESS(80+3,K$2+1,,,"Instances") &amp; ":" &amp; ADDRESS(80+3,K$2+1))),"max", MAX(INDIRECT(ADDRESS(80+3,K$2+1,,,"Instances") &amp; ":" &amp; ADDRESS(80+3,K$2+1))),"diff", MAX(INDIRECT(ADDRESS(80+3,K$2+1,,,"Instances") &amp; ":" &amp; ADDRESS(80+3,K$2+1)))-MIN(INDIRECT(ADDRESS(80+3,K$2+1,,,"Instances") &amp; ":" &amp; ADDRESS(80+3,K$2+1))))</f>
        <v>0</v>
      </c>
      <c r="L85">
        <f>IFERROR(SMALL(K5:K364,ROW()-ROW($L$5)+1),"")</f>
        <v>0</v>
      </c>
      <c r="N85">
        <f>IFERROR(SUM(L5:L85),"")</f>
        <v>0</v>
      </c>
      <c r="Q85">
        <f>IF(Charts!$B$3="none",E1892,IF(K1892="",NA(),K1892))</f>
        <v>0</v>
      </c>
      <c r="R85">
        <f>IF(Charts!$B$3="none",F1892,IF(L1892="",NA(),L1892))</f>
        <v>0</v>
      </c>
      <c r="S85">
        <f>IF(Charts!$B$3="none",G1892,IF(M1892="",NA(),M1892))</f>
        <v>0</v>
      </c>
      <c r="T85">
        <f>IF(Charts!$B$3="none",H1892,IF(N1892="",NA(),N1892))</f>
        <v>0</v>
      </c>
    </row>
    <row r="86" spans="4:20">
      <c r="D86">
        <v>82</v>
      </c>
      <c r="E86">
        <f>IF(INDIRECT(ADDRESS($D86+2,E$2+1,,,"Instances"))="","",INDIRECT(ADDRESS($D86+2,E$2+1,,,"Instances")))</f>
        <v>0</v>
      </c>
      <c r="F86">
        <f>IFERROR(SMALL(E5:E364,ROW()-ROW($F$5)+1),"")</f>
        <v>0</v>
      </c>
      <c r="H86">
        <f>IFERROR(SUM(F5:F86),"")</f>
        <v>0</v>
      </c>
      <c r="J86">
        <v>82</v>
      </c>
      <c r="K86" cm="1">
        <f t="array" ref="K86">_xlfn.SWITCH(Charts!$B$3,"average", AVERAGE(INDIRECT(ADDRESS(81+3,K$2+1,,,"Instances") &amp; ":" &amp; ADDRESS(81+3,K$2+1))),"median", MEDIAN(INDIRECT(ADDRESS(81+3,K$2+1,,,"Instances") &amp; ":" &amp; ADDRESS(81+3,K$2+1))),"min", MIN(INDIRECT(ADDRESS(81+3,K$2+1,,,"Instances") &amp; ":" &amp; ADDRESS(81+3,K$2+1))),"max", MAX(INDIRECT(ADDRESS(81+3,K$2+1,,,"Instances") &amp; ":" &amp; ADDRESS(81+3,K$2+1))),"diff", MAX(INDIRECT(ADDRESS(81+3,K$2+1,,,"Instances") &amp; ":" &amp; ADDRESS(81+3,K$2+1)))-MIN(INDIRECT(ADDRESS(81+3,K$2+1,,,"Instances") &amp; ":" &amp; ADDRESS(81+3,K$2+1))))</f>
        <v>0</v>
      </c>
      <c r="L86">
        <f>IFERROR(SMALL(K5:K364,ROW()-ROW($L$5)+1),"")</f>
        <v>0</v>
      </c>
      <c r="N86">
        <f>IFERROR(SUM(L5:L86),"")</f>
        <v>0</v>
      </c>
      <c r="Q86">
        <f>IF(Charts!$B$3="none",E1893,IF(K1893="",NA(),K1893))</f>
        <v>0</v>
      </c>
      <c r="R86">
        <f>IF(Charts!$B$3="none",F1893,IF(L1893="",NA(),L1893))</f>
        <v>0</v>
      </c>
      <c r="S86">
        <f>IF(Charts!$B$3="none",G1893,IF(M1893="",NA(),M1893))</f>
        <v>0</v>
      </c>
      <c r="T86">
        <f>IF(Charts!$B$3="none",H1893,IF(N1893="",NA(),N1893))</f>
        <v>0</v>
      </c>
    </row>
    <row r="87" spans="4:20">
      <c r="D87">
        <v>83</v>
      </c>
      <c r="E87">
        <f>IF(INDIRECT(ADDRESS($D87+2,E$2+1,,,"Instances"))="","",INDIRECT(ADDRESS($D87+2,E$2+1,,,"Instances")))</f>
        <v>0</v>
      </c>
      <c r="F87">
        <f>IFERROR(SMALL(E5:E364,ROW()-ROW($F$5)+1),"")</f>
        <v>0</v>
      </c>
      <c r="H87">
        <f>IFERROR(SUM(F5:F87),"")</f>
        <v>0</v>
      </c>
      <c r="J87">
        <v>83</v>
      </c>
      <c r="K87" cm="1">
        <f t="array" ref="K87">_xlfn.SWITCH(Charts!$B$3,"average", AVERAGE(INDIRECT(ADDRESS(82+3,K$2+1,,,"Instances") &amp; ":" &amp; ADDRESS(82+3,K$2+1))),"median", MEDIAN(INDIRECT(ADDRESS(82+3,K$2+1,,,"Instances") &amp; ":" &amp; ADDRESS(82+3,K$2+1))),"min", MIN(INDIRECT(ADDRESS(82+3,K$2+1,,,"Instances") &amp; ":" &amp; ADDRESS(82+3,K$2+1))),"max", MAX(INDIRECT(ADDRESS(82+3,K$2+1,,,"Instances") &amp; ":" &amp; ADDRESS(82+3,K$2+1))),"diff", MAX(INDIRECT(ADDRESS(82+3,K$2+1,,,"Instances") &amp; ":" &amp; ADDRESS(82+3,K$2+1)))-MIN(INDIRECT(ADDRESS(82+3,K$2+1,,,"Instances") &amp; ":" &amp; ADDRESS(82+3,K$2+1))))</f>
        <v>0</v>
      </c>
      <c r="L87">
        <f>IFERROR(SMALL(K5:K364,ROW()-ROW($L$5)+1),"")</f>
        <v>0</v>
      </c>
      <c r="N87">
        <f>IFERROR(SUM(L5:L87),"")</f>
        <v>0</v>
      </c>
      <c r="Q87">
        <f>IF(Charts!$B$3="none",E1894,IF(K1894="",NA(),K1894))</f>
        <v>0</v>
      </c>
      <c r="R87">
        <f>IF(Charts!$B$3="none",F1894,IF(L1894="",NA(),L1894))</f>
        <v>0</v>
      </c>
      <c r="S87">
        <f>IF(Charts!$B$3="none",G1894,IF(M1894="",NA(),M1894))</f>
        <v>0</v>
      </c>
      <c r="T87">
        <f>IF(Charts!$B$3="none",H1894,IF(N1894="",NA(),N1894))</f>
        <v>0</v>
      </c>
    </row>
    <row r="88" spans="4:20">
      <c r="D88">
        <v>84</v>
      </c>
      <c r="E88">
        <f>IF(INDIRECT(ADDRESS($D88+2,E$2+1,,,"Instances"))="","",INDIRECT(ADDRESS($D88+2,E$2+1,,,"Instances")))</f>
        <v>0</v>
      </c>
      <c r="F88">
        <f>IFERROR(SMALL(E5:E364,ROW()-ROW($F$5)+1),"")</f>
        <v>0</v>
      </c>
      <c r="H88">
        <f>IFERROR(SUM(F5:F88),"")</f>
        <v>0</v>
      </c>
      <c r="J88">
        <v>84</v>
      </c>
      <c r="K88" cm="1">
        <f t="array" ref="K88">_xlfn.SWITCH(Charts!$B$3,"average", AVERAGE(INDIRECT(ADDRESS(83+3,K$2+1,,,"Instances") &amp; ":" &amp; ADDRESS(83+3,K$2+1))),"median", MEDIAN(INDIRECT(ADDRESS(83+3,K$2+1,,,"Instances") &amp; ":" &amp; ADDRESS(83+3,K$2+1))),"min", MIN(INDIRECT(ADDRESS(83+3,K$2+1,,,"Instances") &amp; ":" &amp; ADDRESS(83+3,K$2+1))),"max", MAX(INDIRECT(ADDRESS(83+3,K$2+1,,,"Instances") &amp; ":" &amp; ADDRESS(83+3,K$2+1))),"diff", MAX(INDIRECT(ADDRESS(83+3,K$2+1,,,"Instances") &amp; ":" &amp; ADDRESS(83+3,K$2+1)))-MIN(INDIRECT(ADDRESS(83+3,K$2+1,,,"Instances") &amp; ":" &amp; ADDRESS(83+3,K$2+1))))</f>
        <v>0</v>
      </c>
      <c r="L88">
        <f>IFERROR(SMALL(K5:K364,ROW()-ROW($L$5)+1),"")</f>
        <v>0</v>
      </c>
      <c r="N88">
        <f>IFERROR(SUM(L5:L88),"")</f>
        <v>0</v>
      </c>
      <c r="Q88">
        <f>IF(Charts!$B$3="none",E1895,IF(K1895="",NA(),K1895))</f>
        <v>0</v>
      </c>
      <c r="R88">
        <f>IF(Charts!$B$3="none",F1895,IF(L1895="",NA(),L1895))</f>
        <v>0</v>
      </c>
      <c r="S88">
        <f>IF(Charts!$B$3="none",G1895,IF(M1895="",NA(),M1895))</f>
        <v>0</v>
      </c>
      <c r="T88">
        <f>IF(Charts!$B$3="none",H1895,IF(N1895="",NA(),N1895))</f>
        <v>0</v>
      </c>
    </row>
    <row r="89" spans="4:20">
      <c r="D89">
        <v>85</v>
      </c>
      <c r="E89">
        <f>IF(INDIRECT(ADDRESS($D89+2,E$2+1,,,"Instances"))="","",INDIRECT(ADDRESS($D89+2,E$2+1,,,"Instances")))</f>
        <v>0</v>
      </c>
      <c r="F89">
        <f>IFERROR(SMALL(E5:E364,ROW()-ROW($F$5)+1),"")</f>
        <v>0</v>
      </c>
      <c r="H89">
        <f>IFERROR(SUM(F5:F89),"")</f>
        <v>0</v>
      </c>
      <c r="J89">
        <v>85</v>
      </c>
      <c r="K89" cm="1">
        <f t="array" ref="K89">_xlfn.SWITCH(Charts!$B$3,"average", AVERAGE(INDIRECT(ADDRESS(84+3,K$2+1,,,"Instances") &amp; ":" &amp; ADDRESS(84+3,K$2+1))),"median", MEDIAN(INDIRECT(ADDRESS(84+3,K$2+1,,,"Instances") &amp; ":" &amp; ADDRESS(84+3,K$2+1))),"min", MIN(INDIRECT(ADDRESS(84+3,K$2+1,,,"Instances") &amp; ":" &amp; ADDRESS(84+3,K$2+1))),"max", MAX(INDIRECT(ADDRESS(84+3,K$2+1,,,"Instances") &amp; ":" &amp; ADDRESS(84+3,K$2+1))),"diff", MAX(INDIRECT(ADDRESS(84+3,K$2+1,,,"Instances") &amp; ":" &amp; ADDRESS(84+3,K$2+1)))-MIN(INDIRECT(ADDRESS(84+3,K$2+1,,,"Instances") &amp; ":" &amp; ADDRESS(84+3,K$2+1))))</f>
        <v>0</v>
      </c>
      <c r="L89">
        <f>IFERROR(SMALL(K5:K364,ROW()-ROW($L$5)+1),"")</f>
        <v>0</v>
      </c>
      <c r="N89">
        <f>IFERROR(SUM(L5:L89),"")</f>
        <v>0</v>
      </c>
      <c r="Q89">
        <f>IF(Charts!$B$3="none",E1896,IF(K1896="",NA(),K1896))</f>
        <v>0</v>
      </c>
      <c r="R89">
        <f>IF(Charts!$B$3="none",F1896,IF(L1896="",NA(),L1896))</f>
        <v>0</v>
      </c>
      <c r="S89">
        <f>IF(Charts!$B$3="none",G1896,IF(M1896="",NA(),M1896))</f>
        <v>0</v>
      </c>
      <c r="T89">
        <f>IF(Charts!$B$3="none",H1896,IF(N1896="",NA(),N1896))</f>
        <v>0</v>
      </c>
    </row>
    <row r="90" spans="4:20">
      <c r="D90">
        <v>86</v>
      </c>
      <c r="E90">
        <f>IF(INDIRECT(ADDRESS($D90+2,E$2+1,,,"Instances"))="","",INDIRECT(ADDRESS($D90+2,E$2+1,,,"Instances")))</f>
        <v>0</v>
      </c>
      <c r="F90">
        <f>IFERROR(SMALL(E5:E364,ROW()-ROW($F$5)+1),"")</f>
        <v>0</v>
      </c>
      <c r="H90">
        <f>IFERROR(SUM(F5:F90),"")</f>
        <v>0</v>
      </c>
      <c r="J90">
        <v>86</v>
      </c>
      <c r="K90" cm="1">
        <f t="array" ref="K90">_xlfn.SWITCH(Charts!$B$3,"average", AVERAGE(INDIRECT(ADDRESS(85+3,K$2+1,,,"Instances") &amp; ":" &amp; ADDRESS(85+3,K$2+1))),"median", MEDIAN(INDIRECT(ADDRESS(85+3,K$2+1,,,"Instances") &amp; ":" &amp; ADDRESS(85+3,K$2+1))),"min", MIN(INDIRECT(ADDRESS(85+3,K$2+1,,,"Instances") &amp; ":" &amp; ADDRESS(85+3,K$2+1))),"max", MAX(INDIRECT(ADDRESS(85+3,K$2+1,,,"Instances") &amp; ":" &amp; ADDRESS(85+3,K$2+1))),"diff", MAX(INDIRECT(ADDRESS(85+3,K$2+1,,,"Instances") &amp; ":" &amp; ADDRESS(85+3,K$2+1)))-MIN(INDIRECT(ADDRESS(85+3,K$2+1,,,"Instances") &amp; ":" &amp; ADDRESS(85+3,K$2+1))))</f>
        <v>0</v>
      </c>
      <c r="L90">
        <f>IFERROR(SMALL(K5:K364,ROW()-ROW($L$5)+1),"")</f>
        <v>0</v>
      </c>
      <c r="N90">
        <f>IFERROR(SUM(L5:L90),"")</f>
        <v>0</v>
      </c>
      <c r="Q90">
        <f>IF(Charts!$B$3="none",E1897,IF(K1897="",NA(),K1897))</f>
        <v>0</v>
      </c>
      <c r="R90">
        <f>IF(Charts!$B$3="none",F1897,IF(L1897="",NA(),L1897))</f>
        <v>0</v>
      </c>
      <c r="S90">
        <f>IF(Charts!$B$3="none",G1897,IF(M1897="",NA(),M1897))</f>
        <v>0</v>
      </c>
      <c r="T90">
        <f>IF(Charts!$B$3="none",H1897,IF(N1897="",NA(),N1897))</f>
        <v>0</v>
      </c>
    </row>
    <row r="91" spans="4:20">
      <c r="D91">
        <v>87</v>
      </c>
      <c r="E91">
        <f>IF(INDIRECT(ADDRESS($D91+2,E$2+1,,,"Instances"))="","",INDIRECT(ADDRESS($D91+2,E$2+1,,,"Instances")))</f>
        <v>0</v>
      </c>
      <c r="F91">
        <f>IFERROR(SMALL(E5:E364,ROW()-ROW($F$5)+1),"")</f>
        <v>0</v>
      </c>
      <c r="H91">
        <f>IFERROR(SUM(F5:F91),"")</f>
        <v>0</v>
      </c>
      <c r="J91">
        <v>87</v>
      </c>
      <c r="K91" cm="1">
        <f t="array" ref="K91">_xlfn.SWITCH(Charts!$B$3,"average", AVERAGE(INDIRECT(ADDRESS(86+3,K$2+1,,,"Instances") &amp; ":" &amp; ADDRESS(86+3,K$2+1))),"median", MEDIAN(INDIRECT(ADDRESS(86+3,K$2+1,,,"Instances") &amp; ":" &amp; ADDRESS(86+3,K$2+1))),"min", MIN(INDIRECT(ADDRESS(86+3,K$2+1,,,"Instances") &amp; ":" &amp; ADDRESS(86+3,K$2+1))),"max", MAX(INDIRECT(ADDRESS(86+3,K$2+1,,,"Instances") &amp; ":" &amp; ADDRESS(86+3,K$2+1))),"diff", MAX(INDIRECT(ADDRESS(86+3,K$2+1,,,"Instances") &amp; ":" &amp; ADDRESS(86+3,K$2+1)))-MIN(INDIRECT(ADDRESS(86+3,K$2+1,,,"Instances") &amp; ":" &amp; ADDRESS(86+3,K$2+1))))</f>
        <v>0</v>
      </c>
      <c r="L91">
        <f>IFERROR(SMALL(K5:K364,ROW()-ROW($L$5)+1),"")</f>
        <v>0</v>
      </c>
      <c r="N91">
        <f>IFERROR(SUM(L5:L91),"")</f>
        <v>0</v>
      </c>
      <c r="Q91">
        <f>IF(Charts!$B$3="none",E1898,IF(K1898="",NA(),K1898))</f>
        <v>0</v>
      </c>
      <c r="R91">
        <f>IF(Charts!$B$3="none",F1898,IF(L1898="",NA(),L1898))</f>
        <v>0</v>
      </c>
      <c r="S91">
        <f>IF(Charts!$B$3="none",G1898,IF(M1898="",NA(),M1898))</f>
        <v>0</v>
      </c>
      <c r="T91">
        <f>IF(Charts!$B$3="none",H1898,IF(N1898="",NA(),N1898))</f>
        <v>0</v>
      </c>
    </row>
    <row r="92" spans="4:20">
      <c r="D92">
        <v>88</v>
      </c>
      <c r="E92">
        <f>IF(INDIRECT(ADDRESS($D92+2,E$2+1,,,"Instances"))="","",INDIRECT(ADDRESS($D92+2,E$2+1,,,"Instances")))</f>
        <v>0</v>
      </c>
      <c r="F92">
        <f>IFERROR(SMALL(E5:E364,ROW()-ROW($F$5)+1),"")</f>
        <v>0</v>
      </c>
      <c r="H92">
        <f>IFERROR(SUM(F5:F92),"")</f>
        <v>0</v>
      </c>
      <c r="J92">
        <v>88</v>
      </c>
      <c r="K92" cm="1">
        <f t="array" ref="K92">_xlfn.SWITCH(Charts!$B$3,"average", AVERAGE(INDIRECT(ADDRESS(87+3,K$2+1,,,"Instances") &amp; ":" &amp; ADDRESS(87+3,K$2+1))),"median", MEDIAN(INDIRECT(ADDRESS(87+3,K$2+1,,,"Instances") &amp; ":" &amp; ADDRESS(87+3,K$2+1))),"min", MIN(INDIRECT(ADDRESS(87+3,K$2+1,,,"Instances") &amp; ":" &amp; ADDRESS(87+3,K$2+1))),"max", MAX(INDIRECT(ADDRESS(87+3,K$2+1,,,"Instances") &amp; ":" &amp; ADDRESS(87+3,K$2+1))),"diff", MAX(INDIRECT(ADDRESS(87+3,K$2+1,,,"Instances") &amp; ":" &amp; ADDRESS(87+3,K$2+1)))-MIN(INDIRECT(ADDRESS(87+3,K$2+1,,,"Instances") &amp; ":" &amp; ADDRESS(87+3,K$2+1))))</f>
        <v>0</v>
      </c>
      <c r="L92">
        <f>IFERROR(SMALL(K5:K364,ROW()-ROW($L$5)+1),"")</f>
        <v>0</v>
      </c>
      <c r="N92">
        <f>IFERROR(SUM(L5:L92),"")</f>
        <v>0</v>
      </c>
      <c r="Q92">
        <f>IF(Charts!$B$3="none",E1899,IF(K1899="",NA(),K1899))</f>
        <v>0</v>
      </c>
      <c r="R92">
        <f>IF(Charts!$B$3="none",F1899,IF(L1899="",NA(),L1899))</f>
        <v>0</v>
      </c>
      <c r="S92">
        <f>IF(Charts!$B$3="none",G1899,IF(M1899="",NA(),M1899))</f>
        <v>0</v>
      </c>
      <c r="T92">
        <f>IF(Charts!$B$3="none",H1899,IF(N1899="",NA(),N1899))</f>
        <v>0</v>
      </c>
    </row>
    <row r="93" spans="4:20">
      <c r="D93">
        <v>89</v>
      </c>
      <c r="E93">
        <f>IF(INDIRECT(ADDRESS($D93+2,E$2+1,,,"Instances"))="","",INDIRECT(ADDRESS($D93+2,E$2+1,,,"Instances")))</f>
        <v>0</v>
      </c>
      <c r="F93">
        <f>IFERROR(SMALL(E5:E364,ROW()-ROW($F$5)+1),"")</f>
        <v>0</v>
      </c>
      <c r="H93">
        <f>IFERROR(SUM(F5:F93),"")</f>
        <v>0</v>
      </c>
      <c r="J93">
        <v>89</v>
      </c>
      <c r="K93" cm="1">
        <f t="array" ref="K93">_xlfn.SWITCH(Charts!$B$3,"average", AVERAGE(INDIRECT(ADDRESS(88+3,K$2+1,,,"Instances") &amp; ":" &amp; ADDRESS(88+3,K$2+1))),"median", MEDIAN(INDIRECT(ADDRESS(88+3,K$2+1,,,"Instances") &amp; ":" &amp; ADDRESS(88+3,K$2+1))),"min", MIN(INDIRECT(ADDRESS(88+3,K$2+1,,,"Instances") &amp; ":" &amp; ADDRESS(88+3,K$2+1))),"max", MAX(INDIRECT(ADDRESS(88+3,K$2+1,,,"Instances") &amp; ":" &amp; ADDRESS(88+3,K$2+1))),"diff", MAX(INDIRECT(ADDRESS(88+3,K$2+1,,,"Instances") &amp; ":" &amp; ADDRESS(88+3,K$2+1)))-MIN(INDIRECT(ADDRESS(88+3,K$2+1,,,"Instances") &amp; ":" &amp; ADDRESS(88+3,K$2+1))))</f>
        <v>0</v>
      </c>
      <c r="L93">
        <f>IFERROR(SMALL(K5:K364,ROW()-ROW($L$5)+1),"")</f>
        <v>0</v>
      </c>
      <c r="N93">
        <f>IFERROR(SUM(L5:L93),"")</f>
        <v>0</v>
      </c>
      <c r="Q93">
        <f>IF(Charts!$B$3="none",E1900,IF(K1900="",NA(),K1900))</f>
        <v>0</v>
      </c>
      <c r="R93">
        <f>IF(Charts!$B$3="none",F1900,IF(L1900="",NA(),L1900))</f>
        <v>0</v>
      </c>
      <c r="S93">
        <f>IF(Charts!$B$3="none",G1900,IF(M1900="",NA(),M1900))</f>
        <v>0</v>
      </c>
      <c r="T93">
        <f>IF(Charts!$B$3="none",H1900,IF(N1900="",NA(),N1900))</f>
        <v>0</v>
      </c>
    </row>
    <row r="94" spans="4:20">
      <c r="D94">
        <v>90</v>
      </c>
      <c r="E94">
        <f>IF(INDIRECT(ADDRESS($D94+2,E$2+1,,,"Instances"))="","",INDIRECT(ADDRESS($D94+2,E$2+1,,,"Instances")))</f>
        <v>0</v>
      </c>
      <c r="F94">
        <f>IFERROR(SMALL(E5:E364,ROW()-ROW($F$5)+1),"")</f>
        <v>0</v>
      </c>
      <c r="H94">
        <f>IFERROR(SUM(F5:F94),"")</f>
        <v>0</v>
      </c>
      <c r="J94">
        <v>90</v>
      </c>
      <c r="K94" cm="1">
        <f t="array" ref="K94">_xlfn.SWITCH(Charts!$B$3,"average", AVERAGE(INDIRECT(ADDRESS(89+3,K$2+1,,,"Instances") &amp; ":" &amp; ADDRESS(89+3,K$2+1))),"median", MEDIAN(INDIRECT(ADDRESS(89+3,K$2+1,,,"Instances") &amp; ":" &amp; ADDRESS(89+3,K$2+1))),"min", MIN(INDIRECT(ADDRESS(89+3,K$2+1,,,"Instances") &amp; ":" &amp; ADDRESS(89+3,K$2+1))),"max", MAX(INDIRECT(ADDRESS(89+3,K$2+1,,,"Instances") &amp; ":" &amp; ADDRESS(89+3,K$2+1))),"diff", MAX(INDIRECT(ADDRESS(89+3,K$2+1,,,"Instances") &amp; ":" &amp; ADDRESS(89+3,K$2+1)))-MIN(INDIRECT(ADDRESS(89+3,K$2+1,,,"Instances") &amp; ":" &amp; ADDRESS(89+3,K$2+1))))</f>
        <v>0</v>
      </c>
      <c r="L94">
        <f>IFERROR(SMALL(K5:K364,ROW()-ROW($L$5)+1),"")</f>
        <v>0</v>
      </c>
      <c r="N94">
        <f>IFERROR(SUM(L5:L94),"")</f>
        <v>0</v>
      </c>
      <c r="Q94">
        <f>IF(Charts!$B$3="none",E1901,IF(K1901="",NA(),K1901))</f>
        <v>0</v>
      </c>
      <c r="R94">
        <f>IF(Charts!$B$3="none",F1901,IF(L1901="",NA(),L1901))</f>
        <v>0</v>
      </c>
      <c r="S94">
        <f>IF(Charts!$B$3="none",G1901,IF(M1901="",NA(),M1901))</f>
        <v>0</v>
      </c>
      <c r="T94">
        <f>IF(Charts!$B$3="none",H1901,IF(N1901="",NA(),N1901))</f>
        <v>0</v>
      </c>
    </row>
    <row r="95" spans="4:20">
      <c r="D95">
        <v>91</v>
      </c>
      <c r="E95">
        <f>IF(INDIRECT(ADDRESS($D95+2,E$2+1,,,"Instances"))="","",INDIRECT(ADDRESS($D95+2,E$2+1,,,"Instances")))</f>
        <v>0</v>
      </c>
      <c r="F95">
        <f>IFERROR(SMALL(E5:E364,ROW()-ROW($F$5)+1),"")</f>
        <v>0</v>
      </c>
      <c r="H95">
        <f>IFERROR(SUM(F5:F95),"")</f>
        <v>0</v>
      </c>
      <c r="J95">
        <v>91</v>
      </c>
      <c r="K95" cm="1">
        <f t="array" ref="K95">_xlfn.SWITCH(Charts!$B$3,"average", AVERAGE(INDIRECT(ADDRESS(90+3,K$2+1,,,"Instances") &amp; ":" &amp; ADDRESS(90+3,K$2+1))),"median", MEDIAN(INDIRECT(ADDRESS(90+3,K$2+1,,,"Instances") &amp; ":" &amp; ADDRESS(90+3,K$2+1))),"min", MIN(INDIRECT(ADDRESS(90+3,K$2+1,,,"Instances") &amp; ":" &amp; ADDRESS(90+3,K$2+1))),"max", MAX(INDIRECT(ADDRESS(90+3,K$2+1,,,"Instances") &amp; ":" &amp; ADDRESS(90+3,K$2+1))),"diff", MAX(INDIRECT(ADDRESS(90+3,K$2+1,,,"Instances") &amp; ":" &amp; ADDRESS(90+3,K$2+1)))-MIN(INDIRECT(ADDRESS(90+3,K$2+1,,,"Instances") &amp; ":" &amp; ADDRESS(90+3,K$2+1))))</f>
        <v>0</v>
      </c>
      <c r="L95">
        <f>IFERROR(SMALL(K5:K364,ROW()-ROW($L$5)+1),"")</f>
        <v>0</v>
      </c>
      <c r="N95">
        <f>IFERROR(SUM(L5:L95),"")</f>
        <v>0</v>
      </c>
      <c r="Q95">
        <f>IF(Charts!$B$3="none",E1902,IF(K1902="",NA(),K1902))</f>
        <v>0</v>
      </c>
      <c r="R95">
        <f>IF(Charts!$B$3="none",F1902,IF(L1902="",NA(),L1902))</f>
        <v>0</v>
      </c>
      <c r="S95">
        <f>IF(Charts!$B$3="none",G1902,IF(M1902="",NA(),M1902))</f>
        <v>0</v>
      </c>
      <c r="T95">
        <f>IF(Charts!$B$3="none",H1902,IF(N1902="",NA(),N1902))</f>
        <v>0</v>
      </c>
    </row>
    <row r="96" spans="4:20">
      <c r="D96">
        <v>92</v>
      </c>
      <c r="E96">
        <f>IF(INDIRECT(ADDRESS($D96+2,E$2+1,,,"Instances"))="","",INDIRECT(ADDRESS($D96+2,E$2+1,,,"Instances")))</f>
        <v>0</v>
      </c>
      <c r="F96">
        <f>IFERROR(SMALL(E5:E364,ROW()-ROW($F$5)+1),"")</f>
        <v>0</v>
      </c>
      <c r="H96">
        <f>IFERROR(SUM(F5:F96),"")</f>
        <v>0</v>
      </c>
      <c r="J96">
        <v>92</v>
      </c>
      <c r="K96" cm="1">
        <f t="array" ref="K96">_xlfn.SWITCH(Charts!$B$3,"average", AVERAGE(INDIRECT(ADDRESS(91+3,K$2+1,,,"Instances") &amp; ":" &amp; ADDRESS(91+3,K$2+1))),"median", MEDIAN(INDIRECT(ADDRESS(91+3,K$2+1,,,"Instances") &amp; ":" &amp; ADDRESS(91+3,K$2+1))),"min", MIN(INDIRECT(ADDRESS(91+3,K$2+1,,,"Instances") &amp; ":" &amp; ADDRESS(91+3,K$2+1))),"max", MAX(INDIRECT(ADDRESS(91+3,K$2+1,,,"Instances") &amp; ":" &amp; ADDRESS(91+3,K$2+1))),"diff", MAX(INDIRECT(ADDRESS(91+3,K$2+1,,,"Instances") &amp; ":" &amp; ADDRESS(91+3,K$2+1)))-MIN(INDIRECT(ADDRESS(91+3,K$2+1,,,"Instances") &amp; ":" &amp; ADDRESS(91+3,K$2+1))))</f>
        <v>0</v>
      </c>
      <c r="L96">
        <f>IFERROR(SMALL(K5:K364,ROW()-ROW($L$5)+1),"")</f>
        <v>0</v>
      </c>
      <c r="N96">
        <f>IFERROR(SUM(L5:L96),"")</f>
        <v>0</v>
      </c>
      <c r="Q96">
        <f>IF(Charts!$B$3="none",E1903,IF(K1903="",NA(),K1903))</f>
        <v>0</v>
      </c>
      <c r="R96">
        <f>IF(Charts!$B$3="none",F1903,IF(L1903="",NA(),L1903))</f>
        <v>0</v>
      </c>
      <c r="S96">
        <f>IF(Charts!$B$3="none",G1903,IF(M1903="",NA(),M1903))</f>
        <v>0</v>
      </c>
      <c r="T96">
        <f>IF(Charts!$B$3="none",H1903,IF(N1903="",NA(),N1903))</f>
        <v>0</v>
      </c>
    </row>
    <row r="97" spans="4:20">
      <c r="D97">
        <v>93</v>
      </c>
      <c r="E97">
        <f>IF(INDIRECT(ADDRESS($D97+2,E$2+1,,,"Instances"))="","",INDIRECT(ADDRESS($D97+2,E$2+1,,,"Instances")))</f>
        <v>0</v>
      </c>
      <c r="F97">
        <f>IFERROR(SMALL(E5:E364,ROW()-ROW($F$5)+1),"")</f>
        <v>0</v>
      </c>
      <c r="H97">
        <f>IFERROR(SUM(F5:F97),"")</f>
        <v>0</v>
      </c>
      <c r="J97">
        <v>93</v>
      </c>
      <c r="K97" cm="1">
        <f t="array" ref="K97">_xlfn.SWITCH(Charts!$B$3,"average", AVERAGE(INDIRECT(ADDRESS(92+3,K$2+1,,,"Instances") &amp; ":" &amp; ADDRESS(92+3,K$2+1))),"median", MEDIAN(INDIRECT(ADDRESS(92+3,K$2+1,,,"Instances") &amp; ":" &amp; ADDRESS(92+3,K$2+1))),"min", MIN(INDIRECT(ADDRESS(92+3,K$2+1,,,"Instances") &amp; ":" &amp; ADDRESS(92+3,K$2+1))),"max", MAX(INDIRECT(ADDRESS(92+3,K$2+1,,,"Instances") &amp; ":" &amp; ADDRESS(92+3,K$2+1))),"diff", MAX(INDIRECT(ADDRESS(92+3,K$2+1,,,"Instances") &amp; ":" &amp; ADDRESS(92+3,K$2+1)))-MIN(INDIRECT(ADDRESS(92+3,K$2+1,,,"Instances") &amp; ":" &amp; ADDRESS(92+3,K$2+1))))</f>
        <v>0</v>
      </c>
      <c r="L97">
        <f>IFERROR(SMALL(K5:K364,ROW()-ROW($L$5)+1),"")</f>
        <v>0</v>
      </c>
      <c r="N97">
        <f>IFERROR(SUM(L5:L97),"")</f>
        <v>0</v>
      </c>
      <c r="Q97">
        <f>IF(Charts!$B$3="none",E1904,IF(K1904="",NA(),K1904))</f>
        <v>0</v>
      </c>
      <c r="R97">
        <f>IF(Charts!$B$3="none",F1904,IF(L1904="",NA(),L1904))</f>
        <v>0</v>
      </c>
      <c r="S97">
        <f>IF(Charts!$B$3="none",G1904,IF(M1904="",NA(),M1904))</f>
        <v>0</v>
      </c>
      <c r="T97">
        <f>IF(Charts!$B$3="none",H1904,IF(N1904="",NA(),N1904))</f>
        <v>0</v>
      </c>
    </row>
    <row r="98" spans="4:20">
      <c r="D98">
        <v>94</v>
      </c>
      <c r="E98">
        <f>IF(INDIRECT(ADDRESS($D98+2,E$2+1,,,"Instances"))="","",INDIRECT(ADDRESS($D98+2,E$2+1,,,"Instances")))</f>
        <v>0</v>
      </c>
      <c r="F98">
        <f>IFERROR(SMALL(E5:E364,ROW()-ROW($F$5)+1),"")</f>
        <v>0</v>
      </c>
      <c r="H98">
        <f>IFERROR(SUM(F5:F98),"")</f>
        <v>0</v>
      </c>
      <c r="J98">
        <v>94</v>
      </c>
      <c r="K98" cm="1">
        <f t="array" ref="K98">_xlfn.SWITCH(Charts!$B$3,"average", AVERAGE(INDIRECT(ADDRESS(93+3,K$2+1,,,"Instances") &amp; ":" &amp; ADDRESS(93+3,K$2+1))),"median", MEDIAN(INDIRECT(ADDRESS(93+3,K$2+1,,,"Instances") &amp; ":" &amp; ADDRESS(93+3,K$2+1))),"min", MIN(INDIRECT(ADDRESS(93+3,K$2+1,,,"Instances") &amp; ":" &amp; ADDRESS(93+3,K$2+1))),"max", MAX(INDIRECT(ADDRESS(93+3,K$2+1,,,"Instances") &amp; ":" &amp; ADDRESS(93+3,K$2+1))),"diff", MAX(INDIRECT(ADDRESS(93+3,K$2+1,,,"Instances") &amp; ":" &amp; ADDRESS(93+3,K$2+1)))-MIN(INDIRECT(ADDRESS(93+3,K$2+1,,,"Instances") &amp; ":" &amp; ADDRESS(93+3,K$2+1))))</f>
        <v>0</v>
      </c>
      <c r="L98">
        <f>IFERROR(SMALL(K5:K364,ROW()-ROW($L$5)+1),"")</f>
        <v>0</v>
      </c>
      <c r="N98">
        <f>IFERROR(SUM(L5:L98),"")</f>
        <v>0</v>
      </c>
      <c r="Q98">
        <f>IF(Charts!$B$3="none",E1905,IF(K1905="",NA(),K1905))</f>
        <v>0</v>
      </c>
      <c r="R98">
        <f>IF(Charts!$B$3="none",F1905,IF(L1905="",NA(),L1905))</f>
        <v>0</v>
      </c>
      <c r="S98">
        <f>IF(Charts!$B$3="none",G1905,IF(M1905="",NA(),M1905))</f>
        <v>0</v>
      </c>
      <c r="T98">
        <f>IF(Charts!$B$3="none",H1905,IF(N1905="",NA(),N1905))</f>
        <v>0</v>
      </c>
    </row>
    <row r="99" spans="4:20">
      <c r="D99">
        <v>95</v>
      </c>
      <c r="E99">
        <f>IF(INDIRECT(ADDRESS($D99+2,E$2+1,,,"Instances"))="","",INDIRECT(ADDRESS($D99+2,E$2+1,,,"Instances")))</f>
        <v>0</v>
      </c>
      <c r="F99">
        <f>IFERROR(SMALL(E5:E364,ROW()-ROW($F$5)+1),"")</f>
        <v>0</v>
      </c>
      <c r="H99">
        <f>IFERROR(SUM(F5:F99),"")</f>
        <v>0</v>
      </c>
      <c r="J99">
        <v>95</v>
      </c>
      <c r="K99" cm="1">
        <f t="array" ref="K99">_xlfn.SWITCH(Charts!$B$3,"average", AVERAGE(INDIRECT(ADDRESS(94+3,K$2+1,,,"Instances") &amp; ":" &amp; ADDRESS(94+3,K$2+1))),"median", MEDIAN(INDIRECT(ADDRESS(94+3,K$2+1,,,"Instances") &amp; ":" &amp; ADDRESS(94+3,K$2+1))),"min", MIN(INDIRECT(ADDRESS(94+3,K$2+1,,,"Instances") &amp; ":" &amp; ADDRESS(94+3,K$2+1))),"max", MAX(INDIRECT(ADDRESS(94+3,K$2+1,,,"Instances") &amp; ":" &amp; ADDRESS(94+3,K$2+1))),"diff", MAX(INDIRECT(ADDRESS(94+3,K$2+1,,,"Instances") &amp; ":" &amp; ADDRESS(94+3,K$2+1)))-MIN(INDIRECT(ADDRESS(94+3,K$2+1,,,"Instances") &amp; ":" &amp; ADDRESS(94+3,K$2+1))))</f>
        <v>0</v>
      </c>
      <c r="L99">
        <f>IFERROR(SMALL(K5:K364,ROW()-ROW($L$5)+1),"")</f>
        <v>0</v>
      </c>
      <c r="N99">
        <f>IFERROR(SUM(L5:L99),"")</f>
        <v>0</v>
      </c>
      <c r="Q99">
        <f>IF(Charts!$B$3="none",E1906,IF(K1906="",NA(),K1906))</f>
        <v>0</v>
      </c>
      <c r="R99">
        <f>IF(Charts!$B$3="none",F1906,IF(L1906="",NA(),L1906))</f>
        <v>0</v>
      </c>
      <c r="S99">
        <f>IF(Charts!$B$3="none",G1906,IF(M1906="",NA(),M1906))</f>
        <v>0</v>
      </c>
      <c r="T99">
        <f>IF(Charts!$B$3="none",H1906,IF(N1906="",NA(),N1906))</f>
        <v>0</v>
      </c>
    </row>
    <row r="100" spans="4:20">
      <c r="D100">
        <v>96</v>
      </c>
      <c r="E100">
        <f>IF(INDIRECT(ADDRESS($D100+2,E$2+1,,,"Instances"))="","",INDIRECT(ADDRESS($D100+2,E$2+1,,,"Instances")))</f>
        <v>0</v>
      </c>
      <c r="F100">
        <f>IFERROR(SMALL(E5:E364,ROW()-ROW($F$5)+1),"")</f>
        <v>0</v>
      </c>
      <c r="H100">
        <f>IFERROR(SUM(F5:F100),"")</f>
        <v>0</v>
      </c>
      <c r="J100">
        <v>96</v>
      </c>
      <c r="K100" cm="1">
        <f t="array" ref="K100">_xlfn.SWITCH(Charts!$B$3,"average", AVERAGE(INDIRECT(ADDRESS(95+3,K$2+1,,,"Instances") &amp; ":" &amp; ADDRESS(95+3,K$2+1))),"median", MEDIAN(INDIRECT(ADDRESS(95+3,K$2+1,,,"Instances") &amp; ":" &amp; ADDRESS(95+3,K$2+1))),"min", MIN(INDIRECT(ADDRESS(95+3,K$2+1,,,"Instances") &amp; ":" &amp; ADDRESS(95+3,K$2+1))),"max", MAX(INDIRECT(ADDRESS(95+3,K$2+1,,,"Instances") &amp; ":" &amp; ADDRESS(95+3,K$2+1))),"diff", MAX(INDIRECT(ADDRESS(95+3,K$2+1,,,"Instances") &amp; ":" &amp; ADDRESS(95+3,K$2+1)))-MIN(INDIRECT(ADDRESS(95+3,K$2+1,,,"Instances") &amp; ":" &amp; ADDRESS(95+3,K$2+1))))</f>
        <v>0</v>
      </c>
      <c r="L100">
        <f>IFERROR(SMALL(K5:K364,ROW()-ROW($L$5)+1),"")</f>
        <v>0</v>
      </c>
      <c r="N100">
        <f>IFERROR(SUM(L5:L100),"")</f>
        <v>0</v>
      </c>
      <c r="Q100">
        <f>IF(Charts!$B$3="none",E1907,IF(K1907="",NA(),K1907))</f>
        <v>0</v>
      </c>
      <c r="R100">
        <f>IF(Charts!$B$3="none",F1907,IF(L1907="",NA(),L1907))</f>
        <v>0</v>
      </c>
      <c r="S100">
        <f>IF(Charts!$B$3="none",G1907,IF(M1907="",NA(),M1907))</f>
        <v>0</v>
      </c>
      <c r="T100">
        <f>IF(Charts!$B$3="none",H1907,IF(N1907="",NA(),N1907))</f>
        <v>0</v>
      </c>
    </row>
    <row r="101" spans="4:20">
      <c r="D101">
        <v>97</v>
      </c>
      <c r="E101">
        <f>IF(INDIRECT(ADDRESS($D101+2,E$2+1,,,"Instances"))="","",INDIRECT(ADDRESS($D101+2,E$2+1,,,"Instances")))</f>
        <v>0</v>
      </c>
      <c r="F101">
        <f>IFERROR(SMALL(E5:E364,ROW()-ROW($F$5)+1),"")</f>
        <v>0</v>
      </c>
      <c r="H101">
        <f>IFERROR(SUM(F5:F101),"")</f>
        <v>0</v>
      </c>
      <c r="J101">
        <v>97</v>
      </c>
      <c r="K101" cm="1">
        <f t="array" ref="K101">_xlfn.SWITCH(Charts!$B$3,"average", AVERAGE(INDIRECT(ADDRESS(96+3,K$2+1,,,"Instances") &amp; ":" &amp; ADDRESS(96+3,K$2+1))),"median", MEDIAN(INDIRECT(ADDRESS(96+3,K$2+1,,,"Instances") &amp; ":" &amp; ADDRESS(96+3,K$2+1))),"min", MIN(INDIRECT(ADDRESS(96+3,K$2+1,,,"Instances") &amp; ":" &amp; ADDRESS(96+3,K$2+1))),"max", MAX(INDIRECT(ADDRESS(96+3,K$2+1,,,"Instances") &amp; ":" &amp; ADDRESS(96+3,K$2+1))),"diff", MAX(INDIRECT(ADDRESS(96+3,K$2+1,,,"Instances") &amp; ":" &amp; ADDRESS(96+3,K$2+1)))-MIN(INDIRECT(ADDRESS(96+3,K$2+1,,,"Instances") &amp; ":" &amp; ADDRESS(96+3,K$2+1))))</f>
        <v>0</v>
      </c>
      <c r="L101">
        <f>IFERROR(SMALL(K5:K364,ROW()-ROW($L$5)+1),"")</f>
        <v>0</v>
      </c>
      <c r="N101">
        <f>IFERROR(SUM(L5:L101),"")</f>
        <v>0</v>
      </c>
      <c r="Q101">
        <f>IF(Charts!$B$3="none",E1908,IF(K1908="",NA(),K1908))</f>
        <v>0</v>
      </c>
      <c r="R101">
        <f>IF(Charts!$B$3="none",F1908,IF(L1908="",NA(),L1908))</f>
        <v>0</v>
      </c>
      <c r="S101">
        <f>IF(Charts!$B$3="none",G1908,IF(M1908="",NA(),M1908))</f>
        <v>0</v>
      </c>
      <c r="T101">
        <f>IF(Charts!$B$3="none",H1908,IF(N1908="",NA(),N1908))</f>
        <v>0</v>
      </c>
    </row>
    <row r="102" spans="4:20">
      <c r="D102">
        <v>98</v>
      </c>
      <c r="E102">
        <f>IF(INDIRECT(ADDRESS($D102+2,E$2+1,,,"Instances"))="","",INDIRECT(ADDRESS($D102+2,E$2+1,,,"Instances")))</f>
        <v>0</v>
      </c>
      <c r="F102">
        <f>IFERROR(SMALL(E5:E364,ROW()-ROW($F$5)+1),"")</f>
        <v>0</v>
      </c>
      <c r="H102">
        <f>IFERROR(SUM(F5:F102),"")</f>
        <v>0</v>
      </c>
      <c r="J102">
        <v>98</v>
      </c>
      <c r="K102" cm="1">
        <f t="array" ref="K102">_xlfn.SWITCH(Charts!$B$3,"average", AVERAGE(INDIRECT(ADDRESS(97+3,K$2+1,,,"Instances") &amp; ":" &amp; ADDRESS(97+3,K$2+1))),"median", MEDIAN(INDIRECT(ADDRESS(97+3,K$2+1,,,"Instances") &amp; ":" &amp; ADDRESS(97+3,K$2+1))),"min", MIN(INDIRECT(ADDRESS(97+3,K$2+1,,,"Instances") &amp; ":" &amp; ADDRESS(97+3,K$2+1))),"max", MAX(INDIRECT(ADDRESS(97+3,K$2+1,,,"Instances") &amp; ":" &amp; ADDRESS(97+3,K$2+1))),"diff", MAX(INDIRECT(ADDRESS(97+3,K$2+1,,,"Instances") &amp; ":" &amp; ADDRESS(97+3,K$2+1)))-MIN(INDIRECT(ADDRESS(97+3,K$2+1,,,"Instances") &amp; ":" &amp; ADDRESS(97+3,K$2+1))))</f>
        <v>0</v>
      </c>
      <c r="L102">
        <f>IFERROR(SMALL(K5:K364,ROW()-ROW($L$5)+1),"")</f>
        <v>0</v>
      </c>
      <c r="N102">
        <f>IFERROR(SUM(L5:L102),"")</f>
        <v>0</v>
      </c>
      <c r="Q102">
        <f>IF(Charts!$B$3="none",E1909,IF(K1909="",NA(),K1909))</f>
        <v>0</v>
      </c>
      <c r="R102">
        <f>IF(Charts!$B$3="none",F1909,IF(L1909="",NA(),L1909))</f>
        <v>0</v>
      </c>
      <c r="S102">
        <f>IF(Charts!$B$3="none",G1909,IF(M1909="",NA(),M1909))</f>
        <v>0</v>
      </c>
      <c r="T102">
        <f>IF(Charts!$B$3="none",H1909,IF(N1909="",NA(),N1909))</f>
        <v>0</v>
      </c>
    </row>
    <row r="103" spans="4:20">
      <c r="D103">
        <v>99</v>
      </c>
      <c r="E103">
        <f>IF(INDIRECT(ADDRESS($D103+2,E$2+1,,,"Instances"))="","",INDIRECT(ADDRESS($D103+2,E$2+1,,,"Instances")))</f>
        <v>0</v>
      </c>
      <c r="F103">
        <f>IFERROR(SMALL(E5:E364,ROW()-ROW($F$5)+1),"")</f>
        <v>0</v>
      </c>
      <c r="H103">
        <f>IFERROR(SUM(F5:F103),"")</f>
        <v>0</v>
      </c>
      <c r="J103">
        <v>99</v>
      </c>
      <c r="K103" cm="1">
        <f t="array" ref="K103">_xlfn.SWITCH(Charts!$B$3,"average", AVERAGE(INDIRECT(ADDRESS(98+3,K$2+1,,,"Instances") &amp; ":" &amp; ADDRESS(98+3,K$2+1))),"median", MEDIAN(INDIRECT(ADDRESS(98+3,K$2+1,,,"Instances") &amp; ":" &amp; ADDRESS(98+3,K$2+1))),"min", MIN(INDIRECT(ADDRESS(98+3,K$2+1,,,"Instances") &amp; ":" &amp; ADDRESS(98+3,K$2+1))),"max", MAX(INDIRECT(ADDRESS(98+3,K$2+1,,,"Instances") &amp; ":" &amp; ADDRESS(98+3,K$2+1))),"diff", MAX(INDIRECT(ADDRESS(98+3,K$2+1,,,"Instances") &amp; ":" &amp; ADDRESS(98+3,K$2+1)))-MIN(INDIRECT(ADDRESS(98+3,K$2+1,,,"Instances") &amp; ":" &amp; ADDRESS(98+3,K$2+1))))</f>
        <v>0</v>
      </c>
      <c r="L103">
        <f>IFERROR(SMALL(K5:K364,ROW()-ROW($L$5)+1),"")</f>
        <v>0</v>
      </c>
      <c r="N103">
        <f>IFERROR(SUM(L5:L103),"")</f>
        <v>0</v>
      </c>
      <c r="Q103">
        <f>IF(Charts!$B$3="none",E1910,IF(K1910="",NA(),K1910))</f>
        <v>0</v>
      </c>
      <c r="R103">
        <f>IF(Charts!$B$3="none",F1910,IF(L1910="",NA(),L1910))</f>
        <v>0</v>
      </c>
      <c r="S103">
        <f>IF(Charts!$B$3="none",G1910,IF(M1910="",NA(),M1910))</f>
        <v>0</v>
      </c>
      <c r="T103">
        <f>IF(Charts!$B$3="none",H1910,IF(N1910="",NA(),N1910))</f>
        <v>0</v>
      </c>
    </row>
    <row r="104" spans="4:20">
      <c r="D104">
        <v>100</v>
      </c>
      <c r="E104">
        <f>IF(INDIRECT(ADDRESS($D104+2,E$2+1,,,"Instances"))="","",INDIRECT(ADDRESS($D104+2,E$2+1,,,"Instances")))</f>
        <v>0</v>
      </c>
      <c r="F104">
        <f>IFERROR(SMALL(E5:E364,ROW()-ROW($F$5)+1),"")</f>
        <v>0</v>
      </c>
      <c r="H104">
        <f>IFERROR(SUM(F5:F104),"")</f>
        <v>0</v>
      </c>
      <c r="J104">
        <v>100</v>
      </c>
      <c r="K104" cm="1">
        <f t="array" ref="K104">_xlfn.SWITCH(Charts!$B$3,"average", AVERAGE(INDIRECT(ADDRESS(99+3,K$2+1,,,"Instances") &amp; ":" &amp; ADDRESS(99+3,K$2+1))),"median", MEDIAN(INDIRECT(ADDRESS(99+3,K$2+1,,,"Instances") &amp; ":" &amp; ADDRESS(99+3,K$2+1))),"min", MIN(INDIRECT(ADDRESS(99+3,K$2+1,,,"Instances") &amp; ":" &amp; ADDRESS(99+3,K$2+1))),"max", MAX(INDIRECT(ADDRESS(99+3,K$2+1,,,"Instances") &amp; ":" &amp; ADDRESS(99+3,K$2+1))),"diff", MAX(INDIRECT(ADDRESS(99+3,K$2+1,,,"Instances") &amp; ":" &amp; ADDRESS(99+3,K$2+1)))-MIN(INDIRECT(ADDRESS(99+3,K$2+1,,,"Instances") &amp; ":" &amp; ADDRESS(99+3,K$2+1))))</f>
        <v>0</v>
      </c>
      <c r="L104">
        <f>IFERROR(SMALL(K5:K364,ROW()-ROW($L$5)+1),"")</f>
        <v>0</v>
      </c>
      <c r="N104">
        <f>IFERROR(SUM(L5:L104),"")</f>
        <v>0</v>
      </c>
      <c r="Q104">
        <f>IF(Charts!$B$3="none",E1911,IF(K1911="",NA(),K1911))</f>
        <v>0</v>
      </c>
      <c r="R104">
        <f>IF(Charts!$B$3="none",F1911,IF(L1911="",NA(),L1911))</f>
        <v>0</v>
      </c>
      <c r="S104">
        <f>IF(Charts!$B$3="none",G1911,IF(M1911="",NA(),M1911))</f>
        <v>0</v>
      </c>
      <c r="T104">
        <f>IF(Charts!$B$3="none",H1911,IF(N1911="",NA(),N1911))</f>
        <v>0</v>
      </c>
    </row>
    <row r="105" spans="4:20">
      <c r="D105">
        <v>101</v>
      </c>
      <c r="E105">
        <f>IF(INDIRECT(ADDRESS($D105+2,E$2+1,,,"Instances"))="","",INDIRECT(ADDRESS($D105+2,E$2+1,,,"Instances")))</f>
        <v>0</v>
      </c>
      <c r="F105">
        <f>IFERROR(SMALL(E5:E364,ROW()-ROW($F$5)+1),"")</f>
        <v>0</v>
      </c>
      <c r="H105">
        <f>IFERROR(SUM(F5:F105),"")</f>
        <v>0</v>
      </c>
      <c r="J105">
        <v>101</v>
      </c>
      <c r="K105" cm="1">
        <f t="array" ref="K105">_xlfn.SWITCH(Charts!$B$3,"average", AVERAGE(INDIRECT(ADDRESS(100+3,K$2+1,,,"Instances") &amp; ":" &amp; ADDRESS(100+3,K$2+1))),"median", MEDIAN(INDIRECT(ADDRESS(100+3,K$2+1,,,"Instances") &amp; ":" &amp; ADDRESS(100+3,K$2+1))),"min", MIN(INDIRECT(ADDRESS(100+3,K$2+1,,,"Instances") &amp; ":" &amp; ADDRESS(100+3,K$2+1))),"max", MAX(INDIRECT(ADDRESS(100+3,K$2+1,,,"Instances") &amp; ":" &amp; ADDRESS(100+3,K$2+1))),"diff", MAX(INDIRECT(ADDRESS(100+3,K$2+1,,,"Instances") &amp; ":" &amp; ADDRESS(100+3,K$2+1)))-MIN(INDIRECT(ADDRESS(100+3,K$2+1,,,"Instances") &amp; ":" &amp; ADDRESS(100+3,K$2+1))))</f>
        <v>0</v>
      </c>
      <c r="L105">
        <f>IFERROR(SMALL(K5:K364,ROW()-ROW($L$5)+1),"")</f>
        <v>0</v>
      </c>
      <c r="N105">
        <f>IFERROR(SUM(L5:L105),"")</f>
        <v>0</v>
      </c>
      <c r="Q105">
        <f>IF(Charts!$B$3="none",E1912,IF(K1912="",NA(),K1912))</f>
        <v>0</v>
      </c>
      <c r="R105">
        <f>IF(Charts!$B$3="none",F1912,IF(L1912="",NA(),L1912))</f>
        <v>0</v>
      </c>
      <c r="S105">
        <f>IF(Charts!$B$3="none",G1912,IF(M1912="",NA(),M1912))</f>
        <v>0</v>
      </c>
      <c r="T105">
        <f>IF(Charts!$B$3="none",H1912,IF(N1912="",NA(),N1912))</f>
        <v>0</v>
      </c>
    </row>
    <row r="106" spans="4:20">
      <c r="D106">
        <v>102</v>
      </c>
      <c r="E106">
        <f>IF(INDIRECT(ADDRESS($D106+2,E$2+1,,,"Instances"))="","",INDIRECT(ADDRESS($D106+2,E$2+1,,,"Instances")))</f>
        <v>0</v>
      </c>
      <c r="F106">
        <f>IFERROR(SMALL(E5:E364,ROW()-ROW($F$5)+1),"")</f>
        <v>0</v>
      </c>
      <c r="H106">
        <f>IFERROR(SUM(F5:F106),"")</f>
        <v>0</v>
      </c>
      <c r="J106">
        <v>102</v>
      </c>
      <c r="K106" cm="1">
        <f t="array" ref="K106">_xlfn.SWITCH(Charts!$B$3,"average", AVERAGE(INDIRECT(ADDRESS(101+3,K$2+1,,,"Instances") &amp; ":" &amp; ADDRESS(101+3,K$2+1))),"median", MEDIAN(INDIRECT(ADDRESS(101+3,K$2+1,,,"Instances") &amp; ":" &amp; ADDRESS(101+3,K$2+1))),"min", MIN(INDIRECT(ADDRESS(101+3,K$2+1,,,"Instances") &amp; ":" &amp; ADDRESS(101+3,K$2+1))),"max", MAX(INDIRECT(ADDRESS(101+3,K$2+1,,,"Instances") &amp; ":" &amp; ADDRESS(101+3,K$2+1))),"diff", MAX(INDIRECT(ADDRESS(101+3,K$2+1,,,"Instances") &amp; ":" &amp; ADDRESS(101+3,K$2+1)))-MIN(INDIRECT(ADDRESS(101+3,K$2+1,,,"Instances") &amp; ":" &amp; ADDRESS(101+3,K$2+1))))</f>
        <v>0</v>
      </c>
      <c r="L106">
        <f>IFERROR(SMALL(K5:K364,ROW()-ROW($L$5)+1),"")</f>
        <v>0</v>
      </c>
      <c r="N106">
        <f>IFERROR(SUM(L5:L106),"")</f>
        <v>0</v>
      </c>
      <c r="Q106">
        <f>IF(Charts!$B$3="none",E1913,IF(K1913="",NA(),K1913))</f>
        <v>0</v>
      </c>
      <c r="R106">
        <f>IF(Charts!$B$3="none",F1913,IF(L1913="",NA(),L1913))</f>
        <v>0</v>
      </c>
      <c r="S106">
        <f>IF(Charts!$B$3="none",G1913,IF(M1913="",NA(),M1913))</f>
        <v>0</v>
      </c>
      <c r="T106">
        <f>IF(Charts!$B$3="none",H1913,IF(N1913="",NA(),N1913))</f>
        <v>0</v>
      </c>
    </row>
    <row r="107" spans="4:20">
      <c r="D107">
        <v>103</v>
      </c>
      <c r="E107">
        <f>IF(INDIRECT(ADDRESS($D107+2,E$2+1,,,"Instances"))="","",INDIRECT(ADDRESS($D107+2,E$2+1,,,"Instances")))</f>
        <v>0</v>
      </c>
      <c r="F107">
        <f>IFERROR(SMALL(E5:E364,ROW()-ROW($F$5)+1),"")</f>
        <v>0</v>
      </c>
      <c r="H107">
        <f>IFERROR(SUM(F5:F107),"")</f>
        <v>0</v>
      </c>
      <c r="J107">
        <v>103</v>
      </c>
      <c r="K107" cm="1">
        <f t="array" ref="K107">_xlfn.SWITCH(Charts!$B$3,"average", AVERAGE(INDIRECT(ADDRESS(102+3,K$2+1,,,"Instances") &amp; ":" &amp; ADDRESS(102+3,K$2+1))),"median", MEDIAN(INDIRECT(ADDRESS(102+3,K$2+1,,,"Instances") &amp; ":" &amp; ADDRESS(102+3,K$2+1))),"min", MIN(INDIRECT(ADDRESS(102+3,K$2+1,,,"Instances") &amp; ":" &amp; ADDRESS(102+3,K$2+1))),"max", MAX(INDIRECT(ADDRESS(102+3,K$2+1,,,"Instances") &amp; ":" &amp; ADDRESS(102+3,K$2+1))),"diff", MAX(INDIRECT(ADDRESS(102+3,K$2+1,,,"Instances") &amp; ":" &amp; ADDRESS(102+3,K$2+1)))-MIN(INDIRECT(ADDRESS(102+3,K$2+1,,,"Instances") &amp; ":" &amp; ADDRESS(102+3,K$2+1))))</f>
        <v>0</v>
      </c>
      <c r="L107">
        <f>IFERROR(SMALL(K5:K364,ROW()-ROW($L$5)+1),"")</f>
        <v>0</v>
      </c>
      <c r="N107">
        <f>IFERROR(SUM(L5:L107),"")</f>
        <v>0</v>
      </c>
      <c r="Q107">
        <f>IF(Charts!$B$3="none",E1914,IF(K1914="",NA(),K1914))</f>
        <v>0</v>
      </c>
      <c r="R107">
        <f>IF(Charts!$B$3="none",F1914,IF(L1914="",NA(),L1914))</f>
        <v>0</v>
      </c>
      <c r="S107">
        <f>IF(Charts!$B$3="none",G1914,IF(M1914="",NA(),M1914))</f>
        <v>0</v>
      </c>
      <c r="T107">
        <f>IF(Charts!$B$3="none",H1914,IF(N1914="",NA(),N1914))</f>
        <v>0</v>
      </c>
    </row>
    <row r="108" spans="4:20">
      <c r="D108">
        <v>104</v>
      </c>
      <c r="E108">
        <f>IF(INDIRECT(ADDRESS($D108+2,E$2+1,,,"Instances"))="","",INDIRECT(ADDRESS($D108+2,E$2+1,,,"Instances")))</f>
        <v>0</v>
      </c>
      <c r="F108">
        <f>IFERROR(SMALL(E5:E364,ROW()-ROW($F$5)+1),"")</f>
        <v>0</v>
      </c>
      <c r="H108">
        <f>IFERROR(SUM(F5:F108),"")</f>
        <v>0</v>
      </c>
      <c r="J108">
        <v>104</v>
      </c>
      <c r="K108" cm="1">
        <f t="array" ref="K108">_xlfn.SWITCH(Charts!$B$3,"average", AVERAGE(INDIRECT(ADDRESS(103+3,K$2+1,,,"Instances") &amp; ":" &amp; ADDRESS(103+3,K$2+1))),"median", MEDIAN(INDIRECT(ADDRESS(103+3,K$2+1,,,"Instances") &amp; ":" &amp; ADDRESS(103+3,K$2+1))),"min", MIN(INDIRECT(ADDRESS(103+3,K$2+1,,,"Instances") &amp; ":" &amp; ADDRESS(103+3,K$2+1))),"max", MAX(INDIRECT(ADDRESS(103+3,K$2+1,,,"Instances") &amp; ":" &amp; ADDRESS(103+3,K$2+1))),"diff", MAX(INDIRECT(ADDRESS(103+3,K$2+1,,,"Instances") &amp; ":" &amp; ADDRESS(103+3,K$2+1)))-MIN(INDIRECT(ADDRESS(103+3,K$2+1,,,"Instances") &amp; ":" &amp; ADDRESS(103+3,K$2+1))))</f>
        <v>0</v>
      </c>
      <c r="L108">
        <f>IFERROR(SMALL(K5:K364,ROW()-ROW($L$5)+1),"")</f>
        <v>0</v>
      </c>
      <c r="N108">
        <f>IFERROR(SUM(L5:L108),"")</f>
        <v>0</v>
      </c>
      <c r="Q108">
        <f>IF(Charts!$B$3="none",E1915,IF(K1915="",NA(),K1915))</f>
        <v>0</v>
      </c>
      <c r="R108">
        <f>IF(Charts!$B$3="none",F1915,IF(L1915="",NA(),L1915))</f>
        <v>0</v>
      </c>
      <c r="S108">
        <f>IF(Charts!$B$3="none",G1915,IF(M1915="",NA(),M1915))</f>
        <v>0</v>
      </c>
      <c r="T108">
        <f>IF(Charts!$B$3="none",H1915,IF(N1915="",NA(),N1915))</f>
        <v>0</v>
      </c>
    </row>
    <row r="109" spans="4:20">
      <c r="D109">
        <v>105</v>
      </c>
      <c r="E109">
        <f>IF(INDIRECT(ADDRESS($D109+2,E$2+1,,,"Instances"))="","",INDIRECT(ADDRESS($D109+2,E$2+1,,,"Instances")))</f>
        <v>0</v>
      </c>
      <c r="F109">
        <f>IFERROR(SMALL(E5:E364,ROW()-ROW($F$5)+1),"")</f>
        <v>0</v>
      </c>
      <c r="H109">
        <f>IFERROR(SUM(F5:F109),"")</f>
        <v>0</v>
      </c>
      <c r="J109">
        <v>105</v>
      </c>
      <c r="K109" cm="1">
        <f t="array" ref="K109">_xlfn.SWITCH(Charts!$B$3,"average", AVERAGE(INDIRECT(ADDRESS(104+3,K$2+1,,,"Instances") &amp; ":" &amp; ADDRESS(104+3,K$2+1))),"median", MEDIAN(INDIRECT(ADDRESS(104+3,K$2+1,,,"Instances") &amp; ":" &amp; ADDRESS(104+3,K$2+1))),"min", MIN(INDIRECT(ADDRESS(104+3,K$2+1,,,"Instances") &amp; ":" &amp; ADDRESS(104+3,K$2+1))),"max", MAX(INDIRECT(ADDRESS(104+3,K$2+1,,,"Instances") &amp; ":" &amp; ADDRESS(104+3,K$2+1))),"diff", MAX(INDIRECT(ADDRESS(104+3,K$2+1,,,"Instances") &amp; ":" &amp; ADDRESS(104+3,K$2+1)))-MIN(INDIRECT(ADDRESS(104+3,K$2+1,,,"Instances") &amp; ":" &amp; ADDRESS(104+3,K$2+1))))</f>
        <v>0</v>
      </c>
      <c r="L109">
        <f>IFERROR(SMALL(K5:K364,ROW()-ROW($L$5)+1),"")</f>
        <v>0</v>
      </c>
      <c r="N109">
        <f>IFERROR(SUM(L5:L109),"")</f>
        <v>0</v>
      </c>
      <c r="Q109">
        <f>IF(Charts!$B$3="none",E1916,IF(K1916="",NA(),K1916))</f>
        <v>0</v>
      </c>
      <c r="R109">
        <f>IF(Charts!$B$3="none",F1916,IF(L1916="",NA(),L1916))</f>
        <v>0</v>
      </c>
      <c r="S109">
        <f>IF(Charts!$B$3="none",G1916,IF(M1916="",NA(),M1916))</f>
        <v>0</v>
      </c>
      <c r="T109">
        <f>IF(Charts!$B$3="none",H1916,IF(N1916="",NA(),N1916))</f>
        <v>0</v>
      </c>
    </row>
    <row r="110" spans="4:20">
      <c r="D110">
        <v>106</v>
      </c>
      <c r="E110">
        <f>IF(INDIRECT(ADDRESS($D110+2,E$2+1,,,"Instances"))="","",INDIRECT(ADDRESS($D110+2,E$2+1,,,"Instances")))</f>
        <v>0</v>
      </c>
      <c r="F110">
        <f>IFERROR(SMALL(E5:E364,ROW()-ROW($F$5)+1),"")</f>
        <v>0</v>
      </c>
      <c r="H110">
        <f>IFERROR(SUM(F5:F110),"")</f>
        <v>0</v>
      </c>
      <c r="J110">
        <v>106</v>
      </c>
      <c r="K110" cm="1">
        <f t="array" ref="K110">_xlfn.SWITCH(Charts!$B$3,"average", AVERAGE(INDIRECT(ADDRESS(105+3,K$2+1,,,"Instances") &amp; ":" &amp; ADDRESS(105+3,K$2+1))),"median", MEDIAN(INDIRECT(ADDRESS(105+3,K$2+1,,,"Instances") &amp; ":" &amp; ADDRESS(105+3,K$2+1))),"min", MIN(INDIRECT(ADDRESS(105+3,K$2+1,,,"Instances") &amp; ":" &amp; ADDRESS(105+3,K$2+1))),"max", MAX(INDIRECT(ADDRESS(105+3,K$2+1,,,"Instances") &amp; ":" &amp; ADDRESS(105+3,K$2+1))),"diff", MAX(INDIRECT(ADDRESS(105+3,K$2+1,,,"Instances") &amp; ":" &amp; ADDRESS(105+3,K$2+1)))-MIN(INDIRECT(ADDRESS(105+3,K$2+1,,,"Instances") &amp; ":" &amp; ADDRESS(105+3,K$2+1))))</f>
        <v>0</v>
      </c>
      <c r="L110">
        <f>IFERROR(SMALL(K5:K364,ROW()-ROW($L$5)+1),"")</f>
        <v>0</v>
      </c>
      <c r="N110">
        <f>IFERROR(SUM(L5:L110),"")</f>
        <v>0</v>
      </c>
      <c r="Q110">
        <f>IF(Charts!$B$3="none",E1917,IF(K1917="",NA(),K1917))</f>
        <v>0</v>
      </c>
      <c r="R110">
        <f>IF(Charts!$B$3="none",F1917,IF(L1917="",NA(),L1917))</f>
        <v>0</v>
      </c>
      <c r="S110">
        <f>IF(Charts!$B$3="none",G1917,IF(M1917="",NA(),M1917))</f>
        <v>0</v>
      </c>
      <c r="T110">
        <f>IF(Charts!$B$3="none",H1917,IF(N1917="",NA(),N1917))</f>
        <v>0</v>
      </c>
    </row>
    <row r="111" spans="4:20">
      <c r="D111">
        <v>107</v>
      </c>
      <c r="E111">
        <f>IF(INDIRECT(ADDRESS($D111+2,E$2+1,,,"Instances"))="","",INDIRECT(ADDRESS($D111+2,E$2+1,,,"Instances")))</f>
        <v>0</v>
      </c>
      <c r="F111">
        <f>IFERROR(SMALL(E5:E364,ROW()-ROW($F$5)+1),"")</f>
        <v>0</v>
      </c>
      <c r="H111">
        <f>IFERROR(SUM(F5:F111),"")</f>
        <v>0</v>
      </c>
      <c r="J111">
        <v>107</v>
      </c>
      <c r="K111" cm="1">
        <f t="array" ref="K111">_xlfn.SWITCH(Charts!$B$3,"average", AVERAGE(INDIRECT(ADDRESS(106+3,K$2+1,,,"Instances") &amp; ":" &amp; ADDRESS(106+3,K$2+1))),"median", MEDIAN(INDIRECT(ADDRESS(106+3,K$2+1,,,"Instances") &amp; ":" &amp; ADDRESS(106+3,K$2+1))),"min", MIN(INDIRECT(ADDRESS(106+3,K$2+1,,,"Instances") &amp; ":" &amp; ADDRESS(106+3,K$2+1))),"max", MAX(INDIRECT(ADDRESS(106+3,K$2+1,,,"Instances") &amp; ":" &amp; ADDRESS(106+3,K$2+1))),"diff", MAX(INDIRECT(ADDRESS(106+3,K$2+1,,,"Instances") &amp; ":" &amp; ADDRESS(106+3,K$2+1)))-MIN(INDIRECT(ADDRESS(106+3,K$2+1,,,"Instances") &amp; ":" &amp; ADDRESS(106+3,K$2+1))))</f>
        <v>0</v>
      </c>
      <c r="L111">
        <f>IFERROR(SMALL(K5:K364,ROW()-ROW($L$5)+1),"")</f>
        <v>0</v>
      </c>
      <c r="N111">
        <f>IFERROR(SUM(L5:L111),"")</f>
        <v>0</v>
      </c>
      <c r="Q111">
        <f>IF(Charts!$B$3="none",E1918,IF(K1918="",NA(),K1918))</f>
        <v>0</v>
      </c>
      <c r="R111">
        <f>IF(Charts!$B$3="none",F1918,IF(L1918="",NA(),L1918))</f>
        <v>0</v>
      </c>
      <c r="S111">
        <f>IF(Charts!$B$3="none",G1918,IF(M1918="",NA(),M1918))</f>
        <v>0</v>
      </c>
      <c r="T111">
        <f>IF(Charts!$B$3="none",H1918,IF(N1918="",NA(),N1918))</f>
        <v>0</v>
      </c>
    </row>
    <row r="112" spans="4:20">
      <c r="D112">
        <v>108</v>
      </c>
      <c r="E112">
        <f>IF(INDIRECT(ADDRESS($D112+2,E$2+1,,,"Instances"))="","",INDIRECT(ADDRESS($D112+2,E$2+1,,,"Instances")))</f>
        <v>0</v>
      </c>
      <c r="F112">
        <f>IFERROR(SMALL(E5:E364,ROW()-ROW($F$5)+1),"")</f>
        <v>0</v>
      </c>
      <c r="H112">
        <f>IFERROR(SUM(F5:F112),"")</f>
        <v>0</v>
      </c>
      <c r="J112">
        <v>108</v>
      </c>
      <c r="K112" cm="1">
        <f t="array" ref="K112">_xlfn.SWITCH(Charts!$B$3,"average", AVERAGE(INDIRECT(ADDRESS(107+3,K$2+1,,,"Instances") &amp; ":" &amp; ADDRESS(107+3,K$2+1))),"median", MEDIAN(INDIRECT(ADDRESS(107+3,K$2+1,,,"Instances") &amp; ":" &amp; ADDRESS(107+3,K$2+1))),"min", MIN(INDIRECT(ADDRESS(107+3,K$2+1,,,"Instances") &amp; ":" &amp; ADDRESS(107+3,K$2+1))),"max", MAX(INDIRECT(ADDRESS(107+3,K$2+1,,,"Instances") &amp; ":" &amp; ADDRESS(107+3,K$2+1))),"diff", MAX(INDIRECT(ADDRESS(107+3,K$2+1,,,"Instances") &amp; ":" &amp; ADDRESS(107+3,K$2+1)))-MIN(INDIRECT(ADDRESS(107+3,K$2+1,,,"Instances") &amp; ":" &amp; ADDRESS(107+3,K$2+1))))</f>
        <v>0</v>
      </c>
      <c r="L112">
        <f>IFERROR(SMALL(K5:K364,ROW()-ROW($L$5)+1),"")</f>
        <v>0</v>
      </c>
      <c r="N112">
        <f>IFERROR(SUM(L5:L112),"")</f>
        <v>0</v>
      </c>
      <c r="Q112">
        <f>IF(Charts!$B$3="none",E1919,IF(K1919="",NA(),K1919))</f>
        <v>0</v>
      </c>
      <c r="R112">
        <f>IF(Charts!$B$3="none",F1919,IF(L1919="",NA(),L1919))</f>
        <v>0</v>
      </c>
      <c r="S112">
        <f>IF(Charts!$B$3="none",G1919,IF(M1919="",NA(),M1919))</f>
        <v>0</v>
      </c>
      <c r="T112">
        <f>IF(Charts!$B$3="none",H1919,IF(N1919="",NA(),N1919))</f>
        <v>0</v>
      </c>
    </row>
    <row r="113" spans="4:20">
      <c r="D113">
        <v>109</v>
      </c>
      <c r="E113">
        <f>IF(INDIRECT(ADDRESS($D113+2,E$2+1,,,"Instances"))="","",INDIRECT(ADDRESS($D113+2,E$2+1,,,"Instances")))</f>
        <v>0</v>
      </c>
      <c r="F113">
        <f>IFERROR(SMALL(E5:E364,ROW()-ROW($F$5)+1),"")</f>
        <v>0</v>
      </c>
      <c r="H113">
        <f>IFERROR(SUM(F5:F113),"")</f>
        <v>0</v>
      </c>
      <c r="J113">
        <v>109</v>
      </c>
      <c r="K113" cm="1">
        <f t="array" ref="K113">_xlfn.SWITCH(Charts!$B$3,"average", AVERAGE(INDIRECT(ADDRESS(108+3,K$2+1,,,"Instances") &amp; ":" &amp; ADDRESS(108+3,K$2+1))),"median", MEDIAN(INDIRECT(ADDRESS(108+3,K$2+1,,,"Instances") &amp; ":" &amp; ADDRESS(108+3,K$2+1))),"min", MIN(INDIRECT(ADDRESS(108+3,K$2+1,,,"Instances") &amp; ":" &amp; ADDRESS(108+3,K$2+1))),"max", MAX(INDIRECT(ADDRESS(108+3,K$2+1,,,"Instances") &amp; ":" &amp; ADDRESS(108+3,K$2+1))),"diff", MAX(INDIRECT(ADDRESS(108+3,K$2+1,,,"Instances") &amp; ":" &amp; ADDRESS(108+3,K$2+1)))-MIN(INDIRECT(ADDRESS(108+3,K$2+1,,,"Instances") &amp; ":" &amp; ADDRESS(108+3,K$2+1))))</f>
        <v>0</v>
      </c>
      <c r="L113">
        <f>IFERROR(SMALL(K5:K364,ROW()-ROW($L$5)+1),"")</f>
        <v>0</v>
      </c>
      <c r="N113">
        <f>IFERROR(SUM(L5:L113),"")</f>
        <v>0</v>
      </c>
      <c r="Q113">
        <f>IF(Charts!$B$3="none",E1920,IF(K1920="",NA(),K1920))</f>
        <v>0</v>
      </c>
      <c r="R113">
        <f>IF(Charts!$B$3="none",F1920,IF(L1920="",NA(),L1920))</f>
        <v>0</v>
      </c>
      <c r="S113">
        <f>IF(Charts!$B$3="none",G1920,IF(M1920="",NA(),M1920))</f>
        <v>0</v>
      </c>
      <c r="T113">
        <f>IF(Charts!$B$3="none",H1920,IF(N1920="",NA(),N1920))</f>
        <v>0</v>
      </c>
    </row>
    <row r="114" spans="4:20">
      <c r="D114">
        <v>110</v>
      </c>
      <c r="E114">
        <f>IF(INDIRECT(ADDRESS($D114+2,E$2+1,,,"Instances"))="","",INDIRECT(ADDRESS($D114+2,E$2+1,,,"Instances")))</f>
        <v>0</v>
      </c>
      <c r="F114">
        <f>IFERROR(SMALL(E5:E364,ROW()-ROW($F$5)+1),"")</f>
        <v>0</v>
      </c>
      <c r="H114">
        <f>IFERROR(SUM(F5:F114),"")</f>
        <v>0</v>
      </c>
      <c r="J114">
        <v>110</v>
      </c>
      <c r="K114" cm="1">
        <f t="array" ref="K114">_xlfn.SWITCH(Charts!$B$3,"average", AVERAGE(INDIRECT(ADDRESS(109+3,K$2+1,,,"Instances") &amp; ":" &amp; ADDRESS(109+3,K$2+1))),"median", MEDIAN(INDIRECT(ADDRESS(109+3,K$2+1,,,"Instances") &amp; ":" &amp; ADDRESS(109+3,K$2+1))),"min", MIN(INDIRECT(ADDRESS(109+3,K$2+1,,,"Instances") &amp; ":" &amp; ADDRESS(109+3,K$2+1))),"max", MAX(INDIRECT(ADDRESS(109+3,K$2+1,,,"Instances") &amp; ":" &amp; ADDRESS(109+3,K$2+1))),"diff", MAX(INDIRECT(ADDRESS(109+3,K$2+1,,,"Instances") &amp; ":" &amp; ADDRESS(109+3,K$2+1)))-MIN(INDIRECT(ADDRESS(109+3,K$2+1,,,"Instances") &amp; ":" &amp; ADDRESS(109+3,K$2+1))))</f>
        <v>0</v>
      </c>
      <c r="L114">
        <f>IFERROR(SMALL(K5:K364,ROW()-ROW($L$5)+1),"")</f>
        <v>0</v>
      </c>
      <c r="N114">
        <f>IFERROR(SUM(L5:L114),"")</f>
        <v>0</v>
      </c>
      <c r="Q114">
        <f>IF(Charts!$B$3="none",E1921,IF(K1921="",NA(),K1921))</f>
        <v>0</v>
      </c>
      <c r="R114">
        <f>IF(Charts!$B$3="none",F1921,IF(L1921="",NA(),L1921))</f>
        <v>0</v>
      </c>
      <c r="S114">
        <f>IF(Charts!$B$3="none",G1921,IF(M1921="",NA(),M1921))</f>
        <v>0</v>
      </c>
      <c r="T114">
        <f>IF(Charts!$B$3="none",H1921,IF(N1921="",NA(),N1921))</f>
        <v>0</v>
      </c>
    </row>
    <row r="115" spans="4:20">
      <c r="D115">
        <v>111</v>
      </c>
      <c r="E115">
        <f>IF(INDIRECT(ADDRESS($D115+2,E$2+1,,,"Instances"))="","",INDIRECT(ADDRESS($D115+2,E$2+1,,,"Instances")))</f>
        <v>0</v>
      </c>
      <c r="F115">
        <f>IFERROR(SMALL(E5:E364,ROW()-ROW($F$5)+1),"")</f>
        <v>0</v>
      </c>
      <c r="H115">
        <f>IFERROR(SUM(F5:F115),"")</f>
        <v>0</v>
      </c>
      <c r="J115">
        <v>111</v>
      </c>
      <c r="K115" cm="1">
        <f t="array" ref="K115">_xlfn.SWITCH(Charts!$B$3,"average", AVERAGE(INDIRECT(ADDRESS(110+3,K$2+1,,,"Instances") &amp; ":" &amp; ADDRESS(110+3,K$2+1))),"median", MEDIAN(INDIRECT(ADDRESS(110+3,K$2+1,,,"Instances") &amp; ":" &amp; ADDRESS(110+3,K$2+1))),"min", MIN(INDIRECT(ADDRESS(110+3,K$2+1,,,"Instances") &amp; ":" &amp; ADDRESS(110+3,K$2+1))),"max", MAX(INDIRECT(ADDRESS(110+3,K$2+1,,,"Instances") &amp; ":" &amp; ADDRESS(110+3,K$2+1))),"diff", MAX(INDIRECT(ADDRESS(110+3,K$2+1,,,"Instances") &amp; ":" &amp; ADDRESS(110+3,K$2+1)))-MIN(INDIRECT(ADDRESS(110+3,K$2+1,,,"Instances") &amp; ":" &amp; ADDRESS(110+3,K$2+1))))</f>
        <v>0</v>
      </c>
      <c r="L115">
        <f>IFERROR(SMALL(K5:K364,ROW()-ROW($L$5)+1),"")</f>
        <v>0</v>
      </c>
      <c r="N115">
        <f>IFERROR(SUM(L5:L115),"")</f>
        <v>0</v>
      </c>
      <c r="Q115">
        <f>IF(Charts!$B$3="none",E1922,IF(K1922="",NA(),K1922))</f>
        <v>0</v>
      </c>
      <c r="R115">
        <f>IF(Charts!$B$3="none",F1922,IF(L1922="",NA(),L1922))</f>
        <v>0</v>
      </c>
      <c r="S115">
        <f>IF(Charts!$B$3="none",G1922,IF(M1922="",NA(),M1922))</f>
        <v>0</v>
      </c>
      <c r="T115">
        <f>IF(Charts!$B$3="none",H1922,IF(N1922="",NA(),N1922))</f>
        <v>0</v>
      </c>
    </row>
    <row r="116" spans="4:20">
      <c r="D116">
        <v>112</v>
      </c>
      <c r="E116">
        <f>IF(INDIRECT(ADDRESS($D116+2,E$2+1,,,"Instances"))="","",INDIRECT(ADDRESS($D116+2,E$2+1,,,"Instances")))</f>
        <v>0</v>
      </c>
      <c r="F116">
        <f>IFERROR(SMALL(E5:E364,ROW()-ROW($F$5)+1),"")</f>
        <v>0</v>
      </c>
      <c r="H116">
        <f>IFERROR(SUM(F5:F116),"")</f>
        <v>0</v>
      </c>
      <c r="J116">
        <v>112</v>
      </c>
      <c r="K116" cm="1">
        <f t="array" ref="K116">_xlfn.SWITCH(Charts!$B$3,"average", AVERAGE(INDIRECT(ADDRESS(111+3,K$2+1,,,"Instances") &amp; ":" &amp; ADDRESS(111+3,K$2+1))),"median", MEDIAN(INDIRECT(ADDRESS(111+3,K$2+1,,,"Instances") &amp; ":" &amp; ADDRESS(111+3,K$2+1))),"min", MIN(INDIRECT(ADDRESS(111+3,K$2+1,,,"Instances") &amp; ":" &amp; ADDRESS(111+3,K$2+1))),"max", MAX(INDIRECT(ADDRESS(111+3,K$2+1,,,"Instances") &amp; ":" &amp; ADDRESS(111+3,K$2+1))),"diff", MAX(INDIRECT(ADDRESS(111+3,K$2+1,,,"Instances") &amp; ":" &amp; ADDRESS(111+3,K$2+1)))-MIN(INDIRECT(ADDRESS(111+3,K$2+1,,,"Instances") &amp; ":" &amp; ADDRESS(111+3,K$2+1))))</f>
        <v>0</v>
      </c>
      <c r="L116">
        <f>IFERROR(SMALL(K5:K364,ROW()-ROW($L$5)+1),"")</f>
        <v>0</v>
      </c>
      <c r="N116">
        <f>IFERROR(SUM(L5:L116),"")</f>
        <v>0</v>
      </c>
      <c r="Q116">
        <f>IF(Charts!$B$3="none",E1923,IF(K1923="",NA(),K1923))</f>
        <v>0</v>
      </c>
      <c r="R116">
        <f>IF(Charts!$B$3="none",F1923,IF(L1923="",NA(),L1923))</f>
        <v>0</v>
      </c>
      <c r="S116">
        <f>IF(Charts!$B$3="none",G1923,IF(M1923="",NA(),M1923))</f>
        <v>0</v>
      </c>
      <c r="T116">
        <f>IF(Charts!$B$3="none",H1923,IF(N1923="",NA(),N1923))</f>
        <v>0</v>
      </c>
    </row>
    <row r="117" spans="4:20">
      <c r="D117">
        <v>113</v>
      </c>
      <c r="E117">
        <f>IF(INDIRECT(ADDRESS($D117+2,E$2+1,,,"Instances"))="","",INDIRECT(ADDRESS($D117+2,E$2+1,,,"Instances")))</f>
        <v>0</v>
      </c>
      <c r="F117">
        <f>IFERROR(SMALL(E5:E364,ROW()-ROW($F$5)+1),"")</f>
        <v>0</v>
      </c>
      <c r="H117">
        <f>IFERROR(SUM(F5:F117),"")</f>
        <v>0</v>
      </c>
      <c r="J117">
        <v>113</v>
      </c>
      <c r="K117" cm="1">
        <f t="array" ref="K117">_xlfn.SWITCH(Charts!$B$3,"average", AVERAGE(INDIRECT(ADDRESS(112+3,K$2+1,,,"Instances") &amp; ":" &amp; ADDRESS(112+3,K$2+1))),"median", MEDIAN(INDIRECT(ADDRESS(112+3,K$2+1,,,"Instances") &amp; ":" &amp; ADDRESS(112+3,K$2+1))),"min", MIN(INDIRECT(ADDRESS(112+3,K$2+1,,,"Instances") &amp; ":" &amp; ADDRESS(112+3,K$2+1))),"max", MAX(INDIRECT(ADDRESS(112+3,K$2+1,,,"Instances") &amp; ":" &amp; ADDRESS(112+3,K$2+1))),"diff", MAX(INDIRECT(ADDRESS(112+3,K$2+1,,,"Instances") &amp; ":" &amp; ADDRESS(112+3,K$2+1)))-MIN(INDIRECT(ADDRESS(112+3,K$2+1,,,"Instances") &amp; ":" &amp; ADDRESS(112+3,K$2+1))))</f>
        <v>0</v>
      </c>
      <c r="L117">
        <f>IFERROR(SMALL(K5:K364,ROW()-ROW($L$5)+1),"")</f>
        <v>0</v>
      </c>
      <c r="N117">
        <f>IFERROR(SUM(L5:L117),"")</f>
        <v>0</v>
      </c>
      <c r="Q117">
        <f>IF(Charts!$B$3="none",E1924,IF(K1924="",NA(),K1924))</f>
        <v>0</v>
      </c>
      <c r="R117">
        <f>IF(Charts!$B$3="none",F1924,IF(L1924="",NA(),L1924))</f>
        <v>0</v>
      </c>
      <c r="S117">
        <f>IF(Charts!$B$3="none",G1924,IF(M1924="",NA(),M1924))</f>
        <v>0</v>
      </c>
      <c r="T117">
        <f>IF(Charts!$B$3="none",H1924,IF(N1924="",NA(),N1924))</f>
        <v>0</v>
      </c>
    </row>
    <row r="118" spans="4:20">
      <c r="D118">
        <v>114</v>
      </c>
      <c r="E118">
        <f>IF(INDIRECT(ADDRESS($D118+2,E$2+1,,,"Instances"))="","",INDIRECT(ADDRESS($D118+2,E$2+1,,,"Instances")))</f>
        <v>0</v>
      </c>
      <c r="F118">
        <f>IFERROR(SMALL(E5:E364,ROW()-ROW($F$5)+1),"")</f>
        <v>0</v>
      </c>
      <c r="H118">
        <f>IFERROR(SUM(F5:F118),"")</f>
        <v>0</v>
      </c>
      <c r="J118">
        <v>114</v>
      </c>
      <c r="K118" cm="1">
        <f t="array" ref="K118">_xlfn.SWITCH(Charts!$B$3,"average", AVERAGE(INDIRECT(ADDRESS(113+3,K$2+1,,,"Instances") &amp; ":" &amp; ADDRESS(113+3,K$2+1))),"median", MEDIAN(INDIRECT(ADDRESS(113+3,K$2+1,,,"Instances") &amp; ":" &amp; ADDRESS(113+3,K$2+1))),"min", MIN(INDIRECT(ADDRESS(113+3,K$2+1,,,"Instances") &amp; ":" &amp; ADDRESS(113+3,K$2+1))),"max", MAX(INDIRECT(ADDRESS(113+3,K$2+1,,,"Instances") &amp; ":" &amp; ADDRESS(113+3,K$2+1))),"diff", MAX(INDIRECT(ADDRESS(113+3,K$2+1,,,"Instances") &amp; ":" &amp; ADDRESS(113+3,K$2+1)))-MIN(INDIRECT(ADDRESS(113+3,K$2+1,,,"Instances") &amp; ":" &amp; ADDRESS(113+3,K$2+1))))</f>
        <v>0</v>
      </c>
      <c r="L118">
        <f>IFERROR(SMALL(K5:K364,ROW()-ROW($L$5)+1),"")</f>
        <v>0</v>
      </c>
      <c r="N118">
        <f>IFERROR(SUM(L5:L118),"")</f>
        <v>0</v>
      </c>
      <c r="Q118">
        <f>IF(Charts!$B$3="none",E1925,IF(K1925="",NA(),K1925))</f>
        <v>0</v>
      </c>
      <c r="R118">
        <f>IF(Charts!$B$3="none",F1925,IF(L1925="",NA(),L1925))</f>
        <v>0</v>
      </c>
      <c r="S118">
        <f>IF(Charts!$B$3="none",G1925,IF(M1925="",NA(),M1925))</f>
        <v>0</v>
      </c>
      <c r="T118">
        <f>IF(Charts!$B$3="none",H1925,IF(N1925="",NA(),N1925))</f>
        <v>0</v>
      </c>
    </row>
    <row r="119" spans="4:20">
      <c r="D119">
        <v>115</v>
      </c>
      <c r="E119">
        <f>IF(INDIRECT(ADDRESS($D119+2,E$2+1,,,"Instances"))="","",INDIRECT(ADDRESS($D119+2,E$2+1,,,"Instances")))</f>
        <v>0</v>
      </c>
      <c r="F119">
        <f>IFERROR(SMALL(E5:E364,ROW()-ROW($F$5)+1),"")</f>
        <v>0</v>
      </c>
      <c r="H119">
        <f>IFERROR(SUM(F5:F119),"")</f>
        <v>0</v>
      </c>
      <c r="J119">
        <v>115</v>
      </c>
      <c r="K119" cm="1">
        <f t="array" ref="K119">_xlfn.SWITCH(Charts!$B$3,"average", AVERAGE(INDIRECT(ADDRESS(114+3,K$2+1,,,"Instances") &amp; ":" &amp; ADDRESS(114+3,K$2+1))),"median", MEDIAN(INDIRECT(ADDRESS(114+3,K$2+1,,,"Instances") &amp; ":" &amp; ADDRESS(114+3,K$2+1))),"min", MIN(INDIRECT(ADDRESS(114+3,K$2+1,,,"Instances") &amp; ":" &amp; ADDRESS(114+3,K$2+1))),"max", MAX(INDIRECT(ADDRESS(114+3,K$2+1,,,"Instances") &amp; ":" &amp; ADDRESS(114+3,K$2+1))),"diff", MAX(INDIRECT(ADDRESS(114+3,K$2+1,,,"Instances") &amp; ":" &amp; ADDRESS(114+3,K$2+1)))-MIN(INDIRECT(ADDRESS(114+3,K$2+1,,,"Instances") &amp; ":" &amp; ADDRESS(114+3,K$2+1))))</f>
        <v>0</v>
      </c>
      <c r="L119">
        <f>IFERROR(SMALL(K5:K364,ROW()-ROW($L$5)+1),"")</f>
        <v>0</v>
      </c>
      <c r="N119">
        <f>IFERROR(SUM(L5:L119),"")</f>
        <v>0</v>
      </c>
      <c r="Q119">
        <f>IF(Charts!$B$3="none",E1926,IF(K1926="",NA(),K1926))</f>
        <v>0</v>
      </c>
      <c r="R119">
        <f>IF(Charts!$B$3="none",F1926,IF(L1926="",NA(),L1926))</f>
        <v>0</v>
      </c>
      <c r="S119">
        <f>IF(Charts!$B$3="none",G1926,IF(M1926="",NA(),M1926))</f>
        <v>0</v>
      </c>
      <c r="T119">
        <f>IF(Charts!$B$3="none",H1926,IF(N1926="",NA(),N1926))</f>
        <v>0</v>
      </c>
    </row>
    <row r="120" spans="4:20">
      <c r="D120">
        <v>116</v>
      </c>
      <c r="E120">
        <f>IF(INDIRECT(ADDRESS($D120+2,E$2+1,,,"Instances"))="","",INDIRECT(ADDRESS($D120+2,E$2+1,,,"Instances")))</f>
        <v>0</v>
      </c>
      <c r="F120">
        <f>IFERROR(SMALL(E5:E364,ROW()-ROW($F$5)+1),"")</f>
        <v>0</v>
      </c>
      <c r="H120">
        <f>IFERROR(SUM(F5:F120),"")</f>
        <v>0</v>
      </c>
      <c r="J120">
        <v>116</v>
      </c>
      <c r="K120" cm="1">
        <f t="array" ref="K120">_xlfn.SWITCH(Charts!$B$3,"average", AVERAGE(INDIRECT(ADDRESS(115+3,K$2+1,,,"Instances") &amp; ":" &amp; ADDRESS(115+3,K$2+1))),"median", MEDIAN(INDIRECT(ADDRESS(115+3,K$2+1,,,"Instances") &amp; ":" &amp; ADDRESS(115+3,K$2+1))),"min", MIN(INDIRECT(ADDRESS(115+3,K$2+1,,,"Instances") &amp; ":" &amp; ADDRESS(115+3,K$2+1))),"max", MAX(INDIRECT(ADDRESS(115+3,K$2+1,,,"Instances") &amp; ":" &amp; ADDRESS(115+3,K$2+1))),"diff", MAX(INDIRECT(ADDRESS(115+3,K$2+1,,,"Instances") &amp; ":" &amp; ADDRESS(115+3,K$2+1)))-MIN(INDIRECT(ADDRESS(115+3,K$2+1,,,"Instances") &amp; ":" &amp; ADDRESS(115+3,K$2+1))))</f>
        <v>0</v>
      </c>
      <c r="L120">
        <f>IFERROR(SMALL(K5:K364,ROW()-ROW($L$5)+1),"")</f>
        <v>0</v>
      </c>
      <c r="N120">
        <f>IFERROR(SUM(L5:L120),"")</f>
        <v>0</v>
      </c>
      <c r="Q120">
        <f>IF(Charts!$B$3="none",E1927,IF(K1927="",NA(),K1927))</f>
        <v>0</v>
      </c>
      <c r="R120">
        <f>IF(Charts!$B$3="none",F1927,IF(L1927="",NA(),L1927))</f>
        <v>0</v>
      </c>
      <c r="S120">
        <f>IF(Charts!$B$3="none",G1927,IF(M1927="",NA(),M1927))</f>
        <v>0</v>
      </c>
      <c r="T120">
        <f>IF(Charts!$B$3="none",H1927,IF(N1927="",NA(),N1927))</f>
        <v>0</v>
      </c>
    </row>
    <row r="121" spans="4:20">
      <c r="D121">
        <v>117</v>
      </c>
      <c r="E121">
        <f>IF(INDIRECT(ADDRESS($D121+2,E$2+1,,,"Instances"))="","",INDIRECT(ADDRESS($D121+2,E$2+1,,,"Instances")))</f>
        <v>0</v>
      </c>
      <c r="F121">
        <f>IFERROR(SMALL(E5:E364,ROW()-ROW($F$5)+1),"")</f>
        <v>0</v>
      </c>
      <c r="H121">
        <f>IFERROR(SUM(F5:F121),"")</f>
        <v>0</v>
      </c>
      <c r="J121">
        <v>117</v>
      </c>
      <c r="K121" cm="1">
        <f t="array" ref="K121">_xlfn.SWITCH(Charts!$B$3,"average", AVERAGE(INDIRECT(ADDRESS(116+3,K$2+1,,,"Instances") &amp; ":" &amp; ADDRESS(116+3,K$2+1))),"median", MEDIAN(INDIRECT(ADDRESS(116+3,K$2+1,,,"Instances") &amp; ":" &amp; ADDRESS(116+3,K$2+1))),"min", MIN(INDIRECT(ADDRESS(116+3,K$2+1,,,"Instances") &amp; ":" &amp; ADDRESS(116+3,K$2+1))),"max", MAX(INDIRECT(ADDRESS(116+3,K$2+1,,,"Instances") &amp; ":" &amp; ADDRESS(116+3,K$2+1))),"diff", MAX(INDIRECT(ADDRESS(116+3,K$2+1,,,"Instances") &amp; ":" &amp; ADDRESS(116+3,K$2+1)))-MIN(INDIRECT(ADDRESS(116+3,K$2+1,,,"Instances") &amp; ":" &amp; ADDRESS(116+3,K$2+1))))</f>
        <v>0</v>
      </c>
      <c r="L121">
        <f>IFERROR(SMALL(K5:K364,ROW()-ROW($L$5)+1),"")</f>
        <v>0</v>
      </c>
      <c r="N121">
        <f>IFERROR(SUM(L5:L121),"")</f>
        <v>0</v>
      </c>
      <c r="Q121">
        <f>IF(Charts!$B$3="none",E1928,IF(K1928="",NA(),K1928))</f>
        <v>0</v>
      </c>
      <c r="R121">
        <f>IF(Charts!$B$3="none",F1928,IF(L1928="",NA(),L1928))</f>
        <v>0</v>
      </c>
      <c r="S121">
        <f>IF(Charts!$B$3="none",G1928,IF(M1928="",NA(),M1928))</f>
        <v>0</v>
      </c>
      <c r="T121">
        <f>IF(Charts!$B$3="none",H1928,IF(N1928="",NA(),N1928))</f>
        <v>0</v>
      </c>
    </row>
    <row r="122" spans="4:20">
      <c r="D122">
        <v>118</v>
      </c>
      <c r="E122">
        <f>IF(INDIRECT(ADDRESS($D122+2,E$2+1,,,"Instances"))="","",INDIRECT(ADDRESS($D122+2,E$2+1,,,"Instances")))</f>
        <v>0</v>
      </c>
      <c r="F122">
        <f>IFERROR(SMALL(E5:E364,ROW()-ROW($F$5)+1),"")</f>
        <v>0</v>
      </c>
      <c r="H122">
        <f>IFERROR(SUM(F5:F122),"")</f>
        <v>0</v>
      </c>
      <c r="J122">
        <v>118</v>
      </c>
      <c r="K122" cm="1">
        <f t="array" ref="K122">_xlfn.SWITCH(Charts!$B$3,"average", AVERAGE(INDIRECT(ADDRESS(117+3,K$2+1,,,"Instances") &amp; ":" &amp; ADDRESS(117+3,K$2+1))),"median", MEDIAN(INDIRECT(ADDRESS(117+3,K$2+1,,,"Instances") &amp; ":" &amp; ADDRESS(117+3,K$2+1))),"min", MIN(INDIRECT(ADDRESS(117+3,K$2+1,,,"Instances") &amp; ":" &amp; ADDRESS(117+3,K$2+1))),"max", MAX(INDIRECT(ADDRESS(117+3,K$2+1,,,"Instances") &amp; ":" &amp; ADDRESS(117+3,K$2+1))),"diff", MAX(INDIRECT(ADDRESS(117+3,K$2+1,,,"Instances") &amp; ":" &amp; ADDRESS(117+3,K$2+1)))-MIN(INDIRECT(ADDRESS(117+3,K$2+1,,,"Instances") &amp; ":" &amp; ADDRESS(117+3,K$2+1))))</f>
        <v>0</v>
      </c>
      <c r="L122">
        <f>IFERROR(SMALL(K5:K364,ROW()-ROW($L$5)+1),"")</f>
        <v>0</v>
      </c>
      <c r="N122">
        <f>IFERROR(SUM(L5:L122),"")</f>
        <v>0</v>
      </c>
      <c r="Q122">
        <f>IF(Charts!$B$3="none",E1929,IF(K1929="",NA(),K1929))</f>
        <v>0</v>
      </c>
      <c r="R122">
        <f>IF(Charts!$B$3="none",F1929,IF(L1929="",NA(),L1929))</f>
        <v>0</v>
      </c>
      <c r="S122">
        <f>IF(Charts!$B$3="none",G1929,IF(M1929="",NA(),M1929))</f>
        <v>0</v>
      </c>
      <c r="T122">
        <f>IF(Charts!$B$3="none",H1929,IF(N1929="",NA(),N1929))</f>
        <v>0</v>
      </c>
    </row>
    <row r="123" spans="4:20">
      <c r="D123">
        <v>119</v>
      </c>
      <c r="E123">
        <f>IF(INDIRECT(ADDRESS($D123+2,E$2+1,,,"Instances"))="","",INDIRECT(ADDRESS($D123+2,E$2+1,,,"Instances")))</f>
        <v>0</v>
      </c>
      <c r="F123">
        <f>IFERROR(SMALL(E5:E364,ROW()-ROW($F$5)+1),"")</f>
        <v>0</v>
      </c>
      <c r="H123">
        <f>IFERROR(SUM(F5:F123),"")</f>
        <v>0</v>
      </c>
      <c r="J123">
        <v>119</v>
      </c>
      <c r="K123" cm="1">
        <f t="array" ref="K123">_xlfn.SWITCH(Charts!$B$3,"average", AVERAGE(INDIRECT(ADDRESS(118+3,K$2+1,,,"Instances") &amp; ":" &amp; ADDRESS(118+3,K$2+1))),"median", MEDIAN(INDIRECT(ADDRESS(118+3,K$2+1,,,"Instances") &amp; ":" &amp; ADDRESS(118+3,K$2+1))),"min", MIN(INDIRECT(ADDRESS(118+3,K$2+1,,,"Instances") &amp; ":" &amp; ADDRESS(118+3,K$2+1))),"max", MAX(INDIRECT(ADDRESS(118+3,K$2+1,,,"Instances") &amp; ":" &amp; ADDRESS(118+3,K$2+1))),"diff", MAX(INDIRECT(ADDRESS(118+3,K$2+1,,,"Instances") &amp; ":" &amp; ADDRESS(118+3,K$2+1)))-MIN(INDIRECT(ADDRESS(118+3,K$2+1,,,"Instances") &amp; ":" &amp; ADDRESS(118+3,K$2+1))))</f>
        <v>0</v>
      </c>
      <c r="L123">
        <f>IFERROR(SMALL(K5:K364,ROW()-ROW($L$5)+1),"")</f>
        <v>0</v>
      </c>
      <c r="N123">
        <f>IFERROR(SUM(L5:L123),"")</f>
        <v>0</v>
      </c>
      <c r="Q123">
        <f>IF(Charts!$B$3="none",E1930,IF(K1930="",NA(),K1930))</f>
        <v>0</v>
      </c>
      <c r="R123">
        <f>IF(Charts!$B$3="none",F1930,IF(L1930="",NA(),L1930))</f>
        <v>0</v>
      </c>
      <c r="S123">
        <f>IF(Charts!$B$3="none",G1930,IF(M1930="",NA(),M1930))</f>
        <v>0</v>
      </c>
      <c r="T123">
        <f>IF(Charts!$B$3="none",H1930,IF(N1930="",NA(),N1930))</f>
        <v>0</v>
      </c>
    </row>
    <row r="124" spans="4:20">
      <c r="D124">
        <v>120</v>
      </c>
      <c r="E124">
        <f>IF(INDIRECT(ADDRESS($D124+2,E$2+1,,,"Instances"))="","",INDIRECT(ADDRESS($D124+2,E$2+1,,,"Instances")))</f>
        <v>0</v>
      </c>
      <c r="F124">
        <f>IFERROR(SMALL(E5:E364,ROW()-ROW($F$5)+1),"")</f>
        <v>0</v>
      </c>
      <c r="H124">
        <f>IFERROR(SUM(F5:F124),"")</f>
        <v>0</v>
      </c>
      <c r="J124">
        <v>120</v>
      </c>
      <c r="K124" cm="1">
        <f t="array" ref="K124">_xlfn.SWITCH(Charts!$B$3,"average", AVERAGE(INDIRECT(ADDRESS(119+3,K$2+1,,,"Instances") &amp; ":" &amp; ADDRESS(119+3,K$2+1))),"median", MEDIAN(INDIRECT(ADDRESS(119+3,K$2+1,,,"Instances") &amp; ":" &amp; ADDRESS(119+3,K$2+1))),"min", MIN(INDIRECT(ADDRESS(119+3,K$2+1,,,"Instances") &amp; ":" &amp; ADDRESS(119+3,K$2+1))),"max", MAX(INDIRECT(ADDRESS(119+3,K$2+1,,,"Instances") &amp; ":" &amp; ADDRESS(119+3,K$2+1))),"diff", MAX(INDIRECT(ADDRESS(119+3,K$2+1,,,"Instances") &amp; ":" &amp; ADDRESS(119+3,K$2+1)))-MIN(INDIRECT(ADDRESS(119+3,K$2+1,,,"Instances") &amp; ":" &amp; ADDRESS(119+3,K$2+1))))</f>
        <v>0</v>
      </c>
      <c r="L124">
        <f>IFERROR(SMALL(K5:K364,ROW()-ROW($L$5)+1),"")</f>
        <v>0</v>
      </c>
      <c r="N124">
        <f>IFERROR(SUM(L5:L124),"")</f>
        <v>0</v>
      </c>
      <c r="Q124">
        <f>IF(Charts!$B$3="none",E1931,IF(K1931="",NA(),K1931))</f>
        <v>0</v>
      </c>
      <c r="R124">
        <f>IF(Charts!$B$3="none",F1931,IF(L1931="",NA(),L1931))</f>
        <v>0</v>
      </c>
      <c r="S124">
        <f>IF(Charts!$B$3="none",G1931,IF(M1931="",NA(),M1931))</f>
        <v>0</v>
      </c>
      <c r="T124">
        <f>IF(Charts!$B$3="none",H1931,IF(N1931="",NA(),N1931))</f>
        <v>0</v>
      </c>
    </row>
    <row r="125" spans="4:20">
      <c r="D125">
        <v>121</v>
      </c>
      <c r="E125">
        <f>IF(INDIRECT(ADDRESS($D125+2,E$2+1,,,"Instances"))="","",INDIRECT(ADDRESS($D125+2,E$2+1,,,"Instances")))</f>
        <v>0</v>
      </c>
      <c r="F125">
        <f>IFERROR(SMALL(E5:E364,ROW()-ROW($F$5)+1),"")</f>
        <v>0</v>
      </c>
      <c r="H125">
        <f>IFERROR(SUM(F5:F125),"")</f>
        <v>0</v>
      </c>
      <c r="J125">
        <v>121</v>
      </c>
      <c r="K125" cm="1">
        <f t="array" ref="K125">_xlfn.SWITCH(Charts!$B$3,"average", AVERAGE(INDIRECT(ADDRESS(120+3,K$2+1,,,"Instances") &amp; ":" &amp; ADDRESS(120+3,K$2+1))),"median", MEDIAN(INDIRECT(ADDRESS(120+3,K$2+1,,,"Instances") &amp; ":" &amp; ADDRESS(120+3,K$2+1))),"min", MIN(INDIRECT(ADDRESS(120+3,K$2+1,,,"Instances") &amp; ":" &amp; ADDRESS(120+3,K$2+1))),"max", MAX(INDIRECT(ADDRESS(120+3,K$2+1,,,"Instances") &amp; ":" &amp; ADDRESS(120+3,K$2+1))),"diff", MAX(INDIRECT(ADDRESS(120+3,K$2+1,,,"Instances") &amp; ":" &amp; ADDRESS(120+3,K$2+1)))-MIN(INDIRECT(ADDRESS(120+3,K$2+1,,,"Instances") &amp; ":" &amp; ADDRESS(120+3,K$2+1))))</f>
        <v>0</v>
      </c>
      <c r="L125">
        <f>IFERROR(SMALL(K5:K364,ROW()-ROW($L$5)+1),"")</f>
        <v>0</v>
      </c>
      <c r="N125">
        <f>IFERROR(SUM(L5:L125),"")</f>
        <v>0</v>
      </c>
      <c r="Q125">
        <f>IF(Charts!$B$3="none",E1932,IF(K1932="",NA(),K1932))</f>
        <v>0</v>
      </c>
      <c r="R125">
        <f>IF(Charts!$B$3="none",F1932,IF(L1932="",NA(),L1932))</f>
        <v>0</v>
      </c>
      <c r="S125">
        <f>IF(Charts!$B$3="none",G1932,IF(M1932="",NA(),M1932))</f>
        <v>0</v>
      </c>
      <c r="T125">
        <f>IF(Charts!$B$3="none",H1932,IF(N1932="",NA(),N1932))</f>
        <v>0</v>
      </c>
    </row>
    <row r="126" spans="4:20">
      <c r="D126">
        <v>122</v>
      </c>
      <c r="E126">
        <f>IF(INDIRECT(ADDRESS($D126+2,E$2+1,,,"Instances"))="","",INDIRECT(ADDRESS($D126+2,E$2+1,,,"Instances")))</f>
        <v>0</v>
      </c>
      <c r="F126">
        <f>IFERROR(SMALL(E5:E364,ROW()-ROW($F$5)+1),"")</f>
        <v>0</v>
      </c>
      <c r="H126">
        <f>IFERROR(SUM(F5:F126),"")</f>
        <v>0</v>
      </c>
      <c r="J126">
        <v>122</v>
      </c>
      <c r="K126" cm="1">
        <f t="array" ref="K126">_xlfn.SWITCH(Charts!$B$3,"average", AVERAGE(INDIRECT(ADDRESS(121+3,K$2+1,,,"Instances") &amp; ":" &amp; ADDRESS(121+3,K$2+1))),"median", MEDIAN(INDIRECT(ADDRESS(121+3,K$2+1,,,"Instances") &amp; ":" &amp; ADDRESS(121+3,K$2+1))),"min", MIN(INDIRECT(ADDRESS(121+3,K$2+1,,,"Instances") &amp; ":" &amp; ADDRESS(121+3,K$2+1))),"max", MAX(INDIRECT(ADDRESS(121+3,K$2+1,,,"Instances") &amp; ":" &amp; ADDRESS(121+3,K$2+1))),"diff", MAX(INDIRECT(ADDRESS(121+3,K$2+1,,,"Instances") &amp; ":" &amp; ADDRESS(121+3,K$2+1)))-MIN(INDIRECT(ADDRESS(121+3,K$2+1,,,"Instances") &amp; ":" &amp; ADDRESS(121+3,K$2+1))))</f>
        <v>0</v>
      </c>
      <c r="L126">
        <f>IFERROR(SMALL(K5:K364,ROW()-ROW($L$5)+1),"")</f>
        <v>0</v>
      </c>
      <c r="N126">
        <f>IFERROR(SUM(L5:L126),"")</f>
        <v>0</v>
      </c>
      <c r="Q126">
        <f>IF(Charts!$B$3="none",E1933,IF(K1933="",NA(),K1933))</f>
        <v>0</v>
      </c>
      <c r="R126">
        <f>IF(Charts!$B$3="none",F1933,IF(L1933="",NA(),L1933))</f>
        <v>0</v>
      </c>
      <c r="S126">
        <f>IF(Charts!$B$3="none",G1933,IF(M1933="",NA(),M1933))</f>
        <v>0</v>
      </c>
      <c r="T126">
        <f>IF(Charts!$B$3="none",H1933,IF(N1933="",NA(),N1933))</f>
        <v>0</v>
      </c>
    </row>
    <row r="127" spans="4:20">
      <c r="D127">
        <v>123</v>
      </c>
      <c r="E127">
        <f>IF(INDIRECT(ADDRESS($D127+2,E$2+1,,,"Instances"))="","",INDIRECT(ADDRESS($D127+2,E$2+1,,,"Instances")))</f>
        <v>0</v>
      </c>
      <c r="F127">
        <f>IFERROR(SMALL(E5:E364,ROW()-ROW($F$5)+1),"")</f>
        <v>0</v>
      </c>
      <c r="H127">
        <f>IFERROR(SUM(F5:F127),"")</f>
        <v>0</v>
      </c>
      <c r="J127">
        <v>123</v>
      </c>
      <c r="K127" cm="1">
        <f t="array" ref="K127">_xlfn.SWITCH(Charts!$B$3,"average", AVERAGE(INDIRECT(ADDRESS(122+3,K$2+1,,,"Instances") &amp; ":" &amp; ADDRESS(122+3,K$2+1))),"median", MEDIAN(INDIRECT(ADDRESS(122+3,K$2+1,,,"Instances") &amp; ":" &amp; ADDRESS(122+3,K$2+1))),"min", MIN(INDIRECT(ADDRESS(122+3,K$2+1,,,"Instances") &amp; ":" &amp; ADDRESS(122+3,K$2+1))),"max", MAX(INDIRECT(ADDRESS(122+3,K$2+1,,,"Instances") &amp; ":" &amp; ADDRESS(122+3,K$2+1))),"diff", MAX(INDIRECT(ADDRESS(122+3,K$2+1,,,"Instances") &amp; ":" &amp; ADDRESS(122+3,K$2+1)))-MIN(INDIRECT(ADDRESS(122+3,K$2+1,,,"Instances") &amp; ":" &amp; ADDRESS(122+3,K$2+1))))</f>
        <v>0</v>
      </c>
      <c r="L127">
        <f>IFERROR(SMALL(K5:K364,ROW()-ROW($L$5)+1),"")</f>
        <v>0</v>
      </c>
      <c r="N127">
        <f>IFERROR(SUM(L5:L127),"")</f>
        <v>0</v>
      </c>
      <c r="Q127">
        <f>IF(Charts!$B$3="none",E1934,IF(K1934="",NA(),K1934))</f>
        <v>0</v>
      </c>
      <c r="R127">
        <f>IF(Charts!$B$3="none",F1934,IF(L1934="",NA(),L1934))</f>
        <v>0</v>
      </c>
      <c r="S127">
        <f>IF(Charts!$B$3="none",G1934,IF(M1934="",NA(),M1934))</f>
        <v>0</v>
      </c>
      <c r="T127">
        <f>IF(Charts!$B$3="none",H1934,IF(N1934="",NA(),N1934))</f>
        <v>0</v>
      </c>
    </row>
    <row r="128" spans="4:20">
      <c r="D128">
        <v>124</v>
      </c>
      <c r="E128">
        <f>IF(INDIRECT(ADDRESS($D128+2,E$2+1,,,"Instances"))="","",INDIRECT(ADDRESS($D128+2,E$2+1,,,"Instances")))</f>
        <v>0</v>
      </c>
      <c r="F128">
        <f>IFERROR(SMALL(E5:E364,ROW()-ROW($F$5)+1),"")</f>
        <v>0</v>
      </c>
      <c r="H128">
        <f>IFERROR(SUM(F5:F128),"")</f>
        <v>0</v>
      </c>
      <c r="J128">
        <v>124</v>
      </c>
      <c r="K128" cm="1">
        <f t="array" ref="K128">_xlfn.SWITCH(Charts!$B$3,"average", AVERAGE(INDIRECT(ADDRESS(123+3,K$2+1,,,"Instances") &amp; ":" &amp; ADDRESS(123+3,K$2+1))),"median", MEDIAN(INDIRECT(ADDRESS(123+3,K$2+1,,,"Instances") &amp; ":" &amp; ADDRESS(123+3,K$2+1))),"min", MIN(INDIRECT(ADDRESS(123+3,K$2+1,,,"Instances") &amp; ":" &amp; ADDRESS(123+3,K$2+1))),"max", MAX(INDIRECT(ADDRESS(123+3,K$2+1,,,"Instances") &amp; ":" &amp; ADDRESS(123+3,K$2+1))),"diff", MAX(INDIRECT(ADDRESS(123+3,K$2+1,,,"Instances") &amp; ":" &amp; ADDRESS(123+3,K$2+1)))-MIN(INDIRECT(ADDRESS(123+3,K$2+1,,,"Instances") &amp; ":" &amp; ADDRESS(123+3,K$2+1))))</f>
        <v>0</v>
      </c>
      <c r="L128">
        <f>IFERROR(SMALL(K5:K364,ROW()-ROW($L$5)+1),"")</f>
        <v>0</v>
      </c>
      <c r="N128">
        <f>IFERROR(SUM(L5:L128),"")</f>
        <v>0</v>
      </c>
      <c r="Q128">
        <f>IF(Charts!$B$3="none",E1935,IF(K1935="",NA(),K1935))</f>
        <v>0</v>
      </c>
      <c r="R128">
        <f>IF(Charts!$B$3="none",F1935,IF(L1935="",NA(),L1935))</f>
        <v>0</v>
      </c>
      <c r="S128">
        <f>IF(Charts!$B$3="none",G1935,IF(M1935="",NA(),M1935))</f>
        <v>0</v>
      </c>
      <c r="T128">
        <f>IF(Charts!$B$3="none",H1935,IF(N1935="",NA(),N1935))</f>
        <v>0</v>
      </c>
    </row>
    <row r="129" spans="4:20">
      <c r="D129">
        <v>125</v>
      </c>
      <c r="E129">
        <f>IF(INDIRECT(ADDRESS($D129+2,E$2+1,,,"Instances"))="","",INDIRECT(ADDRESS($D129+2,E$2+1,,,"Instances")))</f>
        <v>0</v>
      </c>
      <c r="F129">
        <f>IFERROR(SMALL(E5:E364,ROW()-ROW($F$5)+1),"")</f>
        <v>0</v>
      </c>
      <c r="H129">
        <f>IFERROR(SUM(F5:F129),"")</f>
        <v>0</v>
      </c>
      <c r="J129">
        <v>125</v>
      </c>
      <c r="K129" cm="1">
        <f t="array" ref="K129">_xlfn.SWITCH(Charts!$B$3,"average", AVERAGE(INDIRECT(ADDRESS(124+3,K$2+1,,,"Instances") &amp; ":" &amp; ADDRESS(124+3,K$2+1))),"median", MEDIAN(INDIRECT(ADDRESS(124+3,K$2+1,,,"Instances") &amp; ":" &amp; ADDRESS(124+3,K$2+1))),"min", MIN(INDIRECT(ADDRESS(124+3,K$2+1,,,"Instances") &amp; ":" &amp; ADDRESS(124+3,K$2+1))),"max", MAX(INDIRECT(ADDRESS(124+3,K$2+1,,,"Instances") &amp; ":" &amp; ADDRESS(124+3,K$2+1))),"diff", MAX(INDIRECT(ADDRESS(124+3,K$2+1,,,"Instances") &amp; ":" &amp; ADDRESS(124+3,K$2+1)))-MIN(INDIRECT(ADDRESS(124+3,K$2+1,,,"Instances") &amp; ":" &amp; ADDRESS(124+3,K$2+1))))</f>
        <v>0</v>
      </c>
      <c r="L129">
        <f>IFERROR(SMALL(K5:K364,ROW()-ROW($L$5)+1),"")</f>
        <v>0</v>
      </c>
      <c r="N129">
        <f>IFERROR(SUM(L5:L129),"")</f>
        <v>0</v>
      </c>
      <c r="Q129">
        <f>IF(Charts!$B$3="none",E1936,IF(K1936="",NA(),K1936))</f>
        <v>0</v>
      </c>
      <c r="R129">
        <f>IF(Charts!$B$3="none",F1936,IF(L1936="",NA(),L1936))</f>
        <v>0</v>
      </c>
      <c r="S129">
        <f>IF(Charts!$B$3="none",G1936,IF(M1936="",NA(),M1936))</f>
        <v>0</v>
      </c>
      <c r="T129">
        <f>IF(Charts!$B$3="none",H1936,IF(N1936="",NA(),N1936))</f>
        <v>0</v>
      </c>
    </row>
    <row r="130" spans="4:20">
      <c r="D130">
        <v>126</v>
      </c>
      <c r="E130">
        <f>IF(INDIRECT(ADDRESS($D130+2,E$2+1,,,"Instances"))="","",INDIRECT(ADDRESS($D130+2,E$2+1,,,"Instances")))</f>
        <v>0</v>
      </c>
      <c r="F130">
        <f>IFERROR(SMALL(E5:E364,ROW()-ROW($F$5)+1),"")</f>
        <v>0</v>
      </c>
      <c r="H130">
        <f>IFERROR(SUM(F5:F130),"")</f>
        <v>0</v>
      </c>
      <c r="J130">
        <v>126</v>
      </c>
      <c r="K130" cm="1">
        <f t="array" ref="K130">_xlfn.SWITCH(Charts!$B$3,"average", AVERAGE(INDIRECT(ADDRESS(125+3,K$2+1,,,"Instances") &amp; ":" &amp; ADDRESS(125+3,K$2+1))),"median", MEDIAN(INDIRECT(ADDRESS(125+3,K$2+1,,,"Instances") &amp; ":" &amp; ADDRESS(125+3,K$2+1))),"min", MIN(INDIRECT(ADDRESS(125+3,K$2+1,,,"Instances") &amp; ":" &amp; ADDRESS(125+3,K$2+1))),"max", MAX(INDIRECT(ADDRESS(125+3,K$2+1,,,"Instances") &amp; ":" &amp; ADDRESS(125+3,K$2+1))),"diff", MAX(INDIRECT(ADDRESS(125+3,K$2+1,,,"Instances") &amp; ":" &amp; ADDRESS(125+3,K$2+1)))-MIN(INDIRECT(ADDRESS(125+3,K$2+1,,,"Instances") &amp; ":" &amp; ADDRESS(125+3,K$2+1))))</f>
        <v>0</v>
      </c>
      <c r="L130">
        <f>IFERROR(SMALL(K5:K364,ROW()-ROW($L$5)+1),"")</f>
        <v>0</v>
      </c>
      <c r="N130">
        <f>IFERROR(SUM(L5:L130),"")</f>
        <v>0</v>
      </c>
      <c r="Q130">
        <f>IF(Charts!$B$3="none",E1937,IF(K1937="",NA(),K1937))</f>
        <v>0</v>
      </c>
      <c r="R130">
        <f>IF(Charts!$B$3="none",F1937,IF(L1937="",NA(),L1937))</f>
        <v>0</v>
      </c>
      <c r="S130">
        <f>IF(Charts!$B$3="none",G1937,IF(M1937="",NA(),M1937))</f>
        <v>0</v>
      </c>
      <c r="T130">
        <f>IF(Charts!$B$3="none",H1937,IF(N1937="",NA(),N1937))</f>
        <v>0</v>
      </c>
    </row>
    <row r="131" spans="4:20">
      <c r="D131">
        <v>127</v>
      </c>
      <c r="E131">
        <f>IF(INDIRECT(ADDRESS($D131+2,E$2+1,,,"Instances"))="","",INDIRECT(ADDRESS($D131+2,E$2+1,,,"Instances")))</f>
        <v>0</v>
      </c>
      <c r="F131">
        <f>IFERROR(SMALL(E5:E364,ROW()-ROW($F$5)+1),"")</f>
        <v>0</v>
      </c>
      <c r="H131">
        <f>IFERROR(SUM(F5:F131),"")</f>
        <v>0</v>
      </c>
      <c r="J131">
        <v>127</v>
      </c>
      <c r="K131" cm="1">
        <f t="array" ref="K131">_xlfn.SWITCH(Charts!$B$3,"average", AVERAGE(INDIRECT(ADDRESS(126+3,K$2+1,,,"Instances") &amp; ":" &amp; ADDRESS(126+3,K$2+1))),"median", MEDIAN(INDIRECT(ADDRESS(126+3,K$2+1,,,"Instances") &amp; ":" &amp; ADDRESS(126+3,K$2+1))),"min", MIN(INDIRECT(ADDRESS(126+3,K$2+1,,,"Instances") &amp; ":" &amp; ADDRESS(126+3,K$2+1))),"max", MAX(INDIRECT(ADDRESS(126+3,K$2+1,,,"Instances") &amp; ":" &amp; ADDRESS(126+3,K$2+1))),"diff", MAX(INDIRECT(ADDRESS(126+3,K$2+1,,,"Instances") &amp; ":" &amp; ADDRESS(126+3,K$2+1)))-MIN(INDIRECT(ADDRESS(126+3,K$2+1,,,"Instances") &amp; ":" &amp; ADDRESS(126+3,K$2+1))))</f>
        <v>0</v>
      </c>
      <c r="L131">
        <f>IFERROR(SMALL(K5:K364,ROW()-ROW($L$5)+1),"")</f>
        <v>0</v>
      </c>
      <c r="N131">
        <f>IFERROR(SUM(L5:L131),"")</f>
        <v>0</v>
      </c>
      <c r="Q131">
        <f>IF(Charts!$B$3="none",E1938,IF(K1938="",NA(),K1938))</f>
        <v>0</v>
      </c>
      <c r="R131">
        <f>IF(Charts!$B$3="none",F1938,IF(L1938="",NA(),L1938))</f>
        <v>0</v>
      </c>
      <c r="S131">
        <f>IF(Charts!$B$3="none",G1938,IF(M1938="",NA(),M1938))</f>
        <v>0</v>
      </c>
      <c r="T131">
        <f>IF(Charts!$B$3="none",H1938,IF(N1938="",NA(),N1938))</f>
        <v>0</v>
      </c>
    </row>
    <row r="132" spans="4:20">
      <c r="D132">
        <v>128</v>
      </c>
      <c r="E132">
        <f>IF(INDIRECT(ADDRESS($D132+2,E$2+1,,,"Instances"))="","",INDIRECT(ADDRESS($D132+2,E$2+1,,,"Instances")))</f>
        <v>0</v>
      </c>
      <c r="F132">
        <f>IFERROR(SMALL(E5:E364,ROW()-ROW($F$5)+1),"")</f>
        <v>0</v>
      </c>
      <c r="H132">
        <f>IFERROR(SUM(F5:F132),"")</f>
        <v>0</v>
      </c>
      <c r="J132">
        <v>128</v>
      </c>
      <c r="K132" cm="1">
        <f t="array" ref="K132">_xlfn.SWITCH(Charts!$B$3,"average", AVERAGE(INDIRECT(ADDRESS(127+3,K$2+1,,,"Instances") &amp; ":" &amp; ADDRESS(127+3,K$2+1))),"median", MEDIAN(INDIRECT(ADDRESS(127+3,K$2+1,,,"Instances") &amp; ":" &amp; ADDRESS(127+3,K$2+1))),"min", MIN(INDIRECT(ADDRESS(127+3,K$2+1,,,"Instances") &amp; ":" &amp; ADDRESS(127+3,K$2+1))),"max", MAX(INDIRECT(ADDRESS(127+3,K$2+1,,,"Instances") &amp; ":" &amp; ADDRESS(127+3,K$2+1))),"diff", MAX(INDIRECT(ADDRESS(127+3,K$2+1,,,"Instances") &amp; ":" &amp; ADDRESS(127+3,K$2+1)))-MIN(INDIRECT(ADDRESS(127+3,K$2+1,,,"Instances") &amp; ":" &amp; ADDRESS(127+3,K$2+1))))</f>
        <v>0</v>
      </c>
      <c r="L132">
        <f>IFERROR(SMALL(K5:K364,ROW()-ROW($L$5)+1),"")</f>
        <v>0</v>
      </c>
      <c r="N132">
        <f>IFERROR(SUM(L5:L132),"")</f>
        <v>0</v>
      </c>
      <c r="Q132">
        <f>IF(Charts!$B$3="none",E1939,IF(K1939="",NA(),K1939))</f>
        <v>0</v>
      </c>
      <c r="R132">
        <f>IF(Charts!$B$3="none",F1939,IF(L1939="",NA(),L1939))</f>
        <v>0</v>
      </c>
      <c r="S132">
        <f>IF(Charts!$B$3="none",G1939,IF(M1939="",NA(),M1939))</f>
        <v>0</v>
      </c>
      <c r="T132">
        <f>IF(Charts!$B$3="none",H1939,IF(N1939="",NA(),N1939))</f>
        <v>0</v>
      </c>
    </row>
    <row r="133" spans="4:20">
      <c r="D133">
        <v>129</v>
      </c>
      <c r="E133">
        <f>IF(INDIRECT(ADDRESS($D133+2,E$2+1,,,"Instances"))="","",INDIRECT(ADDRESS($D133+2,E$2+1,,,"Instances")))</f>
        <v>0</v>
      </c>
      <c r="F133">
        <f>IFERROR(SMALL(E5:E364,ROW()-ROW($F$5)+1),"")</f>
        <v>0</v>
      </c>
      <c r="H133">
        <f>IFERROR(SUM(F5:F133),"")</f>
        <v>0</v>
      </c>
      <c r="J133">
        <v>129</v>
      </c>
      <c r="K133" cm="1">
        <f t="array" ref="K133">_xlfn.SWITCH(Charts!$B$3,"average", AVERAGE(INDIRECT(ADDRESS(128+3,K$2+1,,,"Instances") &amp; ":" &amp; ADDRESS(128+3,K$2+1))),"median", MEDIAN(INDIRECT(ADDRESS(128+3,K$2+1,,,"Instances") &amp; ":" &amp; ADDRESS(128+3,K$2+1))),"min", MIN(INDIRECT(ADDRESS(128+3,K$2+1,,,"Instances") &amp; ":" &amp; ADDRESS(128+3,K$2+1))),"max", MAX(INDIRECT(ADDRESS(128+3,K$2+1,,,"Instances") &amp; ":" &amp; ADDRESS(128+3,K$2+1))),"diff", MAX(INDIRECT(ADDRESS(128+3,K$2+1,,,"Instances") &amp; ":" &amp; ADDRESS(128+3,K$2+1)))-MIN(INDIRECT(ADDRESS(128+3,K$2+1,,,"Instances") &amp; ":" &amp; ADDRESS(128+3,K$2+1))))</f>
        <v>0</v>
      </c>
      <c r="L133">
        <f>IFERROR(SMALL(K5:K364,ROW()-ROW($L$5)+1),"")</f>
        <v>0</v>
      </c>
      <c r="N133">
        <f>IFERROR(SUM(L5:L133),"")</f>
        <v>0</v>
      </c>
      <c r="Q133">
        <f>IF(Charts!$B$3="none",E1940,IF(K1940="",NA(),K1940))</f>
        <v>0</v>
      </c>
      <c r="R133">
        <f>IF(Charts!$B$3="none",F1940,IF(L1940="",NA(),L1940))</f>
        <v>0</v>
      </c>
      <c r="S133">
        <f>IF(Charts!$B$3="none",G1940,IF(M1940="",NA(),M1940))</f>
        <v>0</v>
      </c>
      <c r="T133">
        <f>IF(Charts!$B$3="none",H1940,IF(N1940="",NA(),N1940))</f>
        <v>0</v>
      </c>
    </row>
    <row r="134" spans="4:20">
      <c r="D134">
        <v>130</v>
      </c>
      <c r="E134">
        <f>IF(INDIRECT(ADDRESS($D134+2,E$2+1,,,"Instances"))="","",INDIRECT(ADDRESS($D134+2,E$2+1,,,"Instances")))</f>
        <v>0</v>
      </c>
      <c r="F134">
        <f>IFERROR(SMALL(E5:E364,ROW()-ROW($F$5)+1),"")</f>
        <v>0</v>
      </c>
      <c r="H134">
        <f>IFERROR(SUM(F5:F134),"")</f>
        <v>0</v>
      </c>
      <c r="J134">
        <v>130</v>
      </c>
      <c r="K134" cm="1">
        <f t="array" ref="K134">_xlfn.SWITCH(Charts!$B$3,"average", AVERAGE(INDIRECT(ADDRESS(129+3,K$2+1,,,"Instances") &amp; ":" &amp; ADDRESS(129+3,K$2+1))),"median", MEDIAN(INDIRECT(ADDRESS(129+3,K$2+1,,,"Instances") &amp; ":" &amp; ADDRESS(129+3,K$2+1))),"min", MIN(INDIRECT(ADDRESS(129+3,K$2+1,,,"Instances") &amp; ":" &amp; ADDRESS(129+3,K$2+1))),"max", MAX(INDIRECT(ADDRESS(129+3,K$2+1,,,"Instances") &amp; ":" &amp; ADDRESS(129+3,K$2+1))),"diff", MAX(INDIRECT(ADDRESS(129+3,K$2+1,,,"Instances") &amp; ":" &amp; ADDRESS(129+3,K$2+1)))-MIN(INDIRECT(ADDRESS(129+3,K$2+1,,,"Instances") &amp; ":" &amp; ADDRESS(129+3,K$2+1))))</f>
        <v>0</v>
      </c>
      <c r="L134">
        <f>IFERROR(SMALL(K5:K364,ROW()-ROW($L$5)+1),"")</f>
        <v>0</v>
      </c>
      <c r="N134">
        <f>IFERROR(SUM(L5:L134),"")</f>
        <v>0</v>
      </c>
      <c r="Q134">
        <f>IF(Charts!$B$3="none",E1941,IF(K1941="",NA(),K1941))</f>
        <v>0</v>
      </c>
      <c r="R134">
        <f>IF(Charts!$B$3="none",F1941,IF(L1941="",NA(),L1941))</f>
        <v>0</v>
      </c>
      <c r="S134">
        <f>IF(Charts!$B$3="none",G1941,IF(M1941="",NA(),M1941))</f>
        <v>0</v>
      </c>
      <c r="T134">
        <f>IF(Charts!$B$3="none",H1941,IF(N1941="",NA(),N1941))</f>
        <v>0</v>
      </c>
    </row>
    <row r="135" spans="4:20">
      <c r="D135">
        <v>131</v>
      </c>
      <c r="E135">
        <f>IF(INDIRECT(ADDRESS($D135+2,E$2+1,,,"Instances"))="","",INDIRECT(ADDRESS($D135+2,E$2+1,,,"Instances")))</f>
        <v>0</v>
      </c>
      <c r="F135">
        <f>IFERROR(SMALL(E5:E364,ROW()-ROW($F$5)+1),"")</f>
        <v>0</v>
      </c>
      <c r="H135">
        <f>IFERROR(SUM(F5:F135),"")</f>
        <v>0</v>
      </c>
      <c r="J135">
        <v>131</v>
      </c>
      <c r="K135" cm="1">
        <f t="array" ref="K135">_xlfn.SWITCH(Charts!$B$3,"average", AVERAGE(INDIRECT(ADDRESS(130+3,K$2+1,,,"Instances") &amp; ":" &amp; ADDRESS(130+3,K$2+1))),"median", MEDIAN(INDIRECT(ADDRESS(130+3,K$2+1,,,"Instances") &amp; ":" &amp; ADDRESS(130+3,K$2+1))),"min", MIN(INDIRECT(ADDRESS(130+3,K$2+1,,,"Instances") &amp; ":" &amp; ADDRESS(130+3,K$2+1))),"max", MAX(INDIRECT(ADDRESS(130+3,K$2+1,,,"Instances") &amp; ":" &amp; ADDRESS(130+3,K$2+1))),"diff", MAX(INDIRECT(ADDRESS(130+3,K$2+1,,,"Instances") &amp; ":" &amp; ADDRESS(130+3,K$2+1)))-MIN(INDIRECT(ADDRESS(130+3,K$2+1,,,"Instances") &amp; ":" &amp; ADDRESS(130+3,K$2+1))))</f>
        <v>0</v>
      </c>
      <c r="L135">
        <f>IFERROR(SMALL(K5:K364,ROW()-ROW($L$5)+1),"")</f>
        <v>0</v>
      </c>
      <c r="N135">
        <f>IFERROR(SUM(L5:L135),"")</f>
        <v>0</v>
      </c>
      <c r="Q135">
        <f>IF(Charts!$B$3="none",E1942,IF(K1942="",NA(),K1942))</f>
        <v>0</v>
      </c>
      <c r="R135">
        <f>IF(Charts!$B$3="none",F1942,IF(L1942="",NA(),L1942))</f>
        <v>0</v>
      </c>
      <c r="S135">
        <f>IF(Charts!$B$3="none",G1942,IF(M1942="",NA(),M1942))</f>
        <v>0</v>
      </c>
      <c r="T135">
        <f>IF(Charts!$B$3="none",H1942,IF(N1942="",NA(),N1942))</f>
        <v>0</v>
      </c>
    </row>
    <row r="136" spans="4:20">
      <c r="D136">
        <v>132</v>
      </c>
      <c r="E136">
        <f>IF(INDIRECT(ADDRESS($D136+2,E$2+1,,,"Instances"))="","",INDIRECT(ADDRESS($D136+2,E$2+1,,,"Instances")))</f>
        <v>0</v>
      </c>
      <c r="F136">
        <f>IFERROR(SMALL(E5:E364,ROW()-ROW($F$5)+1),"")</f>
        <v>0</v>
      </c>
      <c r="H136">
        <f>IFERROR(SUM(F5:F136),"")</f>
        <v>0</v>
      </c>
      <c r="J136">
        <v>132</v>
      </c>
      <c r="K136" cm="1">
        <f t="array" ref="K136">_xlfn.SWITCH(Charts!$B$3,"average", AVERAGE(INDIRECT(ADDRESS(131+3,K$2+1,,,"Instances") &amp; ":" &amp; ADDRESS(131+3,K$2+1))),"median", MEDIAN(INDIRECT(ADDRESS(131+3,K$2+1,,,"Instances") &amp; ":" &amp; ADDRESS(131+3,K$2+1))),"min", MIN(INDIRECT(ADDRESS(131+3,K$2+1,,,"Instances") &amp; ":" &amp; ADDRESS(131+3,K$2+1))),"max", MAX(INDIRECT(ADDRESS(131+3,K$2+1,,,"Instances") &amp; ":" &amp; ADDRESS(131+3,K$2+1))),"diff", MAX(INDIRECT(ADDRESS(131+3,K$2+1,,,"Instances") &amp; ":" &amp; ADDRESS(131+3,K$2+1)))-MIN(INDIRECT(ADDRESS(131+3,K$2+1,,,"Instances") &amp; ":" &amp; ADDRESS(131+3,K$2+1))))</f>
        <v>0</v>
      </c>
      <c r="L136">
        <f>IFERROR(SMALL(K5:K364,ROW()-ROW($L$5)+1),"")</f>
        <v>0</v>
      </c>
      <c r="N136">
        <f>IFERROR(SUM(L5:L136),"")</f>
        <v>0</v>
      </c>
      <c r="Q136">
        <f>IF(Charts!$B$3="none",E1943,IF(K1943="",NA(),K1943))</f>
        <v>0</v>
      </c>
      <c r="R136">
        <f>IF(Charts!$B$3="none",F1943,IF(L1943="",NA(),L1943))</f>
        <v>0</v>
      </c>
      <c r="S136">
        <f>IF(Charts!$B$3="none",G1943,IF(M1943="",NA(),M1943))</f>
        <v>0</v>
      </c>
      <c r="T136">
        <f>IF(Charts!$B$3="none",H1943,IF(N1943="",NA(),N1943))</f>
        <v>0</v>
      </c>
    </row>
    <row r="137" spans="4:20">
      <c r="D137">
        <v>133</v>
      </c>
      <c r="E137">
        <f>IF(INDIRECT(ADDRESS($D137+2,E$2+1,,,"Instances"))="","",INDIRECT(ADDRESS($D137+2,E$2+1,,,"Instances")))</f>
        <v>0</v>
      </c>
      <c r="F137">
        <f>IFERROR(SMALL(E5:E364,ROW()-ROW($F$5)+1),"")</f>
        <v>0</v>
      </c>
      <c r="H137">
        <f>IFERROR(SUM(F5:F137),"")</f>
        <v>0</v>
      </c>
      <c r="J137">
        <v>133</v>
      </c>
      <c r="K137" cm="1">
        <f t="array" ref="K137">_xlfn.SWITCH(Charts!$B$3,"average", AVERAGE(INDIRECT(ADDRESS(132+3,K$2+1,,,"Instances") &amp; ":" &amp; ADDRESS(132+3,K$2+1))),"median", MEDIAN(INDIRECT(ADDRESS(132+3,K$2+1,,,"Instances") &amp; ":" &amp; ADDRESS(132+3,K$2+1))),"min", MIN(INDIRECT(ADDRESS(132+3,K$2+1,,,"Instances") &amp; ":" &amp; ADDRESS(132+3,K$2+1))),"max", MAX(INDIRECT(ADDRESS(132+3,K$2+1,,,"Instances") &amp; ":" &amp; ADDRESS(132+3,K$2+1))),"diff", MAX(INDIRECT(ADDRESS(132+3,K$2+1,,,"Instances") &amp; ":" &amp; ADDRESS(132+3,K$2+1)))-MIN(INDIRECT(ADDRESS(132+3,K$2+1,,,"Instances") &amp; ":" &amp; ADDRESS(132+3,K$2+1))))</f>
        <v>0</v>
      </c>
      <c r="L137">
        <f>IFERROR(SMALL(K5:K364,ROW()-ROW($L$5)+1),"")</f>
        <v>0</v>
      </c>
      <c r="N137">
        <f>IFERROR(SUM(L5:L137),"")</f>
        <v>0</v>
      </c>
      <c r="Q137">
        <f>IF(Charts!$B$3="none",E1944,IF(K1944="",NA(),K1944))</f>
        <v>0</v>
      </c>
      <c r="R137">
        <f>IF(Charts!$B$3="none",F1944,IF(L1944="",NA(),L1944))</f>
        <v>0</v>
      </c>
      <c r="S137">
        <f>IF(Charts!$B$3="none",G1944,IF(M1944="",NA(),M1944))</f>
        <v>0</v>
      </c>
      <c r="T137">
        <f>IF(Charts!$B$3="none",H1944,IF(N1944="",NA(),N1944))</f>
        <v>0</v>
      </c>
    </row>
    <row r="138" spans="4:20">
      <c r="D138">
        <v>134</v>
      </c>
      <c r="E138">
        <f>IF(INDIRECT(ADDRESS($D138+2,E$2+1,,,"Instances"))="","",INDIRECT(ADDRESS($D138+2,E$2+1,,,"Instances")))</f>
        <v>0</v>
      </c>
      <c r="F138">
        <f>IFERROR(SMALL(E5:E364,ROW()-ROW($F$5)+1),"")</f>
        <v>0</v>
      </c>
      <c r="H138">
        <f>IFERROR(SUM(F5:F138),"")</f>
        <v>0</v>
      </c>
      <c r="J138">
        <v>134</v>
      </c>
      <c r="K138" cm="1">
        <f t="array" ref="K138">_xlfn.SWITCH(Charts!$B$3,"average", AVERAGE(INDIRECT(ADDRESS(133+3,K$2+1,,,"Instances") &amp; ":" &amp; ADDRESS(133+3,K$2+1))),"median", MEDIAN(INDIRECT(ADDRESS(133+3,K$2+1,,,"Instances") &amp; ":" &amp; ADDRESS(133+3,K$2+1))),"min", MIN(INDIRECT(ADDRESS(133+3,K$2+1,,,"Instances") &amp; ":" &amp; ADDRESS(133+3,K$2+1))),"max", MAX(INDIRECT(ADDRESS(133+3,K$2+1,,,"Instances") &amp; ":" &amp; ADDRESS(133+3,K$2+1))),"diff", MAX(INDIRECT(ADDRESS(133+3,K$2+1,,,"Instances") &amp; ":" &amp; ADDRESS(133+3,K$2+1)))-MIN(INDIRECT(ADDRESS(133+3,K$2+1,,,"Instances") &amp; ":" &amp; ADDRESS(133+3,K$2+1))))</f>
        <v>0</v>
      </c>
      <c r="L138">
        <f>IFERROR(SMALL(K5:K364,ROW()-ROW($L$5)+1),"")</f>
        <v>0</v>
      </c>
      <c r="N138">
        <f>IFERROR(SUM(L5:L138),"")</f>
        <v>0</v>
      </c>
      <c r="Q138">
        <f>IF(Charts!$B$3="none",E1945,IF(K1945="",NA(),K1945))</f>
        <v>0</v>
      </c>
      <c r="R138">
        <f>IF(Charts!$B$3="none",F1945,IF(L1945="",NA(),L1945))</f>
        <v>0</v>
      </c>
      <c r="S138">
        <f>IF(Charts!$B$3="none",G1945,IF(M1945="",NA(),M1945))</f>
        <v>0</v>
      </c>
      <c r="T138">
        <f>IF(Charts!$B$3="none",H1945,IF(N1945="",NA(),N1945))</f>
        <v>0</v>
      </c>
    </row>
    <row r="139" spans="4:20">
      <c r="D139">
        <v>135</v>
      </c>
      <c r="E139">
        <f>IF(INDIRECT(ADDRESS($D139+2,E$2+1,,,"Instances"))="","",INDIRECT(ADDRESS($D139+2,E$2+1,,,"Instances")))</f>
        <v>0</v>
      </c>
      <c r="F139">
        <f>IFERROR(SMALL(E5:E364,ROW()-ROW($F$5)+1),"")</f>
        <v>0</v>
      </c>
      <c r="H139">
        <f>IFERROR(SUM(F5:F139),"")</f>
        <v>0</v>
      </c>
      <c r="J139">
        <v>135</v>
      </c>
      <c r="K139" cm="1">
        <f t="array" ref="K139">_xlfn.SWITCH(Charts!$B$3,"average", AVERAGE(INDIRECT(ADDRESS(134+3,K$2+1,,,"Instances") &amp; ":" &amp; ADDRESS(134+3,K$2+1))),"median", MEDIAN(INDIRECT(ADDRESS(134+3,K$2+1,,,"Instances") &amp; ":" &amp; ADDRESS(134+3,K$2+1))),"min", MIN(INDIRECT(ADDRESS(134+3,K$2+1,,,"Instances") &amp; ":" &amp; ADDRESS(134+3,K$2+1))),"max", MAX(INDIRECT(ADDRESS(134+3,K$2+1,,,"Instances") &amp; ":" &amp; ADDRESS(134+3,K$2+1))),"diff", MAX(INDIRECT(ADDRESS(134+3,K$2+1,,,"Instances") &amp; ":" &amp; ADDRESS(134+3,K$2+1)))-MIN(INDIRECT(ADDRESS(134+3,K$2+1,,,"Instances") &amp; ":" &amp; ADDRESS(134+3,K$2+1))))</f>
        <v>0</v>
      </c>
      <c r="L139">
        <f>IFERROR(SMALL(K5:K364,ROW()-ROW($L$5)+1),"")</f>
        <v>0</v>
      </c>
      <c r="N139">
        <f>IFERROR(SUM(L5:L139),"")</f>
        <v>0</v>
      </c>
      <c r="Q139">
        <f>IF(Charts!$B$3="none",E1946,IF(K1946="",NA(),K1946))</f>
        <v>0</v>
      </c>
      <c r="R139">
        <f>IF(Charts!$B$3="none",F1946,IF(L1946="",NA(),L1946))</f>
        <v>0</v>
      </c>
      <c r="S139">
        <f>IF(Charts!$B$3="none",G1946,IF(M1946="",NA(),M1946))</f>
        <v>0</v>
      </c>
      <c r="T139">
        <f>IF(Charts!$B$3="none",H1946,IF(N1946="",NA(),N1946))</f>
        <v>0</v>
      </c>
    </row>
    <row r="140" spans="4:20">
      <c r="D140">
        <v>136</v>
      </c>
      <c r="E140">
        <f>IF(INDIRECT(ADDRESS($D140+2,E$2+1,,,"Instances"))="","",INDIRECT(ADDRESS($D140+2,E$2+1,,,"Instances")))</f>
        <v>0</v>
      </c>
      <c r="F140">
        <f>IFERROR(SMALL(E5:E364,ROW()-ROW($F$5)+1),"")</f>
        <v>0</v>
      </c>
      <c r="H140">
        <f>IFERROR(SUM(F5:F140),"")</f>
        <v>0</v>
      </c>
      <c r="J140">
        <v>136</v>
      </c>
      <c r="K140" cm="1">
        <f t="array" ref="K140">_xlfn.SWITCH(Charts!$B$3,"average", AVERAGE(INDIRECT(ADDRESS(135+3,K$2+1,,,"Instances") &amp; ":" &amp; ADDRESS(135+3,K$2+1))),"median", MEDIAN(INDIRECT(ADDRESS(135+3,K$2+1,,,"Instances") &amp; ":" &amp; ADDRESS(135+3,K$2+1))),"min", MIN(INDIRECT(ADDRESS(135+3,K$2+1,,,"Instances") &amp; ":" &amp; ADDRESS(135+3,K$2+1))),"max", MAX(INDIRECT(ADDRESS(135+3,K$2+1,,,"Instances") &amp; ":" &amp; ADDRESS(135+3,K$2+1))),"diff", MAX(INDIRECT(ADDRESS(135+3,K$2+1,,,"Instances") &amp; ":" &amp; ADDRESS(135+3,K$2+1)))-MIN(INDIRECT(ADDRESS(135+3,K$2+1,,,"Instances") &amp; ":" &amp; ADDRESS(135+3,K$2+1))))</f>
        <v>0</v>
      </c>
      <c r="L140">
        <f>IFERROR(SMALL(K5:K364,ROW()-ROW($L$5)+1),"")</f>
        <v>0</v>
      </c>
      <c r="N140">
        <f>IFERROR(SUM(L5:L140),"")</f>
        <v>0</v>
      </c>
      <c r="Q140">
        <f>IF(Charts!$B$3="none",E1947,IF(K1947="",NA(),K1947))</f>
        <v>0</v>
      </c>
      <c r="R140">
        <f>IF(Charts!$B$3="none",F1947,IF(L1947="",NA(),L1947))</f>
        <v>0</v>
      </c>
      <c r="S140">
        <f>IF(Charts!$B$3="none",G1947,IF(M1947="",NA(),M1947))</f>
        <v>0</v>
      </c>
      <c r="T140">
        <f>IF(Charts!$B$3="none",H1947,IF(N1947="",NA(),N1947))</f>
        <v>0</v>
      </c>
    </row>
    <row r="141" spans="4:20">
      <c r="D141">
        <v>137</v>
      </c>
      <c r="E141">
        <f>IF(INDIRECT(ADDRESS($D141+2,E$2+1,,,"Instances"))="","",INDIRECT(ADDRESS($D141+2,E$2+1,,,"Instances")))</f>
        <v>0</v>
      </c>
      <c r="F141">
        <f>IFERROR(SMALL(E5:E364,ROW()-ROW($F$5)+1),"")</f>
        <v>0</v>
      </c>
      <c r="H141">
        <f>IFERROR(SUM(F5:F141),"")</f>
        <v>0</v>
      </c>
      <c r="J141">
        <v>137</v>
      </c>
      <c r="K141" cm="1">
        <f t="array" ref="K141">_xlfn.SWITCH(Charts!$B$3,"average", AVERAGE(INDIRECT(ADDRESS(136+3,K$2+1,,,"Instances") &amp; ":" &amp; ADDRESS(136+3,K$2+1))),"median", MEDIAN(INDIRECT(ADDRESS(136+3,K$2+1,,,"Instances") &amp; ":" &amp; ADDRESS(136+3,K$2+1))),"min", MIN(INDIRECT(ADDRESS(136+3,K$2+1,,,"Instances") &amp; ":" &amp; ADDRESS(136+3,K$2+1))),"max", MAX(INDIRECT(ADDRESS(136+3,K$2+1,,,"Instances") &amp; ":" &amp; ADDRESS(136+3,K$2+1))),"diff", MAX(INDIRECT(ADDRESS(136+3,K$2+1,,,"Instances") &amp; ":" &amp; ADDRESS(136+3,K$2+1)))-MIN(INDIRECT(ADDRESS(136+3,K$2+1,,,"Instances") &amp; ":" &amp; ADDRESS(136+3,K$2+1))))</f>
        <v>0</v>
      </c>
      <c r="L141">
        <f>IFERROR(SMALL(K5:K364,ROW()-ROW($L$5)+1),"")</f>
        <v>0</v>
      </c>
      <c r="N141">
        <f>IFERROR(SUM(L5:L141),"")</f>
        <v>0</v>
      </c>
      <c r="Q141">
        <f>IF(Charts!$B$3="none",E1948,IF(K1948="",NA(),K1948))</f>
        <v>0</v>
      </c>
      <c r="R141">
        <f>IF(Charts!$B$3="none",F1948,IF(L1948="",NA(),L1948))</f>
        <v>0</v>
      </c>
      <c r="S141">
        <f>IF(Charts!$B$3="none",G1948,IF(M1948="",NA(),M1948))</f>
        <v>0</v>
      </c>
      <c r="T141">
        <f>IF(Charts!$B$3="none",H1948,IF(N1948="",NA(),N1948))</f>
        <v>0</v>
      </c>
    </row>
    <row r="142" spans="4:20">
      <c r="D142">
        <v>138</v>
      </c>
      <c r="E142">
        <f>IF(INDIRECT(ADDRESS($D142+2,E$2+1,,,"Instances"))="","",INDIRECT(ADDRESS($D142+2,E$2+1,,,"Instances")))</f>
        <v>0</v>
      </c>
      <c r="F142">
        <f>IFERROR(SMALL(E5:E364,ROW()-ROW($F$5)+1),"")</f>
        <v>0</v>
      </c>
      <c r="H142">
        <f>IFERROR(SUM(F5:F142),"")</f>
        <v>0</v>
      </c>
      <c r="J142">
        <v>138</v>
      </c>
      <c r="K142" cm="1">
        <f t="array" ref="K142">_xlfn.SWITCH(Charts!$B$3,"average", AVERAGE(INDIRECT(ADDRESS(137+3,K$2+1,,,"Instances") &amp; ":" &amp; ADDRESS(137+3,K$2+1))),"median", MEDIAN(INDIRECT(ADDRESS(137+3,K$2+1,,,"Instances") &amp; ":" &amp; ADDRESS(137+3,K$2+1))),"min", MIN(INDIRECT(ADDRESS(137+3,K$2+1,,,"Instances") &amp; ":" &amp; ADDRESS(137+3,K$2+1))),"max", MAX(INDIRECT(ADDRESS(137+3,K$2+1,,,"Instances") &amp; ":" &amp; ADDRESS(137+3,K$2+1))),"diff", MAX(INDIRECT(ADDRESS(137+3,K$2+1,,,"Instances") &amp; ":" &amp; ADDRESS(137+3,K$2+1)))-MIN(INDIRECT(ADDRESS(137+3,K$2+1,,,"Instances") &amp; ":" &amp; ADDRESS(137+3,K$2+1))))</f>
        <v>0</v>
      </c>
      <c r="L142">
        <f>IFERROR(SMALL(K5:K364,ROW()-ROW($L$5)+1),"")</f>
        <v>0</v>
      </c>
      <c r="N142">
        <f>IFERROR(SUM(L5:L142),"")</f>
        <v>0</v>
      </c>
      <c r="Q142">
        <f>IF(Charts!$B$3="none",E1949,IF(K1949="",NA(),K1949))</f>
        <v>0</v>
      </c>
      <c r="R142">
        <f>IF(Charts!$B$3="none",F1949,IF(L1949="",NA(),L1949))</f>
        <v>0</v>
      </c>
      <c r="S142">
        <f>IF(Charts!$B$3="none",G1949,IF(M1949="",NA(),M1949))</f>
        <v>0</v>
      </c>
      <c r="T142">
        <f>IF(Charts!$B$3="none",H1949,IF(N1949="",NA(),N1949))</f>
        <v>0</v>
      </c>
    </row>
    <row r="143" spans="4:20">
      <c r="D143">
        <v>139</v>
      </c>
      <c r="E143">
        <f>IF(INDIRECT(ADDRESS($D143+2,E$2+1,,,"Instances"))="","",INDIRECT(ADDRESS($D143+2,E$2+1,,,"Instances")))</f>
        <v>0</v>
      </c>
      <c r="F143">
        <f>IFERROR(SMALL(E5:E364,ROW()-ROW($F$5)+1),"")</f>
        <v>0</v>
      </c>
      <c r="H143">
        <f>IFERROR(SUM(F5:F143),"")</f>
        <v>0</v>
      </c>
      <c r="J143">
        <v>139</v>
      </c>
      <c r="K143" cm="1">
        <f t="array" ref="K143">_xlfn.SWITCH(Charts!$B$3,"average", AVERAGE(INDIRECT(ADDRESS(138+3,K$2+1,,,"Instances") &amp; ":" &amp; ADDRESS(138+3,K$2+1))),"median", MEDIAN(INDIRECT(ADDRESS(138+3,K$2+1,,,"Instances") &amp; ":" &amp; ADDRESS(138+3,K$2+1))),"min", MIN(INDIRECT(ADDRESS(138+3,K$2+1,,,"Instances") &amp; ":" &amp; ADDRESS(138+3,K$2+1))),"max", MAX(INDIRECT(ADDRESS(138+3,K$2+1,,,"Instances") &amp; ":" &amp; ADDRESS(138+3,K$2+1))),"diff", MAX(INDIRECT(ADDRESS(138+3,K$2+1,,,"Instances") &amp; ":" &amp; ADDRESS(138+3,K$2+1)))-MIN(INDIRECT(ADDRESS(138+3,K$2+1,,,"Instances") &amp; ":" &amp; ADDRESS(138+3,K$2+1))))</f>
        <v>0</v>
      </c>
      <c r="L143">
        <f>IFERROR(SMALL(K5:K364,ROW()-ROW($L$5)+1),"")</f>
        <v>0</v>
      </c>
      <c r="N143">
        <f>IFERROR(SUM(L5:L143),"")</f>
        <v>0</v>
      </c>
      <c r="Q143">
        <f>IF(Charts!$B$3="none",E1950,IF(K1950="",NA(),K1950))</f>
        <v>0</v>
      </c>
      <c r="R143">
        <f>IF(Charts!$B$3="none",F1950,IF(L1950="",NA(),L1950))</f>
        <v>0</v>
      </c>
      <c r="S143">
        <f>IF(Charts!$B$3="none",G1950,IF(M1950="",NA(),M1950))</f>
        <v>0</v>
      </c>
      <c r="T143">
        <f>IF(Charts!$B$3="none",H1950,IF(N1950="",NA(),N1950))</f>
        <v>0</v>
      </c>
    </row>
    <row r="144" spans="4:20">
      <c r="D144">
        <v>140</v>
      </c>
      <c r="E144">
        <f>IF(INDIRECT(ADDRESS($D144+2,E$2+1,,,"Instances"))="","",INDIRECT(ADDRESS($D144+2,E$2+1,,,"Instances")))</f>
        <v>0</v>
      </c>
      <c r="F144">
        <f>IFERROR(SMALL(E5:E364,ROW()-ROW($F$5)+1),"")</f>
        <v>0</v>
      </c>
      <c r="H144">
        <f>IFERROR(SUM(F5:F144),"")</f>
        <v>0</v>
      </c>
      <c r="J144">
        <v>140</v>
      </c>
      <c r="K144" cm="1">
        <f t="array" ref="K144">_xlfn.SWITCH(Charts!$B$3,"average", AVERAGE(INDIRECT(ADDRESS(139+3,K$2+1,,,"Instances") &amp; ":" &amp; ADDRESS(139+3,K$2+1))),"median", MEDIAN(INDIRECT(ADDRESS(139+3,K$2+1,,,"Instances") &amp; ":" &amp; ADDRESS(139+3,K$2+1))),"min", MIN(INDIRECT(ADDRESS(139+3,K$2+1,,,"Instances") &amp; ":" &amp; ADDRESS(139+3,K$2+1))),"max", MAX(INDIRECT(ADDRESS(139+3,K$2+1,,,"Instances") &amp; ":" &amp; ADDRESS(139+3,K$2+1))),"diff", MAX(INDIRECT(ADDRESS(139+3,K$2+1,,,"Instances") &amp; ":" &amp; ADDRESS(139+3,K$2+1)))-MIN(INDIRECT(ADDRESS(139+3,K$2+1,,,"Instances") &amp; ":" &amp; ADDRESS(139+3,K$2+1))))</f>
        <v>0</v>
      </c>
      <c r="L144">
        <f>IFERROR(SMALL(K5:K364,ROW()-ROW($L$5)+1),"")</f>
        <v>0</v>
      </c>
      <c r="N144">
        <f>IFERROR(SUM(L5:L144),"")</f>
        <v>0</v>
      </c>
      <c r="Q144">
        <f>IF(Charts!$B$3="none",E1951,IF(K1951="",NA(),K1951))</f>
        <v>0</v>
      </c>
      <c r="R144">
        <f>IF(Charts!$B$3="none",F1951,IF(L1951="",NA(),L1951))</f>
        <v>0</v>
      </c>
      <c r="S144">
        <f>IF(Charts!$B$3="none",G1951,IF(M1951="",NA(),M1951))</f>
        <v>0</v>
      </c>
      <c r="T144">
        <f>IF(Charts!$B$3="none",H1951,IF(N1951="",NA(),N1951))</f>
        <v>0</v>
      </c>
    </row>
    <row r="145" spans="4:20">
      <c r="D145">
        <v>141</v>
      </c>
      <c r="E145">
        <f>IF(INDIRECT(ADDRESS($D145+2,E$2+1,,,"Instances"))="","",INDIRECT(ADDRESS($D145+2,E$2+1,,,"Instances")))</f>
        <v>0</v>
      </c>
      <c r="F145">
        <f>IFERROR(SMALL(E5:E364,ROW()-ROW($F$5)+1),"")</f>
        <v>0</v>
      </c>
      <c r="H145">
        <f>IFERROR(SUM(F5:F145),"")</f>
        <v>0</v>
      </c>
      <c r="J145">
        <v>141</v>
      </c>
      <c r="K145" cm="1">
        <f t="array" ref="K145">_xlfn.SWITCH(Charts!$B$3,"average", AVERAGE(INDIRECT(ADDRESS(140+3,K$2+1,,,"Instances") &amp; ":" &amp; ADDRESS(140+3,K$2+1))),"median", MEDIAN(INDIRECT(ADDRESS(140+3,K$2+1,,,"Instances") &amp; ":" &amp; ADDRESS(140+3,K$2+1))),"min", MIN(INDIRECT(ADDRESS(140+3,K$2+1,,,"Instances") &amp; ":" &amp; ADDRESS(140+3,K$2+1))),"max", MAX(INDIRECT(ADDRESS(140+3,K$2+1,,,"Instances") &amp; ":" &amp; ADDRESS(140+3,K$2+1))),"diff", MAX(INDIRECT(ADDRESS(140+3,K$2+1,,,"Instances") &amp; ":" &amp; ADDRESS(140+3,K$2+1)))-MIN(INDIRECT(ADDRESS(140+3,K$2+1,,,"Instances") &amp; ":" &amp; ADDRESS(140+3,K$2+1))))</f>
        <v>0</v>
      </c>
      <c r="L145">
        <f>IFERROR(SMALL(K5:K364,ROW()-ROW($L$5)+1),"")</f>
        <v>0</v>
      </c>
      <c r="N145">
        <f>IFERROR(SUM(L5:L145),"")</f>
        <v>0</v>
      </c>
      <c r="Q145">
        <f>IF(Charts!$B$3="none",E1952,IF(K1952="",NA(),K1952))</f>
        <v>0</v>
      </c>
      <c r="R145">
        <f>IF(Charts!$B$3="none",F1952,IF(L1952="",NA(),L1952))</f>
        <v>0</v>
      </c>
      <c r="S145">
        <f>IF(Charts!$B$3="none",G1952,IF(M1952="",NA(),M1952))</f>
        <v>0</v>
      </c>
      <c r="T145">
        <f>IF(Charts!$B$3="none",H1952,IF(N1952="",NA(),N1952))</f>
        <v>0</v>
      </c>
    </row>
    <row r="146" spans="4:20">
      <c r="D146">
        <v>142</v>
      </c>
      <c r="E146">
        <f>IF(INDIRECT(ADDRESS($D146+2,E$2+1,,,"Instances"))="","",INDIRECT(ADDRESS($D146+2,E$2+1,,,"Instances")))</f>
        <v>0</v>
      </c>
      <c r="F146">
        <f>IFERROR(SMALL(E5:E364,ROW()-ROW($F$5)+1),"")</f>
        <v>0</v>
      </c>
      <c r="H146">
        <f>IFERROR(SUM(F5:F146),"")</f>
        <v>0</v>
      </c>
      <c r="J146">
        <v>142</v>
      </c>
      <c r="K146" cm="1">
        <f t="array" ref="K146">_xlfn.SWITCH(Charts!$B$3,"average", AVERAGE(INDIRECT(ADDRESS(141+3,K$2+1,,,"Instances") &amp; ":" &amp; ADDRESS(141+3,K$2+1))),"median", MEDIAN(INDIRECT(ADDRESS(141+3,K$2+1,,,"Instances") &amp; ":" &amp; ADDRESS(141+3,K$2+1))),"min", MIN(INDIRECT(ADDRESS(141+3,K$2+1,,,"Instances") &amp; ":" &amp; ADDRESS(141+3,K$2+1))),"max", MAX(INDIRECT(ADDRESS(141+3,K$2+1,,,"Instances") &amp; ":" &amp; ADDRESS(141+3,K$2+1))),"diff", MAX(INDIRECT(ADDRESS(141+3,K$2+1,,,"Instances") &amp; ":" &amp; ADDRESS(141+3,K$2+1)))-MIN(INDIRECT(ADDRESS(141+3,K$2+1,,,"Instances") &amp; ":" &amp; ADDRESS(141+3,K$2+1))))</f>
        <v>0</v>
      </c>
      <c r="L146">
        <f>IFERROR(SMALL(K5:K364,ROW()-ROW($L$5)+1),"")</f>
        <v>0</v>
      </c>
      <c r="N146">
        <f>IFERROR(SUM(L5:L146),"")</f>
        <v>0</v>
      </c>
      <c r="Q146">
        <f>IF(Charts!$B$3="none",E1953,IF(K1953="",NA(),K1953))</f>
        <v>0</v>
      </c>
      <c r="R146">
        <f>IF(Charts!$B$3="none",F1953,IF(L1953="",NA(),L1953))</f>
        <v>0</v>
      </c>
      <c r="S146">
        <f>IF(Charts!$B$3="none",G1953,IF(M1953="",NA(),M1953))</f>
        <v>0</v>
      </c>
      <c r="T146">
        <f>IF(Charts!$B$3="none",H1953,IF(N1953="",NA(),N1953))</f>
        <v>0</v>
      </c>
    </row>
    <row r="147" spans="4:20">
      <c r="D147">
        <v>143</v>
      </c>
      <c r="E147">
        <f>IF(INDIRECT(ADDRESS($D147+2,E$2+1,,,"Instances"))="","",INDIRECT(ADDRESS($D147+2,E$2+1,,,"Instances")))</f>
        <v>0</v>
      </c>
      <c r="F147">
        <f>IFERROR(SMALL(E5:E364,ROW()-ROW($F$5)+1),"")</f>
        <v>0</v>
      </c>
      <c r="H147">
        <f>IFERROR(SUM(F5:F147),"")</f>
        <v>0</v>
      </c>
      <c r="J147">
        <v>143</v>
      </c>
      <c r="K147" cm="1">
        <f t="array" ref="K147">_xlfn.SWITCH(Charts!$B$3,"average", AVERAGE(INDIRECT(ADDRESS(142+3,K$2+1,,,"Instances") &amp; ":" &amp; ADDRESS(142+3,K$2+1))),"median", MEDIAN(INDIRECT(ADDRESS(142+3,K$2+1,,,"Instances") &amp; ":" &amp; ADDRESS(142+3,K$2+1))),"min", MIN(INDIRECT(ADDRESS(142+3,K$2+1,,,"Instances") &amp; ":" &amp; ADDRESS(142+3,K$2+1))),"max", MAX(INDIRECT(ADDRESS(142+3,K$2+1,,,"Instances") &amp; ":" &amp; ADDRESS(142+3,K$2+1))),"diff", MAX(INDIRECT(ADDRESS(142+3,K$2+1,,,"Instances") &amp; ":" &amp; ADDRESS(142+3,K$2+1)))-MIN(INDIRECT(ADDRESS(142+3,K$2+1,,,"Instances") &amp; ":" &amp; ADDRESS(142+3,K$2+1))))</f>
        <v>0</v>
      </c>
      <c r="L147">
        <f>IFERROR(SMALL(K5:K364,ROW()-ROW($L$5)+1),"")</f>
        <v>0</v>
      </c>
      <c r="N147">
        <f>IFERROR(SUM(L5:L147),"")</f>
        <v>0</v>
      </c>
      <c r="Q147">
        <f>IF(Charts!$B$3="none",E1954,IF(K1954="",NA(),K1954))</f>
        <v>0</v>
      </c>
      <c r="R147">
        <f>IF(Charts!$B$3="none",F1954,IF(L1954="",NA(),L1954))</f>
        <v>0</v>
      </c>
      <c r="S147">
        <f>IF(Charts!$B$3="none",G1954,IF(M1954="",NA(),M1954))</f>
        <v>0</v>
      </c>
      <c r="T147">
        <f>IF(Charts!$B$3="none",H1954,IF(N1954="",NA(),N1954))</f>
        <v>0</v>
      </c>
    </row>
    <row r="148" spans="4:20">
      <c r="D148">
        <v>144</v>
      </c>
      <c r="E148">
        <f>IF(INDIRECT(ADDRESS($D148+2,E$2+1,,,"Instances"))="","",INDIRECT(ADDRESS($D148+2,E$2+1,,,"Instances")))</f>
        <v>0</v>
      </c>
      <c r="F148">
        <f>IFERROR(SMALL(E5:E364,ROW()-ROW($F$5)+1),"")</f>
        <v>0</v>
      </c>
      <c r="H148">
        <f>IFERROR(SUM(F5:F148),"")</f>
        <v>0</v>
      </c>
      <c r="J148">
        <v>144</v>
      </c>
      <c r="K148" cm="1">
        <f t="array" ref="K148">_xlfn.SWITCH(Charts!$B$3,"average", AVERAGE(INDIRECT(ADDRESS(143+3,K$2+1,,,"Instances") &amp; ":" &amp; ADDRESS(143+3,K$2+1))),"median", MEDIAN(INDIRECT(ADDRESS(143+3,K$2+1,,,"Instances") &amp; ":" &amp; ADDRESS(143+3,K$2+1))),"min", MIN(INDIRECT(ADDRESS(143+3,K$2+1,,,"Instances") &amp; ":" &amp; ADDRESS(143+3,K$2+1))),"max", MAX(INDIRECT(ADDRESS(143+3,K$2+1,,,"Instances") &amp; ":" &amp; ADDRESS(143+3,K$2+1))),"diff", MAX(INDIRECT(ADDRESS(143+3,K$2+1,,,"Instances") &amp; ":" &amp; ADDRESS(143+3,K$2+1)))-MIN(INDIRECT(ADDRESS(143+3,K$2+1,,,"Instances") &amp; ":" &amp; ADDRESS(143+3,K$2+1))))</f>
        <v>0</v>
      </c>
      <c r="L148">
        <f>IFERROR(SMALL(K5:K364,ROW()-ROW($L$5)+1),"")</f>
        <v>0</v>
      </c>
      <c r="N148">
        <f>IFERROR(SUM(L5:L148),"")</f>
        <v>0</v>
      </c>
      <c r="Q148">
        <f>IF(Charts!$B$3="none",E1955,IF(K1955="",NA(),K1955))</f>
        <v>0</v>
      </c>
      <c r="R148">
        <f>IF(Charts!$B$3="none",F1955,IF(L1955="",NA(),L1955))</f>
        <v>0</v>
      </c>
      <c r="S148">
        <f>IF(Charts!$B$3="none",G1955,IF(M1955="",NA(),M1955))</f>
        <v>0</v>
      </c>
      <c r="T148">
        <f>IF(Charts!$B$3="none",H1955,IF(N1955="",NA(),N1955))</f>
        <v>0</v>
      </c>
    </row>
    <row r="149" spans="4:20">
      <c r="D149">
        <v>145</v>
      </c>
      <c r="E149">
        <f>IF(INDIRECT(ADDRESS($D149+2,E$2+1,,,"Instances"))="","",INDIRECT(ADDRESS($D149+2,E$2+1,,,"Instances")))</f>
        <v>0</v>
      </c>
      <c r="F149">
        <f>IFERROR(SMALL(E5:E364,ROW()-ROW($F$5)+1),"")</f>
        <v>0</v>
      </c>
      <c r="H149">
        <f>IFERROR(SUM(F5:F149),"")</f>
        <v>0</v>
      </c>
      <c r="J149">
        <v>145</v>
      </c>
      <c r="K149" cm="1">
        <f t="array" ref="K149">_xlfn.SWITCH(Charts!$B$3,"average", AVERAGE(INDIRECT(ADDRESS(144+3,K$2+1,,,"Instances") &amp; ":" &amp; ADDRESS(144+3,K$2+1))),"median", MEDIAN(INDIRECT(ADDRESS(144+3,K$2+1,,,"Instances") &amp; ":" &amp; ADDRESS(144+3,K$2+1))),"min", MIN(INDIRECT(ADDRESS(144+3,K$2+1,,,"Instances") &amp; ":" &amp; ADDRESS(144+3,K$2+1))),"max", MAX(INDIRECT(ADDRESS(144+3,K$2+1,,,"Instances") &amp; ":" &amp; ADDRESS(144+3,K$2+1))),"diff", MAX(INDIRECT(ADDRESS(144+3,K$2+1,,,"Instances") &amp; ":" &amp; ADDRESS(144+3,K$2+1)))-MIN(INDIRECT(ADDRESS(144+3,K$2+1,,,"Instances") &amp; ":" &amp; ADDRESS(144+3,K$2+1))))</f>
        <v>0</v>
      </c>
      <c r="L149">
        <f>IFERROR(SMALL(K5:K364,ROW()-ROW($L$5)+1),"")</f>
        <v>0</v>
      </c>
      <c r="N149">
        <f>IFERROR(SUM(L5:L149),"")</f>
        <v>0</v>
      </c>
      <c r="Q149">
        <f>IF(Charts!$B$3="none",E1956,IF(K1956="",NA(),K1956))</f>
        <v>0</v>
      </c>
      <c r="R149">
        <f>IF(Charts!$B$3="none",F1956,IF(L1956="",NA(),L1956))</f>
        <v>0</v>
      </c>
      <c r="S149">
        <f>IF(Charts!$B$3="none",G1956,IF(M1956="",NA(),M1956))</f>
        <v>0</v>
      </c>
      <c r="T149">
        <f>IF(Charts!$B$3="none",H1956,IF(N1956="",NA(),N1956))</f>
        <v>0</v>
      </c>
    </row>
    <row r="150" spans="4:20">
      <c r="D150">
        <v>146</v>
      </c>
      <c r="E150">
        <f>IF(INDIRECT(ADDRESS($D150+2,E$2+1,,,"Instances"))="","",INDIRECT(ADDRESS($D150+2,E$2+1,,,"Instances")))</f>
        <v>0</v>
      </c>
      <c r="F150">
        <f>IFERROR(SMALL(E5:E364,ROW()-ROW($F$5)+1),"")</f>
        <v>0</v>
      </c>
      <c r="H150">
        <f>IFERROR(SUM(F5:F150),"")</f>
        <v>0</v>
      </c>
      <c r="J150">
        <v>146</v>
      </c>
      <c r="K150" cm="1">
        <f t="array" ref="K150">_xlfn.SWITCH(Charts!$B$3,"average", AVERAGE(INDIRECT(ADDRESS(145+3,K$2+1,,,"Instances") &amp; ":" &amp; ADDRESS(145+3,K$2+1))),"median", MEDIAN(INDIRECT(ADDRESS(145+3,K$2+1,,,"Instances") &amp; ":" &amp; ADDRESS(145+3,K$2+1))),"min", MIN(INDIRECT(ADDRESS(145+3,K$2+1,,,"Instances") &amp; ":" &amp; ADDRESS(145+3,K$2+1))),"max", MAX(INDIRECT(ADDRESS(145+3,K$2+1,,,"Instances") &amp; ":" &amp; ADDRESS(145+3,K$2+1))),"diff", MAX(INDIRECT(ADDRESS(145+3,K$2+1,,,"Instances") &amp; ":" &amp; ADDRESS(145+3,K$2+1)))-MIN(INDIRECT(ADDRESS(145+3,K$2+1,,,"Instances") &amp; ":" &amp; ADDRESS(145+3,K$2+1))))</f>
        <v>0</v>
      </c>
      <c r="L150">
        <f>IFERROR(SMALL(K5:K364,ROW()-ROW($L$5)+1),"")</f>
        <v>0</v>
      </c>
      <c r="N150">
        <f>IFERROR(SUM(L5:L150),"")</f>
        <v>0</v>
      </c>
      <c r="Q150">
        <f>IF(Charts!$B$3="none",E1957,IF(K1957="",NA(),K1957))</f>
        <v>0</v>
      </c>
      <c r="R150">
        <f>IF(Charts!$B$3="none",F1957,IF(L1957="",NA(),L1957))</f>
        <v>0</v>
      </c>
      <c r="S150">
        <f>IF(Charts!$B$3="none",G1957,IF(M1957="",NA(),M1957))</f>
        <v>0</v>
      </c>
      <c r="T150">
        <f>IF(Charts!$B$3="none",H1957,IF(N1957="",NA(),N1957))</f>
        <v>0</v>
      </c>
    </row>
    <row r="151" spans="4:20">
      <c r="D151">
        <v>147</v>
      </c>
      <c r="E151">
        <f>IF(INDIRECT(ADDRESS($D151+2,E$2+1,,,"Instances"))="","",INDIRECT(ADDRESS($D151+2,E$2+1,,,"Instances")))</f>
        <v>0</v>
      </c>
      <c r="F151">
        <f>IFERROR(SMALL(E5:E364,ROW()-ROW($F$5)+1),"")</f>
        <v>0</v>
      </c>
      <c r="H151">
        <f>IFERROR(SUM(F5:F151),"")</f>
        <v>0</v>
      </c>
      <c r="J151">
        <v>147</v>
      </c>
      <c r="K151" cm="1">
        <f t="array" ref="K151">_xlfn.SWITCH(Charts!$B$3,"average", AVERAGE(INDIRECT(ADDRESS(146+3,K$2+1,,,"Instances") &amp; ":" &amp; ADDRESS(146+3,K$2+1))),"median", MEDIAN(INDIRECT(ADDRESS(146+3,K$2+1,,,"Instances") &amp; ":" &amp; ADDRESS(146+3,K$2+1))),"min", MIN(INDIRECT(ADDRESS(146+3,K$2+1,,,"Instances") &amp; ":" &amp; ADDRESS(146+3,K$2+1))),"max", MAX(INDIRECT(ADDRESS(146+3,K$2+1,,,"Instances") &amp; ":" &amp; ADDRESS(146+3,K$2+1))),"diff", MAX(INDIRECT(ADDRESS(146+3,K$2+1,,,"Instances") &amp; ":" &amp; ADDRESS(146+3,K$2+1)))-MIN(INDIRECT(ADDRESS(146+3,K$2+1,,,"Instances") &amp; ":" &amp; ADDRESS(146+3,K$2+1))))</f>
        <v>0</v>
      </c>
      <c r="L151">
        <f>IFERROR(SMALL(K5:K364,ROW()-ROW($L$5)+1),"")</f>
        <v>0</v>
      </c>
      <c r="N151">
        <f>IFERROR(SUM(L5:L151),"")</f>
        <v>0</v>
      </c>
      <c r="Q151">
        <f>IF(Charts!$B$3="none",E1958,IF(K1958="",NA(),K1958))</f>
        <v>0</v>
      </c>
      <c r="R151">
        <f>IF(Charts!$B$3="none",F1958,IF(L1958="",NA(),L1958))</f>
        <v>0</v>
      </c>
      <c r="S151">
        <f>IF(Charts!$B$3="none",G1958,IF(M1958="",NA(),M1958))</f>
        <v>0</v>
      </c>
      <c r="T151">
        <f>IF(Charts!$B$3="none",H1958,IF(N1958="",NA(),N1958))</f>
        <v>0</v>
      </c>
    </row>
    <row r="152" spans="4:20">
      <c r="D152">
        <v>148</v>
      </c>
      <c r="E152">
        <f>IF(INDIRECT(ADDRESS($D152+2,E$2+1,,,"Instances"))="","",INDIRECT(ADDRESS($D152+2,E$2+1,,,"Instances")))</f>
        <v>0</v>
      </c>
      <c r="F152">
        <f>IFERROR(SMALL(E5:E364,ROW()-ROW($F$5)+1),"")</f>
        <v>0</v>
      </c>
      <c r="H152">
        <f>IFERROR(SUM(F5:F152),"")</f>
        <v>0</v>
      </c>
      <c r="J152">
        <v>148</v>
      </c>
      <c r="K152" cm="1">
        <f t="array" ref="K152">_xlfn.SWITCH(Charts!$B$3,"average", AVERAGE(INDIRECT(ADDRESS(147+3,K$2+1,,,"Instances") &amp; ":" &amp; ADDRESS(147+3,K$2+1))),"median", MEDIAN(INDIRECT(ADDRESS(147+3,K$2+1,,,"Instances") &amp; ":" &amp; ADDRESS(147+3,K$2+1))),"min", MIN(INDIRECT(ADDRESS(147+3,K$2+1,,,"Instances") &amp; ":" &amp; ADDRESS(147+3,K$2+1))),"max", MAX(INDIRECT(ADDRESS(147+3,K$2+1,,,"Instances") &amp; ":" &amp; ADDRESS(147+3,K$2+1))),"diff", MAX(INDIRECT(ADDRESS(147+3,K$2+1,,,"Instances") &amp; ":" &amp; ADDRESS(147+3,K$2+1)))-MIN(INDIRECT(ADDRESS(147+3,K$2+1,,,"Instances") &amp; ":" &amp; ADDRESS(147+3,K$2+1))))</f>
        <v>0</v>
      </c>
      <c r="L152">
        <f>IFERROR(SMALL(K5:K364,ROW()-ROW($L$5)+1),"")</f>
        <v>0</v>
      </c>
      <c r="N152">
        <f>IFERROR(SUM(L5:L152),"")</f>
        <v>0</v>
      </c>
      <c r="Q152">
        <f>IF(Charts!$B$3="none",E1959,IF(K1959="",NA(),K1959))</f>
        <v>0</v>
      </c>
      <c r="R152">
        <f>IF(Charts!$B$3="none",F1959,IF(L1959="",NA(),L1959))</f>
        <v>0</v>
      </c>
      <c r="S152">
        <f>IF(Charts!$B$3="none",G1959,IF(M1959="",NA(),M1959))</f>
        <v>0</v>
      </c>
      <c r="T152">
        <f>IF(Charts!$B$3="none",H1959,IF(N1959="",NA(),N1959))</f>
        <v>0</v>
      </c>
    </row>
    <row r="153" spans="4:20">
      <c r="D153">
        <v>149</v>
      </c>
      <c r="E153">
        <f>IF(INDIRECT(ADDRESS($D153+2,E$2+1,,,"Instances"))="","",INDIRECT(ADDRESS($D153+2,E$2+1,,,"Instances")))</f>
        <v>0</v>
      </c>
      <c r="F153">
        <f>IFERROR(SMALL(E5:E364,ROW()-ROW($F$5)+1),"")</f>
        <v>0</v>
      </c>
      <c r="H153">
        <f>IFERROR(SUM(F5:F153),"")</f>
        <v>0</v>
      </c>
      <c r="J153">
        <v>149</v>
      </c>
      <c r="K153" cm="1">
        <f t="array" ref="K153">_xlfn.SWITCH(Charts!$B$3,"average", AVERAGE(INDIRECT(ADDRESS(148+3,K$2+1,,,"Instances") &amp; ":" &amp; ADDRESS(148+3,K$2+1))),"median", MEDIAN(INDIRECT(ADDRESS(148+3,K$2+1,,,"Instances") &amp; ":" &amp; ADDRESS(148+3,K$2+1))),"min", MIN(INDIRECT(ADDRESS(148+3,K$2+1,,,"Instances") &amp; ":" &amp; ADDRESS(148+3,K$2+1))),"max", MAX(INDIRECT(ADDRESS(148+3,K$2+1,,,"Instances") &amp; ":" &amp; ADDRESS(148+3,K$2+1))),"diff", MAX(INDIRECT(ADDRESS(148+3,K$2+1,,,"Instances") &amp; ":" &amp; ADDRESS(148+3,K$2+1)))-MIN(INDIRECT(ADDRESS(148+3,K$2+1,,,"Instances") &amp; ":" &amp; ADDRESS(148+3,K$2+1))))</f>
        <v>0</v>
      </c>
      <c r="L153">
        <f>IFERROR(SMALL(K5:K364,ROW()-ROW($L$5)+1),"")</f>
        <v>0</v>
      </c>
      <c r="N153">
        <f>IFERROR(SUM(L5:L153),"")</f>
        <v>0</v>
      </c>
      <c r="Q153">
        <f>IF(Charts!$B$3="none",E1960,IF(K1960="",NA(),K1960))</f>
        <v>0</v>
      </c>
      <c r="R153">
        <f>IF(Charts!$B$3="none",F1960,IF(L1960="",NA(),L1960))</f>
        <v>0</v>
      </c>
      <c r="S153">
        <f>IF(Charts!$B$3="none",G1960,IF(M1960="",NA(),M1960))</f>
        <v>0</v>
      </c>
      <c r="T153">
        <f>IF(Charts!$B$3="none",H1960,IF(N1960="",NA(),N1960))</f>
        <v>0</v>
      </c>
    </row>
    <row r="154" spans="4:20">
      <c r="D154">
        <v>150</v>
      </c>
      <c r="E154">
        <f>IF(INDIRECT(ADDRESS($D154+2,E$2+1,,,"Instances"))="","",INDIRECT(ADDRESS($D154+2,E$2+1,,,"Instances")))</f>
        <v>0</v>
      </c>
      <c r="F154">
        <f>IFERROR(SMALL(E5:E364,ROW()-ROW($F$5)+1),"")</f>
        <v>0</v>
      </c>
      <c r="H154">
        <f>IFERROR(SUM(F5:F154),"")</f>
        <v>0</v>
      </c>
      <c r="J154">
        <v>150</v>
      </c>
      <c r="K154" cm="1">
        <f t="array" ref="K154">_xlfn.SWITCH(Charts!$B$3,"average", AVERAGE(INDIRECT(ADDRESS(149+3,K$2+1,,,"Instances") &amp; ":" &amp; ADDRESS(149+3,K$2+1))),"median", MEDIAN(INDIRECT(ADDRESS(149+3,K$2+1,,,"Instances") &amp; ":" &amp; ADDRESS(149+3,K$2+1))),"min", MIN(INDIRECT(ADDRESS(149+3,K$2+1,,,"Instances") &amp; ":" &amp; ADDRESS(149+3,K$2+1))),"max", MAX(INDIRECT(ADDRESS(149+3,K$2+1,,,"Instances") &amp; ":" &amp; ADDRESS(149+3,K$2+1))),"diff", MAX(INDIRECT(ADDRESS(149+3,K$2+1,,,"Instances") &amp; ":" &amp; ADDRESS(149+3,K$2+1)))-MIN(INDIRECT(ADDRESS(149+3,K$2+1,,,"Instances") &amp; ":" &amp; ADDRESS(149+3,K$2+1))))</f>
        <v>0</v>
      </c>
      <c r="L154">
        <f>IFERROR(SMALL(K5:K364,ROW()-ROW($L$5)+1),"")</f>
        <v>0</v>
      </c>
      <c r="N154">
        <f>IFERROR(SUM(L5:L154),"")</f>
        <v>0</v>
      </c>
      <c r="Q154">
        <f>IF(Charts!$B$3="none",E1961,IF(K1961="",NA(),K1961))</f>
        <v>0</v>
      </c>
      <c r="R154">
        <f>IF(Charts!$B$3="none",F1961,IF(L1961="",NA(),L1961))</f>
        <v>0</v>
      </c>
      <c r="S154">
        <f>IF(Charts!$B$3="none",G1961,IF(M1961="",NA(),M1961))</f>
        <v>0</v>
      </c>
      <c r="T154">
        <f>IF(Charts!$B$3="none",H1961,IF(N1961="",NA(),N1961))</f>
        <v>0</v>
      </c>
    </row>
    <row r="155" spans="4:20">
      <c r="D155">
        <v>151</v>
      </c>
      <c r="E155">
        <f>IF(INDIRECT(ADDRESS($D155+2,E$2+1,,,"Instances"))="","",INDIRECT(ADDRESS($D155+2,E$2+1,,,"Instances")))</f>
        <v>0</v>
      </c>
      <c r="F155">
        <f>IFERROR(SMALL(E5:E364,ROW()-ROW($F$5)+1),"")</f>
        <v>0</v>
      </c>
      <c r="H155">
        <f>IFERROR(SUM(F5:F155),"")</f>
        <v>0</v>
      </c>
      <c r="J155">
        <v>151</v>
      </c>
      <c r="K155" cm="1">
        <f t="array" ref="K155">_xlfn.SWITCH(Charts!$B$3,"average", AVERAGE(INDIRECT(ADDRESS(150+3,K$2+1,,,"Instances") &amp; ":" &amp; ADDRESS(150+3,K$2+1))),"median", MEDIAN(INDIRECT(ADDRESS(150+3,K$2+1,,,"Instances") &amp; ":" &amp; ADDRESS(150+3,K$2+1))),"min", MIN(INDIRECT(ADDRESS(150+3,K$2+1,,,"Instances") &amp; ":" &amp; ADDRESS(150+3,K$2+1))),"max", MAX(INDIRECT(ADDRESS(150+3,K$2+1,,,"Instances") &amp; ":" &amp; ADDRESS(150+3,K$2+1))),"diff", MAX(INDIRECT(ADDRESS(150+3,K$2+1,,,"Instances") &amp; ":" &amp; ADDRESS(150+3,K$2+1)))-MIN(INDIRECT(ADDRESS(150+3,K$2+1,,,"Instances") &amp; ":" &amp; ADDRESS(150+3,K$2+1))))</f>
        <v>0</v>
      </c>
      <c r="L155">
        <f>IFERROR(SMALL(K5:K364,ROW()-ROW($L$5)+1),"")</f>
        <v>0</v>
      </c>
      <c r="N155">
        <f>IFERROR(SUM(L5:L155),"")</f>
        <v>0</v>
      </c>
      <c r="Q155">
        <f>IF(Charts!$B$3="none",E1962,IF(K1962="",NA(),K1962))</f>
        <v>0</v>
      </c>
      <c r="R155">
        <f>IF(Charts!$B$3="none",F1962,IF(L1962="",NA(),L1962))</f>
        <v>0</v>
      </c>
      <c r="S155">
        <f>IF(Charts!$B$3="none",G1962,IF(M1962="",NA(),M1962))</f>
        <v>0</v>
      </c>
      <c r="T155">
        <f>IF(Charts!$B$3="none",H1962,IF(N1962="",NA(),N1962))</f>
        <v>0</v>
      </c>
    </row>
    <row r="156" spans="4:20">
      <c r="D156">
        <v>152</v>
      </c>
      <c r="E156">
        <f>IF(INDIRECT(ADDRESS($D156+2,E$2+1,,,"Instances"))="","",INDIRECT(ADDRESS($D156+2,E$2+1,,,"Instances")))</f>
        <v>0</v>
      </c>
      <c r="F156">
        <f>IFERROR(SMALL(E5:E364,ROW()-ROW($F$5)+1),"")</f>
        <v>0</v>
      </c>
      <c r="H156">
        <f>IFERROR(SUM(F5:F156),"")</f>
        <v>0</v>
      </c>
      <c r="J156">
        <v>152</v>
      </c>
      <c r="K156" cm="1">
        <f t="array" ref="K156">_xlfn.SWITCH(Charts!$B$3,"average", AVERAGE(INDIRECT(ADDRESS(151+3,K$2+1,,,"Instances") &amp; ":" &amp; ADDRESS(151+3,K$2+1))),"median", MEDIAN(INDIRECT(ADDRESS(151+3,K$2+1,,,"Instances") &amp; ":" &amp; ADDRESS(151+3,K$2+1))),"min", MIN(INDIRECT(ADDRESS(151+3,K$2+1,,,"Instances") &amp; ":" &amp; ADDRESS(151+3,K$2+1))),"max", MAX(INDIRECT(ADDRESS(151+3,K$2+1,,,"Instances") &amp; ":" &amp; ADDRESS(151+3,K$2+1))),"diff", MAX(INDIRECT(ADDRESS(151+3,K$2+1,,,"Instances") &amp; ":" &amp; ADDRESS(151+3,K$2+1)))-MIN(INDIRECT(ADDRESS(151+3,K$2+1,,,"Instances") &amp; ":" &amp; ADDRESS(151+3,K$2+1))))</f>
        <v>0</v>
      </c>
      <c r="L156">
        <f>IFERROR(SMALL(K5:K364,ROW()-ROW($L$5)+1),"")</f>
        <v>0</v>
      </c>
      <c r="N156">
        <f>IFERROR(SUM(L5:L156),"")</f>
        <v>0</v>
      </c>
      <c r="Q156">
        <f>IF(Charts!$B$3="none",E1963,IF(K1963="",NA(),K1963))</f>
        <v>0</v>
      </c>
      <c r="R156">
        <f>IF(Charts!$B$3="none",F1963,IF(L1963="",NA(),L1963))</f>
        <v>0</v>
      </c>
      <c r="S156">
        <f>IF(Charts!$B$3="none",G1963,IF(M1963="",NA(),M1963))</f>
        <v>0</v>
      </c>
      <c r="T156">
        <f>IF(Charts!$B$3="none",H1963,IF(N1963="",NA(),N1963))</f>
        <v>0</v>
      </c>
    </row>
    <row r="157" spans="4:20">
      <c r="D157">
        <v>153</v>
      </c>
      <c r="E157">
        <f>IF(INDIRECT(ADDRESS($D157+2,E$2+1,,,"Instances"))="","",INDIRECT(ADDRESS($D157+2,E$2+1,,,"Instances")))</f>
        <v>0</v>
      </c>
      <c r="F157">
        <f>IFERROR(SMALL(E5:E364,ROW()-ROW($F$5)+1),"")</f>
        <v>0</v>
      </c>
      <c r="H157">
        <f>IFERROR(SUM(F5:F157),"")</f>
        <v>0</v>
      </c>
      <c r="J157">
        <v>153</v>
      </c>
      <c r="K157" cm="1">
        <f t="array" ref="K157">_xlfn.SWITCH(Charts!$B$3,"average", AVERAGE(INDIRECT(ADDRESS(152+3,K$2+1,,,"Instances") &amp; ":" &amp; ADDRESS(152+3,K$2+1))),"median", MEDIAN(INDIRECT(ADDRESS(152+3,K$2+1,,,"Instances") &amp; ":" &amp; ADDRESS(152+3,K$2+1))),"min", MIN(INDIRECT(ADDRESS(152+3,K$2+1,,,"Instances") &amp; ":" &amp; ADDRESS(152+3,K$2+1))),"max", MAX(INDIRECT(ADDRESS(152+3,K$2+1,,,"Instances") &amp; ":" &amp; ADDRESS(152+3,K$2+1))),"diff", MAX(INDIRECT(ADDRESS(152+3,K$2+1,,,"Instances") &amp; ":" &amp; ADDRESS(152+3,K$2+1)))-MIN(INDIRECT(ADDRESS(152+3,K$2+1,,,"Instances") &amp; ":" &amp; ADDRESS(152+3,K$2+1))))</f>
        <v>0</v>
      </c>
      <c r="L157">
        <f>IFERROR(SMALL(K5:K364,ROW()-ROW($L$5)+1),"")</f>
        <v>0</v>
      </c>
      <c r="N157">
        <f>IFERROR(SUM(L5:L157),"")</f>
        <v>0</v>
      </c>
      <c r="Q157">
        <f>IF(Charts!$B$3="none",E1964,IF(K1964="",NA(),K1964))</f>
        <v>0</v>
      </c>
      <c r="R157">
        <f>IF(Charts!$B$3="none",F1964,IF(L1964="",NA(),L1964))</f>
        <v>0</v>
      </c>
      <c r="S157">
        <f>IF(Charts!$B$3="none",G1964,IF(M1964="",NA(),M1964))</f>
        <v>0</v>
      </c>
      <c r="T157">
        <f>IF(Charts!$B$3="none",H1964,IF(N1964="",NA(),N1964))</f>
        <v>0</v>
      </c>
    </row>
    <row r="158" spans="4:20">
      <c r="D158">
        <v>154</v>
      </c>
      <c r="E158">
        <f>IF(INDIRECT(ADDRESS($D158+2,E$2+1,,,"Instances"))="","",INDIRECT(ADDRESS($D158+2,E$2+1,,,"Instances")))</f>
        <v>0</v>
      </c>
      <c r="F158">
        <f>IFERROR(SMALL(E5:E364,ROW()-ROW($F$5)+1),"")</f>
        <v>0</v>
      </c>
      <c r="H158">
        <f>IFERROR(SUM(F5:F158),"")</f>
        <v>0</v>
      </c>
      <c r="J158">
        <v>154</v>
      </c>
      <c r="K158" cm="1">
        <f t="array" ref="K158">_xlfn.SWITCH(Charts!$B$3,"average", AVERAGE(INDIRECT(ADDRESS(153+3,K$2+1,,,"Instances") &amp; ":" &amp; ADDRESS(153+3,K$2+1))),"median", MEDIAN(INDIRECT(ADDRESS(153+3,K$2+1,,,"Instances") &amp; ":" &amp; ADDRESS(153+3,K$2+1))),"min", MIN(INDIRECT(ADDRESS(153+3,K$2+1,,,"Instances") &amp; ":" &amp; ADDRESS(153+3,K$2+1))),"max", MAX(INDIRECT(ADDRESS(153+3,K$2+1,,,"Instances") &amp; ":" &amp; ADDRESS(153+3,K$2+1))),"diff", MAX(INDIRECT(ADDRESS(153+3,K$2+1,,,"Instances") &amp; ":" &amp; ADDRESS(153+3,K$2+1)))-MIN(INDIRECT(ADDRESS(153+3,K$2+1,,,"Instances") &amp; ":" &amp; ADDRESS(153+3,K$2+1))))</f>
        <v>0</v>
      </c>
      <c r="L158">
        <f>IFERROR(SMALL(K5:K364,ROW()-ROW($L$5)+1),"")</f>
        <v>0</v>
      </c>
      <c r="N158">
        <f>IFERROR(SUM(L5:L158),"")</f>
        <v>0</v>
      </c>
      <c r="Q158">
        <f>IF(Charts!$B$3="none",E1965,IF(K1965="",NA(),K1965))</f>
        <v>0</v>
      </c>
      <c r="R158">
        <f>IF(Charts!$B$3="none",F1965,IF(L1965="",NA(),L1965))</f>
        <v>0</v>
      </c>
      <c r="S158">
        <f>IF(Charts!$B$3="none",G1965,IF(M1965="",NA(),M1965))</f>
        <v>0</v>
      </c>
      <c r="T158">
        <f>IF(Charts!$B$3="none",H1965,IF(N1965="",NA(),N1965))</f>
        <v>0</v>
      </c>
    </row>
    <row r="159" spans="4:20">
      <c r="D159">
        <v>155</v>
      </c>
      <c r="E159">
        <f>IF(INDIRECT(ADDRESS($D159+2,E$2+1,,,"Instances"))="","",INDIRECT(ADDRESS($D159+2,E$2+1,,,"Instances")))</f>
        <v>0</v>
      </c>
      <c r="F159">
        <f>IFERROR(SMALL(E5:E364,ROW()-ROW($F$5)+1),"")</f>
        <v>0</v>
      </c>
      <c r="H159">
        <f>IFERROR(SUM(F5:F159),"")</f>
        <v>0</v>
      </c>
      <c r="J159">
        <v>155</v>
      </c>
      <c r="K159" cm="1">
        <f t="array" ref="K159">_xlfn.SWITCH(Charts!$B$3,"average", AVERAGE(INDIRECT(ADDRESS(154+3,K$2+1,,,"Instances") &amp; ":" &amp; ADDRESS(154+3,K$2+1))),"median", MEDIAN(INDIRECT(ADDRESS(154+3,K$2+1,,,"Instances") &amp; ":" &amp; ADDRESS(154+3,K$2+1))),"min", MIN(INDIRECT(ADDRESS(154+3,K$2+1,,,"Instances") &amp; ":" &amp; ADDRESS(154+3,K$2+1))),"max", MAX(INDIRECT(ADDRESS(154+3,K$2+1,,,"Instances") &amp; ":" &amp; ADDRESS(154+3,K$2+1))),"diff", MAX(INDIRECT(ADDRESS(154+3,K$2+1,,,"Instances") &amp; ":" &amp; ADDRESS(154+3,K$2+1)))-MIN(INDIRECT(ADDRESS(154+3,K$2+1,,,"Instances") &amp; ":" &amp; ADDRESS(154+3,K$2+1))))</f>
        <v>0</v>
      </c>
      <c r="L159">
        <f>IFERROR(SMALL(K5:K364,ROW()-ROW($L$5)+1),"")</f>
        <v>0</v>
      </c>
      <c r="N159">
        <f>IFERROR(SUM(L5:L159),"")</f>
        <v>0</v>
      </c>
      <c r="Q159">
        <f>IF(Charts!$B$3="none",E1966,IF(K1966="",NA(),K1966))</f>
        <v>0</v>
      </c>
      <c r="R159">
        <f>IF(Charts!$B$3="none",F1966,IF(L1966="",NA(),L1966))</f>
        <v>0</v>
      </c>
      <c r="S159">
        <f>IF(Charts!$B$3="none",G1966,IF(M1966="",NA(),M1966))</f>
        <v>0</v>
      </c>
      <c r="T159">
        <f>IF(Charts!$B$3="none",H1966,IF(N1966="",NA(),N1966))</f>
        <v>0</v>
      </c>
    </row>
    <row r="160" spans="4:20">
      <c r="D160">
        <v>156</v>
      </c>
      <c r="E160">
        <f>IF(INDIRECT(ADDRESS($D160+2,E$2+1,,,"Instances"))="","",INDIRECT(ADDRESS($D160+2,E$2+1,,,"Instances")))</f>
        <v>0</v>
      </c>
      <c r="F160">
        <f>IFERROR(SMALL(E5:E364,ROW()-ROW($F$5)+1),"")</f>
        <v>0</v>
      </c>
      <c r="H160">
        <f>IFERROR(SUM(F5:F160),"")</f>
        <v>0</v>
      </c>
      <c r="J160">
        <v>156</v>
      </c>
      <c r="K160" cm="1">
        <f t="array" ref="K160">_xlfn.SWITCH(Charts!$B$3,"average", AVERAGE(INDIRECT(ADDRESS(155+3,K$2+1,,,"Instances") &amp; ":" &amp; ADDRESS(155+3,K$2+1))),"median", MEDIAN(INDIRECT(ADDRESS(155+3,K$2+1,,,"Instances") &amp; ":" &amp; ADDRESS(155+3,K$2+1))),"min", MIN(INDIRECT(ADDRESS(155+3,K$2+1,,,"Instances") &amp; ":" &amp; ADDRESS(155+3,K$2+1))),"max", MAX(INDIRECT(ADDRESS(155+3,K$2+1,,,"Instances") &amp; ":" &amp; ADDRESS(155+3,K$2+1))),"diff", MAX(INDIRECT(ADDRESS(155+3,K$2+1,,,"Instances") &amp; ":" &amp; ADDRESS(155+3,K$2+1)))-MIN(INDIRECT(ADDRESS(155+3,K$2+1,,,"Instances") &amp; ":" &amp; ADDRESS(155+3,K$2+1))))</f>
        <v>0</v>
      </c>
      <c r="L160">
        <f>IFERROR(SMALL(K5:K364,ROW()-ROW($L$5)+1),"")</f>
        <v>0</v>
      </c>
      <c r="N160">
        <f>IFERROR(SUM(L5:L160),"")</f>
        <v>0</v>
      </c>
      <c r="Q160">
        <f>IF(Charts!$B$3="none",E1967,IF(K1967="",NA(),K1967))</f>
        <v>0</v>
      </c>
      <c r="R160">
        <f>IF(Charts!$B$3="none",F1967,IF(L1967="",NA(),L1967))</f>
        <v>0</v>
      </c>
      <c r="S160">
        <f>IF(Charts!$B$3="none",G1967,IF(M1967="",NA(),M1967))</f>
        <v>0</v>
      </c>
      <c r="T160">
        <f>IF(Charts!$B$3="none",H1967,IF(N1967="",NA(),N1967))</f>
        <v>0</v>
      </c>
    </row>
    <row r="161" spans="4:20">
      <c r="D161">
        <v>157</v>
      </c>
      <c r="E161">
        <f>IF(INDIRECT(ADDRESS($D161+2,E$2+1,,,"Instances"))="","",INDIRECT(ADDRESS($D161+2,E$2+1,,,"Instances")))</f>
        <v>0</v>
      </c>
      <c r="F161">
        <f>IFERROR(SMALL(E5:E364,ROW()-ROW($F$5)+1),"")</f>
        <v>0</v>
      </c>
      <c r="H161">
        <f>IFERROR(SUM(F5:F161),"")</f>
        <v>0</v>
      </c>
      <c r="J161">
        <v>157</v>
      </c>
      <c r="K161" cm="1">
        <f t="array" ref="K161">_xlfn.SWITCH(Charts!$B$3,"average", AVERAGE(INDIRECT(ADDRESS(156+3,K$2+1,,,"Instances") &amp; ":" &amp; ADDRESS(156+3,K$2+1))),"median", MEDIAN(INDIRECT(ADDRESS(156+3,K$2+1,,,"Instances") &amp; ":" &amp; ADDRESS(156+3,K$2+1))),"min", MIN(INDIRECT(ADDRESS(156+3,K$2+1,,,"Instances") &amp; ":" &amp; ADDRESS(156+3,K$2+1))),"max", MAX(INDIRECT(ADDRESS(156+3,K$2+1,,,"Instances") &amp; ":" &amp; ADDRESS(156+3,K$2+1))),"diff", MAX(INDIRECT(ADDRESS(156+3,K$2+1,,,"Instances") &amp; ":" &amp; ADDRESS(156+3,K$2+1)))-MIN(INDIRECT(ADDRESS(156+3,K$2+1,,,"Instances") &amp; ":" &amp; ADDRESS(156+3,K$2+1))))</f>
        <v>0</v>
      </c>
      <c r="L161">
        <f>IFERROR(SMALL(K5:K364,ROW()-ROW($L$5)+1),"")</f>
        <v>0</v>
      </c>
      <c r="N161">
        <f>IFERROR(SUM(L5:L161),"")</f>
        <v>0</v>
      </c>
      <c r="Q161">
        <f>IF(Charts!$B$3="none",E1968,IF(K1968="",NA(),K1968))</f>
        <v>0</v>
      </c>
      <c r="R161">
        <f>IF(Charts!$B$3="none",F1968,IF(L1968="",NA(),L1968))</f>
        <v>0</v>
      </c>
      <c r="S161">
        <f>IF(Charts!$B$3="none",G1968,IF(M1968="",NA(),M1968))</f>
        <v>0</v>
      </c>
      <c r="T161">
        <f>IF(Charts!$B$3="none",H1968,IF(N1968="",NA(),N1968))</f>
        <v>0</v>
      </c>
    </row>
    <row r="162" spans="4:20">
      <c r="D162">
        <v>158</v>
      </c>
      <c r="E162">
        <f>IF(INDIRECT(ADDRESS($D162+2,E$2+1,,,"Instances"))="","",INDIRECT(ADDRESS($D162+2,E$2+1,,,"Instances")))</f>
        <v>0</v>
      </c>
      <c r="F162">
        <f>IFERROR(SMALL(E5:E364,ROW()-ROW($F$5)+1),"")</f>
        <v>0</v>
      </c>
      <c r="H162">
        <f>IFERROR(SUM(F5:F162),"")</f>
        <v>0</v>
      </c>
      <c r="J162">
        <v>158</v>
      </c>
      <c r="K162" cm="1">
        <f t="array" ref="K162">_xlfn.SWITCH(Charts!$B$3,"average", AVERAGE(INDIRECT(ADDRESS(157+3,K$2+1,,,"Instances") &amp; ":" &amp; ADDRESS(157+3,K$2+1))),"median", MEDIAN(INDIRECT(ADDRESS(157+3,K$2+1,,,"Instances") &amp; ":" &amp; ADDRESS(157+3,K$2+1))),"min", MIN(INDIRECT(ADDRESS(157+3,K$2+1,,,"Instances") &amp; ":" &amp; ADDRESS(157+3,K$2+1))),"max", MAX(INDIRECT(ADDRESS(157+3,K$2+1,,,"Instances") &amp; ":" &amp; ADDRESS(157+3,K$2+1))),"diff", MAX(INDIRECT(ADDRESS(157+3,K$2+1,,,"Instances") &amp; ":" &amp; ADDRESS(157+3,K$2+1)))-MIN(INDIRECT(ADDRESS(157+3,K$2+1,,,"Instances") &amp; ":" &amp; ADDRESS(157+3,K$2+1))))</f>
        <v>0</v>
      </c>
      <c r="L162">
        <f>IFERROR(SMALL(K5:K364,ROW()-ROW($L$5)+1),"")</f>
        <v>0</v>
      </c>
      <c r="N162">
        <f>IFERROR(SUM(L5:L162),"")</f>
        <v>0</v>
      </c>
      <c r="Q162">
        <f>IF(Charts!$B$3="none",E1969,IF(K1969="",NA(),K1969))</f>
        <v>0</v>
      </c>
      <c r="R162">
        <f>IF(Charts!$B$3="none",F1969,IF(L1969="",NA(),L1969))</f>
        <v>0</v>
      </c>
      <c r="S162">
        <f>IF(Charts!$B$3="none",G1969,IF(M1969="",NA(),M1969))</f>
        <v>0</v>
      </c>
      <c r="T162">
        <f>IF(Charts!$B$3="none",H1969,IF(N1969="",NA(),N1969))</f>
        <v>0</v>
      </c>
    </row>
    <row r="163" spans="4:20">
      <c r="D163">
        <v>159</v>
      </c>
      <c r="E163">
        <f>IF(INDIRECT(ADDRESS($D163+2,E$2+1,,,"Instances"))="","",INDIRECT(ADDRESS($D163+2,E$2+1,,,"Instances")))</f>
        <v>0</v>
      </c>
      <c r="F163">
        <f>IFERROR(SMALL(E5:E364,ROW()-ROW($F$5)+1),"")</f>
        <v>0</v>
      </c>
      <c r="H163">
        <f>IFERROR(SUM(F5:F163),"")</f>
        <v>0</v>
      </c>
      <c r="J163">
        <v>159</v>
      </c>
      <c r="K163" cm="1">
        <f t="array" ref="K163">_xlfn.SWITCH(Charts!$B$3,"average", AVERAGE(INDIRECT(ADDRESS(158+3,K$2+1,,,"Instances") &amp; ":" &amp; ADDRESS(158+3,K$2+1))),"median", MEDIAN(INDIRECT(ADDRESS(158+3,K$2+1,,,"Instances") &amp; ":" &amp; ADDRESS(158+3,K$2+1))),"min", MIN(INDIRECT(ADDRESS(158+3,K$2+1,,,"Instances") &amp; ":" &amp; ADDRESS(158+3,K$2+1))),"max", MAX(INDIRECT(ADDRESS(158+3,K$2+1,,,"Instances") &amp; ":" &amp; ADDRESS(158+3,K$2+1))),"diff", MAX(INDIRECT(ADDRESS(158+3,K$2+1,,,"Instances") &amp; ":" &amp; ADDRESS(158+3,K$2+1)))-MIN(INDIRECT(ADDRESS(158+3,K$2+1,,,"Instances") &amp; ":" &amp; ADDRESS(158+3,K$2+1))))</f>
        <v>0</v>
      </c>
      <c r="L163">
        <f>IFERROR(SMALL(K5:K364,ROW()-ROW($L$5)+1),"")</f>
        <v>0</v>
      </c>
      <c r="N163">
        <f>IFERROR(SUM(L5:L163),"")</f>
        <v>0</v>
      </c>
      <c r="Q163">
        <f>IF(Charts!$B$3="none",E1970,IF(K1970="",NA(),K1970))</f>
        <v>0</v>
      </c>
      <c r="R163">
        <f>IF(Charts!$B$3="none",F1970,IF(L1970="",NA(),L1970))</f>
        <v>0</v>
      </c>
      <c r="S163">
        <f>IF(Charts!$B$3="none",G1970,IF(M1970="",NA(),M1970))</f>
        <v>0</v>
      </c>
      <c r="T163">
        <f>IF(Charts!$B$3="none",H1970,IF(N1970="",NA(),N1970))</f>
        <v>0</v>
      </c>
    </row>
    <row r="164" spans="4:20">
      <c r="D164">
        <v>160</v>
      </c>
      <c r="E164">
        <f>IF(INDIRECT(ADDRESS($D164+2,E$2+1,,,"Instances"))="","",INDIRECT(ADDRESS($D164+2,E$2+1,,,"Instances")))</f>
        <v>0</v>
      </c>
      <c r="F164">
        <f>IFERROR(SMALL(E5:E364,ROW()-ROW($F$5)+1),"")</f>
        <v>0</v>
      </c>
      <c r="H164">
        <f>IFERROR(SUM(F5:F164),"")</f>
        <v>0</v>
      </c>
      <c r="J164">
        <v>160</v>
      </c>
      <c r="K164" cm="1">
        <f t="array" ref="K164">_xlfn.SWITCH(Charts!$B$3,"average", AVERAGE(INDIRECT(ADDRESS(159+3,K$2+1,,,"Instances") &amp; ":" &amp; ADDRESS(159+3,K$2+1))),"median", MEDIAN(INDIRECT(ADDRESS(159+3,K$2+1,,,"Instances") &amp; ":" &amp; ADDRESS(159+3,K$2+1))),"min", MIN(INDIRECT(ADDRESS(159+3,K$2+1,,,"Instances") &amp; ":" &amp; ADDRESS(159+3,K$2+1))),"max", MAX(INDIRECT(ADDRESS(159+3,K$2+1,,,"Instances") &amp; ":" &amp; ADDRESS(159+3,K$2+1))),"diff", MAX(INDIRECT(ADDRESS(159+3,K$2+1,,,"Instances") &amp; ":" &amp; ADDRESS(159+3,K$2+1)))-MIN(INDIRECT(ADDRESS(159+3,K$2+1,,,"Instances") &amp; ":" &amp; ADDRESS(159+3,K$2+1))))</f>
        <v>0</v>
      </c>
      <c r="L164">
        <f>IFERROR(SMALL(K5:K364,ROW()-ROW($L$5)+1),"")</f>
        <v>0</v>
      </c>
      <c r="N164">
        <f>IFERROR(SUM(L5:L164),"")</f>
        <v>0</v>
      </c>
      <c r="Q164">
        <f>IF(Charts!$B$3="none",E1971,IF(K1971="",NA(),K1971))</f>
        <v>0</v>
      </c>
      <c r="R164">
        <f>IF(Charts!$B$3="none",F1971,IF(L1971="",NA(),L1971))</f>
        <v>0</v>
      </c>
      <c r="S164">
        <f>IF(Charts!$B$3="none",G1971,IF(M1971="",NA(),M1971))</f>
        <v>0</v>
      </c>
      <c r="T164">
        <f>IF(Charts!$B$3="none",H1971,IF(N1971="",NA(),N1971))</f>
        <v>0</v>
      </c>
    </row>
    <row r="165" spans="4:20">
      <c r="D165">
        <v>161</v>
      </c>
      <c r="E165">
        <f>IF(INDIRECT(ADDRESS($D165+2,E$2+1,,,"Instances"))="","",INDIRECT(ADDRESS($D165+2,E$2+1,,,"Instances")))</f>
        <v>0</v>
      </c>
      <c r="F165">
        <f>IFERROR(SMALL(E5:E364,ROW()-ROW($F$5)+1),"")</f>
        <v>0</v>
      </c>
      <c r="H165">
        <f>IFERROR(SUM(F5:F165),"")</f>
        <v>0</v>
      </c>
      <c r="J165">
        <v>161</v>
      </c>
      <c r="K165" cm="1">
        <f t="array" ref="K165">_xlfn.SWITCH(Charts!$B$3,"average", AVERAGE(INDIRECT(ADDRESS(160+3,K$2+1,,,"Instances") &amp; ":" &amp; ADDRESS(160+3,K$2+1))),"median", MEDIAN(INDIRECT(ADDRESS(160+3,K$2+1,,,"Instances") &amp; ":" &amp; ADDRESS(160+3,K$2+1))),"min", MIN(INDIRECT(ADDRESS(160+3,K$2+1,,,"Instances") &amp; ":" &amp; ADDRESS(160+3,K$2+1))),"max", MAX(INDIRECT(ADDRESS(160+3,K$2+1,,,"Instances") &amp; ":" &amp; ADDRESS(160+3,K$2+1))),"diff", MAX(INDIRECT(ADDRESS(160+3,K$2+1,,,"Instances") &amp; ":" &amp; ADDRESS(160+3,K$2+1)))-MIN(INDIRECT(ADDRESS(160+3,K$2+1,,,"Instances") &amp; ":" &amp; ADDRESS(160+3,K$2+1))))</f>
        <v>0</v>
      </c>
      <c r="L165">
        <f>IFERROR(SMALL(K5:K364,ROW()-ROW($L$5)+1),"")</f>
        <v>0</v>
      </c>
      <c r="N165">
        <f>IFERROR(SUM(L5:L165),"")</f>
        <v>0</v>
      </c>
      <c r="Q165">
        <f>IF(Charts!$B$3="none",E1972,IF(K1972="",NA(),K1972))</f>
        <v>0</v>
      </c>
      <c r="R165">
        <f>IF(Charts!$B$3="none",F1972,IF(L1972="",NA(),L1972))</f>
        <v>0</v>
      </c>
      <c r="S165">
        <f>IF(Charts!$B$3="none",G1972,IF(M1972="",NA(),M1972))</f>
        <v>0</v>
      </c>
      <c r="T165">
        <f>IF(Charts!$B$3="none",H1972,IF(N1972="",NA(),N1972))</f>
        <v>0</v>
      </c>
    </row>
    <row r="166" spans="4:20">
      <c r="D166">
        <v>162</v>
      </c>
      <c r="E166">
        <f>IF(INDIRECT(ADDRESS($D166+2,E$2+1,,,"Instances"))="","",INDIRECT(ADDRESS($D166+2,E$2+1,,,"Instances")))</f>
        <v>0</v>
      </c>
      <c r="F166">
        <f>IFERROR(SMALL(E5:E364,ROW()-ROW($F$5)+1),"")</f>
        <v>0</v>
      </c>
      <c r="H166">
        <f>IFERROR(SUM(F5:F166),"")</f>
        <v>0</v>
      </c>
      <c r="J166">
        <v>162</v>
      </c>
      <c r="K166" cm="1">
        <f t="array" ref="K166">_xlfn.SWITCH(Charts!$B$3,"average", AVERAGE(INDIRECT(ADDRESS(161+3,K$2+1,,,"Instances") &amp; ":" &amp; ADDRESS(161+3,K$2+1))),"median", MEDIAN(INDIRECT(ADDRESS(161+3,K$2+1,,,"Instances") &amp; ":" &amp; ADDRESS(161+3,K$2+1))),"min", MIN(INDIRECT(ADDRESS(161+3,K$2+1,,,"Instances") &amp; ":" &amp; ADDRESS(161+3,K$2+1))),"max", MAX(INDIRECT(ADDRESS(161+3,K$2+1,,,"Instances") &amp; ":" &amp; ADDRESS(161+3,K$2+1))),"diff", MAX(INDIRECT(ADDRESS(161+3,K$2+1,,,"Instances") &amp; ":" &amp; ADDRESS(161+3,K$2+1)))-MIN(INDIRECT(ADDRESS(161+3,K$2+1,,,"Instances") &amp; ":" &amp; ADDRESS(161+3,K$2+1))))</f>
        <v>0</v>
      </c>
      <c r="L166">
        <f>IFERROR(SMALL(K5:K364,ROW()-ROW($L$5)+1),"")</f>
        <v>0</v>
      </c>
      <c r="N166">
        <f>IFERROR(SUM(L5:L166),"")</f>
        <v>0</v>
      </c>
      <c r="Q166">
        <f>IF(Charts!$B$3="none",E1973,IF(K1973="",NA(),K1973))</f>
        <v>0</v>
      </c>
      <c r="R166">
        <f>IF(Charts!$B$3="none",F1973,IF(L1973="",NA(),L1973))</f>
        <v>0</v>
      </c>
      <c r="S166">
        <f>IF(Charts!$B$3="none",G1973,IF(M1973="",NA(),M1973))</f>
        <v>0</v>
      </c>
      <c r="T166">
        <f>IF(Charts!$B$3="none",H1973,IF(N1973="",NA(),N1973))</f>
        <v>0</v>
      </c>
    </row>
    <row r="167" spans="4:20">
      <c r="D167">
        <v>163</v>
      </c>
      <c r="E167">
        <f>IF(INDIRECT(ADDRESS($D167+2,E$2+1,,,"Instances"))="","",INDIRECT(ADDRESS($D167+2,E$2+1,,,"Instances")))</f>
        <v>0</v>
      </c>
      <c r="F167">
        <f>IFERROR(SMALL(E5:E364,ROW()-ROW($F$5)+1),"")</f>
        <v>0</v>
      </c>
      <c r="H167">
        <f>IFERROR(SUM(F5:F167),"")</f>
        <v>0</v>
      </c>
      <c r="J167">
        <v>163</v>
      </c>
      <c r="K167" cm="1">
        <f t="array" ref="K167">_xlfn.SWITCH(Charts!$B$3,"average", AVERAGE(INDIRECT(ADDRESS(162+3,K$2+1,,,"Instances") &amp; ":" &amp; ADDRESS(162+3,K$2+1))),"median", MEDIAN(INDIRECT(ADDRESS(162+3,K$2+1,,,"Instances") &amp; ":" &amp; ADDRESS(162+3,K$2+1))),"min", MIN(INDIRECT(ADDRESS(162+3,K$2+1,,,"Instances") &amp; ":" &amp; ADDRESS(162+3,K$2+1))),"max", MAX(INDIRECT(ADDRESS(162+3,K$2+1,,,"Instances") &amp; ":" &amp; ADDRESS(162+3,K$2+1))),"diff", MAX(INDIRECT(ADDRESS(162+3,K$2+1,,,"Instances") &amp; ":" &amp; ADDRESS(162+3,K$2+1)))-MIN(INDIRECT(ADDRESS(162+3,K$2+1,,,"Instances") &amp; ":" &amp; ADDRESS(162+3,K$2+1))))</f>
        <v>0</v>
      </c>
      <c r="L167">
        <f>IFERROR(SMALL(K5:K364,ROW()-ROW($L$5)+1),"")</f>
        <v>0</v>
      </c>
      <c r="N167">
        <f>IFERROR(SUM(L5:L167),"")</f>
        <v>0</v>
      </c>
      <c r="Q167">
        <f>IF(Charts!$B$3="none",E1974,IF(K1974="",NA(),K1974))</f>
        <v>0</v>
      </c>
      <c r="R167">
        <f>IF(Charts!$B$3="none",F1974,IF(L1974="",NA(),L1974))</f>
        <v>0</v>
      </c>
      <c r="S167">
        <f>IF(Charts!$B$3="none",G1974,IF(M1974="",NA(),M1974))</f>
        <v>0</v>
      </c>
      <c r="T167">
        <f>IF(Charts!$B$3="none",H1974,IF(N1974="",NA(),N1974))</f>
        <v>0</v>
      </c>
    </row>
    <row r="168" spans="4:20">
      <c r="D168">
        <v>164</v>
      </c>
      <c r="E168">
        <f>IF(INDIRECT(ADDRESS($D168+2,E$2+1,,,"Instances"))="","",INDIRECT(ADDRESS($D168+2,E$2+1,,,"Instances")))</f>
        <v>0</v>
      </c>
      <c r="F168">
        <f>IFERROR(SMALL(E5:E364,ROW()-ROW($F$5)+1),"")</f>
        <v>0</v>
      </c>
      <c r="H168">
        <f>IFERROR(SUM(F5:F168),"")</f>
        <v>0</v>
      </c>
      <c r="J168">
        <v>164</v>
      </c>
      <c r="K168" cm="1">
        <f t="array" ref="K168">_xlfn.SWITCH(Charts!$B$3,"average", AVERAGE(INDIRECT(ADDRESS(163+3,K$2+1,,,"Instances") &amp; ":" &amp; ADDRESS(163+3,K$2+1))),"median", MEDIAN(INDIRECT(ADDRESS(163+3,K$2+1,,,"Instances") &amp; ":" &amp; ADDRESS(163+3,K$2+1))),"min", MIN(INDIRECT(ADDRESS(163+3,K$2+1,,,"Instances") &amp; ":" &amp; ADDRESS(163+3,K$2+1))),"max", MAX(INDIRECT(ADDRESS(163+3,K$2+1,,,"Instances") &amp; ":" &amp; ADDRESS(163+3,K$2+1))),"diff", MAX(INDIRECT(ADDRESS(163+3,K$2+1,,,"Instances") &amp; ":" &amp; ADDRESS(163+3,K$2+1)))-MIN(INDIRECT(ADDRESS(163+3,K$2+1,,,"Instances") &amp; ":" &amp; ADDRESS(163+3,K$2+1))))</f>
        <v>0</v>
      </c>
      <c r="L168">
        <f>IFERROR(SMALL(K5:K364,ROW()-ROW($L$5)+1),"")</f>
        <v>0</v>
      </c>
      <c r="N168">
        <f>IFERROR(SUM(L5:L168),"")</f>
        <v>0</v>
      </c>
      <c r="Q168">
        <f>IF(Charts!$B$3="none",E1975,IF(K1975="",NA(),K1975))</f>
        <v>0</v>
      </c>
      <c r="R168">
        <f>IF(Charts!$B$3="none",F1975,IF(L1975="",NA(),L1975))</f>
        <v>0</v>
      </c>
      <c r="S168">
        <f>IF(Charts!$B$3="none",G1975,IF(M1975="",NA(),M1975))</f>
        <v>0</v>
      </c>
      <c r="T168">
        <f>IF(Charts!$B$3="none",H1975,IF(N1975="",NA(),N1975))</f>
        <v>0</v>
      </c>
    </row>
    <row r="169" spans="4:20">
      <c r="D169">
        <v>165</v>
      </c>
      <c r="E169">
        <f>IF(INDIRECT(ADDRESS($D169+2,E$2+1,,,"Instances"))="","",INDIRECT(ADDRESS($D169+2,E$2+1,,,"Instances")))</f>
        <v>0</v>
      </c>
      <c r="F169">
        <f>IFERROR(SMALL(E5:E364,ROW()-ROW($F$5)+1),"")</f>
        <v>0</v>
      </c>
      <c r="H169">
        <f>IFERROR(SUM(F5:F169),"")</f>
        <v>0</v>
      </c>
      <c r="J169">
        <v>165</v>
      </c>
      <c r="K169" cm="1">
        <f t="array" ref="K169">_xlfn.SWITCH(Charts!$B$3,"average", AVERAGE(INDIRECT(ADDRESS(164+3,K$2+1,,,"Instances") &amp; ":" &amp; ADDRESS(164+3,K$2+1))),"median", MEDIAN(INDIRECT(ADDRESS(164+3,K$2+1,,,"Instances") &amp; ":" &amp; ADDRESS(164+3,K$2+1))),"min", MIN(INDIRECT(ADDRESS(164+3,K$2+1,,,"Instances") &amp; ":" &amp; ADDRESS(164+3,K$2+1))),"max", MAX(INDIRECT(ADDRESS(164+3,K$2+1,,,"Instances") &amp; ":" &amp; ADDRESS(164+3,K$2+1))),"diff", MAX(INDIRECT(ADDRESS(164+3,K$2+1,,,"Instances") &amp; ":" &amp; ADDRESS(164+3,K$2+1)))-MIN(INDIRECT(ADDRESS(164+3,K$2+1,,,"Instances") &amp; ":" &amp; ADDRESS(164+3,K$2+1))))</f>
        <v>0</v>
      </c>
      <c r="L169">
        <f>IFERROR(SMALL(K5:K364,ROW()-ROW($L$5)+1),"")</f>
        <v>0</v>
      </c>
      <c r="N169">
        <f>IFERROR(SUM(L5:L169),"")</f>
        <v>0</v>
      </c>
      <c r="Q169">
        <f>IF(Charts!$B$3="none",E1976,IF(K1976="",NA(),K1976))</f>
        <v>0</v>
      </c>
      <c r="R169">
        <f>IF(Charts!$B$3="none",F1976,IF(L1976="",NA(),L1976))</f>
        <v>0</v>
      </c>
      <c r="S169">
        <f>IF(Charts!$B$3="none",G1976,IF(M1976="",NA(),M1976))</f>
        <v>0</v>
      </c>
      <c r="T169">
        <f>IF(Charts!$B$3="none",H1976,IF(N1976="",NA(),N1976))</f>
        <v>0</v>
      </c>
    </row>
    <row r="170" spans="4:20">
      <c r="D170">
        <v>166</v>
      </c>
      <c r="E170">
        <f>IF(INDIRECT(ADDRESS($D170+2,E$2+1,,,"Instances"))="","",INDIRECT(ADDRESS($D170+2,E$2+1,,,"Instances")))</f>
        <v>0</v>
      </c>
      <c r="F170">
        <f>IFERROR(SMALL(E5:E364,ROW()-ROW($F$5)+1),"")</f>
        <v>0</v>
      </c>
      <c r="H170">
        <f>IFERROR(SUM(F5:F170),"")</f>
        <v>0</v>
      </c>
      <c r="J170">
        <v>166</v>
      </c>
      <c r="K170" cm="1">
        <f t="array" ref="K170">_xlfn.SWITCH(Charts!$B$3,"average", AVERAGE(INDIRECT(ADDRESS(165+3,K$2+1,,,"Instances") &amp; ":" &amp; ADDRESS(165+3,K$2+1))),"median", MEDIAN(INDIRECT(ADDRESS(165+3,K$2+1,,,"Instances") &amp; ":" &amp; ADDRESS(165+3,K$2+1))),"min", MIN(INDIRECT(ADDRESS(165+3,K$2+1,,,"Instances") &amp; ":" &amp; ADDRESS(165+3,K$2+1))),"max", MAX(INDIRECT(ADDRESS(165+3,K$2+1,,,"Instances") &amp; ":" &amp; ADDRESS(165+3,K$2+1))),"diff", MAX(INDIRECT(ADDRESS(165+3,K$2+1,,,"Instances") &amp; ":" &amp; ADDRESS(165+3,K$2+1)))-MIN(INDIRECT(ADDRESS(165+3,K$2+1,,,"Instances") &amp; ":" &amp; ADDRESS(165+3,K$2+1))))</f>
        <v>0</v>
      </c>
      <c r="L170">
        <f>IFERROR(SMALL(K5:K364,ROW()-ROW($L$5)+1),"")</f>
        <v>0</v>
      </c>
      <c r="N170">
        <f>IFERROR(SUM(L5:L170),"")</f>
        <v>0</v>
      </c>
      <c r="Q170">
        <f>IF(Charts!$B$3="none",E1977,IF(K1977="",NA(),K1977))</f>
        <v>0</v>
      </c>
      <c r="R170">
        <f>IF(Charts!$B$3="none",F1977,IF(L1977="",NA(),L1977))</f>
        <v>0</v>
      </c>
      <c r="S170">
        <f>IF(Charts!$B$3="none",G1977,IF(M1977="",NA(),M1977))</f>
        <v>0</v>
      </c>
      <c r="T170">
        <f>IF(Charts!$B$3="none",H1977,IF(N1977="",NA(),N1977))</f>
        <v>0</v>
      </c>
    </row>
    <row r="171" spans="4:20">
      <c r="D171">
        <v>167</v>
      </c>
      <c r="E171">
        <f>IF(INDIRECT(ADDRESS($D171+2,E$2+1,,,"Instances"))="","",INDIRECT(ADDRESS($D171+2,E$2+1,,,"Instances")))</f>
        <v>0</v>
      </c>
      <c r="F171">
        <f>IFERROR(SMALL(E5:E364,ROW()-ROW($F$5)+1),"")</f>
        <v>0</v>
      </c>
      <c r="H171">
        <f>IFERROR(SUM(F5:F171),"")</f>
        <v>0</v>
      </c>
      <c r="J171">
        <v>167</v>
      </c>
      <c r="K171" cm="1">
        <f t="array" ref="K171">_xlfn.SWITCH(Charts!$B$3,"average", AVERAGE(INDIRECT(ADDRESS(166+3,K$2+1,,,"Instances") &amp; ":" &amp; ADDRESS(166+3,K$2+1))),"median", MEDIAN(INDIRECT(ADDRESS(166+3,K$2+1,,,"Instances") &amp; ":" &amp; ADDRESS(166+3,K$2+1))),"min", MIN(INDIRECT(ADDRESS(166+3,K$2+1,,,"Instances") &amp; ":" &amp; ADDRESS(166+3,K$2+1))),"max", MAX(INDIRECT(ADDRESS(166+3,K$2+1,,,"Instances") &amp; ":" &amp; ADDRESS(166+3,K$2+1))),"diff", MAX(INDIRECT(ADDRESS(166+3,K$2+1,,,"Instances") &amp; ":" &amp; ADDRESS(166+3,K$2+1)))-MIN(INDIRECT(ADDRESS(166+3,K$2+1,,,"Instances") &amp; ":" &amp; ADDRESS(166+3,K$2+1))))</f>
        <v>0</v>
      </c>
      <c r="L171">
        <f>IFERROR(SMALL(K5:K364,ROW()-ROW($L$5)+1),"")</f>
        <v>0</v>
      </c>
      <c r="N171">
        <f>IFERROR(SUM(L5:L171),"")</f>
        <v>0</v>
      </c>
      <c r="Q171">
        <f>IF(Charts!$B$3="none",E1978,IF(K1978="",NA(),K1978))</f>
        <v>0</v>
      </c>
      <c r="R171">
        <f>IF(Charts!$B$3="none",F1978,IF(L1978="",NA(),L1978))</f>
        <v>0</v>
      </c>
      <c r="S171">
        <f>IF(Charts!$B$3="none",G1978,IF(M1978="",NA(),M1978))</f>
        <v>0</v>
      </c>
      <c r="T171">
        <f>IF(Charts!$B$3="none",H1978,IF(N1978="",NA(),N1978))</f>
        <v>0</v>
      </c>
    </row>
    <row r="172" spans="4:20">
      <c r="D172">
        <v>168</v>
      </c>
      <c r="E172">
        <f>IF(INDIRECT(ADDRESS($D172+2,E$2+1,,,"Instances"))="","",INDIRECT(ADDRESS($D172+2,E$2+1,,,"Instances")))</f>
        <v>0</v>
      </c>
      <c r="F172">
        <f>IFERROR(SMALL(E5:E364,ROW()-ROW($F$5)+1),"")</f>
        <v>0</v>
      </c>
      <c r="H172">
        <f>IFERROR(SUM(F5:F172),"")</f>
        <v>0</v>
      </c>
      <c r="J172">
        <v>168</v>
      </c>
      <c r="K172" cm="1">
        <f t="array" ref="K172">_xlfn.SWITCH(Charts!$B$3,"average", AVERAGE(INDIRECT(ADDRESS(167+3,K$2+1,,,"Instances") &amp; ":" &amp; ADDRESS(167+3,K$2+1))),"median", MEDIAN(INDIRECT(ADDRESS(167+3,K$2+1,,,"Instances") &amp; ":" &amp; ADDRESS(167+3,K$2+1))),"min", MIN(INDIRECT(ADDRESS(167+3,K$2+1,,,"Instances") &amp; ":" &amp; ADDRESS(167+3,K$2+1))),"max", MAX(INDIRECT(ADDRESS(167+3,K$2+1,,,"Instances") &amp; ":" &amp; ADDRESS(167+3,K$2+1))),"diff", MAX(INDIRECT(ADDRESS(167+3,K$2+1,,,"Instances") &amp; ":" &amp; ADDRESS(167+3,K$2+1)))-MIN(INDIRECT(ADDRESS(167+3,K$2+1,,,"Instances") &amp; ":" &amp; ADDRESS(167+3,K$2+1))))</f>
        <v>0</v>
      </c>
      <c r="L172">
        <f>IFERROR(SMALL(K5:K364,ROW()-ROW($L$5)+1),"")</f>
        <v>0</v>
      </c>
      <c r="N172">
        <f>IFERROR(SUM(L5:L172),"")</f>
        <v>0</v>
      </c>
      <c r="Q172">
        <f>IF(Charts!$B$3="none",E1979,IF(K1979="",NA(),K1979))</f>
        <v>0</v>
      </c>
      <c r="R172">
        <f>IF(Charts!$B$3="none",F1979,IF(L1979="",NA(),L1979))</f>
        <v>0</v>
      </c>
      <c r="S172">
        <f>IF(Charts!$B$3="none",G1979,IF(M1979="",NA(),M1979))</f>
        <v>0</v>
      </c>
      <c r="T172">
        <f>IF(Charts!$B$3="none",H1979,IF(N1979="",NA(),N1979))</f>
        <v>0</v>
      </c>
    </row>
    <row r="173" spans="4:20">
      <c r="D173">
        <v>169</v>
      </c>
      <c r="E173">
        <f>IF(INDIRECT(ADDRESS($D173+2,E$2+1,,,"Instances"))="","",INDIRECT(ADDRESS($D173+2,E$2+1,,,"Instances")))</f>
        <v>0</v>
      </c>
      <c r="F173">
        <f>IFERROR(SMALL(E5:E364,ROW()-ROW($F$5)+1),"")</f>
        <v>0</v>
      </c>
      <c r="H173">
        <f>IFERROR(SUM(F5:F173),"")</f>
        <v>0</v>
      </c>
      <c r="J173">
        <v>169</v>
      </c>
      <c r="K173" cm="1">
        <f t="array" ref="K173">_xlfn.SWITCH(Charts!$B$3,"average", AVERAGE(INDIRECT(ADDRESS(168+3,K$2+1,,,"Instances") &amp; ":" &amp; ADDRESS(168+3,K$2+1))),"median", MEDIAN(INDIRECT(ADDRESS(168+3,K$2+1,,,"Instances") &amp; ":" &amp; ADDRESS(168+3,K$2+1))),"min", MIN(INDIRECT(ADDRESS(168+3,K$2+1,,,"Instances") &amp; ":" &amp; ADDRESS(168+3,K$2+1))),"max", MAX(INDIRECT(ADDRESS(168+3,K$2+1,,,"Instances") &amp; ":" &amp; ADDRESS(168+3,K$2+1))),"diff", MAX(INDIRECT(ADDRESS(168+3,K$2+1,,,"Instances") &amp; ":" &amp; ADDRESS(168+3,K$2+1)))-MIN(INDIRECT(ADDRESS(168+3,K$2+1,,,"Instances") &amp; ":" &amp; ADDRESS(168+3,K$2+1))))</f>
        <v>0</v>
      </c>
      <c r="L173">
        <f>IFERROR(SMALL(K5:K364,ROW()-ROW($L$5)+1),"")</f>
        <v>0</v>
      </c>
      <c r="N173">
        <f>IFERROR(SUM(L5:L173),"")</f>
        <v>0</v>
      </c>
      <c r="Q173">
        <f>IF(Charts!$B$3="none",E1980,IF(K1980="",NA(),K1980))</f>
        <v>0</v>
      </c>
      <c r="R173">
        <f>IF(Charts!$B$3="none",F1980,IF(L1980="",NA(),L1980))</f>
        <v>0</v>
      </c>
      <c r="S173">
        <f>IF(Charts!$B$3="none",G1980,IF(M1980="",NA(),M1980))</f>
        <v>0</v>
      </c>
      <c r="T173">
        <f>IF(Charts!$B$3="none",H1980,IF(N1980="",NA(),N1980))</f>
        <v>0</v>
      </c>
    </row>
    <row r="174" spans="4:20">
      <c r="D174">
        <v>170</v>
      </c>
      <c r="E174">
        <f>IF(INDIRECT(ADDRESS($D174+2,E$2+1,,,"Instances"))="","",INDIRECT(ADDRESS($D174+2,E$2+1,,,"Instances")))</f>
        <v>0</v>
      </c>
      <c r="F174">
        <f>IFERROR(SMALL(E5:E364,ROW()-ROW($F$5)+1),"")</f>
        <v>0</v>
      </c>
      <c r="H174">
        <f>IFERROR(SUM(F5:F174),"")</f>
        <v>0</v>
      </c>
      <c r="J174">
        <v>170</v>
      </c>
      <c r="K174" cm="1">
        <f t="array" ref="K174">_xlfn.SWITCH(Charts!$B$3,"average", AVERAGE(INDIRECT(ADDRESS(169+3,K$2+1,,,"Instances") &amp; ":" &amp; ADDRESS(169+3,K$2+1))),"median", MEDIAN(INDIRECT(ADDRESS(169+3,K$2+1,,,"Instances") &amp; ":" &amp; ADDRESS(169+3,K$2+1))),"min", MIN(INDIRECT(ADDRESS(169+3,K$2+1,,,"Instances") &amp; ":" &amp; ADDRESS(169+3,K$2+1))),"max", MAX(INDIRECT(ADDRESS(169+3,K$2+1,,,"Instances") &amp; ":" &amp; ADDRESS(169+3,K$2+1))),"diff", MAX(INDIRECT(ADDRESS(169+3,K$2+1,,,"Instances") &amp; ":" &amp; ADDRESS(169+3,K$2+1)))-MIN(INDIRECT(ADDRESS(169+3,K$2+1,,,"Instances") &amp; ":" &amp; ADDRESS(169+3,K$2+1))))</f>
        <v>0</v>
      </c>
      <c r="L174">
        <f>IFERROR(SMALL(K5:K364,ROW()-ROW($L$5)+1),"")</f>
        <v>0</v>
      </c>
      <c r="N174">
        <f>IFERROR(SUM(L5:L174),"")</f>
        <v>0</v>
      </c>
      <c r="Q174">
        <f>IF(Charts!$B$3="none",E1981,IF(K1981="",NA(),K1981))</f>
        <v>0</v>
      </c>
      <c r="R174">
        <f>IF(Charts!$B$3="none",F1981,IF(L1981="",NA(),L1981))</f>
        <v>0</v>
      </c>
      <c r="S174">
        <f>IF(Charts!$B$3="none",G1981,IF(M1981="",NA(),M1981))</f>
        <v>0</v>
      </c>
      <c r="T174">
        <f>IF(Charts!$B$3="none",H1981,IF(N1981="",NA(),N1981))</f>
        <v>0</v>
      </c>
    </row>
    <row r="175" spans="4:20">
      <c r="D175">
        <v>171</v>
      </c>
      <c r="E175">
        <f>IF(INDIRECT(ADDRESS($D175+2,E$2+1,,,"Instances"))="","",INDIRECT(ADDRESS($D175+2,E$2+1,,,"Instances")))</f>
        <v>0</v>
      </c>
      <c r="F175">
        <f>IFERROR(SMALL(E5:E364,ROW()-ROW($F$5)+1),"")</f>
        <v>0</v>
      </c>
      <c r="H175">
        <f>IFERROR(SUM(F5:F175),"")</f>
        <v>0</v>
      </c>
      <c r="J175">
        <v>171</v>
      </c>
      <c r="K175" cm="1">
        <f t="array" ref="K175">_xlfn.SWITCH(Charts!$B$3,"average", AVERAGE(INDIRECT(ADDRESS(170+3,K$2+1,,,"Instances") &amp; ":" &amp; ADDRESS(170+3,K$2+1))),"median", MEDIAN(INDIRECT(ADDRESS(170+3,K$2+1,,,"Instances") &amp; ":" &amp; ADDRESS(170+3,K$2+1))),"min", MIN(INDIRECT(ADDRESS(170+3,K$2+1,,,"Instances") &amp; ":" &amp; ADDRESS(170+3,K$2+1))),"max", MAX(INDIRECT(ADDRESS(170+3,K$2+1,,,"Instances") &amp; ":" &amp; ADDRESS(170+3,K$2+1))),"diff", MAX(INDIRECT(ADDRESS(170+3,K$2+1,,,"Instances") &amp; ":" &amp; ADDRESS(170+3,K$2+1)))-MIN(INDIRECT(ADDRESS(170+3,K$2+1,,,"Instances") &amp; ":" &amp; ADDRESS(170+3,K$2+1))))</f>
        <v>0</v>
      </c>
      <c r="L175">
        <f>IFERROR(SMALL(K5:K364,ROW()-ROW($L$5)+1),"")</f>
        <v>0</v>
      </c>
      <c r="N175">
        <f>IFERROR(SUM(L5:L175),"")</f>
        <v>0</v>
      </c>
      <c r="Q175">
        <f>IF(Charts!$B$3="none",E1982,IF(K1982="",NA(),K1982))</f>
        <v>0</v>
      </c>
      <c r="R175">
        <f>IF(Charts!$B$3="none",F1982,IF(L1982="",NA(),L1982))</f>
        <v>0</v>
      </c>
      <c r="S175">
        <f>IF(Charts!$B$3="none",G1982,IF(M1982="",NA(),M1982))</f>
        <v>0</v>
      </c>
      <c r="T175">
        <f>IF(Charts!$B$3="none",H1982,IF(N1982="",NA(),N1982))</f>
        <v>0</v>
      </c>
    </row>
    <row r="176" spans="4:20">
      <c r="D176">
        <v>172</v>
      </c>
      <c r="E176">
        <f>IF(INDIRECT(ADDRESS($D176+2,E$2+1,,,"Instances"))="","",INDIRECT(ADDRESS($D176+2,E$2+1,,,"Instances")))</f>
        <v>0</v>
      </c>
      <c r="F176">
        <f>IFERROR(SMALL(E5:E364,ROW()-ROW($F$5)+1),"")</f>
        <v>0</v>
      </c>
      <c r="H176">
        <f>IFERROR(SUM(F5:F176),"")</f>
        <v>0</v>
      </c>
      <c r="J176">
        <v>172</v>
      </c>
      <c r="K176" cm="1">
        <f t="array" ref="K176">_xlfn.SWITCH(Charts!$B$3,"average", AVERAGE(INDIRECT(ADDRESS(171+3,K$2+1,,,"Instances") &amp; ":" &amp; ADDRESS(171+3,K$2+1))),"median", MEDIAN(INDIRECT(ADDRESS(171+3,K$2+1,,,"Instances") &amp; ":" &amp; ADDRESS(171+3,K$2+1))),"min", MIN(INDIRECT(ADDRESS(171+3,K$2+1,,,"Instances") &amp; ":" &amp; ADDRESS(171+3,K$2+1))),"max", MAX(INDIRECT(ADDRESS(171+3,K$2+1,,,"Instances") &amp; ":" &amp; ADDRESS(171+3,K$2+1))),"diff", MAX(INDIRECT(ADDRESS(171+3,K$2+1,,,"Instances") &amp; ":" &amp; ADDRESS(171+3,K$2+1)))-MIN(INDIRECT(ADDRESS(171+3,K$2+1,,,"Instances") &amp; ":" &amp; ADDRESS(171+3,K$2+1))))</f>
        <v>0</v>
      </c>
      <c r="L176">
        <f>IFERROR(SMALL(K5:K364,ROW()-ROW($L$5)+1),"")</f>
        <v>0</v>
      </c>
      <c r="N176">
        <f>IFERROR(SUM(L5:L176),"")</f>
        <v>0</v>
      </c>
      <c r="Q176">
        <f>IF(Charts!$B$3="none",E1983,IF(K1983="",NA(),K1983))</f>
        <v>0</v>
      </c>
      <c r="R176">
        <f>IF(Charts!$B$3="none",F1983,IF(L1983="",NA(),L1983))</f>
        <v>0</v>
      </c>
      <c r="S176">
        <f>IF(Charts!$B$3="none",G1983,IF(M1983="",NA(),M1983))</f>
        <v>0</v>
      </c>
      <c r="T176">
        <f>IF(Charts!$B$3="none",H1983,IF(N1983="",NA(),N1983))</f>
        <v>0</v>
      </c>
    </row>
    <row r="177" spans="4:20">
      <c r="D177">
        <v>173</v>
      </c>
      <c r="E177">
        <f>IF(INDIRECT(ADDRESS($D177+2,E$2+1,,,"Instances"))="","",INDIRECT(ADDRESS($D177+2,E$2+1,,,"Instances")))</f>
        <v>0</v>
      </c>
      <c r="F177">
        <f>IFERROR(SMALL(E5:E364,ROW()-ROW($F$5)+1),"")</f>
        <v>0</v>
      </c>
      <c r="H177">
        <f>IFERROR(SUM(F5:F177),"")</f>
        <v>0</v>
      </c>
      <c r="J177">
        <v>173</v>
      </c>
      <c r="K177" cm="1">
        <f t="array" ref="K177">_xlfn.SWITCH(Charts!$B$3,"average", AVERAGE(INDIRECT(ADDRESS(172+3,K$2+1,,,"Instances") &amp; ":" &amp; ADDRESS(172+3,K$2+1))),"median", MEDIAN(INDIRECT(ADDRESS(172+3,K$2+1,,,"Instances") &amp; ":" &amp; ADDRESS(172+3,K$2+1))),"min", MIN(INDIRECT(ADDRESS(172+3,K$2+1,,,"Instances") &amp; ":" &amp; ADDRESS(172+3,K$2+1))),"max", MAX(INDIRECT(ADDRESS(172+3,K$2+1,,,"Instances") &amp; ":" &amp; ADDRESS(172+3,K$2+1))),"diff", MAX(INDIRECT(ADDRESS(172+3,K$2+1,,,"Instances") &amp; ":" &amp; ADDRESS(172+3,K$2+1)))-MIN(INDIRECT(ADDRESS(172+3,K$2+1,,,"Instances") &amp; ":" &amp; ADDRESS(172+3,K$2+1))))</f>
        <v>0</v>
      </c>
      <c r="L177">
        <f>IFERROR(SMALL(K5:K364,ROW()-ROW($L$5)+1),"")</f>
        <v>0</v>
      </c>
      <c r="N177">
        <f>IFERROR(SUM(L5:L177),"")</f>
        <v>0</v>
      </c>
      <c r="Q177">
        <f>IF(Charts!$B$3="none",E1984,IF(K1984="",NA(),K1984))</f>
        <v>0</v>
      </c>
      <c r="R177">
        <f>IF(Charts!$B$3="none",F1984,IF(L1984="",NA(),L1984))</f>
        <v>0</v>
      </c>
      <c r="S177">
        <f>IF(Charts!$B$3="none",G1984,IF(M1984="",NA(),M1984))</f>
        <v>0</v>
      </c>
      <c r="T177">
        <f>IF(Charts!$B$3="none",H1984,IF(N1984="",NA(),N1984))</f>
        <v>0</v>
      </c>
    </row>
    <row r="178" spans="4:20">
      <c r="D178">
        <v>174</v>
      </c>
      <c r="E178">
        <f>IF(INDIRECT(ADDRESS($D178+2,E$2+1,,,"Instances"))="","",INDIRECT(ADDRESS($D178+2,E$2+1,,,"Instances")))</f>
        <v>0</v>
      </c>
      <c r="F178">
        <f>IFERROR(SMALL(E5:E364,ROW()-ROW($F$5)+1),"")</f>
        <v>0</v>
      </c>
      <c r="H178">
        <f>IFERROR(SUM(F5:F178),"")</f>
        <v>0</v>
      </c>
      <c r="J178">
        <v>174</v>
      </c>
      <c r="K178" cm="1">
        <f t="array" ref="K178">_xlfn.SWITCH(Charts!$B$3,"average", AVERAGE(INDIRECT(ADDRESS(173+3,K$2+1,,,"Instances") &amp; ":" &amp; ADDRESS(173+3,K$2+1))),"median", MEDIAN(INDIRECT(ADDRESS(173+3,K$2+1,,,"Instances") &amp; ":" &amp; ADDRESS(173+3,K$2+1))),"min", MIN(INDIRECT(ADDRESS(173+3,K$2+1,,,"Instances") &amp; ":" &amp; ADDRESS(173+3,K$2+1))),"max", MAX(INDIRECT(ADDRESS(173+3,K$2+1,,,"Instances") &amp; ":" &amp; ADDRESS(173+3,K$2+1))),"diff", MAX(INDIRECT(ADDRESS(173+3,K$2+1,,,"Instances") &amp; ":" &amp; ADDRESS(173+3,K$2+1)))-MIN(INDIRECT(ADDRESS(173+3,K$2+1,,,"Instances") &amp; ":" &amp; ADDRESS(173+3,K$2+1))))</f>
        <v>0</v>
      </c>
      <c r="L178">
        <f>IFERROR(SMALL(K5:K364,ROW()-ROW($L$5)+1),"")</f>
        <v>0</v>
      </c>
      <c r="N178">
        <f>IFERROR(SUM(L5:L178),"")</f>
        <v>0</v>
      </c>
      <c r="Q178">
        <f>IF(Charts!$B$3="none",E1985,IF(K1985="",NA(),K1985))</f>
        <v>0</v>
      </c>
      <c r="R178">
        <f>IF(Charts!$B$3="none",F1985,IF(L1985="",NA(),L1985))</f>
        <v>0</v>
      </c>
      <c r="S178">
        <f>IF(Charts!$B$3="none",G1985,IF(M1985="",NA(),M1985))</f>
        <v>0</v>
      </c>
      <c r="T178">
        <f>IF(Charts!$B$3="none",H1985,IF(N1985="",NA(),N1985))</f>
        <v>0</v>
      </c>
    </row>
    <row r="179" spans="4:20">
      <c r="D179">
        <v>175</v>
      </c>
      <c r="E179">
        <f>IF(INDIRECT(ADDRESS($D179+2,E$2+1,,,"Instances"))="","",INDIRECT(ADDRESS($D179+2,E$2+1,,,"Instances")))</f>
        <v>0</v>
      </c>
      <c r="F179">
        <f>IFERROR(SMALL(E5:E364,ROW()-ROW($F$5)+1),"")</f>
        <v>0</v>
      </c>
      <c r="H179">
        <f>IFERROR(SUM(F5:F179),"")</f>
        <v>0</v>
      </c>
      <c r="J179">
        <v>175</v>
      </c>
      <c r="K179" cm="1">
        <f t="array" ref="K179">_xlfn.SWITCH(Charts!$B$3,"average", AVERAGE(INDIRECT(ADDRESS(174+3,K$2+1,,,"Instances") &amp; ":" &amp; ADDRESS(174+3,K$2+1))),"median", MEDIAN(INDIRECT(ADDRESS(174+3,K$2+1,,,"Instances") &amp; ":" &amp; ADDRESS(174+3,K$2+1))),"min", MIN(INDIRECT(ADDRESS(174+3,K$2+1,,,"Instances") &amp; ":" &amp; ADDRESS(174+3,K$2+1))),"max", MAX(INDIRECT(ADDRESS(174+3,K$2+1,,,"Instances") &amp; ":" &amp; ADDRESS(174+3,K$2+1))),"diff", MAX(INDIRECT(ADDRESS(174+3,K$2+1,,,"Instances") &amp; ":" &amp; ADDRESS(174+3,K$2+1)))-MIN(INDIRECT(ADDRESS(174+3,K$2+1,,,"Instances") &amp; ":" &amp; ADDRESS(174+3,K$2+1))))</f>
        <v>0</v>
      </c>
      <c r="L179">
        <f>IFERROR(SMALL(K5:K364,ROW()-ROW($L$5)+1),"")</f>
        <v>0</v>
      </c>
      <c r="N179">
        <f>IFERROR(SUM(L5:L179),"")</f>
        <v>0</v>
      </c>
      <c r="Q179">
        <f>IF(Charts!$B$3="none",E1986,IF(K1986="",NA(),K1986))</f>
        <v>0</v>
      </c>
      <c r="R179">
        <f>IF(Charts!$B$3="none",F1986,IF(L1986="",NA(),L1986))</f>
        <v>0</v>
      </c>
      <c r="S179">
        <f>IF(Charts!$B$3="none",G1986,IF(M1986="",NA(),M1986))</f>
        <v>0</v>
      </c>
      <c r="T179">
        <f>IF(Charts!$B$3="none",H1986,IF(N1986="",NA(),N1986))</f>
        <v>0</v>
      </c>
    </row>
    <row r="180" spans="4:20">
      <c r="D180">
        <v>176</v>
      </c>
      <c r="E180">
        <f>IF(INDIRECT(ADDRESS($D180+2,E$2+1,,,"Instances"))="","",INDIRECT(ADDRESS($D180+2,E$2+1,,,"Instances")))</f>
        <v>0</v>
      </c>
      <c r="F180">
        <f>IFERROR(SMALL(E5:E364,ROW()-ROW($F$5)+1),"")</f>
        <v>0</v>
      </c>
      <c r="H180">
        <f>IFERROR(SUM(F5:F180),"")</f>
        <v>0</v>
      </c>
      <c r="J180">
        <v>176</v>
      </c>
      <c r="K180" cm="1">
        <f t="array" ref="K180">_xlfn.SWITCH(Charts!$B$3,"average", AVERAGE(INDIRECT(ADDRESS(175+3,K$2+1,,,"Instances") &amp; ":" &amp; ADDRESS(175+3,K$2+1))),"median", MEDIAN(INDIRECT(ADDRESS(175+3,K$2+1,,,"Instances") &amp; ":" &amp; ADDRESS(175+3,K$2+1))),"min", MIN(INDIRECT(ADDRESS(175+3,K$2+1,,,"Instances") &amp; ":" &amp; ADDRESS(175+3,K$2+1))),"max", MAX(INDIRECT(ADDRESS(175+3,K$2+1,,,"Instances") &amp; ":" &amp; ADDRESS(175+3,K$2+1))),"diff", MAX(INDIRECT(ADDRESS(175+3,K$2+1,,,"Instances") &amp; ":" &amp; ADDRESS(175+3,K$2+1)))-MIN(INDIRECT(ADDRESS(175+3,K$2+1,,,"Instances") &amp; ":" &amp; ADDRESS(175+3,K$2+1))))</f>
        <v>0</v>
      </c>
      <c r="L180">
        <f>IFERROR(SMALL(K5:K364,ROW()-ROW($L$5)+1),"")</f>
        <v>0</v>
      </c>
      <c r="N180">
        <f>IFERROR(SUM(L5:L180),"")</f>
        <v>0</v>
      </c>
      <c r="Q180">
        <f>IF(Charts!$B$3="none",E1987,IF(K1987="",NA(),K1987))</f>
        <v>0</v>
      </c>
      <c r="R180">
        <f>IF(Charts!$B$3="none",F1987,IF(L1987="",NA(),L1987))</f>
        <v>0</v>
      </c>
      <c r="S180">
        <f>IF(Charts!$B$3="none",G1987,IF(M1987="",NA(),M1987))</f>
        <v>0</v>
      </c>
      <c r="T180">
        <f>IF(Charts!$B$3="none",H1987,IF(N1987="",NA(),N1987))</f>
        <v>0</v>
      </c>
    </row>
    <row r="181" spans="4:20">
      <c r="D181">
        <v>177</v>
      </c>
      <c r="E181">
        <f>IF(INDIRECT(ADDRESS($D181+2,E$2+1,,,"Instances"))="","",INDIRECT(ADDRESS($D181+2,E$2+1,,,"Instances")))</f>
        <v>0</v>
      </c>
      <c r="F181">
        <f>IFERROR(SMALL(E5:E364,ROW()-ROW($F$5)+1),"")</f>
        <v>0</v>
      </c>
      <c r="H181">
        <f>IFERROR(SUM(F5:F181),"")</f>
        <v>0</v>
      </c>
      <c r="J181">
        <v>177</v>
      </c>
      <c r="K181" cm="1">
        <f t="array" ref="K181">_xlfn.SWITCH(Charts!$B$3,"average", AVERAGE(INDIRECT(ADDRESS(176+3,K$2+1,,,"Instances") &amp; ":" &amp; ADDRESS(176+3,K$2+1))),"median", MEDIAN(INDIRECT(ADDRESS(176+3,K$2+1,,,"Instances") &amp; ":" &amp; ADDRESS(176+3,K$2+1))),"min", MIN(INDIRECT(ADDRESS(176+3,K$2+1,,,"Instances") &amp; ":" &amp; ADDRESS(176+3,K$2+1))),"max", MAX(INDIRECT(ADDRESS(176+3,K$2+1,,,"Instances") &amp; ":" &amp; ADDRESS(176+3,K$2+1))),"diff", MAX(INDIRECT(ADDRESS(176+3,K$2+1,,,"Instances") &amp; ":" &amp; ADDRESS(176+3,K$2+1)))-MIN(INDIRECT(ADDRESS(176+3,K$2+1,,,"Instances") &amp; ":" &amp; ADDRESS(176+3,K$2+1))))</f>
        <v>0</v>
      </c>
      <c r="L181">
        <f>IFERROR(SMALL(K5:K364,ROW()-ROW($L$5)+1),"")</f>
        <v>0</v>
      </c>
      <c r="N181">
        <f>IFERROR(SUM(L5:L181),"")</f>
        <v>0</v>
      </c>
      <c r="Q181">
        <f>IF(Charts!$B$3="none",E1988,IF(K1988="",NA(),K1988))</f>
        <v>0</v>
      </c>
      <c r="R181">
        <f>IF(Charts!$B$3="none",F1988,IF(L1988="",NA(),L1988))</f>
        <v>0</v>
      </c>
      <c r="S181">
        <f>IF(Charts!$B$3="none",G1988,IF(M1988="",NA(),M1988))</f>
        <v>0</v>
      </c>
      <c r="T181">
        <f>IF(Charts!$B$3="none",H1988,IF(N1988="",NA(),N1988))</f>
        <v>0</v>
      </c>
    </row>
    <row r="182" spans="4:20">
      <c r="D182">
        <v>178</v>
      </c>
      <c r="E182">
        <f>IF(INDIRECT(ADDRESS($D182+2,E$2+1,,,"Instances"))="","",INDIRECT(ADDRESS($D182+2,E$2+1,,,"Instances")))</f>
        <v>0</v>
      </c>
      <c r="F182">
        <f>IFERROR(SMALL(E5:E364,ROW()-ROW($F$5)+1),"")</f>
        <v>0</v>
      </c>
      <c r="H182">
        <f>IFERROR(SUM(F5:F182),"")</f>
        <v>0</v>
      </c>
      <c r="J182">
        <v>178</v>
      </c>
      <c r="K182" cm="1">
        <f t="array" ref="K182">_xlfn.SWITCH(Charts!$B$3,"average", AVERAGE(INDIRECT(ADDRESS(177+3,K$2+1,,,"Instances") &amp; ":" &amp; ADDRESS(177+3,K$2+1))),"median", MEDIAN(INDIRECT(ADDRESS(177+3,K$2+1,,,"Instances") &amp; ":" &amp; ADDRESS(177+3,K$2+1))),"min", MIN(INDIRECT(ADDRESS(177+3,K$2+1,,,"Instances") &amp; ":" &amp; ADDRESS(177+3,K$2+1))),"max", MAX(INDIRECT(ADDRESS(177+3,K$2+1,,,"Instances") &amp; ":" &amp; ADDRESS(177+3,K$2+1))),"diff", MAX(INDIRECT(ADDRESS(177+3,K$2+1,,,"Instances") &amp; ":" &amp; ADDRESS(177+3,K$2+1)))-MIN(INDIRECT(ADDRESS(177+3,K$2+1,,,"Instances") &amp; ":" &amp; ADDRESS(177+3,K$2+1))))</f>
        <v>0</v>
      </c>
      <c r="L182">
        <f>IFERROR(SMALL(K5:K364,ROW()-ROW($L$5)+1),"")</f>
        <v>0</v>
      </c>
      <c r="N182">
        <f>IFERROR(SUM(L5:L182),"")</f>
        <v>0</v>
      </c>
      <c r="Q182">
        <f>IF(Charts!$B$3="none",E1989,IF(K1989="",NA(),K1989))</f>
        <v>0</v>
      </c>
      <c r="R182">
        <f>IF(Charts!$B$3="none",F1989,IF(L1989="",NA(),L1989))</f>
        <v>0</v>
      </c>
      <c r="S182">
        <f>IF(Charts!$B$3="none",G1989,IF(M1989="",NA(),M1989))</f>
        <v>0</v>
      </c>
      <c r="T182">
        <f>IF(Charts!$B$3="none",H1989,IF(N1989="",NA(),N1989))</f>
        <v>0</v>
      </c>
    </row>
    <row r="183" spans="4:20">
      <c r="D183">
        <v>179</v>
      </c>
      <c r="E183">
        <f>IF(INDIRECT(ADDRESS($D183+2,E$2+1,,,"Instances"))="","",INDIRECT(ADDRESS($D183+2,E$2+1,,,"Instances")))</f>
        <v>0</v>
      </c>
      <c r="F183">
        <f>IFERROR(SMALL(E5:E364,ROW()-ROW($F$5)+1),"")</f>
        <v>0</v>
      </c>
      <c r="H183">
        <f>IFERROR(SUM(F5:F183),"")</f>
        <v>0</v>
      </c>
      <c r="J183">
        <v>179</v>
      </c>
      <c r="K183" cm="1">
        <f t="array" ref="K183">_xlfn.SWITCH(Charts!$B$3,"average", AVERAGE(INDIRECT(ADDRESS(178+3,K$2+1,,,"Instances") &amp; ":" &amp; ADDRESS(178+3,K$2+1))),"median", MEDIAN(INDIRECT(ADDRESS(178+3,K$2+1,,,"Instances") &amp; ":" &amp; ADDRESS(178+3,K$2+1))),"min", MIN(INDIRECT(ADDRESS(178+3,K$2+1,,,"Instances") &amp; ":" &amp; ADDRESS(178+3,K$2+1))),"max", MAX(INDIRECT(ADDRESS(178+3,K$2+1,,,"Instances") &amp; ":" &amp; ADDRESS(178+3,K$2+1))),"diff", MAX(INDIRECT(ADDRESS(178+3,K$2+1,,,"Instances") &amp; ":" &amp; ADDRESS(178+3,K$2+1)))-MIN(INDIRECT(ADDRESS(178+3,K$2+1,,,"Instances") &amp; ":" &amp; ADDRESS(178+3,K$2+1))))</f>
        <v>0</v>
      </c>
      <c r="L183">
        <f>IFERROR(SMALL(K5:K364,ROW()-ROW($L$5)+1),"")</f>
        <v>0</v>
      </c>
      <c r="N183">
        <f>IFERROR(SUM(L5:L183),"")</f>
        <v>0</v>
      </c>
      <c r="Q183">
        <f>IF(Charts!$B$3="none",E1990,IF(K1990="",NA(),K1990))</f>
        <v>0</v>
      </c>
      <c r="R183">
        <f>IF(Charts!$B$3="none",F1990,IF(L1990="",NA(),L1990))</f>
        <v>0</v>
      </c>
      <c r="S183">
        <f>IF(Charts!$B$3="none",G1990,IF(M1990="",NA(),M1990))</f>
        <v>0</v>
      </c>
      <c r="T183">
        <f>IF(Charts!$B$3="none",H1990,IF(N1990="",NA(),N1990))</f>
        <v>0</v>
      </c>
    </row>
    <row r="184" spans="4:20">
      <c r="D184">
        <v>180</v>
      </c>
      <c r="E184">
        <f>IF(INDIRECT(ADDRESS($D184+2,E$2+1,,,"Instances"))="","",INDIRECT(ADDRESS($D184+2,E$2+1,,,"Instances")))</f>
        <v>0</v>
      </c>
      <c r="F184">
        <f>IFERROR(SMALL(E5:E364,ROW()-ROW($F$5)+1),"")</f>
        <v>0</v>
      </c>
      <c r="H184">
        <f>IFERROR(SUM(F5:F184),"")</f>
        <v>0</v>
      </c>
      <c r="J184">
        <v>180</v>
      </c>
      <c r="K184" cm="1">
        <f t="array" ref="K184">_xlfn.SWITCH(Charts!$B$3,"average", AVERAGE(INDIRECT(ADDRESS(179+3,K$2+1,,,"Instances") &amp; ":" &amp; ADDRESS(179+3,K$2+1))),"median", MEDIAN(INDIRECT(ADDRESS(179+3,K$2+1,,,"Instances") &amp; ":" &amp; ADDRESS(179+3,K$2+1))),"min", MIN(INDIRECT(ADDRESS(179+3,K$2+1,,,"Instances") &amp; ":" &amp; ADDRESS(179+3,K$2+1))),"max", MAX(INDIRECT(ADDRESS(179+3,K$2+1,,,"Instances") &amp; ":" &amp; ADDRESS(179+3,K$2+1))),"diff", MAX(INDIRECT(ADDRESS(179+3,K$2+1,,,"Instances") &amp; ":" &amp; ADDRESS(179+3,K$2+1)))-MIN(INDIRECT(ADDRESS(179+3,K$2+1,,,"Instances") &amp; ":" &amp; ADDRESS(179+3,K$2+1))))</f>
        <v>0</v>
      </c>
      <c r="L184">
        <f>IFERROR(SMALL(K5:K364,ROW()-ROW($L$5)+1),"")</f>
        <v>0</v>
      </c>
      <c r="N184">
        <f>IFERROR(SUM(L5:L184),"")</f>
        <v>0</v>
      </c>
      <c r="Q184">
        <f>IF(Charts!$B$3="none",E1991,IF(K1991="",NA(),K1991))</f>
        <v>0</v>
      </c>
      <c r="R184">
        <f>IF(Charts!$B$3="none",F1991,IF(L1991="",NA(),L1991))</f>
        <v>0</v>
      </c>
      <c r="S184">
        <f>IF(Charts!$B$3="none",G1991,IF(M1991="",NA(),M1991))</f>
        <v>0</v>
      </c>
      <c r="T184">
        <f>IF(Charts!$B$3="none",H1991,IF(N1991="",NA(),N1991))</f>
        <v>0</v>
      </c>
    </row>
    <row r="185" spans="4:20">
      <c r="D185">
        <v>181</v>
      </c>
      <c r="E185">
        <f>IF(INDIRECT(ADDRESS($D185+2,E$2+1,,,"Instances"))="","",INDIRECT(ADDRESS($D185+2,E$2+1,,,"Instances")))</f>
        <v>0</v>
      </c>
      <c r="F185">
        <f>IFERROR(SMALL(E5:E364,ROW()-ROW($F$5)+1),"")</f>
        <v>0</v>
      </c>
      <c r="H185">
        <f>IFERROR(SUM(F5:F185),"")</f>
        <v>0</v>
      </c>
      <c r="J185">
        <v>181</v>
      </c>
      <c r="K185" cm="1">
        <f t="array" ref="K185">_xlfn.SWITCH(Charts!$B$3,"average", AVERAGE(INDIRECT(ADDRESS(180+3,K$2+1,,,"Instances") &amp; ":" &amp; ADDRESS(180+3,K$2+1))),"median", MEDIAN(INDIRECT(ADDRESS(180+3,K$2+1,,,"Instances") &amp; ":" &amp; ADDRESS(180+3,K$2+1))),"min", MIN(INDIRECT(ADDRESS(180+3,K$2+1,,,"Instances") &amp; ":" &amp; ADDRESS(180+3,K$2+1))),"max", MAX(INDIRECT(ADDRESS(180+3,K$2+1,,,"Instances") &amp; ":" &amp; ADDRESS(180+3,K$2+1))),"diff", MAX(INDIRECT(ADDRESS(180+3,K$2+1,,,"Instances") &amp; ":" &amp; ADDRESS(180+3,K$2+1)))-MIN(INDIRECT(ADDRESS(180+3,K$2+1,,,"Instances") &amp; ":" &amp; ADDRESS(180+3,K$2+1))))</f>
        <v>0</v>
      </c>
      <c r="L185">
        <f>IFERROR(SMALL(K5:K364,ROW()-ROW($L$5)+1),"")</f>
        <v>0</v>
      </c>
      <c r="N185">
        <f>IFERROR(SUM(L5:L185),"")</f>
        <v>0</v>
      </c>
      <c r="Q185">
        <f>IF(Charts!$B$3="none",E1992,IF(K1992="",NA(),K1992))</f>
        <v>0</v>
      </c>
      <c r="R185">
        <f>IF(Charts!$B$3="none",F1992,IF(L1992="",NA(),L1992))</f>
        <v>0</v>
      </c>
      <c r="S185">
        <f>IF(Charts!$B$3="none",G1992,IF(M1992="",NA(),M1992))</f>
        <v>0</v>
      </c>
      <c r="T185">
        <f>IF(Charts!$B$3="none",H1992,IF(N1992="",NA(),N1992))</f>
        <v>0</v>
      </c>
    </row>
    <row r="186" spans="4:20">
      <c r="D186">
        <v>182</v>
      </c>
      <c r="E186">
        <f>IF(INDIRECT(ADDRESS($D186+2,E$2+1,,,"Instances"))="","",INDIRECT(ADDRESS($D186+2,E$2+1,,,"Instances")))</f>
        <v>0</v>
      </c>
      <c r="F186">
        <f>IFERROR(SMALL(E5:E364,ROW()-ROW($F$5)+1),"")</f>
        <v>0</v>
      </c>
      <c r="H186">
        <f>IFERROR(SUM(F5:F186),"")</f>
        <v>0</v>
      </c>
      <c r="J186">
        <v>182</v>
      </c>
      <c r="K186" cm="1">
        <f t="array" ref="K186">_xlfn.SWITCH(Charts!$B$3,"average", AVERAGE(INDIRECT(ADDRESS(181+3,K$2+1,,,"Instances") &amp; ":" &amp; ADDRESS(181+3,K$2+1))),"median", MEDIAN(INDIRECT(ADDRESS(181+3,K$2+1,,,"Instances") &amp; ":" &amp; ADDRESS(181+3,K$2+1))),"min", MIN(INDIRECT(ADDRESS(181+3,K$2+1,,,"Instances") &amp; ":" &amp; ADDRESS(181+3,K$2+1))),"max", MAX(INDIRECT(ADDRESS(181+3,K$2+1,,,"Instances") &amp; ":" &amp; ADDRESS(181+3,K$2+1))),"diff", MAX(INDIRECT(ADDRESS(181+3,K$2+1,,,"Instances") &amp; ":" &amp; ADDRESS(181+3,K$2+1)))-MIN(INDIRECT(ADDRESS(181+3,K$2+1,,,"Instances") &amp; ":" &amp; ADDRESS(181+3,K$2+1))))</f>
        <v>0</v>
      </c>
      <c r="L186">
        <f>IFERROR(SMALL(K5:K364,ROW()-ROW($L$5)+1),"")</f>
        <v>0</v>
      </c>
      <c r="N186">
        <f>IFERROR(SUM(L5:L186),"")</f>
        <v>0</v>
      </c>
      <c r="Q186">
        <f>IF(Charts!$B$3="none",E1993,IF(K1993="",NA(),K1993))</f>
        <v>0</v>
      </c>
      <c r="R186">
        <f>IF(Charts!$B$3="none",F1993,IF(L1993="",NA(),L1993))</f>
        <v>0</v>
      </c>
      <c r="S186">
        <f>IF(Charts!$B$3="none",G1993,IF(M1993="",NA(),M1993))</f>
        <v>0</v>
      </c>
      <c r="T186">
        <f>IF(Charts!$B$3="none",H1993,IF(N1993="",NA(),N1993))</f>
        <v>0</v>
      </c>
    </row>
    <row r="187" spans="4:20">
      <c r="D187">
        <v>183</v>
      </c>
      <c r="E187">
        <f>IF(INDIRECT(ADDRESS($D187+2,E$2+1,,,"Instances"))="","",INDIRECT(ADDRESS($D187+2,E$2+1,,,"Instances")))</f>
        <v>0</v>
      </c>
      <c r="F187">
        <f>IFERROR(SMALL(E5:E364,ROW()-ROW($F$5)+1),"")</f>
        <v>0</v>
      </c>
      <c r="H187">
        <f>IFERROR(SUM(F5:F187),"")</f>
        <v>0</v>
      </c>
      <c r="J187">
        <v>183</v>
      </c>
      <c r="K187" cm="1">
        <f t="array" ref="K187">_xlfn.SWITCH(Charts!$B$3,"average", AVERAGE(INDIRECT(ADDRESS(182+3,K$2+1,,,"Instances") &amp; ":" &amp; ADDRESS(182+3,K$2+1))),"median", MEDIAN(INDIRECT(ADDRESS(182+3,K$2+1,,,"Instances") &amp; ":" &amp; ADDRESS(182+3,K$2+1))),"min", MIN(INDIRECT(ADDRESS(182+3,K$2+1,,,"Instances") &amp; ":" &amp; ADDRESS(182+3,K$2+1))),"max", MAX(INDIRECT(ADDRESS(182+3,K$2+1,,,"Instances") &amp; ":" &amp; ADDRESS(182+3,K$2+1))),"diff", MAX(INDIRECT(ADDRESS(182+3,K$2+1,,,"Instances") &amp; ":" &amp; ADDRESS(182+3,K$2+1)))-MIN(INDIRECT(ADDRESS(182+3,K$2+1,,,"Instances") &amp; ":" &amp; ADDRESS(182+3,K$2+1))))</f>
        <v>0</v>
      </c>
      <c r="L187">
        <f>IFERROR(SMALL(K5:K364,ROW()-ROW($L$5)+1),"")</f>
        <v>0</v>
      </c>
      <c r="N187">
        <f>IFERROR(SUM(L5:L187),"")</f>
        <v>0</v>
      </c>
      <c r="Q187">
        <f>IF(Charts!$B$3="none",E1994,IF(K1994="",NA(),K1994))</f>
        <v>0</v>
      </c>
      <c r="R187">
        <f>IF(Charts!$B$3="none",F1994,IF(L1994="",NA(),L1994))</f>
        <v>0</v>
      </c>
      <c r="S187">
        <f>IF(Charts!$B$3="none",G1994,IF(M1994="",NA(),M1994))</f>
        <v>0</v>
      </c>
      <c r="T187">
        <f>IF(Charts!$B$3="none",H1994,IF(N1994="",NA(),N1994))</f>
        <v>0</v>
      </c>
    </row>
    <row r="188" spans="4:20">
      <c r="D188">
        <v>184</v>
      </c>
      <c r="E188">
        <f>IF(INDIRECT(ADDRESS($D188+2,E$2+1,,,"Instances"))="","",INDIRECT(ADDRESS($D188+2,E$2+1,,,"Instances")))</f>
        <v>0</v>
      </c>
      <c r="F188">
        <f>IFERROR(SMALL(E5:E364,ROW()-ROW($F$5)+1),"")</f>
        <v>0</v>
      </c>
      <c r="H188">
        <f>IFERROR(SUM(F5:F188),"")</f>
        <v>0</v>
      </c>
      <c r="J188">
        <v>184</v>
      </c>
      <c r="K188" cm="1">
        <f t="array" ref="K188">_xlfn.SWITCH(Charts!$B$3,"average", AVERAGE(INDIRECT(ADDRESS(183+3,K$2+1,,,"Instances") &amp; ":" &amp; ADDRESS(183+3,K$2+1))),"median", MEDIAN(INDIRECT(ADDRESS(183+3,K$2+1,,,"Instances") &amp; ":" &amp; ADDRESS(183+3,K$2+1))),"min", MIN(INDIRECT(ADDRESS(183+3,K$2+1,,,"Instances") &amp; ":" &amp; ADDRESS(183+3,K$2+1))),"max", MAX(INDIRECT(ADDRESS(183+3,K$2+1,,,"Instances") &amp; ":" &amp; ADDRESS(183+3,K$2+1))),"diff", MAX(INDIRECT(ADDRESS(183+3,K$2+1,,,"Instances") &amp; ":" &amp; ADDRESS(183+3,K$2+1)))-MIN(INDIRECT(ADDRESS(183+3,K$2+1,,,"Instances") &amp; ":" &amp; ADDRESS(183+3,K$2+1))))</f>
        <v>0</v>
      </c>
      <c r="L188">
        <f>IFERROR(SMALL(K5:K364,ROW()-ROW($L$5)+1),"")</f>
        <v>0</v>
      </c>
      <c r="N188">
        <f>IFERROR(SUM(L5:L188),"")</f>
        <v>0</v>
      </c>
      <c r="Q188">
        <f>IF(Charts!$B$3="none",E1995,IF(K1995="",NA(),K1995))</f>
        <v>0</v>
      </c>
      <c r="R188">
        <f>IF(Charts!$B$3="none",F1995,IF(L1995="",NA(),L1995))</f>
        <v>0</v>
      </c>
      <c r="S188">
        <f>IF(Charts!$B$3="none",G1995,IF(M1995="",NA(),M1995))</f>
        <v>0</v>
      </c>
      <c r="T188">
        <f>IF(Charts!$B$3="none",H1995,IF(N1995="",NA(),N1995))</f>
        <v>0</v>
      </c>
    </row>
    <row r="189" spans="4:20">
      <c r="D189">
        <v>185</v>
      </c>
      <c r="E189">
        <f>IF(INDIRECT(ADDRESS($D189+2,E$2+1,,,"Instances"))="","",INDIRECT(ADDRESS($D189+2,E$2+1,,,"Instances")))</f>
        <v>0</v>
      </c>
      <c r="F189">
        <f>IFERROR(SMALL(E5:E364,ROW()-ROW($F$5)+1),"")</f>
        <v>0</v>
      </c>
      <c r="H189">
        <f>IFERROR(SUM(F5:F189),"")</f>
        <v>0</v>
      </c>
      <c r="J189">
        <v>185</v>
      </c>
      <c r="K189" cm="1">
        <f t="array" ref="K189">_xlfn.SWITCH(Charts!$B$3,"average", AVERAGE(INDIRECT(ADDRESS(184+3,K$2+1,,,"Instances") &amp; ":" &amp; ADDRESS(184+3,K$2+1))),"median", MEDIAN(INDIRECT(ADDRESS(184+3,K$2+1,,,"Instances") &amp; ":" &amp; ADDRESS(184+3,K$2+1))),"min", MIN(INDIRECT(ADDRESS(184+3,K$2+1,,,"Instances") &amp; ":" &amp; ADDRESS(184+3,K$2+1))),"max", MAX(INDIRECT(ADDRESS(184+3,K$2+1,,,"Instances") &amp; ":" &amp; ADDRESS(184+3,K$2+1))),"diff", MAX(INDIRECT(ADDRESS(184+3,K$2+1,,,"Instances") &amp; ":" &amp; ADDRESS(184+3,K$2+1)))-MIN(INDIRECT(ADDRESS(184+3,K$2+1,,,"Instances") &amp; ":" &amp; ADDRESS(184+3,K$2+1))))</f>
        <v>0</v>
      </c>
      <c r="L189">
        <f>IFERROR(SMALL(K5:K364,ROW()-ROW($L$5)+1),"")</f>
        <v>0</v>
      </c>
      <c r="N189">
        <f>IFERROR(SUM(L5:L189),"")</f>
        <v>0</v>
      </c>
      <c r="Q189">
        <f>IF(Charts!$B$3="none",E1996,IF(K1996="",NA(),K1996))</f>
        <v>0</v>
      </c>
      <c r="R189">
        <f>IF(Charts!$B$3="none",F1996,IF(L1996="",NA(),L1996))</f>
        <v>0</v>
      </c>
      <c r="S189">
        <f>IF(Charts!$B$3="none",G1996,IF(M1996="",NA(),M1996))</f>
        <v>0</v>
      </c>
      <c r="T189">
        <f>IF(Charts!$B$3="none",H1996,IF(N1996="",NA(),N1996))</f>
        <v>0</v>
      </c>
    </row>
    <row r="190" spans="4:20">
      <c r="D190">
        <v>186</v>
      </c>
      <c r="E190">
        <f>IF(INDIRECT(ADDRESS($D190+2,E$2+1,,,"Instances"))="","",INDIRECT(ADDRESS($D190+2,E$2+1,,,"Instances")))</f>
        <v>0</v>
      </c>
      <c r="F190">
        <f>IFERROR(SMALL(E5:E364,ROW()-ROW($F$5)+1),"")</f>
        <v>0</v>
      </c>
      <c r="H190">
        <f>IFERROR(SUM(F5:F190),"")</f>
        <v>0</v>
      </c>
      <c r="J190">
        <v>186</v>
      </c>
      <c r="K190" cm="1">
        <f t="array" ref="K190">_xlfn.SWITCH(Charts!$B$3,"average", AVERAGE(INDIRECT(ADDRESS(185+3,K$2+1,,,"Instances") &amp; ":" &amp; ADDRESS(185+3,K$2+1))),"median", MEDIAN(INDIRECT(ADDRESS(185+3,K$2+1,,,"Instances") &amp; ":" &amp; ADDRESS(185+3,K$2+1))),"min", MIN(INDIRECT(ADDRESS(185+3,K$2+1,,,"Instances") &amp; ":" &amp; ADDRESS(185+3,K$2+1))),"max", MAX(INDIRECT(ADDRESS(185+3,K$2+1,,,"Instances") &amp; ":" &amp; ADDRESS(185+3,K$2+1))),"diff", MAX(INDIRECT(ADDRESS(185+3,K$2+1,,,"Instances") &amp; ":" &amp; ADDRESS(185+3,K$2+1)))-MIN(INDIRECT(ADDRESS(185+3,K$2+1,,,"Instances") &amp; ":" &amp; ADDRESS(185+3,K$2+1))))</f>
        <v>0</v>
      </c>
      <c r="L190">
        <f>IFERROR(SMALL(K5:K364,ROW()-ROW($L$5)+1),"")</f>
        <v>0</v>
      </c>
      <c r="N190">
        <f>IFERROR(SUM(L5:L190),"")</f>
        <v>0</v>
      </c>
      <c r="Q190">
        <f>IF(Charts!$B$3="none",E1997,IF(K1997="",NA(),K1997))</f>
        <v>0</v>
      </c>
      <c r="R190">
        <f>IF(Charts!$B$3="none",F1997,IF(L1997="",NA(),L1997))</f>
        <v>0</v>
      </c>
      <c r="S190">
        <f>IF(Charts!$B$3="none",G1997,IF(M1997="",NA(),M1997))</f>
        <v>0</v>
      </c>
      <c r="T190">
        <f>IF(Charts!$B$3="none",H1997,IF(N1997="",NA(),N1997))</f>
        <v>0</v>
      </c>
    </row>
    <row r="191" spans="4:20">
      <c r="D191">
        <v>187</v>
      </c>
      <c r="E191">
        <f>IF(INDIRECT(ADDRESS($D191+2,E$2+1,,,"Instances"))="","",INDIRECT(ADDRESS($D191+2,E$2+1,,,"Instances")))</f>
        <v>0</v>
      </c>
      <c r="F191">
        <f>IFERROR(SMALL(E5:E364,ROW()-ROW($F$5)+1),"")</f>
        <v>0</v>
      </c>
      <c r="H191">
        <f>IFERROR(SUM(F5:F191),"")</f>
        <v>0</v>
      </c>
      <c r="J191">
        <v>187</v>
      </c>
      <c r="K191" cm="1">
        <f t="array" ref="K191">_xlfn.SWITCH(Charts!$B$3,"average", AVERAGE(INDIRECT(ADDRESS(186+3,K$2+1,,,"Instances") &amp; ":" &amp; ADDRESS(186+3,K$2+1))),"median", MEDIAN(INDIRECT(ADDRESS(186+3,K$2+1,,,"Instances") &amp; ":" &amp; ADDRESS(186+3,K$2+1))),"min", MIN(INDIRECT(ADDRESS(186+3,K$2+1,,,"Instances") &amp; ":" &amp; ADDRESS(186+3,K$2+1))),"max", MAX(INDIRECT(ADDRESS(186+3,K$2+1,,,"Instances") &amp; ":" &amp; ADDRESS(186+3,K$2+1))),"diff", MAX(INDIRECT(ADDRESS(186+3,K$2+1,,,"Instances") &amp; ":" &amp; ADDRESS(186+3,K$2+1)))-MIN(INDIRECT(ADDRESS(186+3,K$2+1,,,"Instances") &amp; ":" &amp; ADDRESS(186+3,K$2+1))))</f>
        <v>0</v>
      </c>
      <c r="L191">
        <f>IFERROR(SMALL(K5:K364,ROW()-ROW($L$5)+1),"")</f>
        <v>0</v>
      </c>
      <c r="N191">
        <f>IFERROR(SUM(L5:L191),"")</f>
        <v>0</v>
      </c>
      <c r="Q191">
        <f>IF(Charts!$B$3="none",E1998,IF(K1998="",NA(),K1998))</f>
        <v>0</v>
      </c>
      <c r="R191">
        <f>IF(Charts!$B$3="none",F1998,IF(L1998="",NA(),L1998))</f>
        <v>0</v>
      </c>
      <c r="S191">
        <f>IF(Charts!$B$3="none",G1998,IF(M1998="",NA(),M1998))</f>
        <v>0</v>
      </c>
      <c r="T191">
        <f>IF(Charts!$B$3="none",H1998,IF(N1998="",NA(),N1998))</f>
        <v>0</v>
      </c>
    </row>
    <row r="192" spans="4:20">
      <c r="D192">
        <v>188</v>
      </c>
      <c r="E192">
        <f>IF(INDIRECT(ADDRESS($D192+2,E$2+1,,,"Instances"))="","",INDIRECT(ADDRESS($D192+2,E$2+1,,,"Instances")))</f>
        <v>0</v>
      </c>
      <c r="F192">
        <f>IFERROR(SMALL(E5:E364,ROW()-ROW($F$5)+1),"")</f>
        <v>0</v>
      </c>
      <c r="H192">
        <f>IFERROR(SUM(F5:F192),"")</f>
        <v>0</v>
      </c>
      <c r="J192">
        <v>188</v>
      </c>
      <c r="K192" cm="1">
        <f t="array" ref="K192">_xlfn.SWITCH(Charts!$B$3,"average", AVERAGE(INDIRECT(ADDRESS(187+3,K$2+1,,,"Instances") &amp; ":" &amp; ADDRESS(187+3,K$2+1))),"median", MEDIAN(INDIRECT(ADDRESS(187+3,K$2+1,,,"Instances") &amp; ":" &amp; ADDRESS(187+3,K$2+1))),"min", MIN(INDIRECT(ADDRESS(187+3,K$2+1,,,"Instances") &amp; ":" &amp; ADDRESS(187+3,K$2+1))),"max", MAX(INDIRECT(ADDRESS(187+3,K$2+1,,,"Instances") &amp; ":" &amp; ADDRESS(187+3,K$2+1))),"diff", MAX(INDIRECT(ADDRESS(187+3,K$2+1,,,"Instances") &amp; ":" &amp; ADDRESS(187+3,K$2+1)))-MIN(INDIRECT(ADDRESS(187+3,K$2+1,,,"Instances") &amp; ":" &amp; ADDRESS(187+3,K$2+1))))</f>
        <v>0</v>
      </c>
      <c r="L192">
        <f>IFERROR(SMALL(K5:K364,ROW()-ROW($L$5)+1),"")</f>
        <v>0</v>
      </c>
      <c r="N192">
        <f>IFERROR(SUM(L5:L192),"")</f>
        <v>0</v>
      </c>
      <c r="Q192">
        <f>IF(Charts!$B$3="none",E1999,IF(K1999="",NA(),K1999))</f>
        <v>0</v>
      </c>
      <c r="R192">
        <f>IF(Charts!$B$3="none",F1999,IF(L1999="",NA(),L1999))</f>
        <v>0</v>
      </c>
      <c r="S192">
        <f>IF(Charts!$B$3="none",G1999,IF(M1999="",NA(),M1999))</f>
        <v>0</v>
      </c>
      <c r="T192">
        <f>IF(Charts!$B$3="none",H1999,IF(N1999="",NA(),N1999))</f>
        <v>0</v>
      </c>
    </row>
    <row r="193" spans="4:20">
      <c r="D193">
        <v>189</v>
      </c>
      <c r="E193">
        <f>IF(INDIRECT(ADDRESS($D193+2,E$2+1,,,"Instances"))="","",INDIRECT(ADDRESS($D193+2,E$2+1,,,"Instances")))</f>
        <v>0</v>
      </c>
      <c r="F193">
        <f>IFERROR(SMALL(E5:E364,ROW()-ROW($F$5)+1),"")</f>
        <v>0</v>
      </c>
      <c r="H193">
        <f>IFERROR(SUM(F5:F193),"")</f>
        <v>0</v>
      </c>
      <c r="J193">
        <v>189</v>
      </c>
      <c r="K193" cm="1">
        <f t="array" ref="K193">_xlfn.SWITCH(Charts!$B$3,"average", AVERAGE(INDIRECT(ADDRESS(188+3,K$2+1,,,"Instances") &amp; ":" &amp; ADDRESS(188+3,K$2+1))),"median", MEDIAN(INDIRECT(ADDRESS(188+3,K$2+1,,,"Instances") &amp; ":" &amp; ADDRESS(188+3,K$2+1))),"min", MIN(INDIRECT(ADDRESS(188+3,K$2+1,,,"Instances") &amp; ":" &amp; ADDRESS(188+3,K$2+1))),"max", MAX(INDIRECT(ADDRESS(188+3,K$2+1,,,"Instances") &amp; ":" &amp; ADDRESS(188+3,K$2+1))),"diff", MAX(INDIRECT(ADDRESS(188+3,K$2+1,,,"Instances") &amp; ":" &amp; ADDRESS(188+3,K$2+1)))-MIN(INDIRECT(ADDRESS(188+3,K$2+1,,,"Instances") &amp; ":" &amp; ADDRESS(188+3,K$2+1))))</f>
        <v>0</v>
      </c>
      <c r="L193">
        <f>IFERROR(SMALL(K5:K364,ROW()-ROW($L$5)+1),"")</f>
        <v>0</v>
      </c>
      <c r="N193">
        <f>IFERROR(SUM(L5:L193),"")</f>
        <v>0</v>
      </c>
      <c r="Q193">
        <f>IF(Charts!$B$3="none",E2000,IF(K2000="",NA(),K2000))</f>
        <v>0</v>
      </c>
      <c r="R193">
        <f>IF(Charts!$B$3="none",F2000,IF(L2000="",NA(),L2000))</f>
        <v>0</v>
      </c>
      <c r="S193">
        <f>IF(Charts!$B$3="none",G2000,IF(M2000="",NA(),M2000))</f>
        <v>0</v>
      </c>
      <c r="T193">
        <f>IF(Charts!$B$3="none",H2000,IF(N2000="",NA(),N2000))</f>
        <v>0</v>
      </c>
    </row>
    <row r="194" spans="4:20">
      <c r="D194">
        <v>190</v>
      </c>
      <c r="E194">
        <f>IF(INDIRECT(ADDRESS($D194+2,E$2+1,,,"Instances"))="","",INDIRECT(ADDRESS($D194+2,E$2+1,,,"Instances")))</f>
        <v>0</v>
      </c>
      <c r="F194">
        <f>IFERROR(SMALL(E5:E364,ROW()-ROW($F$5)+1),"")</f>
        <v>0</v>
      </c>
      <c r="H194">
        <f>IFERROR(SUM(F5:F194),"")</f>
        <v>0</v>
      </c>
      <c r="J194">
        <v>190</v>
      </c>
      <c r="K194" cm="1">
        <f t="array" ref="K194">_xlfn.SWITCH(Charts!$B$3,"average", AVERAGE(INDIRECT(ADDRESS(189+3,K$2+1,,,"Instances") &amp; ":" &amp; ADDRESS(189+3,K$2+1))),"median", MEDIAN(INDIRECT(ADDRESS(189+3,K$2+1,,,"Instances") &amp; ":" &amp; ADDRESS(189+3,K$2+1))),"min", MIN(INDIRECT(ADDRESS(189+3,K$2+1,,,"Instances") &amp; ":" &amp; ADDRESS(189+3,K$2+1))),"max", MAX(INDIRECT(ADDRESS(189+3,K$2+1,,,"Instances") &amp; ":" &amp; ADDRESS(189+3,K$2+1))),"diff", MAX(INDIRECT(ADDRESS(189+3,K$2+1,,,"Instances") &amp; ":" &amp; ADDRESS(189+3,K$2+1)))-MIN(INDIRECT(ADDRESS(189+3,K$2+1,,,"Instances") &amp; ":" &amp; ADDRESS(189+3,K$2+1))))</f>
        <v>0</v>
      </c>
      <c r="L194">
        <f>IFERROR(SMALL(K5:K364,ROW()-ROW($L$5)+1),"")</f>
        <v>0</v>
      </c>
      <c r="N194">
        <f>IFERROR(SUM(L5:L194),"")</f>
        <v>0</v>
      </c>
      <c r="Q194">
        <f>IF(Charts!$B$3="none",E2001,IF(K2001="",NA(),K2001))</f>
        <v>0</v>
      </c>
      <c r="R194">
        <f>IF(Charts!$B$3="none",F2001,IF(L2001="",NA(),L2001))</f>
        <v>0</v>
      </c>
      <c r="S194">
        <f>IF(Charts!$B$3="none",G2001,IF(M2001="",NA(),M2001))</f>
        <v>0</v>
      </c>
      <c r="T194">
        <f>IF(Charts!$B$3="none",H2001,IF(N2001="",NA(),N2001))</f>
        <v>0</v>
      </c>
    </row>
    <row r="195" spans="4:20">
      <c r="D195">
        <v>191</v>
      </c>
      <c r="E195">
        <f>IF(INDIRECT(ADDRESS($D195+2,E$2+1,,,"Instances"))="","",INDIRECT(ADDRESS($D195+2,E$2+1,,,"Instances")))</f>
        <v>0</v>
      </c>
      <c r="F195">
        <f>IFERROR(SMALL(E5:E364,ROW()-ROW($F$5)+1),"")</f>
        <v>0</v>
      </c>
      <c r="H195">
        <f>IFERROR(SUM(F5:F195),"")</f>
        <v>0</v>
      </c>
      <c r="J195">
        <v>191</v>
      </c>
      <c r="K195" cm="1">
        <f t="array" ref="K195">_xlfn.SWITCH(Charts!$B$3,"average", AVERAGE(INDIRECT(ADDRESS(190+3,K$2+1,,,"Instances") &amp; ":" &amp; ADDRESS(190+3,K$2+1))),"median", MEDIAN(INDIRECT(ADDRESS(190+3,K$2+1,,,"Instances") &amp; ":" &amp; ADDRESS(190+3,K$2+1))),"min", MIN(INDIRECT(ADDRESS(190+3,K$2+1,,,"Instances") &amp; ":" &amp; ADDRESS(190+3,K$2+1))),"max", MAX(INDIRECT(ADDRESS(190+3,K$2+1,,,"Instances") &amp; ":" &amp; ADDRESS(190+3,K$2+1))),"diff", MAX(INDIRECT(ADDRESS(190+3,K$2+1,,,"Instances") &amp; ":" &amp; ADDRESS(190+3,K$2+1)))-MIN(INDIRECT(ADDRESS(190+3,K$2+1,,,"Instances") &amp; ":" &amp; ADDRESS(190+3,K$2+1))))</f>
        <v>0</v>
      </c>
      <c r="L195">
        <f>IFERROR(SMALL(K5:K364,ROW()-ROW($L$5)+1),"")</f>
        <v>0</v>
      </c>
      <c r="N195">
        <f>IFERROR(SUM(L5:L195),"")</f>
        <v>0</v>
      </c>
      <c r="Q195">
        <f>IF(Charts!$B$3="none",E2002,IF(K2002="",NA(),K2002))</f>
        <v>0</v>
      </c>
      <c r="R195">
        <f>IF(Charts!$B$3="none",F2002,IF(L2002="",NA(),L2002))</f>
        <v>0</v>
      </c>
      <c r="S195">
        <f>IF(Charts!$B$3="none",G2002,IF(M2002="",NA(),M2002))</f>
        <v>0</v>
      </c>
      <c r="T195">
        <f>IF(Charts!$B$3="none",H2002,IF(N2002="",NA(),N2002))</f>
        <v>0</v>
      </c>
    </row>
    <row r="196" spans="4:20">
      <c r="D196">
        <v>192</v>
      </c>
      <c r="E196">
        <f>IF(INDIRECT(ADDRESS($D196+2,E$2+1,,,"Instances"))="","",INDIRECT(ADDRESS($D196+2,E$2+1,,,"Instances")))</f>
        <v>0</v>
      </c>
      <c r="F196">
        <f>IFERROR(SMALL(E5:E364,ROW()-ROW($F$5)+1),"")</f>
        <v>0</v>
      </c>
      <c r="H196">
        <f>IFERROR(SUM(F5:F196),"")</f>
        <v>0</v>
      </c>
      <c r="J196">
        <v>192</v>
      </c>
      <c r="K196" cm="1">
        <f t="array" ref="K196">_xlfn.SWITCH(Charts!$B$3,"average", AVERAGE(INDIRECT(ADDRESS(191+3,K$2+1,,,"Instances") &amp; ":" &amp; ADDRESS(191+3,K$2+1))),"median", MEDIAN(INDIRECT(ADDRESS(191+3,K$2+1,,,"Instances") &amp; ":" &amp; ADDRESS(191+3,K$2+1))),"min", MIN(INDIRECT(ADDRESS(191+3,K$2+1,,,"Instances") &amp; ":" &amp; ADDRESS(191+3,K$2+1))),"max", MAX(INDIRECT(ADDRESS(191+3,K$2+1,,,"Instances") &amp; ":" &amp; ADDRESS(191+3,K$2+1))),"diff", MAX(INDIRECT(ADDRESS(191+3,K$2+1,,,"Instances") &amp; ":" &amp; ADDRESS(191+3,K$2+1)))-MIN(INDIRECT(ADDRESS(191+3,K$2+1,,,"Instances") &amp; ":" &amp; ADDRESS(191+3,K$2+1))))</f>
        <v>0</v>
      </c>
      <c r="L196">
        <f>IFERROR(SMALL(K5:K364,ROW()-ROW($L$5)+1),"")</f>
        <v>0</v>
      </c>
      <c r="N196">
        <f>IFERROR(SUM(L5:L196),"")</f>
        <v>0</v>
      </c>
      <c r="Q196">
        <f>IF(Charts!$B$3="none",E2003,IF(K2003="",NA(),K2003))</f>
        <v>0</v>
      </c>
      <c r="R196">
        <f>IF(Charts!$B$3="none",F2003,IF(L2003="",NA(),L2003))</f>
        <v>0</v>
      </c>
      <c r="S196">
        <f>IF(Charts!$B$3="none",G2003,IF(M2003="",NA(),M2003))</f>
        <v>0</v>
      </c>
      <c r="T196">
        <f>IF(Charts!$B$3="none",H2003,IF(N2003="",NA(),N2003))</f>
        <v>0</v>
      </c>
    </row>
    <row r="197" spans="4:20">
      <c r="D197">
        <v>193</v>
      </c>
      <c r="E197">
        <f>IF(INDIRECT(ADDRESS($D197+2,E$2+1,,,"Instances"))="","",INDIRECT(ADDRESS($D197+2,E$2+1,,,"Instances")))</f>
        <v>0</v>
      </c>
      <c r="F197">
        <f>IFERROR(SMALL(E5:E364,ROW()-ROW($F$5)+1),"")</f>
        <v>0</v>
      </c>
      <c r="H197">
        <f>IFERROR(SUM(F5:F197),"")</f>
        <v>0</v>
      </c>
      <c r="J197">
        <v>193</v>
      </c>
      <c r="K197" cm="1">
        <f t="array" ref="K197">_xlfn.SWITCH(Charts!$B$3,"average", AVERAGE(INDIRECT(ADDRESS(192+3,K$2+1,,,"Instances") &amp; ":" &amp; ADDRESS(192+3,K$2+1))),"median", MEDIAN(INDIRECT(ADDRESS(192+3,K$2+1,,,"Instances") &amp; ":" &amp; ADDRESS(192+3,K$2+1))),"min", MIN(INDIRECT(ADDRESS(192+3,K$2+1,,,"Instances") &amp; ":" &amp; ADDRESS(192+3,K$2+1))),"max", MAX(INDIRECT(ADDRESS(192+3,K$2+1,,,"Instances") &amp; ":" &amp; ADDRESS(192+3,K$2+1))),"diff", MAX(INDIRECT(ADDRESS(192+3,K$2+1,,,"Instances") &amp; ":" &amp; ADDRESS(192+3,K$2+1)))-MIN(INDIRECT(ADDRESS(192+3,K$2+1,,,"Instances") &amp; ":" &amp; ADDRESS(192+3,K$2+1))))</f>
        <v>0</v>
      </c>
      <c r="L197">
        <f>IFERROR(SMALL(K5:K364,ROW()-ROW($L$5)+1),"")</f>
        <v>0</v>
      </c>
      <c r="N197">
        <f>IFERROR(SUM(L5:L197),"")</f>
        <v>0</v>
      </c>
      <c r="Q197">
        <f>IF(Charts!$B$3="none",E2004,IF(K2004="",NA(),K2004))</f>
        <v>0</v>
      </c>
      <c r="R197">
        <f>IF(Charts!$B$3="none",F2004,IF(L2004="",NA(),L2004))</f>
        <v>0</v>
      </c>
      <c r="S197">
        <f>IF(Charts!$B$3="none",G2004,IF(M2004="",NA(),M2004))</f>
        <v>0</v>
      </c>
      <c r="T197">
        <f>IF(Charts!$B$3="none",H2004,IF(N2004="",NA(),N2004))</f>
        <v>0</v>
      </c>
    </row>
    <row r="198" spans="4:20">
      <c r="D198">
        <v>194</v>
      </c>
      <c r="E198">
        <f>IF(INDIRECT(ADDRESS($D198+2,E$2+1,,,"Instances"))="","",INDIRECT(ADDRESS($D198+2,E$2+1,,,"Instances")))</f>
        <v>0</v>
      </c>
      <c r="F198">
        <f>IFERROR(SMALL(E5:E364,ROW()-ROW($F$5)+1),"")</f>
        <v>0</v>
      </c>
      <c r="H198">
        <f>IFERROR(SUM(F5:F198),"")</f>
        <v>0</v>
      </c>
      <c r="J198">
        <v>194</v>
      </c>
      <c r="K198" cm="1">
        <f t="array" ref="K198">_xlfn.SWITCH(Charts!$B$3,"average", AVERAGE(INDIRECT(ADDRESS(193+3,K$2+1,,,"Instances") &amp; ":" &amp; ADDRESS(193+3,K$2+1))),"median", MEDIAN(INDIRECT(ADDRESS(193+3,K$2+1,,,"Instances") &amp; ":" &amp; ADDRESS(193+3,K$2+1))),"min", MIN(INDIRECT(ADDRESS(193+3,K$2+1,,,"Instances") &amp; ":" &amp; ADDRESS(193+3,K$2+1))),"max", MAX(INDIRECT(ADDRESS(193+3,K$2+1,,,"Instances") &amp; ":" &amp; ADDRESS(193+3,K$2+1))),"diff", MAX(INDIRECT(ADDRESS(193+3,K$2+1,,,"Instances") &amp; ":" &amp; ADDRESS(193+3,K$2+1)))-MIN(INDIRECT(ADDRESS(193+3,K$2+1,,,"Instances") &amp; ":" &amp; ADDRESS(193+3,K$2+1))))</f>
        <v>0</v>
      </c>
      <c r="L198">
        <f>IFERROR(SMALL(K5:K364,ROW()-ROW($L$5)+1),"")</f>
        <v>0</v>
      </c>
      <c r="N198">
        <f>IFERROR(SUM(L5:L198),"")</f>
        <v>0</v>
      </c>
      <c r="Q198">
        <f>IF(Charts!$B$3="none",E2005,IF(K2005="",NA(),K2005))</f>
        <v>0</v>
      </c>
      <c r="R198">
        <f>IF(Charts!$B$3="none",F2005,IF(L2005="",NA(),L2005))</f>
        <v>0</v>
      </c>
      <c r="S198">
        <f>IF(Charts!$B$3="none",G2005,IF(M2005="",NA(),M2005))</f>
        <v>0</v>
      </c>
      <c r="T198">
        <f>IF(Charts!$B$3="none",H2005,IF(N2005="",NA(),N2005))</f>
        <v>0</v>
      </c>
    </row>
    <row r="199" spans="4:20">
      <c r="D199">
        <v>195</v>
      </c>
      <c r="E199">
        <f>IF(INDIRECT(ADDRESS($D199+2,E$2+1,,,"Instances"))="","",INDIRECT(ADDRESS($D199+2,E$2+1,,,"Instances")))</f>
        <v>0</v>
      </c>
      <c r="F199">
        <f>IFERROR(SMALL(E5:E364,ROW()-ROW($F$5)+1),"")</f>
        <v>0</v>
      </c>
      <c r="H199">
        <f>IFERROR(SUM(F5:F199),"")</f>
        <v>0</v>
      </c>
      <c r="J199">
        <v>195</v>
      </c>
      <c r="K199" cm="1">
        <f t="array" ref="K199">_xlfn.SWITCH(Charts!$B$3,"average", AVERAGE(INDIRECT(ADDRESS(194+3,K$2+1,,,"Instances") &amp; ":" &amp; ADDRESS(194+3,K$2+1))),"median", MEDIAN(INDIRECT(ADDRESS(194+3,K$2+1,,,"Instances") &amp; ":" &amp; ADDRESS(194+3,K$2+1))),"min", MIN(INDIRECT(ADDRESS(194+3,K$2+1,,,"Instances") &amp; ":" &amp; ADDRESS(194+3,K$2+1))),"max", MAX(INDIRECT(ADDRESS(194+3,K$2+1,,,"Instances") &amp; ":" &amp; ADDRESS(194+3,K$2+1))),"diff", MAX(INDIRECT(ADDRESS(194+3,K$2+1,,,"Instances") &amp; ":" &amp; ADDRESS(194+3,K$2+1)))-MIN(INDIRECT(ADDRESS(194+3,K$2+1,,,"Instances") &amp; ":" &amp; ADDRESS(194+3,K$2+1))))</f>
        <v>0</v>
      </c>
      <c r="L199">
        <f>IFERROR(SMALL(K5:K364,ROW()-ROW($L$5)+1),"")</f>
        <v>0</v>
      </c>
      <c r="N199">
        <f>IFERROR(SUM(L5:L199),"")</f>
        <v>0</v>
      </c>
      <c r="Q199">
        <f>IF(Charts!$B$3="none",E2006,IF(K2006="",NA(),K2006))</f>
        <v>0</v>
      </c>
      <c r="R199">
        <f>IF(Charts!$B$3="none",F2006,IF(L2006="",NA(),L2006))</f>
        <v>0</v>
      </c>
      <c r="S199">
        <f>IF(Charts!$B$3="none",G2006,IF(M2006="",NA(),M2006))</f>
        <v>0</v>
      </c>
      <c r="T199">
        <f>IF(Charts!$B$3="none",H2006,IF(N2006="",NA(),N2006))</f>
        <v>0</v>
      </c>
    </row>
    <row r="200" spans="4:20">
      <c r="D200">
        <v>196</v>
      </c>
      <c r="E200">
        <f>IF(INDIRECT(ADDRESS($D200+2,E$2+1,,,"Instances"))="","",INDIRECT(ADDRESS($D200+2,E$2+1,,,"Instances")))</f>
        <v>0</v>
      </c>
      <c r="F200">
        <f>IFERROR(SMALL(E5:E364,ROW()-ROW($F$5)+1),"")</f>
        <v>0</v>
      </c>
      <c r="H200">
        <f>IFERROR(SUM(F5:F200),"")</f>
        <v>0</v>
      </c>
      <c r="J200">
        <v>196</v>
      </c>
      <c r="K200" cm="1">
        <f t="array" ref="K200">_xlfn.SWITCH(Charts!$B$3,"average", AVERAGE(INDIRECT(ADDRESS(195+3,K$2+1,,,"Instances") &amp; ":" &amp; ADDRESS(195+3,K$2+1))),"median", MEDIAN(INDIRECT(ADDRESS(195+3,K$2+1,,,"Instances") &amp; ":" &amp; ADDRESS(195+3,K$2+1))),"min", MIN(INDIRECT(ADDRESS(195+3,K$2+1,,,"Instances") &amp; ":" &amp; ADDRESS(195+3,K$2+1))),"max", MAX(INDIRECT(ADDRESS(195+3,K$2+1,,,"Instances") &amp; ":" &amp; ADDRESS(195+3,K$2+1))),"diff", MAX(INDIRECT(ADDRESS(195+3,K$2+1,,,"Instances") &amp; ":" &amp; ADDRESS(195+3,K$2+1)))-MIN(INDIRECT(ADDRESS(195+3,K$2+1,,,"Instances") &amp; ":" &amp; ADDRESS(195+3,K$2+1))))</f>
        <v>0</v>
      </c>
      <c r="L200">
        <f>IFERROR(SMALL(K5:K364,ROW()-ROW($L$5)+1),"")</f>
        <v>0</v>
      </c>
      <c r="N200">
        <f>IFERROR(SUM(L5:L200),"")</f>
        <v>0</v>
      </c>
      <c r="Q200">
        <f>IF(Charts!$B$3="none",E2007,IF(K2007="",NA(),K2007))</f>
        <v>0</v>
      </c>
      <c r="R200">
        <f>IF(Charts!$B$3="none",F2007,IF(L2007="",NA(),L2007))</f>
        <v>0</v>
      </c>
      <c r="S200">
        <f>IF(Charts!$B$3="none",G2007,IF(M2007="",NA(),M2007))</f>
        <v>0</v>
      </c>
      <c r="T200">
        <f>IF(Charts!$B$3="none",H2007,IF(N2007="",NA(),N2007))</f>
        <v>0</v>
      </c>
    </row>
    <row r="201" spans="4:20">
      <c r="D201">
        <v>197</v>
      </c>
      <c r="E201">
        <f>IF(INDIRECT(ADDRESS($D201+2,E$2+1,,,"Instances"))="","",INDIRECT(ADDRESS($D201+2,E$2+1,,,"Instances")))</f>
        <v>0</v>
      </c>
      <c r="F201">
        <f>IFERROR(SMALL(E5:E364,ROW()-ROW($F$5)+1),"")</f>
        <v>0</v>
      </c>
      <c r="H201">
        <f>IFERROR(SUM(F5:F201),"")</f>
        <v>0</v>
      </c>
      <c r="J201">
        <v>197</v>
      </c>
      <c r="K201" cm="1">
        <f t="array" ref="K201">_xlfn.SWITCH(Charts!$B$3,"average", AVERAGE(INDIRECT(ADDRESS(196+3,K$2+1,,,"Instances") &amp; ":" &amp; ADDRESS(196+3,K$2+1))),"median", MEDIAN(INDIRECT(ADDRESS(196+3,K$2+1,,,"Instances") &amp; ":" &amp; ADDRESS(196+3,K$2+1))),"min", MIN(INDIRECT(ADDRESS(196+3,K$2+1,,,"Instances") &amp; ":" &amp; ADDRESS(196+3,K$2+1))),"max", MAX(INDIRECT(ADDRESS(196+3,K$2+1,,,"Instances") &amp; ":" &amp; ADDRESS(196+3,K$2+1))),"diff", MAX(INDIRECT(ADDRESS(196+3,K$2+1,,,"Instances") &amp; ":" &amp; ADDRESS(196+3,K$2+1)))-MIN(INDIRECT(ADDRESS(196+3,K$2+1,,,"Instances") &amp; ":" &amp; ADDRESS(196+3,K$2+1))))</f>
        <v>0</v>
      </c>
      <c r="L201">
        <f>IFERROR(SMALL(K5:K364,ROW()-ROW($L$5)+1),"")</f>
        <v>0</v>
      </c>
      <c r="N201">
        <f>IFERROR(SUM(L5:L201),"")</f>
        <v>0</v>
      </c>
      <c r="Q201">
        <f>IF(Charts!$B$3="none",E2008,IF(K2008="",NA(),K2008))</f>
        <v>0</v>
      </c>
      <c r="R201">
        <f>IF(Charts!$B$3="none",F2008,IF(L2008="",NA(),L2008))</f>
        <v>0</v>
      </c>
      <c r="S201">
        <f>IF(Charts!$B$3="none",G2008,IF(M2008="",NA(),M2008))</f>
        <v>0</v>
      </c>
      <c r="T201">
        <f>IF(Charts!$B$3="none",H2008,IF(N2008="",NA(),N2008))</f>
        <v>0</v>
      </c>
    </row>
    <row r="202" spans="4:20">
      <c r="D202">
        <v>198</v>
      </c>
      <c r="E202">
        <f>IF(INDIRECT(ADDRESS($D202+2,E$2+1,,,"Instances"))="","",INDIRECT(ADDRESS($D202+2,E$2+1,,,"Instances")))</f>
        <v>0</v>
      </c>
      <c r="F202">
        <f>IFERROR(SMALL(E5:E364,ROW()-ROW($F$5)+1),"")</f>
        <v>0</v>
      </c>
      <c r="H202">
        <f>IFERROR(SUM(F5:F202),"")</f>
        <v>0</v>
      </c>
      <c r="J202">
        <v>198</v>
      </c>
      <c r="K202" cm="1">
        <f t="array" ref="K202">_xlfn.SWITCH(Charts!$B$3,"average", AVERAGE(INDIRECT(ADDRESS(197+3,K$2+1,,,"Instances") &amp; ":" &amp; ADDRESS(197+3,K$2+1))),"median", MEDIAN(INDIRECT(ADDRESS(197+3,K$2+1,,,"Instances") &amp; ":" &amp; ADDRESS(197+3,K$2+1))),"min", MIN(INDIRECT(ADDRESS(197+3,K$2+1,,,"Instances") &amp; ":" &amp; ADDRESS(197+3,K$2+1))),"max", MAX(INDIRECT(ADDRESS(197+3,K$2+1,,,"Instances") &amp; ":" &amp; ADDRESS(197+3,K$2+1))),"diff", MAX(INDIRECT(ADDRESS(197+3,K$2+1,,,"Instances") &amp; ":" &amp; ADDRESS(197+3,K$2+1)))-MIN(INDIRECT(ADDRESS(197+3,K$2+1,,,"Instances") &amp; ":" &amp; ADDRESS(197+3,K$2+1))))</f>
        <v>0</v>
      </c>
      <c r="L202">
        <f>IFERROR(SMALL(K5:K364,ROW()-ROW($L$5)+1),"")</f>
        <v>0</v>
      </c>
      <c r="N202">
        <f>IFERROR(SUM(L5:L202),"")</f>
        <v>0</v>
      </c>
      <c r="Q202">
        <f>IF(Charts!$B$3="none",E2009,IF(K2009="",NA(),K2009))</f>
        <v>0</v>
      </c>
      <c r="R202">
        <f>IF(Charts!$B$3="none",F2009,IF(L2009="",NA(),L2009))</f>
        <v>0</v>
      </c>
      <c r="S202">
        <f>IF(Charts!$B$3="none",G2009,IF(M2009="",NA(),M2009))</f>
        <v>0</v>
      </c>
      <c r="T202">
        <f>IF(Charts!$B$3="none",H2009,IF(N2009="",NA(),N2009))</f>
        <v>0</v>
      </c>
    </row>
    <row r="203" spans="4:20">
      <c r="D203">
        <v>199</v>
      </c>
      <c r="E203">
        <f>IF(INDIRECT(ADDRESS($D203+2,E$2+1,,,"Instances"))="","",INDIRECT(ADDRESS($D203+2,E$2+1,,,"Instances")))</f>
        <v>0</v>
      </c>
      <c r="F203">
        <f>IFERROR(SMALL(E5:E364,ROW()-ROW($F$5)+1),"")</f>
        <v>0</v>
      </c>
      <c r="H203">
        <f>IFERROR(SUM(F5:F203),"")</f>
        <v>0</v>
      </c>
      <c r="J203">
        <v>199</v>
      </c>
      <c r="K203" cm="1">
        <f t="array" ref="K203">_xlfn.SWITCH(Charts!$B$3,"average", AVERAGE(INDIRECT(ADDRESS(198+3,K$2+1,,,"Instances") &amp; ":" &amp; ADDRESS(198+3,K$2+1))),"median", MEDIAN(INDIRECT(ADDRESS(198+3,K$2+1,,,"Instances") &amp; ":" &amp; ADDRESS(198+3,K$2+1))),"min", MIN(INDIRECT(ADDRESS(198+3,K$2+1,,,"Instances") &amp; ":" &amp; ADDRESS(198+3,K$2+1))),"max", MAX(INDIRECT(ADDRESS(198+3,K$2+1,,,"Instances") &amp; ":" &amp; ADDRESS(198+3,K$2+1))),"diff", MAX(INDIRECT(ADDRESS(198+3,K$2+1,,,"Instances") &amp; ":" &amp; ADDRESS(198+3,K$2+1)))-MIN(INDIRECT(ADDRESS(198+3,K$2+1,,,"Instances") &amp; ":" &amp; ADDRESS(198+3,K$2+1))))</f>
        <v>0</v>
      </c>
      <c r="L203">
        <f>IFERROR(SMALL(K5:K364,ROW()-ROW($L$5)+1),"")</f>
        <v>0</v>
      </c>
      <c r="N203">
        <f>IFERROR(SUM(L5:L203),"")</f>
        <v>0</v>
      </c>
      <c r="Q203">
        <f>IF(Charts!$B$3="none",E2010,IF(K2010="",NA(),K2010))</f>
        <v>0</v>
      </c>
      <c r="R203">
        <f>IF(Charts!$B$3="none",F2010,IF(L2010="",NA(),L2010))</f>
        <v>0</v>
      </c>
      <c r="S203">
        <f>IF(Charts!$B$3="none",G2010,IF(M2010="",NA(),M2010))</f>
        <v>0</v>
      </c>
      <c r="T203">
        <f>IF(Charts!$B$3="none",H2010,IF(N2010="",NA(),N2010))</f>
        <v>0</v>
      </c>
    </row>
    <row r="204" spans="4:20">
      <c r="D204">
        <v>200</v>
      </c>
      <c r="E204">
        <f>IF(INDIRECT(ADDRESS($D204+2,E$2+1,,,"Instances"))="","",INDIRECT(ADDRESS($D204+2,E$2+1,,,"Instances")))</f>
        <v>0</v>
      </c>
      <c r="F204">
        <f>IFERROR(SMALL(E5:E364,ROW()-ROW($F$5)+1),"")</f>
        <v>0</v>
      </c>
      <c r="H204">
        <f>IFERROR(SUM(F5:F204),"")</f>
        <v>0</v>
      </c>
      <c r="J204">
        <v>200</v>
      </c>
      <c r="K204" cm="1">
        <f t="array" ref="K204">_xlfn.SWITCH(Charts!$B$3,"average", AVERAGE(INDIRECT(ADDRESS(199+3,K$2+1,,,"Instances") &amp; ":" &amp; ADDRESS(199+3,K$2+1))),"median", MEDIAN(INDIRECT(ADDRESS(199+3,K$2+1,,,"Instances") &amp; ":" &amp; ADDRESS(199+3,K$2+1))),"min", MIN(INDIRECT(ADDRESS(199+3,K$2+1,,,"Instances") &amp; ":" &amp; ADDRESS(199+3,K$2+1))),"max", MAX(INDIRECT(ADDRESS(199+3,K$2+1,,,"Instances") &amp; ":" &amp; ADDRESS(199+3,K$2+1))),"diff", MAX(INDIRECT(ADDRESS(199+3,K$2+1,,,"Instances") &amp; ":" &amp; ADDRESS(199+3,K$2+1)))-MIN(INDIRECT(ADDRESS(199+3,K$2+1,,,"Instances") &amp; ":" &amp; ADDRESS(199+3,K$2+1))))</f>
        <v>0</v>
      </c>
      <c r="L204">
        <f>IFERROR(SMALL(K5:K364,ROW()-ROW($L$5)+1),"")</f>
        <v>0</v>
      </c>
      <c r="N204">
        <f>IFERROR(SUM(L5:L204),"")</f>
        <v>0</v>
      </c>
      <c r="Q204">
        <f>IF(Charts!$B$3="none",E2011,IF(K2011="",NA(),K2011))</f>
        <v>0</v>
      </c>
      <c r="R204">
        <f>IF(Charts!$B$3="none",F2011,IF(L2011="",NA(),L2011))</f>
        <v>0</v>
      </c>
      <c r="S204">
        <f>IF(Charts!$B$3="none",G2011,IF(M2011="",NA(),M2011))</f>
        <v>0</v>
      </c>
      <c r="T204">
        <f>IF(Charts!$B$3="none",H2011,IF(N2011="",NA(),N2011))</f>
        <v>0</v>
      </c>
    </row>
    <row r="205" spans="4:20">
      <c r="D205">
        <v>201</v>
      </c>
      <c r="E205">
        <f>IF(INDIRECT(ADDRESS($D205+2,E$2+1,,,"Instances"))="","",INDIRECT(ADDRESS($D205+2,E$2+1,,,"Instances")))</f>
        <v>0</v>
      </c>
      <c r="F205">
        <f>IFERROR(SMALL(E5:E364,ROW()-ROW($F$5)+1),"")</f>
        <v>0</v>
      </c>
      <c r="H205">
        <f>IFERROR(SUM(F5:F205),"")</f>
        <v>0</v>
      </c>
      <c r="J205">
        <v>201</v>
      </c>
      <c r="K205" cm="1">
        <f t="array" ref="K205">_xlfn.SWITCH(Charts!$B$3,"average", AVERAGE(INDIRECT(ADDRESS(200+3,K$2+1,,,"Instances") &amp; ":" &amp; ADDRESS(200+3,K$2+1))),"median", MEDIAN(INDIRECT(ADDRESS(200+3,K$2+1,,,"Instances") &amp; ":" &amp; ADDRESS(200+3,K$2+1))),"min", MIN(INDIRECT(ADDRESS(200+3,K$2+1,,,"Instances") &amp; ":" &amp; ADDRESS(200+3,K$2+1))),"max", MAX(INDIRECT(ADDRESS(200+3,K$2+1,,,"Instances") &amp; ":" &amp; ADDRESS(200+3,K$2+1))),"diff", MAX(INDIRECT(ADDRESS(200+3,K$2+1,,,"Instances") &amp; ":" &amp; ADDRESS(200+3,K$2+1)))-MIN(INDIRECT(ADDRESS(200+3,K$2+1,,,"Instances") &amp; ":" &amp; ADDRESS(200+3,K$2+1))))</f>
        <v>0</v>
      </c>
      <c r="L205">
        <f>IFERROR(SMALL(K5:K364,ROW()-ROW($L$5)+1),"")</f>
        <v>0</v>
      </c>
      <c r="N205">
        <f>IFERROR(SUM(L5:L205),"")</f>
        <v>0</v>
      </c>
      <c r="Q205">
        <f>IF(Charts!$B$3="none",E2012,IF(K2012="",NA(),K2012))</f>
        <v>0</v>
      </c>
      <c r="R205">
        <f>IF(Charts!$B$3="none",F2012,IF(L2012="",NA(),L2012))</f>
        <v>0</v>
      </c>
      <c r="S205">
        <f>IF(Charts!$B$3="none",G2012,IF(M2012="",NA(),M2012))</f>
        <v>0</v>
      </c>
      <c r="T205">
        <f>IF(Charts!$B$3="none",H2012,IF(N2012="",NA(),N2012))</f>
        <v>0</v>
      </c>
    </row>
    <row r="206" spans="4:20">
      <c r="D206">
        <v>202</v>
      </c>
      <c r="E206">
        <f>IF(INDIRECT(ADDRESS($D206+2,E$2+1,,,"Instances"))="","",INDIRECT(ADDRESS($D206+2,E$2+1,,,"Instances")))</f>
        <v>0</v>
      </c>
      <c r="F206">
        <f>IFERROR(SMALL(E5:E364,ROW()-ROW($F$5)+1),"")</f>
        <v>0</v>
      </c>
      <c r="H206">
        <f>IFERROR(SUM(F5:F206),"")</f>
        <v>0</v>
      </c>
      <c r="J206">
        <v>202</v>
      </c>
      <c r="K206" cm="1">
        <f t="array" ref="K206">_xlfn.SWITCH(Charts!$B$3,"average", AVERAGE(INDIRECT(ADDRESS(201+3,K$2+1,,,"Instances") &amp; ":" &amp; ADDRESS(201+3,K$2+1))),"median", MEDIAN(INDIRECT(ADDRESS(201+3,K$2+1,,,"Instances") &amp; ":" &amp; ADDRESS(201+3,K$2+1))),"min", MIN(INDIRECT(ADDRESS(201+3,K$2+1,,,"Instances") &amp; ":" &amp; ADDRESS(201+3,K$2+1))),"max", MAX(INDIRECT(ADDRESS(201+3,K$2+1,,,"Instances") &amp; ":" &amp; ADDRESS(201+3,K$2+1))),"diff", MAX(INDIRECT(ADDRESS(201+3,K$2+1,,,"Instances") &amp; ":" &amp; ADDRESS(201+3,K$2+1)))-MIN(INDIRECT(ADDRESS(201+3,K$2+1,,,"Instances") &amp; ":" &amp; ADDRESS(201+3,K$2+1))))</f>
        <v>0</v>
      </c>
      <c r="L206">
        <f>IFERROR(SMALL(K5:K364,ROW()-ROW($L$5)+1),"")</f>
        <v>0</v>
      </c>
      <c r="N206">
        <f>IFERROR(SUM(L5:L206),"")</f>
        <v>0</v>
      </c>
      <c r="Q206">
        <f>IF(Charts!$B$3="none",E2013,IF(K2013="",NA(),K2013))</f>
        <v>0</v>
      </c>
      <c r="R206">
        <f>IF(Charts!$B$3="none",F2013,IF(L2013="",NA(),L2013))</f>
        <v>0</v>
      </c>
      <c r="S206">
        <f>IF(Charts!$B$3="none",G2013,IF(M2013="",NA(),M2013))</f>
        <v>0</v>
      </c>
      <c r="T206">
        <f>IF(Charts!$B$3="none",H2013,IF(N2013="",NA(),N2013))</f>
        <v>0</v>
      </c>
    </row>
    <row r="207" spans="4:20">
      <c r="D207">
        <v>203</v>
      </c>
      <c r="E207">
        <f>IF(INDIRECT(ADDRESS($D207+2,E$2+1,,,"Instances"))="","",INDIRECT(ADDRESS($D207+2,E$2+1,,,"Instances")))</f>
        <v>0</v>
      </c>
      <c r="F207">
        <f>IFERROR(SMALL(E5:E364,ROW()-ROW($F$5)+1),"")</f>
        <v>0</v>
      </c>
      <c r="H207">
        <f>IFERROR(SUM(F5:F207),"")</f>
        <v>0</v>
      </c>
      <c r="J207">
        <v>203</v>
      </c>
      <c r="K207" cm="1">
        <f t="array" ref="K207">_xlfn.SWITCH(Charts!$B$3,"average", AVERAGE(INDIRECT(ADDRESS(202+3,K$2+1,,,"Instances") &amp; ":" &amp; ADDRESS(202+3,K$2+1))),"median", MEDIAN(INDIRECT(ADDRESS(202+3,K$2+1,,,"Instances") &amp; ":" &amp; ADDRESS(202+3,K$2+1))),"min", MIN(INDIRECT(ADDRESS(202+3,K$2+1,,,"Instances") &amp; ":" &amp; ADDRESS(202+3,K$2+1))),"max", MAX(INDIRECT(ADDRESS(202+3,K$2+1,,,"Instances") &amp; ":" &amp; ADDRESS(202+3,K$2+1))),"diff", MAX(INDIRECT(ADDRESS(202+3,K$2+1,,,"Instances") &amp; ":" &amp; ADDRESS(202+3,K$2+1)))-MIN(INDIRECT(ADDRESS(202+3,K$2+1,,,"Instances") &amp; ":" &amp; ADDRESS(202+3,K$2+1))))</f>
        <v>0</v>
      </c>
      <c r="L207">
        <f>IFERROR(SMALL(K5:K364,ROW()-ROW($L$5)+1),"")</f>
        <v>0</v>
      </c>
      <c r="N207">
        <f>IFERROR(SUM(L5:L207),"")</f>
        <v>0</v>
      </c>
      <c r="Q207">
        <f>IF(Charts!$B$3="none",E2014,IF(K2014="",NA(),K2014))</f>
        <v>0</v>
      </c>
      <c r="R207">
        <f>IF(Charts!$B$3="none",F2014,IF(L2014="",NA(),L2014))</f>
        <v>0</v>
      </c>
      <c r="S207">
        <f>IF(Charts!$B$3="none",G2014,IF(M2014="",NA(),M2014))</f>
        <v>0</v>
      </c>
      <c r="T207">
        <f>IF(Charts!$B$3="none",H2014,IF(N2014="",NA(),N2014))</f>
        <v>0</v>
      </c>
    </row>
    <row r="208" spans="4:20">
      <c r="D208">
        <v>204</v>
      </c>
      <c r="E208">
        <f>IF(INDIRECT(ADDRESS($D208+2,E$2+1,,,"Instances"))="","",INDIRECT(ADDRESS($D208+2,E$2+1,,,"Instances")))</f>
        <v>0</v>
      </c>
      <c r="F208">
        <f>IFERROR(SMALL(E5:E364,ROW()-ROW($F$5)+1),"")</f>
        <v>0</v>
      </c>
      <c r="H208">
        <f>IFERROR(SUM(F5:F208),"")</f>
        <v>0</v>
      </c>
      <c r="J208">
        <v>204</v>
      </c>
      <c r="K208" cm="1">
        <f t="array" ref="K208">_xlfn.SWITCH(Charts!$B$3,"average", AVERAGE(INDIRECT(ADDRESS(203+3,K$2+1,,,"Instances") &amp; ":" &amp; ADDRESS(203+3,K$2+1))),"median", MEDIAN(INDIRECT(ADDRESS(203+3,K$2+1,,,"Instances") &amp; ":" &amp; ADDRESS(203+3,K$2+1))),"min", MIN(INDIRECT(ADDRESS(203+3,K$2+1,,,"Instances") &amp; ":" &amp; ADDRESS(203+3,K$2+1))),"max", MAX(INDIRECT(ADDRESS(203+3,K$2+1,,,"Instances") &amp; ":" &amp; ADDRESS(203+3,K$2+1))),"diff", MAX(INDIRECT(ADDRESS(203+3,K$2+1,,,"Instances") &amp; ":" &amp; ADDRESS(203+3,K$2+1)))-MIN(INDIRECT(ADDRESS(203+3,K$2+1,,,"Instances") &amp; ":" &amp; ADDRESS(203+3,K$2+1))))</f>
        <v>0</v>
      </c>
      <c r="L208">
        <f>IFERROR(SMALL(K5:K364,ROW()-ROW($L$5)+1),"")</f>
        <v>0</v>
      </c>
      <c r="N208">
        <f>IFERROR(SUM(L5:L208),"")</f>
        <v>0</v>
      </c>
      <c r="Q208">
        <f>IF(Charts!$B$3="none",E2015,IF(K2015="",NA(),K2015))</f>
        <v>0</v>
      </c>
      <c r="R208">
        <f>IF(Charts!$B$3="none",F2015,IF(L2015="",NA(),L2015))</f>
        <v>0</v>
      </c>
      <c r="S208">
        <f>IF(Charts!$B$3="none",G2015,IF(M2015="",NA(),M2015))</f>
        <v>0</v>
      </c>
      <c r="T208">
        <f>IF(Charts!$B$3="none",H2015,IF(N2015="",NA(),N2015))</f>
        <v>0</v>
      </c>
    </row>
    <row r="209" spans="4:20">
      <c r="D209">
        <v>205</v>
      </c>
      <c r="E209">
        <f>IF(INDIRECT(ADDRESS($D209+2,E$2+1,,,"Instances"))="","",INDIRECT(ADDRESS($D209+2,E$2+1,,,"Instances")))</f>
        <v>0</v>
      </c>
      <c r="F209">
        <f>IFERROR(SMALL(E5:E364,ROW()-ROW($F$5)+1),"")</f>
        <v>0</v>
      </c>
      <c r="H209">
        <f>IFERROR(SUM(F5:F209),"")</f>
        <v>0</v>
      </c>
      <c r="J209">
        <v>205</v>
      </c>
      <c r="K209" cm="1">
        <f t="array" ref="K209">_xlfn.SWITCH(Charts!$B$3,"average", AVERAGE(INDIRECT(ADDRESS(204+3,K$2+1,,,"Instances") &amp; ":" &amp; ADDRESS(204+3,K$2+1))),"median", MEDIAN(INDIRECT(ADDRESS(204+3,K$2+1,,,"Instances") &amp; ":" &amp; ADDRESS(204+3,K$2+1))),"min", MIN(INDIRECT(ADDRESS(204+3,K$2+1,,,"Instances") &amp; ":" &amp; ADDRESS(204+3,K$2+1))),"max", MAX(INDIRECT(ADDRESS(204+3,K$2+1,,,"Instances") &amp; ":" &amp; ADDRESS(204+3,K$2+1))),"diff", MAX(INDIRECT(ADDRESS(204+3,K$2+1,,,"Instances") &amp; ":" &amp; ADDRESS(204+3,K$2+1)))-MIN(INDIRECT(ADDRESS(204+3,K$2+1,,,"Instances") &amp; ":" &amp; ADDRESS(204+3,K$2+1))))</f>
        <v>0</v>
      </c>
      <c r="L209">
        <f>IFERROR(SMALL(K5:K364,ROW()-ROW($L$5)+1),"")</f>
        <v>0</v>
      </c>
      <c r="N209">
        <f>IFERROR(SUM(L5:L209),"")</f>
        <v>0</v>
      </c>
      <c r="Q209">
        <f>IF(Charts!$B$3="none",E2016,IF(K2016="",NA(),K2016))</f>
        <v>0</v>
      </c>
      <c r="R209">
        <f>IF(Charts!$B$3="none",F2016,IF(L2016="",NA(),L2016))</f>
        <v>0</v>
      </c>
      <c r="S209">
        <f>IF(Charts!$B$3="none",G2016,IF(M2016="",NA(),M2016))</f>
        <v>0</v>
      </c>
      <c r="T209">
        <f>IF(Charts!$B$3="none",H2016,IF(N2016="",NA(),N2016))</f>
        <v>0</v>
      </c>
    </row>
    <row r="210" spans="4:20">
      <c r="D210">
        <v>206</v>
      </c>
      <c r="E210">
        <f>IF(INDIRECT(ADDRESS($D210+2,E$2+1,,,"Instances"))="","",INDIRECT(ADDRESS($D210+2,E$2+1,,,"Instances")))</f>
        <v>0</v>
      </c>
      <c r="F210">
        <f>IFERROR(SMALL(E5:E364,ROW()-ROW($F$5)+1),"")</f>
        <v>0</v>
      </c>
      <c r="H210">
        <f>IFERROR(SUM(F5:F210),"")</f>
        <v>0</v>
      </c>
      <c r="J210">
        <v>206</v>
      </c>
      <c r="K210" cm="1">
        <f t="array" ref="K210">_xlfn.SWITCH(Charts!$B$3,"average", AVERAGE(INDIRECT(ADDRESS(205+3,K$2+1,,,"Instances") &amp; ":" &amp; ADDRESS(205+3,K$2+1))),"median", MEDIAN(INDIRECT(ADDRESS(205+3,K$2+1,,,"Instances") &amp; ":" &amp; ADDRESS(205+3,K$2+1))),"min", MIN(INDIRECT(ADDRESS(205+3,K$2+1,,,"Instances") &amp; ":" &amp; ADDRESS(205+3,K$2+1))),"max", MAX(INDIRECT(ADDRESS(205+3,K$2+1,,,"Instances") &amp; ":" &amp; ADDRESS(205+3,K$2+1))),"diff", MAX(INDIRECT(ADDRESS(205+3,K$2+1,,,"Instances") &amp; ":" &amp; ADDRESS(205+3,K$2+1)))-MIN(INDIRECT(ADDRESS(205+3,K$2+1,,,"Instances") &amp; ":" &amp; ADDRESS(205+3,K$2+1))))</f>
        <v>0</v>
      </c>
      <c r="L210">
        <f>IFERROR(SMALL(K5:K364,ROW()-ROW($L$5)+1),"")</f>
        <v>0</v>
      </c>
      <c r="N210">
        <f>IFERROR(SUM(L5:L210),"")</f>
        <v>0</v>
      </c>
      <c r="Q210">
        <f>IF(Charts!$B$3="none",E2017,IF(K2017="",NA(),K2017))</f>
        <v>0</v>
      </c>
      <c r="R210">
        <f>IF(Charts!$B$3="none",F2017,IF(L2017="",NA(),L2017))</f>
        <v>0</v>
      </c>
      <c r="S210">
        <f>IF(Charts!$B$3="none",G2017,IF(M2017="",NA(),M2017))</f>
        <v>0</v>
      </c>
      <c r="T210">
        <f>IF(Charts!$B$3="none",H2017,IF(N2017="",NA(),N2017))</f>
        <v>0</v>
      </c>
    </row>
    <row r="211" spans="4:20">
      <c r="D211">
        <v>207</v>
      </c>
      <c r="E211">
        <f>IF(INDIRECT(ADDRESS($D211+2,E$2+1,,,"Instances"))="","",INDIRECT(ADDRESS($D211+2,E$2+1,,,"Instances")))</f>
        <v>0</v>
      </c>
      <c r="F211">
        <f>IFERROR(SMALL(E5:E364,ROW()-ROW($F$5)+1),"")</f>
        <v>0</v>
      </c>
      <c r="H211">
        <f>IFERROR(SUM(F5:F211),"")</f>
        <v>0</v>
      </c>
      <c r="J211">
        <v>207</v>
      </c>
      <c r="K211" cm="1">
        <f t="array" ref="K211">_xlfn.SWITCH(Charts!$B$3,"average", AVERAGE(INDIRECT(ADDRESS(206+3,K$2+1,,,"Instances") &amp; ":" &amp; ADDRESS(206+3,K$2+1))),"median", MEDIAN(INDIRECT(ADDRESS(206+3,K$2+1,,,"Instances") &amp; ":" &amp; ADDRESS(206+3,K$2+1))),"min", MIN(INDIRECT(ADDRESS(206+3,K$2+1,,,"Instances") &amp; ":" &amp; ADDRESS(206+3,K$2+1))),"max", MAX(INDIRECT(ADDRESS(206+3,K$2+1,,,"Instances") &amp; ":" &amp; ADDRESS(206+3,K$2+1))),"diff", MAX(INDIRECT(ADDRESS(206+3,K$2+1,,,"Instances") &amp; ":" &amp; ADDRESS(206+3,K$2+1)))-MIN(INDIRECT(ADDRESS(206+3,K$2+1,,,"Instances") &amp; ":" &amp; ADDRESS(206+3,K$2+1))))</f>
        <v>0</v>
      </c>
      <c r="L211">
        <f>IFERROR(SMALL(K5:K364,ROW()-ROW($L$5)+1),"")</f>
        <v>0</v>
      </c>
      <c r="N211">
        <f>IFERROR(SUM(L5:L211),"")</f>
        <v>0</v>
      </c>
      <c r="Q211">
        <f>IF(Charts!$B$3="none",E2018,IF(K2018="",NA(),K2018))</f>
        <v>0</v>
      </c>
      <c r="R211">
        <f>IF(Charts!$B$3="none",F2018,IF(L2018="",NA(),L2018))</f>
        <v>0</v>
      </c>
      <c r="S211">
        <f>IF(Charts!$B$3="none",G2018,IF(M2018="",NA(),M2018))</f>
        <v>0</v>
      </c>
      <c r="T211">
        <f>IF(Charts!$B$3="none",H2018,IF(N2018="",NA(),N2018))</f>
        <v>0</v>
      </c>
    </row>
    <row r="212" spans="4:20">
      <c r="D212">
        <v>208</v>
      </c>
      <c r="E212">
        <f>IF(INDIRECT(ADDRESS($D212+2,E$2+1,,,"Instances"))="","",INDIRECT(ADDRESS($D212+2,E$2+1,,,"Instances")))</f>
        <v>0</v>
      </c>
      <c r="F212">
        <f>IFERROR(SMALL(E5:E364,ROW()-ROW($F$5)+1),"")</f>
        <v>0</v>
      </c>
      <c r="H212">
        <f>IFERROR(SUM(F5:F212),"")</f>
        <v>0</v>
      </c>
      <c r="J212">
        <v>208</v>
      </c>
      <c r="K212" cm="1">
        <f t="array" ref="K212">_xlfn.SWITCH(Charts!$B$3,"average", AVERAGE(INDIRECT(ADDRESS(207+3,K$2+1,,,"Instances") &amp; ":" &amp; ADDRESS(207+3,K$2+1))),"median", MEDIAN(INDIRECT(ADDRESS(207+3,K$2+1,,,"Instances") &amp; ":" &amp; ADDRESS(207+3,K$2+1))),"min", MIN(INDIRECT(ADDRESS(207+3,K$2+1,,,"Instances") &amp; ":" &amp; ADDRESS(207+3,K$2+1))),"max", MAX(INDIRECT(ADDRESS(207+3,K$2+1,,,"Instances") &amp; ":" &amp; ADDRESS(207+3,K$2+1))),"diff", MAX(INDIRECT(ADDRESS(207+3,K$2+1,,,"Instances") &amp; ":" &amp; ADDRESS(207+3,K$2+1)))-MIN(INDIRECT(ADDRESS(207+3,K$2+1,,,"Instances") &amp; ":" &amp; ADDRESS(207+3,K$2+1))))</f>
        <v>0</v>
      </c>
      <c r="L212">
        <f>IFERROR(SMALL(K5:K364,ROW()-ROW($L$5)+1),"")</f>
        <v>0</v>
      </c>
      <c r="N212">
        <f>IFERROR(SUM(L5:L212),"")</f>
        <v>0</v>
      </c>
      <c r="Q212">
        <f>IF(Charts!$B$3="none",E2019,IF(K2019="",NA(),K2019))</f>
        <v>0</v>
      </c>
      <c r="R212">
        <f>IF(Charts!$B$3="none",F2019,IF(L2019="",NA(),L2019))</f>
        <v>0</v>
      </c>
      <c r="S212">
        <f>IF(Charts!$B$3="none",G2019,IF(M2019="",NA(),M2019))</f>
        <v>0</v>
      </c>
      <c r="T212">
        <f>IF(Charts!$B$3="none",H2019,IF(N2019="",NA(),N2019))</f>
        <v>0</v>
      </c>
    </row>
    <row r="213" spans="4:20">
      <c r="D213">
        <v>209</v>
      </c>
      <c r="E213">
        <f>IF(INDIRECT(ADDRESS($D213+2,E$2+1,,,"Instances"))="","",INDIRECT(ADDRESS($D213+2,E$2+1,,,"Instances")))</f>
        <v>0</v>
      </c>
      <c r="F213">
        <f>IFERROR(SMALL(E5:E364,ROW()-ROW($F$5)+1),"")</f>
        <v>0</v>
      </c>
      <c r="H213">
        <f>IFERROR(SUM(F5:F213),"")</f>
        <v>0</v>
      </c>
      <c r="J213">
        <v>209</v>
      </c>
      <c r="K213" cm="1">
        <f t="array" ref="K213">_xlfn.SWITCH(Charts!$B$3,"average", AVERAGE(INDIRECT(ADDRESS(208+3,K$2+1,,,"Instances") &amp; ":" &amp; ADDRESS(208+3,K$2+1))),"median", MEDIAN(INDIRECT(ADDRESS(208+3,K$2+1,,,"Instances") &amp; ":" &amp; ADDRESS(208+3,K$2+1))),"min", MIN(INDIRECT(ADDRESS(208+3,K$2+1,,,"Instances") &amp; ":" &amp; ADDRESS(208+3,K$2+1))),"max", MAX(INDIRECT(ADDRESS(208+3,K$2+1,,,"Instances") &amp; ":" &amp; ADDRESS(208+3,K$2+1))),"diff", MAX(INDIRECT(ADDRESS(208+3,K$2+1,,,"Instances") &amp; ":" &amp; ADDRESS(208+3,K$2+1)))-MIN(INDIRECT(ADDRESS(208+3,K$2+1,,,"Instances") &amp; ":" &amp; ADDRESS(208+3,K$2+1))))</f>
        <v>0</v>
      </c>
      <c r="L213">
        <f>IFERROR(SMALL(K5:K364,ROW()-ROW($L$5)+1),"")</f>
        <v>0</v>
      </c>
      <c r="N213">
        <f>IFERROR(SUM(L5:L213),"")</f>
        <v>0</v>
      </c>
      <c r="Q213">
        <f>IF(Charts!$B$3="none",E2020,IF(K2020="",NA(),K2020))</f>
        <v>0</v>
      </c>
      <c r="R213">
        <f>IF(Charts!$B$3="none",F2020,IF(L2020="",NA(),L2020))</f>
        <v>0</v>
      </c>
      <c r="S213">
        <f>IF(Charts!$B$3="none",G2020,IF(M2020="",NA(),M2020))</f>
        <v>0</v>
      </c>
      <c r="T213">
        <f>IF(Charts!$B$3="none",H2020,IF(N2020="",NA(),N2020))</f>
        <v>0</v>
      </c>
    </row>
    <row r="214" spans="4:20">
      <c r="D214">
        <v>210</v>
      </c>
      <c r="E214">
        <f>IF(INDIRECT(ADDRESS($D214+2,E$2+1,,,"Instances"))="","",INDIRECT(ADDRESS($D214+2,E$2+1,,,"Instances")))</f>
        <v>0</v>
      </c>
      <c r="F214">
        <f>IFERROR(SMALL(E5:E364,ROW()-ROW($F$5)+1),"")</f>
        <v>0</v>
      </c>
      <c r="H214">
        <f>IFERROR(SUM(F5:F214),"")</f>
        <v>0</v>
      </c>
      <c r="J214">
        <v>210</v>
      </c>
      <c r="K214" cm="1">
        <f t="array" ref="K214">_xlfn.SWITCH(Charts!$B$3,"average", AVERAGE(INDIRECT(ADDRESS(209+3,K$2+1,,,"Instances") &amp; ":" &amp; ADDRESS(209+3,K$2+1))),"median", MEDIAN(INDIRECT(ADDRESS(209+3,K$2+1,,,"Instances") &amp; ":" &amp; ADDRESS(209+3,K$2+1))),"min", MIN(INDIRECT(ADDRESS(209+3,K$2+1,,,"Instances") &amp; ":" &amp; ADDRESS(209+3,K$2+1))),"max", MAX(INDIRECT(ADDRESS(209+3,K$2+1,,,"Instances") &amp; ":" &amp; ADDRESS(209+3,K$2+1))),"diff", MAX(INDIRECT(ADDRESS(209+3,K$2+1,,,"Instances") &amp; ":" &amp; ADDRESS(209+3,K$2+1)))-MIN(INDIRECT(ADDRESS(209+3,K$2+1,,,"Instances") &amp; ":" &amp; ADDRESS(209+3,K$2+1))))</f>
        <v>0</v>
      </c>
      <c r="L214">
        <f>IFERROR(SMALL(K5:K364,ROW()-ROW($L$5)+1),"")</f>
        <v>0</v>
      </c>
      <c r="N214">
        <f>IFERROR(SUM(L5:L214),"")</f>
        <v>0</v>
      </c>
      <c r="Q214">
        <f>IF(Charts!$B$3="none",E2021,IF(K2021="",NA(),K2021))</f>
        <v>0</v>
      </c>
      <c r="R214">
        <f>IF(Charts!$B$3="none",F2021,IF(L2021="",NA(),L2021))</f>
        <v>0</v>
      </c>
      <c r="S214">
        <f>IF(Charts!$B$3="none",G2021,IF(M2021="",NA(),M2021))</f>
        <v>0</v>
      </c>
      <c r="T214">
        <f>IF(Charts!$B$3="none",H2021,IF(N2021="",NA(),N2021))</f>
        <v>0</v>
      </c>
    </row>
    <row r="215" spans="4:20">
      <c r="D215">
        <v>211</v>
      </c>
      <c r="E215">
        <f>IF(INDIRECT(ADDRESS($D215+2,E$2+1,,,"Instances"))="","",INDIRECT(ADDRESS($D215+2,E$2+1,,,"Instances")))</f>
        <v>0</v>
      </c>
      <c r="F215">
        <f>IFERROR(SMALL(E5:E364,ROW()-ROW($F$5)+1),"")</f>
        <v>0</v>
      </c>
      <c r="H215">
        <f>IFERROR(SUM(F5:F215),"")</f>
        <v>0</v>
      </c>
      <c r="J215">
        <v>211</v>
      </c>
      <c r="K215" cm="1">
        <f t="array" ref="K215">_xlfn.SWITCH(Charts!$B$3,"average", AVERAGE(INDIRECT(ADDRESS(210+3,K$2+1,,,"Instances") &amp; ":" &amp; ADDRESS(210+3,K$2+1))),"median", MEDIAN(INDIRECT(ADDRESS(210+3,K$2+1,,,"Instances") &amp; ":" &amp; ADDRESS(210+3,K$2+1))),"min", MIN(INDIRECT(ADDRESS(210+3,K$2+1,,,"Instances") &amp; ":" &amp; ADDRESS(210+3,K$2+1))),"max", MAX(INDIRECT(ADDRESS(210+3,K$2+1,,,"Instances") &amp; ":" &amp; ADDRESS(210+3,K$2+1))),"diff", MAX(INDIRECT(ADDRESS(210+3,K$2+1,,,"Instances") &amp; ":" &amp; ADDRESS(210+3,K$2+1)))-MIN(INDIRECT(ADDRESS(210+3,K$2+1,,,"Instances") &amp; ":" &amp; ADDRESS(210+3,K$2+1))))</f>
        <v>0</v>
      </c>
      <c r="L215">
        <f>IFERROR(SMALL(K5:K364,ROW()-ROW($L$5)+1),"")</f>
        <v>0</v>
      </c>
      <c r="N215">
        <f>IFERROR(SUM(L5:L215),"")</f>
        <v>0</v>
      </c>
      <c r="Q215">
        <f>IF(Charts!$B$3="none",E2022,IF(K2022="",NA(),K2022))</f>
        <v>0</v>
      </c>
      <c r="R215">
        <f>IF(Charts!$B$3="none",F2022,IF(L2022="",NA(),L2022))</f>
        <v>0</v>
      </c>
      <c r="S215">
        <f>IF(Charts!$B$3="none",G2022,IF(M2022="",NA(),M2022))</f>
        <v>0</v>
      </c>
      <c r="T215">
        <f>IF(Charts!$B$3="none",H2022,IF(N2022="",NA(),N2022))</f>
        <v>0</v>
      </c>
    </row>
    <row r="216" spans="4:20">
      <c r="D216">
        <v>212</v>
      </c>
      <c r="E216">
        <f>IF(INDIRECT(ADDRESS($D216+2,E$2+1,,,"Instances"))="","",INDIRECT(ADDRESS($D216+2,E$2+1,,,"Instances")))</f>
        <v>0</v>
      </c>
      <c r="F216">
        <f>IFERROR(SMALL(E5:E364,ROW()-ROW($F$5)+1),"")</f>
        <v>0</v>
      </c>
      <c r="H216">
        <f>IFERROR(SUM(F5:F216),"")</f>
        <v>0</v>
      </c>
      <c r="J216">
        <v>212</v>
      </c>
      <c r="K216" cm="1">
        <f t="array" ref="K216">_xlfn.SWITCH(Charts!$B$3,"average", AVERAGE(INDIRECT(ADDRESS(211+3,K$2+1,,,"Instances") &amp; ":" &amp; ADDRESS(211+3,K$2+1))),"median", MEDIAN(INDIRECT(ADDRESS(211+3,K$2+1,,,"Instances") &amp; ":" &amp; ADDRESS(211+3,K$2+1))),"min", MIN(INDIRECT(ADDRESS(211+3,K$2+1,,,"Instances") &amp; ":" &amp; ADDRESS(211+3,K$2+1))),"max", MAX(INDIRECT(ADDRESS(211+3,K$2+1,,,"Instances") &amp; ":" &amp; ADDRESS(211+3,K$2+1))),"diff", MAX(INDIRECT(ADDRESS(211+3,K$2+1,,,"Instances") &amp; ":" &amp; ADDRESS(211+3,K$2+1)))-MIN(INDIRECT(ADDRESS(211+3,K$2+1,,,"Instances") &amp; ":" &amp; ADDRESS(211+3,K$2+1))))</f>
        <v>0</v>
      </c>
      <c r="L216">
        <f>IFERROR(SMALL(K5:K364,ROW()-ROW($L$5)+1),"")</f>
        <v>0</v>
      </c>
      <c r="N216">
        <f>IFERROR(SUM(L5:L216),"")</f>
        <v>0</v>
      </c>
      <c r="Q216">
        <f>IF(Charts!$B$3="none",E2023,IF(K2023="",NA(),K2023))</f>
        <v>0</v>
      </c>
      <c r="R216">
        <f>IF(Charts!$B$3="none",F2023,IF(L2023="",NA(),L2023))</f>
        <v>0</v>
      </c>
      <c r="S216">
        <f>IF(Charts!$B$3="none",G2023,IF(M2023="",NA(),M2023))</f>
        <v>0</v>
      </c>
      <c r="T216">
        <f>IF(Charts!$B$3="none",H2023,IF(N2023="",NA(),N2023))</f>
        <v>0</v>
      </c>
    </row>
    <row r="217" spans="4:20">
      <c r="D217">
        <v>213</v>
      </c>
      <c r="E217">
        <f>IF(INDIRECT(ADDRESS($D217+2,E$2+1,,,"Instances"))="","",INDIRECT(ADDRESS($D217+2,E$2+1,,,"Instances")))</f>
        <v>0</v>
      </c>
      <c r="F217">
        <f>IFERROR(SMALL(E5:E364,ROW()-ROW($F$5)+1),"")</f>
        <v>0</v>
      </c>
      <c r="H217">
        <f>IFERROR(SUM(F5:F217),"")</f>
        <v>0</v>
      </c>
      <c r="J217">
        <v>213</v>
      </c>
      <c r="K217" cm="1">
        <f t="array" ref="K217">_xlfn.SWITCH(Charts!$B$3,"average", AVERAGE(INDIRECT(ADDRESS(212+3,K$2+1,,,"Instances") &amp; ":" &amp; ADDRESS(212+3,K$2+1))),"median", MEDIAN(INDIRECT(ADDRESS(212+3,K$2+1,,,"Instances") &amp; ":" &amp; ADDRESS(212+3,K$2+1))),"min", MIN(INDIRECT(ADDRESS(212+3,K$2+1,,,"Instances") &amp; ":" &amp; ADDRESS(212+3,K$2+1))),"max", MAX(INDIRECT(ADDRESS(212+3,K$2+1,,,"Instances") &amp; ":" &amp; ADDRESS(212+3,K$2+1))),"diff", MAX(INDIRECT(ADDRESS(212+3,K$2+1,,,"Instances") &amp; ":" &amp; ADDRESS(212+3,K$2+1)))-MIN(INDIRECT(ADDRESS(212+3,K$2+1,,,"Instances") &amp; ":" &amp; ADDRESS(212+3,K$2+1))))</f>
        <v>0</v>
      </c>
      <c r="L217">
        <f>IFERROR(SMALL(K5:K364,ROW()-ROW($L$5)+1),"")</f>
        <v>0</v>
      </c>
      <c r="N217">
        <f>IFERROR(SUM(L5:L217),"")</f>
        <v>0</v>
      </c>
      <c r="Q217">
        <f>IF(Charts!$B$3="none",E2024,IF(K2024="",NA(),K2024))</f>
        <v>0</v>
      </c>
      <c r="R217">
        <f>IF(Charts!$B$3="none",F2024,IF(L2024="",NA(),L2024))</f>
        <v>0</v>
      </c>
      <c r="S217">
        <f>IF(Charts!$B$3="none",G2024,IF(M2024="",NA(),M2024))</f>
        <v>0</v>
      </c>
      <c r="T217">
        <f>IF(Charts!$B$3="none",H2024,IF(N2024="",NA(),N2024))</f>
        <v>0</v>
      </c>
    </row>
    <row r="218" spans="4:20">
      <c r="D218">
        <v>214</v>
      </c>
      <c r="E218">
        <f>IF(INDIRECT(ADDRESS($D218+2,E$2+1,,,"Instances"))="","",INDIRECT(ADDRESS($D218+2,E$2+1,,,"Instances")))</f>
        <v>0</v>
      </c>
      <c r="F218">
        <f>IFERROR(SMALL(E5:E364,ROW()-ROW($F$5)+1),"")</f>
        <v>0</v>
      </c>
      <c r="H218">
        <f>IFERROR(SUM(F5:F218),"")</f>
        <v>0</v>
      </c>
      <c r="J218">
        <v>214</v>
      </c>
      <c r="K218" cm="1">
        <f t="array" ref="K218">_xlfn.SWITCH(Charts!$B$3,"average", AVERAGE(INDIRECT(ADDRESS(213+3,K$2+1,,,"Instances") &amp; ":" &amp; ADDRESS(213+3,K$2+1))),"median", MEDIAN(INDIRECT(ADDRESS(213+3,K$2+1,,,"Instances") &amp; ":" &amp; ADDRESS(213+3,K$2+1))),"min", MIN(INDIRECT(ADDRESS(213+3,K$2+1,,,"Instances") &amp; ":" &amp; ADDRESS(213+3,K$2+1))),"max", MAX(INDIRECT(ADDRESS(213+3,K$2+1,,,"Instances") &amp; ":" &amp; ADDRESS(213+3,K$2+1))),"diff", MAX(INDIRECT(ADDRESS(213+3,K$2+1,,,"Instances") &amp; ":" &amp; ADDRESS(213+3,K$2+1)))-MIN(INDIRECT(ADDRESS(213+3,K$2+1,,,"Instances") &amp; ":" &amp; ADDRESS(213+3,K$2+1))))</f>
        <v>0</v>
      </c>
      <c r="L218">
        <f>IFERROR(SMALL(K5:K364,ROW()-ROW($L$5)+1),"")</f>
        <v>0</v>
      </c>
      <c r="N218">
        <f>IFERROR(SUM(L5:L218),"")</f>
        <v>0</v>
      </c>
      <c r="Q218">
        <f>IF(Charts!$B$3="none",E2025,IF(K2025="",NA(),K2025))</f>
        <v>0</v>
      </c>
      <c r="R218">
        <f>IF(Charts!$B$3="none",F2025,IF(L2025="",NA(),L2025))</f>
        <v>0</v>
      </c>
      <c r="S218">
        <f>IF(Charts!$B$3="none",G2025,IF(M2025="",NA(),M2025))</f>
        <v>0</v>
      </c>
      <c r="T218">
        <f>IF(Charts!$B$3="none",H2025,IF(N2025="",NA(),N2025))</f>
        <v>0</v>
      </c>
    </row>
    <row r="219" spans="4:20">
      <c r="D219">
        <v>215</v>
      </c>
      <c r="E219">
        <f>IF(INDIRECT(ADDRESS($D219+2,E$2+1,,,"Instances"))="","",INDIRECT(ADDRESS($D219+2,E$2+1,,,"Instances")))</f>
        <v>0</v>
      </c>
      <c r="F219">
        <f>IFERROR(SMALL(E5:E364,ROW()-ROW($F$5)+1),"")</f>
        <v>0</v>
      </c>
      <c r="H219">
        <f>IFERROR(SUM(F5:F219),"")</f>
        <v>0</v>
      </c>
      <c r="J219">
        <v>215</v>
      </c>
      <c r="K219" cm="1">
        <f t="array" ref="K219">_xlfn.SWITCH(Charts!$B$3,"average", AVERAGE(INDIRECT(ADDRESS(214+3,K$2+1,,,"Instances") &amp; ":" &amp; ADDRESS(214+3,K$2+1))),"median", MEDIAN(INDIRECT(ADDRESS(214+3,K$2+1,,,"Instances") &amp; ":" &amp; ADDRESS(214+3,K$2+1))),"min", MIN(INDIRECT(ADDRESS(214+3,K$2+1,,,"Instances") &amp; ":" &amp; ADDRESS(214+3,K$2+1))),"max", MAX(INDIRECT(ADDRESS(214+3,K$2+1,,,"Instances") &amp; ":" &amp; ADDRESS(214+3,K$2+1))),"diff", MAX(INDIRECT(ADDRESS(214+3,K$2+1,,,"Instances") &amp; ":" &amp; ADDRESS(214+3,K$2+1)))-MIN(INDIRECT(ADDRESS(214+3,K$2+1,,,"Instances") &amp; ":" &amp; ADDRESS(214+3,K$2+1))))</f>
        <v>0</v>
      </c>
      <c r="L219">
        <f>IFERROR(SMALL(K5:K364,ROW()-ROW($L$5)+1),"")</f>
        <v>0</v>
      </c>
      <c r="N219">
        <f>IFERROR(SUM(L5:L219),"")</f>
        <v>0</v>
      </c>
      <c r="Q219">
        <f>IF(Charts!$B$3="none",E2026,IF(K2026="",NA(),K2026))</f>
        <v>0</v>
      </c>
      <c r="R219">
        <f>IF(Charts!$B$3="none",F2026,IF(L2026="",NA(),L2026))</f>
        <v>0</v>
      </c>
      <c r="S219">
        <f>IF(Charts!$B$3="none",G2026,IF(M2026="",NA(),M2026))</f>
        <v>0</v>
      </c>
      <c r="T219">
        <f>IF(Charts!$B$3="none",H2026,IF(N2026="",NA(),N2026))</f>
        <v>0</v>
      </c>
    </row>
    <row r="220" spans="4:20">
      <c r="D220">
        <v>216</v>
      </c>
      <c r="E220">
        <f>IF(INDIRECT(ADDRESS($D220+2,E$2+1,,,"Instances"))="","",INDIRECT(ADDRESS($D220+2,E$2+1,,,"Instances")))</f>
        <v>0</v>
      </c>
      <c r="F220">
        <f>IFERROR(SMALL(E5:E364,ROW()-ROW($F$5)+1),"")</f>
        <v>0</v>
      </c>
      <c r="H220">
        <f>IFERROR(SUM(F5:F220),"")</f>
        <v>0</v>
      </c>
      <c r="J220">
        <v>216</v>
      </c>
      <c r="K220" cm="1">
        <f t="array" ref="K220">_xlfn.SWITCH(Charts!$B$3,"average", AVERAGE(INDIRECT(ADDRESS(215+3,K$2+1,,,"Instances") &amp; ":" &amp; ADDRESS(215+3,K$2+1))),"median", MEDIAN(INDIRECT(ADDRESS(215+3,K$2+1,,,"Instances") &amp; ":" &amp; ADDRESS(215+3,K$2+1))),"min", MIN(INDIRECT(ADDRESS(215+3,K$2+1,,,"Instances") &amp; ":" &amp; ADDRESS(215+3,K$2+1))),"max", MAX(INDIRECT(ADDRESS(215+3,K$2+1,,,"Instances") &amp; ":" &amp; ADDRESS(215+3,K$2+1))),"diff", MAX(INDIRECT(ADDRESS(215+3,K$2+1,,,"Instances") &amp; ":" &amp; ADDRESS(215+3,K$2+1)))-MIN(INDIRECT(ADDRESS(215+3,K$2+1,,,"Instances") &amp; ":" &amp; ADDRESS(215+3,K$2+1))))</f>
        <v>0</v>
      </c>
      <c r="L220">
        <f>IFERROR(SMALL(K5:K364,ROW()-ROW($L$5)+1),"")</f>
        <v>0</v>
      </c>
      <c r="N220">
        <f>IFERROR(SUM(L5:L220),"")</f>
        <v>0</v>
      </c>
      <c r="Q220">
        <f>IF(Charts!$B$3="none",E2027,IF(K2027="",NA(),K2027))</f>
        <v>0</v>
      </c>
      <c r="R220">
        <f>IF(Charts!$B$3="none",F2027,IF(L2027="",NA(),L2027))</f>
        <v>0</v>
      </c>
      <c r="S220">
        <f>IF(Charts!$B$3="none",G2027,IF(M2027="",NA(),M2027))</f>
        <v>0</v>
      </c>
      <c r="T220">
        <f>IF(Charts!$B$3="none",H2027,IF(N2027="",NA(),N2027))</f>
        <v>0</v>
      </c>
    </row>
    <row r="221" spans="4:20">
      <c r="D221">
        <v>217</v>
      </c>
      <c r="E221">
        <f>IF(INDIRECT(ADDRESS($D221+2,E$2+1,,,"Instances"))="","",INDIRECT(ADDRESS($D221+2,E$2+1,,,"Instances")))</f>
        <v>0</v>
      </c>
      <c r="F221">
        <f>IFERROR(SMALL(E5:E364,ROW()-ROW($F$5)+1),"")</f>
        <v>0</v>
      </c>
      <c r="H221">
        <f>IFERROR(SUM(F5:F221),"")</f>
        <v>0</v>
      </c>
      <c r="J221">
        <v>217</v>
      </c>
      <c r="K221" cm="1">
        <f t="array" ref="K221">_xlfn.SWITCH(Charts!$B$3,"average", AVERAGE(INDIRECT(ADDRESS(216+3,K$2+1,,,"Instances") &amp; ":" &amp; ADDRESS(216+3,K$2+1))),"median", MEDIAN(INDIRECT(ADDRESS(216+3,K$2+1,,,"Instances") &amp; ":" &amp; ADDRESS(216+3,K$2+1))),"min", MIN(INDIRECT(ADDRESS(216+3,K$2+1,,,"Instances") &amp; ":" &amp; ADDRESS(216+3,K$2+1))),"max", MAX(INDIRECT(ADDRESS(216+3,K$2+1,,,"Instances") &amp; ":" &amp; ADDRESS(216+3,K$2+1))),"diff", MAX(INDIRECT(ADDRESS(216+3,K$2+1,,,"Instances") &amp; ":" &amp; ADDRESS(216+3,K$2+1)))-MIN(INDIRECT(ADDRESS(216+3,K$2+1,,,"Instances") &amp; ":" &amp; ADDRESS(216+3,K$2+1))))</f>
        <v>0</v>
      </c>
      <c r="L221">
        <f>IFERROR(SMALL(K5:K364,ROW()-ROW($L$5)+1),"")</f>
        <v>0</v>
      </c>
      <c r="N221">
        <f>IFERROR(SUM(L5:L221),"")</f>
        <v>0</v>
      </c>
      <c r="Q221">
        <f>IF(Charts!$B$3="none",E2028,IF(K2028="",NA(),K2028))</f>
        <v>0</v>
      </c>
      <c r="R221">
        <f>IF(Charts!$B$3="none",F2028,IF(L2028="",NA(),L2028))</f>
        <v>0</v>
      </c>
      <c r="S221">
        <f>IF(Charts!$B$3="none",G2028,IF(M2028="",NA(),M2028))</f>
        <v>0</v>
      </c>
      <c r="T221">
        <f>IF(Charts!$B$3="none",H2028,IF(N2028="",NA(),N2028))</f>
        <v>0</v>
      </c>
    </row>
    <row r="222" spans="4:20">
      <c r="D222">
        <v>218</v>
      </c>
      <c r="E222">
        <f>IF(INDIRECT(ADDRESS($D222+2,E$2+1,,,"Instances"))="","",INDIRECT(ADDRESS($D222+2,E$2+1,,,"Instances")))</f>
        <v>0</v>
      </c>
      <c r="F222">
        <f>IFERROR(SMALL(E5:E364,ROW()-ROW($F$5)+1),"")</f>
        <v>0</v>
      </c>
      <c r="H222">
        <f>IFERROR(SUM(F5:F222),"")</f>
        <v>0</v>
      </c>
      <c r="J222">
        <v>218</v>
      </c>
      <c r="K222" cm="1">
        <f t="array" ref="K222">_xlfn.SWITCH(Charts!$B$3,"average", AVERAGE(INDIRECT(ADDRESS(217+3,K$2+1,,,"Instances") &amp; ":" &amp; ADDRESS(217+3,K$2+1))),"median", MEDIAN(INDIRECT(ADDRESS(217+3,K$2+1,,,"Instances") &amp; ":" &amp; ADDRESS(217+3,K$2+1))),"min", MIN(INDIRECT(ADDRESS(217+3,K$2+1,,,"Instances") &amp; ":" &amp; ADDRESS(217+3,K$2+1))),"max", MAX(INDIRECT(ADDRESS(217+3,K$2+1,,,"Instances") &amp; ":" &amp; ADDRESS(217+3,K$2+1))),"diff", MAX(INDIRECT(ADDRESS(217+3,K$2+1,,,"Instances") &amp; ":" &amp; ADDRESS(217+3,K$2+1)))-MIN(INDIRECT(ADDRESS(217+3,K$2+1,,,"Instances") &amp; ":" &amp; ADDRESS(217+3,K$2+1))))</f>
        <v>0</v>
      </c>
      <c r="L222">
        <f>IFERROR(SMALL(K5:K364,ROW()-ROW($L$5)+1),"")</f>
        <v>0</v>
      </c>
      <c r="N222">
        <f>IFERROR(SUM(L5:L222),"")</f>
        <v>0</v>
      </c>
      <c r="Q222">
        <f>IF(Charts!$B$3="none",E2029,IF(K2029="",NA(),K2029))</f>
        <v>0</v>
      </c>
      <c r="R222">
        <f>IF(Charts!$B$3="none",F2029,IF(L2029="",NA(),L2029))</f>
        <v>0</v>
      </c>
      <c r="S222">
        <f>IF(Charts!$B$3="none",G2029,IF(M2029="",NA(),M2029))</f>
        <v>0</v>
      </c>
      <c r="T222">
        <f>IF(Charts!$B$3="none",H2029,IF(N2029="",NA(),N2029))</f>
        <v>0</v>
      </c>
    </row>
    <row r="223" spans="4:20">
      <c r="D223">
        <v>219</v>
      </c>
      <c r="E223">
        <f>IF(INDIRECT(ADDRESS($D223+2,E$2+1,,,"Instances"))="","",INDIRECT(ADDRESS($D223+2,E$2+1,,,"Instances")))</f>
        <v>0</v>
      </c>
      <c r="F223">
        <f>IFERROR(SMALL(E5:E364,ROW()-ROW($F$5)+1),"")</f>
        <v>0</v>
      </c>
      <c r="H223">
        <f>IFERROR(SUM(F5:F223),"")</f>
        <v>0</v>
      </c>
      <c r="J223">
        <v>219</v>
      </c>
      <c r="K223" cm="1">
        <f t="array" ref="K223">_xlfn.SWITCH(Charts!$B$3,"average", AVERAGE(INDIRECT(ADDRESS(218+3,K$2+1,,,"Instances") &amp; ":" &amp; ADDRESS(218+3,K$2+1))),"median", MEDIAN(INDIRECT(ADDRESS(218+3,K$2+1,,,"Instances") &amp; ":" &amp; ADDRESS(218+3,K$2+1))),"min", MIN(INDIRECT(ADDRESS(218+3,K$2+1,,,"Instances") &amp; ":" &amp; ADDRESS(218+3,K$2+1))),"max", MAX(INDIRECT(ADDRESS(218+3,K$2+1,,,"Instances") &amp; ":" &amp; ADDRESS(218+3,K$2+1))),"diff", MAX(INDIRECT(ADDRESS(218+3,K$2+1,,,"Instances") &amp; ":" &amp; ADDRESS(218+3,K$2+1)))-MIN(INDIRECT(ADDRESS(218+3,K$2+1,,,"Instances") &amp; ":" &amp; ADDRESS(218+3,K$2+1))))</f>
        <v>0</v>
      </c>
      <c r="L223">
        <f>IFERROR(SMALL(K5:K364,ROW()-ROW($L$5)+1),"")</f>
        <v>0</v>
      </c>
      <c r="N223">
        <f>IFERROR(SUM(L5:L223),"")</f>
        <v>0</v>
      </c>
      <c r="Q223">
        <f>IF(Charts!$B$3="none",E2030,IF(K2030="",NA(),K2030))</f>
        <v>0</v>
      </c>
      <c r="R223">
        <f>IF(Charts!$B$3="none",F2030,IF(L2030="",NA(),L2030))</f>
        <v>0</v>
      </c>
      <c r="S223">
        <f>IF(Charts!$B$3="none",G2030,IF(M2030="",NA(),M2030))</f>
        <v>0</v>
      </c>
      <c r="T223">
        <f>IF(Charts!$B$3="none",H2030,IF(N2030="",NA(),N2030))</f>
        <v>0</v>
      </c>
    </row>
    <row r="224" spans="4:20">
      <c r="D224">
        <v>220</v>
      </c>
      <c r="E224">
        <f>IF(INDIRECT(ADDRESS($D224+2,E$2+1,,,"Instances"))="","",INDIRECT(ADDRESS($D224+2,E$2+1,,,"Instances")))</f>
        <v>0</v>
      </c>
      <c r="F224">
        <f>IFERROR(SMALL(E5:E364,ROW()-ROW($F$5)+1),"")</f>
        <v>0</v>
      </c>
      <c r="H224">
        <f>IFERROR(SUM(F5:F224),"")</f>
        <v>0</v>
      </c>
      <c r="J224">
        <v>220</v>
      </c>
      <c r="K224" cm="1">
        <f t="array" ref="K224">_xlfn.SWITCH(Charts!$B$3,"average", AVERAGE(INDIRECT(ADDRESS(219+3,K$2+1,,,"Instances") &amp; ":" &amp; ADDRESS(219+3,K$2+1))),"median", MEDIAN(INDIRECT(ADDRESS(219+3,K$2+1,,,"Instances") &amp; ":" &amp; ADDRESS(219+3,K$2+1))),"min", MIN(INDIRECT(ADDRESS(219+3,K$2+1,,,"Instances") &amp; ":" &amp; ADDRESS(219+3,K$2+1))),"max", MAX(INDIRECT(ADDRESS(219+3,K$2+1,,,"Instances") &amp; ":" &amp; ADDRESS(219+3,K$2+1))),"diff", MAX(INDIRECT(ADDRESS(219+3,K$2+1,,,"Instances") &amp; ":" &amp; ADDRESS(219+3,K$2+1)))-MIN(INDIRECT(ADDRESS(219+3,K$2+1,,,"Instances") &amp; ":" &amp; ADDRESS(219+3,K$2+1))))</f>
        <v>0</v>
      </c>
      <c r="L224">
        <f>IFERROR(SMALL(K5:K364,ROW()-ROW($L$5)+1),"")</f>
        <v>0</v>
      </c>
      <c r="N224">
        <f>IFERROR(SUM(L5:L224),"")</f>
        <v>0</v>
      </c>
      <c r="Q224">
        <f>IF(Charts!$B$3="none",E2031,IF(K2031="",NA(),K2031))</f>
        <v>0</v>
      </c>
      <c r="R224">
        <f>IF(Charts!$B$3="none",F2031,IF(L2031="",NA(),L2031))</f>
        <v>0</v>
      </c>
      <c r="S224">
        <f>IF(Charts!$B$3="none",G2031,IF(M2031="",NA(),M2031))</f>
        <v>0</v>
      </c>
      <c r="T224">
        <f>IF(Charts!$B$3="none",H2031,IF(N2031="",NA(),N2031))</f>
        <v>0</v>
      </c>
    </row>
    <row r="225" spans="4:20">
      <c r="D225">
        <v>221</v>
      </c>
      <c r="E225">
        <f>IF(INDIRECT(ADDRESS($D225+2,E$2+1,,,"Instances"))="","",INDIRECT(ADDRESS($D225+2,E$2+1,,,"Instances")))</f>
        <v>0</v>
      </c>
      <c r="F225">
        <f>IFERROR(SMALL(E5:E364,ROW()-ROW($F$5)+1),"")</f>
        <v>0</v>
      </c>
      <c r="H225">
        <f>IFERROR(SUM(F5:F225),"")</f>
        <v>0</v>
      </c>
      <c r="J225">
        <v>221</v>
      </c>
      <c r="K225" cm="1">
        <f t="array" ref="K225">_xlfn.SWITCH(Charts!$B$3,"average", AVERAGE(INDIRECT(ADDRESS(220+3,K$2+1,,,"Instances") &amp; ":" &amp; ADDRESS(220+3,K$2+1))),"median", MEDIAN(INDIRECT(ADDRESS(220+3,K$2+1,,,"Instances") &amp; ":" &amp; ADDRESS(220+3,K$2+1))),"min", MIN(INDIRECT(ADDRESS(220+3,K$2+1,,,"Instances") &amp; ":" &amp; ADDRESS(220+3,K$2+1))),"max", MAX(INDIRECT(ADDRESS(220+3,K$2+1,,,"Instances") &amp; ":" &amp; ADDRESS(220+3,K$2+1))),"diff", MAX(INDIRECT(ADDRESS(220+3,K$2+1,,,"Instances") &amp; ":" &amp; ADDRESS(220+3,K$2+1)))-MIN(INDIRECT(ADDRESS(220+3,K$2+1,,,"Instances") &amp; ":" &amp; ADDRESS(220+3,K$2+1))))</f>
        <v>0</v>
      </c>
      <c r="L225">
        <f>IFERROR(SMALL(K5:K364,ROW()-ROW($L$5)+1),"")</f>
        <v>0</v>
      </c>
      <c r="N225">
        <f>IFERROR(SUM(L5:L225),"")</f>
        <v>0</v>
      </c>
      <c r="Q225">
        <f>IF(Charts!$B$3="none",E2032,IF(K2032="",NA(),K2032))</f>
        <v>0</v>
      </c>
      <c r="R225">
        <f>IF(Charts!$B$3="none",F2032,IF(L2032="",NA(),L2032))</f>
        <v>0</v>
      </c>
      <c r="S225">
        <f>IF(Charts!$B$3="none",G2032,IF(M2032="",NA(),M2032))</f>
        <v>0</v>
      </c>
      <c r="T225">
        <f>IF(Charts!$B$3="none",H2032,IF(N2032="",NA(),N2032))</f>
        <v>0</v>
      </c>
    </row>
    <row r="226" spans="4:20">
      <c r="D226">
        <v>222</v>
      </c>
      <c r="E226">
        <f>IF(INDIRECT(ADDRESS($D226+2,E$2+1,,,"Instances"))="","",INDIRECT(ADDRESS($D226+2,E$2+1,,,"Instances")))</f>
        <v>0</v>
      </c>
      <c r="F226">
        <f>IFERROR(SMALL(E5:E364,ROW()-ROW($F$5)+1),"")</f>
        <v>0</v>
      </c>
      <c r="H226">
        <f>IFERROR(SUM(F5:F226),"")</f>
        <v>0</v>
      </c>
      <c r="J226">
        <v>222</v>
      </c>
      <c r="K226" cm="1">
        <f t="array" ref="K226">_xlfn.SWITCH(Charts!$B$3,"average", AVERAGE(INDIRECT(ADDRESS(221+3,K$2+1,,,"Instances") &amp; ":" &amp; ADDRESS(221+3,K$2+1))),"median", MEDIAN(INDIRECT(ADDRESS(221+3,K$2+1,,,"Instances") &amp; ":" &amp; ADDRESS(221+3,K$2+1))),"min", MIN(INDIRECT(ADDRESS(221+3,K$2+1,,,"Instances") &amp; ":" &amp; ADDRESS(221+3,K$2+1))),"max", MAX(INDIRECT(ADDRESS(221+3,K$2+1,,,"Instances") &amp; ":" &amp; ADDRESS(221+3,K$2+1))),"diff", MAX(INDIRECT(ADDRESS(221+3,K$2+1,,,"Instances") &amp; ":" &amp; ADDRESS(221+3,K$2+1)))-MIN(INDIRECT(ADDRESS(221+3,K$2+1,,,"Instances") &amp; ":" &amp; ADDRESS(221+3,K$2+1))))</f>
        <v>0</v>
      </c>
      <c r="L226">
        <f>IFERROR(SMALL(K5:K364,ROW()-ROW($L$5)+1),"")</f>
        <v>0</v>
      </c>
      <c r="N226">
        <f>IFERROR(SUM(L5:L226),"")</f>
        <v>0</v>
      </c>
      <c r="Q226">
        <f>IF(Charts!$B$3="none",E2033,IF(K2033="",NA(),K2033))</f>
        <v>0</v>
      </c>
      <c r="R226">
        <f>IF(Charts!$B$3="none",F2033,IF(L2033="",NA(),L2033))</f>
        <v>0</v>
      </c>
      <c r="S226">
        <f>IF(Charts!$B$3="none",G2033,IF(M2033="",NA(),M2033))</f>
        <v>0</v>
      </c>
      <c r="T226">
        <f>IF(Charts!$B$3="none",H2033,IF(N2033="",NA(),N2033))</f>
        <v>0</v>
      </c>
    </row>
    <row r="227" spans="4:20">
      <c r="D227">
        <v>223</v>
      </c>
      <c r="E227">
        <f>IF(INDIRECT(ADDRESS($D227+2,E$2+1,,,"Instances"))="","",INDIRECT(ADDRESS($D227+2,E$2+1,,,"Instances")))</f>
        <v>0</v>
      </c>
      <c r="F227">
        <f>IFERROR(SMALL(E5:E364,ROW()-ROW($F$5)+1),"")</f>
        <v>0</v>
      </c>
      <c r="H227">
        <f>IFERROR(SUM(F5:F227),"")</f>
        <v>0</v>
      </c>
      <c r="J227">
        <v>223</v>
      </c>
      <c r="K227" cm="1">
        <f t="array" ref="K227">_xlfn.SWITCH(Charts!$B$3,"average", AVERAGE(INDIRECT(ADDRESS(222+3,K$2+1,,,"Instances") &amp; ":" &amp; ADDRESS(222+3,K$2+1))),"median", MEDIAN(INDIRECT(ADDRESS(222+3,K$2+1,,,"Instances") &amp; ":" &amp; ADDRESS(222+3,K$2+1))),"min", MIN(INDIRECT(ADDRESS(222+3,K$2+1,,,"Instances") &amp; ":" &amp; ADDRESS(222+3,K$2+1))),"max", MAX(INDIRECT(ADDRESS(222+3,K$2+1,,,"Instances") &amp; ":" &amp; ADDRESS(222+3,K$2+1))),"diff", MAX(INDIRECT(ADDRESS(222+3,K$2+1,,,"Instances") &amp; ":" &amp; ADDRESS(222+3,K$2+1)))-MIN(INDIRECT(ADDRESS(222+3,K$2+1,,,"Instances") &amp; ":" &amp; ADDRESS(222+3,K$2+1))))</f>
        <v>0</v>
      </c>
      <c r="L227">
        <f>IFERROR(SMALL(K5:K364,ROW()-ROW($L$5)+1),"")</f>
        <v>0</v>
      </c>
      <c r="N227">
        <f>IFERROR(SUM(L5:L227),"")</f>
        <v>0</v>
      </c>
      <c r="Q227">
        <f>IF(Charts!$B$3="none",E2034,IF(K2034="",NA(),K2034))</f>
        <v>0</v>
      </c>
      <c r="R227">
        <f>IF(Charts!$B$3="none",F2034,IF(L2034="",NA(),L2034))</f>
        <v>0</v>
      </c>
      <c r="S227">
        <f>IF(Charts!$B$3="none",G2034,IF(M2034="",NA(),M2034))</f>
        <v>0</v>
      </c>
      <c r="T227">
        <f>IF(Charts!$B$3="none",H2034,IF(N2034="",NA(),N2034))</f>
        <v>0</v>
      </c>
    </row>
    <row r="228" spans="4:20">
      <c r="D228">
        <v>224</v>
      </c>
      <c r="E228">
        <f>IF(INDIRECT(ADDRESS($D228+2,E$2+1,,,"Instances"))="","",INDIRECT(ADDRESS($D228+2,E$2+1,,,"Instances")))</f>
        <v>0</v>
      </c>
      <c r="F228">
        <f>IFERROR(SMALL(E5:E364,ROW()-ROW($F$5)+1),"")</f>
        <v>0</v>
      </c>
      <c r="H228">
        <f>IFERROR(SUM(F5:F228),"")</f>
        <v>0</v>
      </c>
      <c r="J228">
        <v>224</v>
      </c>
      <c r="K228" cm="1">
        <f t="array" ref="K228">_xlfn.SWITCH(Charts!$B$3,"average", AVERAGE(INDIRECT(ADDRESS(223+3,K$2+1,,,"Instances") &amp; ":" &amp; ADDRESS(223+3,K$2+1))),"median", MEDIAN(INDIRECT(ADDRESS(223+3,K$2+1,,,"Instances") &amp; ":" &amp; ADDRESS(223+3,K$2+1))),"min", MIN(INDIRECT(ADDRESS(223+3,K$2+1,,,"Instances") &amp; ":" &amp; ADDRESS(223+3,K$2+1))),"max", MAX(INDIRECT(ADDRESS(223+3,K$2+1,,,"Instances") &amp; ":" &amp; ADDRESS(223+3,K$2+1))),"diff", MAX(INDIRECT(ADDRESS(223+3,K$2+1,,,"Instances") &amp; ":" &amp; ADDRESS(223+3,K$2+1)))-MIN(INDIRECT(ADDRESS(223+3,K$2+1,,,"Instances") &amp; ":" &amp; ADDRESS(223+3,K$2+1))))</f>
        <v>0</v>
      </c>
      <c r="L228">
        <f>IFERROR(SMALL(K5:K364,ROW()-ROW($L$5)+1),"")</f>
        <v>0</v>
      </c>
      <c r="N228">
        <f>IFERROR(SUM(L5:L228),"")</f>
        <v>0</v>
      </c>
      <c r="Q228">
        <f>IF(Charts!$B$3="none",E2035,IF(K2035="",NA(),K2035))</f>
        <v>0</v>
      </c>
      <c r="R228">
        <f>IF(Charts!$B$3="none",F2035,IF(L2035="",NA(),L2035))</f>
        <v>0</v>
      </c>
      <c r="S228">
        <f>IF(Charts!$B$3="none",G2035,IF(M2035="",NA(),M2035))</f>
        <v>0</v>
      </c>
      <c r="T228">
        <f>IF(Charts!$B$3="none",H2035,IF(N2035="",NA(),N2035))</f>
        <v>0</v>
      </c>
    </row>
    <row r="229" spans="4:20">
      <c r="D229">
        <v>225</v>
      </c>
      <c r="E229">
        <f>IF(INDIRECT(ADDRESS($D229+2,E$2+1,,,"Instances"))="","",INDIRECT(ADDRESS($D229+2,E$2+1,,,"Instances")))</f>
        <v>0</v>
      </c>
      <c r="F229">
        <f>IFERROR(SMALL(E5:E364,ROW()-ROW($F$5)+1),"")</f>
        <v>0</v>
      </c>
      <c r="H229">
        <f>IFERROR(SUM(F5:F229),"")</f>
        <v>0</v>
      </c>
      <c r="J229">
        <v>225</v>
      </c>
      <c r="K229" cm="1">
        <f t="array" ref="K229">_xlfn.SWITCH(Charts!$B$3,"average", AVERAGE(INDIRECT(ADDRESS(224+3,K$2+1,,,"Instances") &amp; ":" &amp; ADDRESS(224+3,K$2+1))),"median", MEDIAN(INDIRECT(ADDRESS(224+3,K$2+1,,,"Instances") &amp; ":" &amp; ADDRESS(224+3,K$2+1))),"min", MIN(INDIRECT(ADDRESS(224+3,K$2+1,,,"Instances") &amp; ":" &amp; ADDRESS(224+3,K$2+1))),"max", MAX(INDIRECT(ADDRESS(224+3,K$2+1,,,"Instances") &amp; ":" &amp; ADDRESS(224+3,K$2+1))),"diff", MAX(INDIRECT(ADDRESS(224+3,K$2+1,,,"Instances") &amp; ":" &amp; ADDRESS(224+3,K$2+1)))-MIN(INDIRECT(ADDRESS(224+3,K$2+1,,,"Instances") &amp; ":" &amp; ADDRESS(224+3,K$2+1))))</f>
        <v>0</v>
      </c>
      <c r="L229">
        <f>IFERROR(SMALL(K5:K364,ROW()-ROW($L$5)+1),"")</f>
        <v>0</v>
      </c>
      <c r="N229">
        <f>IFERROR(SUM(L5:L229),"")</f>
        <v>0</v>
      </c>
      <c r="Q229">
        <f>IF(Charts!$B$3="none",E2036,IF(K2036="",NA(),K2036))</f>
        <v>0</v>
      </c>
      <c r="R229">
        <f>IF(Charts!$B$3="none",F2036,IF(L2036="",NA(),L2036))</f>
        <v>0</v>
      </c>
      <c r="S229">
        <f>IF(Charts!$B$3="none",G2036,IF(M2036="",NA(),M2036))</f>
        <v>0</v>
      </c>
      <c r="T229">
        <f>IF(Charts!$B$3="none",H2036,IF(N2036="",NA(),N2036))</f>
        <v>0</v>
      </c>
    </row>
    <row r="230" spans="4:20">
      <c r="D230">
        <v>226</v>
      </c>
      <c r="E230">
        <f>IF(INDIRECT(ADDRESS($D230+2,E$2+1,,,"Instances"))="","",INDIRECT(ADDRESS($D230+2,E$2+1,,,"Instances")))</f>
        <v>0</v>
      </c>
      <c r="F230">
        <f>IFERROR(SMALL(E5:E364,ROW()-ROW($F$5)+1),"")</f>
        <v>0</v>
      </c>
      <c r="H230">
        <f>IFERROR(SUM(F5:F230),"")</f>
        <v>0</v>
      </c>
      <c r="J230">
        <v>226</v>
      </c>
      <c r="K230" cm="1">
        <f t="array" ref="K230">_xlfn.SWITCH(Charts!$B$3,"average", AVERAGE(INDIRECT(ADDRESS(225+3,K$2+1,,,"Instances") &amp; ":" &amp; ADDRESS(225+3,K$2+1))),"median", MEDIAN(INDIRECT(ADDRESS(225+3,K$2+1,,,"Instances") &amp; ":" &amp; ADDRESS(225+3,K$2+1))),"min", MIN(INDIRECT(ADDRESS(225+3,K$2+1,,,"Instances") &amp; ":" &amp; ADDRESS(225+3,K$2+1))),"max", MAX(INDIRECT(ADDRESS(225+3,K$2+1,,,"Instances") &amp; ":" &amp; ADDRESS(225+3,K$2+1))),"diff", MAX(INDIRECT(ADDRESS(225+3,K$2+1,,,"Instances") &amp; ":" &amp; ADDRESS(225+3,K$2+1)))-MIN(INDIRECT(ADDRESS(225+3,K$2+1,,,"Instances") &amp; ":" &amp; ADDRESS(225+3,K$2+1))))</f>
        <v>0</v>
      </c>
      <c r="L230">
        <f>IFERROR(SMALL(K5:K364,ROW()-ROW($L$5)+1),"")</f>
        <v>0</v>
      </c>
      <c r="N230">
        <f>IFERROR(SUM(L5:L230),"")</f>
        <v>0</v>
      </c>
      <c r="Q230">
        <f>IF(Charts!$B$3="none",E2037,IF(K2037="",NA(),K2037))</f>
        <v>0</v>
      </c>
      <c r="R230">
        <f>IF(Charts!$B$3="none",F2037,IF(L2037="",NA(),L2037))</f>
        <v>0</v>
      </c>
      <c r="S230">
        <f>IF(Charts!$B$3="none",G2037,IF(M2037="",NA(),M2037))</f>
        <v>0</v>
      </c>
      <c r="T230">
        <f>IF(Charts!$B$3="none",H2037,IF(N2037="",NA(),N2037))</f>
        <v>0</v>
      </c>
    </row>
    <row r="231" spans="4:20">
      <c r="D231">
        <v>227</v>
      </c>
      <c r="E231">
        <f>IF(INDIRECT(ADDRESS($D231+2,E$2+1,,,"Instances"))="","",INDIRECT(ADDRESS($D231+2,E$2+1,,,"Instances")))</f>
        <v>0</v>
      </c>
      <c r="F231">
        <f>IFERROR(SMALL(E5:E364,ROW()-ROW($F$5)+1),"")</f>
        <v>0</v>
      </c>
      <c r="H231">
        <f>IFERROR(SUM(F5:F231),"")</f>
        <v>0</v>
      </c>
      <c r="J231">
        <v>227</v>
      </c>
      <c r="K231" cm="1">
        <f t="array" ref="K231">_xlfn.SWITCH(Charts!$B$3,"average", AVERAGE(INDIRECT(ADDRESS(226+3,K$2+1,,,"Instances") &amp; ":" &amp; ADDRESS(226+3,K$2+1))),"median", MEDIAN(INDIRECT(ADDRESS(226+3,K$2+1,,,"Instances") &amp; ":" &amp; ADDRESS(226+3,K$2+1))),"min", MIN(INDIRECT(ADDRESS(226+3,K$2+1,,,"Instances") &amp; ":" &amp; ADDRESS(226+3,K$2+1))),"max", MAX(INDIRECT(ADDRESS(226+3,K$2+1,,,"Instances") &amp; ":" &amp; ADDRESS(226+3,K$2+1))),"diff", MAX(INDIRECT(ADDRESS(226+3,K$2+1,,,"Instances") &amp; ":" &amp; ADDRESS(226+3,K$2+1)))-MIN(INDIRECT(ADDRESS(226+3,K$2+1,,,"Instances") &amp; ":" &amp; ADDRESS(226+3,K$2+1))))</f>
        <v>0</v>
      </c>
      <c r="L231">
        <f>IFERROR(SMALL(K5:K364,ROW()-ROW($L$5)+1),"")</f>
        <v>0</v>
      </c>
      <c r="N231">
        <f>IFERROR(SUM(L5:L231),"")</f>
        <v>0</v>
      </c>
      <c r="Q231">
        <f>IF(Charts!$B$3="none",E2038,IF(K2038="",NA(),K2038))</f>
        <v>0</v>
      </c>
      <c r="R231">
        <f>IF(Charts!$B$3="none",F2038,IF(L2038="",NA(),L2038))</f>
        <v>0</v>
      </c>
      <c r="S231">
        <f>IF(Charts!$B$3="none",G2038,IF(M2038="",NA(),M2038))</f>
        <v>0</v>
      </c>
      <c r="T231">
        <f>IF(Charts!$B$3="none",H2038,IF(N2038="",NA(),N2038))</f>
        <v>0</v>
      </c>
    </row>
    <row r="232" spans="4:20">
      <c r="D232">
        <v>228</v>
      </c>
      <c r="E232">
        <f>IF(INDIRECT(ADDRESS($D232+2,E$2+1,,,"Instances"))="","",INDIRECT(ADDRESS($D232+2,E$2+1,,,"Instances")))</f>
        <v>0</v>
      </c>
      <c r="F232">
        <f>IFERROR(SMALL(E5:E364,ROW()-ROW($F$5)+1),"")</f>
        <v>0</v>
      </c>
      <c r="H232">
        <f>IFERROR(SUM(F5:F232),"")</f>
        <v>0</v>
      </c>
      <c r="J232">
        <v>228</v>
      </c>
      <c r="K232" cm="1">
        <f t="array" ref="K232">_xlfn.SWITCH(Charts!$B$3,"average", AVERAGE(INDIRECT(ADDRESS(227+3,K$2+1,,,"Instances") &amp; ":" &amp; ADDRESS(227+3,K$2+1))),"median", MEDIAN(INDIRECT(ADDRESS(227+3,K$2+1,,,"Instances") &amp; ":" &amp; ADDRESS(227+3,K$2+1))),"min", MIN(INDIRECT(ADDRESS(227+3,K$2+1,,,"Instances") &amp; ":" &amp; ADDRESS(227+3,K$2+1))),"max", MAX(INDIRECT(ADDRESS(227+3,K$2+1,,,"Instances") &amp; ":" &amp; ADDRESS(227+3,K$2+1))),"diff", MAX(INDIRECT(ADDRESS(227+3,K$2+1,,,"Instances") &amp; ":" &amp; ADDRESS(227+3,K$2+1)))-MIN(INDIRECT(ADDRESS(227+3,K$2+1,,,"Instances") &amp; ":" &amp; ADDRESS(227+3,K$2+1))))</f>
        <v>0</v>
      </c>
      <c r="L232">
        <f>IFERROR(SMALL(K5:K364,ROW()-ROW($L$5)+1),"")</f>
        <v>0</v>
      </c>
      <c r="N232">
        <f>IFERROR(SUM(L5:L232),"")</f>
        <v>0</v>
      </c>
      <c r="Q232">
        <f>IF(Charts!$B$3="none",E2039,IF(K2039="",NA(),K2039))</f>
        <v>0</v>
      </c>
      <c r="R232">
        <f>IF(Charts!$B$3="none",F2039,IF(L2039="",NA(),L2039))</f>
        <v>0</v>
      </c>
      <c r="S232">
        <f>IF(Charts!$B$3="none",G2039,IF(M2039="",NA(),M2039))</f>
        <v>0</v>
      </c>
      <c r="T232">
        <f>IF(Charts!$B$3="none",H2039,IF(N2039="",NA(),N2039))</f>
        <v>0</v>
      </c>
    </row>
    <row r="233" spans="4:20">
      <c r="D233">
        <v>229</v>
      </c>
      <c r="E233">
        <f>IF(INDIRECT(ADDRESS($D233+2,E$2+1,,,"Instances"))="","",INDIRECT(ADDRESS($D233+2,E$2+1,,,"Instances")))</f>
        <v>0</v>
      </c>
      <c r="F233">
        <f>IFERROR(SMALL(E5:E364,ROW()-ROW($F$5)+1),"")</f>
        <v>0</v>
      </c>
      <c r="H233">
        <f>IFERROR(SUM(F5:F233),"")</f>
        <v>0</v>
      </c>
      <c r="J233">
        <v>229</v>
      </c>
      <c r="K233" cm="1">
        <f t="array" ref="K233">_xlfn.SWITCH(Charts!$B$3,"average", AVERAGE(INDIRECT(ADDRESS(228+3,K$2+1,,,"Instances") &amp; ":" &amp; ADDRESS(228+3,K$2+1))),"median", MEDIAN(INDIRECT(ADDRESS(228+3,K$2+1,,,"Instances") &amp; ":" &amp; ADDRESS(228+3,K$2+1))),"min", MIN(INDIRECT(ADDRESS(228+3,K$2+1,,,"Instances") &amp; ":" &amp; ADDRESS(228+3,K$2+1))),"max", MAX(INDIRECT(ADDRESS(228+3,K$2+1,,,"Instances") &amp; ":" &amp; ADDRESS(228+3,K$2+1))),"diff", MAX(INDIRECT(ADDRESS(228+3,K$2+1,,,"Instances") &amp; ":" &amp; ADDRESS(228+3,K$2+1)))-MIN(INDIRECT(ADDRESS(228+3,K$2+1,,,"Instances") &amp; ":" &amp; ADDRESS(228+3,K$2+1))))</f>
        <v>0</v>
      </c>
      <c r="L233">
        <f>IFERROR(SMALL(K5:K364,ROW()-ROW($L$5)+1),"")</f>
        <v>0</v>
      </c>
      <c r="N233">
        <f>IFERROR(SUM(L5:L233),"")</f>
        <v>0</v>
      </c>
      <c r="Q233">
        <f>IF(Charts!$B$3="none",E2040,IF(K2040="",NA(),K2040))</f>
        <v>0</v>
      </c>
      <c r="R233">
        <f>IF(Charts!$B$3="none",F2040,IF(L2040="",NA(),L2040))</f>
        <v>0</v>
      </c>
      <c r="S233">
        <f>IF(Charts!$B$3="none",G2040,IF(M2040="",NA(),M2040))</f>
        <v>0</v>
      </c>
      <c r="T233">
        <f>IF(Charts!$B$3="none",H2040,IF(N2040="",NA(),N2040))</f>
        <v>0</v>
      </c>
    </row>
    <row r="234" spans="4:20">
      <c r="D234">
        <v>230</v>
      </c>
      <c r="E234">
        <f>IF(INDIRECT(ADDRESS($D234+2,E$2+1,,,"Instances"))="","",INDIRECT(ADDRESS($D234+2,E$2+1,,,"Instances")))</f>
        <v>0</v>
      </c>
      <c r="F234">
        <f>IFERROR(SMALL(E5:E364,ROW()-ROW($F$5)+1),"")</f>
        <v>0</v>
      </c>
      <c r="H234">
        <f>IFERROR(SUM(F5:F234),"")</f>
        <v>0</v>
      </c>
      <c r="J234">
        <v>230</v>
      </c>
      <c r="K234" cm="1">
        <f t="array" ref="K234">_xlfn.SWITCH(Charts!$B$3,"average", AVERAGE(INDIRECT(ADDRESS(229+3,K$2+1,,,"Instances") &amp; ":" &amp; ADDRESS(229+3,K$2+1))),"median", MEDIAN(INDIRECT(ADDRESS(229+3,K$2+1,,,"Instances") &amp; ":" &amp; ADDRESS(229+3,K$2+1))),"min", MIN(INDIRECT(ADDRESS(229+3,K$2+1,,,"Instances") &amp; ":" &amp; ADDRESS(229+3,K$2+1))),"max", MAX(INDIRECT(ADDRESS(229+3,K$2+1,,,"Instances") &amp; ":" &amp; ADDRESS(229+3,K$2+1))),"diff", MAX(INDIRECT(ADDRESS(229+3,K$2+1,,,"Instances") &amp; ":" &amp; ADDRESS(229+3,K$2+1)))-MIN(INDIRECT(ADDRESS(229+3,K$2+1,,,"Instances") &amp; ":" &amp; ADDRESS(229+3,K$2+1))))</f>
        <v>0</v>
      </c>
      <c r="L234">
        <f>IFERROR(SMALL(K5:K364,ROW()-ROW($L$5)+1),"")</f>
        <v>0</v>
      </c>
      <c r="N234">
        <f>IFERROR(SUM(L5:L234),"")</f>
        <v>0</v>
      </c>
      <c r="Q234">
        <f>IF(Charts!$B$3="none",E2041,IF(K2041="",NA(),K2041))</f>
        <v>0</v>
      </c>
      <c r="R234">
        <f>IF(Charts!$B$3="none",F2041,IF(L2041="",NA(),L2041))</f>
        <v>0</v>
      </c>
      <c r="S234">
        <f>IF(Charts!$B$3="none",G2041,IF(M2041="",NA(),M2041))</f>
        <v>0</v>
      </c>
      <c r="T234">
        <f>IF(Charts!$B$3="none",H2041,IF(N2041="",NA(),N2041))</f>
        <v>0</v>
      </c>
    </row>
    <row r="235" spans="4:20">
      <c r="D235">
        <v>231</v>
      </c>
      <c r="E235">
        <f>IF(INDIRECT(ADDRESS($D235+2,E$2+1,,,"Instances"))="","",INDIRECT(ADDRESS($D235+2,E$2+1,,,"Instances")))</f>
        <v>0</v>
      </c>
      <c r="F235">
        <f>IFERROR(SMALL(E5:E364,ROW()-ROW($F$5)+1),"")</f>
        <v>0</v>
      </c>
      <c r="H235">
        <f>IFERROR(SUM(F5:F235),"")</f>
        <v>0</v>
      </c>
      <c r="J235">
        <v>231</v>
      </c>
      <c r="K235" cm="1">
        <f t="array" ref="K235">_xlfn.SWITCH(Charts!$B$3,"average", AVERAGE(INDIRECT(ADDRESS(230+3,K$2+1,,,"Instances") &amp; ":" &amp; ADDRESS(230+3,K$2+1))),"median", MEDIAN(INDIRECT(ADDRESS(230+3,K$2+1,,,"Instances") &amp; ":" &amp; ADDRESS(230+3,K$2+1))),"min", MIN(INDIRECT(ADDRESS(230+3,K$2+1,,,"Instances") &amp; ":" &amp; ADDRESS(230+3,K$2+1))),"max", MAX(INDIRECT(ADDRESS(230+3,K$2+1,,,"Instances") &amp; ":" &amp; ADDRESS(230+3,K$2+1))),"diff", MAX(INDIRECT(ADDRESS(230+3,K$2+1,,,"Instances") &amp; ":" &amp; ADDRESS(230+3,K$2+1)))-MIN(INDIRECT(ADDRESS(230+3,K$2+1,,,"Instances") &amp; ":" &amp; ADDRESS(230+3,K$2+1))))</f>
        <v>0</v>
      </c>
      <c r="L235">
        <f>IFERROR(SMALL(K5:K364,ROW()-ROW($L$5)+1),"")</f>
        <v>0</v>
      </c>
      <c r="N235">
        <f>IFERROR(SUM(L5:L235),"")</f>
        <v>0</v>
      </c>
      <c r="Q235">
        <f>IF(Charts!$B$3="none",E2042,IF(K2042="",NA(),K2042))</f>
        <v>0</v>
      </c>
      <c r="R235">
        <f>IF(Charts!$B$3="none",F2042,IF(L2042="",NA(),L2042))</f>
        <v>0</v>
      </c>
      <c r="S235">
        <f>IF(Charts!$B$3="none",G2042,IF(M2042="",NA(),M2042))</f>
        <v>0</v>
      </c>
      <c r="T235">
        <f>IF(Charts!$B$3="none",H2042,IF(N2042="",NA(),N2042))</f>
        <v>0</v>
      </c>
    </row>
    <row r="236" spans="4:20">
      <c r="D236">
        <v>232</v>
      </c>
      <c r="E236">
        <f>IF(INDIRECT(ADDRESS($D236+2,E$2+1,,,"Instances"))="","",INDIRECT(ADDRESS($D236+2,E$2+1,,,"Instances")))</f>
        <v>0</v>
      </c>
      <c r="F236">
        <f>IFERROR(SMALL(E5:E364,ROW()-ROW($F$5)+1),"")</f>
        <v>0</v>
      </c>
      <c r="H236">
        <f>IFERROR(SUM(F5:F236),"")</f>
        <v>0</v>
      </c>
      <c r="J236">
        <v>232</v>
      </c>
      <c r="K236" cm="1">
        <f t="array" ref="K236">_xlfn.SWITCH(Charts!$B$3,"average", AVERAGE(INDIRECT(ADDRESS(231+3,K$2+1,,,"Instances") &amp; ":" &amp; ADDRESS(231+3,K$2+1))),"median", MEDIAN(INDIRECT(ADDRESS(231+3,K$2+1,,,"Instances") &amp; ":" &amp; ADDRESS(231+3,K$2+1))),"min", MIN(INDIRECT(ADDRESS(231+3,K$2+1,,,"Instances") &amp; ":" &amp; ADDRESS(231+3,K$2+1))),"max", MAX(INDIRECT(ADDRESS(231+3,K$2+1,,,"Instances") &amp; ":" &amp; ADDRESS(231+3,K$2+1))),"diff", MAX(INDIRECT(ADDRESS(231+3,K$2+1,,,"Instances") &amp; ":" &amp; ADDRESS(231+3,K$2+1)))-MIN(INDIRECT(ADDRESS(231+3,K$2+1,,,"Instances") &amp; ":" &amp; ADDRESS(231+3,K$2+1))))</f>
        <v>0</v>
      </c>
      <c r="L236">
        <f>IFERROR(SMALL(K5:K364,ROW()-ROW($L$5)+1),"")</f>
        <v>0</v>
      </c>
      <c r="N236">
        <f>IFERROR(SUM(L5:L236),"")</f>
        <v>0</v>
      </c>
      <c r="Q236">
        <f>IF(Charts!$B$3="none",E2043,IF(K2043="",NA(),K2043))</f>
        <v>0</v>
      </c>
      <c r="R236">
        <f>IF(Charts!$B$3="none",F2043,IF(L2043="",NA(),L2043))</f>
        <v>0</v>
      </c>
      <c r="S236">
        <f>IF(Charts!$B$3="none",G2043,IF(M2043="",NA(),M2043))</f>
        <v>0</v>
      </c>
      <c r="T236">
        <f>IF(Charts!$B$3="none",H2043,IF(N2043="",NA(),N2043))</f>
        <v>0</v>
      </c>
    </row>
    <row r="237" spans="4:20">
      <c r="D237">
        <v>233</v>
      </c>
      <c r="E237">
        <f>IF(INDIRECT(ADDRESS($D237+2,E$2+1,,,"Instances"))="","",INDIRECT(ADDRESS($D237+2,E$2+1,,,"Instances")))</f>
        <v>0</v>
      </c>
      <c r="F237">
        <f>IFERROR(SMALL(E5:E364,ROW()-ROW($F$5)+1),"")</f>
        <v>0</v>
      </c>
      <c r="H237">
        <f>IFERROR(SUM(F5:F237),"")</f>
        <v>0</v>
      </c>
      <c r="J237">
        <v>233</v>
      </c>
      <c r="K237" cm="1">
        <f t="array" ref="K237">_xlfn.SWITCH(Charts!$B$3,"average", AVERAGE(INDIRECT(ADDRESS(232+3,K$2+1,,,"Instances") &amp; ":" &amp; ADDRESS(232+3,K$2+1))),"median", MEDIAN(INDIRECT(ADDRESS(232+3,K$2+1,,,"Instances") &amp; ":" &amp; ADDRESS(232+3,K$2+1))),"min", MIN(INDIRECT(ADDRESS(232+3,K$2+1,,,"Instances") &amp; ":" &amp; ADDRESS(232+3,K$2+1))),"max", MAX(INDIRECT(ADDRESS(232+3,K$2+1,,,"Instances") &amp; ":" &amp; ADDRESS(232+3,K$2+1))),"diff", MAX(INDIRECT(ADDRESS(232+3,K$2+1,,,"Instances") &amp; ":" &amp; ADDRESS(232+3,K$2+1)))-MIN(INDIRECT(ADDRESS(232+3,K$2+1,,,"Instances") &amp; ":" &amp; ADDRESS(232+3,K$2+1))))</f>
        <v>0</v>
      </c>
      <c r="L237">
        <f>IFERROR(SMALL(K5:K364,ROW()-ROW($L$5)+1),"")</f>
        <v>0</v>
      </c>
      <c r="N237">
        <f>IFERROR(SUM(L5:L237),"")</f>
        <v>0</v>
      </c>
      <c r="Q237">
        <f>IF(Charts!$B$3="none",E2044,IF(K2044="",NA(),K2044))</f>
        <v>0</v>
      </c>
      <c r="R237">
        <f>IF(Charts!$B$3="none",F2044,IF(L2044="",NA(),L2044))</f>
        <v>0</v>
      </c>
      <c r="S237">
        <f>IF(Charts!$B$3="none",G2044,IF(M2044="",NA(),M2044))</f>
        <v>0</v>
      </c>
      <c r="T237">
        <f>IF(Charts!$B$3="none",H2044,IF(N2044="",NA(),N2044))</f>
        <v>0</v>
      </c>
    </row>
    <row r="238" spans="4:20">
      <c r="D238">
        <v>234</v>
      </c>
      <c r="E238">
        <f>IF(INDIRECT(ADDRESS($D238+2,E$2+1,,,"Instances"))="","",INDIRECT(ADDRESS($D238+2,E$2+1,,,"Instances")))</f>
        <v>0</v>
      </c>
      <c r="F238">
        <f>IFERROR(SMALL(E5:E364,ROW()-ROW($F$5)+1),"")</f>
        <v>0</v>
      </c>
      <c r="H238">
        <f>IFERROR(SUM(F5:F238),"")</f>
        <v>0</v>
      </c>
      <c r="J238">
        <v>234</v>
      </c>
      <c r="K238" cm="1">
        <f t="array" ref="K238">_xlfn.SWITCH(Charts!$B$3,"average", AVERAGE(INDIRECT(ADDRESS(233+3,K$2+1,,,"Instances") &amp; ":" &amp; ADDRESS(233+3,K$2+1))),"median", MEDIAN(INDIRECT(ADDRESS(233+3,K$2+1,,,"Instances") &amp; ":" &amp; ADDRESS(233+3,K$2+1))),"min", MIN(INDIRECT(ADDRESS(233+3,K$2+1,,,"Instances") &amp; ":" &amp; ADDRESS(233+3,K$2+1))),"max", MAX(INDIRECT(ADDRESS(233+3,K$2+1,,,"Instances") &amp; ":" &amp; ADDRESS(233+3,K$2+1))),"diff", MAX(INDIRECT(ADDRESS(233+3,K$2+1,,,"Instances") &amp; ":" &amp; ADDRESS(233+3,K$2+1)))-MIN(INDIRECT(ADDRESS(233+3,K$2+1,,,"Instances") &amp; ":" &amp; ADDRESS(233+3,K$2+1))))</f>
        <v>0</v>
      </c>
      <c r="L238">
        <f>IFERROR(SMALL(K5:K364,ROW()-ROW($L$5)+1),"")</f>
        <v>0</v>
      </c>
      <c r="N238">
        <f>IFERROR(SUM(L5:L238),"")</f>
        <v>0</v>
      </c>
      <c r="Q238">
        <f>IF(Charts!$B$3="none",E2045,IF(K2045="",NA(),K2045))</f>
        <v>0</v>
      </c>
      <c r="R238">
        <f>IF(Charts!$B$3="none",F2045,IF(L2045="",NA(),L2045))</f>
        <v>0</v>
      </c>
      <c r="S238">
        <f>IF(Charts!$B$3="none",G2045,IF(M2045="",NA(),M2045))</f>
        <v>0</v>
      </c>
      <c r="T238">
        <f>IF(Charts!$B$3="none",H2045,IF(N2045="",NA(),N2045))</f>
        <v>0</v>
      </c>
    </row>
    <row r="239" spans="4:20">
      <c r="D239">
        <v>235</v>
      </c>
      <c r="E239">
        <f>IF(INDIRECT(ADDRESS($D239+2,E$2+1,,,"Instances"))="","",INDIRECT(ADDRESS($D239+2,E$2+1,,,"Instances")))</f>
        <v>0</v>
      </c>
      <c r="F239">
        <f>IFERROR(SMALL(E5:E364,ROW()-ROW($F$5)+1),"")</f>
        <v>0</v>
      </c>
      <c r="H239">
        <f>IFERROR(SUM(F5:F239),"")</f>
        <v>0</v>
      </c>
      <c r="J239">
        <v>235</v>
      </c>
      <c r="K239" cm="1">
        <f t="array" ref="K239">_xlfn.SWITCH(Charts!$B$3,"average", AVERAGE(INDIRECT(ADDRESS(234+3,K$2+1,,,"Instances") &amp; ":" &amp; ADDRESS(234+3,K$2+1))),"median", MEDIAN(INDIRECT(ADDRESS(234+3,K$2+1,,,"Instances") &amp; ":" &amp; ADDRESS(234+3,K$2+1))),"min", MIN(INDIRECT(ADDRESS(234+3,K$2+1,,,"Instances") &amp; ":" &amp; ADDRESS(234+3,K$2+1))),"max", MAX(INDIRECT(ADDRESS(234+3,K$2+1,,,"Instances") &amp; ":" &amp; ADDRESS(234+3,K$2+1))),"diff", MAX(INDIRECT(ADDRESS(234+3,K$2+1,,,"Instances") &amp; ":" &amp; ADDRESS(234+3,K$2+1)))-MIN(INDIRECT(ADDRESS(234+3,K$2+1,,,"Instances") &amp; ":" &amp; ADDRESS(234+3,K$2+1))))</f>
        <v>0</v>
      </c>
      <c r="L239">
        <f>IFERROR(SMALL(K5:K364,ROW()-ROW($L$5)+1),"")</f>
        <v>0</v>
      </c>
      <c r="N239">
        <f>IFERROR(SUM(L5:L239),"")</f>
        <v>0</v>
      </c>
      <c r="Q239">
        <f>IF(Charts!$B$3="none",E2046,IF(K2046="",NA(),K2046))</f>
        <v>0</v>
      </c>
      <c r="R239">
        <f>IF(Charts!$B$3="none",F2046,IF(L2046="",NA(),L2046))</f>
        <v>0</v>
      </c>
      <c r="S239">
        <f>IF(Charts!$B$3="none",G2046,IF(M2046="",NA(),M2046))</f>
        <v>0</v>
      </c>
      <c r="T239">
        <f>IF(Charts!$B$3="none",H2046,IF(N2046="",NA(),N2046))</f>
        <v>0</v>
      </c>
    </row>
    <row r="240" spans="4:20">
      <c r="D240">
        <v>236</v>
      </c>
      <c r="E240">
        <f>IF(INDIRECT(ADDRESS($D240+2,E$2+1,,,"Instances"))="","",INDIRECT(ADDRESS($D240+2,E$2+1,,,"Instances")))</f>
        <v>0</v>
      </c>
      <c r="F240">
        <f>IFERROR(SMALL(E5:E364,ROW()-ROW($F$5)+1),"")</f>
        <v>0</v>
      </c>
      <c r="H240">
        <f>IFERROR(SUM(F5:F240),"")</f>
        <v>0</v>
      </c>
      <c r="J240">
        <v>236</v>
      </c>
      <c r="K240" cm="1">
        <f t="array" ref="K240">_xlfn.SWITCH(Charts!$B$3,"average", AVERAGE(INDIRECT(ADDRESS(235+3,K$2+1,,,"Instances") &amp; ":" &amp; ADDRESS(235+3,K$2+1))),"median", MEDIAN(INDIRECT(ADDRESS(235+3,K$2+1,,,"Instances") &amp; ":" &amp; ADDRESS(235+3,K$2+1))),"min", MIN(INDIRECT(ADDRESS(235+3,K$2+1,,,"Instances") &amp; ":" &amp; ADDRESS(235+3,K$2+1))),"max", MAX(INDIRECT(ADDRESS(235+3,K$2+1,,,"Instances") &amp; ":" &amp; ADDRESS(235+3,K$2+1))),"diff", MAX(INDIRECT(ADDRESS(235+3,K$2+1,,,"Instances") &amp; ":" &amp; ADDRESS(235+3,K$2+1)))-MIN(INDIRECT(ADDRESS(235+3,K$2+1,,,"Instances") &amp; ":" &amp; ADDRESS(235+3,K$2+1))))</f>
        <v>0</v>
      </c>
      <c r="L240">
        <f>IFERROR(SMALL(K5:K364,ROW()-ROW($L$5)+1),"")</f>
        <v>0</v>
      </c>
      <c r="N240">
        <f>IFERROR(SUM(L5:L240),"")</f>
        <v>0</v>
      </c>
      <c r="Q240">
        <f>IF(Charts!$B$3="none",E2047,IF(K2047="",NA(),K2047))</f>
        <v>0</v>
      </c>
      <c r="R240">
        <f>IF(Charts!$B$3="none",F2047,IF(L2047="",NA(),L2047))</f>
        <v>0</v>
      </c>
      <c r="S240">
        <f>IF(Charts!$B$3="none",G2047,IF(M2047="",NA(),M2047))</f>
        <v>0</v>
      </c>
      <c r="T240">
        <f>IF(Charts!$B$3="none",H2047,IF(N2047="",NA(),N2047))</f>
        <v>0</v>
      </c>
    </row>
    <row r="241" spans="4:20">
      <c r="D241">
        <v>237</v>
      </c>
      <c r="E241">
        <f>IF(INDIRECT(ADDRESS($D241+2,E$2+1,,,"Instances"))="","",INDIRECT(ADDRESS($D241+2,E$2+1,,,"Instances")))</f>
        <v>0</v>
      </c>
      <c r="F241">
        <f>IFERROR(SMALL(E5:E364,ROW()-ROW($F$5)+1),"")</f>
        <v>0</v>
      </c>
      <c r="H241">
        <f>IFERROR(SUM(F5:F241),"")</f>
        <v>0</v>
      </c>
      <c r="J241">
        <v>237</v>
      </c>
      <c r="K241" cm="1">
        <f t="array" ref="K241">_xlfn.SWITCH(Charts!$B$3,"average", AVERAGE(INDIRECT(ADDRESS(236+3,K$2+1,,,"Instances") &amp; ":" &amp; ADDRESS(236+3,K$2+1))),"median", MEDIAN(INDIRECT(ADDRESS(236+3,K$2+1,,,"Instances") &amp; ":" &amp; ADDRESS(236+3,K$2+1))),"min", MIN(INDIRECT(ADDRESS(236+3,K$2+1,,,"Instances") &amp; ":" &amp; ADDRESS(236+3,K$2+1))),"max", MAX(INDIRECT(ADDRESS(236+3,K$2+1,,,"Instances") &amp; ":" &amp; ADDRESS(236+3,K$2+1))),"diff", MAX(INDIRECT(ADDRESS(236+3,K$2+1,,,"Instances") &amp; ":" &amp; ADDRESS(236+3,K$2+1)))-MIN(INDIRECT(ADDRESS(236+3,K$2+1,,,"Instances") &amp; ":" &amp; ADDRESS(236+3,K$2+1))))</f>
        <v>0</v>
      </c>
      <c r="L241">
        <f>IFERROR(SMALL(K5:K364,ROW()-ROW($L$5)+1),"")</f>
        <v>0</v>
      </c>
      <c r="N241">
        <f>IFERROR(SUM(L5:L241),"")</f>
        <v>0</v>
      </c>
      <c r="Q241">
        <f>IF(Charts!$B$3="none",E2048,IF(K2048="",NA(),K2048))</f>
        <v>0</v>
      </c>
      <c r="R241">
        <f>IF(Charts!$B$3="none",F2048,IF(L2048="",NA(),L2048))</f>
        <v>0</v>
      </c>
      <c r="S241">
        <f>IF(Charts!$B$3="none",G2048,IF(M2048="",NA(),M2048))</f>
        <v>0</v>
      </c>
      <c r="T241">
        <f>IF(Charts!$B$3="none",H2048,IF(N2048="",NA(),N2048))</f>
        <v>0</v>
      </c>
    </row>
    <row r="242" spans="4:20">
      <c r="D242">
        <v>238</v>
      </c>
      <c r="E242">
        <f>IF(INDIRECT(ADDRESS($D242+2,E$2+1,,,"Instances"))="","",INDIRECT(ADDRESS($D242+2,E$2+1,,,"Instances")))</f>
        <v>0</v>
      </c>
      <c r="F242">
        <f>IFERROR(SMALL(E5:E364,ROW()-ROW($F$5)+1),"")</f>
        <v>0</v>
      </c>
      <c r="H242">
        <f>IFERROR(SUM(F5:F242),"")</f>
        <v>0</v>
      </c>
      <c r="J242">
        <v>238</v>
      </c>
      <c r="K242" cm="1">
        <f t="array" ref="K242">_xlfn.SWITCH(Charts!$B$3,"average", AVERAGE(INDIRECT(ADDRESS(237+3,K$2+1,,,"Instances") &amp; ":" &amp; ADDRESS(237+3,K$2+1))),"median", MEDIAN(INDIRECT(ADDRESS(237+3,K$2+1,,,"Instances") &amp; ":" &amp; ADDRESS(237+3,K$2+1))),"min", MIN(INDIRECT(ADDRESS(237+3,K$2+1,,,"Instances") &amp; ":" &amp; ADDRESS(237+3,K$2+1))),"max", MAX(INDIRECT(ADDRESS(237+3,K$2+1,,,"Instances") &amp; ":" &amp; ADDRESS(237+3,K$2+1))),"diff", MAX(INDIRECT(ADDRESS(237+3,K$2+1,,,"Instances") &amp; ":" &amp; ADDRESS(237+3,K$2+1)))-MIN(INDIRECT(ADDRESS(237+3,K$2+1,,,"Instances") &amp; ":" &amp; ADDRESS(237+3,K$2+1))))</f>
        <v>0</v>
      </c>
      <c r="L242">
        <f>IFERROR(SMALL(K5:K364,ROW()-ROW($L$5)+1),"")</f>
        <v>0</v>
      </c>
      <c r="N242">
        <f>IFERROR(SUM(L5:L242),"")</f>
        <v>0</v>
      </c>
      <c r="Q242">
        <f>IF(Charts!$B$3="none",E2049,IF(K2049="",NA(),K2049))</f>
        <v>0</v>
      </c>
      <c r="R242">
        <f>IF(Charts!$B$3="none",F2049,IF(L2049="",NA(),L2049))</f>
        <v>0</v>
      </c>
      <c r="S242">
        <f>IF(Charts!$B$3="none",G2049,IF(M2049="",NA(),M2049))</f>
        <v>0</v>
      </c>
      <c r="T242">
        <f>IF(Charts!$B$3="none",H2049,IF(N2049="",NA(),N2049))</f>
        <v>0</v>
      </c>
    </row>
    <row r="243" spans="4:20">
      <c r="D243">
        <v>239</v>
      </c>
      <c r="E243">
        <f>IF(INDIRECT(ADDRESS($D243+2,E$2+1,,,"Instances"))="","",INDIRECT(ADDRESS($D243+2,E$2+1,,,"Instances")))</f>
        <v>0</v>
      </c>
      <c r="F243">
        <f>IFERROR(SMALL(E5:E364,ROW()-ROW($F$5)+1),"")</f>
        <v>0</v>
      </c>
      <c r="H243">
        <f>IFERROR(SUM(F5:F243),"")</f>
        <v>0</v>
      </c>
      <c r="J243">
        <v>239</v>
      </c>
      <c r="K243" cm="1">
        <f t="array" ref="K243">_xlfn.SWITCH(Charts!$B$3,"average", AVERAGE(INDIRECT(ADDRESS(238+3,K$2+1,,,"Instances") &amp; ":" &amp; ADDRESS(238+3,K$2+1))),"median", MEDIAN(INDIRECT(ADDRESS(238+3,K$2+1,,,"Instances") &amp; ":" &amp; ADDRESS(238+3,K$2+1))),"min", MIN(INDIRECT(ADDRESS(238+3,K$2+1,,,"Instances") &amp; ":" &amp; ADDRESS(238+3,K$2+1))),"max", MAX(INDIRECT(ADDRESS(238+3,K$2+1,,,"Instances") &amp; ":" &amp; ADDRESS(238+3,K$2+1))),"diff", MAX(INDIRECT(ADDRESS(238+3,K$2+1,,,"Instances") &amp; ":" &amp; ADDRESS(238+3,K$2+1)))-MIN(INDIRECT(ADDRESS(238+3,K$2+1,,,"Instances") &amp; ":" &amp; ADDRESS(238+3,K$2+1))))</f>
        <v>0</v>
      </c>
      <c r="L243">
        <f>IFERROR(SMALL(K5:K364,ROW()-ROW($L$5)+1),"")</f>
        <v>0</v>
      </c>
      <c r="N243">
        <f>IFERROR(SUM(L5:L243),"")</f>
        <v>0</v>
      </c>
      <c r="Q243">
        <f>IF(Charts!$B$3="none",E2050,IF(K2050="",NA(),K2050))</f>
        <v>0</v>
      </c>
      <c r="R243">
        <f>IF(Charts!$B$3="none",F2050,IF(L2050="",NA(),L2050))</f>
        <v>0</v>
      </c>
      <c r="S243">
        <f>IF(Charts!$B$3="none",G2050,IF(M2050="",NA(),M2050))</f>
        <v>0</v>
      </c>
      <c r="T243">
        <f>IF(Charts!$B$3="none",H2050,IF(N2050="",NA(),N2050))</f>
        <v>0</v>
      </c>
    </row>
    <row r="244" spans="4:20">
      <c r="D244">
        <v>240</v>
      </c>
      <c r="E244">
        <f>IF(INDIRECT(ADDRESS($D244+2,E$2+1,,,"Instances"))="","",INDIRECT(ADDRESS($D244+2,E$2+1,,,"Instances")))</f>
        <v>0</v>
      </c>
      <c r="F244">
        <f>IFERROR(SMALL(E5:E364,ROW()-ROW($F$5)+1),"")</f>
        <v>0</v>
      </c>
      <c r="H244">
        <f>IFERROR(SUM(F5:F244),"")</f>
        <v>0</v>
      </c>
      <c r="J244">
        <v>240</v>
      </c>
      <c r="K244" cm="1">
        <f t="array" ref="K244">_xlfn.SWITCH(Charts!$B$3,"average", AVERAGE(INDIRECT(ADDRESS(239+3,K$2+1,,,"Instances") &amp; ":" &amp; ADDRESS(239+3,K$2+1))),"median", MEDIAN(INDIRECT(ADDRESS(239+3,K$2+1,,,"Instances") &amp; ":" &amp; ADDRESS(239+3,K$2+1))),"min", MIN(INDIRECT(ADDRESS(239+3,K$2+1,,,"Instances") &amp; ":" &amp; ADDRESS(239+3,K$2+1))),"max", MAX(INDIRECT(ADDRESS(239+3,K$2+1,,,"Instances") &amp; ":" &amp; ADDRESS(239+3,K$2+1))),"diff", MAX(INDIRECT(ADDRESS(239+3,K$2+1,,,"Instances") &amp; ":" &amp; ADDRESS(239+3,K$2+1)))-MIN(INDIRECT(ADDRESS(239+3,K$2+1,,,"Instances") &amp; ":" &amp; ADDRESS(239+3,K$2+1))))</f>
        <v>0</v>
      </c>
      <c r="L244">
        <f>IFERROR(SMALL(K5:K364,ROW()-ROW($L$5)+1),"")</f>
        <v>0</v>
      </c>
      <c r="N244">
        <f>IFERROR(SUM(L5:L244),"")</f>
        <v>0</v>
      </c>
      <c r="Q244">
        <f>IF(Charts!$B$3="none",E2051,IF(K2051="",NA(),K2051))</f>
        <v>0</v>
      </c>
      <c r="R244">
        <f>IF(Charts!$B$3="none",F2051,IF(L2051="",NA(),L2051))</f>
        <v>0</v>
      </c>
      <c r="S244">
        <f>IF(Charts!$B$3="none",G2051,IF(M2051="",NA(),M2051))</f>
        <v>0</v>
      </c>
      <c r="T244">
        <f>IF(Charts!$B$3="none",H2051,IF(N2051="",NA(),N2051))</f>
        <v>0</v>
      </c>
    </row>
    <row r="245" spans="4:20">
      <c r="D245">
        <v>241</v>
      </c>
      <c r="E245">
        <f>IF(INDIRECT(ADDRESS($D245+2,E$2+1,,,"Instances"))="","",INDIRECT(ADDRESS($D245+2,E$2+1,,,"Instances")))</f>
        <v>0</v>
      </c>
      <c r="F245">
        <f>IFERROR(SMALL(E5:E364,ROW()-ROW($F$5)+1),"")</f>
        <v>0</v>
      </c>
      <c r="H245">
        <f>IFERROR(SUM(F5:F245),"")</f>
        <v>0</v>
      </c>
      <c r="J245">
        <v>241</v>
      </c>
      <c r="K245" cm="1">
        <f t="array" ref="K245">_xlfn.SWITCH(Charts!$B$3,"average", AVERAGE(INDIRECT(ADDRESS(240+3,K$2+1,,,"Instances") &amp; ":" &amp; ADDRESS(240+3,K$2+1))),"median", MEDIAN(INDIRECT(ADDRESS(240+3,K$2+1,,,"Instances") &amp; ":" &amp; ADDRESS(240+3,K$2+1))),"min", MIN(INDIRECT(ADDRESS(240+3,K$2+1,,,"Instances") &amp; ":" &amp; ADDRESS(240+3,K$2+1))),"max", MAX(INDIRECT(ADDRESS(240+3,K$2+1,,,"Instances") &amp; ":" &amp; ADDRESS(240+3,K$2+1))),"diff", MAX(INDIRECT(ADDRESS(240+3,K$2+1,,,"Instances") &amp; ":" &amp; ADDRESS(240+3,K$2+1)))-MIN(INDIRECT(ADDRESS(240+3,K$2+1,,,"Instances") &amp; ":" &amp; ADDRESS(240+3,K$2+1))))</f>
        <v>0</v>
      </c>
      <c r="L245">
        <f>IFERROR(SMALL(K5:K364,ROW()-ROW($L$5)+1),"")</f>
        <v>0</v>
      </c>
      <c r="N245">
        <f>IFERROR(SUM(L5:L245),"")</f>
        <v>0</v>
      </c>
      <c r="Q245">
        <f>IF(Charts!$B$3="none",E2052,IF(K2052="",NA(),K2052))</f>
        <v>0</v>
      </c>
      <c r="R245">
        <f>IF(Charts!$B$3="none",F2052,IF(L2052="",NA(),L2052))</f>
        <v>0</v>
      </c>
      <c r="S245">
        <f>IF(Charts!$B$3="none",G2052,IF(M2052="",NA(),M2052))</f>
        <v>0</v>
      </c>
      <c r="T245">
        <f>IF(Charts!$B$3="none",H2052,IF(N2052="",NA(),N2052))</f>
        <v>0</v>
      </c>
    </row>
    <row r="246" spans="4:20">
      <c r="D246">
        <v>242</v>
      </c>
      <c r="E246">
        <f>IF(INDIRECT(ADDRESS($D246+2,E$2+1,,,"Instances"))="","",INDIRECT(ADDRESS($D246+2,E$2+1,,,"Instances")))</f>
        <v>0</v>
      </c>
      <c r="F246">
        <f>IFERROR(SMALL(E5:E364,ROW()-ROW($F$5)+1),"")</f>
        <v>0</v>
      </c>
      <c r="H246">
        <f>IFERROR(SUM(F5:F246),"")</f>
        <v>0</v>
      </c>
      <c r="J246">
        <v>242</v>
      </c>
      <c r="K246" cm="1">
        <f t="array" ref="K246">_xlfn.SWITCH(Charts!$B$3,"average", AVERAGE(INDIRECT(ADDRESS(241+3,K$2+1,,,"Instances") &amp; ":" &amp; ADDRESS(241+3,K$2+1))),"median", MEDIAN(INDIRECT(ADDRESS(241+3,K$2+1,,,"Instances") &amp; ":" &amp; ADDRESS(241+3,K$2+1))),"min", MIN(INDIRECT(ADDRESS(241+3,K$2+1,,,"Instances") &amp; ":" &amp; ADDRESS(241+3,K$2+1))),"max", MAX(INDIRECT(ADDRESS(241+3,K$2+1,,,"Instances") &amp; ":" &amp; ADDRESS(241+3,K$2+1))),"diff", MAX(INDIRECT(ADDRESS(241+3,K$2+1,,,"Instances") &amp; ":" &amp; ADDRESS(241+3,K$2+1)))-MIN(INDIRECT(ADDRESS(241+3,K$2+1,,,"Instances") &amp; ":" &amp; ADDRESS(241+3,K$2+1))))</f>
        <v>0</v>
      </c>
      <c r="L246">
        <f>IFERROR(SMALL(K5:K364,ROW()-ROW($L$5)+1),"")</f>
        <v>0</v>
      </c>
      <c r="N246">
        <f>IFERROR(SUM(L5:L246),"")</f>
        <v>0</v>
      </c>
      <c r="Q246">
        <f>IF(Charts!$B$3="none",E2053,IF(K2053="",NA(),K2053))</f>
        <v>0</v>
      </c>
      <c r="R246">
        <f>IF(Charts!$B$3="none",F2053,IF(L2053="",NA(),L2053))</f>
        <v>0</v>
      </c>
      <c r="S246">
        <f>IF(Charts!$B$3="none",G2053,IF(M2053="",NA(),M2053))</f>
        <v>0</v>
      </c>
      <c r="T246">
        <f>IF(Charts!$B$3="none",H2053,IF(N2053="",NA(),N2053))</f>
        <v>0</v>
      </c>
    </row>
    <row r="247" spans="4:20">
      <c r="D247">
        <v>243</v>
      </c>
      <c r="E247">
        <f>IF(INDIRECT(ADDRESS($D247+2,E$2+1,,,"Instances"))="","",INDIRECT(ADDRESS($D247+2,E$2+1,,,"Instances")))</f>
        <v>0</v>
      </c>
      <c r="F247">
        <f>IFERROR(SMALL(E5:E364,ROW()-ROW($F$5)+1),"")</f>
        <v>0</v>
      </c>
      <c r="H247">
        <f>IFERROR(SUM(F5:F247),"")</f>
        <v>0</v>
      </c>
      <c r="J247">
        <v>243</v>
      </c>
      <c r="K247" cm="1">
        <f t="array" ref="K247">_xlfn.SWITCH(Charts!$B$3,"average", AVERAGE(INDIRECT(ADDRESS(242+3,K$2+1,,,"Instances") &amp; ":" &amp; ADDRESS(242+3,K$2+1))),"median", MEDIAN(INDIRECT(ADDRESS(242+3,K$2+1,,,"Instances") &amp; ":" &amp; ADDRESS(242+3,K$2+1))),"min", MIN(INDIRECT(ADDRESS(242+3,K$2+1,,,"Instances") &amp; ":" &amp; ADDRESS(242+3,K$2+1))),"max", MAX(INDIRECT(ADDRESS(242+3,K$2+1,,,"Instances") &amp; ":" &amp; ADDRESS(242+3,K$2+1))),"diff", MAX(INDIRECT(ADDRESS(242+3,K$2+1,,,"Instances") &amp; ":" &amp; ADDRESS(242+3,K$2+1)))-MIN(INDIRECT(ADDRESS(242+3,K$2+1,,,"Instances") &amp; ":" &amp; ADDRESS(242+3,K$2+1))))</f>
        <v>0</v>
      </c>
      <c r="L247">
        <f>IFERROR(SMALL(K5:K364,ROW()-ROW($L$5)+1),"")</f>
        <v>0</v>
      </c>
      <c r="N247">
        <f>IFERROR(SUM(L5:L247),"")</f>
        <v>0</v>
      </c>
      <c r="Q247">
        <f>IF(Charts!$B$3="none",E2054,IF(K2054="",NA(),K2054))</f>
        <v>0</v>
      </c>
      <c r="R247">
        <f>IF(Charts!$B$3="none",F2054,IF(L2054="",NA(),L2054))</f>
        <v>0</v>
      </c>
      <c r="S247">
        <f>IF(Charts!$B$3="none",G2054,IF(M2054="",NA(),M2054))</f>
        <v>0</v>
      </c>
      <c r="T247">
        <f>IF(Charts!$B$3="none",H2054,IF(N2054="",NA(),N2054))</f>
        <v>0</v>
      </c>
    </row>
    <row r="248" spans="4:20">
      <c r="D248">
        <v>244</v>
      </c>
      <c r="E248">
        <f>IF(INDIRECT(ADDRESS($D248+2,E$2+1,,,"Instances"))="","",INDIRECT(ADDRESS($D248+2,E$2+1,,,"Instances")))</f>
        <v>0</v>
      </c>
      <c r="F248">
        <f>IFERROR(SMALL(E5:E364,ROW()-ROW($F$5)+1),"")</f>
        <v>0</v>
      </c>
      <c r="H248">
        <f>IFERROR(SUM(F5:F248),"")</f>
        <v>0</v>
      </c>
      <c r="J248">
        <v>244</v>
      </c>
      <c r="K248" cm="1">
        <f t="array" ref="K248">_xlfn.SWITCH(Charts!$B$3,"average", AVERAGE(INDIRECT(ADDRESS(243+3,K$2+1,,,"Instances") &amp; ":" &amp; ADDRESS(243+3,K$2+1))),"median", MEDIAN(INDIRECT(ADDRESS(243+3,K$2+1,,,"Instances") &amp; ":" &amp; ADDRESS(243+3,K$2+1))),"min", MIN(INDIRECT(ADDRESS(243+3,K$2+1,,,"Instances") &amp; ":" &amp; ADDRESS(243+3,K$2+1))),"max", MAX(INDIRECT(ADDRESS(243+3,K$2+1,,,"Instances") &amp; ":" &amp; ADDRESS(243+3,K$2+1))),"diff", MAX(INDIRECT(ADDRESS(243+3,K$2+1,,,"Instances") &amp; ":" &amp; ADDRESS(243+3,K$2+1)))-MIN(INDIRECT(ADDRESS(243+3,K$2+1,,,"Instances") &amp; ":" &amp; ADDRESS(243+3,K$2+1))))</f>
        <v>0</v>
      </c>
      <c r="L248">
        <f>IFERROR(SMALL(K5:K364,ROW()-ROW($L$5)+1),"")</f>
        <v>0</v>
      </c>
      <c r="N248">
        <f>IFERROR(SUM(L5:L248),"")</f>
        <v>0</v>
      </c>
      <c r="Q248">
        <f>IF(Charts!$B$3="none",E2055,IF(K2055="",NA(),K2055))</f>
        <v>0</v>
      </c>
      <c r="R248">
        <f>IF(Charts!$B$3="none",F2055,IF(L2055="",NA(),L2055))</f>
        <v>0</v>
      </c>
      <c r="S248">
        <f>IF(Charts!$B$3="none",G2055,IF(M2055="",NA(),M2055))</f>
        <v>0</v>
      </c>
      <c r="T248">
        <f>IF(Charts!$B$3="none",H2055,IF(N2055="",NA(),N2055))</f>
        <v>0</v>
      </c>
    </row>
    <row r="249" spans="4:20">
      <c r="D249">
        <v>245</v>
      </c>
      <c r="E249">
        <f>IF(INDIRECT(ADDRESS($D249+2,E$2+1,,,"Instances"))="","",INDIRECT(ADDRESS($D249+2,E$2+1,,,"Instances")))</f>
        <v>0</v>
      </c>
      <c r="F249">
        <f>IFERROR(SMALL(E5:E364,ROW()-ROW($F$5)+1),"")</f>
        <v>0</v>
      </c>
      <c r="H249">
        <f>IFERROR(SUM(F5:F249),"")</f>
        <v>0</v>
      </c>
      <c r="J249">
        <v>245</v>
      </c>
      <c r="K249" cm="1">
        <f t="array" ref="K249">_xlfn.SWITCH(Charts!$B$3,"average", AVERAGE(INDIRECT(ADDRESS(244+3,K$2+1,,,"Instances") &amp; ":" &amp; ADDRESS(244+3,K$2+1))),"median", MEDIAN(INDIRECT(ADDRESS(244+3,K$2+1,,,"Instances") &amp; ":" &amp; ADDRESS(244+3,K$2+1))),"min", MIN(INDIRECT(ADDRESS(244+3,K$2+1,,,"Instances") &amp; ":" &amp; ADDRESS(244+3,K$2+1))),"max", MAX(INDIRECT(ADDRESS(244+3,K$2+1,,,"Instances") &amp; ":" &amp; ADDRESS(244+3,K$2+1))),"diff", MAX(INDIRECT(ADDRESS(244+3,K$2+1,,,"Instances") &amp; ":" &amp; ADDRESS(244+3,K$2+1)))-MIN(INDIRECT(ADDRESS(244+3,K$2+1,,,"Instances") &amp; ":" &amp; ADDRESS(244+3,K$2+1))))</f>
        <v>0</v>
      </c>
      <c r="L249">
        <f>IFERROR(SMALL(K5:K364,ROW()-ROW($L$5)+1),"")</f>
        <v>0</v>
      </c>
      <c r="N249">
        <f>IFERROR(SUM(L5:L249),"")</f>
        <v>0</v>
      </c>
      <c r="Q249">
        <f>IF(Charts!$B$3="none",E2056,IF(K2056="",NA(),K2056))</f>
        <v>0</v>
      </c>
      <c r="R249">
        <f>IF(Charts!$B$3="none",F2056,IF(L2056="",NA(),L2056))</f>
        <v>0</v>
      </c>
      <c r="S249">
        <f>IF(Charts!$B$3="none",G2056,IF(M2056="",NA(),M2056))</f>
        <v>0</v>
      </c>
      <c r="T249">
        <f>IF(Charts!$B$3="none",H2056,IF(N2056="",NA(),N2056))</f>
        <v>0</v>
      </c>
    </row>
    <row r="250" spans="4:20">
      <c r="D250">
        <v>246</v>
      </c>
      <c r="E250">
        <f>IF(INDIRECT(ADDRESS($D250+2,E$2+1,,,"Instances"))="","",INDIRECT(ADDRESS($D250+2,E$2+1,,,"Instances")))</f>
        <v>0</v>
      </c>
      <c r="F250">
        <f>IFERROR(SMALL(E5:E364,ROW()-ROW($F$5)+1),"")</f>
        <v>0</v>
      </c>
      <c r="H250">
        <f>IFERROR(SUM(F5:F250),"")</f>
        <v>0</v>
      </c>
      <c r="J250">
        <v>246</v>
      </c>
      <c r="K250" cm="1">
        <f t="array" ref="K250">_xlfn.SWITCH(Charts!$B$3,"average", AVERAGE(INDIRECT(ADDRESS(245+3,K$2+1,,,"Instances") &amp; ":" &amp; ADDRESS(245+3,K$2+1))),"median", MEDIAN(INDIRECT(ADDRESS(245+3,K$2+1,,,"Instances") &amp; ":" &amp; ADDRESS(245+3,K$2+1))),"min", MIN(INDIRECT(ADDRESS(245+3,K$2+1,,,"Instances") &amp; ":" &amp; ADDRESS(245+3,K$2+1))),"max", MAX(INDIRECT(ADDRESS(245+3,K$2+1,,,"Instances") &amp; ":" &amp; ADDRESS(245+3,K$2+1))),"diff", MAX(INDIRECT(ADDRESS(245+3,K$2+1,,,"Instances") &amp; ":" &amp; ADDRESS(245+3,K$2+1)))-MIN(INDIRECT(ADDRESS(245+3,K$2+1,,,"Instances") &amp; ":" &amp; ADDRESS(245+3,K$2+1))))</f>
        <v>0</v>
      </c>
      <c r="L250">
        <f>IFERROR(SMALL(K5:K364,ROW()-ROW($L$5)+1),"")</f>
        <v>0</v>
      </c>
      <c r="N250">
        <f>IFERROR(SUM(L5:L250),"")</f>
        <v>0</v>
      </c>
      <c r="Q250">
        <f>IF(Charts!$B$3="none",E2057,IF(K2057="",NA(),K2057))</f>
        <v>0</v>
      </c>
      <c r="R250">
        <f>IF(Charts!$B$3="none",F2057,IF(L2057="",NA(),L2057))</f>
        <v>0</v>
      </c>
      <c r="S250">
        <f>IF(Charts!$B$3="none",G2057,IF(M2057="",NA(),M2057))</f>
        <v>0</v>
      </c>
      <c r="T250">
        <f>IF(Charts!$B$3="none",H2057,IF(N2057="",NA(),N2057))</f>
        <v>0</v>
      </c>
    </row>
    <row r="251" spans="4:20">
      <c r="D251">
        <v>247</v>
      </c>
      <c r="E251">
        <f>IF(INDIRECT(ADDRESS($D251+2,E$2+1,,,"Instances"))="","",INDIRECT(ADDRESS($D251+2,E$2+1,,,"Instances")))</f>
        <v>0</v>
      </c>
      <c r="F251">
        <f>IFERROR(SMALL(E5:E364,ROW()-ROW($F$5)+1),"")</f>
        <v>0</v>
      </c>
      <c r="H251">
        <f>IFERROR(SUM(F5:F251),"")</f>
        <v>0</v>
      </c>
      <c r="J251">
        <v>247</v>
      </c>
      <c r="K251" cm="1">
        <f t="array" ref="K251">_xlfn.SWITCH(Charts!$B$3,"average", AVERAGE(INDIRECT(ADDRESS(246+3,K$2+1,,,"Instances") &amp; ":" &amp; ADDRESS(246+3,K$2+1))),"median", MEDIAN(INDIRECT(ADDRESS(246+3,K$2+1,,,"Instances") &amp; ":" &amp; ADDRESS(246+3,K$2+1))),"min", MIN(INDIRECT(ADDRESS(246+3,K$2+1,,,"Instances") &amp; ":" &amp; ADDRESS(246+3,K$2+1))),"max", MAX(INDIRECT(ADDRESS(246+3,K$2+1,,,"Instances") &amp; ":" &amp; ADDRESS(246+3,K$2+1))),"diff", MAX(INDIRECT(ADDRESS(246+3,K$2+1,,,"Instances") &amp; ":" &amp; ADDRESS(246+3,K$2+1)))-MIN(INDIRECT(ADDRESS(246+3,K$2+1,,,"Instances") &amp; ":" &amp; ADDRESS(246+3,K$2+1))))</f>
        <v>0</v>
      </c>
      <c r="L251">
        <f>IFERROR(SMALL(K5:K364,ROW()-ROW($L$5)+1),"")</f>
        <v>0</v>
      </c>
      <c r="N251">
        <f>IFERROR(SUM(L5:L251),"")</f>
        <v>0</v>
      </c>
      <c r="Q251">
        <f>IF(Charts!$B$3="none",E2058,IF(K2058="",NA(),K2058))</f>
        <v>0</v>
      </c>
      <c r="R251">
        <f>IF(Charts!$B$3="none",F2058,IF(L2058="",NA(),L2058))</f>
        <v>0</v>
      </c>
      <c r="S251">
        <f>IF(Charts!$B$3="none",G2058,IF(M2058="",NA(),M2058))</f>
        <v>0</v>
      </c>
      <c r="T251">
        <f>IF(Charts!$B$3="none",H2058,IF(N2058="",NA(),N2058))</f>
        <v>0</v>
      </c>
    </row>
    <row r="252" spans="4:20">
      <c r="D252">
        <v>248</v>
      </c>
      <c r="E252">
        <f>IF(INDIRECT(ADDRESS($D252+2,E$2+1,,,"Instances"))="","",INDIRECT(ADDRESS($D252+2,E$2+1,,,"Instances")))</f>
        <v>0</v>
      </c>
      <c r="F252">
        <f>IFERROR(SMALL(E5:E364,ROW()-ROW($F$5)+1),"")</f>
        <v>0</v>
      </c>
      <c r="H252">
        <f>IFERROR(SUM(F5:F252),"")</f>
        <v>0</v>
      </c>
      <c r="J252">
        <v>248</v>
      </c>
      <c r="K252" cm="1">
        <f t="array" ref="K252">_xlfn.SWITCH(Charts!$B$3,"average", AVERAGE(INDIRECT(ADDRESS(247+3,K$2+1,,,"Instances") &amp; ":" &amp; ADDRESS(247+3,K$2+1))),"median", MEDIAN(INDIRECT(ADDRESS(247+3,K$2+1,,,"Instances") &amp; ":" &amp; ADDRESS(247+3,K$2+1))),"min", MIN(INDIRECT(ADDRESS(247+3,K$2+1,,,"Instances") &amp; ":" &amp; ADDRESS(247+3,K$2+1))),"max", MAX(INDIRECT(ADDRESS(247+3,K$2+1,,,"Instances") &amp; ":" &amp; ADDRESS(247+3,K$2+1))),"diff", MAX(INDIRECT(ADDRESS(247+3,K$2+1,,,"Instances") &amp; ":" &amp; ADDRESS(247+3,K$2+1)))-MIN(INDIRECT(ADDRESS(247+3,K$2+1,,,"Instances") &amp; ":" &amp; ADDRESS(247+3,K$2+1))))</f>
        <v>0</v>
      </c>
      <c r="L252">
        <f>IFERROR(SMALL(K5:K364,ROW()-ROW($L$5)+1),"")</f>
        <v>0</v>
      </c>
      <c r="N252">
        <f>IFERROR(SUM(L5:L252),"")</f>
        <v>0</v>
      </c>
      <c r="Q252">
        <f>IF(Charts!$B$3="none",E2059,IF(K2059="",NA(),K2059))</f>
        <v>0</v>
      </c>
      <c r="R252">
        <f>IF(Charts!$B$3="none",F2059,IF(L2059="",NA(),L2059))</f>
        <v>0</v>
      </c>
      <c r="S252">
        <f>IF(Charts!$B$3="none",G2059,IF(M2059="",NA(),M2059))</f>
        <v>0</v>
      </c>
      <c r="T252">
        <f>IF(Charts!$B$3="none",H2059,IF(N2059="",NA(),N2059))</f>
        <v>0</v>
      </c>
    </row>
    <row r="253" spans="4:20">
      <c r="D253">
        <v>249</v>
      </c>
      <c r="E253">
        <f>IF(INDIRECT(ADDRESS($D253+2,E$2+1,,,"Instances"))="","",INDIRECT(ADDRESS($D253+2,E$2+1,,,"Instances")))</f>
        <v>0</v>
      </c>
      <c r="F253">
        <f>IFERROR(SMALL(E5:E364,ROW()-ROW($F$5)+1),"")</f>
        <v>0</v>
      </c>
      <c r="H253">
        <f>IFERROR(SUM(F5:F253),"")</f>
        <v>0</v>
      </c>
      <c r="J253">
        <v>249</v>
      </c>
      <c r="K253" cm="1">
        <f t="array" ref="K253">_xlfn.SWITCH(Charts!$B$3,"average", AVERAGE(INDIRECT(ADDRESS(248+3,K$2+1,,,"Instances") &amp; ":" &amp; ADDRESS(248+3,K$2+1))),"median", MEDIAN(INDIRECT(ADDRESS(248+3,K$2+1,,,"Instances") &amp; ":" &amp; ADDRESS(248+3,K$2+1))),"min", MIN(INDIRECT(ADDRESS(248+3,K$2+1,,,"Instances") &amp; ":" &amp; ADDRESS(248+3,K$2+1))),"max", MAX(INDIRECT(ADDRESS(248+3,K$2+1,,,"Instances") &amp; ":" &amp; ADDRESS(248+3,K$2+1))),"diff", MAX(INDIRECT(ADDRESS(248+3,K$2+1,,,"Instances") &amp; ":" &amp; ADDRESS(248+3,K$2+1)))-MIN(INDIRECT(ADDRESS(248+3,K$2+1,,,"Instances") &amp; ":" &amp; ADDRESS(248+3,K$2+1))))</f>
        <v>0</v>
      </c>
      <c r="L253">
        <f>IFERROR(SMALL(K5:K364,ROW()-ROW($L$5)+1),"")</f>
        <v>0</v>
      </c>
      <c r="N253">
        <f>IFERROR(SUM(L5:L253),"")</f>
        <v>0</v>
      </c>
      <c r="Q253">
        <f>IF(Charts!$B$3="none",E2060,IF(K2060="",NA(),K2060))</f>
        <v>0</v>
      </c>
      <c r="R253">
        <f>IF(Charts!$B$3="none",F2060,IF(L2060="",NA(),L2060))</f>
        <v>0</v>
      </c>
      <c r="S253">
        <f>IF(Charts!$B$3="none",G2060,IF(M2060="",NA(),M2060))</f>
        <v>0</v>
      </c>
      <c r="T253">
        <f>IF(Charts!$B$3="none",H2060,IF(N2060="",NA(),N2060))</f>
        <v>0</v>
      </c>
    </row>
    <row r="254" spans="4:20">
      <c r="D254">
        <v>250</v>
      </c>
      <c r="E254">
        <f>IF(INDIRECT(ADDRESS($D254+2,E$2+1,,,"Instances"))="","",INDIRECT(ADDRESS($D254+2,E$2+1,,,"Instances")))</f>
        <v>0</v>
      </c>
      <c r="F254">
        <f>IFERROR(SMALL(E5:E364,ROW()-ROW($F$5)+1),"")</f>
        <v>0</v>
      </c>
      <c r="H254">
        <f>IFERROR(SUM(F5:F254),"")</f>
        <v>0</v>
      </c>
      <c r="J254">
        <v>250</v>
      </c>
      <c r="K254" cm="1">
        <f t="array" ref="K254">_xlfn.SWITCH(Charts!$B$3,"average", AVERAGE(INDIRECT(ADDRESS(249+3,K$2+1,,,"Instances") &amp; ":" &amp; ADDRESS(249+3,K$2+1))),"median", MEDIAN(INDIRECT(ADDRESS(249+3,K$2+1,,,"Instances") &amp; ":" &amp; ADDRESS(249+3,K$2+1))),"min", MIN(INDIRECT(ADDRESS(249+3,K$2+1,,,"Instances") &amp; ":" &amp; ADDRESS(249+3,K$2+1))),"max", MAX(INDIRECT(ADDRESS(249+3,K$2+1,,,"Instances") &amp; ":" &amp; ADDRESS(249+3,K$2+1))),"diff", MAX(INDIRECT(ADDRESS(249+3,K$2+1,,,"Instances") &amp; ":" &amp; ADDRESS(249+3,K$2+1)))-MIN(INDIRECT(ADDRESS(249+3,K$2+1,,,"Instances") &amp; ":" &amp; ADDRESS(249+3,K$2+1))))</f>
        <v>0</v>
      </c>
      <c r="L254">
        <f>IFERROR(SMALL(K5:K364,ROW()-ROW($L$5)+1),"")</f>
        <v>0</v>
      </c>
      <c r="N254">
        <f>IFERROR(SUM(L5:L254),"")</f>
        <v>0</v>
      </c>
      <c r="Q254">
        <f>IF(Charts!$B$3="none",E2061,IF(K2061="",NA(),K2061))</f>
        <v>0</v>
      </c>
      <c r="R254">
        <f>IF(Charts!$B$3="none",F2061,IF(L2061="",NA(),L2061))</f>
        <v>0</v>
      </c>
      <c r="S254">
        <f>IF(Charts!$B$3="none",G2061,IF(M2061="",NA(),M2061))</f>
        <v>0</v>
      </c>
      <c r="T254">
        <f>IF(Charts!$B$3="none",H2061,IF(N2061="",NA(),N2061))</f>
        <v>0</v>
      </c>
    </row>
    <row r="255" spans="4:20">
      <c r="D255">
        <v>251</v>
      </c>
      <c r="E255">
        <f>IF(INDIRECT(ADDRESS($D255+2,E$2+1,,,"Instances"))="","",INDIRECT(ADDRESS($D255+2,E$2+1,,,"Instances")))</f>
        <v>0</v>
      </c>
      <c r="F255">
        <f>IFERROR(SMALL(E5:E364,ROW()-ROW($F$5)+1),"")</f>
        <v>0</v>
      </c>
      <c r="H255">
        <f>IFERROR(SUM(F5:F255),"")</f>
        <v>0</v>
      </c>
      <c r="J255">
        <v>251</v>
      </c>
      <c r="K255" cm="1">
        <f t="array" ref="K255">_xlfn.SWITCH(Charts!$B$3,"average", AVERAGE(INDIRECT(ADDRESS(250+3,K$2+1,,,"Instances") &amp; ":" &amp; ADDRESS(250+3,K$2+1))),"median", MEDIAN(INDIRECT(ADDRESS(250+3,K$2+1,,,"Instances") &amp; ":" &amp; ADDRESS(250+3,K$2+1))),"min", MIN(INDIRECT(ADDRESS(250+3,K$2+1,,,"Instances") &amp; ":" &amp; ADDRESS(250+3,K$2+1))),"max", MAX(INDIRECT(ADDRESS(250+3,K$2+1,,,"Instances") &amp; ":" &amp; ADDRESS(250+3,K$2+1))),"diff", MAX(INDIRECT(ADDRESS(250+3,K$2+1,,,"Instances") &amp; ":" &amp; ADDRESS(250+3,K$2+1)))-MIN(INDIRECT(ADDRESS(250+3,K$2+1,,,"Instances") &amp; ":" &amp; ADDRESS(250+3,K$2+1))))</f>
        <v>0</v>
      </c>
      <c r="L255">
        <f>IFERROR(SMALL(K5:K364,ROW()-ROW($L$5)+1),"")</f>
        <v>0</v>
      </c>
      <c r="N255">
        <f>IFERROR(SUM(L5:L255),"")</f>
        <v>0</v>
      </c>
      <c r="Q255">
        <f>IF(Charts!$B$3="none",E2062,IF(K2062="",NA(),K2062))</f>
        <v>0</v>
      </c>
      <c r="R255">
        <f>IF(Charts!$B$3="none",F2062,IF(L2062="",NA(),L2062))</f>
        <v>0</v>
      </c>
      <c r="S255">
        <f>IF(Charts!$B$3="none",G2062,IF(M2062="",NA(),M2062))</f>
        <v>0</v>
      </c>
      <c r="T255">
        <f>IF(Charts!$B$3="none",H2062,IF(N2062="",NA(),N2062))</f>
        <v>0</v>
      </c>
    </row>
    <row r="256" spans="4:20">
      <c r="D256">
        <v>252</v>
      </c>
      <c r="E256">
        <f>IF(INDIRECT(ADDRESS($D256+2,E$2+1,,,"Instances"))="","",INDIRECT(ADDRESS($D256+2,E$2+1,,,"Instances")))</f>
        <v>0</v>
      </c>
      <c r="F256">
        <f>IFERROR(SMALL(E5:E364,ROW()-ROW($F$5)+1),"")</f>
        <v>0</v>
      </c>
      <c r="H256">
        <f>IFERROR(SUM(F5:F256),"")</f>
        <v>0</v>
      </c>
      <c r="J256">
        <v>252</v>
      </c>
      <c r="K256" cm="1">
        <f t="array" ref="K256">_xlfn.SWITCH(Charts!$B$3,"average", AVERAGE(INDIRECT(ADDRESS(251+3,K$2+1,,,"Instances") &amp; ":" &amp; ADDRESS(251+3,K$2+1))),"median", MEDIAN(INDIRECT(ADDRESS(251+3,K$2+1,,,"Instances") &amp; ":" &amp; ADDRESS(251+3,K$2+1))),"min", MIN(INDIRECT(ADDRESS(251+3,K$2+1,,,"Instances") &amp; ":" &amp; ADDRESS(251+3,K$2+1))),"max", MAX(INDIRECT(ADDRESS(251+3,K$2+1,,,"Instances") &amp; ":" &amp; ADDRESS(251+3,K$2+1))),"diff", MAX(INDIRECT(ADDRESS(251+3,K$2+1,,,"Instances") &amp; ":" &amp; ADDRESS(251+3,K$2+1)))-MIN(INDIRECT(ADDRESS(251+3,K$2+1,,,"Instances") &amp; ":" &amp; ADDRESS(251+3,K$2+1))))</f>
        <v>0</v>
      </c>
      <c r="L256">
        <f>IFERROR(SMALL(K5:K364,ROW()-ROW($L$5)+1),"")</f>
        <v>0</v>
      </c>
      <c r="N256">
        <f>IFERROR(SUM(L5:L256),"")</f>
        <v>0</v>
      </c>
      <c r="Q256">
        <f>IF(Charts!$B$3="none",E2063,IF(K2063="",NA(),K2063))</f>
        <v>0</v>
      </c>
      <c r="R256">
        <f>IF(Charts!$B$3="none",F2063,IF(L2063="",NA(),L2063))</f>
        <v>0</v>
      </c>
      <c r="S256">
        <f>IF(Charts!$B$3="none",G2063,IF(M2063="",NA(),M2063))</f>
        <v>0</v>
      </c>
      <c r="T256">
        <f>IF(Charts!$B$3="none",H2063,IF(N2063="",NA(),N2063))</f>
        <v>0</v>
      </c>
    </row>
    <row r="257" spans="4:20">
      <c r="D257">
        <v>253</v>
      </c>
      <c r="E257">
        <f>IF(INDIRECT(ADDRESS($D257+2,E$2+1,,,"Instances"))="","",INDIRECT(ADDRESS($D257+2,E$2+1,,,"Instances")))</f>
        <v>0</v>
      </c>
      <c r="F257">
        <f>IFERROR(SMALL(E5:E364,ROW()-ROW($F$5)+1),"")</f>
        <v>0</v>
      </c>
      <c r="H257">
        <f>IFERROR(SUM(F5:F257),"")</f>
        <v>0</v>
      </c>
      <c r="J257">
        <v>253</v>
      </c>
      <c r="K257" cm="1">
        <f t="array" ref="K257">_xlfn.SWITCH(Charts!$B$3,"average", AVERAGE(INDIRECT(ADDRESS(252+3,K$2+1,,,"Instances") &amp; ":" &amp; ADDRESS(252+3,K$2+1))),"median", MEDIAN(INDIRECT(ADDRESS(252+3,K$2+1,,,"Instances") &amp; ":" &amp; ADDRESS(252+3,K$2+1))),"min", MIN(INDIRECT(ADDRESS(252+3,K$2+1,,,"Instances") &amp; ":" &amp; ADDRESS(252+3,K$2+1))),"max", MAX(INDIRECT(ADDRESS(252+3,K$2+1,,,"Instances") &amp; ":" &amp; ADDRESS(252+3,K$2+1))),"diff", MAX(INDIRECT(ADDRESS(252+3,K$2+1,,,"Instances") &amp; ":" &amp; ADDRESS(252+3,K$2+1)))-MIN(INDIRECT(ADDRESS(252+3,K$2+1,,,"Instances") &amp; ":" &amp; ADDRESS(252+3,K$2+1))))</f>
        <v>0</v>
      </c>
      <c r="L257">
        <f>IFERROR(SMALL(K5:K364,ROW()-ROW($L$5)+1),"")</f>
        <v>0</v>
      </c>
      <c r="N257">
        <f>IFERROR(SUM(L5:L257),"")</f>
        <v>0</v>
      </c>
      <c r="Q257">
        <f>IF(Charts!$B$3="none",E2064,IF(K2064="",NA(),K2064))</f>
        <v>0</v>
      </c>
      <c r="R257">
        <f>IF(Charts!$B$3="none",F2064,IF(L2064="",NA(),L2064))</f>
        <v>0</v>
      </c>
      <c r="S257">
        <f>IF(Charts!$B$3="none",G2064,IF(M2064="",NA(),M2064))</f>
        <v>0</v>
      </c>
      <c r="T257">
        <f>IF(Charts!$B$3="none",H2064,IF(N2064="",NA(),N2064))</f>
        <v>0</v>
      </c>
    </row>
    <row r="258" spans="4:20">
      <c r="D258">
        <v>254</v>
      </c>
      <c r="E258">
        <f>IF(INDIRECT(ADDRESS($D258+2,E$2+1,,,"Instances"))="","",INDIRECT(ADDRESS($D258+2,E$2+1,,,"Instances")))</f>
        <v>0</v>
      </c>
      <c r="F258">
        <f>IFERROR(SMALL(E5:E364,ROW()-ROW($F$5)+1),"")</f>
        <v>0</v>
      </c>
      <c r="H258">
        <f>IFERROR(SUM(F5:F258),"")</f>
        <v>0</v>
      </c>
      <c r="J258">
        <v>254</v>
      </c>
      <c r="K258" cm="1">
        <f t="array" ref="K258">_xlfn.SWITCH(Charts!$B$3,"average", AVERAGE(INDIRECT(ADDRESS(253+3,K$2+1,,,"Instances") &amp; ":" &amp; ADDRESS(253+3,K$2+1))),"median", MEDIAN(INDIRECT(ADDRESS(253+3,K$2+1,,,"Instances") &amp; ":" &amp; ADDRESS(253+3,K$2+1))),"min", MIN(INDIRECT(ADDRESS(253+3,K$2+1,,,"Instances") &amp; ":" &amp; ADDRESS(253+3,K$2+1))),"max", MAX(INDIRECT(ADDRESS(253+3,K$2+1,,,"Instances") &amp; ":" &amp; ADDRESS(253+3,K$2+1))),"diff", MAX(INDIRECT(ADDRESS(253+3,K$2+1,,,"Instances") &amp; ":" &amp; ADDRESS(253+3,K$2+1)))-MIN(INDIRECT(ADDRESS(253+3,K$2+1,,,"Instances") &amp; ":" &amp; ADDRESS(253+3,K$2+1))))</f>
        <v>0</v>
      </c>
      <c r="L258">
        <f>IFERROR(SMALL(K5:K364,ROW()-ROW($L$5)+1),"")</f>
        <v>0</v>
      </c>
      <c r="N258">
        <f>IFERROR(SUM(L5:L258),"")</f>
        <v>0</v>
      </c>
      <c r="Q258">
        <f>IF(Charts!$B$3="none",E2065,IF(K2065="",NA(),K2065))</f>
        <v>0</v>
      </c>
      <c r="R258">
        <f>IF(Charts!$B$3="none",F2065,IF(L2065="",NA(),L2065))</f>
        <v>0</v>
      </c>
      <c r="S258">
        <f>IF(Charts!$B$3="none",G2065,IF(M2065="",NA(),M2065))</f>
        <v>0</v>
      </c>
      <c r="T258">
        <f>IF(Charts!$B$3="none",H2065,IF(N2065="",NA(),N2065))</f>
        <v>0</v>
      </c>
    </row>
    <row r="259" spans="4:20">
      <c r="D259">
        <v>255</v>
      </c>
      <c r="E259">
        <f>IF(INDIRECT(ADDRESS($D259+2,E$2+1,,,"Instances"))="","",INDIRECT(ADDRESS($D259+2,E$2+1,,,"Instances")))</f>
        <v>0</v>
      </c>
      <c r="F259">
        <f>IFERROR(SMALL(E5:E364,ROW()-ROW($F$5)+1),"")</f>
        <v>0</v>
      </c>
      <c r="H259">
        <f>IFERROR(SUM(F5:F259),"")</f>
        <v>0</v>
      </c>
      <c r="J259">
        <v>255</v>
      </c>
      <c r="K259" cm="1">
        <f t="array" ref="K259">_xlfn.SWITCH(Charts!$B$3,"average", AVERAGE(INDIRECT(ADDRESS(254+3,K$2+1,,,"Instances") &amp; ":" &amp; ADDRESS(254+3,K$2+1))),"median", MEDIAN(INDIRECT(ADDRESS(254+3,K$2+1,,,"Instances") &amp; ":" &amp; ADDRESS(254+3,K$2+1))),"min", MIN(INDIRECT(ADDRESS(254+3,K$2+1,,,"Instances") &amp; ":" &amp; ADDRESS(254+3,K$2+1))),"max", MAX(INDIRECT(ADDRESS(254+3,K$2+1,,,"Instances") &amp; ":" &amp; ADDRESS(254+3,K$2+1))),"diff", MAX(INDIRECT(ADDRESS(254+3,K$2+1,,,"Instances") &amp; ":" &amp; ADDRESS(254+3,K$2+1)))-MIN(INDIRECT(ADDRESS(254+3,K$2+1,,,"Instances") &amp; ":" &amp; ADDRESS(254+3,K$2+1))))</f>
        <v>0</v>
      </c>
      <c r="L259">
        <f>IFERROR(SMALL(K5:K364,ROW()-ROW($L$5)+1),"")</f>
        <v>0</v>
      </c>
      <c r="N259">
        <f>IFERROR(SUM(L5:L259),"")</f>
        <v>0</v>
      </c>
      <c r="Q259">
        <f>IF(Charts!$B$3="none",E2066,IF(K2066="",NA(),K2066))</f>
        <v>0</v>
      </c>
      <c r="R259">
        <f>IF(Charts!$B$3="none",F2066,IF(L2066="",NA(),L2066))</f>
        <v>0</v>
      </c>
      <c r="S259">
        <f>IF(Charts!$B$3="none",G2066,IF(M2066="",NA(),M2066))</f>
        <v>0</v>
      </c>
      <c r="T259">
        <f>IF(Charts!$B$3="none",H2066,IF(N2066="",NA(),N2066))</f>
        <v>0</v>
      </c>
    </row>
    <row r="260" spans="4:20">
      <c r="D260">
        <v>256</v>
      </c>
      <c r="E260">
        <f>IF(INDIRECT(ADDRESS($D260+2,E$2+1,,,"Instances"))="","",INDIRECT(ADDRESS($D260+2,E$2+1,,,"Instances")))</f>
        <v>0</v>
      </c>
      <c r="F260">
        <f>IFERROR(SMALL(E5:E364,ROW()-ROW($F$5)+1),"")</f>
        <v>0</v>
      </c>
      <c r="H260">
        <f>IFERROR(SUM(F5:F260),"")</f>
        <v>0</v>
      </c>
      <c r="J260">
        <v>256</v>
      </c>
      <c r="K260" cm="1">
        <f t="array" ref="K260">_xlfn.SWITCH(Charts!$B$3,"average", AVERAGE(INDIRECT(ADDRESS(255+3,K$2+1,,,"Instances") &amp; ":" &amp; ADDRESS(255+3,K$2+1))),"median", MEDIAN(INDIRECT(ADDRESS(255+3,K$2+1,,,"Instances") &amp; ":" &amp; ADDRESS(255+3,K$2+1))),"min", MIN(INDIRECT(ADDRESS(255+3,K$2+1,,,"Instances") &amp; ":" &amp; ADDRESS(255+3,K$2+1))),"max", MAX(INDIRECT(ADDRESS(255+3,K$2+1,,,"Instances") &amp; ":" &amp; ADDRESS(255+3,K$2+1))),"diff", MAX(INDIRECT(ADDRESS(255+3,K$2+1,,,"Instances") &amp; ":" &amp; ADDRESS(255+3,K$2+1)))-MIN(INDIRECT(ADDRESS(255+3,K$2+1,,,"Instances") &amp; ":" &amp; ADDRESS(255+3,K$2+1))))</f>
        <v>0</v>
      </c>
      <c r="L260">
        <f>IFERROR(SMALL(K5:K364,ROW()-ROW($L$5)+1),"")</f>
        <v>0</v>
      </c>
      <c r="N260">
        <f>IFERROR(SUM(L5:L260),"")</f>
        <v>0</v>
      </c>
      <c r="Q260">
        <f>IF(Charts!$B$3="none",E2067,IF(K2067="",NA(),K2067))</f>
        <v>0</v>
      </c>
      <c r="R260">
        <f>IF(Charts!$B$3="none",F2067,IF(L2067="",NA(),L2067))</f>
        <v>0</v>
      </c>
      <c r="S260">
        <f>IF(Charts!$B$3="none",G2067,IF(M2067="",NA(),M2067))</f>
        <v>0</v>
      </c>
      <c r="T260">
        <f>IF(Charts!$B$3="none",H2067,IF(N2067="",NA(),N2067))</f>
        <v>0</v>
      </c>
    </row>
    <row r="261" spans="4:20">
      <c r="D261">
        <v>257</v>
      </c>
      <c r="E261">
        <f>IF(INDIRECT(ADDRESS($D261+2,E$2+1,,,"Instances"))="","",INDIRECT(ADDRESS($D261+2,E$2+1,,,"Instances")))</f>
        <v>0</v>
      </c>
      <c r="F261">
        <f>IFERROR(SMALL(E5:E364,ROW()-ROW($F$5)+1),"")</f>
        <v>0</v>
      </c>
      <c r="H261">
        <f>IFERROR(SUM(F5:F261),"")</f>
        <v>0</v>
      </c>
      <c r="J261">
        <v>257</v>
      </c>
      <c r="K261" cm="1">
        <f t="array" ref="K261">_xlfn.SWITCH(Charts!$B$3,"average", AVERAGE(INDIRECT(ADDRESS(256+3,K$2+1,,,"Instances") &amp; ":" &amp; ADDRESS(256+3,K$2+1))),"median", MEDIAN(INDIRECT(ADDRESS(256+3,K$2+1,,,"Instances") &amp; ":" &amp; ADDRESS(256+3,K$2+1))),"min", MIN(INDIRECT(ADDRESS(256+3,K$2+1,,,"Instances") &amp; ":" &amp; ADDRESS(256+3,K$2+1))),"max", MAX(INDIRECT(ADDRESS(256+3,K$2+1,,,"Instances") &amp; ":" &amp; ADDRESS(256+3,K$2+1))),"diff", MAX(INDIRECT(ADDRESS(256+3,K$2+1,,,"Instances") &amp; ":" &amp; ADDRESS(256+3,K$2+1)))-MIN(INDIRECT(ADDRESS(256+3,K$2+1,,,"Instances") &amp; ":" &amp; ADDRESS(256+3,K$2+1))))</f>
        <v>0</v>
      </c>
      <c r="L261">
        <f>IFERROR(SMALL(K5:K364,ROW()-ROW($L$5)+1),"")</f>
        <v>0</v>
      </c>
      <c r="N261">
        <f>IFERROR(SUM(L5:L261),"")</f>
        <v>0</v>
      </c>
      <c r="Q261">
        <f>IF(Charts!$B$3="none",E2068,IF(K2068="",NA(),K2068))</f>
        <v>0</v>
      </c>
      <c r="R261">
        <f>IF(Charts!$B$3="none",F2068,IF(L2068="",NA(),L2068))</f>
        <v>0</v>
      </c>
      <c r="S261">
        <f>IF(Charts!$B$3="none",G2068,IF(M2068="",NA(),M2068))</f>
        <v>0</v>
      </c>
      <c r="T261">
        <f>IF(Charts!$B$3="none",H2068,IF(N2068="",NA(),N2068))</f>
        <v>0</v>
      </c>
    </row>
    <row r="262" spans="4:20">
      <c r="D262">
        <v>258</v>
      </c>
      <c r="E262">
        <f>IF(INDIRECT(ADDRESS($D262+2,E$2+1,,,"Instances"))="","",INDIRECT(ADDRESS($D262+2,E$2+1,,,"Instances")))</f>
        <v>0</v>
      </c>
      <c r="F262">
        <f>IFERROR(SMALL(E5:E364,ROW()-ROW($F$5)+1),"")</f>
        <v>0</v>
      </c>
      <c r="H262">
        <f>IFERROR(SUM(F5:F262),"")</f>
        <v>0</v>
      </c>
      <c r="J262">
        <v>258</v>
      </c>
      <c r="K262" cm="1">
        <f t="array" ref="K262">_xlfn.SWITCH(Charts!$B$3,"average", AVERAGE(INDIRECT(ADDRESS(257+3,K$2+1,,,"Instances") &amp; ":" &amp; ADDRESS(257+3,K$2+1))),"median", MEDIAN(INDIRECT(ADDRESS(257+3,K$2+1,,,"Instances") &amp; ":" &amp; ADDRESS(257+3,K$2+1))),"min", MIN(INDIRECT(ADDRESS(257+3,K$2+1,,,"Instances") &amp; ":" &amp; ADDRESS(257+3,K$2+1))),"max", MAX(INDIRECT(ADDRESS(257+3,K$2+1,,,"Instances") &amp; ":" &amp; ADDRESS(257+3,K$2+1))),"diff", MAX(INDIRECT(ADDRESS(257+3,K$2+1,,,"Instances") &amp; ":" &amp; ADDRESS(257+3,K$2+1)))-MIN(INDIRECT(ADDRESS(257+3,K$2+1,,,"Instances") &amp; ":" &amp; ADDRESS(257+3,K$2+1))))</f>
        <v>0</v>
      </c>
      <c r="L262">
        <f>IFERROR(SMALL(K5:K364,ROW()-ROW($L$5)+1),"")</f>
        <v>0</v>
      </c>
      <c r="N262">
        <f>IFERROR(SUM(L5:L262),"")</f>
        <v>0</v>
      </c>
      <c r="Q262">
        <f>IF(Charts!$B$3="none",E2069,IF(K2069="",NA(),K2069))</f>
        <v>0</v>
      </c>
      <c r="R262">
        <f>IF(Charts!$B$3="none",F2069,IF(L2069="",NA(),L2069))</f>
        <v>0</v>
      </c>
      <c r="S262">
        <f>IF(Charts!$B$3="none",G2069,IF(M2069="",NA(),M2069))</f>
        <v>0</v>
      </c>
      <c r="T262">
        <f>IF(Charts!$B$3="none",H2069,IF(N2069="",NA(),N2069))</f>
        <v>0</v>
      </c>
    </row>
    <row r="263" spans="4:20">
      <c r="D263">
        <v>259</v>
      </c>
      <c r="E263">
        <f>IF(INDIRECT(ADDRESS($D263+2,E$2+1,,,"Instances"))="","",INDIRECT(ADDRESS($D263+2,E$2+1,,,"Instances")))</f>
        <v>0</v>
      </c>
      <c r="F263">
        <f>IFERROR(SMALL(E5:E364,ROW()-ROW($F$5)+1),"")</f>
        <v>0</v>
      </c>
      <c r="H263">
        <f>IFERROR(SUM(F5:F263),"")</f>
        <v>0</v>
      </c>
      <c r="J263">
        <v>259</v>
      </c>
      <c r="K263" cm="1">
        <f t="array" ref="K263">_xlfn.SWITCH(Charts!$B$3,"average", AVERAGE(INDIRECT(ADDRESS(258+3,K$2+1,,,"Instances") &amp; ":" &amp; ADDRESS(258+3,K$2+1))),"median", MEDIAN(INDIRECT(ADDRESS(258+3,K$2+1,,,"Instances") &amp; ":" &amp; ADDRESS(258+3,K$2+1))),"min", MIN(INDIRECT(ADDRESS(258+3,K$2+1,,,"Instances") &amp; ":" &amp; ADDRESS(258+3,K$2+1))),"max", MAX(INDIRECT(ADDRESS(258+3,K$2+1,,,"Instances") &amp; ":" &amp; ADDRESS(258+3,K$2+1))),"diff", MAX(INDIRECT(ADDRESS(258+3,K$2+1,,,"Instances") &amp; ":" &amp; ADDRESS(258+3,K$2+1)))-MIN(INDIRECT(ADDRESS(258+3,K$2+1,,,"Instances") &amp; ":" &amp; ADDRESS(258+3,K$2+1))))</f>
        <v>0</v>
      </c>
      <c r="L263">
        <f>IFERROR(SMALL(K5:K364,ROW()-ROW($L$5)+1),"")</f>
        <v>0</v>
      </c>
      <c r="N263">
        <f>IFERROR(SUM(L5:L263),"")</f>
        <v>0</v>
      </c>
      <c r="Q263">
        <f>IF(Charts!$B$3="none",E2070,IF(K2070="",NA(),K2070))</f>
        <v>0</v>
      </c>
      <c r="R263">
        <f>IF(Charts!$B$3="none",F2070,IF(L2070="",NA(),L2070))</f>
        <v>0</v>
      </c>
      <c r="S263">
        <f>IF(Charts!$B$3="none",G2070,IF(M2070="",NA(),M2070))</f>
        <v>0</v>
      </c>
      <c r="T263">
        <f>IF(Charts!$B$3="none",H2070,IF(N2070="",NA(),N2070))</f>
        <v>0</v>
      </c>
    </row>
    <row r="264" spans="4:20">
      <c r="D264">
        <v>260</v>
      </c>
      <c r="E264">
        <f>IF(INDIRECT(ADDRESS($D264+2,E$2+1,,,"Instances"))="","",INDIRECT(ADDRESS($D264+2,E$2+1,,,"Instances")))</f>
        <v>0</v>
      </c>
      <c r="F264">
        <f>IFERROR(SMALL(E5:E364,ROW()-ROW($F$5)+1),"")</f>
        <v>0</v>
      </c>
      <c r="H264">
        <f>IFERROR(SUM(F5:F264),"")</f>
        <v>0</v>
      </c>
      <c r="J264">
        <v>260</v>
      </c>
      <c r="K264" cm="1">
        <f t="array" ref="K264">_xlfn.SWITCH(Charts!$B$3,"average", AVERAGE(INDIRECT(ADDRESS(259+3,K$2+1,,,"Instances") &amp; ":" &amp; ADDRESS(259+3,K$2+1))),"median", MEDIAN(INDIRECT(ADDRESS(259+3,K$2+1,,,"Instances") &amp; ":" &amp; ADDRESS(259+3,K$2+1))),"min", MIN(INDIRECT(ADDRESS(259+3,K$2+1,,,"Instances") &amp; ":" &amp; ADDRESS(259+3,K$2+1))),"max", MAX(INDIRECT(ADDRESS(259+3,K$2+1,,,"Instances") &amp; ":" &amp; ADDRESS(259+3,K$2+1))),"diff", MAX(INDIRECT(ADDRESS(259+3,K$2+1,,,"Instances") &amp; ":" &amp; ADDRESS(259+3,K$2+1)))-MIN(INDIRECT(ADDRESS(259+3,K$2+1,,,"Instances") &amp; ":" &amp; ADDRESS(259+3,K$2+1))))</f>
        <v>0</v>
      </c>
      <c r="L264">
        <f>IFERROR(SMALL(K5:K364,ROW()-ROW($L$5)+1),"")</f>
        <v>0</v>
      </c>
      <c r="N264">
        <f>IFERROR(SUM(L5:L264),"")</f>
        <v>0</v>
      </c>
      <c r="Q264">
        <f>IF(Charts!$B$3="none",E2071,IF(K2071="",NA(),K2071))</f>
        <v>0</v>
      </c>
      <c r="R264">
        <f>IF(Charts!$B$3="none",F2071,IF(L2071="",NA(),L2071))</f>
        <v>0</v>
      </c>
      <c r="S264">
        <f>IF(Charts!$B$3="none",G2071,IF(M2071="",NA(),M2071))</f>
        <v>0</v>
      </c>
      <c r="T264">
        <f>IF(Charts!$B$3="none",H2071,IF(N2071="",NA(),N2071))</f>
        <v>0</v>
      </c>
    </row>
    <row r="265" spans="4:20">
      <c r="D265">
        <v>261</v>
      </c>
      <c r="E265">
        <f>IF(INDIRECT(ADDRESS($D265+2,E$2+1,,,"Instances"))="","",INDIRECT(ADDRESS($D265+2,E$2+1,,,"Instances")))</f>
        <v>0</v>
      </c>
      <c r="F265">
        <f>IFERROR(SMALL(E5:E364,ROW()-ROW($F$5)+1),"")</f>
        <v>0</v>
      </c>
      <c r="H265">
        <f>IFERROR(SUM(F5:F265),"")</f>
        <v>0</v>
      </c>
      <c r="J265">
        <v>261</v>
      </c>
      <c r="K265" cm="1">
        <f t="array" ref="K265">_xlfn.SWITCH(Charts!$B$3,"average", AVERAGE(INDIRECT(ADDRESS(260+3,K$2+1,,,"Instances") &amp; ":" &amp; ADDRESS(260+3,K$2+1))),"median", MEDIAN(INDIRECT(ADDRESS(260+3,K$2+1,,,"Instances") &amp; ":" &amp; ADDRESS(260+3,K$2+1))),"min", MIN(INDIRECT(ADDRESS(260+3,K$2+1,,,"Instances") &amp; ":" &amp; ADDRESS(260+3,K$2+1))),"max", MAX(INDIRECT(ADDRESS(260+3,K$2+1,,,"Instances") &amp; ":" &amp; ADDRESS(260+3,K$2+1))),"diff", MAX(INDIRECT(ADDRESS(260+3,K$2+1,,,"Instances") &amp; ":" &amp; ADDRESS(260+3,K$2+1)))-MIN(INDIRECT(ADDRESS(260+3,K$2+1,,,"Instances") &amp; ":" &amp; ADDRESS(260+3,K$2+1))))</f>
        <v>0</v>
      </c>
      <c r="L265">
        <f>IFERROR(SMALL(K5:K364,ROW()-ROW($L$5)+1),"")</f>
        <v>0</v>
      </c>
      <c r="N265">
        <f>IFERROR(SUM(L5:L265),"")</f>
        <v>0</v>
      </c>
      <c r="Q265">
        <f>IF(Charts!$B$3="none",E2072,IF(K2072="",NA(),K2072))</f>
        <v>0</v>
      </c>
      <c r="R265">
        <f>IF(Charts!$B$3="none",F2072,IF(L2072="",NA(),L2072))</f>
        <v>0</v>
      </c>
      <c r="S265">
        <f>IF(Charts!$B$3="none",G2072,IF(M2072="",NA(),M2072))</f>
        <v>0</v>
      </c>
      <c r="T265">
        <f>IF(Charts!$B$3="none",H2072,IF(N2072="",NA(),N2072))</f>
        <v>0</v>
      </c>
    </row>
    <row r="266" spans="4:20">
      <c r="D266">
        <v>262</v>
      </c>
      <c r="E266">
        <f>IF(INDIRECT(ADDRESS($D266+2,E$2+1,,,"Instances"))="","",INDIRECT(ADDRESS($D266+2,E$2+1,,,"Instances")))</f>
        <v>0</v>
      </c>
      <c r="F266">
        <f>IFERROR(SMALL(E5:E364,ROW()-ROW($F$5)+1),"")</f>
        <v>0</v>
      </c>
      <c r="H266">
        <f>IFERROR(SUM(F5:F266),"")</f>
        <v>0</v>
      </c>
      <c r="J266">
        <v>262</v>
      </c>
      <c r="K266" cm="1">
        <f t="array" ref="K266">_xlfn.SWITCH(Charts!$B$3,"average", AVERAGE(INDIRECT(ADDRESS(261+3,K$2+1,,,"Instances") &amp; ":" &amp; ADDRESS(261+3,K$2+1))),"median", MEDIAN(INDIRECT(ADDRESS(261+3,K$2+1,,,"Instances") &amp; ":" &amp; ADDRESS(261+3,K$2+1))),"min", MIN(INDIRECT(ADDRESS(261+3,K$2+1,,,"Instances") &amp; ":" &amp; ADDRESS(261+3,K$2+1))),"max", MAX(INDIRECT(ADDRESS(261+3,K$2+1,,,"Instances") &amp; ":" &amp; ADDRESS(261+3,K$2+1))),"diff", MAX(INDIRECT(ADDRESS(261+3,K$2+1,,,"Instances") &amp; ":" &amp; ADDRESS(261+3,K$2+1)))-MIN(INDIRECT(ADDRESS(261+3,K$2+1,,,"Instances") &amp; ":" &amp; ADDRESS(261+3,K$2+1))))</f>
        <v>0</v>
      </c>
      <c r="L266">
        <f>IFERROR(SMALL(K5:K364,ROW()-ROW($L$5)+1),"")</f>
        <v>0</v>
      </c>
      <c r="N266">
        <f>IFERROR(SUM(L5:L266),"")</f>
        <v>0</v>
      </c>
      <c r="Q266">
        <f>IF(Charts!$B$3="none",E2073,IF(K2073="",NA(),K2073))</f>
        <v>0</v>
      </c>
      <c r="R266">
        <f>IF(Charts!$B$3="none",F2073,IF(L2073="",NA(),L2073))</f>
        <v>0</v>
      </c>
      <c r="S266">
        <f>IF(Charts!$B$3="none",G2073,IF(M2073="",NA(),M2073))</f>
        <v>0</v>
      </c>
      <c r="T266">
        <f>IF(Charts!$B$3="none",H2073,IF(N2073="",NA(),N2073))</f>
        <v>0</v>
      </c>
    </row>
    <row r="267" spans="4:20">
      <c r="D267">
        <v>263</v>
      </c>
      <c r="E267">
        <f>IF(INDIRECT(ADDRESS($D267+2,E$2+1,,,"Instances"))="","",INDIRECT(ADDRESS($D267+2,E$2+1,,,"Instances")))</f>
        <v>0</v>
      </c>
      <c r="F267">
        <f>IFERROR(SMALL(E5:E364,ROW()-ROW($F$5)+1),"")</f>
        <v>0</v>
      </c>
      <c r="H267">
        <f>IFERROR(SUM(F5:F267),"")</f>
        <v>0</v>
      </c>
      <c r="J267">
        <v>263</v>
      </c>
      <c r="K267" cm="1">
        <f t="array" ref="K267">_xlfn.SWITCH(Charts!$B$3,"average", AVERAGE(INDIRECT(ADDRESS(262+3,K$2+1,,,"Instances") &amp; ":" &amp; ADDRESS(262+3,K$2+1))),"median", MEDIAN(INDIRECT(ADDRESS(262+3,K$2+1,,,"Instances") &amp; ":" &amp; ADDRESS(262+3,K$2+1))),"min", MIN(INDIRECT(ADDRESS(262+3,K$2+1,,,"Instances") &amp; ":" &amp; ADDRESS(262+3,K$2+1))),"max", MAX(INDIRECT(ADDRESS(262+3,K$2+1,,,"Instances") &amp; ":" &amp; ADDRESS(262+3,K$2+1))),"diff", MAX(INDIRECT(ADDRESS(262+3,K$2+1,,,"Instances") &amp; ":" &amp; ADDRESS(262+3,K$2+1)))-MIN(INDIRECT(ADDRESS(262+3,K$2+1,,,"Instances") &amp; ":" &amp; ADDRESS(262+3,K$2+1))))</f>
        <v>0</v>
      </c>
      <c r="L267">
        <f>IFERROR(SMALL(K5:K364,ROW()-ROW($L$5)+1),"")</f>
        <v>0</v>
      </c>
      <c r="N267">
        <f>IFERROR(SUM(L5:L267),"")</f>
        <v>0</v>
      </c>
      <c r="Q267">
        <f>IF(Charts!$B$3="none",E2074,IF(K2074="",NA(),K2074))</f>
        <v>0</v>
      </c>
      <c r="R267">
        <f>IF(Charts!$B$3="none",F2074,IF(L2074="",NA(),L2074))</f>
        <v>0</v>
      </c>
      <c r="S267">
        <f>IF(Charts!$B$3="none",G2074,IF(M2074="",NA(),M2074))</f>
        <v>0</v>
      </c>
      <c r="T267">
        <f>IF(Charts!$B$3="none",H2074,IF(N2074="",NA(),N2074))</f>
        <v>0</v>
      </c>
    </row>
    <row r="268" spans="4:20">
      <c r="D268">
        <v>264</v>
      </c>
      <c r="E268">
        <f>IF(INDIRECT(ADDRESS($D268+2,E$2+1,,,"Instances"))="","",INDIRECT(ADDRESS($D268+2,E$2+1,,,"Instances")))</f>
        <v>0</v>
      </c>
      <c r="F268">
        <f>IFERROR(SMALL(E5:E364,ROW()-ROW($F$5)+1),"")</f>
        <v>0</v>
      </c>
      <c r="H268">
        <f>IFERROR(SUM(F5:F268),"")</f>
        <v>0</v>
      </c>
      <c r="J268">
        <v>264</v>
      </c>
      <c r="K268" cm="1">
        <f t="array" ref="K268">_xlfn.SWITCH(Charts!$B$3,"average", AVERAGE(INDIRECT(ADDRESS(263+3,K$2+1,,,"Instances") &amp; ":" &amp; ADDRESS(263+3,K$2+1))),"median", MEDIAN(INDIRECT(ADDRESS(263+3,K$2+1,,,"Instances") &amp; ":" &amp; ADDRESS(263+3,K$2+1))),"min", MIN(INDIRECT(ADDRESS(263+3,K$2+1,,,"Instances") &amp; ":" &amp; ADDRESS(263+3,K$2+1))),"max", MAX(INDIRECT(ADDRESS(263+3,K$2+1,,,"Instances") &amp; ":" &amp; ADDRESS(263+3,K$2+1))),"diff", MAX(INDIRECT(ADDRESS(263+3,K$2+1,,,"Instances") &amp; ":" &amp; ADDRESS(263+3,K$2+1)))-MIN(INDIRECT(ADDRESS(263+3,K$2+1,,,"Instances") &amp; ":" &amp; ADDRESS(263+3,K$2+1))))</f>
        <v>0</v>
      </c>
      <c r="L268">
        <f>IFERROR(SMALL(K5:K364,ROW()-ROW($L$5)+1),"")</f>
        <v>0</v>
      </c>
      <c r="N268">
        <f>IFERROR(SUM(L5:L268),"")</f>
        <v>0</v>
      </c>
      <c r="Q268">
        <f>IF(Charts!$B$3="none",E2075,IF(K2075="",NA(),K2075))</f>
        <v>0</v>
      </c>
      <c r="R268">
        <f>IF(Charts!$B$3="none",F2075,IF(L2075="",NA(),L2075))</f>
        <v>0</v>
      </c>
      <c r="S268">
        <f>IF(Charts!$B$3="none",G2075,IF(M2075="",NA(),M2075))</f>
        <v>0</v>
      </c>
      <c r="T268">
        <f>IF(Charts!$B$3="none",H2075,IF(N2075="",NA(),N2075))</f>
        <v>0</v>
      </c>
    </row>
    <row r="269" spans="4:20">
      <c r="D269">
        <v>265</v>
      </c>
      <c r="E269">
        <f>IF(INDIRECT(ADDRESS($D269+2,E$2+1,,,"Instances"))="","",INDIRECT(ADDRESS($D269+2,E$2+1,,,"Instances")))</f>
        <v>0</v>
      </c>
      <c r="F269">
        <f>IFERROR(SMALL(E5:E364,ROW()-ROW($F$5)+1),"")</f>
        <v>0</v>
      </c>
      <c r="H269">
        <f>IFERROR(SUM(F5:F269),"")</f>
        <v>0</v>
      </c>
      <c r="J269">
        <v>265</v>
      </c>
      <c r="K269" cm="1">
        <f t="array" ref="K269">_xlfn.SWITCH(Charts!$B$3,"average", AVERAGE(INDIRECT(ADDRESS(264+3,K$2+1,,,"Instances") &amp; ":" &amp; ADDRESS(264+3,K$2+1))),"median", MEDIAN(INDIRECT(ADDRESS(264+3,K$2+1,,,"Instances") &amp; ":" &amp; ADDRESS(264+3,K$2+1))),"min", MIN(INDIRECT(ADDRESS(264+3,K$2+1,,,"Instances") &amp; ":" &amp; ADDRESS(264+3,K$2+1))),"max", MAX(INDIRECT(ADDRESS(264+3,K$2+1,,,"Instances") &amp; ":" &amp; ADDRESS(264+3,K$2+1))),"diff", MAX(INDIRECT(ADDRESS(264+3,K$2+1,,,"Instances") &amp; ":" &amp; ADDRESS(264+3,K$2+1)))-MIN(INDIRECT(ADDRESS(264+3,K$2+1,,,"Instances") &amp; ":" &amp; ADDRESS(264+3,K$2+1))))</f>
        <v>0</v>
      </c>
      <c r="L269">
        <f>IFERROR(SMALL(K5:K364,ROW()-ROW($L$5)+1),"")</f>
        <v>0</v>
      </c>
      <c r="N269">
        <f>IFERROR(SUM(L5:L269),"")</f>
        <v>0</v>
      </c>
      <c r="Q269">
        <f>IF(Charts!$B$3="none",E2076,IF(K2076="",NA(),K2076))</f>
        <v>0</v>
      </c>
      <c r="R269">
        <f>IF(Charts!$B$3="none",F2076,IF(L2076="",NA(),L2076))</f>
        <v>0</v>
      </c>
      <c r="S269">
        <f>IF(Charts!$B$3="none",G2076,IF(M2076="",NA(),M2076))</f>
        <v>0</v>
      </c>
      <c r="T269">
        <f>IF(Charts!$B$3="none",H2076,IF(N2076="",NA(),N2076))</f>
        <v>0</v>
      </c>
    </row>
    <row r="270" spans="4:20">
      <c r="D270">
        <v>266</v>
      </c>
      <c r="E270">
        <f>IF(INDIRECT(ADDRESS($D270+2,E$2+1,,,"Instances"))="","",INDIRECT(ADDRESS($D270+2,E$2+1,,,"Instances")))</f>
        <v>0</v>
      </c>
      <c r="F270">
        <f>IFERROR(SMALL(E5:E364,ROW()-ROW($F$5)+1),"")</f>
        <v>0</v>
      </c>
      <c r="H270">
        <f>IFERROR(SUM(F5:F270),"")</f>
        <v>0</v>
      </c>
      <c r="J270">
        <v>266</v>
      </c>
      <c r="K270" cm="1">
        <f t="array" ref="K270">_xlfn.SWITCH(Charts!$B$3,"average", AVERAGE(INDIRECT(ADDRESS(265+3,K$2+1,,,"Instances") &amp; ":" &amp; ADDRESS(265+3,K$2+1))),"median", MEDIAN(INDIRECT(ADDRESS(265+3,K$2+1,,,"Instances") &amp; ":" &amp; ADDRESS(265+3,K$2+1))),"min", MIN(INDIRECT(ADDRESS(265+3,K$2+1,,,"Instances") &amp; ":" &amp; ADDRESS(265+3,K$2+1))),"max", MAX(INDIRECT(ADDRESS(265+3,K$2+1,,,"Instances") &amp; ":" &amp; ADDRESS(265+3,K$2+1))),"diff", MAX(INDIRECT(ADDRESS(265+3,K$2+1,,,"Instances") &amp; ":" &amp; ADDRESS(265+3,K$2+1)))-MIN(INDIRECT(ADDRESS(265+3,K$2+1,,,"Instances") &amp; ":" &amp; ADDRESS(265+3,K$2+1))))</f>
        <v>0</v>
      </c>
      <c r="L270">
        <f>IFERROR(SMALL(K5:K364,ROW()-ROW($L$5)+1),"")</f>
        <v>0</v>
      </c>
      <c r="N270">
        <f>IFERROR(SUM(L5:L270),"")</f>
        <v>0</v>
      </c>
      <c r="Q270">
        <f>IF(Charts!$B$3="none",E2077,IF(K2077="",NA(),K2077))</f>
        <v>0</v>
      </c>
      <c r="R270">
        <f>IF(Charts!$B$3="none",F2077,IF(L2077="",NA(),L2077))</f>
        <v>0</v>
      </c>
      <c r="S270">
        <f>IF(Charts!$B$3="none",G2077,IF(M2077="",NA(),M2077))</f>
        <v>0</v>
      </c>
      <c r="T270">
        <f>IF(Charts!$B$3="none",H2077,IF(N2077="",NA(),N2077))</f>
        <v>0</v>
      </c>
    </row>
    <row r="271" spans="4:20">
      <c r="D271">
        <v>267</v>
      </c>
      <c r="E271">
        <f>IF(INDIRECT(ADDRESS($D271+2,E$2+1,,,"Instances"))="","",INDIRECT(ADDRESS($D271+2,E$2+1,,,"Instances")))</f>
        <v>0</v>
      </c>
      <c r="F271">
        <f>IFERROR(SMALL(E5:E364,ROW()-ROW($F$5)+1),"")</f>
        <v>0</v>
      </c>
      <c r="H271">
        <f>IFERROR(SUM(F5:F271),"")</f>
        <v>0</v>
      </c>
      <c r="J271">
        <v>267</v>
      </c>
      <c r="K271" cm="1">
        <f t="array" ref="K271">_xlfn.SWITCH(Charts!$B$3,"average", AVERAGE(INDIRECT(ADDRESS(266+3,K$2+1,,,"Instances") &amp; ":" &amp; ADDRESS(266+3,K$2+1))),"median", MEDIAN(INDIRECT(ADDRESS(266+3,K$2+1,,,"Instances") &amp; ":" &amp; ADDRESS(266+3,K$2+1))),"min", MIN(INDIRECT(ADDRESS(266+3,K$2+1,,,"Instances") &amp; ":" &amp; ADDRESS(266+3,K$2+1))),"max", MAX(INDIRECT(ADDRESS(266+3,K$2+1,,,"Instances") &amp; ":" &amp; ADDRESS(266+3,K$2+1))),"diff", MAX(INDIRECT(ADDRESS(266+3,K$2+1,,,"Instances") &amp; ":" &amp; ADDRESS(266+3,K$2+1)))-MIN(INDIRECT(ADDRESS(266+3,K$2+1,,,"Instances") &amp; ":" &amp; ADDRESS(266+3,K$2+1))))</f>
        <v>0</v>
      </c>
      <c r="L271">
        <f>IFERROR(SMALL(K5:K364,ROW()-ROW($L$5)+1),"")</f>
        <v>0</v>
      </c>
      <c r="N271">
        <f>IFERROR(SUM(L5:L271),"")</f>
        <v>0</v>
      </c>
      <c r="Q271">
        <f>IF(Charts!$B$3="none",E2078,IF(K2078="",NA(),K2078))</f>
        <v>0</v>
      </c>
      <c r="R271">
        <f>IF(Charts!$B$3="none",F2078,IF(L2078="",NA(),L2078))</f>
        <v>0</v>
      </c>
      <c r="S271">
        <f>IF(Charts!$B$3="none",G2078,IF(M2078="",NA(),M2078))</f>
        <v>0</v>
      </c>
      <c r="T271">
        <f>IF(Charts!$B$3="none",H2078,IF(N2078="",NA(),N2078))</f>
        <v>0</v>
      </c>
    </row>
    <row r="272" spans="4:20">
      <c r="D272">
        <v>268</v>
      </c>
      <c r="E272">
        <f>IF(INDIRECT(ADDRESS($D272+2,E$2+1,,,"Instances"))="","",INDIRECT(ADDRESS($D272+2,E$2+1,,,"Instances")))</f>
        <v>0</v>
      </c>
      <c r="F272">
        <f>IFERROR(SMALL(E5:E364,ROW()-ROW($F$5)+1),"")</f>
        <v>0</v>
      </c>
      <c r="H272">
        <f>IFERROR(SUM(F5:F272),"")</f>
        <v>0</v>
      </c>
      <c r="J272">
        <v>268</v>
      </c>
      <c r="K272" cm="1">
        <f t="array" ref="K272">_xlfn.SWITCH(Charts!$B$3,"average", AVERAGE(INDIRECT(ADDRESS(267+3,K$2+1,,,"Instances") &amp; ":" &amp; ADDRESS(267+3,K$2+1))),"median", MEDIAN(INDIRECT(ADDRESS(267+3,K$2+1,,,"Instances") &amp; ":" &amp; ADDRESS(267+3,K$2+1))),"min", MIN(INDIRECT(ADDRESS(267+3,K$2+1,,,"Instances") &amp; ":" &amp; ADDRESS(267+3,K$2+1))),"max", MAX(INDIRECT(ADDRESS(267+3,K$2+1,,,"Instances") &amp; ":" &amp; ADDRESS(267+3,K$2+1))),"diff", MAX(INDIRECT(ADDRESS(267+3,K$2+1,,,"Instances") &amp; ":" &amp; ADDRESS(267+3,K$2+1)))-MIN(INDIRECT(ADDRESS(267+3,K$2+1,,,"Instances") &amp; ":" &amp; ADDRESS(267+3,K$2+1))))</f>
        <v>0</v>
      </c>
      <c r="L272">
        <f>IFERROR(SMALL(K5:K364,ROW()-ROW($L$5)+1),"")</f>
        <v>0</v>
      </c>
      <c r="N272">
        <f>IFERROR(SUM(L5:L272),"")</f>
        <v>0</v>
      </c>
      <c r="Q272">
        <f>IF(Charts!$B$3="none",E2079,IF(K2079="",NA(),K2079))</f>
        <v>0</v>
      </c>
      <c r="R272">
        <f>IF(Charts!$B$3="none",F2079,IF(L2079="",NA(),L2079))</f>
        <v>0</v>
      </c>
      <c r="S272">
        <f>IF(Charts!$B$3="none",G2079,IF(M2079="",NA(),M2079))</f>
        <v>0</v>
      </c>
      <c r="T272">
        <f>IF(Charts!$B$3="none",H2079,IF(N2079="",NA(),N2079))</f>
        <v>0</v>
      </c>
    </row>
    <row r="273" spans="4:20">
      <c r="D273">
        <v>269</v>
      </c>
      <c r="E273">
        <f>IF(INDIRECT(ADDRESS($D273+2,E$2+1,,,"Instances"))="","",INDIRECT(ADDRESS($D273+2,E$2+1,,,"Instances")))</f>
        <v>0</v>
      </c>
      <c r="F273">
        <f>IFERROR(SMALL(E5:E364,ROW()-ROW($F$5)+1),"")</f>
        <v>0</v>
      </c>
      <c r="H273">
        <f>IFERROR(SUM(F5:F273),"")</f>
        <v>0</v>
      </c>
      <c r="J273">
        <v>269</v>
      </c>
      <c r="K273" cm="1">
        <f t="array" ref="K273">_xlfn.SWITCH(Charts!$B$3,"average", AVERAGE(INDIRECT(ADDRESS(268+3,K$2+1,,,"Instances") &amp; ":" &amp; ADDRESS(268+3,K$2+1))),"median", MEDIAN(INDIRECT(ADDRESS(268+3,K$2+1,,,"Instances") &amp; ":" &amp; ADDRESS(268+3,K$2+1))),"min", MIN(INDIRECT(ADDRESS(268+3,K$2+1,,,"Instances") &amp; ":" &amp; ADDRESS(268+3,K$2+1))),"max", MAX(INDIRECT(ADDRESS(268+3,K$2+1,,,"Instances") &amp; ":" &amp; ADDRESS(268+3,K$2+1))),"diff", MAX(INDIRECT(ADDRESS(268+3,K$2+1,,,"Instances") &amp; ":" &amp; ADDRESS(268+3,K$2+1)))-MIN(INDIRECT(ADDRESS(268+3,K$2+1,,,"Instances") &amp; ":" &amp; ADDRESS(268+3,K$2+1))))</f>
        <v>0</v>
      </c>
      <c r="L273">
        <f>IFERROR(SMALL(K5:K364,ROW()-ROW($L$5)+1),"")</f>
        <v>0</v>
      </c>
      <c r="N273">
        <f>IFERROR(SUM(L5:L273),"")</f>
        <v>0</v>
      </c>
      <c r="Q273">
        <f>IF(Charts!$B$3="none",E2080,IF(K2080="",NA(),K2080))</f>
        <v>0</v>
      </c>
      <c r="R273">
        <f>IF(Charts!$B$3="none",F2080,IF(L2080="",NA(),L2080))</f>
        <v>0</v>
      </c>
      <c r="S273">
        <f>IF(Charts!$B$3="none",G2080,IF(M2080="",NA(),M2080))</f>
        <v>0</v>
      </c>
      <c r="T273">
        <f>IF(Charts!$B$3="none",H2080,IF(N2080="",NA(),N2080))</f>
        <v>0</v>
      </c>
    </row>
    <row r="274" spans="4:20">
      <c r="D274">
        <v>270</v>
      </c>
      <c r="E274">
        <f>IF(INDIRECT(ADDRESS($D274+2,E$2+1,,,"Instances"))="","",INDIRECT(ADDRESS($D274+2,E$2+1,,,"Instances")))</f>
        <v>0</v>
      </c>
      <c r="F274">
        <f>IFERROR(SMALL(E5:E364,ROW()-ROW($F$5)+1),"")</f>
        <v>0</v>
      </c>
      <c r="H274">
        <f>IFERROR(SUM(F5:F274),"")</f>
        <v>0</v>
      </c>
      <c r="J274">
        <v>270</v>
      </c>
      <c r="K274" cm="1">
        <f t="array" ref="K274">_xlfn.SWITCH(Charts!$B$3,"average", AVERAGE(INDIRECT(ADDRESS(269+3,K$2+1,,,"Instances") &amp; ":" &amp; ADDRESS(269+3,K$2+1))),"median", MEDIAN(INDIRECT(ADDRESS(269+3,K$2+1,,,"Instances") &amp; ":" &amp; ADDRESS(269+3,K$2+1))),"min", MIN(INDIRECT(ADDRESS(269+3,K$2+1,,,"Instances") &amp; ":" &amp; ADDRESS(269+3,K$2+1))),"max", MAX(INDIRECT(ADDRESS(269+3,K$2+1,,,"Instances") &amp; ":" &amp; ADDRESS(269+3,K$2+1))),"diff", MAX(INDIRECT(ADDRESS(269+3,K$2+1,,,"Instances") &amp; ":" &amp; ADDRESS(269+3,K$2+1)))-MIN(INDIRECT(ADDRESS(269+3,K$2+1,,,"Instances") &amp; ":" &amp; ADDRESS(269+3,K$2+1))))</f>
        <v>0</v>
      </c>
      <c r="L274">
        <f>IFERROR(SMALL(K5:K364,ROW()-ROW($L$5)+1),"")</f>
        <v>0</v>
      </c>
      <c r="N274">
        <f>IFERROR(SUM(L5:L274),"")</f>
        <v>0</v>
      </c>
      <c r="Q274">
        <f>IF(Charts!$B$3="none",E2081,IF(K2081="",NA(),K2081))</f>
        <v>0</v>
      </c>
      <c r="R274">
        <f>IF(Charts!$B$3="none",F2081,IF(L2081="",NA(),L2081))</f>
        <v>0</v>
      </c>
      <c r="S274">
        <f>IF(Charts!$B$3="none",G2081,IF(M2081="",NA(),M2081))</f>
        <v>0</v>
      </c>
      <c r="T274">
        <f>IF(Charts!$B$3="none",H2081,IF(N2081="",NA(),N2081))</f>
        <v>0</v>
      </c>
    </row>
    <row r="275" spans="4:20">
      <c r="D275">
        <v>271</v>
      </c>
      <c r="E275">
        <f>IF(INDIRECT(ADDRESS($D275+2,E$2+1,,,"Instances"))="","",INDIRECT(ADDRESS($D275+2,E$2+1,,,"Instances")))</f>
        <v>0</v>
      </c>
      <c r="F275">
        <f>IFERROR(SMALL(E5:E364,ROW()-ROW($F$5)+1),"")</f>
        <v>0</v>
      </c>
      <c r="H275">
        <f>IFERROR(SUM(F5:F275),"")</f>
        <v>0</v>
      </c>
      <c r="J275">
        <v>271</v>
      </c>
      <c r="K275" cm="1">
        <f t="array" ref="K275">_xlfn.SWITCH(Charts!$B$3,"average", AVERAGE(INDIRECT(ADDRESS(270+3,K$2+1,,,"Instances") &amp; ":" &amp; ADDRESS(270+3,K$2+1))),"median", MEDIAN(INDIRECT(ADDRESS(270+3,K$2+1,,,"Instances") &amp; ":" &amp; ADDRESS(270+3,K$2+1))),"min", MIN(INDIRECT(ADDRESS(270+3,K$2+1,,,"Instances") &amp; ":" &amp; ADDRESS(270+3,K$2+1))),"max", MAX(INDIRECT(ADDRESS(270+3,K$2+1,,,"Instances") &amp; ":" &amp; ADDRESS(270+3,K$2+1))),"diff", MAX(INDIRECT(ADDRESS(270+3,K$2+1,,,"Instances") &amp; ":" &amp; ADDRESS(270+3,K$2+1)))-MIN(INDIRECT(ADDRESS(270+3,K$2+1,,,"Instances") &amp; ":" &amp; ADDRESS(270+3,K$2+1))))</f>
        <v>0</v>
      </c>
      <c r="L275">
        <f>IFERROR(SMALL(K5:K364,ROW()-ROW($L$5)+1),"")</f>
        <v>0</v>
      </c>
      <c r="N275">
        <f>IFERROR(SUM(L5:L275),"")</f>
        <v>0</v>
      </c>
      <c r="Q275">
        <f>IF(Charts!$B$3="none",E2082,IF(K2082="",NA(),K2082))</f>
        <v>0</v>
      </c>
      <c r="R275">
        <f>IF(Charts!$B$3="none",F2082,IF(L2082="",NA(),L2082))</f>
        <v>0</v>
      </c>
      <c r="S275">
        <f>IF(Charts!$B$3="none",G2082,IF(M2082="",NA(),M2082))</f>
        <v>0</v>
      </c>
      <c r="T275">
        <f>IF(Charts!$B$3="none",H2082,IF(N2082="",NA(),N2082))</f>
        <v>0</v>
      </c>
    </row>
    <row r="276" spans="4:20">
      <c r="D276">
        <v>272</v>
      </c>
      <c r="E276">
        <f>IF(INDIRECT(ADDRESS($D276+2,E$2+1,,,"Instances"))="","",INDIRECT(ADDRESS($D276+2,E$2+1,,,"Instances")))</f>
        <v>0</v>
      </c>
      <c r="F276">
        <f>IFERROR(SMALL(E5:E364,ROW()-ROW($F$5)+1),"")</f>
        <v>0</v>
      </c>
      <c r="H276">
        <f>IFERROR(SUM(F5:F276),"")</f>
        <v>0</v>
      </c>
      <c r="J276">
        <v>272</v>
      </c>
      <c r="K276" cm="1">
        <f t="array" ref="K276">_xlfn.SWITCH(Charts!$B$3,"average", AVERAGE(INDIRECT(ADDRESS(271+3,K$2+1,,,"Instances") &amp; ":" &amp; ADDRESS(271+3,K$2+1))),"median", MEDIAN(INDIRECT(ADDRESS(271+3,K$2+1,,,"Instances") &amp; ":" &amp; ADDRESS(271+3,K$2+1))),"min", MIN(INDIRECT(ADDRESS(271+3,K$2+1,,,"Instances") &amp; ":" &amp; ADDRESS(271+3,K$2+1))),"max", MAX(INDIRECT(ADDRESS(271+3,K$2+1,,,"Instances") &amp; ":" &amp; ADDRESS(271+3,K$2+1))),"diff", MAX(INDIRECT(ADDRESS(271+3,K$2+1,,,"Instances") &amp; ":" &amp; ADDRESS(271+3,K$2+1)))-MIN(INDIRECT(ADDRESS(271+3,K$2+1,,,"Instances") &amp; ":" &amp; ADDRESS(271+3,K$2+1))))</f>
        <v>0</v>
      </c>
      <c r="L276">
        <f>IFERROR(SMALL(K5:K364,ROW()-ROW($L$5)+1),"")</f>
        <v>0</v>
      </c>
      <c r="N276">
        <f>IFERROR(SUM(L5:L276),"")</f>
        <v>0</v>
      </c>
      <c r="Q276">
        <f>IF(Charts!$B$3="none",E2083,IF(K2083="",NA(),K2083))</f>
        <v>0</v>
      </c>
      <c r="R276">
        <f>IF(Charts!$B$3="none",F2083,IF(L2083="",NA(),L2083))</f>
        <v>0</v>
      </c>
      <c r="S276">
        <f>IF(Charts!$B$3="none",G2083,IF(M2083="",NA(),M2083))</f>
        <v>0</v>
      </c>
      <c r="T276">
        <f>IF(Charts!$B$3="none",H2083,IF(N2083="",NA(),N2083))</f>
        <v>0</v>
      </c>
    </row>
    <row r="277" spans="4:20">
      <c r="D277">
        <v>273</v>
      </c>
      <c r="E277">
        <f>IF(INDIRECT(ADDRESS($D277+2,E$2+1,,,"Instances"))="","",INDIRECT(ADDRESS($D277+2,E$2+1,,,"Instances")))</f>
        <v>0</v>
      </c>
      <c r="F277">
        <f>IFERROR(SMALL(E5:E364,ROW()-ROW($F$5)+1),"")</f>
        <v>0</v>
      </c>
      <c r="H277">
        <f>IFERROR(SUM(F5:F277),"")</f>
        <v>0</v>
      </c>
      <c r="J277">
        <v>273</v>
      </c>
      <c r="K277" cm="1">
        <f t="array" ref="K277">_xlfn.SWITCH(Charts!$B$3,"average", AVERAGE(INDIRECT(ADDRESS(272+3,K$2+1,,,"Instances") &amp; ":" &amp; ADDRESS(272+3,K$2+1))),"median", MEDIAN(INDIRECT(ADDRESS(272+3,K$2+1,,,"Instances") &amp; ":" &amp; ADDRESS(272+3,K$2+1))),"min", MIN(INDIRECT(ADDRESS(272+3,K$2+1,,,"Instances") &amp; ":" &amp; ADDRESS(272+3,K$2+1))),"max", MAX(INDIRECT(ADDRESS(272+3,K$2+1,,,"Instances") &amp; ":" &amp; ADDRESS(272+3,K$2+1))),"diff", MAX(INDIRECT(ADDRESS(272+3,K$2+1,,,"Instances") &amp; ":" &amp; ADDRESS(272+3,K$2+1)))-MIN(INDIRECT(ADDRESS(272+3,K$2+1,,,"Instances") &amp; ":" &amp; ADDRESS(272+3,K$2+1))))</f>
        <v>0</v>
      </c>
      <c r="L277">
        <f>IFERROR(SMALL(K5:K364,ROW()-ROW($L$5)+1),"")</f>
        <v>0</v>
      </c>
      <c r="N277">
        <f>IFERROR(SUM(L5:L277),"")</f>
        <v>0</v>
      </c>
      <c r="Q277">
        <f>IF(Charts!$B$3="none",E2084,IF(K2084="",NA(),K2084))</f>
        <v>0</v>
      </c>
      <c r="R277">
        <f>IF(Charts!$B$3="none",F2084,IF(L2084="",NA(),L2084))</f>
        <v>0</v>
      </c>
      <c r="S277">
        <f>IF(Charts!$B$3="none",G2084,IF(M2084="",NA(),M2084))</f>
        <v>0</v>
      </c>
      <c r="T277">
        <f>IF(Charts!$B$3="none",H2084,IF(N2084="",NA(),N2084))</f>
        <v>0</v>
      </c>
    </row>
    <row r="278" spans="4:20">
      <c r="D278">
        <v>274</v>
      </c>
      <c r="E278">
        <f>IF(INDIRECT(ADDRESS($D278+2,E$2+1,,,"Instances"))="","",INDIRECT(ADDRESS($D278+2,E$2+1,,,"Instances")))</f>
        <v>0</v>
      </c>
      <c r="F278">
        <f>IFERROR(SMALL(E5:E364,ROW()-ROW($F$5)+1),"")</f>
        <v>0</v>
      </c>
      <c r="H278">
        <f>IFERROR(SUM(F5:F278),"")</f>
        <v>0</v>
      </c>
      <c r="J278">
        <v>274</v>
      </c>
      <c r="K278" cm="1">
        <f t="array" ref="K278">_xlfn.SWITCH(Charts!$B$3,"average", AVERAGE(INDIRECT(ADDRESS(273+3,K$2+1,,,"Instances") &amp; ":" &amp; ADDRESS(273+3,K$2+1))),"median", MEDIAN(INDIRECT(ADDRESS(273+3,K$2+1,,,"Instances") &amp; ":" &amp; ADDRESS(273+3,K$2+1))),"min", MIN(INDIRECT(ADDRESS(273+3,K$2+1,,,"Instances") &amp; ":" &amp; ADDRESS(273+3,K$2+1))),"max", MAX(INDIRECT(ADDRESS(273+3,K$2+1,,,"Instances") &amp; ":" &amp; ADDRESS(273+3,K$2+1))),"diff", MAX(INDIRECT(ADDRESS(273+3,K$2+1,,,"Instances") &amp; ":" &amp; ADDRESS(273+3,K$2+1)))-MIN(INDIRECT(ADDRESS(273+3,K$2+1,,,"Instances") &amp; ":" &amp; ADDRESS(273+3,K$2+1))))</f>
        <v>0</v>
      </c>
      <c r="L278">
        <f>IFERROR(SMALL(K5:K364,ROW()-ROW($L$5)+1),"")</f>
        <v>0</v>
      </c>
      <c r="N278">
        <f>IFERROR(SUM(L5:L278),"")</f>
        <v>0</v>
      </c>
      <c r="Q278">
        <f>IF(Charts!$B$3="none",E2085,IF(K2085="",NA(),K2085))</f>
        <v>0</v>
      </c>
      <c r="R278">
        <f>IF(Charts!$B$3="none",F2085,IF(L2085="",NA(),L2085))</f>
        <v>0</v>
      </c>
      <c r="S278">
        <f>IF(Charts!$B$3="none",G2085,IF(M2085="",NA(),M2085))</f>
        <v>0</v>
      </c>
      <c r="T278">
        <f>IF(Charts!$B$3="none",H2085,IF(N2085="",NA(),N2085))</f>
        <v>0</v>
      </c>
    </row>
    <row r="279" spans="4:20">
      <c r="D279">
        <v>275</v>
      </c>
      <c r="E279">
        <f>IF(INDIRECT(ADDRESS($D279+2,E$2+1,,,"Instances"))="","",INDIRECT(ADDRESS($D279+2,E$2+1,,,"Instances")))</f>
        <v>0</v>
      </c>
      <c r="F279">
        <f>IFERROR(SMALL(E5:E364,ROW()-ROW($F$5)+1),"")</f>
        <v>0</v>
      </c>
      <c r="H279">
        <f>IFERROR(SUM(F5:F279),"")</f>
        <v>0</v>
      </c>
      <c r="J279">
        <v>275</v>
      </c>
      <c r="K279" cm="1">
        <f t="array" ref="K279">_xlfn.SWITCH(Charts!$B$3,"average", AVERAGE(INDIRECT(ADDRESS(274+3,K$2+1,,,"Instances") &amp; ":" &amp; ADDRESS(274+3,K$2+1))),"median", MEDIAN(INDIRECT(ADDRESS(274+3,K$2+1,,,"Instances") &amp; ":" &amp; ADDRESS(274+3,K$2+1))),"min", MIN(INDIRECT(ADDRESS(274+3,K$2+1,,,"Instances") &amp; ":" &amp; ADDRESS(274+3,K$2+1))),"max", MAX(INDIRECT(ADDRESS(274+3,K$2+1,,,"Instances") &amp; ":" &amp; ADDRESS(274+3,K$2+1))),"diff", MAX(INDIRECT(ADDRESS(274+3,K$2+1,,,"Instances") &amp; ":" &amp; ADDRESS(274+3,K$2+1)))-MIN(INDIRECT(ADDRESS(274+3,K$2+1,,,"Instances") &amp; ":" &amp; ADDRESS(274+3,K$2+1))))</f>
        <v>0</v>
      </c>
      <c r="L279">
        <f>IFERROR(SMALL(K5:K364,ROW()-ROW($L$5)+1),"")</f>
        <v>0</v>
      </c>
      <c r="N279">
        <f>IFERROR(SUM(L5:L279),"")</f>
        <v>0</v>
      </c>
      <c r="Q279">
        <f>IF(Charts!$B$3="none",E2086,IF(K2086="",NA(),K2086))</f>
        <v>0</v>
      </c>
      <c r="R279">
        <f>IF(Charts!$B$3="none",F2086,IF(L2086="",NA(),L2086))</f>
        <v>0</v>
      </c>
      <c r="S279">
        <f>IF(Charts!$B$3="none",G2086,IF(M2086="",NA(),M2086))</f>
        <v>0</v>
      </c>
      <c r="T279">
        <f>IF(Charts!$B$3="none",H2086,IF(N2086="",NA(),N2086))</f>
        <v>0</v>
      </c>
    </row>
    <row r="280" spans="4:20">
      <c r="D280">
        <v>276</v>
      </c>
      <c r="E280">
        <f>IF(INDIRECT(ADDRESS($D280+2,E$2+1,,,"Instances"))="","",INDIRECT(ADDRESS($D280+2,E$2+1,,,"Instances")))</f>
        <v>0</v>
      </c>
      <c r="F280">
        <f>IFERROR(SMALL(E5:E364,ROW()-ROW($F$5)+1),"")</f>
        <v>0</v>
      </c>
      <c r="H280">
        <f>IFERROR(SUM(F5:F280),"")</f>
        <v>0</v>
      </c>
      <c r="J280">
        <v>276</v>
      </c>
      <c r="K280" cm="1">
        <f t="array" ref="K280">_xlfn.SWITCH(Charts!$B$3,"average", AVERAGE(INDIRECT(ADDRESS(275+3,K$2+1,,,"Instances") &amp; ":" &amp; ADDRESS(275+3,K$2+1))),"median", MEDIAN(INDIRECT(ADDRESS(275+3,K$2+1,,,"Instances") &amp; ":" &amp; ADDRESS(275+3,K$2+1))),"min", MIN(INDIRECT(ADDRESS(275+3,K$2+1,,,"Instances") &amp; ":" &amp; ADDRESS(275+3,K$2+1))),"max", MAX(INDIRECT(ADDRESS(275+3,K$2+1,,,"Instances") &amp; ":" &amp; ADDRESS(275+3,K$2+1))),"diff", MAX(INDIRECT(ADDRESS(275+3,K$2+1,,,"Instances") &amp; ":" &amp; ADDRESS(275+3,K$2+1)))-MIN(INDIRECT(ADDRESS(275+3,K$2+1,,,"Instances") &amp; ":" &amp; ADDRESS(275+3,K$2+1))))</f>
        <v>0</v>
      </c>
      <c r="L280">
        <f>IFERROR(SMALL(K5:K364,ROW()-ROW($L$5)+1),"")</f>
        <v>0</v>
      </c>
      <c r="N280">
        <f>IFERROR(SUM(L5:L280),"")</f>
        <v>0</v>
      </c>
      <c r="Q280">
        <f>IF(Charts!$B$3="none",E2087,IF(K2087="",NA(),K2087))</f>
        <v>0</v>
      </c>
      <c r="R280">
        <f>IF(Charts!$B$3="none",F2087,IF(L2087="",NA(),L2087))</f>
        <v>0</v>
      </c>
      <c r="S280">
        <f>IF(Charts!$B$3="none",G2087,IF(M2087="",NA(),M2087))</f>
        <v>0</v>
      </c>
      <c r="T280">
        <f>IF(Charts!$B$3="none",H2087,IF(N2087="",NA(),N2087))</f>
        <v>0</v>
      </c>
    </row>
    <row r="281" spans="4:20">
      <c r="D281">
        <v>277</v>
      </c>
      <c r="E281">
        <f>IF(INDIRECT(ADDRESS($D281+2,E$2+1,,,"Instances"))="","",INDIRECT(ADDRESS($D281+2,E$2+1,,,"Instances")))</f>
        <v>0</v>
      </c>
      <c r="F281">
        <f>IFERROR(SMALL(E5:E364,ROW()-ROW($F$5)+1),"")</f>
        <v>0</v>
      </c>
      <c r="H281">
        <f>IFERROR(SUM(F5:F281),"")</f>
        <v>0</v>
      </c>
      <c r="J281">
        <v>277</v>
      </c>
      <c r="K281" cm="1">
        <f t="array" ref="K281">_xlfn.SWITCH(Charts!$B$3,"average", AVERAGE(INDIRECT(ADDRESS(276+3,K$2+1,,,"Instances") &amp; ":" &amp; ADDRESS(276+3,K$2+1))),"median", MEDIAN(INDIRECT(ADDRESS(276+3,K$2+1,,,"Instances") &amp; ":" &amp; ADDRESS(276+3,K$2+1))),"min", MIN(INDIRECT(ADDRESS(276+3,K$2+1,,,"Instances") &amp; ":" &amp; ADDRESS(276+3,K$2+1))),"max", MAX(INDIRECT(ADDRESS(276+3,K$2+1,,,"Instances") &amp; ":" &amp; ADDRESS(276+3,K$2+1))),"diff", MAX(INDIRECT(ADDRESS(276+3,K$2+1,,,"Instances") &amp; ":" &amp; ADDRESS(276+3,K$2+1)))-MIN(INDIRECT(ADDRESS(276+3,K$2+1,,,"Instances") &amp; ":" &amp; ADDRESS(276+3,K$2+1))))</f>
        <v>0</v>
      </c>
      <c r="L281">
        <f>IFERROR(SMALL(K5:K364,ROW()-ROW($L$5)+1),"")</f>
        <v>0</v>
      </c>
      <c r="N281">
        <f>IFERROR(SUM(L5:L281),"")</f>
        <v>0</v>
      </c>
      <c r="Q281">
        <f>IF(Charts!$B$3="none",E2088,IF(K2088="",NA(),K2088))</f>
        <v>0</v>
      </c>
      <c r="R281">
        <f>IF(Charts!$B$3="none",F2088,IF(L2088="",NA(),L2088))</f>
        <v>0</v>
      </c>
      <c r="S281">
        <f>IF(Charts!$B$3="none",G2088,IF(M2088="",NA(),M2088))</f>
        <v>0</v>
      </c>
      <c r="T281">
        <f>IF(Charts!$B$3="none",H2088,IF(N2088="",NA(),N2088))</f>
        <v>0</v>
      </c>
    </row>
    <row r="282" spans="4:20">
      <c r="D282">
        <v>278</v>
      </c>
      <c r="E282">
        <f>IF(INDIRECT(ADDRESS($D282+2,E$2+1,,,"Instances"))="","",INDIRECT(ADDRESS($D282+2,E$2+1,,,"Instances")))</f>
        <v>0</v>
      </c>
      <c r="F282">
        <f>IFERROR(SMALL(E5:E364,ROW()-ROW($F$5)+1),"")</f>
        <v>0</v>
      </c>
      <c r="H282">
        <f>IFERROR(SUM(F5:F282),"")</f>
        <v>0</v>
      </c>
      <c r="J282">
        <v>278</v>
      </c>
      <c r="K282" cm="1">
        <f t="array" ref="K282">_xlfn.SWITCH(Charts!$B$3,"average", AVERAGE(INDIRECT(ADDRESS(277+3,K$2+1,,,"Instances") &amp; ":" &amp; ADDRESS(277+3,K$2+1))),"median", MEDIAN(INDIRECT(ADDRESS(277+3,K$2+1,,,"Instances") &amp; ":" &amp; ADDRESS(277+3,K$2+1))),"min", MIN(INDIRECT(ADDRESS(277+3,K$2+1,,,"Instances") &amp; ":" &amp; ADDRESS(277+3,K$2+1))),"max", MAX(INDIRECT(ADDRESS(277+3,K$2+1,,,"Instances") &amp; ":" &amp; ADDRESS(277+3,K$2+1))),"diff", MAX(INDIRECT(ADDRESS(277+3,K$2+1,,,"Instances") &amp; ":" &amp; ADDRESS(277+3,K$2+1)))-MIN(INDIRECT(ADDRESS(277+3,K$2+1,,,"Instances") &amp; ":" &amp; ADDRESS(277+3,K$2+1))))</f>
        <v>0</v>
      </c>
      <c r="L282">
        <f>IFERROR(SMALL(K5:K364,ROW()-ROW($L$5)+1),"")</f>
        <v>0</v>
      </c>
      <c r="N282">
        <f>IFERROR(SUM(L5:L282),"")</f>
        <v>0</v>
      </c>
      <c r="Q282">
        <f>IF(Charts!$B$3="none",E2089,IF(K2089="",NA(),K2089))</f>
        <v>0</v>
      </c>
      <c r="R282">
        <f>IF(Charts!$B$3="none",F2089,IF(L2089="",NA(),L2089))</f>
        <v>0</v>
      </c>
      <c r="S282">
        <f>IF(Charts!$B$3="none",G2089,IF(M2089="",NA(),M2089))</f>
        <v>0</v>
      </c>
      <c r="T282">
        <f>IF(Charts!$B$3="none",H2089,IF(N2089="",NA(),N2089))</f>
        <v>0</v>
      </c>
    </row>
    <row r="283" spans="4:20">
      <c r="D283">
        <v>279</v>
      </c>
      <c r="E283">
        <f>IF(INDIRECT(ADDRESS($D283+2,E$2+1,,,"Instances"))="","",INDIRECT(ADDRESS($D283+2,E$2+1,,,"Instances")))</f>
        <v>0</v>
      </c>
      <c r="F283">
        <f>IFERROR(SMALL(E5:E364,ROW()-ROW($F$5)+1),"")</f>
        <v>0</v>
      </c>
      <c r="H283">
        <f>IFERROR(SUM(F5:F283),"")</f>
        <v>0</v>
      </c>
      <c r="J283">
        <v>279</v>
      </c>
      <c r="K283" cm="1">
        <f t="array" ref="K283">_xlfn.SWITCH(Charts!$B$3,"average", AVERAGE(INDIRECT(ADDRESS(278+3,K$2+1,,,"Instances") &amp; ":" &amp; ADDRESS(278+3,K$2+1))),"median", MEDIAN(INDIRECT(ADDRESS(278+3,K$2+1,,,"Instances") &amp; ":" &amp; ADDRESS(278+3,K$2+1))),"min", MIN(INDIRECT(ADDRESS(278+3,K$2+1,,,"Instances") &amp; ":" &amp; ADDRESS(278+3,K$2+1))),"max", MAX(INDIRECT(ADDRESS(278+3,K$2+1,,,"Instances") &amp; ":" &amp; ADDRESS(278+3,K$2+1))),"diff", MAX(INDIRECT(ADDRESS(278+3,K$2+1,,,"Instances") &amp; ":" &amp; ADDRESS(278+3,K$2+1)))-MIN(INDIRECT(ADDRESS(278+3,K$2+1,,,"Instances") &amp; ":" &amp; ADDRESS(278+3,K$2+1))))</f>
        <v>0</v>
      </c>
      <c r="L283">
        <f>IFERROR(SMALL(K5:K364,ROW()-ROW($L$5)+1),"")</f>
        <v>0</v>
      </c>
      <c r="N283">
        <f>IFERROR(SUM(L5:L283),"")</f>
        <v>0</v>
      </c>
      <c r="Q283">
        <f>IF(Charts!$B$3="none",E2090,IF(K2090="",NA(),K2090))</f>
        <v>0</v>
      </c>
      <c r="R283">
        <f>IF(Charts!$B$3="none",F2090,IF(L2090="",NA(),L2090))</f>
        <v>0</v>
      </c>
      <c r="S283">
        <f>IF(Charts!$B$3="none",G2090,IF(M2090="",NA(),M2090))</f>
        <v>0</v>
      </c>
      <c r="T283">
        <f>IF(Charts!$B$3="none",H2090,IF(N2090="",NA(),N2090))</f>
        <v>0</v>
      </c>
    </row>
    <row r="284" spans="4:20">
      <c r="D284">
        <v>280</v>
      </c>
      <c r="E284">
        <f>IF(INDIRECT(ADDRESS($D284+2,E$2+1,,,"Instances"))="","",INDIRECT(ADDRESS($D284+2,E$2+1,,,"Instances")))</f>
        <v>0</v>
      </c>
      <c r="F284">
        <f>IFERROR(SMALL(E5:E364,ROW()-ROW($F$5)+1),"")</f>
        <v>0</v>
      </c>
      <c r="H284">
        <f>IFERROR(SUM(F5:F284),"")</f>
        <v>0</v>
      </c>
      <c r="J284">
        <v>280</v>
      </c>
      <c r="K284" cm="1">
        <f t="array" ref="K284">_xlfn.SWITCH(Charts!$B$3,"average", AVERAGE(INDIRECT(ADDRESS(279+3,K$2+1,,,"Instances") &amp; ":" &amp; ADDRESS(279+3,K$2+1))),"median", MEDIAN(INDIRECT(ADDRESS(279+3,K$2+1,,,"Instances") &amp; ":" &amp; ADDRESS(279+3,K$2+1))),"min", MIN(INDIRECT(ADDRESS(279+3,K$2+1,,,"Instances") &amp; ":" &amp; ADDRESS(279+3,K$2+1))),"max", MAX(INDIRECT(ADDRESS(279+3,K$2+1,,,"Instances") &amp; ":" &amp; ADDRESS(279+3,K$2+1))),"diff", MAX(INDIRECT(ADDRESS(279+3,K$2+1,,,"Instances") &amp; ":" &amp; ADDRESS(279+3,K$2+1)))-MIN(INDIRECT(ADDRESS(279+3,K$2+1,,,"Instances") &amp; ":" &amp; ADDRESS(279+3,K$2+1))))</f>
        <v>0</v>
      </c>
      <c r="L284">
        <f>IFERROR(SMALL(K5:K364,ROW()-ROW($L$5)+1),"")</f>
        <v>0</v>
      </c>
      <c r="N284">
        <f>IFERROR(SUM(L5:L284),"")</f>
        <v>0</v>
      </c>
      <c r="Q284">
        <f>IF(Charts!$B$3="none",E2091,IF(K2091="",NA(),K2091))</f>
        <v>0</v>
      </c>
      <c r="R284">
        <f>IF(Charts!$B$3="none",F2091,IF(L2091="",NA(),L2091))</f>
        <v>0</v>
      </c>
      <c r="S284">
        <f>IF(Charts!$B$3="none",G2091,IF(M2091="",NA(),M2091))</f>
        <v>0</v>
      </c>
      <c r="T284">
        <f>IF(Charts!$B$3="none",H2091,IF(N2091="",NA(),N2091))</f>
        <v>0</v>
      </c>
    </row>
    <row r="285" spans="4:20">
      <c r="D285">
        <v>281</v>
      </c>
      <c r="E285">
        <f>IF(INDIRECT(ADDRESS($D285+2,E$2+1,,,"Instances"))="","",INDIRECT(ADDRESS($D285+2,E$2+1,,,"Instances")))</f>
        <v>0</v>
      </c>
      <c r="F285">
        <f>IFERROR(SMALL(E5:E364,ROW()-ROW($F$5)+1),"")</f>
        <v>0</v>
      </c>
      <c r="H285">
        <f>IFERROR(SUM(F5:F285),"")</f>
        <v>0</v>
      </c>
      <c r="J285">
        <v>281</v>
      </c>
      <c r="K285" cm="1">
        <f t="array" ref="K285">_xlfn.SWITCH(Charts!$B$3,"average", AVERAGE(INDIRECT(ADDRESS(280+3,K$2+1,,,"Instances") &amp; ":" &amp; ADDRESS(280+3,K$2+1))),"median", MEDIAN(INDIRECT(ADDRESS(280+3,K$2+1,,,"Instances") &amp; ":" &amp; ADDRESS(280+3,K$2+1))),"min", MIN(INDIRECT(ADDRESS(280+3,K$2+1,,,"Instances") &amp; ":" &amp; ADDRESS(280+3,K$2+1))),"max", MAX(INDIRECT(ADDRESS(280+3,K$2+1,,,"Instances") &amp; ":" &amp; ADDRESS(280+3,K$2+1))),"diff", MAX(INDIRECT(ADDRESS(280+3,K$2+1,,,"Instances") &amp; ":" &amp; ADDRESS(280+3,K$2+1)))-MIN(INDIRECT(ADDRESS(280+3,K$2+1,,,"Instances") &amp; ":" &amp; ADDRESS(280+3,K$2+1))))</f>
        <v>0</v>
      </c>
      <c r="L285">
        <f>IFERROR(SMALL(K5:K364,ROW()-ROW($L$5)+1),"")</f>
        <v>0</v>
      </c>
      <c r="N285">
        <f>IFERROR(SUM(L5:L285),"")</f>
        <v>0</v>
      </c>
      <c r="Q285">
        <f>IF(Charts!$B$3="none",E2092,IF(K2092="",NA(),K2092))</f>
        <v>0</v>
      </c>
      <c r="R285">
        <f>IF(Charts!$B$3="none",F2092,IF(L2092="",NA(),L2092))</f>
        <v>0</v>
      </c>
      <c r="S285">
        <f>IF(Charts!$B$3="none",G2092,IF(M2092="",NA(),M2092))</f>
        <v>0</v>
      </c>
      <c r="T285">
        <f>IF(Charts!$B$3="none",H2092,IF(N2092="",NA(),N2092))</f>
        <v>0</v>
      </c>
    </row>
    <row r="286" spans="4:20">
      <c r="D286">
        <v>282</v>
      </c>
      <c r="E286">
        <f>IF(INDIRECT(ADDRESS($D286+2,E$2+1,,,"Instances"))="","",INDIRECT(ADDRESS($D286+2,E$2+1,,,"Instances")))</f>
        <v>0</v>
      </c>
      <c r="F286">
        <f>IFERROR(SMALL(E5:E364,ROW()-ROW($F$5)+1),"")</f>
        <v>0</v>
      </c>
      <c r="H286">
        <f>IFERROR(SUM(F5:F286),"")</f>
        <v>0</v>
      </c>
      <c r="J286">
        <v>282</v>
      </c>
      <c r="K286" cm="1">
        <f t="array" ref="K286">_xlfn.SWITCH(Charts!$B$3,"average", AVERAGE(INDIRECT(ADDRESS(281+3,K$2+1,,,"Instances") &amp; ":" &amp; ADDRESS(281+3,K$2+1))),"median", MEDIAN(INDIRECT(ADDRESS(281+3,K$2+1,,,"Instances") &amp; ":" &amp; ADDRESS(281+3,K$2+1))),"min", MIN(INDIRECT(ADDRESS(281+3,K$2+1,,,"Instances") &amp; ":" &amp; ADDRESS(281+3,K$2+1))),"max", MAX(INDIRECT(ADDRESS(281+3,K$2+1,,,"Instances") &amp; ":" &amp; ADDRESS(281+3,K$2+1))),"diff", MAX(INDIRECT(ADDRESS(281+3,K$2+1,,,"Instances") &amp; ":" &amp; ADDRESS(281+3,K$2+1)))-MIN(INDIRECT(ADDRESS(281+3,K$2+1,,,"Instances") &amp; ":" &amp; ADDRESS(281+3,K$2+1))))</f>
        <v>0</v>
      </c>
      <c r="L286">
        <f>IFERROR(SMALL(K5:K364,ROW()-ROW($L$5)+1),"")</f>
        <v>0</v>
      </c>
      <c r="N286">
        <f>IFERROR(SUM(L5:L286),"")</f>
        <v>0</v>
      </c>
      <c r="Q286">
        <f>IF(Charts!$B$3="none",E2093,IF(K2093="",NA(),K2093))</f>
        <v>0</v>
      </c>
      <c r="R286">
        <f>IF(Charts!$B$3="none",F2093,IF(L2093="",NA(),L2093))</f>
        <v>0</v>
      </c>
      <c r="S286">
        <f>IF(Charts!$B$3="none",G2093,IF(M2093="",NA(),M2093))</f>
        <v>0</v>
      </c>
      <c r="T286">
        <f>IF(Charts!$B$3="none",H2093,IF(N2093="",NA(),N2093))</f>
        <v>0</v>
      </c>
    </row>
    <row r="287" spans="4:20">
      <c r="D287">
        <v>283</v>
      </c>
      <c r="E287">
        <f>IF(INDIRECT(ADDRESS($D287+2,E$2+1,,,"Instances"))="","",INDIRECT(ADDRESS($D287+2,E$2+1,,,"Instances")))</f>
        <v>0</v>
      </c>
      <c r="F287">
        <f>IFERROR(SMALL(E5:E364,ROW()-ROW($F$5)+1),"")</f>
        <v>0</v>
      </c>
      <c r="H287">
        <f>IFERROR(SUM(F5:F287),"")</f>
        <v>0</v>
      </c>
      <c r="J287">
        <v>283</v>
      </c>
      <c r="K287" cm="1">
        <f t="array" ref="K287">_xlfn.SWITCH(Charts!$B$3,"average", AVERAGE(INDIRECT(ADDRESS(282+3,K$2+1,,,"Instances") &amp; ":" &amp; ADDRESS(282+3,K$2+1))),"median", MEDIAN(INDIRECT(ADDRESS(282+3,K$2+1,,,"Instances") &amp; ":" &amp; ADDRESS(282+3,K$2+1))),"min", MIN(INDIRECT(ADDRESS(282+3,K$2+1,,,"Instances") &amp; ":" &amp; ADDRESS(282+3,K$2+1))),"max", MAX(INDIRECT(ADDRESS(282+3,K$2+1,,,"Instances") &amp; ":" &amp; ADDRESS(282+3,K$2+1))),"diff", MAX(INDIRECT(ADDRESS(282+3,K$2+1,,,"Instances") &amp; ":" &amp; ADDRESS(282+3,K$2+1)))-MIN(INDIRECT(ADDRESS(282+3,K$2+1,,,"Instances") &amp; ":" &amp; ADDRESS(282+3,K$2+1))))</f>
        <v>0</v>
      </c>
      <c r="L287">
        <f>IFERROR(SMALL(K5:K364,ROW()-ROW($L$5)+1),"")</f>
        <v>0</v>
      </c>
      <c r="N287">
        <f>IFERROR(SUM(L5:L287),"")</f>
        <v>0</v>
      </c>
      <c r="Q287">
        <f>IF(Charts!$B$3="none",E2094,IF(K2094="",NA(),K2094))</f>
        <v>0</v>
      </c>
      <c r="R287">
        <f>IF(Charts!$B$3="none",F2094,IF(L2094="",NA(),L2094))</f>
        <v>0</v>
      </c>
      <c r="S287">
        <f>IF(Charts!$B$3="none",G2094,IF(M2094="",NA(),M2094))</f>
        <v>0</v>
      </c>
      <c r="T287">
        <f>IF(Charts!$B$3="none",H2094,IF(N2094="",NA(),N2094))</f>
        <v>0</v>
      </c>
    </row>
    <row r="288" spans="4:20">
      <c r="D288">
        <v>284</v>
      </c>
      <c r="E288">
        <f>IF(INDIRECT(ADDRESS($D288+2,E$2+1,,,"Instances"))="","",INDIRECT(ADDRESS($D288+2,E$2+1,,,"Instances")))</f>
        <v>0</v>
      </c>
      <c r="F288">
        <f>IFERROR(SMALL(E5:E364,ROW()-ROW($F$5)+1),"")</f>
        <v>0</v>
      </c>
      <c r="H288">
        <f>IFERROR(SUM(F5:F288),"")</f>
        <v>0</v>
      </c>
      <c r="J288">
        <v>284</v>
      </c>
      <c r="K288" cm="1">
        <f t="array" ref="K288">_xlfn.SWITCH(Charts!$B$3,"average", AVERAGE(INDIRECT(ADDRESS(283+3,K$2+1,,,"Instances") &amp; ":" &amp; ADDRESS(283+3,K$2+1))),"median", MEDIAN(INDIRECT(ADDRESS(283+3,K$2+1,,,"Instances") &amp; ":" &amp; ADDRESS(283+3,K$2+1))),"min", MIN(INDIRECT(ADDRESS(283+3,K$2+1,,,"Instances") &amp; ":" &amp; ADDRESS(283+3,K$2+1))),"max", MAX(INDIRECT(ADDRESS(283+3,K$2+1,,,"Instances") &amp; ":" &amp; ADDRESS(283+3,K$2+1))),"diff", MAX(INDIRECT(ADDRESS(283+3,K$2+1,,,"Instances") &amp; ":" &amp; ADDRESS(283+3,K$2+1)))-MIN(INDIRECT(ADDRESS(283+3,K$2+1,,,"Instances") &amp; ":" &amp; ADDRESS(283+3,K$2+1))))</f>
        <v>0</v>
      </c>
      <c r="L288">
        <f>IFERROR(SMALL(K5:K364,ROW()-ROW($L$5)+1),"")</f>
        <v>0</v>
      </c>
      <c r="N288">
        <f>IFERROR(SUM(L5:L288),"")</f>
        <v>0</v>
      </c>
      <c r="Q288">
        <f>IF(Charts!$B$3="none",E2095,IF(K2095="",NA(),K2095))</f>
        <v>0</v>
      </c>
      <c r="R288">
        <f>IF(Charts!$B$3="none",F2095,IF(L2095="",NA(),L2095))</f>
        <v>0</v>
      </c>
      <c r="S288">
        <f>IF(Charts!$B$3="none",G2095,IF(M2095="",NA(),M2095))</f>
        <v>0</v>
      </c>
      <c r="T288">
        <f>IF(Charts!$B$3="none",H2095,IF(N2095="",NA(),N2095))</f>
        <v>0</v>
      </c>
    </row>
    <row r="289" spans="4:20">
      <c r="D289">
        <v>285</v>
      </c>
      <c r="E289">
        <f>IF(INDIRECT(ADDRESS($D289+2,E$2+1,,,"Instances"))="","",INDIRECT(ADDRESS($D289+2,E$2+1,,,"Instances")))</f>
        <v>0</v>
      </c>
      <c r="F289">
        <f>IFERROR(SMALL(E5:E364,ROW()-ROW($F$5)+1),"")</f>
        <v>0</v>
      </c>
      <c r="H289">
        <f>IFERROR(SUM(F5:F289),"")</f>
        <v>0</v>
      </c>
      <c r="J289">
        <v>285</v>
      </c>
      <c r="K289" cm="1">
        <f t="array" ref="K289">_xlfn.SWITCH(Charts!$B$3,"average", AVERAGE(INDIRECT(ADDRESS(284+3,K$2+1,,,"Instances") &amp; ":" &amp; ADDRESS(284+3,K$2+1))),"median", MEDIAN(INDIRECT(ADDRESS(284+3,K$2+1,,,"Instances") &amp; ":" &amp; ADDRESS(284+3,K$2+1))),"min", MIN(INDIRECT(ADDRESS(284+3,K$2+1,,,"Instances") &amp; ":" &amp; ADDRESS(284+3,K$2+1))),"max", MAX(INDIRECT(ADDRESS(284+3,K$2+1,,,"Instances") &amp; ":" &amp; ADDRESS(284+3,K$2+1))),"diff", MAX(INDIRECT(ADDRESS(284+3,K$2+1,,,"Instances") &amp; ":" &amp; ADDRESS(284+3,K$2+1)))-MIN(INDIRECT(ADDRESS(284+3,K$2+1,,,"Instances") &amp; ":" &amp; ADDRESS(284+3,K$2+1))))</f>
        <v>0</v>
      </c>
      <c r="L289">
        <f>IFERROR(SMALL(K5:K364,ROW()-ROW($L$5)+1),"")</f>
        <v>0</v>
      </c>
      <c r="N289">
        <f>IFERROR(SUM(L5:L289),"")</f>
        <v>0</v>
      </c>
      <c r="Q289">
        <f>IF(Charts!$B$3="none",E2096,IF(K2096="",NA(),K2096))</f>
        <v>0</v>
      </c>
      <c r="R289">
        <f>IF(Charts!$B$3="none",F2096,IF(L2096="",NA(),L2096))</f>
        <v>0</v>
      </c>
      <c r="S289">
        <f>IF(Charts!$B$3="none",G2096,IF(M2096="",NA(),M2096))</f>
        <v>0</v>
      </c>
      <c r="T289">
        <f>IF(Charts!$B$3="none",H2096,IF(N2096="",NA(),N2096))</f>
        <v>0</v>
      </c>
    </row>
    <row r="290" spans="4:20">
      <c r="D290">
        <v>286</v>
      </c>
      <c r="E290">
        <f>IF(INDIRECT(ADDRESS($D290+2,E$2+1,,,"Instances"))="","",INDIRECT(ADDRESS($D290+2,E$2+1,,,"Instances")))</f>
        <v>0</v>
      </c>
      <c r="F290">
        <f>IFERROR(SMALL(E5:E364,ROW()-ROW($F$5)+1),"")</f>
        <v>0</v>
      </c>
      <c r="H290">
        <f>IFERROR(SUM(F5:F290),"")</f>
        <v>0</v>
      </c>
      <c r="J290">
        <v>286</v>
      </c>
      <c r="K290" cm="1">
        <f t="array" ref="K290">_xlfn.SWITCH(Charts!$B$3,"average", AVERAGE(INDIRECT(ADDRESS(285+3,K$2+1,,,"Instances") &amp; ":" &amp; ADDRESS(285+3,K$2+1))),"median", MEDIAN(INDIRECT(ADDRESS(285+3,K$2+1,,,"Instances") &amp; ":" &amp; ADDRESS(285+3,K$2+1))),"min", MIN(INDIRECT(ADDRESS(285+3,K$2+1,,,"Instances") &amp; ":" &amp; ADDRESS(285+3,K$2+1))),"max", MAX(INDIRECT(ADDRESS(285+3,K$2+1,,,"Instances") &amp; ":" &amp; ADDRESS(285+3,K$2+1))),"diff", MAX(INDIRECT(ADDRESS(285+3,K$2+1,,,"Instances") &amp; ":" &amp; ADDRESS(285+3,K$2+1)))-MIN(INDIRECT(ADDRESS(285+3,K$2+1,,,"Instances") &amp; ":" &amp; ADDRESS(285+3,K$2+1))))</f>
        <v>0</v>
      </c>
      <c r="L290">
        <f>IFERROR(SMALL(K5:K364,ROW()-ROW($L$5)+1),"")</f>
        <v>0</v>
      </c>
      <c r="N290">
        <f>IFERROR(SUM(L5:L290),"")</f>
        <v>0</v>
      </c>
      <c r="Q290">
        <f>IF(Charts!$B$3="none",E2097,IF(K2097="",NA(),K2097))</f>
        <v>0</v>
      </c>
      <c r="R290">
        <f>IF(Charts!$B$3="none",F2097,IF(L2097="",NA(),L2097))</f>
        <v>0</v>
      </c>
      <c r="S290">
        <f>IF(Charts!$B$3="none",G2097,IF(M2097="",NA(),M2097))</f>
        <v>0</v>
      </c>
      <c r="T290">
        <f>IF(Charts!$B$3="none",H2097,IF(N2097="",NA(),N2097))</f>
        <v>0</v>
      </c>
    </row>
    <row r="291" spans="4:20">
      <c r="D291">
        <v>287</v>
      </c>
      <c r="E291">
        <f>IF(INDIRECT(ADDRESS($D291+2,E$2+1,,,"Instances"))="","",INDIRECT(ADDRESS($D291+2,E$2+1,,,"Instances")))</f>
        <v>0</v>
      </c>
      <c r="F291">
        <f>IFERROR(SMALL(E5:E364,ROW()-ROW($F$5)+1),"")</f>
        <v>0</v>
      </c>
      <c r="H291">
        <f>IFERROR(SUM(F5:F291),"")</f>
        <v>0</v>
      </c>
      <c r="J291">
        <v>287</v>
      </c>
      <c r="K291" cm="1">
        <f t="array" ref="K291">_xlfn.SWITCH(Charts!$B$3,"average", AVERAGE(INDIRECT(ADDRESS(286+3,K$2+1,,,"Instances") &amp; ":" &amp; ADDRESS(286+3,K$2+1))),"median", MEDIAN(INDIRECT(ADDRESS(286+3,K$2+1,,,"Instances") &amp; ":" &amp; ADDRESS(286+3,K$2+1))),"min", MIN(INDIRECT(ADDRESS(286+3,K$2+1,,,"Instances") &amp; ":" &amp; ADDRESS(286+3,K$2+1))),"max", MAX(INDIRECT(ADDRESS(286+3,K$2+1,,,"Instances") &amp; ":" &amp; ADDRESS(286+3,K$2+1))),"diff", MAX(INDIRECT(ADDRESS(286+3,K$2+1,,,"Instances") &amp; ":" &amp; ADDRESS(286+3,K$2+1)))-MIN(INDIRECT(ADDRESS(286+3,K$2+1,,,"Instances") &amp; ":" &amp; ADDRESS(286+3,K$2+1))))</f>
        <v>0</v>
      </c>
      <c r="L291">
        <f>IFERROR(SMALL(K5:K364,ROW()-ROW($L$5)+1),"")</f>
        <v>0</v>
      </c>
      <c r="N291">
        <f>IFERROR(SUM(L5:L291),"")</f>
        <v>0</v>
      </c>
      <c r="Q291">
        <f>IF(Charts!$B$3="none",E2098,IF(K2098="",NA(),K2098))</f>
        <v>0</v>
      </c>
      <c r="R291">
        <f>IF(Charts!$B$3="none",F2098,IF(L2098="",NA(),L2098))</f>
        <v>0</v>
      </c>
      <c r="S291">
        <f>IF(Charts!$B$3="none",G2098,IF(M2098="",NA(),M2098))</f>
        <v>0</v>
      </c>
      <c r="T291">
        <f>IF(Charts!$B$3="none",H2098,IF(N2098="",NA(),N2098))</f>
        <v>0</v>
      </c>
    </row>
    <row r="292" spans="4:20">
      <c r="D292">
        <v>288</v>
      </c>
      <c r="E292">
        <f>IF(INDIRECT(ADDRESS($D292+2,E$2+1,,,"Instances"))="","",INDIRECT(ADDRESS($D292+2,E$2+1,,,"Instances")))</f>
        <v>0</v>
      </c>
      <c r="F292">
        <f>IFERROR(SMALL(E5:E364,ROW()-ROW($F$5)+1),"")</f>
        <v>0</v>
      </c>
      <c r="H292">
        <f>IFERROR(SUM(F5:F292),"")</f>
        <v>0</v>
      </c>
      <c r="J292">
        <v>288</v>
      </c>
      <c r="K292" cm="1">
        <f t="array" ref="K292">_xlfn.SWITCH(Charts!$B$3,"average", AVERAGE(INDIRECT(ADDRESS(287+3,K$2+1,,,"Instances") &amp; ":" &amp; ADDRESS(287+3,K$2+1))),"median", MEDIAN(INDIRECT(ADDRESS(287+3,K$2+1,,,"Instances") &amp; ":" &amp; ADDRESS(287+3,K$2+1))),"min", MIN(INDIRECT(ADDRESS(287+3,K$2+1,,,"Instances") &amp; ":" &amp; ADDRESS(287+3,K$2+1))),"max", MAX(INDIRECT(ADDRESS(287+3,K$2+1,,,"Instances") &amp; ":" &amp; ADDRESS(287+3,K$2+1))),"diff", MAX(INDIRECT(ADDRESS(287+3,K$2+1,,,"Instances") &amp; ":" &amp; ADDRESS(287+3,K$2+1)))-MIN(INDIRECT(ADDRESS(287+3,K$2+1,,,"Instances") &amp; ":" &amp; ADDRESS(287+3,K$2+1))))</f>
        <v>0</v>
      </c>
      <c r="L292">
        <f>IFERROR(SMALL(K5:K364,ROW()-ROW($L$5)+1),"")</f>
        <v>0</v>
      </c>
      <c r="N292">
        <f>IFERROR(SUM(L5:L292),"")</f>
        <v>0</v>
      </c>
      <c r="Q292">
        <f>IF(Charts!$B$3="none",E2099,IF(K2099="",NA(),K2099))</f>
        <v>0</v>
      </c>
      <c r="R292">
        <f>IF(Charts!$B$3="none",F2099,IF(L2099="",NA(),L2099))</f>
        <v>0</v>
      </c>
      <c r="S292">
        <f>IF(Charts!$B$3="none",G2099,IF(M2099="",NA(),M2099))</f>
        <v>0</v>
      </c>
      <c r="T292">
        <f>IF(Charts!$B$3="none",H2099,IF(N2099="",NA(),N2099))</f>
        <v>0</v>
      </c>
    </row>
    <row r="293" spans="4:20">
      <c r="D293">
        <v>289</v>
      </c>
      <c r="E293">
        <f>IF(INDIRECT(ADDRESS($D293+2,E$2+1,,,"Instances"))="","",INDIRECT(ADDRESS($D293+2,E$2+1,,,"Instances")))</f>
        <v>0</v>
      </c>
      <c r="F293">
        <f>IFERROR(SMALL(E5:E364,ROW()-ROW($F$5)+1),"")</f>
        <v>0</v>
      </c>
      <c r="H293">
        <f>IFERROR(SUM(F5:F293),"")</f>
        <v>0</v>
      </c>
      <c r="J293">
        <v>289</v>
      </c>
      <c r="K293" cm="1">
        <f t="array" ref="K293">_xlfn.SWITCH(Charts!$B$3,"average", AVERAGE(INDIRECT(ADDRESS(288+3,K$2+1,,,"Instances") &amp; ":" &amp; ADDRESS(288+3,K$2+1))),"median", MEDIAN(INDIRECT(ADDRESS(288+3,K$2+1,,,"Instances") &amp; ":" &amp; ADDRESS(288+3,K$2+1))),"min", MIN(INDIRECT(ADDRESS(288+3,K$2+1,,,"Instances") &amp; ":" &amp; ADDRESS(288+3,K$2+1))),"max", MAX(INDIRECT(ADDRESS(288+3,K$2+1,,,"Instances") &amp; ":" &amp; ADDRESS(288+3,K$2+1))),"diff", MAX(INDIRECT(ADDRESS(288+3,K$2+1,,,"Instances") &amp; ":" &amp; ADDRESS(288+3,K$2+1)))-MIN(INDIRECT(ADDRESS(288+3,K$2+1,,,"Instances") &amp; ":" &amp; ADDRESS(288+3,K$2+1))))</f>
        <v>0</v>
      </c>
      <c r="L293">
        <f>IFERROR(SMALL(K5:K364,ROW()-ROW($L$5)+1),"")</f>
        <v>0</v>
      </c>
      <c r="N293">
        <f>IFERROR(SUM(L5:L293),"")</f>
        <v>0</v>
      </c>
      <c r="Q293">
        <f>IF(Charts!$B$3="none",E2100,IF(K2100="",NA(),K2100))</f>
        <v>0</v>
      </c>
      <c r="R293">
        <f>IF(Charts!$B$3="none",F2100,IF(L2100="",NA(),L2100))</f>
        <v>0</v>
      </c>
      <c r="S293">
        <f>IF(Charts!$B$3="none",G2100,IF(M2100="",NA(),M2100))</f>
        <v>0</v>
      </c>
      <c r="T293">
        <f>IF(Charts!$B$3="none",H2100,IF(N2100="",NA(),N2100))</f>
        <v>0</v>
      </c>
    </row>
    <row r="294" spans="4:20">
      <c r="D294">
        <v>290</v>
      </c>
      <c r="E294">
        <f>IF(INDIRECT(ADDRESS($D294+2,E$2+1,,,"Instances"))="","",INDIRECT(ADDRESS($D294+2,E$2+1,,,"Instances")))</f>
        <v>0</v>
      </c>
      <c r="F294">
        <f>IFERROR(SMALL(E5:E364,ROW()-ROW($F$5)+1),"")</f>
        <v>0</v>
      </c>
      <c r="H294">
        <f>IFERROR(SUM(F5:F294),"")</f>
        <v>0</v>
      </c>
      <c r="J294">
        <v>290</v>
      </c>
      <c r="K294" cm="1">
        <f t="array" ref="K294">_xlfn.SWITCH(Charts!$B$3,"average", AVERAGE(INDIRECT(ADDRESS(289+3,K$2+1,,,"Instances") &amp; ":" &amp; ADDRESS(289+3,K$2+1))),"median", MEDIAN(INDIRECT(ADDRESS(289+3,K$2+1,,,"Instances") &amp; ":" &amp; ADDRESS(289+3,K$2+1))),"min", MIN(INDIRECT(ADDRESS(289+3,K$2+1,,,"Instances") &amp; ":" &amp; ADDRESS(289+3,K$2+1))),"max", MAX(INDIRECT(ADDRESS(289+3,K$2+1,,,"Instances") &amp; ":" &amp; ADDRESS(289+3,K$2+1))),"diff", MAX(INDIRECT(ADDRESS(289+3,K$2+1,,,"Instances") &amp; ":" &amp; ADDRESS(289+3,K$2+1)))-MIN(INDIRECT(ADDRESS(289+3,K$2+1,,,"Instances") &amp; ":" &amp; ADDRESS(289+3,K$2+1))))</f>
        <v>0</v>
      </c>
      <c r="L294">
        <f>IFERROR(SMALL(K5:K364,ROW()-ROW($L$5)+1),"")</f>
        <v>0</v>
      </c>
      <c r="N294">
        <f>IFERROR(SUM(L5:L294),"")</f>
        <v>0</v>
      </c>
      <c r="Q294">
        <f>IF(Charts!$B$3="none",E2101,IF(K2101="",NA(),K2101))</f>
        <v>0</v>
      </c>
      <c r="R294">
        <f>IF(Charts!$B$3="none",F2101,IF(L2101="",NA(),L2101))</f>
        <v>0</v>
      </c>
      <c r="S294">
        <f>IF(Charts!$B$3="none",G2101,IF(M2101="",NA(),M2101))</f>
        <v>0</v>
      </c>
      <c r="T294">
        <f>IF(Charts!$B$3="none",H2101,IF(N2101="",NA(),N2101))</f>
        <v>0</v>
      </c>
    </row>
    <row r="295" spans="4:20">
      <c r="D295">
        <v>291</v>
      </c>
      <c r="E295">
        <f>IF(INDIRECT(ADDRESS($D295+2,E$2+1,,,"Instances"))="","",INDIRECT(ADDRESS($D295+2,E$2+1,,,"Instances")))</f>
        <v>0</v>
      </c>
      <c r="F295">
        <f>IFERROR(SMALL(E5:E364,ROW()-ROW($F$5)+1),"")</f>
        <v>0</v>
      </c>
      <c r="H295">
        <f>IFERROR(SUM(F5:F295),"")</f>
        <v>0</v>
      </c>
      <c r="J295">
        <v>291</v>
      </c>
      <c r="K295" cm="1">
        <f t="array" ref="K295">_xlfn.SWITCH(Charts!$B$3,"average", AVERAGE(INDIRECT(ADDRESS(290+3,K$2+1,,,"Instances") &amp; ":" &amp; ADDRESS(290+3,K$2+1))),"median", MEDIAN(INDIRECT(ADDRESS(290+3,K$2+1,,,"Instances") &amp; ":" &amp; ADDRESS(290+3,K$2+1))),"min", MIN(INDIRECT(ADDRESS(290+3,K$2+1,,,"Instances") &amp; ":" &amp; ADDRESS(290+3,K$2+1))),"max", MAX(INDIRECT(ADDRESS(290+3,K$2+1,,,"Instances") &amp; ":" &amp; ADDRESS(290+3,K$2+1))),"diff", MAX(INDIRECT(ADDRESS(290+3,K$2+1,,,"Instances") &amp; ":" &amp; ADDRESS(290+3,K$2+1)))-MIN(INDIRECT(ADDRESS(290+3,K$2+1,,,"Instances") &amp; ":" &amp; ADDRESS(290+3,K$2+1))))</f>
        <v>0</v>
      </c>
      <c r="L295">
        <f>IFERROR(SMALL(K5:K364,ROW()-ROW($L$5)+1),"")</f>
        <v>0</v>
      </c>
      <c r="N295">
        <f>IFERROR(SUM(L5:L295),"")</f>
        <v>0</v>
      </c>
      <c r="Q295">
        <f>IF(Charts!$B$3="none",E2102,IF(K2102="",NA(),K2102))</f>
        <v>0</v>
      </c>
      <c r="R295">
        <f>IF(Charts!$B$3="none",F2102,IF(L2102="",NA(),L2102))</f>
        <v>0</v>
      </c>
      <c r="S295">
        <f>IF(Charts!$B$3="none",G2102,IF(M2102="",NA(),M2102))</f>
        <v>0</v>
      </c>
      <c r="T295">
        <f>IF(Charts!$B$3="none",H2102,IF(N2102="",NA(),N2102))</f>
        <v>0</v>
      </c>
    </row>
    <row r="296" spans="4:20">
      <c r="D296">
        <v>292</v>
      </c>
      <c r="E296">
        <f>IF(INDIRECT(ADDRESS($D296+2,E$2+1,,,"Instances"))="","",INDIRECT(ADDRESS($D296+2,E$2+1,,,"Instances")))</f>
        <v>0</v>
      </c>
      <c r="F296">
        <f>IFERROR(SMALL(E5:E364,ROW()-ROW($F$5)+1),"")</f>
        <v>0</v>
      </c>
      <c r="H296">
        <f>IFERROR(SUM(F5:F296),"")</f>
        <v>0</v>
      </c>
      <c r="J296">
        <v>292</v>
      </c>
      <c r="K296" cm="1">
        <f t="array" ref="K296">_xlfn.SWITCH(Charts!$B$3,"average", AVERAGE(INDIRECT(ADDRESS(291+3,K$2+1,,,"Instances") &amp; ":" &amp; ADDRESS(291+3,K$2+1))),"median", MEDIAN(INDIRECT(ADDRESS(291+3,K$2+1,,,"Instances") &amp; ":" &amp; ADDRESS(291+3,K$2+1))),"min", MIN(INDIRECT(ADDRESS(291+3,K$2+1,,,"Instances") &amp; ":" &amp; ADDRESS(291+3,K$2+1))),"max", MAX(INDIRECT(ADDRESS(291+3,K$2+1,,,"Instances") &amp; ":" &amp; ADDRESS(291+3,K$2+1))),"diff", MAX(INDIRECT(ADDRESS(291+3,K$2+1,,,"Instances") &amp; ":" &amp; ADDRESS(291+3,K$2+1)))-MIN(INDIRECT(ADDRESS(291+3,K$2+1,,,"Instances") &amp; ":" &amp; ADDRESS(291+3,K$2+1))))</f>
        <v>0</v>
      </c>
      <c r="L296">
        <f>IFERROR(SMALL(K5:K364,ROW()-ROW($L$5)+1),"")</f>
        <v>0</v>
      </c>
      <c r="N296">
        <f>IFERROR(SUM(L5:L296),"")</f>
        <v>0</v>
      </c>
      <c r="Q296">
        <f>IF(Charts!$B$3="none",E2103,IF(K2103="",NA(),K2103))</f>
        <v>0</v>
      </c>
      <c r="R296">
        <f>IF(Charts!$B$3="none",F2103,IF(L2103="",NA(),L2103))</f>
        <v>0</v>
      </c>
      <c r="S296">
        <f>IF(Charts!$B$3="none",G2103,IF(M2103="",NA(),M2103))</f>
        <v>0</v>
      </c>
      <c r="T296">
        <f>IF(Charts!$B$3="none",H2103,IF(N2103="",NA(),N2103))</f>
        <v>0</v>
      </c>
    </row>
    <row r="297" spans="4:20">
      <c r="D297">
        <v>293</v>
      </c>
      <c r="E297">
        <f>IF(INDIRECT(ADDRESS($D297+2,E$2+1,,,"Instances"))="","",INDIRECT(ADDRESS($D297+2,E$2+1,,,"Instances")))</f>
        <v>0</v>
      </c>
      <c r="F297">
        <f>IFERROR(SMALL(E5:E364,ROW()-ROW($F$5)+1),"")</f>
        <v>0</v>
      </c>
      <c r="H297">
        <f>IFERROR(SUM(F5:F297),"")</f>
        <v>0</v>
      </c>
      <c r="J297">
        <v>293</v>
      </c>
      <c r="K297" cm="1">
        <f t="array" ref="K297">_xlfn.SWITCH(Charts!$B$3,"average", AVERAGE(INDIRECT(ADDRESS(292+3,K$2+1,,,"Instances") &amp; ":" &amp; ADDRESS(292+3,K$2+1))),"median", MEDIAN(INDIRECT(ADDRESS(292+3,K$2+1,,,"Instances") &amp; ":" &amp; ADDRESS(292+3,K$2+1))),"min", MIN(INDIRECT(ADDRESS(292+3,K$2+1,,,"Instances") &amp; ":" &amp; ADDRESS(292+3,K$2+1))),"max", MAX(INDIRECT(ADDRESS(292+3,K$2+1,,,"Instances") &amp; ":" &amp; ADDRESS(292+3,K$2+1))),"diff", MAX(INDIRECT(ADDRESS(292+3,K$2+1,,,"Instances") &amp; ":" &amp; ADDRESS(292+3,K$2+1)))-MIN(INDIRECT(ADDRESS(292+3,K$2+1,,,"Instances") &amp; ":" &amp; ADDRESS(292+3,K$2+1))))</f>
        <v>0</v>
      </c>
      <c r="L297">
        <f>IFERROR(SMALL(K5:K364,ROW()-ROW($L$5)+1),"")</f>
        <v>0</v>
      </c>
      <c r="N297">
        <f>IFERROR(SUM(L5:L297),"")</f>
        <v>0</v>
      </c>
      <c r="Q297">
        <f>IF(Charts!$B$3="none",E2104,IF(K2104="",NA(),K2104))</f>
        <v>0</v>
      </c>
      <c r="R297">
        <f>IF(Charts!$B$3="none",F2104,IF(L2104="",NA(),L2104))</f>
        <v>0</v>
      </c>
      <c r="S297">
        <f>IF(Charts!$B$3="none",G2104,IF(M2104="",NA(),M2104))</f>
        <v>0</v>
      </c>
      <c r="T297">
        <f>IF(Charts!$B$3="none",H2104,IF(N2104="",NA(),N2104))</f>
        <v>0</v>
      </c>
    </row>
    <row r="298" spans="4:20">
      <c r="D298">
        <v>294</v>
      </c>
      <c r="E298">
        <f>IF(INDIRECT(ADDRESS($D298+2,E$2+1,,,"Instances"))="","",INDIRECT(ADDRESS($D298+2,E$2+1,,,"Instances")))</f>
        <v>0</v>
      </c>
      <c r="F298">
        <f>IFERROR(SMALL(E5:E364,ROW()-ROW($F$5)+1),"")</f>
        <v>0</v>
      </c>
      <c r="H298">
        <f>IFERROR(SUM(F5:F298),"")</f>
        <v>0</v>
      </c>
      <c r="J298">
        <v>294</v>
      </c>
      <c r="K298" cm="1">
        <f t="array" ref="K298">_xlfn.SWITCH(Charts!$B$3,"average", AVERAGE(INDIRECT(ADDRESS(293+3,K$2+1,,,"Instances") &amp; ":" &amp; ADDRESS(293+3,K$2+1))),"median", MEDIAN(INDIRECT(ADDRESS(293+3,K$2+1,,,"Instances") &amp; ":" &amp; ADDRESS(293+3,K$2+1))),"min", MIN(INDIRECT(ADDRESS(293+3,K$2+1,,,"Instances") &amp; ":" &amp; ADDRESS(293+3,K$2+1))),"max", MAX(INDIRECT(ADDRESS(293+3,K$2+1,,,"Instances") &amp; ":" &amp; ADDRESS(293+3,K$2+1))),"diff", MAX(INDIRECT(ADDRESS(293+3,K$2+1,,,"Instances") &amp; ":" &amp; ADDRESS(293+3,K$2+1)))-MIN(INDIRECT(ADDRESS(293+3,K$2+1,,,"Instances") &amp; ":" &amp; ADDRESS(293+3,K$2+1))))</f>
        <v>0</v>
      </c>
      <c r="L298">
        <f>IFERROR(SMALL(K5:K364,ROW()-ROW($L$5)+1),"")</f>
        <v>0</v>
      </c>
      <c r="N298">
        <f>IFERROR(SUM(L5:L298),"")</f>
        <v>0</v>
      </c>
      <c r="Q298">
        <f>IF(Charts!$B$3="none",E2105,IF(K2105="",NA(),K2105))</f>
        <v>0</v>
      </c>
      <c r="R298">
        <f>IF(Charts!$B$3="none",F2105,IF(L2105="",NA(),L2105))</f>
        <v>0</v>
      </c>
      <c r="S298">
        <f>IF(Charts!$B$3="none",G2105,IF(M2105="",NA(),M2105))</f>
        <v>0</v>
      </c>
      <c r="T298">
        <f>IF(Charts!$B$3="none",H2105,IF(N2105="",NA(),N2105))</f>
        <v>0</v>
      </c>
    </row>
    <row r="299" spans="4:20">
      <c r="D299">
        <v>295</v>
      </c>
      <c r="E299">
        <f>IF(INDIRECT(ADDRESS($D299+2,E$2+1,,,"Instances"))="","",INDIRECT(ADDRESS($D299+2,E$2+1,,,"Instances")))</f>
        <v>0</v>
      </c>
      <c r="F299">
        <f>IFERROR(SMALL(E5:E364,ROW()-ROW($F$5)+1),"")</f>
        <v>0</v>
      </c>
      <c r="H299">
        <f>IFERROR(SUM(F5:F299),"")</f>
        <v>0</v>
      </c>
      <c r="J299">
        <v>295</v>
      </c>
      <c r="K299" cm="1">
        <f t="array" ref="K299">_xlfn.SWITCH(Charts!$B$3,"average", AVERAGE(INDIRECT(ADDRESS(294+3,K$2+1,,,"Instances") &amp; ":" &amp; ADDRESS(294+3,K$2+1))),"median", MEDIAN(INDIRECT(ADDRESS(294+3,K$2+1,,,"Instances") &amp; ":" &amp; ADDRESS(294+3,K$2+1))),"min", MIN(INDIRECT(ADDRESS(294+3,K$2+1,,,"Instances") &amp; ":" &amp; ADDRESS(294+3,K$2+1))),"max", MAX(INDIRECT(ADDRESS(294+3,K$2+1,,,"Instances") &amp; ":" &amp; ADDRESS(294+3,K$2+1))),"diff", MAX(INDIRECT(ADDRESS(294+3,K$2+1,,,"Instances") &amp; ":" &amp; ADDRESS(294+3,K$2+1)))-MIN(INDIRECT(ADDRESS(294+3,K$2+1,,,"Instances") &amp; ":" &amp; ADDRESS(294+3,K$2+1))))</f>
        <v>0</v>
      </c>
      <c r="L299">
        <f>IFERROR(SMALL(K5:K364,ROW()-ROW($L$5)+1),"")</f>
        <v>0</v>
      </c>
      <c r="N299">
        <f>IFERROR(SUM(L5:L299),"")</f>
        <v>0</v>
      </c>
      <c r="Q299">
        <f>IF(Charts!$B$3="none",E2106,IF(K2106="",NA(),K2106))</f>
        <v>0</v>
      </c>
      <c r="R299">
        <f>IF(Charts!$B$3="none",F2106,IF(L2106="",NA(),L2106))</f>
        <v>0</v>
      </c>
      <c r="S299">
        <f>IF(Charts!$B$3="none",G2106,IF(M2106="",NA(),M2106))</f>
        <v>0</v>
      </c>
      <c r="T299">
        <f>IF(Charts!$B$3="none",H2106,IF(N2106="",NA(),N2106))</f>
        <v>0</v>
      </c>
    </row>
    <row r="300" spans="4:20">
      <c r="D300">
        <v>296</v>
      </c>
      <c r="E300">
        <f>IF(INDIRECT(ADDRESS($D300+2,E$2+1,,,"Instances"))="","",INDIRECT(ADDRESS($D300+2,E$2+1,,,"Instances")))</f>
        <v>0</v>
      </c>
      <c r="F300">
        <f>IFERROR(SMALL(E5:E364,ROW()-ROW($F$5)+1),"")</f>
        <v>0</v>
      </c>
      <c r="H300">
        <f>IFERROR(SUM(F5:F300),"")</f>
        <v>0</v>
      </c>
      <c r="J300">
        <v>296</v>
      </c>
      <c r="K300" cm="1">
        <f t="array" ref="K300">_xlfn.SWITCH(Charts!$B$3,"average", AVERAGE(INDIRECT(ADDRESS(295+3,K$2+1,,,"Instances") &amp; ":" &amp; ADDRESS(295+3,K$2+1))),"median", MEDIAN(INDIRECT(ADDRESS(295+3,K$2+1,,,"Instances") &amp; ":" &amp; ADDRESS(295+3,K$2+1))),"min", MIN(INDIRECT(ADDRESS(295+3,K$2+1,,,"Instances") &amp; ":" &amp; ADDRESS(295+3,K$2+1))),"max", MAX(INDIRECT(ADDRESS(295+3,K$2+1,,,"Instances") &amp; ":" &amp; ADDRESS(295+3,K$2+1))),"diff", MAX(INDIRECT(ADDRESS(295+3,K$2+1,,,"Instances") &amp; ":" &amp; ADDRESS(295+3,K$2+1)))-MIN(INDIRECT(ADDRESS(295+3,K$2+1,,,"Instances") &amp; ":" &amp; ADDRESS(295+3,K$2+1))))</f>
        <v>0</v>
      </c>
      <c r="L300">
        <f>IFERROR(SMALL(K5:K364,ROW()-ROW($L$5)+1),"")</f>
        <v>0</v>
      </c>
      <c r="N300">
        <f>IFERROR(SUM(L5:L300),"")</f>
        <v>0</v>
      </c>
      <c r="Q300">
        <f>IF(Charts!$B$3="none",E2107,IF(K2107="",NA(),K2107))</f>
        <v>0</v>
      </c>
      <c r="R300">
        <f>IF(Charts!$B$3="none",F2107,IF(L2107="",NA(),L2107))</f>
        <v>0</v>
      </c>
      <c r="S300">
        <f>IF(Charts!$B$3="none",G2107,IF(M2107="",NA(),M2107))</f>
        <v>0</v>
      </c>
      <c r="T300">
        <f>IF(Charts!$B$3="none",H2107,IF(N2107="",NA(),N2107))</f>
        <v>0</v>
      </c>
    </row>
    <row r="301" spans="4:20">
      <c r="D301">
        <v>297</v>
      </c>
      <c r="E301">
        <f>IF(INDIRECT(ADDRESS($D301+2,E$2+1,,,"Instances"))="","",INDIRECT(ADDRESS($D301+2,E$2+1,,,"Instances")))</f>
        <v>0</v>
      </c>
      <c r="F301">
        <f>IFERROR(SMALL(E5:E364,ROW()-ROW($F$5)+1),"")</f>
        <v>0</v>
      </c>
      <c r="H301">
        <f>IFERROR(SUM(F5:F301),"")</f>
        <v>0</v>
      </c>
      <c r="J301">
        <v>297</v>
      </c>
      <c r="K301" cm="1">
        <f t="array" ref="K301">_xlfn.SWITCH(Charts!$B$3,"average", AVERAGE(INDIRECT(ADDRESS(296+3,K$2+1,,,"Instances") &amp; ":" &amp; ADDRESS(296+3,K$2+1))),"median", MEDIAN(INDIRECT(ADDRESS(296+3,K$2+1,,,"Instances") &amp; ":" &amp; ADDRESS(296+3,K$2+1))),"min", MIN(INDIRECT(ADDRESS(296+3,K$2+1,,,"Instances") &amp; ":" &amp; ADDRESS(296+3,K$2+1))),"max", MAX(INDIRECT(ADDRESS(296+3,K$2+1,,,"Instances") &amp; ":" &amp; ADDRESS(296+3,K$2+1))),"diff", MAX(INDIRECT(ADDRESS(296+3,K$2+1,,,"Instances") &amp; ":" &amp; ADDRESS(296+3,K$2+1)))-MIN(INDIRECT(ADDRESS(296+3,K$2+1,,,"Instances") &amp; ":" &amp; ADDRESS(296+3,K$2+1))))</f>
        <v>0</v>
      </c>
      <c r="L301">
        <f>IFERROR(SMALL(K5:K364,ROW()-ROW($L$5)+1),"")</f>
        <v>0</v>
      </c>
      <c r="N301">
        <f>IFERROR(SUM(L5:L301),"")</f>
        <v>0</v>
      </c>
      <c r="Q301">
        <f>IF(Charts!$B$3="none",E2108,IF(K2108="",NA(),K2108))</f>
        <v>0</v>
      </c>
      <c r="R301">
        <f>IF(Charts!$B$3="none",F2108,IF(L2108="",NA(),L2108))</f>
        <v>0</v>
      </c>
      <c r="S301">
        <f>IF(Charts!$B$3="none",G2108,IF(M2108="",NA(),M2108))</f>
        <v>0</v>
      </c>
      <c r="T301">
        <f>IF(Charts!$B$3="none",H2108,IF(N2108="",NA(),N2108))</f>
        <v>0</v>
      </c>
    </row>
    <row r="302" spans="4:20">
      <c r="D302">
        <v>298</v>
      </c>
      <c r="E302">
        <f>IF(INDIRECT(ADDRESS($D302+2,E$2+1,,,"Instances"))="","",INDIRECT(ADDRESS($D302+2,E$2+1,,,"Instances")))</f>
        <v>0</v>
      </c>
      <c r="F302">
        <f>IFERROR(SMALL(E5:E364,ROW()-ROW($F$5)+1),"")</f>
        <v>0</v>
      </c>
      <c r="H302">
        <f>IFERROR(SUM(F5:F302),"")</f>
        <v>0</v>
      </c>
      <c r="J302">
        <v>298</v>
      </c>
      <c r="K302" cm="1">
        <f t="array" ref="K302">_xlfn.SWITCH(Charts!$B$3,"average", AVERAGE(INDIRECT(ADDRESS(297+3,K$2+1,,,"Instances") &amp; ":" &amp; ADDRESS(297+3,K$2+1))),"median", MEDIAN(INDIRECT(ADDRESS(297+3,K$2+1,,,"Instances") &amp; ":" &amp; ADDRESS(297+3,K$2+1))),"min", MIN(INDIRECT(ADDRESS(297+3,K$2+1,,,"Instances") &amp; ":" &amp; ADDRESS(297+3,K$2+1))),"max", MAX(INDIRECT(ADDRESS(297+3,K$2+1,,,"Instances") &amp; ":" &amp; ADDRESS(297+3,K$2+1))),"diff", MAX(INDIRECT(ADDRESS(297+3,K$2+1,,,"Instances") &amp; ":" &amp; ADDRESS(297+3,K$2+1)))-MIN(INDIRECT(ADDRESS(297+3,K$2+1,,,"Instances") &amp; ":" &amp; ADDRESS(297+3,K$2+1))))</f>
        <v>0</v>
      </c>
      <c r="L302">
        <f>IFERROR(SMALL(K5:K364,ROW()-ROW($L$5)+1),"")</f>
        <v>0</v>
      </c>
      <c r="N302">
        <f>IFERROR(SUM(L5:L302),"")</f>
        <v>0</v>
      </c>
      <c r="Q302">
        <f>IF(Charts!$B$3="none",E2109,IF(K2109="",NA(),K2109))</f>
        <v>0</v>
      </c>
      <c r="R302">
        <f>IF(Charts!$B$3="none",F2109,IF(L2109="",NA(),L2109))</f>
        <v>0</v>
      </c>
      <c r="S302">
        <f>IF(Charts!$B$3="none",G2109,IF(M2109="",NA(),M2109))</f>
        <v>0</v>
      </c>
      <c r="T302">
        <f>IF(Charts!$B$3="none",H2109,IF(N2109="",NA(),N2109))</f>
        <v>0</v>
      </c>
    </row>
    <row r="303" spans="4:20">
      <c r="D303">
        <v>299</v>
      </c>
      <c r="E303">
        <f>IF(INDIRECT(ADDRESS($D303+2,E$2+1,,,"Instances"))="","",INDIRECT(ADDRESS($D303+2,E$2+1,,,"Instances")))</f>
        <v>0</v>
      </c>
      <c r="F303">
        <f>IFERROR(SMALL(E5:E364,ROW()-ROW($F$5)+1),"")</f>
        <v>0</v>
      </c>
      <c r="H303">
        <f>IFERROR(SUM(F5:F303),"")</f>
        <v>0</v>
      </c>
      <c r="J303">
        <v>299</v>
      </c>
      <c r="K303" cm="1">
        <f t="array" ref="K303">_xlfn.SWITCH(Charts!$B$3,"average", AVERAGE(INDIRECT(ADDRESS(298+3,K$2+1,,,"Instances") &amp; ":" &amp; ADDRESS(298+3,K$2+1))),"median", MEDIAN(INDIRECT(ADDRESS(298+3,K$2+1,,,"Instances") &amp; ":" &amp; ADDRESS(298+3,K$2+1))),"min", MIN(INDIRECT(ADDRESS(298+3,K$2+1,,,"Instances") &amp; ":" &amp; ADDRESS(298+3,K$2+1))),"max", MAX(INDIRECT(ADDRESS(298+3,K$2+1,,,"Instances") &amp; ":" &amp; ADDRESS(298+3,K$2+1))),"diff", MAX(INDIRECT(ADDRESS(298+3,K$2+1,,,"Instances") &amp; ":" &amp; ADDRESS(298+3,K$2+1)))-MIN(INDIRECT(ADDRESS(298+3,K$2+1,,,"Instances") &amp; ":" &amp; ADDRESS(298+3,K$2+1))))</f>
        <v>0</v>
      </c>
      <c r="L303">
        <f>IFERROR(SMALL(K5:K364,ROW()-ROW($L$5)+1),"")</f>
        <v>0</v>
      </c>
      <c r="N303">
        <f>IFERROR(SUM(L5:L303),"")</f>
        <v>0</v>
      </c>
      <c r="Q303">
        <f>IF(Charts!$B$3="none",E2110,IF(K2110="",NA(),K2110))</f>
        <v>0</v>
      </c>
      <c r="R303">
        <f>IF(Charts!$B$3="none",F2110,IF(L2110="",NA(),L2110))</f>
        <v>0</v>
      </c>
      <c r="S303">
        <f>IF(Charts!$B$3="none",G2110,IF(M2110="",NA(),M2110))</f>
        <v>0</v>
      </c>
      <c r="T303">
        <f>IF(Charts!$B$3="none",H2110,IF(N2110="",NA(),N2110))</f>
        <v>0</v>
      </c>
    </row>
    <row r="304" spans="4:20">
      <c r="D304">
        <v>300</v>
      </c>
      <c r="E304">
        <f>IF(INDIRECT(ADDRESS($D304+2,E$2+1,,,"Instances"))="","",INDIRECT(ADDRESS($D304+2,E$2+1,,,"Instances")))</f>
        <v>0</v>
      </c>
      <c r="F304">
        <f>IFERROR(SMALL(E5:E364,ROW()-ROW($F$5)+1),"")</f>
        <v>0</v>
      </c>
      <c r="H304">
        <f>IFERROR(SUM(F5:F304),"")</f>
        <v>0</v>
      </c>
      <c r="J304">
        <v>300</v>
      </c>
      <c r="K304" cm="1">
        <f t="array" ref="K304">_xlfn.SWITCH(Charts!$B$3,"average", AVERAGE(INDIRECT(ADDRESS(299+3,K$2+1,,,"Instances") &amp; ":" &amp; ADDRESS(299+3,K$2+1))),"median", MEDIAN(INDIRECT(ADDRESS(299+3,K$2+1,,,"Instances") &amp; ":" &amp; ADDRESS(299+3,K$2+1))),"min", MIN(INDIRECT(ADDRESS(299+3,K$2+1,,,"Instances") &amp; ":" &amp; ADDRESS(299+3,K$2+1))),"max", MAX(INDIRECT(ADDRESS(299+3,K$2+1,,,"Instances") &amp; ":" &amp; ADDRESS(299+3,K$2+1))),"diff", MAX(INDIRECT(ADDRESS(299+3,K$2+1,,,"Instances") &amp; ":" &amp; ADDRESS(299+3,K$2+1)))-MIN(INDIRECT(ADDRESS(299+3,K$2+1,,,"Instances") &amp; ":" &amp; ADDRESS(299+3,K$2+1))))</f>
        <v>0</v>
      </c>
      <c r="L304">
        <f>IFERROR(SMALL(K5:K364,ROW()-ROW($L$5)+1),"")</f>
        <v>0</v>
      </c>
      <c r="N304">
        <f>IFERROR(SUM(L5:L304),"")</f>
        <v>0</v>
      </c>
      <c r="Q304">
        <f>IF(Charts!$B$3="none",E2111,IF(K2111="",NA(),K2111))</f>
        <v>0</v>
      </c>
      <c r="R304">
        <f>IF(Charts!$B$3="none",F2111,IF(L2111="",NA(),L2111))</f>
        <v>0</v>
      </c>
      <c r="S304">
        <f>IF(Charts!$B$3="none",G2111,IF(M2111="",NA(),M2111))</f>
        <v>0</v>
      </c>
      <c r="T304">
        <f>IF(Charts!$B$3="none",H2111,IF(N2111="",NA(),N2111))</f>
        <v>0</v>
      </c>
    </row>
    <row r="305" spans="4:20">
      <c r="D305">
        <v>301</v>
      </c>
      <c r="E305">
        <f>IF(INDIRECT(ADDRESS($D305+2,E$2+1,,,"Instances"))="","",INDIRECT(ADDRESS($D305+2,E$2+1,,,"Instances")))</f>
        <v>0</v>
      </c>
      <c r="F305">
        <f>IFERROR(SMALL(E5:E364,ROW()-ROW($F$5)+1),"")</f>
        <v>0</v>
      </c>
      <c r="H305">
        <f>IFERROR(SUM(F5:F305),"")</f>
        <v>0</v>
      </c>
      <c r="J305">
        <v>301</v>
      </c>
      <c r="K305" cm="1">
        <f t="array" ref="K305">_xlfn.SWITCH(Charts!$B$3,"average", AVERAGE(INDIRECT(ADDRESS(300+3,K$2+1,,,"Instances") &amp; ":" &amp; ADDRESS(300+3,K$2+1))),"median", MEDIAN(INDIRECT(ADDRESS(300+3,K$2+1,,,"Instances") &amp; ":" &amp; ADDRESS(300+3,K$2+1))),"min", MIN(INDIRECT(ADDRESS(300+3,K$2+1,,,"Instances") &amp; ":" &amp; ADDRESS(300+3,K$2+1))),"max", MAX(INDIRECT(ADDRESS(300+3,K$2+1,,,"Instances") &amp; ":" &amp; ADDRESS(300+3,K$2+1))),"diff", MAX(INDIRECT(ADDRESS(300+3,K$2+1,,,"Instances") &amp; ":" &amp; ADDRESS(300+3,K$2+1)))-MIN(INDIRECT(ADDRESS(300+3,K$2+1,,,"Instances") &amp; ":" &amp; ADDRESS(300+3,K$2+1))))</f>
        <v>0</v>
      </c>
      <c r="L305">
        <f>IFERROR(SMALL(K5:K364,ROW()-ROW($L$5)+1),"")</f>
        <v>0</v>
      </c>
      <c r="N305">
        <f>IFERROR(SUM(L5:L305),"")</f>
        <v>0</v>
      </c>
      <c r="Q305">
        <f>IF(Charts!$B$3="none",E2112,IF(K2112="",NA(),K2112))</f>
        <v>0</v>
      </c>
      <c r="R305">
        <f>IF(Charts!$B$3="none",F2112,IF(L2112="",NA(),L2112))</f>
        <v>0</v>
      </c>
      <c r="S305">
        <f>IF(Charts!$B$3="none",G2112,IF(M2112="",NA(),M2112))</f>
        <v>0</v>
      </c>
      <c r="T305">
        <f>IF(Charts!$B$3="none",H2112,IF(N2112="",NA(),N2112))</f>
        <v>0</v>
      </c>
    </row>
    <row r="306" spans="4:20">
      <c r="D306">
        <v>302</v>
      </c>
      <c r="E306">
        <f>IF(INDIRECT(ADDRESS($D306+2,E$2+1,,,"Instances"))="","",INDIRECT(ADDRESS($D306+2,E$2+1,,,"Instances")))</f>
        <v>0</v>
      </c>
      <c r="F306">
        <f>IFERROR(SMALL(E5:E364,ROW()-ROW($F$5)+1),"")</f>
        <v>0</v>
      </c>
      <c r="H306">
        <f>IFERROR(SUM(F5:F306),"")</f>
        <v>0</v>
      </c>
      <c r="J306">
        <v>302</v>
      </c>
      <c r="K306" cm="1">
        <f t="array" ref="K306">_xlfn.SWITCH(Charts!$B$3,"average", AVERAGE(INDIRECT(ADDRESS(301+3,K$2+1,,,"Instances") &amp; ":" &amp; ADDRESS(301+3,K$2+1))),"median", MEDIAN(INDIRECT(ADDRESS(301+3,K$2+1,,,"Instances") &amp; ":" &amp; ADDRESS(301+3,K$2+1))),"min", MIN(INDIRECT(ADDRESS(301+3,K$2+1,,,"Instances") &amp; ":" &amp; ADDRESS(301+3,K$2+1))),"max", MAX(INDIRECT(ADDRESS(301+3,K$2+1,,,"Instances") &amp; ":" &amp; ADDRESS(301+3,K$2+1))),"diff", MAX(INDIRECT(ADDRESS(301+3,K$2+1,,,"Instances") &amp; ":" &amp; ADDRESS(301+3,K$2+1)))-MIN(INDIRECT(ADDRESS(301+3,K$2+1,,,"Instances") &amp; ":" &amp; ADDRESS(301+3,K$2+1))))</f>
        <v>0</v>
      </c>
      <c r="L306">
        <f>IFERROR(SMALL(K5:K364,ROW()-ROW($L$5)+1),"")</f>
        <v>0</v>
      </c>
      <c r="N306">
        <f>IFERROR(SUM(L5:L306),"")</f>
        <v>0</v>
      </c>
      <c r="Q306">
        <f>IF(Charts!$B$3="none",E2113,IF(K2113="",NA(),K2113))</f>
        <v>0</v>
      </c>
      <c r="R306">
        <f>IF(Charts!$B$3="none",F2113,IF(L2113="",NA(),L2113))</f>
        <v>0</v>
      </c>
      <c r="S306">
        <f>IF(Charts!$B$3="none",G2113,IF(M2113="",NA(),M2113))</f>
        <v>0</v>
      </c>
      <c r="T306">
        <f>IF(Charts!$B$3="none",H2113,IF(N2113="",NA(),N2113))</f>
        <v>0</v>
      </c>
    </row>
    <row r="307" spans="4:20">
      <c r="D307">
        <v>303</v>
      </c>
      <c r="E307">
        <f>IF(INDIRECT(ADDRESS($D307+2,E$2+1,,,"Instances"))="","",INDIRECT(ADDRESS($D307+2,E$2+1,,,"Instances")))</f>
        <v>0</v>
      </c>
      <c r="F307">
        <f>IFERROR(SMALL(E5:E364,ROW()-ROW($F$5)+1),"")</f>
        <v>0</v>
      </c>
      <c r="H307">
        <f>IFERROR(SUM(F5:F307),"")</f>
        <v>0</v>
      </c>
      <c r="J307">
        <v>303</v>
      </c>
      <c r="K307" cm="1">
        <f t="array" ref="K307">_xlfn.SWITCH(Charts!$B$3,"average", AVERAGE(INDIRECT(ADDRESS(302+3,K$2+1,,,"Instances") &amp; ":" &amp; ADDRESS(302+3,K$2+1))),"median", MEDIAN(INDIRECT(ADDRESS(302+3,K$2+1,,,"Instances") &amp; ":" &amp; ADDRESS(302+3,K$2+1))),"min", MIN(INDIRECT(ADDRESS(302+3,K$2+1,,,"Instances") &amp; ":" &amp; ADDRESS(302+3,K$2+1))),"max", MAX(INDIRECT(ADDRESS(302+3,K$2+1,,,"Instances") &amp; ":" &amp; ADDRESS(302+3,K$2+1))),"diff", MAX(INDIRECT(ADDRESS(302+3,K$2+1,,,"Instances") &amp; ":" &amp; ADDRESS(302+3,K$2+1)))-MIN(INDIRECT(ADDRESS(302+3,K$2+1,,,"Instances") &amp; ":" &amp; ADDRESS(302+3,K$2+1))))</f>
        <v>0</v>
      </c>
      <c r="L307">
        <f>IFERROR(SMALL(K5:K364,ROW()-ROW($L$5)+1),"")</f>
        <v>0</v>
      </c>
      <c r="N307">
        <f>IFERROR(SUM(L5:L307),"")</f>
        <v>0</v>
      </c>
      <c r="Q307">
        <f>IF(Charts!$B$3="none",E2114,IF(K2114="",NA(),K2114))</f>
        <v>0</v>
      </c>
      <c r="R307">
        <f>IF(Charts!$B$3="none",F2114,IF(L2114="",NA(),L2114))</f>
        <v>0</v>
      </c>
      <c r="S307">
        <f>IF(Charts!$B$3="none",G2114,IF(M2114="",NA(),M2114))</f>
        <v>0</v>
      </c>
      <c r="T307">
        <f>IF(Charts!$B$3="none",H2114,IF(N2114="",NA(),N2114))</f>
        <v>0</v>
      </c>
    </row>
    <row r="308" spans="4:20">
      <c r="D308">
        <v>304</v>
      </c>
      <c r="E308">
        <f>IF(INDIRECT(ADDRESS($D308+2,E$2+1,,,"Instances"))="","",INDIRECT(ADDRESS($D308+2,E$2+1,,,"Instances")))</f>
        <v>0</v>
      </c>
      <c r="F308">
        <f>IFERROR(SMALL(E5:E364,ROW()-ROW($F$5)+1),"")</f>
        <v>0</v>
      </c>
      <c r="H308">
        <f>IFERROR(SUM(F5:F308),"")</f>
        <v>0</v>
      </c>
      <c r="J308">
        <v>304</v>
      </c>
      <c r="K308" cm="1">
        <f t="array" ref="K308">_xlfn.SWITCH(Charts!$B$3,"average", AVERAGE(INDIRECT(ADDRESS(303+3,K$2+1,,,"Instances") &amp; ":" &amp; ADDRESS(303+3,K$2+1))),"median", MEDIAN(INDIRECT(ADDRESS(303+3,K$2+1,,,"Instances") &amp; ":" &amp; ADDRESS(303+3,K$2+1))),"min", MIN(INDIRECT(ADDRESS(303+3,K$2+1,,,"Instances") &amp; ":" &amp; ADDRESS(303+3,K$2+1))),"max", MAX(INDIRECT(ADDRESS(303+3,K$2+1,,,"Instances") &amp; ":" &amp; ADDRESS(303+3,K$2+1))),"diff", MAX(INDIRECT(ADDRESS(303+3,K$2+1,,,"Instances") &amp; ":" &amp; ADDRESS(303+3,K$2+1)))-MIN(INDIRECT(ADDRESS(303+3,K$2+1,,,"Instances") &amp; ":" &amp; ADDRESS(303+3,K$2+1))))</f>
        <v>0</v>
      </c>
      <c r="L308">
        <f>IFERROR(SMALL(K5:K364,ROW()-ROW($L$5)+1),"")</f>
        <v>0</v>
      </c>
      <c r="N308">
        <f>IFERROR(SUM(L5:L308),"")</f>
        <v>0</v>
      </c>
      <c r="Q308">
        <f>IF(Charts!$B$3="none",E2115,IF(K2115="",NA(),K2115))</f>
        <v>0</v>
      </c>
      <c r="R308">
        <f>IF(Charts!$B$3="none",F2115,IF(L2115="",NA(),L2115))</f>
        <v>0</v>
      </c>
      <c r="S308">
        <f>IF(Charts!$B$3="none",G2115,IF(M2115="",NA(),M2115))</f>
        <v>0</v>
      </c>
      <c r="T308">
        <f>IF(Charts!$B$3="none",H2115,IF(N2115="",NA(),N2115))</f>
        <v>0</v>
      </c>
    </row>
    <row r="309" spans="4:20">
      <c r="D309">
        <v>305</v>
      </c>
      <c r="E309">
        <f>IF(INDIRECT(ADDRESS($D309+2,E$2+1,,,"Instances"))="","",INDIRECT(ADDRESS($D309+2,E$2+1,,,"Instances")))</f>
        <v>0</v>
      </c>
      <c r="F309">
        <f>IFERROR(SMALL(E5:E364,ROW()-ROW($F$5)+1),"")</f>
        <v>0</v>
      </c>
      <c r="H309">
        <f>IFERROR(SUM(F5:F309),"")</f>
        <v>0</v>
      </c>
      <c r="J309">
        <v>305</v>
      </c>
      <c r="K309" cm="1">
        <f t="array" ref="K309">_xlfn.SWITCH(Charts!$B$3,"average", AVERAGE(INDIRECT(ADDRESS(304+3,K$2+1,,,"Instances") &amp; ":" &amp; ADDRESS(304+3,K$2+1))),"median", MEDIAN(INDIRECT(ADDRESS(304+3,K$2+1,,,"Instances") &amp; ":" &amp; ADDRESS(304+3,K$2+1))),"min", MIN(INDIRECT(ADDRESS(304+3,K$2+1,,,"Instances") &amp; ":" &amp; ADDRESS(304+3,K$2+1))),"max", MAX(INDIRECT(ADDRESS(304+3,K$2+1,,,"Instances") &amp; ":" &amp; ADDRESS(304+3,K$2+1))),"diff", MAX(INDIRECT(ADDRESS(304+3,K$2+1,,,"Instances") &amp; ":" &amp; ADDRESS(304+3,K$2+1)))-MIN(INDIRECT(ADDRESS(304+3,K$2+1,,,"Instances") &amp; ":" &amp; ADDRESS(304+3,K$2+1))))</f>
        <v>0</v>
      </c>
      <c r="L309">
        <f>IFERROR(SMALL(K5:K364,ROW()-ROW($L$5)+1),"")</f>
        <v>0</v>
      </c>
      <c r="N309">
        <f>IFERROR(SUM(L5:L309),"")</f>
        <v>0</v>
      </c>
      <c r="Q309">
        <f>IF(Charts!$B$3="none",E2116,IF(K2116="",NA(),K2116))</f>
        <v>0</v>
      </c>
      <c r="R309">
        <f>IF(Charts!$B$3="none",F2116,IF(L2116="",NA(),L2116))</f>
        <v>0</v>
      </c>
      <c r="S309">
        <f>IF(Charts!$B$3="none",G2116,IF(M2116="",NA(),M2116))</f>
        <v>0</v>
      </c>
      <c r="T309">
        <f>IF(Charts!$B$3="none",H2116,IF(N2116="",NA(),N2116))</f>
        <v>0</v>
      </c>
    </row>
    <row r="310" spans="4:20">
      <c r="D310">
        <v>306</v>
      </c>
      <c r="E310">
        <f>IF(INDIRECT(ADDRESS($D310+2,E$2+1,,,"Instances"))="","",INDIRECT(ADDRESS($D310+2,E$2+1,,,"Instances")))</f>
        <v>0</v>
      </c>
      <c r="F310">
        <f>IFERROR(SMALL(E5:E364,ROW()-ROW($F$5)+1),"")</f>
        <v>0</v>
      </c>
      <c r="H310">
        <f>IFERROR(SUM(F5:F310),"")</f>
        <v>0</v>
      </c>
      <c r="J310">
        <v>306</v>
      </c>
      <c r="K310" cm="1">
        <f t="array" ref="K310">_xlfn.SWITCH(Charts!$B$3,"average", AVERAGE(INDIRECT(ADDRESS(305+3,K$2+1,,,"Instances") &amp; ":" &amp; ADDRESS(305+3,K$2+1))),"median", MEDIAN(INDIRECT(ADDRESS(305+3,K$2+1,,,"Instances") &amp; ":" &amp; ADDRESS(305+3,K$2+1))),"min", MIN(INDIRECT(ADDRESS(305+3,K$2+1,,,"Instances") &amp; ":" &amp; ADDRESS(305+3,K$2+1))),"max", MAX(INDIRECT(ADDRESS(305+3,K$2+1,,,"Instances") &amp; ":" &amp; ADDRESS(305+3,K$2+1))),"diff", MAX(INDIRECT(ADDRESS(305+3,K$2+1,,,"Instances") &amp; ":" &amp; ADDRESS(305+3,K$2+1)))-MIN(INDIRECT(ADDRESS(305+3,K$2+1,,,"Instances") &amp; ":" &amp; ADDRESS(305+3,K$2+1))))</f>
        <v>0</v>
      </c>
      <c r="L310">
        <f>IFERROR(SMALL(K5:K364,ROW()-ROW($L$5)+1),"")</f>
        <v>0</v>
      </c>
      <c r="N310">
        <f>IFERROR(SUM(L5:L310),"")</f>
        <v>0</v>
      </c>
      <c r="Q310">
        <f>IF(Charts!$B$3="none",E2117,IF(K2117="",NA(),K2117))</f>
        <v>0</v>
      </c>
      <c r="R310">
        <f>IF(Charts!$B$3="none",F2117,IF(L2117="",NA(),L2117))</f>
        <v>0</v>
      </c>
      <c r="S310">
        <f>IF(Charts!$B$3="none",G2117,IF(M2117="",NA(),M2117))</f>
        <v>0</v>
      </c>
      <c r="T310">
        <f>IF(Charts!$B$3="none",H2117,IF(N2117="",NA(),N2117))</f>
        <v>0</v>
      </c>
    </row>
    <row r="311" spans="4:20">
      <c r="D311">
        <v>307</v>
      </c>
      <c r="E311">
        <f>IF(INDIRECT(ADDRESS($D311+2,E$2+1,,,"Instances"))="","",INDIRECT(ADDRESS($D311+2,E$2+1,,,"Instances")))</f>
        <v>0</v>
      </c>
      <c r="F311">
        <f>IFERROR(SMALL(E5:E364,ROW()-ROW($F$5)+1),"")</f>
        <v>0</v>
      </c>
      <c r="H311">
        <f>IFERROR(SUM(F5:F311),"")</f>
        <v>0</v>
      </c>
      <c r="J311">
        <v>307</v>
      </c>
      <c r="K311" cm="1">
        <f t="array" ref="K311">_xlfn.SWITCH(Charts!$B$3,"average", AVERAGE(INDIRECT(ADDRESS(306+3,K$2+1,,,"Instances") &amp; ":" &amp; ADDRESS(306+3,K$2+1))),"median", MEDIAN(INDIRECT(ADDRESS(306+3,K$2+1,,,"Instances") &amp; ":" &amp; ADDRESS(306+3,K$2+1))),"min", MIN(INDIRECT(ADDRESS(306+3,K$2+1,,,"Instances") &amp; ":" &amp; ADDRESS(306+3,K$2+1))),"max", MAX(INDIRECT(ADDRESS(306+3,K$2+1,,,"Instances") &amp; ":" &amp; ADDRESS(306+3,K$2+1))),"diff", MAX(INDIRECT(ADDRESS(306+3,K$2+1,,,"Instances") &amp; ":" &amp; ADDRESS(306+3,K$2+1)))-MIN(INDIRECT(ADDRESS(306+3,K$2+1,,,"Instances") &amp; ":" &amp; ADDRESS(306+3,K$2+1))))</f>
        <v>0</v>
      </c>
      <c r="L311">
        <f>IFERROR(SMALL(K5:K364,ROW()-ROW($L$5)+1),"")</f>
        <v>0</v>
      </c>
      <c r="N311">
        <f>IFERROR(SUM(L5:L311),"")</f>
        <v>0</v>
      </c>
      <c r="Q311">
        <f>IF(Charts!$B$3="none",E2118,IF(K2118="",NA(),K2118))</f>
        <v>0</v>
      </c>
      <c r="R311">
        <f>IF(Charts!$B$3="none",F2118,IF(L2118="",NA(),L2118))</f>
        <v>0</v>
      </c>
      <c r="S311">
        <f>IF(Charts!$B$3="none",G2118,IF(M2118="",NA(),M2118))</f>
        <v>0</v>
      </c>
      <c r="T311">
        <f>IF(Charts!$B$3="none",H2118,IF(N2118="",NA(),N2118))</f>
        <v>0</v>
      </c>
    </row>
    <row r="312" spans="4:20">
      <c r="D312">
        <v>308</v>
      </c>
      <c r="E312">
        <f>IF(INDIRECT(ADDRESS($D312+2,E$2+1,,,"Instances"))="","",INDIRECT(ADDRESS($D312+2,E$2+1,,,"Instances")))</f>
        <v>0</v>
      </c>
      <c r="F312">
        <f>IFERROR(SMALL(E5:E364,ROW()-ROW($F$5)+1),"")</f>
        <v>0</v>
      </c>
      <c r="H312">
        <f>IFERROR(SUM(F5:F312),"")</f>
        <v>0</v>
      </c>
      <c r="J312">
        <v>308</v>
      </c>
      <c r="K312" cm="1">
        <f t="array" ref="K312">_xlfn.SWITCH(Charts!$B$3,"average", AVERAGE(INDIRECT(ADDRESS(307+3,K$2+1,,,"Instances") &amp; ":" &amp; ADDRESS(307+3,K$2+1))),"median", MEDIAN(INDIRECT(ADDRESS(307+3,K$2+1,,,"Instances") &amp; ":" &amp; ADDRESS(307+3,K$2+1))),"min", MIN(INDIRECT(ADDRESS(307+3,K$2+1,,,"Instances") &amp; ":" &amp; ADDRESS(307+3,K$2+1))),"max", MAX(INDIRECT(ADDRESS(307+3,K$2+1,,,"Instances") &amp; ":" &amp; ADDRESS(307+3,K$2+1))),"diff", MAX(INDIRECT(ADDRESS(307+3,K$2+1,,,"Instances") &amp; ":" &amp; ADDRESS(307+3,K$2+1)))-MIN(INDIRECT(ADDRESS(307+3,K$2+1,,,"Instances") &amp; ":" &amp; ADDRESS(307+3,K$2+1))))</f>
        <v>0</v>
      </c>
      <c r="L312">
        <f>IFERROR(SMALL(K5:K364,ROW()-ROW($L$5)+1),"")</f>
        <v>0</v>
      </c>
      <c r="N312">
        <f>IFERROR(SUM(L5:L312),"")</f>
        <v>0</v>
      </c>
      <c r="Q312">
        <f>IF(Charts!$B$3="none",E2119,IF(K2119="",NA(),K2119))</f>
        <v>0</v>
      </c>
      <c r="R312">
        <f>IF(Charts!$B$3="none",F2119,IF(L2119="",NA(),L2119))</f>
        <v>0</v>
      </c>
      <c r="S312">
        <f>IF(Charts!$B$3="none",G2119,IF(M2119="",NA(),M2119))</f>
        <v>0</v>
      </c>
      <c r="T312">
        <f>IF(Charts!$B$3="none",H2119,IF(N2119="",NA(),N2119))</f>
        <v>0</v>
      </c>
    </row>
    <row r="313" spans="4:20">
      <c r="D313">
        <v>309</v>
      </c>
      <c r="E313">
        <f>IF(INDIRECT(ADDRESS($D313+2,E$2+1,,,"Instances"))="","",INDIRECT(ADDRESS($D313+2,E$2+1,,,"Instances")))</f>
        <v>0</v>
      </c>
      <c r="F313">
        <f>IFERROR(SMALL(E5:E364,ROW()-ROW($F$5)+1),"")</f>
        <v>0</v>
      </c>
      <c r="H313">
        <f>IFERROR(SUM(F5:F313),"")</f>
        <v>0</v>
      </c>
      <c r="J313">
        <v>309</v>
      </c>
      <c r="K313" cm="1">
        <f t="array" ref="K313">_xlfn.SWITCH(Charts!$B$3,"average", AVERAGE(INDIRECT(ADDRESS(308+3,K$2+1,,,"Instances") &amp; ":" &amp; ADDRESS(308+3,K$2+1))),"median", MEDIAN(INDIRECT(ADDRESS(308+3,K$2+1,,,"Instances") &amp; ":" &amp; ADDRESS(308+3,K$2+1))),"min", MIN(INDIRECT(ADDRESS(308+3,K$2+1,,,"Instances") &amp; ":" &amp; ADDRESS(308+3,K$2+1))),"max", MAX(INDIRECT(ADDRESS(308+3,K$2+1,,,"Instances") &amp; ":" &amp; ADDRESS(308+3,K$2+1))),"diff", MAX(INDIRECT(ADDRESS(308+3,K$2+1,,,"Instances") &amp; ":" &amp; ADDRESS(308+3,K$2+1)))-MIN(INDIRECT(ADDRESS(308+3,K$2+1,,,"Instances") &amp; ":" &amp; ADDRESS(308+3,K$2+1))))</f>
        <v>0</v>
      </c>
      <c r="L313">
        <f>IFERROR(SMALL(K5:K364,ROW()-ROW($L$5)+1),"")</f>
        <v>0</v>
      </c>
      <c r="N313">
        <f>IFERROR(SUM(L5:L313),"")</f>
        <v>0</v>
      </c>
      <c r="Q313">
        <f>IF(Charts!$B$3="none",E2120,IF(K2120="",NA(),K2120))</f>
        <v>0</v>
      </c>
      <c r="R313">
        <f>IF(Charts!$B$3="none",F2120,IF(L2120="",NA(),L2120))</f>
        <v>0</v>
      </c>
      <c r="S313">
        <f>IF(Charts!$B$3="none",G2120,IF(M2120="",NA(),M2120))</f>
        <v>0</v>
      </c>
      <c r="T313">
        <f>IF(Charts!$B$3="none",H2120,IF(N2120="",NA(),N2120))</f>
        <v>0</v>
      </c>
    </row>
    <row r="314" spans="4:20">
      <c r="D314">
        <v>310</v>
      </c>
      <c r="E314">
        <f>IF(INDIRECT(ADDRESS($D314+2,E$2+1,,,"Instances"))="","",INDIRECT(ADDRESS($D314+2,E$2+1,,,"Instances")))</f>
        <v>0</v>
      </c>
      <c r="F314">
        <f>IFERROR(SMALL(E5:E364,ROW()-ROW($F$5)+1),"")</f>
        <v>0</v>
      </c>
      <c r="H314">
        <f>IFERROR(SUM(F5:F314),"")</f>
        <v>0</v>
      </c>
      <c r="J314">
        <v>310</v>
      </c>
      <c r="K314" cm="1">
        <f t="array" ref="K314">_xlfn.SWITCH(Charts!$B$3,"average", AVERAGE(INDIRECT(ADDRESS(309+3,K$2+1,,,"Instances") &amp; ":" &amp; ADDRESS(309+3,K$2+1))),"median", MEDIAN(INDIRECT(ADDRESS(309+3,K$2+1,,,"Instances") &amp; ":" &amp; ADDRESS(309+3,K$2+1))),"min", MIN(INDIRECT(ADDRESS(309+3,K$2+1,,,"Instances") &amp; ":" &amp; ADDRESS(309+3,K$2+1))),"max", MAX(INDIRECT(ADDRESS(309+3,K$2+1,,,"Instances") &amp; ":" &amp; ADDRESS(309+3,K$2+1))),"diff", MAX(INDIRECT(ADDRESS(309+3,K$2+1,,,"Instances") &amp; ":" &amp; ADDRESS(309+3,K$2+1)))-MIN(INDIRECT(ADDRESS(309+3,K$2+1,,,"Instances") &amp; ":" &amp; ADDRESS(309+3,K$2+1))))</f>
        <v>0</v>
      </c>
      <c r="L314">
        <f>IFERROR(SMALL(K5:K364,ROW()-ROW($L$5)+1),"")</f>
        <v>0</v>
      </c>
      <c r="N314">
        <f>IFERROR(SUM(L5:L314),"")</f>
        <v>0</v>
      </c>
      <c r="Q314">
        <f>IF(Charts!$B$3="none",E2121,IF(K2121="",NA(),K2121))</f>
        <v>0</v>
      </c>
      <c r="R314">
        <f>IF(Charts!$B$3="none",F2121,IF(L2121="",NA(),L2121))</f>
        <v>0</v>
      </c>
      <c r="S314">
        <f>IF(Charts!$B$3="none",G2121,IF(M2121="",NA(),M2121))</f>
        <v>0</v>
      </c>
      <c r="T314">
        <f>IF(Charts!$B$3="none",H2121,IF(N2121="",NA(),N2121))</f>
        <v>0</v>
      </c>
    </row>
    <row r="315" spans="4:20">
      <c r="D315">
        <v>311</v>
      </c>
      <c r="E315">
        <f>IF(INDIRECT(ADDRESS($D315+2,E$2+1,,,"Instances"))="","",INDIRECT(ADDRESS($D315+2,E$2+1,,,"Instances")))</f>
        <v>0</v>
      </c>
      <c r="F315">
        <f>IFERROR(SMALL(E5:E364,ROW()-ROW($F$5)+1),"")</f>
        <v>0</v>
      </c>
      <c r="H315">
        <f>IFERROR(SUM(F5:F315),"")</f>
        <v>0</v>
      </c>
      <c r="J315">
        <v>311</v>
      </c>
      <c r="K315" cm="1">
        <f t="array" ref="K315">_xlfn.SWITCH(Charts!$B$3,"average", AVERAGE(INDIRECT(ADDRESS(310+3,K$2+1,,,"Instances") &amp; ":" &amp; ADDRESS(310+3,K$2+1))),"median", MEDIAN(INDIRECT(ADDRESS(310+3,K$2+1,,,"Instances") &amp; ":" &amp; ADDRESS(310+3,K$2+1))),"min", MIN(INDIRECT(ADDRESS(310+3,K$2+1,,,"Instances") &amp; ":" &amp; ADDRESS(310+3,K$2+1))),"max", MAX(INDIRECT(ADDRESS(310+3,K$2+1,,,"Instances") &amp; ":" &amp; ADDRESS(310+3,K$2+1))),"diff", MAX(INDIRECT(ADDRESS(310+3,K$2+1,,,"Instances") &amp; ":" &amp; ADDRESS(310+3,K$2+1)))-MIN(INDIRECT(ADDRESS(310+3,K$2+1,,,"Instances") &amp; ":" &amp; ADDRESS(310+3,K$2+1))))</f>
        <v>0</v>
      </c>
      <c r="L315">
        <f>IFERROR(SMALL(K5:K364,ROW()-ROW($L$5)+1),"")</f>
        <v>0</v>
      </c>
      <c r="N315">
        <f>IFERROR(SUM(L5:L315),"")</f>
        <v>0</v>
      </c>
      <c r="Q315">
        <f>IF(Charts!$B$3="none",E2122,IF(K2122="",NA(),K2122))</f>
        <v>0</v>
      </c>
      <c r="R315">
        <f>IF(Charts!$B$3="none",F2122,IF(L2122="",NA(),L2122))</f>
        <v>0</v>
      </c>
      <c r="S315">
        <f>IF(Charts!$B$3="none",G2122,IF(M2122="",NA(),M2122))</f>
        <v>0</v>
      </c>
      <c r="T315">
        <f>IF(Charts!$B$3="none",H2122,IF(N2122="",NA(),N2122))</f>
        <v>0</v>
      </c>
    </row>
    <row r="316" spans="4:20">
      <c r="D316">
        <v>312</v>
      </c>
      <c r="E316">
        <f>IF(INDIRECT(ADDRESS($D316+2,E$2+1,,,"Instances"))="","",INDIRECT(ADDRESS($D316+2,E$2+1,,,"Instances")))</f>
        <v>0</v>
      </c>
      <c r="F316">
        <f>IFERROR(SMALL(E5:E364,ROW()-ROW($F$5)+1),"")</f>
        <v>0</v>
      </c>
      <c r="H316">
        <f>IFERROR(SUM(F5:F316),"")</f>
        <v>0</v>
      </c>
      <c r="J316">
        <v>312</v>
      </c>
      <c r="K316" cm="1">
        <f t="array" ref="K316">_xlfn.SWITCH(Charts!$B$3,"average", AVERAGE(INDIRECT(ADDRESS(311+3,K$2+1,,,"Instances") &amp; ":" &amp; ADDRESS(311+3,K$2+1))),"median", MEDIAN(INDIRECT(ADDRESS(311+3,K$2+1,,,"Instances") &amp; ":" &amp; ADDRESS(311+3,K$2+1))),"min", MIN(INDIRECT(ADDRESS(311+3,K$2+1,,,"Instances") &amp; ":" &amp; ADDRESS(311+3,K$2+1))),"max", MAX(INDIRECT(ADDRESS(311+3,K$2+1,,,"Instances") &amp; ":" &amp; ADDRESS(311+3,K$2+1))),"diff", MAX(INDIRECT(ADDRESS(311+3,K$2+1,,,"Instances") &amp; ":" &amp; ADDRESS(311+3,K$2+1)))-MIN(INDIRECT(ADDRESS(311+3,K$2+1,,,"Instances") &amp; ":" &amp; ADDRESS(311+3,K$2+1))))</f>
        <v>0</v>
      </c>
      <c r="L316">
        <f>IFERROR(SMALL(K5:K364,ROW()-ROW($L$5)+1),"")</f>
        <v>0</v>
      </c>
      <c r="N316">
        <f>IFERROR(SUM(L5:L316),"")</f>
        <v>0</v>
      </c>
      <c r="Q316">
        <f>IF(Charts!$B$3="none",E2123,IF(K2123="",NA(),K2123))</f>
        <v>0</v>
      </c>
      <c r="R316">
        <f>IF(Charts!$B$3="none",F2123,IF(L2123="",NA(),L2123))</f>
        <v>0</v>
      </c>
      <c r="S316">
        <f>IF(Charts!$B$3="none",G2123,IF(M2123="",NA(),M2123))</f>
        <v>0</v>
      </c>
      <c r="T316">
        <f>IF(Charts!$B$3="none",H2123,IF(N2123="",NA(),N2123))</f>
        <v>0</v>
      </c>
    </row>
    <row r="317" spans="4:20">
      <c r="D317">
        <v>313</v>
      </c>
      <c r="E317">
        <f>IF(INDIRECT(ADDRESS($D317+2,E$2+1,,,"Instances"))="","",INDIRECT(ADDRESS($D317+2,E$2+1,,,"Instances")))</f>
        <v>0</v>
      </c>
      <c r="F317">
        <f>IFERROR(SMALL(E5:E364,ROW()-ROW($F$5)+1),"")</f>
        <v>0</v>
      </c>
      <c r="H317">
        <f>IFERROR(SUM(F5:F317),"")</f>
        <v>0</v>
      </c>
      <c r="J317">
        <v>313</v>
      </c>
      <c r="K317" cm="1">
        <f t="array" ref="K317">_xlfn.SWITCH(Charts!$B$3,"average", AVERAGE(INDIRECT(ADDRESS(312+3,K$2+1,,,"Instances") &amp; ":" &amp; ADDRESS(312+3,K$2+1))),"median", MEDIAN(INDIRECT(ADDRESS(312+3,K$2+1,,,"Instances") &amp; ":" &amp; ADDRESS(312+3,K$2+1))),"min", MIN(INDIRECT(ADDRESS(312+3,K$2+1,,,"Instances") &amp; ":" &amp; ADDRESS(312+3,K$2+1))),"max", MAX(INDIRECT(ADDRESS(312+3,K$2+1,,,"Instances") &amp; ":" &amp; ADDRESS(312+3,K$2+1))),"diff", MAX(INDIRECT(ADDRESS(312+3,K$2+1,,,"Instances") &amp; ":" &amp; ADDRESS(312+3,K$2+1)))-MIN(INDIRECT(ADDRESS(312+3,K$2+1,,,"Instances") &amp; ":" &amp; ADDRESS(312+3,K$2+1))))</f>
        <v>0</v>
      </c>
      <c r="L317">
        <f>IFERROR(SMALL(K5:K364,ROW()-ROW($L$5)+1),"")</f>
        <v>0</v>
      </c>
      <c r="N317">
        <f>IFERROR(SUM(L5:L317),"")</f>
        <v>0</v>
      </c>
      <c r="Q317">
        <f>IF(Charts!$B$3="none",E2124,IF(K2124="",NA(),K2124))</f>
        <v>0</v>
      </c>
      <c r="R317">
        <f>IF(Charts!$B$3="none",F2124,IF(L2124="",NA(),L2124))</f>
        <v>0</v>
      </c>
      <c r="S317">
        <f>IF(Charts!$B$3="none",G2124,IF(M2124="",NA(),M2124))</f>
        <v>0</v>
      </c>
      <c r="T317">
        <f>IF(Charts!$B$3="none",H2124,IF(N2124="",NA(),N2124))</f>
        <v>0</v>
      </c>
    </row>
    <row r="318" spans="4:20">
      <c r="D318">
        <v>314</v>
      </c>
      <c r="E318">
        <f>IF(INDIRECT(ADDRESS($D318+2,E$2+1,,,"Instances"))="","",INDIRECT(ADDRESS($D318+2,E$2+1,,,"Instances")))</f>
        <v>0</v>
      </c>
      <c r="F318">
        <f>IFERROR(SMALL(E5:E364,ROW()-ROW($F$5)+1),"")</f>
        <v>0</v>
      </c>
      <c r="H318">
        <f>IFERROR(SUM(F5:F318),"")</f>
        <v>0</v>
      </c>
      <c r="J318">
        <v>314</v>
      </c>
      <c r="K318" cm="1">
        <f t="array" ref="K318">_xlfn.SWITCH(Charts!$B$3,"average", AVERAGE(INDIRECT(ADDRESS(313+3,K$2+1,,,"Instances") &amp; ":" &amp; ADDRESS(313+3,K$2+1))),"median", MEDIAN(INDIRECT(ADDRESS(313+3,K$2+1,,,"Instances") &amp; ":" &amp; ADDRESS(313+3,K$2+1))),"min", MIN(INDIRECT(ADDRESS(313+3,K$2+1,,,"Instances") &amp; ":" &amp; ADDRESS(313+3,K$2+1))),"max", MAX(INDIRECT(ADDRESS(313+3,K$2+1,,,"Instances") &amp; ":" &amp; ADDRESS(313+3,K$2+1))),"diff", MAX(INDIRECT(ADDRESS(313+3,K$2+1,,,"Instances") &amp; ":" &amp; ADDRESS(313+3,K$2+1)))-MIN(INDIRECT(ADDRESS(313+3,K$2+1,,,"Instances") &amp; ":" &amp; ADDRESS(313+3,K$2+1))))</f>
        <v>0</v>
      </c>
      <c r="L318">
        <f>IFERROR(SMALL(K5:K364,ROW()-ROW($L$5)+1),"")</f>
        <v>0</v>
      </c>
      <c r="N318">
        <f>IFERROR(SUM(L5:L318),"")</f>
        <v>0</v>
      </c>
      <c r="Q318">
        <f>IF(Charts!$B$3="none",E2125,IF(K2125="",NA(),K2125))</f>
        <v>0</v>
      </c>
      <c r="R318">
        <f>IF(Charts!$B$3="none",F2125,IF(L2125="",NA(),L2125))</f>
        <v>0</v>
      </c>
      <c r="S318">
        <f>IF(Charts!$B$3="none",G2125,IF(M2125="",NA(),M2125))</f>
        <v>0</v>
      </c>
      <c r="T318">
        <f>IF(Charts!$B$3="none",H2125,IF(N2125="",NA(),N2125))</f>
        <v>0</v>
      </c>
    </row>
    <row r="319" spans="4:20">
      <c r="D319">
        <v>315</v>
      </c>
      <c r="E319">
        <f>IF(INDIRECT(ADDRESS($D319+2,E$2+1,,,"Instances"))="","",INDIRECT(ADDRESS($D319+2,E$2+1,,,"Instances")))</f>
        <v>0</v>
      </c>
      <c r="F319">
        <f>IFERROR(SMALL(E5:E364,ROW()-ROW($F$5)+1),"")</f>
        <v>0</v>
      </c>
      <c r="H319">
        <f>IFERROR(SUM(F5:F319),"")</f>
        <v>0</v>
      </c>
      <c r="J319">
        <v>315</v>
      </c>
      <c r="K319" cm="1">
        <f t="array" ref="K319">_xlfn.SWITCH(Charts!$B$3,"average", AVERAGE(INDIRECT(ADDRESS(314+3,K$2+1,,,"Instances") &amp; ":" &amp; ADDRESS(314+3,K$2+1))),"median", MEDIAN(INDIRECT(ADDRESS(314+3,K$2+1,,,"Instances") &amp; ":" &amp; ADDRESS(314+3,K$2+1))),"min", MIN(INDIRECT(ADDRESS(314+3,K$2+1,,,"Instances") &amp; ":" &amp; ADDRESS(314+3,K$2+1))),"max", MAX(INDIRECT(ADDRESS(314+3,K$2+1,,,"Instances") &amp; ":" &amp; ADDRESS(314+3,K$2+1))),"diff", MAX(INDIRECT(ADDRESS(314+3,K$2+1,,,"Instances") &amp; ":" &amp; ADDRESS(314+3,K$2+1)))-MIN(INDIRECT(ADDRESS(314+3,K$2+1,,,"Instances") &amp; ":" &amp; ADDRESS(314+3,K$2+1))))</f>
        <v>0</v>
      </c>
      <c r="L319">
        <f>IFERROR(SMALL(K5:K364,ROW()-ROW($L$5)+1),"")</f>
        <v>0</v>
      </c>
      <c r="N319">
        <f>IFERROR(SUM(L5:L319),"")</f>
        <v>0</v>
      </c>
      <c r="Q319">
        <f>IF(Charts!$B$3="none",E2126,IF(K2126="",NA(),K2126))</f>
        <v>0</v>
      </c>
      <c r="R319">
        <f>IF(Charts!$B$3="none",F2126,IF(L2126="",NA(),L2126))</f>
        <v>0</v>
      </c>
      <c r="S319">
        <f>IF(Charts!$B$3="none",G2126,IF(M2126="",NA(),M2126))</f>
        <v>0</v>
      </c>
      <c r="T319">
        <f>IF(Charts!$B$3="none",H2126,IF(N2126="",NA(),N2126))</f>
        <v>0</v>
      </c>
    </row>
    <row r="320" spans="4:20">
      <c r="D320">
        <v>316</v>
      </c>
      <c r="E320">
        <f>IF(INDIRECT(ADDRESS($D320+2,E$2+1,,,"Instances"))="","",INDIRECT(ADDRESS($D320+2,E$2+1,,,"Instances")))</f>
        <v>0</v>
      </c>
      <c r="F320">
        <f>IFERROR(SMALL(E5:E364,ROW()-ROW($F$5)+1),"")</f>
        <v>0</v>
      </c>
      <c r="H320">
        <f>IFERROR(SUM(F5:F320),"")</f>
        <v>0</v>
      </c>
      <c r="J320">
        <v>316</v>
      </c>
      <c r="K320" cm="1">
        <f t="array" ref="K320">_xlfn.SWITCH(Charts!$B$3,"average", AVERAGE(INDIRECT(ADDRESS(315+3,K$2+1,,,"Instances") &amp; ":" &amp; ADDRESS(315+3,K$2+1))),"median", MEDIAN(INDIRECT(ADDRESS(315+3,K$2+1,,,"Instances") &amp; ":" &amp; ADDRESS(315+3,K$2+1))),"min", MIN(INDIRECT(ADDRESS(315+3,K$2+1,,,"Instances") &amp; ":" &amp; ADDRESS(315+3,K$2+1))),"max", MAX(INDIRECT(ADDRESS(315+3,K$2+1,,,"Instances") &amp; ":" &amp; ADDRESS(315+3,K$2+1))),"diff", MAX(INDIRECT(ADDRESS(315+3,K$2+1,,,"Instances") &amp; ":" &amp; ADDRESS(315+3,K$2+1)))-MIN(INDIRECT(ADDRESS(315+3,K$2+1,,,"Instances") &amp; ":" &amp; ADDRESS(315+3,K$2+1))))</f>
        <v>0</v>
      </c>
      <c r="L320">
        <f>IFERROR(SMALL(K5:K364,ROW()-ROW($L$5)+1),"")</f>
        <v>0</v>
      </c>
      <c r="N320">
        <f>IFERROR(SUM(L5:L320),"")</f>
        <v>0</v>
      </c>
      <c r="Q320">
        <f>IF(Charts!$B$3="none",E2127,IF(K2127="",NA(),K2127))</f>
        <v>0</v>
      </c>
      <c r="R320">
        <f>IF(Charts!$B$3="none",F2127,IF(L2127="",NA(),L2127))</f>
        <v>0</v>
      </c>
      <c r="S320">
        <f>IF(Charts!$B$3="none",G2127,IF(M2127="",NA(),M2127))</f>
        <v>0</v>
      </c>
      <c r="T320">
        <f>IF(Charts!$B$3="none",H2127,IF(N2127="",NA(),N2127))</f>
        <v>0</v>
      </c>
    </row>
    <row r="321" spans="4:20">
      <c r="D321">
        <v>317</v>
      </c>
      <c r="E321">
        <f>IF(INDIRECT(ADDRESS($D321+2,E$2+1,,,"Instances"))="","",INDIRECT(ADDRESS($D321+2,E$2+1,,,"Instances")))</f>
        <v>0</v>
      </c>
      <c r="F321">
        <f>IFERROR(SMALL(E5:E364,ROW()-ROW($F$5)+1),"")</f>
        <v>0</v>
      </c>
      <c r="H321">
        <f>IFERROR(SUM(F5:F321),"")</f>
        <v>0</v>
      </c>
      <c r="J321">
        <v>317</v>
      </c>
      <c r="K321" cm="1">
        <f t="array" ref="K321">_xlfn.SWITCH(Charts!$B$3,"average", AVERAGE(INDIRECT(ADDRESS(316+3,K$2+1,,,"Instances") &amp; ":" &amp; ADDRESS(316+3,K$2+1))),"median", MEDIAN(INDIRECT(ADDRESS(316+3,K$2+1,,,"Instances") &amp; ":" &amp; ADDRESS(316+3,K$2+1))),"min", MIN(INDIRECT(ADDRESS(316+3,K$2+1,,,"Instances") &amp; ":" &amp; ADDRESS(316+3,K$2+1))),"max", MAX(INDIRECT(ADDRESS(316+3,K$2+1,,,"Instances") &amp; ":" &amp; ADDRESS(316+3,K$2+1))),"diff", MAX(INDIRECT(ADDRESS(316+3,K$2+1,,,"Instances") &amp; ":" &amp; ADDRESS(316+3,K$2+1)))-MIN(INDIRECT(ADDRESS(316+3,K$2+1,,,"Instances") &amp; ":" &amp; ADDRESS(316+3,K$2+1))))</f>
        <v>0</v>
      </c>
      <c r="L321">
        <f>IFERROR(SMALL(K5:K364,ROW()-ROW($L$5)+1),"")</f>
        <v>0</v>
      </c>
      <c r="N321">
        <f>IFERROR(SUM(L5:L321),"")</f>
        <v>0</v>
      </c>
      <c r="Q321">
        <f>IF(Charts!$B$3="none",E2128,IF(K2128="",NA(),K2128))</f>
        <v>0</v>
      </c>
      <c r="R321">
        <f>IF(Charts!$B$3="none",F2128,IF(L2128="",NA(),L2128))</f>
        <v>0</v>
      </c>
      <c r="S321">
        <f>IF(Charts!$B$3="none",G2128,IF(M2128="",NA(),M2128))</f>
        <v>0</v>
      </c>
      <c r="T321">
        <f>IF(Charts!$B$3="none",H2128,IF(N2128="",NA(),N2128))</f>
        <v>0</v>
      </c>
    </row>
    <row r="322" spans="4:20">
      <c r="D322">
        <v>318</v>
      </c>
      <c r="E322">
        <f>IF(INDIRECT(ADDRESS($D322+2,E$2+1,,,"Instances"))="","",INDIRECT(ADDRESS($D322+2,E$2+1,,,"Instances")))</f>
        <v>0</v>
      </c>
      <c r="F322">
        <f>IFERROR(SMALL(E5:E364,ROW()-ROW($F$5)+1),"")</f>
        <v>0</v>
      </c>
      <c r="H322">
        <f>IFERROR(SUM(F5:F322),"")</f>
        <v>0</v>
      </c>
      <c r="J322">
        <v>318</v>
      </c>
      <c r="K322" cm="1">
        <f t="array" ref="K322">_xlfn.SWITCH(Charts!$B$3,"average", AVERAGE(INDIRECT(ADDRESS(317+3,K$2+1,,,"Instances") &amp; ":" &amp; ADDRESS(317+3,K$2+1))),"median", MEDIAN(INDIRECT(ADDRESS(317+3,K$2+1,,,"Instances") &amp; ":" &amp; ADDRESS(317+3,K$2+1))),"min", MIN(INDIRECT(ADDRESS(317+3,K$2+1,,,"Instances") &amp; ":" &amp; ADDRESS(317+3,K$2+1))),"max", MAX(INDIRECT(ADDRESS(317+3,K$2+1,,,"Instances") &amp; ":" &amp; ADDRESS(317+3,K$2+1))),"diff", MAX(INDIRECT(ADDRESS(317+3,K$2+1,,,"Instances") &amp; ":" &amp; ADDRESS(317+3,K$2+1)))-MIN(INDIRECT(ADDRESS(317+3,K$2+1,,,"Instances") &amp; ":" &amp; ADDRESS(317+3,K$2+1))))</f>
        <v>0</v>
      </c>
      <c r="L322">
        <f>IFERROR(SMALL(K5:K364,ROW()-ROW($L$5)+1),"")</f>
        <v>0</v>
      </c>
      <c r="N322">
        <f>IFERROR(SUM(L5:L322),"")</f>
        <v>0</v>
      </c>
      <c r="Q322">
        <f>IF(Charts!$B$3="none",E2129,IF(K2129="",NA(),K2129))</f>
        <v>0</v>
      </c>
      <c r="R322">
        <f>IF(Charts!$B$3="none",F2129,IF(L2129="",NA(),L2129))</f>
        <v>0</v>
      </c>
      <c r="S322">
        <f>IF(Charts!$B$3="none",G2129,IF(M2129="",NA(),M2129))</f>
        <v>0</v>
      </c>
      <c r="T322">
        <f>IF(Charts!$B$3="none",H2129,IF(N2129="",NA(),N2129))</f>
        <v>0</v>
      </c>
    </row>
    <row r="323" spans="4:20">
      <c r="D323">
        <v>319</v>
      </c>
      <c r="E323">
        <f>IF(INDIRECT(ADDRESS($D323+2,E$2+1,,,"Instances"))="","",INDIRECT(ADDRESS($D323+2,E$2+1,,,"Instances")))</f>
        <v>0</v>
      </c>
      <c r="F323">
        <f>IFERROR(SMALL(E5:E364,ROW()-ROW($F$5)+1),"")</f>
        <v>0</v>
      </c>
      <c r="H323">
        <f>IFERROR(SUM(F5:F323),"")</f>
        <v>0</v>
      </c>
      <c r="J323">
        <v>319</v>
      </c>
      <c r="K323" cm="1">
        <f t="array" ref="K323">_xlfn.SWITCH(Charts!$B$3,"average", AVERAGE(INDIRECT(ADDRESS(318+3,K$2+1,,,"Instances") &amp; ":" &amp; ADDRESS(318+3,K$2+1))),"median", MEDIAN(INDIRECT(ADDRESS(318+3,K$2+1,,,"Instances") &amp; ":" &amp; ADDRESS(318+3,K$2+1))),"min", MIN(INDIRECT(ADDRESS(318+3,K$2+1,,,"Instances") &amp; ":" &amp; ADDRESS(318+3,K$2+1))),"max", MAX(INDIRECT(ADDRESS(318+3,K$2+1,,,"Instances") &amp; ":" &amp; ADDRESS(318+3,K$2+1))),"diff", MAX(INDIRECT(ADDRESS(318+3,K$2+1,,,"Instances") &amp; ":" &amp; ADDRESS(318+3,K$2+1)))-MIN(INDIRECT(ADDRESS(318+3,K$2+1,,,"Instances") &amp; ":" &amp; ADDRESS(318+3,K$2+1))))</f>
        <v>0</v>
      </c>
      <c r="L323">
        <f>IFERROR(SMALL(K5:K364,ROW()-ROW($L$5)+1),"")</f>
        <v>0</v>
      </c>
      <c r="N323">
        <f>IFERROR(SUM(L5:L323),"")</f>
        <v>0</v>
      </c>
      <c r="Q323">
        <f>IF(Charts!$B$3="none",E2130,IF(K2130="",NA(),K2130))</f>
        <v>0</v>
      </c>
      <c r="R323">
        <f>IF(Charts!$B$3="none",F2130,IF(L2130="",NA(),L2130))</f>
        <v>0</v>
      </c>
      <c r="S323">
        <f>IF(Charts!$B$3="none",G2130,IF(M2130="",NA(),M2130))</f>
        <v>0</v>
      </c>
      <c r="T323">
        <f>IF(Charts!$B$3="none",H2130,IF(N2130="",NA(),N2130))</f>
        <v>0</v>
      </c>
    </row>
    <row r="324" spans="4:20">
      <c r="D324">
        <v>320</v>
      </c>
      <c r="E324">
        <f>IF(INDIRECT(ADDRESS($D324+2,E$2+1,,,"Instances"))="","",INDIRECT(ADDRESS($D324+2,E$2+1,,,"Instances")))</f>
        <v>0</v>
      </c>
      <c r="F324">
        <f>IFERROR(SMALL(E5:E364,ROW()-ROW($F$5)+1),"")</f>
        <v>0</v>
      </c>
      <c r="H324">
        <f>IFERROR(SUM(F5:F324),"")</f>
        <v>0</v>
      </c>
      <c r="J324">
        <v>320</v>
      </c>
      <c r="K324" cm="1">
        <f t="array" ref="K324">_xlfn.SWITCH(Charts!$B$3,"average", AVERAGE(INDIRECT(ADDRESS(319+3,K$2+1,,,"Instances") &amp; ":" &amp; ADDRESS(319+3,K$2+1))),"median", MEDIAN(INDIRECT(ADDRESS(319+3,K$2+1,,,"Instances") &amp; ":" &amp; ADDRESS(319+3,K$2+1))),"min", MIN(INDIRECT(ADDRESS(319+3,K$2+1,,,"Instances") &amp; ":" &amp; ADDRESS(319+3,K$2+1))),"max", MAX(INDIRECT(ADDRESS(319+3,K$2+1,,,"Instances") &amp; ":" &amp; ADDRESS(319+3,K$2+1))),"diff", MAX(INDIRECT(ADDRESS(319+3,K$2+1,,,"Instances") &amp; ":" &amp; ADDRESS(319+3,K$2+1)))-MIN(INDIRECT(ADDRESS(319+3,K$2+1,,,"Instances") &amp; ":" &amp; ADDRESS(319+3,K$2+1))))</f>
        <v>0</v>
      </c>
      <c r="L324">
        <f>IFERROR(SMALL(K5:K364,ROW()-ROW($L$5)+1),"")</f>
        <v>0</v>
      </c>
      <c r="N324">
        <f>IFERROR(SUM(L5:L324),"")</f>
        <v>0</v>
      </c>
      <c r="Q324">
        <f>IF(Charts!$B$3="none",E2131,IF(K2131="",NA(),K2131))</f>
        <v>0</v>
      </c>
      <c r="R324">
        <f>IF(Charts!$B$3="none",F2131,IF(L2131="",NA(),L2131))</f>
        <v>0</v>
      </c>
      <c r="S324">
        <f>IF(Charts!$B$3="none",G2131,IF(M2131="",NA(),M2131))</f>
        <v>0</v>
      </c>
      <c r="T324">
        <f>IF(Charts!$B$3="none",H2131,IF(N2131="",NA(),N2131))</f>
        <v>0</v>
      </c>
    </row>
    <row r="325" spans="4:20">
      <c r="D325">
        <v>321</v>
      </c>
      <c r="E325">
        <f>IF(INDIRECT(ADDRESS($D325+2,E$2+1,,,"Instances"))="","",INDIRECT(ADDRESS($D325+2,E$2+1,,,"Instances")))</f>
        <v>0</v>
      </c>
      <c r="F325">
        <f>IFERROR(SMALL(E5:E364,ROW()-ROW($F$5)+1),"")</f>
        <v>0</v>
      </c>
      <c r="H325">
        <f>IFERROR(SUM(F5:F325),"")</f>
        <v>0</v>
      </c>
      <c r="J325">
        <v>321</v>
      </c>
      <c r="K325" cm="1">
        <f t="array" ref="K325">_xlfn.SWITCH(Charts!$B$3,"average", AVERAGE(INDIRECT(ADDRESS(320+3,K$2+1,,,"Instances") &amp; ":" &amp; ADDRESS(320+3,K$2+1))),"median", MEDIAN(INDIRECT(ADDRESS(320+3,K$2+1,,,"Instances") &amp; ":" &amp; ADDRESS(320+3,K$2+1))),"min", MIN(INDIRECT(ADDRESS(320+3,K$2+1,,,"Instances") &amp; ":" &amp; ADDRESS(320+3,K$2+1))),"max", MAX(INDIRECT(ADDRESS(320+3,K$2+1,,,"Instances") &amp; ":" &amp; ADDRESS(320+3,K$2+1))),"diff", MAX(INDIRECT(ADDRESS(320+3,K$2+1,,,"Instances") &amp; ":" &amp; ADDRESS(320+3,K$2+1)))-MIN(INDIRECT(ADDRESS(320+3,K$2+1,,,"Instances") &amp; ":" &amp; ADDRESS(320+3,K$2+1))))</f>
        <v>0</v>
      </c>
      <c r="L325">
        <f>IFERROR(SMALL(K5:K364,ROW()-ROW($L$5)+1),"")</f>
        <v>0</v>
      </c>
      <c r="N325">
        <f>IFERROR(SUM(L5:L325),"")</f>
        <v>0</v>
      </c>
      <c r="Q325">
        <f>IF(Charts!$B$3="none",E2132,IF(K2132="",NA(),K2132))</f>
        <v>0</v>
      </c>
      <c r="R325">
        <f>IF(Charts!$B$3="none",F2132,IF(L2132="",NA(),L2132))</f>
        <v>0</v>
      </c>
      <c r="S325">
        <f>IF(Charts!$B$3="none",G2132,IF(M2132="",NA(),M2132))</f>
        <v>0</v>
      </c>
      <c r="T325">
        <f>IF(Charts!$B$3="none",H2132,IF(N2132="",NA(),N2132))</f>
        <v>0</v>
      </c>
    </row>
    <row r="326" spans="4:20">
      <c r="D326">
        <v>322</v>
      </c>
      <c r="E326">
        <f>IF(INDIRECT(ADDRESS($D326+2,E$2+1,,,"Instances"))="","",INDIRECT(ADDRESS($D326+2,E$2+1,,,"Instances")))</f>
        <v>0</v>
      </c>
      <c r="F326">
        <f>IFERROR(SMALL(E5:E364,ROW()-ROW($F$5)+1),"")</f>
        <v>0</v>
      </c>
      <c r="H326">
        <f>IFERROR(SUM(F5:F326),"")</f>
        <v>0</v>
      </c>
      <c r="J326">
        <v>322</v>
      </c>
      <c r="K326" cm="1">
        <f t="array" ref="K326">_xlfn.SWITCH(Charts!$B$3,"average", AVERAGE(INDIRECT(ADDRESS(321+3,K$2+1,,,"Instances") &amp; ":" &amp; ADDRESS(321+3,K$2+1))),"median", MEDIAN(INDIRECT(ADDRESS(321+3,K$2+1,,,"Instances") &amp; ":" &amp; ADDRESS(321+3,K$2+1))),"min", MIN(INDIRECT(ADDRESS(321+3,K$2+1,,,"Instances") &amp; ":" &amp; ADDRESS(321+3,K$2+1))),"max", MAX(INDIRECT(ADDRESS(321+3,K$2+1,,,"Instances") &amp; ":" &amp; ADDRESS(321+3,K$2+1))),"diff", MAX(INDIRECT(ADDRESS(321+3,K$2+1,,,"Instances") &amp; ":" &amp; ADDRESS(321+3,K$2+1)))-MIN(INDIRECT(ADDRESS(321+3,K$2+1,,,"Instances") &amp; ":" &amp; ADDRESS(321+3,K$2+1))))</f>
        <v>0</v>
      </c>
      <c r="L326">
        <f>IFERROR(SMALL(K5:K364,ROW()-ROW($L$5)+1),"")</f>
        <v>0</v>
      </c>
      <c r="N326">
        <f>IFERROR(SUM(L5:L326),"")</f>
        <v>0</v>
      </c>
      <c r="Q326">
        <f>IF(Charts!$B$3="none",E2133,IF(K2133="",NA(),K2133))</f>
        <v>0</v>
      </c>
      <c r="R326">
        <f>IF(Charts!$B$3="none",F2133,IF(L2133="",NA(),L2133))</f>
        <v>0</v>
      </c>
      <c r="S326">
        <f>IF(Charts!$B$3="none",G2133,IF(M2133="",NA(),M2133))</f>
        <v>0</v>
      </c>
      <c r="T326">
        <f>IF(Charts!$B$3="none",H2133,IF(N2133="",NA(),N2133))</f>
        <v>0</v>
      </c>
    </row>
    <row r="327" spans="4:20">
      <c r="D327">
        <v>323</v>
      </c>
      <c r="E327">
        <f>IF(INDIRECT(ADDRESS($D327+2,E$2+1,,,"Instances"))="","",INDIRECT(ADDRESS($D327+2,E$2+1,,,"Instances")))</f>
        <v>0</v>
      </c>
      <c r="F327">
        <f>IFERROR(SMALL(E5:E364,ROW()-ROW($F$5)+1),"")</f>
        <v>0</v>
      </c>
      <c r="H327">
        <f>IFERROR(SUM(F5:F327),"")</f>
        <v>0</v>
      </c>
      <c r="J327">
        <v>323</v>
      </c>
      <c r="K327" cm="1">
        <f t="array" ref="K327">_xlfn.SWITCH(Charts!$B$3,"average", AVERAGE(INDIRECT(ADDRESS(322+3,K$2+1,,,"Instances") &amp; ":" &amp; ADDRESS(322+3,K$2+1))),"median", MEDIAN(INDIRECT(ADDRESS(322+3,K$2+1,,,"Instances") &amp; ":" &amp; ADDRESS(322+3,K$2+1))),"min", MIN(INDIRECT(ADDRESS(322+3,K$2+1,,,"Instances") &amp; ":" &amp; ADDRESS(322+3,K$2+1))),"max", MAX(INDIRECT(ADDRESS(322+3,K$2+1,,,"Instances") &amp; ":" &amp; ADDRESS(322+3,K$2+1))),"diff", MAX(INDIRECT(ADDRESS(322+3,K$2+1,,,"Instances") &amp; ":" &amp; ADDRESS(322+3,K$2+1)))-MIN(INDIRECT(ADDRESS(322+3,K$2+1,,,"Instances") &amp; ":" &amp; ADDRESS(322+3,K$2+1))))</f>
        <v>0</v>
      </c>
      <c r="L327">
        <f>IFERROR(SMALL(K5:K364,ROW()-ROW($L$5)+1),"")</f>
        <v>0</v>
      </c>
      <c r="N327">
        <f>IFERROR(SUM(L5:L327),"")</f>
        <v>0</v>
      </c>
      <c r="Q327">
        <f>IF(Charts!$B$3="none",E2134,IF(K2134="",NA(),K2134))</f>
        <v>0</v>
      </c>
      <c r="R327">
        <f>IF(Charts!$B$3="none",F2134,IF(L2134="",NA(),L2134))</f>
        <v>0</v>
      </c>
      <c r="S327">
        <f>IF(Charts!$B$3="none",G2134,IF(M2134="",NA(),M2134))</f>
        <v>0</v>
      </c>
      <c r="T327">
        <f>IF(Charts!$B$3="none",H2134,IF(N2134="",NA(),N2134))</f>
        <v>0</v>
      </c>
    </row>
    <row r="328" spans="4:20">
      <c r="D328">
        <v>324</v>
      </c>
      <c r="E328">
        <f>IF(INDIRECT(ADDRESS($D328+2,E$2+1,,,"Instances"))="","",INDIRECT(ADDRESS($D328+2,E$2+1,,,"Instances")))</f>
        <v>0</v>
      </c>
      <c r="F328">
        <f>IFERROR(SMALL(E5:E364,ROW()-ROW($F$5)+1),"")</f>
        <v>0</v>
      </c>
      <c r="H328">
        <f>IFERROR(SUM(F5:F328),"")</f>
        <v>0</v>
      </c>
      <c r="J328">
        <v>324</v>
      </c>
      <c r="K328" cm="1">
        <f t="array" ref="K328">_xlfn.SWITCH(Charts!$B$3,"average", AVERAGE(INDIRECT(ADDRESS(323+3,K$2+1,,,"Instances") &amp; ":" &amp; ADDRESS(323+3,K$2+1))),"median", MEDIAN(INDIRECT(ADDRESS(323+3,K$2+1,,,"Instances") &amp; ":" &amp; ADDRESS(323+3,K$2+1))),"min", MIN(INDIRECT(ADDRESS(323+3,K$2+1,,,"Instances") &amp; ":" &amp; ADDRESS(323+3,K$2+1))),"max", MAX(INDIRECT(ADDRESS(323+3,K$2+1,,,"Instances") &amp; ":" &amp; ADDRESS(323+3,K$2+1))),"diff", MAX(INDIRECT(ADDRESS(323+3,K$2+1,,,"Instances") &amp; ":" &amp; ADDRESS(323+3,K$2+1)))-MIN(INDIRECT(ADDRESS(323+3,K$2+1,,,"Instances") &amp; ":" &amp; ADDRESS(323+3,K$2+1))))</f>
        <v>0</v>
      </c>
      <c r="L328">
        <f>IFERROR(SMALL(K5:K364,ROW()-ROW($L$5)+1),"")</f>
        <v>0</v>
      </c>
      <c r="N328">
        <f>IFERROR(SUM(L5:L328),"")</f>
        <v>0</v>
      </c>
      <c r="Q328">
        <f>IF(Charts!$B$3="none",E2135,IF(K2135="",NA(),K2135))</f>
        <v>0</v>
      </c>
      <c r="R328">
        <f>IF(Charts!$B$3="none",F2135,IF(L2135="",NA(),L2135))</f>
        <v>0</v>
      </c>
      <c r="S328">
        <f>IF(Charts!$B$3="none",G2135,IF(M2135="",NA(),M2135))</f>
        <v>0</v>
      </c>
      <c r="T328">
        <f>IF(Charts!$B$3="none",H2135,IF(N2135="",NA(),N2135))</f>
        <v>0</v>
      </c>
    </row>
    <row r="329" spans="4:20">
      <c r="D329">
        <v>325</v>
      </c>
      <c r="E329">
        <f>IF(INDIRECT(ADDRESS($D329+2,E$2+1,,,"Instances"))="","",INDIRECT(ADDRESS($D329+2,E$2+1,,,"Instances")))</f>
        <v>0</v>
      </c>
      <c r="F329">
        <f>IFERROR(SMALL(E5:E364,ROW()-ROW($F$5)+1),"")</f>
        <v>0</v>
      </c>
      <c r="H329">
        <f>IFERROR(SUM(F5:F329),"")</f>
        <v>0</v>
      </c>
      <c r="J329">
        <v>325</v>
      </c>
      <c r="K329" cm="1">
        <f t="array" ref="K329">_xlfn.SWITCH(Charts!$B$3,"average", AVERAGE(INDIRECT(ADDRESS(324+3,K$2+1,,,"Instances") &amp; ":" &amp; ADDRESS(324+3,K$2+1))),"median", MEDIAN(INDIRECT(ADDRESS(324+3,K$2+1,,,"Instances") &amp; ":" &amp; ADDRESS(324+3,K$2+1))),"min", MIN(INDIRECT(ADDRESS(324+3,K$2+1,,,"Instances") &amp; ":" &amp; ADDRESS(324+3,K$2+1))),"max", MAX(INDIRECT(ADDRESS(324+3,K$2+1,,,"Instances") &amp; ":" &amp; ADDRESS(324+3,K$2+1))),"diff", MAX(INDIRECT(ADDRESS(324+3,K$2+1,,,"Instances") &amp; ":" &amp; ADDRESS(324+3,K$2+1)))-MIN(INDIRECT(ADDRESS(324+3,K$2+1,,,"Instances") &amp; ":" &amp; ADDRESS(324+3,K$2+1))))</f>
        <v>0</v>
      </c>
      <c r="L329">
        <f>IFERROR(SMALL(K5:K364,ROW()-ROW($L$5)+1),"")</f>
        <v>0</v>
      </c>
      <c r="N329">
        <f>IFERROR(SUM(L5:L329),"")</f>
        <v>0</v>
      </c>
      <c r="Q329">
        <f>IF(Charts!$B$3="none",E2136,IF(K2136="",NA(),K2136))</f>
        <v>0</v>
      </c>
      <c r="R329">
        <f>IF(Charts!$B$3="none",F2136,IF(L2136="",NA(),L2136))</f>
        <v>0</v>
      </c>
      <c r="S329">
        <f>IF(Charts!$B$3="none",G2136,IF(M2136="",NA(),M2136))</f>
        <v>0</v>
      </c>
      <c r="T329">
        <f>IF(Charts!$B$3="none",H2136,IF(N2136="",NA(),N2136))</f>
        <v>0</v>
      </c>
    </row>
    <row r="330" spans="4:20">
      <c r="D330">
        <v>326</v>
      </c>
      <c r="E330">
        <f>IF(INDIRECT(ADDRESS($D330+2,E$2+1,,,"Instances"))="","",INDIRECT(ADDRESS($D330+2,E$2+1,,,"Instances")))</f>
        <v>0</v>
      </c>
      <c r="F330">
        <f>IFERROR(SMALL(E5:E364,ROW()-ROW($F$5)+1),"")</f>
        <v>0</v>
      </c>
      <c r="H330">
        <f>IFERROR(SUM(F5:F330),"")</f>
        <v>0</v>
      </c>
      <c r="J330">
        <v>326</v>
      </c>
      <c r="K330" cm="1">
        <f t="array" ref="K330">_xlfn.SWITCH(Charts!$B$3,"average", AVERAGE(INDIRECT(ADDRESS(325+3,K$2+1,,,"Instances") &amp; ":" &amp; ADDRESS(325+3,K$2+1))),"median", MEDIAN(INDIRECT(ADDRESS(325+3,K$2+1,,,"Instances") &amp; ":" &amp; ADDRESS(325+3,K$2+1))),"min", MIN(INDIRECT(ADDRESS(325+3,K$2+1,,,"Instances") &amp; ":" &amp; ADDRESS(325+3,K$2+1))),"max", MAX(INDIRECT(ADDRESS(325+3,K$2+1,,,"Instances") &amp; ":" &amp; ADDRESS(325+3,K$2+1))),"diff", MAX(INDIRECT(ADDRESS(325+3,K$2+1,,,"Instances") &amp; ":" &amp; ADDRESS(325+3,K$2+1)))-MIN(INDIRECT(ADDRESS(325+3,K$2+1,,,"Instances") &amp; ":" &amp; ADDRESS(325+3,K$2+1))))</f>
        <v>0</v>
      </c>
      <c r="L330">
        <f>IFERROR(SMALL(K5:K364,ROW()-ROW($L$5)+1),"")</f>
        <v>0</v>
      </c>
      <c r="N330">
        <f>IFERROR(SUM(L5:L330),"")</f>
        <v>0</v>
      </c>
      <c r="Q330">
        <f>IF(Charts!$B$3="none",E2137,IF(K2137="",NA(),K2137))</f>
        <v>0</v>
      </c>
      <c r="R330">
        <f>IF(Charts!$B$3="none",F2137,IF(L2137="",NA(),L2137))</f>
        <v>0</v>
      </c>
      <c r="S330">
        <f>IF(Charts!$B$3="none",G2137,IF(M2137="",NA(),M2137))</f>
        <v>0</v>
      </c>
      <c r="T330">
        <f>IF(Charts!$B$3="none",H2137,IF(N2137="",NA(),N2137))</f>
        <v>0</v>
      </c>
    </row>
    <row r="331" spans="4:20">
      <c r="D331">
        <v>327</v>
      </c>
      <c r="E331">
        <f>IF(INDIRECT(ADDRESS($D331+2,E$2+1,,,"Instances"))="","",INDIRECT(ADDRESS($D331+2,E$2+1,,,"Instances")))</f>
        <v>0</v>
      </c>
      <c r="F331">
        <f>IFERROR(SMALL(E5:E364,ROW()-ROW($F$5)+1),"")</f>
        <v>0</v>
      </c>
      <c r="H331">
        <f>IFERROR(SUM(F5:F331),"")</f>
        <v>0</v>
      </c>
      <c r="J331">
        <v>327</v>
      </c>
      <c r="K331" cm="1">
        <f t="array" ref="K331">_xlfn.SWITCH(Charts!$B$3,"average", AVERAGE(INDIRECT(ADDRESS(326+3,K$2+1,,,"Instances") &amp; ":" &amp; ADDRESS(326+3,K$2+1))),"median", MEDIAN(INDIRECT(ADDRESS(326+3,K$2+1,,,"Instances") &amp; ":" &amp; ADDRESS(326+3,K$2+1))),"min", MIN(INDIRECT(ADDRESS(326+3,K$2+1,,,"Instances") &amp; ":" &amp; ADDRESS(326+3,K$2+1))),"max", MAX(INDIRECT(ADDRESS(326+3,K$2+1,,,"Instances") &amp; ":" &amp; ADDRESS(326+3,K$2+1))),"diff", MAX(INDIRECT(ADDRESS(326+3,K$2+1,,,"Instances") &amp; ":" &amp; ADDRESS(326+3,K$2+1)))-MIN(INDIRECT(ADDRESS(326+3,K$2+1,,,"Instances") &amp; ":" &amp; ADDRESS(326+3,K$2+1))))</f>
        <v>0</v>
      </c>
      <c r="L331">
        <f>IFERROR(SMALL(K5:K364,ROW()-ROW($L$5)+1),"")</f>
        <v>0</v>
      </c>
      <c r="N331">
        <f>IFERROR(SUM(L5:L331),"")</f>
        <v>0</v>
      </c>
      <c r="Q331">
        <f>IF(Charts!$B$3="none",E2138,IF(K2138="",NA(),K2138))</f>
        <v>0</v>
      </c>
      <c r="R331">
        <f>IF(Charts!$B$3="none",F2138,IF(L2138="",NA(),L2138))</f>
        <v>0</v>
      </c>
      <c r="S331">
        <f>IF(Charts!$B$3="none",G2138,IF(M2138="",NA(),M2138))</f>
        <v>0</v>
      </c>
      <c r="T331">
        <f>IF(Charts!$B$3="none",H2138,IF(N2138="",NA(),N2138))</f>
        <v>0</v>
      </c>
    </row>
    <row r="332" spans="4:20">
      <c r="D332">
        <v>328</v>
      </c>
      <c r="E332">
        <f>IF(INDIRECT(ADDRESS($D332+2,E$2+1,,,"Instances"))="","",INDIRECT(ADDRESS($D332+2,E$2+1,,,"Instances")))</f>
        <v>0</v>
      </c>
      <c r="F332">
        <f>IFERROR(SMALL(E5:E364,ROW()-ROW($F$5)+1),"")</f>
        <v>0</v>
      </c>
      <c r="H332">
        <f>IFERROR(SUM(F5:F332),"")</f>
        <v>0</v>
      </c>
      <c r="J332">
        <v>328</v>
      </c>
      <c r="K332" cm="1">
        <f t="array" ref="K332">_xlfn.SWITCH(Charts!$B$3,"average", AVERAGE(INDIRECT(ADDRESS(327+3,K$2+1,,,"Instances") &amp; ":" &amp; ADDRESS(327+3,K$2+1))),"median", MEDIAN(INDIRECT(ADDRESS(327+3,K$2+1,,,"Instances") &amp; ":" &amp; ADDRESS(327+3,K$2+1))),"min", MIN(INDIRECT(ADDRESS(327+3,K$2+1,,,"Instances") &amp; ":" &amp; ADDRESS(327+3,K$2+1))),"max", MAX(INDIRECT(ADDRESS(327+3,K$2+1,,,"Instances") &amp; ":" &amp; ADDRESS(327+3,K$2+1))),"diff", MAX(INDIRECT(ADDRESS(327+3,K$2+1,,,"Instances") &amp; ":" &amp; ADDRESS(327+3,K$2+1)))-MIN(INDIRECT(ADDRESS(327+3,K$2+1,,,"Instances") &amp; ":" &amp; ADDRESS(327+3,K$2+1))))</f>
        <v>0</v>
      </c>
      <c r="L332">
        <f>IFERROR(SMALL(K5:K364,ROW()-ROW($L$5)+1),"")</f>
        <v>0</v>
      </c>
      <c r="N332">
        <f>IFERROR(SUM(L5:L332),"")</f>
        <v>0</v>
      </c>
      <c r="Q332">
        <f>IF(Charts!$B$3="none",E2139,IF(K2139="",NA(),K2139))</f>
        <v>0</v>
      </c>
      <c r="R332">
        <f>IF(Charts!$B$3="none",F2139,IF(L2139="",NA(),L2139))</f>
        <v>0</v>
      </c>
      <c r="S332">
        <f>IF(Charts!$B$3="none",G2139,IF(M2139="",NA(),M2139))</f>
        <v>0</v>
      </c>
      <c r="T332">
        <f>IF(Charts!$B$3="none",H2139,IF(N2139="",NA(),N2139))</f>
        <v>0</v>
      </c>
    </row>
    <row r="333" spans="4:20">
      <c r="D333">
        <v>329</v>
      </c>
      <c r="E333">
        <f>IF(INDIRECT(ADDRESS($D333+2,E$2+1,,,"Instances"))="","",INDIRECT(ADDRESS($D333+2,E$2+1,,,"Instances")))</f>
        <v>0</v>
      </c>
      <c r="F333">
        <f>IFERROR(SMALL(E5:E364,ROW()-ROW($F$5)+1),"")</f>
        <v>0</v>
      </c>
      <c r="H333">
        <f>IFERROR(SUM(F5:F333),"")</f>
        <v>0</v>
      </c>
      <c r="J333">
        <v>329</v>
      </c>
      <c r="K333" cm="1">
        <f t="array" ref="K333">_xlfn.SWITCH(Charts!$B$3,"average", AVERAGE(INDIRECT(ADDRESS(328+3,K$2+1,,,"Instances") &amp; ":" &amp; ADDRESS(328+3,K$2+1))),"median", MEDIAN(INDIRECT(ADDRESS(328+3,K$2+1,,,"Instances") &amp; ":" &amp; ADDRESS(328+3,K$2+1))),"min", MIN(INDIRECT(ADDRESS(328+3,K$2+1,,,"Instances") &amp; ":" &amp; ADDRESS(328+3,K$2+1))),"max", MAX(INDIRECT(ADDRESS(328+3,K$2+1,,,"Instances") &amp; ":" &amp; ADDRESS(328+3,K$2+1))),"diff", MAX(INDIRECT(ADDRESS(328+3,K$2+1,,,"Instances") &amp; ":" &amp; ADDRESS(328+3,K$2+1)))-MIN(INDIRECT(ADDRESS(328+3,K$2+1,,,"Instances") &amp; ":" &amp; ADDRESS(328+3,K$2+1))))</f>
        <v>0</v>
      </c>
      <c r="L333">
        <f>IFERROR(SMALL(K5:K364,ROW()-ROW($L$5)+1),"")</f>
        <v>0</v>
      </c>
      <c r="N333">
        <f>IFERROR(SUM(L5:L333),"")</f>
        <v>0</v>
      </c>
      <c r="Q333">
        <f>IF(Charts!$B$3="none",E2140,IF(K2140="",NA(),K2140))</f>
        <v>0</v>
      </c>
      <c r="R333">
        <f>IF(Charts!$B$3="none",F2140,IF(L2140="",NA(),L2140))</f>
        <v>0</v>
      </c>
      <c r="S333">
        <f>IF(Charts!$B$3="none",G2140,IF(M2140="",NA(),M2140))</f>
        <v>0</v>
      </c>
      <c r="T333">
        <f>IF(Charts!$B$3="none",H2140,IF(N2140="",NA(),N2140))</f>
        <v>0</v>
      </c>
    </row>
    <row r="334" spans="4:20">
      <c r="D334">
        <v>330</v>
      </c>
      <c r="E334">
        <f>IF(INDIRECT(ADDRESS($D334+2,E$2+1,,,"Instances"))="","",INDIRECT(ADDRESS($D334+2,E$2+1,,,"Instances")))</f>
        <v>0</v>
      </c>
      <c r="F334">
        <f>IFERROR(SMALL(E5:E364,ROW()-ROW($F$5)+1),"")</f>
        <v>0</v>
      </c>
      <c r="H334">
        <f>IFERROR(SUM(F5:F334),"")</f>
        <v>0</v>
      </c>
      <c r="J334">
        <v>330</v>
      </c>
      <c r="K334" cm="1">
        <f t="array" ref="K334">_xlfn.SWITCH(Charts!$B$3,"average", AVERAGE(INDIRECT(ADDRESS(329+3,K$2+1,,,"Instances") &amp; ":" &amp; ADDRESS(329+3,K$2+1))),"median", MEDIAN(INDIRECT(ADDRESS(329+3,K$2+1,,,"Instances") &amp; ":" &amp; ADDRESS(329+3,K$2+1))),"min", MIN(INDIRECT(ADDRESS(329+3,K$2+1,,,"Instances") &amp; ":" &amp; ADDRESS(329+3,K$2+1))),"max", MAX(INDIRECT(ADDRESS(329+3,K$2+1,,,"Instances") &amp; ":" &amp; ADDRESS(329+3,K$2+1))),"diff", MAX(INDIRECT(ADDRESS(329+3,K$2+1,,,"Instances") &amp; ":" &amp; ADDRESS(329+3,K$2+1)))-MIN(INDIRECT(ADDRESS(329+3,K$2+1,,,"Instances") &amp; ":" &amp; ADDRESS(329+3,K$2+1))))</f>
        <v>0</v>
      </c>
      <c r="L334">
        <f>IFERROR(SMALL(K5:K364,ROW()-ROW($L$5)+1),"")</f>
        <v>0</v>
      </c>
      <c r="N334">
        <f>IFERROR(SUM(L5:L334),"")</f>
        <v>0</v>
      </c>
      <c r="Q334">
        <f>IF(Charts!$B$3="none",E2141,IF(K2141="",NA(),K2141))</f>
        <v>0</v>
      </c>
      <c r="R334">
        <f>IF(Charts!$B$3="none",F2141,IF(L2141="",NA(),L2141))</f>
        <v>0</v>
      </c>
      <c r="S334">
        <f>IF(Charts!$B$3="none",G2141,IF(M2141="",NA(),M2141))</f>
        <v>0</v>
      </c>
      <c r="T334">
        <f>IF(Charts!$B$3="none",H2141,IF(N2141="",NA(),N2141))</f>
        <v>0</v>
      </c>
    </row>
    <row r="335" spans="4:20">
      <c r="D335">
        <v>331</v>
      </c>
      <c r="E335">
        <f>IF(INDIRECT(ADDRESS($D335+2,E$2+1,,,"Instances"))="","",INDIRECT(ADDRESS($D335+2,E$2+1,,,"Instances")))</f>
        <v>0</v>
      </c>
      <c r="F335">
        <f>IFERROR(SMALL(E5:E364,ROW()-ROW($F$5)+1),"")</f>
        <v>0</v>
      </c>
      <c r="H335">
        <f>IFERROR(SUM(F5:F335),"")</f>
        <v>0</v>
      </c>
      <c r="J335">
        <v>331</v>
      </c>
      <c r="K335" cm="1">
        <f t="array" ref="K335">_xlfn.SWITCH(Charts!$B$3,"average", AVERAGE(INDIRECT(ADDRESS(330+3,K$2+1,,,"Instances") &amp; ":" &amp; ADDRESS(330+3,K$2+1))),"median", MEDIAN(INDIRECT(ADDRESS(330+3,K$2+1,,,"Instances") &amp; ":" &amp; ADDRESS(330+3,K$2+1))),"min", MIN(INDIRECT(ADDRESS(330+3,K$2+1,,,"Instances") &amp; ":" &amp; ADDRESS(330+3,K$2+1))),"max", MAX(INDIRECT(ADDRESS(330+3,K$2+1,,,"Instances") &amp; ":" &amp; ADDRESS(330+3,K$2+1))),"diff", MAX(INDIRECT(ADDRESS(330+3,K$2+1,,,"Instances") &amp; ":" &amp; ADDRESS(330+3,K$2+1)))-MIN(INDIRECT(ADDRESS(330+3,K$2+1,,,"Instances") &amp; ":" &amp; ADDRESS(330+3,K$2+1))))</f>
        <v>0</v>
      </c>
      <c r="L335">
        <f>IFERROR(SMALL(K5:K364,ROW()-ROW($L$5)+1),"")</f>
        <v>0</v>
      </c>
      <c r="N335">
        <f>IFERROR(SUM(L5:L335),"")</f>
        <v>0</v>
      </c>
      <c r="Q335">
        <f>IF(Charts!$B$3="none",E2142,IF(K2142="",NA(),K2142))</f>
        <v>0</v>
      </c>
      <c r="R335">
        <f>IF(Charts!$B$3="none",F2142,IF(L2142="",NA(),L2142))</f>
        <v>0</v>
      </c>
      <c r="S335">
        <f>IF(Charts!$B$3="none",G2142,IF(M2142="",NA(),M2142))</f>
        <v>0</v>
      </c>
      <c r="T335">
        <f>IF(Charts!$B$3="none",H2142,IF(N2142="",NA(),N2142))</f>
        <v>0</v>
      </c>
    </row>
    <row r="336" spans="4:20">
      <c r="D336">
        <v>332</v>
      </c>
      <c r="E336">
        <f>IF(INDIRECT(ADDRESS($D336+2,E$2+1,,,"Instances"))="","",INDIRECT(ADDRESS($D336+2,E$2+1,,,"Instances")))</f>
        <v>0</v>
      </c>
      <c r="F336">
        <f>IFERROR(SMALL(E5:E364,ROW()-ROW($F$5)+1),"")</f>
        <v>0</v>
      </c>
      <c r="H336">
        <f>IFERROR(SUM(F5:F336),"")</f>
        <v>0</v>
      </c>
      <c r="J336">
        <v>332</v>
      </c>
      <c r="K336" cm="1">
        <f t="array" ref="K336">_xlfn.SWITCH(Charts!$B$3,"average", AVERAGE(INDIRECT(ADDRESS(331+3,K$2+1,,,"Instances") &amp; ":" &amp; ADDRESS(331+3,K$2+1))),"median", MEDIAN(INDIRECT(ADDRESS(331+3,K$2+1,,,"Instances") &amp; ":" &amp; ADDRESS(331+3,K$2+1))),"min", MIN(INDIRECT(ADDRESS(331+3,K$2+1,,,"Instances") &amp; ":" &amp; ADDRESS(331+3,K$2+1))),"max", MAX(INDIRECT(ADDRESS(331+3,K$2+1,,,"Instances") &amp; ":" &amp; ADDRESS(331+3,K$2+1))),"diff", MAX(INDIRECT(ADDRESS(331+3,K$2+1,,,"Instances") &amp; ":" &amp; ADDRESS(331+3,K$2+1)))-MIN(INDIRECT(ADDRESS(331+3,K$2+1,,,"Instances") &amp; ":" &amp; ADDRESS(331+3,K$2+1))))</f>
        <v>0</v>
      </c>
      <c r="L336">
        <f>IFERROR(SMALL(K5:K364,ROW()-ROW($L$5)+1),"")</f>
        <v>0</v>
      </c>
      <c r="N336">
        <f>IFERROR(SUM(L5:L336),"")</f>
        <v>0</v>
      </c>
      <c r="Q336">
        <f>IF(Charts!$B$3="none",E2143,IF(K2143="",NA(),K2143))</f>
        <v>0</v>
      </c>
      <c r="R336">
        <f>IF(Charts!$B$3="none",F2143,IF(L2143="",NA(),L2143))</f>
        <v>0</v>
      </c>
      <c r="S336">
        <f>IF(Charts!$B$3="none",G2143,IF(M2143="",NA(),M2143))</f>
        <v>0</v>
      </c>
      <c r="T336">
        <f>IF(Charts!$B$3="none",H2143,IF(N2143="",NA(),N2143))</f>
        <v>0</v>
      </c>
    </row>
    <row r="337" spans="4:20">
      <c r="D337">
        <v>333</v>
      </c>
      <c r="E337">
        <f>IF(INDIRECT(ADDRESS($D337+2,E$2+1,,,"Instances"))="","",INDIRECT(ADDRESS($D337+2,E$2+1,,,"Instances")))</f>
        <v>0</v>
      </c>
      <c r="F337">
        <f>IFERROR(SMALL(E5:E364,ROW()-ROW($F$5)+1),"")</f>
        <v>0</v>
      </c>
      <c r="H337">
        <f>IFERROR(SUM(F5:F337),"")</f>
        <v>0</v>
      </c>
      <c r="J337">
        <v>333</v>
      </c>
      <c r="K337" cm="1">
        <f t="array" ref="K337">_xlfn.SWITCH(Charts!$B$3,"average", AVERAGE(INDIRECT(ADDRESS(332+3,K$2+1,,,"Instances") &amp; ":" &amp; ADDRESS(332+3,K$2+1))),"median", MEDIAN(INDIRECT(ADDRESS(332+3,K$2+1,,,"Instances") &amp; ":" &amp; ADDRESS(332+3,K$2+1))),"min", MIN(INDIRECT(ADDRESS(332+3,K$2+1,,,"Instances") &amp; ":" &amp; ADDRESS(332+3,K$2+1))),"max", MAX(INDIRECT(ADDRESS(332+3,K$2+1,,,"Instances") &amp; ":" &amp; ADDRESS(332+3,K$2+1))),"diff", MAX(INDIRECT(ADDRESS(332+3,K$2+1,,,"Instances") &amp; ":" &amp; ADDRESS(332+3,K$2+1)))-MIN(INDIRECT(ADDRESS(332+3,K$2+1,,,"Instances") &amp; ":" &amp; ADDRESS(332+3,K$2+1))))</f>
        <v>0</v>
      </c>
      <c r="L337">
        <f>IFERROR(SMALL(K5:K364,ROW()-ROW($L$5)+1),"")</f>
        <v>0</v>
      </c>
      <c r="N337">
        <f>IFERROR(SUM(L5:L337),"")</f>
        <v>0</v>
      </c>
      <c r="Q337">
        <f>IF(Charts!$B$3="none",E2144,IF(K2144="",NA(),K2144))</f>
        <v>0</v>
      </c>
      <c r="R337">
        <f>IF(Charts!$B$3="none",F2144,IF(L2144="",NA(),L2144))</f>
        <v>0</v>
      </c>
      <c r="S337">
        <f>IF(Charts!$B$3="none",G2144,IF(M2144="",NA(),M2144))</f>
        <v>0</v>
      </c>
      <c r="T337">
        <f>IF(Charts!$B$3="none",H2144,IF(N2144="",NA(),N2144))</f>
        <v>0</v>
      </c>
    </row>
    <row r="338" spans="4:20">
      <c r="D338">
        <v>334</v>
      </c>
      <c r="E338">
        <f>IF(INDIRECT(ADDRESS($D338+2,E$2+1,,,"Instances"))="","",INDIRECT(ADDRESS($D338+2,E$2+1,,,"Instances")))</f>
        <v>0</v>
      </c>
      <c r="F338">
        <f>IFERROR(SMALL(E5:E364,ROW()-ROW($F$5)+1),"")</f>
        <v>0</v>
      </c>
      <c r="H338">
        <f>IFERROR(SUM(F5:F338),"")</f>
        <v>0</v>
      </c>
      <c r="J338">
        <v>334</v>
      </c>
      <c r="K338" cm="1">
        <f t="array" ref="K338">_xlfn.SWITCH(Charts!$B$3,"average", AVERAGE(INDIRECT(ADDRESS(333+3,K$2+1,,,"Instances") &amp; ":" &amp; ADDRESS(333+3,K$2+1))),"median", MEDIAN(INDIRECT(ADDRESS(333+3,K$2+1,,,"Instances") &amp; ":" &amp; ADDRESS(333+3,K$2+1))),"min", MIN(INDIRECT(ADDRESS(333+3,K$2+1,,,"Instances") &amp; ":" &amp; ADDRESS(333+3,K$2+1))),"max", MAX(INDIRECT(ADDRESS(333+3,K$2+1,,,"Instances") &amp; ":" &amp; ADDRESS(333+3,K$2+1))),"diff", MAX(INDIRECT(ADDRESS(333+3,K$2+1,,,"Instances") &amp; ":" &amp; ADDRESS(333+3,K$2+1)))-MIN(INDIRECT(ADDRESS(333+3,K$2+1,,,"Instances") &amp; ":" &amp; ADDRESS(333+3,K$2+1))))</f>
        <v>0</v>
      </c>
      <c r="L338">
        <f>IFERROR(SMALL(K5:K364,ROW()-ROW($L$5)+1),"")</f>
        <v>0</v>
      </c>
      <c r="N338">
        <f>IFERROR(SUM(L5:L338),"")</f>
        <v>0</v>
      </c>
      <c r="Q338">
        <f>IF(Charts!$B$3="none",E2145,IF(K2145="",NA(),K2145))</f>
        <v>0</v>
      </c>
      <c r="R338">
        <f>IF(Charts!$B$3="none",F2145,IF(L2145="",NA(),L2145))</f>
        <v>0</v>
      </c>
      <c r="S338">
        <f>IF(Charts!$B$3="none",G2145,IF(M2145="",NA(),M2145))</f>
        <v>0</v>
      </c>
      <c r="T338">
        <f>IF(Charts!$B$3="none",H2145,IF(N2145="",NA(),N2145))</f>
        <v>0</v>
      </c>
    </row>
    <row r="339" spans="4:20">
      <c r="D339">
        <v>335</v>
      </c>
      <c r="E339">
        <f>IF(INDIRECT(ADDRESS($D339+2,E$2+1,,,"Instances"))="","",INDIRECT(ADDRESS($D339+2,E$2+1,,,"Instances")))</f>
        <v>0</v>
      </c>
      <c r="F339">
        <f>IFERROR(SMALL(E5:E364,ROW()-ROW($F$5)+1),"")</f>
        <v>0</v>
      </c>
      <c r="H339">
        <f>IFERROR(SUM(F5:F339),"")</f>
        <v>0</v>
      </c>
      <c r="J339">
        <v>335</v>
      </c>
      <c r="K339" cm="1">
        <f t="array" ref="K339">_xlfn.SWITCH(Charts!$B$3,"average", AVERAGE(INDIRECT(ADDRESS(334+3,K$2+1,,,"Instances") &amp; ":" &amp; ADDRESS(334+3,K$2+1))),"median", MEDIAN(INDIRECT(ADDRESS(334+3,K$2+1,,,"Instances") &amp; ":" &amp; ADDRESS(334+3,K$2+1))),"min", MIN(INDIRECT(ADDRESS(334+3,K$2+1,,,"Instances") &amp; ":" &amp; ADDRESS(334+3,K$2+1))),"max", MAX(INDIRECT(ADDRESS(334+3,K$2+1,,,"Instances") &amp; ":" &amp; ADDRESS(334+3,K$2+1))),"diff", MAX(INDIRECT(ADDRESS(334+3,K$2+1,,,"Instances") &amp; ":" &amp; ADDRESS(334+3,K$2+1)))-MIN(INDIRECT(ADDRESS(334+3,K$2+1,,,"Instances") &amp; ":" &amp; ADDRESS(334+3,K$2+1))))</f>
        <v>0</v>
      </c>
      <c r="L339">
        <f>IFERROR(SMALL(K5:K364,ROW()-ROW($L$5)+1),"")</f>
        <v>0</v>
      </c>
      <c r="N339">
        <f>IFERROR(SUM(L5:L339),"")</f>
        <v>0</v>
      </c>
      <c r="Q339">
        <f>IF(Charts!$B$3="none",E2146,IF(K2146="",NA(),K2146))</f>
        <v>0</v>
      </c>
      <c r="R339">
        <f>IF(Charts!$B$3="none",F2146,IF(L2146="",NA(),L2146))</f>
        <v>0</v>
      </c>
      <c r="S339">
        <f>IF(Charts!$B$3="none",G2146,IF(M2146="",NA(),M2146))</f>
        <v>0</v>
      </c>
      <c r="T339">
        <f>IF(Charts!$B$3="none",H2146,IF(N2146="",NA(),N2146))</f>
        <v>0</v>
      </c>
    </row>
    <row r="340" spans="4:20">
      <c r="D340">
        <v>336</v>
      </c>
      <c r="E340">
        <f>IF(INDIRECT(ADDRESS($D340+2,E$2+1,,,"Instances"))="","",INDIRECT(ADDRESS($D340+2,E$2+1,,,"Instances")))</f>
        <v>0</v>
      </c>
      <c r="F340">
        <f>IFERROR(SMALL(E5:E364,ROW()-ROW($F$5)+1),"")</f>
        <v>0</v>
      </c>
      <c r="H340">
        <f>IFERROR(SUM(F5:F340),"")</f>
        <v>0</v>
      </c>
      <c r="J340">
        <v>336</v>
      </c>
      <c r="K340" cm="1">
        <f t="array" ref="K340">_xlfn.SWITCH(Charts!$B$3,"average", AVERAGE(INDIRECT(ADDRESS(335+3,K$2+1,,,"Instances") &amp; ":" &amp; ADDRESS(335+3,K$2+1))),"median", MEDIAN(INDIRECT(ADDRESS(335+3,K$2+1,,,"Instances") &amp; ":" &amp; ADDRESS(335+3,K$2+1))),"min", MIN(INDIRECT(ADDRESS(335+3,K$2+1,,,"Instances") &amp; ":" &amp; ADDRESS(335+3,K$2+1))),"max", MAX(INDIRECT(ADDRESS(335+3,K$2+1,,,"Instances") &amp; ":" &amp; ADDRESS(335+3,K$2+1))),"diff", MAX(INDIRECT(ADDRESS(335+3,K$2+1,,,"Instances") &amp; ":" &amp; ADDRESS(335+3,K$2+1)))-MIN(INDIRECT(ADDRESS(335+3,K$2+1,,,"Instances") &amp; ":" &amp; ADDRESS(335+3,K$2+1))))</f>
        <v>0</v>
      </c>
      <c r="L340">
        <f>IFERROR(SMALL(K5:K364,ROW()-ROW($L$5)+1),"")</f>
        <v>0</v>
      </c>
      <c r="N340">
        <f>IFERROR(SUM(L5:L340),"")</f>
        <v>0</v>
      </c>
      <c r="Q340">
        <f>IF(Charts!$B$3="none",E2147,IF(K2147="",NA(),K2147))</f>
        <v>0</v>
      </c>
      <c r="R340">
        <f>IF(Charts!$B$3="none",F2147,IF(L2147="",NA(),L2147))</f>
        <v>0</v>
      </c>
      <c r="S340">
        <f>IF(Charts!$B$3="none",G2147,IF(M2147="",NA(),M2147))</f>
        <v>0</v>
      </c>
      <c r="T340">
        <f>IF(Charts!$B$3="none",H2147,IF(N2147="",NA(),N2147))</f>
        <v>0</v>
      </c>
    </row>
    <row r="341" spans="4:20">
      <c r="D341">
        <v>337</v>
      </c>
      <c r="E341">
        <f>IF(INDIRECT(ADDRESS($D341+2,E$2+1,,,"Instances"))="","",INDIRECT(ADDRESS($D341+2,E$2+1,,,"Instances")))</f>
        <v>0</v>
      </c>
      <c r="F341">
        <f>IFERROR(SMALL(E5:E364,ROW()-ROW($F$5)+1),"")</f>
        <v>0</v>
      </c>
      <c r="H341">
        <f>IFERROR(SUM(F5:F341),"")</f>
        <v>0</v>
      </c>
      <c r="J341">
        <v>337</v>
      </c>
      <c r="K341" cm="1">
        <f t="array" ref="K341">_xlfn.SWITCH(Charts!$B$3,"average", AVERAGE(INDIRECT(ADDRESS(336+3,K$2+1,,,"Instances") &amp; ":" &amp; ADDRESS(336+3,K$2+1))),"median", MEDIAN(INDIRECT(ADDRESS(336+3,K$2+1,,,"Instances") &amp; ":" &amp; ADDRESS(336+3,K$2+1))),"min", MIN(INDIRECT(ADDRESS(336+3,K$2+1,,,"Instances") &amp; ":" &amp; ADDRESS(336+3,K$2+1))),"max", MAX(INDIRECT(ADDRESS(336+3,K$2+1,,,"Instances") &amp; ":" &amp; ADDRESS(336+3,K$2+1))),"diff", MAX(INDIRECT(ADDRESS(336+3,K$2+1,,,"Instances") &amp; ":" &amp; ADDRESS(336+3,K$2+1)))-MIN(INDIRECT(ADDRESS(336+3,K$2+1,,,"Instances") &amp; ":" &amp; ADDRESS(336+3,K$2+1))))</f>
        <v>0</v>
      </c>
      <c r="L341">
        <f>IFERROR(SMALL(K5:K364,ROW()-ROW($L$5)+1),"")</f>
        <v>0</v>
      </c>
      <c r="N341">
        <f>IFERROR(SUM(L5:L341),"")</f>
        <v>0</v>
      </c>
      <c r="Q341">
        <f>IF(Charts!$B$3="none",E2148,IF(K2148="",NA(),K2148))</f>
        <v>0</v>
      </c>
      <c r="R341">
        <f>IF(Charts!$B$3="none",F2148,IF(L2148="",NA(),L2148))</f>
        <v>0</v>
      </c>
      <c r="S341">
        <f>IF(Charts!$B$3="none",G2148,IF(M2148="",NA(),M2148))</f>
        <v>0</v>
      </c>
      <c r="T341">
        <f>IF(Charts!$B$3="none",H2148,IF(N2148="",NA(),N2148))</f>
        <v>0</v>
      </c>
    </row>
    <row r="342" spans="4:20">
      <c r="D342">
        <v>338</v>
      </c>
      <c r="E342">
        <f>IF(INDIRECT(ADDRESS($D342+2,E$2+1,,,"Instances"))="","",INDIRECT(ADDRESS($D342+2,E$2+1,,,"Instances")))</f>
        <v>0</v>
      </c>
      <c r="F342">
        <f>IFERROR(SMALL(E5:E364,ROW()-ROW($F$5)+1),"")</f>
        <v>0</v>
      </c>
      <c r="H342">
        <f>IFERROR(SUM(F5:F342),"")</f>
        <v>0</v>
      </c>
      <c r="J342">
        <v>338</v>
      </c>
      <c r="K342" cm="1">
        <f t="array" ref="K342">_xlfn.SWITCH(Charts!$B$3,"average", AVERAGE(INDIRECT(ADDRESS(337+3,K$2+1,,,"Instances") &amp; ":" &amp; ADDRESS(337+3,K$2+1))),"median", MEDIAN(INDIRECT(ADDRESS(337+3,K$2+1,,,"Instances") &amp; ":" &amp; ADDRESS(337+3,K$2+1))),"min", MIN(INDIRECT(ADDRESS(337+3,K$2+1,,,"Instances") &amp; ":" &amp; ADDRESS(337+3,K$2+1))),"max", MAX(INDIRECT(ADDRESS(337+3,K$2+1,,,"Instances") &amp; ":" &amp; ADDRESS(337+3,K$2+1))),"diff", MAX(INDIRECT(ADDRESS(337+3,K$2+1,,,"Instances") &amp; ":" &amp; ADDRESS(337+3,K$2+1)))-MIN(INDIRECT(ADDRESS(337+3,K$2+1,,,"Instances") &amp; ":" &amp; ADDRESS(337+3,K$2+1))))</f>
        <v>0</v>
      </c>
      <c r="L342">
        <f>IFERROR(SMALL(K5:K364,ROW()-ROW($L$5)+1),"")</f>
        <v>0</v>
      </c>
      <c r="N342">
        <f>IFERROR(SUM(L5:L342),"")</f>
        <v>0</v>
      </c>
      <c r="Q342">
        <f>IF(Charts!$B$3="none",E2149,IF(K2149="",NA(),K2149))</f>
        <v>0</v>
      </c>
      <c r="R342">
        <f>IF(Charts!$B$3="none",F2149,IF(L2149="",NA(),L2149))</f>
        <v>0</v>
      </c>
      <c r="S342">
        <f>IF(Charts!$B$3="none",G2149,IF(M2149="",NA(),M2149))</f>
        <v>0</v>
      </c>
      <c r="T342">
        <f>IF(Charts!$B$3="none",H2149,IF(N2149="",NA(),N2149))</f>
        <v>0</v>
      </c>
    </row>
    <row r="343" spans="4:20">
      <c r="D343">
        <v>339</v>
      </c>
      <c r="E343">
        <f>IF(INDIRECT(ADDRESS($D343+2,E$2+1,,,"Instances"))="","",INDIRECT(ADDRESS($D343+2,E$2+1,,,"Instances")))</f>
        <v>0</v>
      </c>
      <c r="F343">
        <f>IFERROR(SMALL(E5:E364,ROW()-ROW($F$5)+1),"")</f>
        <v>0</v>
      </c>
      <c r="H343">
        <f>IFERROR(SUM(F5:F343),"")</f>
        <v>0</v>
      </c>
      <c r="J343">
        <v>339</v>
      </c>
      <c r="K343" cm="1">
        <f t="array" ref="K343">_xlfn.SWITCH(Charts!$B$3,"average", AVERAGE(INDIRECT(ADDRESS(338+3,K$2+1,,,"Instances") &amp; ":" &amp; ADDRESS(338+3,K$2+1))),"median", MEDIAN(INDIRECT(ADDRESS(338+3,K$2+1,,,"Instances") &amp; ":" &amp; ADDRESS(338+3,K$2+1))),"min", MIN(INDIRECT(ADDRESS(338+3,K$2+1,,,"Instances") &amp; ":" &amp; ADDRESS(338+3,K$2+1))),"max", MAX(INDIRECT(ADDRESS(338+3,K$2+1,,,"Instances") &amp; ":" &amp; ADDRESS(338+3,K$2+1))),"diff", MAX(INDIRECT(ADDRESS(338+3,K$2+1,,,"Instances") &amp; ":" &amp; ADDRESS(338+3,K$2+1)))-MIN(INDIRECT(ADDRESS(338+3,K$2+1,,,"Instances") &amp; ":" &amp; ADDRESS(338+3,K$2+1))))</f>
        <v>0</v>
      </c>
      <c r="L343">
        <f>IFERROR(SMALL(K5:K364,ROW()-ROW($L$5)+1),"")</f>
        <v>0</v>
      </c>
      <c r="N343">
        <f>IFERROR(SUM(L5:L343),"")</f>
        <v>0</v>
      </c>
      <c r="Q343">
        <f>IF(Charts!$B$3="none",E2150,IF(K2150="",NA(),K2150))</f>
        <v>0</v>
      </c>
      <c r="R343">
        <f>IF(Charts!$B$3="none",F2150,IF(L2150="",NA(),L2150))</f>
        <v>0</v>
      </c>
      <c r="S343">
        <f>IF(Charts!$B$3="none",G2150,IF(M2150="",NA(),M2150))</f>
        <v>0</v>
      </c>
      <c r="T343">
        <f>IF(Charts!$B$3="none",H2150,IF(N2150="",NA(),N2150))</f>
        <v>0</v>
      </c>
    </row>
    <row r="344" spans="4:20">
      <c r="D344">
        <v>340</v>
      </c>
      <c r="E344">
        <f>IF(INDIRECT(ADDRESS($D344+2,E$2+1,,,"Instances"))="","",INDIRECT(ADDRESS($D344+2,E$2+1,,,"Instances")))</f>
        <v>0</v>
      </c>
      <c r="F344">
        <f>IFERROR(SMALL(E5:E364,ROW()-ROW($F$5)+1),"")</f>
        <v>0</v>
      </c>
      <c r="H344">
        <f>IFERROR(SUM(F5:F344),"")</f>
        <v>0</v>
      </c>
      <c r="J344">
        <v>340</v>
      </c>
      <c r="K344" cm="1">
        <f t="array" ref="K344">_xlfn.SWITCH(Charts!$B$3,"average", AVERAGE(INDIRECT(ADDRESS(339+3,K$2+1,,,"Instances") &amp; ":" &amp; ADDRESS(339+3,K$2+1))),"median", MEDIAN(INDIRECT(ADDRESS(339+3,K$2+1,,,"Instances") &amp; ":" &amp; ADDRESS(339+3,K$2+1))),"min", MIN(INDIRECT(ADDRESS(339+3,K$2+1,,,"Instances") &amp; ":" &amp; ADDRESS(339+3,K$2+1))),"max", MAX(INDIRECT(ADDRESS(339+3,K$2+1,,,"Instances") &amp; ":" &amp; ADDRESS(339+3,K$2+1))),"diff", MAX(INDIRECT(ADDRESS(339+3,K$2+1,,,"Instances") &amp; ":" &amp; ADDRESS(339+3,K$2+1)))-MIN(INDIRECT(ADDRESS(339+3,K$2+1,,,"Instances") &amp; ":" &amp; ADDRESS(339+3,K$2+1))))</f>
        <v>0</v>
      </c>
      <c r="L344">
        <f>IFERROR(SMALL(K5:K364,ROW()-ROW($L$5)+1),"")</f>
        <v>0</v>
      </c>
      <c r="N344">
        <f>IFERROR(SUM(L5:L344),"")</f>
        <v>0</v>
      </c>
      <c r="Q344">
        <f>IF(Charts!$B$3="none",E2151,IF(K2151="",NA(),K2151))</f>
        <v>0</v>
      </c>
      <c r="R344">
        <f>IF(Charts!$B$3="none",F2151,IF(L2151="",NA(),L2151))</f>
        <v>0</v>
      </c>
      <c r="S344">
        <f>IF(Charts!$B$3="none",G2151,IF(M2151="",NA(),M2151))</f>
        <v>0</v>
      </c>
      <c r="T344">
        <f>IF(Charts!$B$3="none",H2151,IF(N2151="",NA(),N2151))</f>
        <v>0</v>
      </c>
    </row>
    <row r="345" spans="4:20">
      <c r="D345">
        <v>341</v>
      </c>
      <c r="E345">
        <f>IF(INDIRECT(ADDRESS($D345+2,E$2+1,,,"Instances"))="","",INDIRECT(ADDRESS($D345+2,E$2+1,,,"Instances")))</f>
        <v>0</v>
      </c>
      <c r="F345">
        <f>IFERROR(SMALL(E5:E364,ROW()-ROW($F$5)+1),"")</f>
        <v>0</v>
      </c>
      <c r="H345">
        <f>IFERROR(SUM(F5:F345),"")</f>
        <v>0</v>
      </c>
      <c r="J345">
        <v>341</v>
      </c>
      <c r="K345" cm="1">
        <f t="array" ref="K345">_xlfn.SWITCH(Charts!$B$3,"average", AVERAGE(INDIRECT(ADDRESS(340+3,K$2+1,,,"Instances") &amp; ":" &amp; ADDRESS(340+3,K$2+1))),"median", MEDIAN(INDIRECT(ADDRESS(340+3,K$2+1,,,"Instances") &amp; ":" &amp; ADDRESS(340+3,K$2+1))),"min", MIN(INDIRECT(ADDRESS(340+3,K$2+1,,,"Instances") &amp; ":" &amp; ADDRESS(340+3,K$2+1))),"max", MAX(INDIRECT(ADDRESS(340+3,K$2+1,,,"Instances") &amp; ":" &amp; ADDRESS(340+3,K$2+1))),"diff", MAX(INDIRECT(ADDRESS(340+3,K$2+1,,,"Instances") &amp; ":" &amp; ADDRESS(340+3,K$2+1)))-MIN(INDIRECT(ADDRESS(340+3,K$2+1,,,"Instances") &amp; ":" &amp; ADDRESS(340+3,K$2+1))))</f>
        <v>0</v>
      </c>
      <c r="L345">
        <f>IFERROR(SMALL(K5:K364,ROW()-ROW($L$5)+1),"")</f>
        <v>0</v>
      </c>
      <c r="N345">
        <f>IFERROR(SUM(L5:L345),"")</f>
        <v>0</v>
      </c>
      <c r="Q345">
        <f>IF(Charts!$B$3="none",E2152,IF(K2152="",NA(),K2152))</f>
        <v>0</v>
      </c>
      <c r="R345">
        <f>IF(Charts!$B$3="none",F2152,IF(L2152="",NA(),L2152))</f>
        <v>0</v>
      </c>
      <c r="S345">
        <f>IF(Charts!$B$3="none",G2152,IF(M2152="",NA(),M2152))</f>
        <v>0</v>
      </c>
      <c r="T345">
        <f>IF(Charts!$B$3="none",H2152,IF(N2152="",NA(),N2152))</f>
        <v>0</v>
      </c>
    </row>
    <row r="346" spans="4:20">
      <c r="D346">
        <v>342</v>
      </c>
      <c r="E346">
        <f>IF(INDIRECT(ADDRESS($D346+2,E$2+1,,,"Instances"))="","",INDIRECT(ADDRESS($D346+2,E$2+1,,,"Instances")))</f>
        <v>0</v>
      </c>
      <c r="F346">
        <f>IFERROR(SMALL(E5:E364,ROW()-ROW($F$5)+1),"")</f>
        <v>0</v>
      </c>
      <c r="H346">
        <f>IFERROR(SUM(F5:F346),"")</f>
        <v>0</v>
      </c>
      <c r="J346">
        <v>342</v>
      </c>
      <c r="K346" cm="1">
        <f t="array" ref="K346">_xlfn.SWITCH(Charts!$B$3,"average", AVERAGE(INDIRECT(ADDRESS(341+3,K$2+1,,,"Instances") &amp; ":" &amp; ADDRESS(341+3,K$2+1))),"median", MEDIAN(INDIRECT(ADDRESS(341+3,K$2+1,,,"Instances") &amp; ":" &amp; ADDRESS(341+3,K$2+1))),"min", MIN(INDIRECT(ADDRESS(341+3,K$2+1,,,"Instances") &amp; ":" &amp; ADDRESS(341+3,K$2+1))),"max", MAX(INDIRECT(ADDRESS(341+3,K$2+1,,,"Instances") &amp; ":" &amp; ADDRESS(341+3,K$2+1))),"diff", MAX(INDIRECT(ADDRESS(341+3,K$2+1,,,"Instances") &amp; ":" &amp; ADDRESS(341+3,K$2+1)))-MIN(INDIRECT(ADDRESS(341+3,K$2+1,,,"Instances") &amp; ":" &amp; ADDRESS(341+3,K$2+1))))</f>
        <v>0</v>
      </c>
      <c r="L346">
        <f>IFERROR(SMALL(K5:K364,ROW()-ROW($L$5)+1),"")</f>
        <v>0</v>
      </c>
      <c r="N346">
        <f>IFERROR(SUM(L5:L346),"")</f>
        <v>0</v>
      </c>
      <c r="Q346">
        <f>IF(Charts!$B$3="none",E2153,IF(K2153="",NA(),K2153))</f>
        <v>0</v>
      </c>
      <c r="R346">
        <f>IF(Charts!$B$3="none",F2153,IF(L2153="",NA(),L2153))</f>
        <v>0</v>
      </c>
      <c r="S346">
        <f>IF(Charts!$B$3="none",G2153,IF(M2153="",NA(),M2153))</f>
        <v>0</v>
      </c>
      <c r="T346">
        <f>IF(Charts!$B$3="none",H2153,IF(N2153="",NA(),N2153))</f>
        <v>0</v>
      </c>
    </row>
    <row r="347" spans="4:20">
      <c r="D347">
        <v>343</v>
      </c>
      <c r="E347">
        <f>IF(INDIRECT(ADDRESS($D347+2,E$2+1,,,"Instances"))="","",INDIRECT(ADDRESS($D347+2,E$2+1,,,"Instances")))</f>
        <v>0</v>
      </c>
      <c r="F347">
        <f>IFERROR(SMALL(E5:E364,ROW()-ROW($F$5)+1),"")</f>
        <v>0</v>
      </c>
      <c r="H347">
        <f>IFERROR(SUM(F5:F347),"")</f>
        <v>0</v>
      </c>
      <c r="J347">
        <v>343</v>
      </c>
      <c r="K347" cm="1">
        <f t="array" ref="K347">_xlfn.SWITCH(Charts!$B$3,"average", AVERAGE(INDIRECT(ADDRESS(342+3,K$2+1,,,"Instances") &amp; ":" &amp; ADDRESS(342+3,K$2+1))),"median", MEDIAN(INDIRECT(ADDRESS(342+3,K$2+1,,,"Instances") &amp; ":" &amp; ADDRESS(342+3,K$2+1))),"min", MIN(INDIRECT(ADDRESS(342+3,K$2+1,,,"Instances") &amp; ":" &amp; ADDRESS(342+3,K$2+1))),"max", MAX(INDIRECT(ADDRESS(342+3,K$2+1,,,"Instances") &amp; ":" &amp; ADDRESS(342+3,K$2+1))),"diff", MAX(INDIRECT(ADDRESS(342+3,K$2+1,,,"Instances") &amp; ":" &amp; ADDRESS(342+3,K$2+1)))-MIN(INDIRECT(ADDRESS(342+3,K$2+1,,,"Instances") &amp; ":" &amp; ADDRESS(342+3,K$2+1))))</f>
        <v>0</v>
      </c>
      <c r="L347">
        <f>IFERROR(SMALL(K5:K364,ROW()-ROW($L$5)+1),"")</f>
        <v>0</v>
      </c>
      <c r="N347">
        <f>IFERROR(SUM(L5:L347),"")</f>
        <v>0</v>
      </c>
      <c r="Q347">
        <f>IF(Charts!$B$3="none",E2154,IF(K2154="",NA(),K2154))</f>
        <v>0</v>
      </c>
      <c r="R347">
        <f>IF(Charts!$B$3="none",F2154,IF(L2154="",NA(),L2154))</f>
        <v>0</v>
      </c>
      <c r="S347">
        <f>IF(Charts!$B$3="none",G2154,IF(M2154="",NA(),M2154))</f>
        <v>0</v>
      </c>
      <c r="T347">
        <f>IF(Charts!$B$3="none",H2154,IF(N2154="",NA(),N2154))</f>
        <v>0</v>
      </c>
    </row>
    <row r="348" spans="4:20">
      <c r="D348">
        <v>344</v>
      </c>
      <c r="E348">
        <f>IF(INDIRECT(ADDRESS($D348+2,E$2+1,,,"Instances"))="","",INDIRECT(ADDRESS($D348+2,E$2+1,,,"Instances")))</f>
        <v>0</v>
      </c>
      <c r="F348">
        <f>IFERROR(SMALL(E5:E364,ROW()-ROW($F$5)+1),"")</f>
        <v>0</v>
      </c>
      <c r="H348">
        <f>IFERROR(SUM(F5:F348),"")</f>
        <v>0</v>
      </c>
      <c r="J348">
        <v>344</v>
      </c>
      <c r="K348" cm="1">
        <f t="array" ref="K348">_xlfn.SWITCH(Charts!$B$3,"average", AVERAGE(INDIRECT(ADDRESS(343+3,K$2+1,,,"Instances") &amp; ":" &amp; ADDRESS(343+3,K$2+1))),"median", MEDIAN(INDIRECT(ADDRESS(343+3,K$2+1,,,"Instances") &amp; ":" &amp; ADDRESS(343+3,K$2+1))),"min", MIN(INDIRECT(ADDRESS(343+3,K$2+1,,,"Instances") &amp; ":" &amp; ADDRESS(343+3,K$2+1))),"max", MAX(INDIRECT(ADDRESS(343+3,K$2+1,,,"Instances") &amp; ":" &amp; ADDRESS(343+3,K$2+1))),"diff", MAX(INDIRECT(ADDRESS(343+3,K$2+1,,,"Instances") &amp; ":" &amp; ADDRESS(343+3,K$2+1)))-MIN(INDIRECT(ADDRESS(343+3,K$2+1,,,"Instances") &amp; ":" &amp; ADDRESS(343+3,K$2+1))))</f>
        <v>0</v>
      </c>
      <c r="L348">
        <f>IFERROR(SMALL(K5:K364,ROW()-ROW($L$5)+1),"")</f>
        <v>0</v>
      </c>
      <c r="N348">
        <f>IFERROR(SUM(L5:L348),"")</f>
        <v>0</v>
      </c>
      <c r="Q348">
        <f>IF(Charts!$B$3="none",E2155,IF(K2155="",NA(),K2155))</f>
        <v>0</v>
      </c>
      <c r="R348">
        <f>IF(Charts!$B$3="none",F2155,IF(L2155="",NA(),L2155))</f>
        <v>0</v>
      </c>
      <c r="S348">
        <f>IF(Charts!$B$3="none",G2155,IF(M2155="",NA(),M2155))</f>
        <v>0</v>
      </c>
      <c r="T348">
        <f>IF(Charts!$B$3="none",H2155,IF(N2155="",NA(),N2155))</f>
        <v>0</v>
      </c>
    </row>
    <row r="349" spans="4:20">
      <c r="D349">
        <v>345</v>
      </c>
      <c r="E349">
        <f>IF(INDIRECT(ADDRESS($D349+2,E$2+1,,,"Instances"))="","",INDIRECT(ADDRESS($D349+2,E$2+1,,,"Instances")))</f>
        <v>0</v>
      </c>
      <c r="F349">
        <f>IFERROR(SMALL(E5:E364,ROW()-ROW($F$5)+1),"")</f>
        <v>0</v>
      </c>
      <c r="H349">
        <f>IFERROR(SUM(F5:F349),"")</f>
        <v>0</v>
      </c>
      <c r="J349">
        <v>345</v>
      </c>
      <c r="K349" cm="1">
        <f t="array" ref="K349">_xlfn.SWITCH(Charts!$B$3,"average", AVERAGE(INDIRECT(ADDRESS(344+3,K$2+1,,,"Instances") &amp; ":" &amp; ADDRESS(344+3,K$2+1))),"median", MEDIAN(INDIRECT(ADDRESS(344+3,K$2+1,,,"Instances") &amp; ":" &amp; ADDRESS(344+3,K$2+1))),"min", MIN(INDIRECT(ADDRESS(344+3,K$2+1,,,"Instances") &amp; ":" &amp; ADDRESS(344+3,K$2+1))),"max", MAX(INDIRECT(ADDRESS(344+3,K$2+1,,,"Instances") &amp; ":" &amp; ADDRESS(344+3,K$2+1))),"diff", MAX(INDIRECT(ADDRESS(344+3,K$2+1,,,"Instances") &amp; ":" &amp; ADDRESS(344+3,K$2+1)))-MIN(INDIRECT(ADDRESS(344+3,K$2+1,,,"Instances") &amp; ":" &amp; ADDRESS(344+3,K$2+1))))</f>
        <v>0</v>
      </c>
      <c r="L349">
        <f>IFERROR(SMALL(K5:K364,ROW()-ROW($L$5)+1),"")</f>
        <v>0</v>
      </c>
      <c r="N349">
        <f>IFERROR(SUM(L5:L349),"")</f>
        <v>0</v>
      </c>
      <c r="Q349">
        <f>IF(Charts!$B$3="none",E2156,IF(K2156="",NA(),K2156))</f>
        <v>0</v>
      </c>
      <c r="R349">
        <f>IF(Charts!$B$3="none",F2156,IF(L2156="",NA(),L2156))</f>
        <v>0</v>
      </c>
      <c r="S349">
        <f>IF(Charts!$B$3="none",G2156,IF(M2156="",NA(),M2156))</f>
        <v>0</v>
      </c>
      <c r="T349">
        <f>IF(Charts!$B$3="none",H2156,IF(N2156="",NA(),N2156))</f>
        <v>0</v>
      </c>
    </row>
    <row r="350" spans="4:20">
      <c r="D350">
        <v>346</v>
      </c>
      <c r="E350">
        <f>IF(INDIRECT(ADDRESS($D350+2,E$2+1,,,"Instances"))="","",INDIRECT(ADDRESS($D350+2,E$2+1,,,"Instances")))</f>
        <v>0</v>
      </c>
      <c r="F350">
        <f>IFERROR(SMALL(E5:E364,ROW()-ROW($F$5)+1),"")</f>
        <v>0</v>
      </c>
      <c r="H350">
        <f>IFERROR(SUM(F5:F350),"")</f>
        <v>0</v>
      </c>
      <c r="J350">
        <v>346</v>
      </c>
      <c r="K350" cm="1">
        <f t="array" ref="K350">_xlfn.SWITCH(Charts!$B$3,"average", AVERAGE(INDIRECT(ADDRESS(345+3,K$2+1,,,"Instances") &amp; ":" &amp; ADDRESS(345+3,K$2+1))),"median", MEDIAN(INDIRECT(ADDRESS(345+3,K$2+1,,,"Instances") &amp; ":" &amp; ADDRESS(345+3,K$2+1))),"min", MIN(INDIRECT(ADDRESS(345+3,K$2+1,,,"Instances") &amp; ":" &amp; ADDRESS(345+3,K$2+1))),"max", MAX(INDIRECT(ADDRESS(345+3,K$2+1,,,"Instances") &amp; ":" &amp; ADDRESS(345+3,K$2+1))),"diff", MAX(INDIRECT(ADDRESS(345+3,K$2+1,,,"Instances") &amp; ":" &amp; ADDRESS(345+3,K$2+1)))-MIN(INDIRECT(ADDRESS(345+3,K$2+1,,,"Instances") &amp; ":" &amp; ADDRESS(345+3,K$2+1))))</f>
        <v>0</v>
      </c>
      <c r="L350">
        <f>IFERROR(SMALL(K5:K364,ROW()-ROW($L$5)+1),"")</f>
        <v>0</v>
      </c>
      <c r="N350">
        <f>IFERROR(SUM(L5:L350),"")</f>
        <v>0</v>
      </c>
      <c r="Q350">
        <f>IF(Charts!$B$3="none",E2157,IF(K2157="",NA(),K2157))</f>
        <v>0</v>
      </c>
      <c r="R350">
        <f>IF(Charts!$B$3="none",F2157,IF(L2157="",NA(),L2157))</f>
        <v>0</v>
      </c>
      <c r="S350">
        <f>IF(Charts!$B$3="none",G2157,IF(M2157="",NA(),M2157))</f>
        <v>0</v>
      </c>
      <c r="T350">
        <f>IF(Charts!$B$3="none",H2157,IF(N2157="",NA(),N2157))</f>
        <v>0</v>
      </c>
    </row>
    <row r="351" spans="4:20">
      <c r="D351">
        <v>347</v>
      </c>
      <c r="E351">
        <f>IF(INDIRECT(ADDRESS($D351+2,E$2+1,,,"Instances"))="","",INDIRECT(ADDRESS($D351+2,E$2+1,,,"Instances")))</f>
        <v>0</v>
      </c>
      <c r="F351">
        <f>IFERROR(SMALL(E5:E364,ROW()-ROW($F$5)+1),"")</f>
        <v>0</v>
      </c>
      <c r="H351">
        <f>IFERROR(SUM(F5:F351),"")</f>
        <v>0</v>
      </c>
      <c r="J351">
        <v>347</v>
      </c>
      <c r="K351" cm="1">
        <f t="array" ref="K351">_xlfn.SWITCH(Charts!$B$3,"average", AVERAGE(INDIRECT(ADDRESS(346+3,K$2+1,,,"Instances") &amp; ":" &amp; ADDRESS(346+3,K$2+1))),"median", MEDIAN(INDIRECT(ADDRESS(346+3,K$2+1,,,"Instances") &amp; ":" &amp; ADDRESS(346+3,K$2+1))),"min", MIN(INDIRECT(ADDRESS(346+3,K$2+1,,,"Instances") &amp; ":" &amp; ADDRESS(346+3,K$2+1))),"max", MAX(INDIRECT(ADDRESS(346+3,K$2+1,,,"Instances") &amp; ":" &amp; ADDRESS(346+3,K$2+1))),"diff", MAX(INDIRECT(ADDRESS(346+3,K$2+1,,,"Instances") &amp; ":" &amp; ADDRESS(346+3,K$2+1)))-MIN(INDIRECT(ADDRESS(346+3,K$2+1,,,"Instances") &amp; ":" &amp; ADDRESS(346+3,K$2+1))))</f>
        <v>0</v>
      </c>
      <c r="L351">
        <f>IFERROR(SMALL(K5:K364,ROW()-ROW($L$5)+1),"")</f>
        <v>0</v>
      </c>
      <c r="N351">
        <f>IFERROR(SUM(L5:L351),"")</f>
        <v>0</v>
      </c>
      <c r="Q351">
        <f>IF(Charts!$B$3="none",E2158,IF(K2158="",NA(),K2158))</f>
        <v>0</v>
      </c>
      <c r="R351">
        <f>IF(Charts!$B$3="none",F2158,IF(L2158="",NA(),L2158))</f>
        <v>0</v>
      </c>
      <c r="S351">
        <f>IF(Charts!$B$3="none",G2158,IF(M2158="",NA(),M2158))</f>
        <v>0</v>
      </c>
      <c r="T351">
        <f>IF(Charts!$B$3="none",H2158,IF(N2158="",NA(),N2158))</f>
        <v>0</v>
      </c>
    </row>
    <row r="352" spans="4:20">
      <c r="D352">
        <v>348</v>
      </c>
      <c r="E352">
        <f>IF(INDIRECT(ADDRESS($D352+2,E$2+1,,,"Instances"))="","",INDIRECT(ADDRESS($D352+2,E$2+1,,,"Instances")))</f>
        <v>0</v>
      </c>
      <c r="F352">
        <f>IFERROR(SMALL(E5:E364,ROW()-ROW($F$5)+1),"")</f>
        <v>0</v>
      </c>
      <c r="H352">
        <f>IFERROR(SUM(F5:F352),"")</f>
        <v>0</v>
      </c>
      <c r="J352">
        <v>348</v>
      </c>
      <c r="K352" cm="1">
        <f t="array" ref="K352">_xlfn.SWITCH(Charts!$B$3,"average", AVERAGE(INDIRECT(ADDRESS(347+3,K$2+1,,,"Instances") &amp; ":" &amp; ADDRESS(347+3,K$2+1))),"median", MEDIAN(INDIRECT(ADDRESS(347+3,K$2+1,,,"Instances") &amp; ":" &amp; ADDRESS(347+3,K$2+1))),"min", MIN(INDIRECT(ADDRESS(347+3,K$2+1,,,"Instances") &amp; ":" &amp; ADDRESS(347+3,K$2+1))),"max", MAX(INDIRECT(ADDRESS(347+3,K$2+1,,,"Instances") &amp; ":" &amp; ADDRESS(347+3,K$2+1))),"diff", MAX(INDIRECT(ADDRESS(347+3,K$2+1,,,"Instances") &amp; ":" &amp; ADDRESS(347+3,K$2+1)))-MIN(INDIRECT(ADDRESS(347+3,K$2+1,,,"Instances") &amp; ":" &amp; ADDRESS(347+3,K$2+1))))</f>
        <v>0</v>
      </c>
      <c r="L352">
        <f>IFERROR(SMALL(K5:K364,ROW()-ROW($L$5)+1),"")</f>
        <v>0</v>
      </c>
      <c r="N352">
        <f>IFERROR(SUM(L5:L352),"")</f>
        <v>0</v>
      </c>
      <c r="Q352">
        <f>IF(Charts!$B$3="none",E2159,IF(K2159="",NA(),K2159))</f>
        <v>0</v>
      </c>
      <c r="R352">
        <f>IF(Charts!$B$3="none",F2159,IF(L2159="",NA(),L2159))</f>
        <v>0</v>
      </c>
      <c r="S352">
        <f>IF(Charts!$B$3="none",G2159,IF(M2159="",NA(),M2159))</f>
        <v>0</v>
      </c>
      <c r="T352">
        <f>IF(Charts!$B$3="none",H2159,IF(N2159="",NA(),N2159))</f>
        <v>0</v>
      </c>
    </row>
    <row r="353" spans="4:20">
      <c r="D353">
        <v>349</v>
      </c>
      <c r="E353">
        <f>IF(INDIRECT(ADDRESS($D353+2,E$2+1,,,"Instances"))="","",INDIRECT(ADDRESS($D353+2,E$2+1,,,"Instances")))</f>
        <v>0</v>
      </c>
      <c r="F353">
        <f>IFERROR(SMALL(E5:E364,ROW()-ROW($F$5)+1),"")</f>
        <v>0</v>
      </c>
      <c r="H353">
        <f>IFERROR(SUM(F5:F353),"")</f>
        <v>0</v>
      </c>
      <c r="J353">
        <v>349</v>
      </c>
      <c r="K353" cm="1">
        <f t="array" ref="K353">_xlfn.SWITCH(Charts!$B$3,"average", AVERAGE(INDIRECT(ADDRESS(348+3,K$2+1,,,"Instances") &amp; ":" &amp; ADDRESS(348+3,K$2+1))),"median", MEDIAN(INDIRECT(ADDRESS(348+3,K$2+1,,,"Instances") &amp; ":" &amp; ADDRESS(348+3,K$2+1))),"min", MIN(INDIRECT(ADDRESS(348+3,K$2+1,,,"Instances") &amp; ":" &amp; ADDRESS(348+3,K$2+1))),"max", MAX(INDIRECT(ADDRESS(348+3,K$2+1,,,"Instances") &amp; ":" &amp; ADDRESS(348+3,K$2+1))),"diff", MAX(INDIRECT(ADDRESS(348+3,K$2+1,,,"Instances") &amp; ":" &amp; ADDRESS(348+3,K$2+1)))-MIN(INDIRECT(ADDRESS(348+3,K$2+1,,,"Instances") &amp; ":" &amp; ADDRESS(348+3,K$2+1))))</f>
        <v>0</v>
      </c>
      <c r="L353">
        <f>IFERROR(SMALL(K5:K364,ROW()-ROW($L$5)+1),"")</f>
        <v>0</v>
      </c>
      <c r="N353">
        <f>IFERROR(SUM(L5:L353),"")</f>
        <v>0</v>
      </c>
      <c r="Q353">
        <f>IF(Charts!$B$3="none",E2160,IF(K2160="",NA(),K2160))</f>
        <v>0</v>
      </c>
      <c r="R353">
        <f>IF(Charts!$B$3="none",F2160,IF(L2160="",NA(),L2160))</f>
        <v>0</v>
      </c>
      <c r="S353">
        <f>IF(Charts!$B$3="none",G2160,IF(M2160="",NA(),M2160))</f>
        <v>0</v>
      </c>
      <c r="T353">
        <f>IF(Charts!$B$3="none",H2160,IF(N2160="",NA(),N2160))</f>
        <v>0</v>
      </c>
    </row>
    <row r="354" spans="4:20">
      <c r="D354">
        <v>350</v>
      </c>
      <c r="E354">
        <f>IF(INDIRECT(ADDRESS($D354+2,E$2+1,,,"Instances"))="","",INDIRECT(ADDRESS($D354+2,E$2+1,,,"Instances")))</f>
        <v>0</v>
      </c>
      <c r="F354">
        <f>IFERROR(SMALL(E5:E364,ROW()-ROW($F$5)+1),"")</f>
        <v>0</v>
      </c>
      <c r="H354">
        <f>IFERROR(SUM(F5:F354),"")</f>
        <v>0</v>
      </c>
      <c r="J354">
        <v>350</v>
      </c>
      <c r="K354" cm="1">
        <f t="array" ref="K354">_xlfn.SWITCH(Charts!$B$3,"average", AVERAGE(INDIRECT(ADDRESS(349+3,K$2+1,,,"Instances") &amp; ":" &amp; ADDRESS(349+3,K$2+1))),"median", MEDIAN(INDIRECT(ADDRESS(349+3,K$2+1,,,"Instances") &amp; ":" &amp; ADDRESS(349+3,K$2+1))),"min", MIN(INDIRECT(ADDRESS(349+3,K$2+1,,,"Instances") &amp; ":" &amp; ADDRESS(349+3,K$2+1))),"max", MAX(INDIRECT(ADDRESS(349+3,K$2+1,,,"Instances") &amp; ":" &amp; ADDRESS(349+3,K$2+1))),"diff", MAX(INDIRECT(ADDRESS(349+3,K$2+1,,,"Instances") &amp; ":" &amp; ADDRESS(349+3,K$2+1)))-MIN(INDIRECT(ADDRESS(349+3,K$2+1,,,"Instances") &amp; ":" &amp; ADDRESS(349+3,K$2+1))))</f>
        <v>0</v>
      </c>
      <c r="L354">
        <f>IFERROR(SMALL(K5:K364,ROW()-ROW($L$5)+1),"")</f>
        <v>0</v>
      </c>
      <c r="N354">
        <f>IFERROR(SUM(L5:L354),"")</f>
        <v>0</v>
      </c>
      <c r="Q354">
        <f>IF(Charts!$B$3="none",E2161,IF(K2161="",NA(),K2161))</f>
        <v>0</v>
      </c>
      <c r="R354">
        <f>IF(Charts!$B$3="none",F2161,IF(L2161="",NA(),L2161))</f>
        <v>0</v>
      </c>
      <c r="S354">
        <f>IF(Charts!$B$3="none",G2161,IF(M2161="",NA(),M2161))</f>
        <v>0</v>
      </c>
      <c r="T354">
        <f>IF(Charts!$B$3="none",H2161,IF(N2161="",NA(),N2161))</f>
        <v>0</v>
      </c>
    </row>
    <row r="355" spans="4:20">
      <c r="D355">
        <v>351</v>
      </c>
      <c r="E355">
        <f>IF(INDIRECT(ADDRESS($D355+2,E$2+1,,,"Instances"))="","",INDIRECT(ADDRESS($D355+2,E$2+1,,,"Instances")))</f>
        <v>0</v>
      </c>
      <c r="F355">
        <f>IFERROR(SMALL(E5:E364,ROW()-ROW($F$5)+1),"")</f>
        <v>0</v>
      </c>
      <c r="H355">
        <f>IFERROR(SUM(F5:F355),"")</f>
        <v>0</v>
      </c>
      <c r="J355">
        <v>351</v>
      </c>
      <c r="K355" cm="1">
        <f t="array" ref="K355">_xlfn.SWITCH(Charts!$B$3,"average", AVERAGE(INDIRECT(ADDRESS(350+3,K$2+1,,,"Instances") &amp; ":" &amp; ADDRESS(350+3,K$2+1))),"median", MEDIAN(INDIRECT(ADDRESS(350+3,K$2+1,,,"Instances") &amp; ":" &amp; ADDRESS(350+3,K$2+1))),"min", MIN(INDIRECT(ADDRESS(350+3,K$2+1,,,"Instances") &amp; ":" &amp; ADDRESS(350+3,K$2+1))),"max", MAX(INDIRECT(ADDRESS(350+3,K$2+1,,,"Instances") &amp; ":" &amp; ADDRESS(350+3,K$2+1))),"diff", MAX(INDIRECT(ADDRESS(350+3,K$2+1,,,"Instances") &amp; ":" &amp; ADDRESS(350+3,K$2+1)))-MIN(INDIRECT(ADDRESS(350+3,K$2+1,,,"Instances") &amp; ":" &amp; ADDRESS(350+3,K$2+1))))</f>
        <v>0</v>
      </c>
      <c r="L355">
        <f>IFERROR(SMALL(K5:K364,ROW()-ROW($L$5)+1),"")</f>
        <v>0</v>
      </c>
      <c r="N355">
        <f>IFERROR(SUM(L5:L355),"")</f>
        <v>0</v>
      </c>
      <c r="Q355">
        <f>IF(Charts!$B$3="none",E2162,IF(K2162="",NA(),K2162))</f>
        <v>0</v>
      </c>
      <c r="R355">
        <f>IF(Charts!$B$3="none",F2162,IF(L2162="",NA(),L2162))</f>
        <v>0</v>
      </c>
      <c r="S355">
        <f>IF(Charts!$B$3="none",G2162,IF(M2162="",NA(),M2162))</f>
        <v>0</v>
      </c>
      <c r="T355">
        <f>IF(Charts!$B$3="none",H2162,IF(N2162="",NA(),N2162))</f>
        <v>0</v>
      </c>
    </row>
    <row r="356" spans="4:20">
      <c r="D356">
        <v>352</v>
      </c>
      <c r="E356">
        <f>IF(INDIRECT(ADDRESS($D356+2,E$2+1,,,"Instances"))="","",INDIRECT(ADDRESS($D356+2,E$2+1,,,"Instances")))</f>
        <v>0</v>
      </c>
      <c r="F356">
        <f>IFERROR(SMALL(E5:E364,ROW()-ROW($F$5)+1),"")</f>
        <v>0</v>
      </c>
      <c r="H356">
        <f>IFERROR(SUM(F5:F356),"")</f>
        <v>0</v>
      </c>
      <c r="J356">
        <v>352</v>
      </c>
      <c r="K356" cm="1">
        <f t="array" ref="K356">_xlfn.SWITCH(Charts!$B$3,"average", AVERAGE(INDIRECT(ADDRESS(351+3,K$2+1,,,"Instances") &amp; ":" &amp; ADDRESS(351+3,K$2+1))),"median", MEDIAN(INDIRECT(ADDRESS(351+3,K$2+1,,,"Instances") &amp; ":" &amp; ADDRESS(351+3,K$2+1))),"min", MIN(INDIRECT(ADDRESS(351+3,K$2+1,,,"Instances") &amp; ":" &amp; ADDRESS(351+3,K$2+1))),"max", MAX(INDIRECT(ADDRESS(351+3,K$2+1,,,"Instances") &amp; ":" &amp; ADDRESS(351+3,K$2+1))),"diff", MAX(INDIRECT(ADDRESS(351+3,K$2+1,,,"Instances") &amp; ":" &amp; ADDRESS(351+3,K$2+1)))-MIN(INDIRECT(ADDRESS(351+3,K$2+1,,,"Instances") &amp; ":" &amp; ADDRESS(351+3,K$2+1))))</f>
        <v>0</v>
      </c>
      <c r="L356">
        <f>IFERROR(SMALL(K5:K364,ROW()-ROW($L$5)+1),"")</f>
        <v>0</v>
      </c>
      <c r="N356">
        <f>IFERROR(SUM(L5:L356),"")</f>
        <v>0</v>
      </c>
      <c r="Q356">
        <f>IF(Charts!$B$3="none",E2163,IF(K2163="",NA(),K2163))</f>
        <v>0</v>
      </c>
      <c r="R356">
        <f>IF(Charts!$B$3="none",F2163,IF(L2163="",NA(),L2163))</f>
        <v>0</v>
      </c>
      <c r="S356">
        <f>IF(Charts!$B$3="none",G2163,IF(M2163="",NA(),M2163))</f>
        <v>0</v>
      </c>
      <c r="T356">
        <f>IF(Charts!$B$3="none",H2163,IF(N2163="",NA(),N2163))</f>
        <v>0</v>
      </c>
    </row>
    <row r="357" spans="4:20">
      <c r="D357">
        <v>353</v>
      </c>
      <c r="E357">
        <f>IF(INDIRECT(ADDRESS($D357+2,E$2+1,,,"Instances"))="","",INDIRECT(ADDRESS($D357+2,E$2+1,,,"Instances")))</f>
        <v>0</v>
      </c>
      <c r="F357">
        <f>IFERROR(SMALL(E5:E364,ROW()-ROW($F$5)+1),"")</f>
        <v>0</v>
      </c>
      <c r="H357">
        <f>IFERROR(SUM(F5:F357),"")</f>
        <v>0</v>
      </c>
      <c r="J357">
        <v>353</v>
      </c>
      <c r="K357" cm="1">
        <f t="array" ref="K357">_xlfn.SWITCH(Charts!$B$3,"average", AVERAGE(INDIRECT(ADDRESS(352+3,K$2+1,,,"Instances") &amp; ":" &amp; ADDRESS(352+3,K$2+1))),"median", MEDIAN(INDIRECT(ADDRESS(352+3,K$2+1,,,"Instances") &amp; ":" &amp; ADDRESS(352+3,K$2+1))),"min", MIN(INDIRECT(ADDRESS(352+3,K$2+1,,,"Instances") &amp; ":" &amp; ADDRESS(352+3,K$2+1))),"max", MAX(INDIRECT(ADDRESS(352+3,K$2+1,,,"Instances") &amp; ":" &amp; ADDRESS(352+3,K$2+1))),"diff", MAX(INDIRECT(ADDRESS(352+3,K$2+1,,,"Instances") &amp; ":" &amp; ADDRESS(352+3,K$2+1)))-MIN(INDIRECT(ADDRESS(352+3,K$2+1,,,"Instances") &amp; ":" &amp; ADDRESS(352+3,K$2+1))))</f>
        <v>0</v>
      </c>
      <c r="L357">
        <f>IFERROR(SMALL(K5:K364,ROW()-ROW($L$5)+1),"")</f>
        <v>0</v>
      </c>
      <c r="N357">
        <f>IFERROR(SUM(L5:L357),"")</f>
        <v>0</v>
      </c>
      <c r="Q357">
        <f>IF(Charts!$B$3="none",E2164,IF(K2164="",NA(),K2164))</f>
        <v>0</v>
      </c>
      <c r="R357">
        <f>IF(Charts!$B$3="none",F2164,IF(L2164="",NA(),L2164))</f>
        <v>0</v>
      </c>
      <c r="S357">
        <f>IF(Charts!$B$3="none",G2164,IF(M2164="",NA(),M2164))</f>
        <v>0</v>
      </c>
      <c r="T357">
        <f>IF(Charts!$B$3="none",H2164,IF(N2164="",NA(),N2164))</f>
        <v>0</v>
      </c>
    </row>
    <row r="358" spans="4:20">
      <c r="D358">
        <v>354</v>
      </c>
      <c r="E358">
        <f>IF(INDIRECT(ADDRESS($D358+2,E$2+1,,,"Instances"))="","",INDIRECT(ADDRESS($D358+2,E$2+1,,,"Instances")))</f>
        <v>0</v>
      </c>
      <c r="F358">
        <f>IFERROR(SMALL(E5:E364,ROW()-ROW($F$5)+1),"")</f>
        <v>0</v>
      </c>
      <c r="H358">
        <f>IFERROR(SUM(F5:F358),"")</f>
        <v>0</v>
      </c>
      <c r="J358">
        <v>354</v>
      </c>
      <c r="K358" cm="1">
        <f t="array" ref="K358">_xlfn.SWITCH(Charts!$B$3,"average", AVERAGE(INDIRECT(ADDRESS(353+3,K$2+1,,,"Instances") &amp; ":" &amp; ADDRESS(353+3,K$2+1))),"median", MEDIAN(INDIRECT(ADDRESS(353+3,K$2+1,,,"Instances") &amp; ":" &amp; ADDRESS(353+3,K$2+1))),"min", MIN(INDIRECT(ADDRESS(353+3,K$2+1,,,"Instances") &amp; ":" &amp; ADDRESS(353+3,K$2+1))),"max", MAX(INDIRECT(ADDRESS(353+3,K$2+1,,,"Instances") &amp; ":" &amp; ADDRESS(353+3,K$2+1))),"diff", MAX(INDIRECT(ADDRESS(353+3,K$2+1,,,"Instances") &amp; ":" &amp; ADDRESS(353+3,K$2+1)))-MIN(INDIRECT(ADDRESS(353+3,K$2+1,,,"Instances") &amp; ":" &amp; ADDRESS(353+3,K$2+1))))</f>
        <v>0</v>
      </c>
      <c r="L358">
        <f>IFERROR(SMALL(K5:K364,ROW()-ROW($L$5)+1),"")</f>
        <v>0</v>
      </c>
      <c r="N358">
        <f>IFERROR(SUM(L5:L358),"")</f>
        <v>0</v>
      </c>
      <c r="Q358">
        <f>IF(Charts!$B$3="none",E2165,IF(K2165="",NA(),K2165))</f>
        <v>0</v>
      </c>
      <c r="R358">
        <f>IF(Charts!$B$3="none",F2165,IF(L2165="",NA(),L2165))</f>
        <v>0</v>
      </c>
      <c r="S358">
        <f>IF(Charts!$B$3="none",G2165,IF(M2165="",NA(),M2165))</f>
        <v>0</v>
      </c>
      <c r="T358">
        <f>IF(Charts!$B$3="none",H2165,IF(N2165="",NA(),N2165))</f>
        <v>0</v>
      </c>
    </row>
    <row r="359" spans="4:20">
      <c r="D359">
        <v>355</v>
      </c>
      <c r="E359">
        <f>IF(INDIRECT(ADDRESS($D359+2,E$2+1,,,"Instances"))="","",INDIRECT(ADDRESS($D359+2,E$2+1,,,"Instances")))</f>
        <v>0</v>
      </c>
      <c r="F359">
        <f>IFERROR(SMALL(E5:E364,ROW()-ROW($F$5)+1),"")</f>
        <v>0</v>
      </c>
      <c r="H359">
        <f>IFERROR(SUM(F5:F359),"")</f>
        <v>0</v>
      </c>
      <c r="J359">
        <v>355</v>
      </c>
      <c r="K359" cm="1">
        <f t="array" ref="K359">_xlfn.SWITCH(Charts!$B$3,"average", AVERAGE(INDIRECT(ADDRESS(354+3,K$2+1,,,"Instances") &amp; ":" &amp; ADDRESS(354+3,K$2+1))),"median", MEDIAN(INDIRECT(ADDRESS(354+3,K$2+1,,,"Instances") &amp; ":" &amp; ADDRESS(354+3,K$2+1))),"min", MIN(INDIRECT(ADDRESS(354+3,K$2+1,,,"Instances") &amp; ":" &amp; ADDRESS(354+3,K$2+1))),"max", MAX(INDIRECT(ADDRESS(354+3,K$2+1,,,"Instances") &amp; ":" &amp; ADDRESS(354+3,K$2+1))),"diff", MAX(INDIRECT(ADDRESS(354+3,K$2+1,,,"Instances") &amp; ":" &amp; ADDRESS(354+3,K$2+1)))-MIN(INDIRECT(ADDRESS(354+3,K$2+1,,,"Instances") &amp; ":" &amp; ADDRESS(354+3,K$2+1))))</f>
        <v>0</v>
      </c>
      <c r="L359">
        <f>IFERROR(SMALL(K5:K364,ROW()-ROW($L$5)+1),"")</f>
        <v>0</v>
      </c>
      <c r="N359">
        <f>IFERROR(SUM(L5:L359),"")</f>
        <v>0</v>
      </c>
      <c r="Q359">
        <f>IF(Charts!$B$3="none",E2166,IF(K2166="",NA(),K2166))</f>
        <v>0</v>
      </c>
      <c r="R359">
        <f>IF(Charts!$B$3="none",F2166,IF(L2166="",NA(),L2166))</f>
        <v>0</v>
      </c>
      <c r="S359">
        <f>IF(Charts!$B$3="none",G2166,IF(M2166="",NA(),M2166))</f>
        <v>0</v>
      </c>
      <c r="T359">
        <f>IF(Charts!$B$3="none",H2166,IF(N2166="",NA(),N2166))</f>
        <v>0</v>
      </c>
    </row>
    <row r="360" spans="4:20">
      <c r="D360">
        <v>356</v>
      </c>
      <c r="E360">
        <f>IF(INDIRECT(ADDRESS($D360+2,E$2+1,,,"Instances"))="","",INDIRECT(ADDRESS($D360+2,E$2+1,,,"Instances")))</f>
        <v>0</v>
      </c>
      <c r="F360">
        <f>IFERROR(SMALL(E5:E364,ROW()-ROW($F$5)+1),"")</f>
        <v>0</v>
      </c>
      <c r="H360">
        <f>IFERROR(SUM(F5:F360),"")</f>
        <v>0</v>
      </c>
      <c r="J360">
        <v>356</v>
      </c>
      <c r="K360" cm="1">
        <f t="array" ref="K360">_xlfn.SWITCH(Charts!$B$3,"average", AVERAGE(INDIRECT(ADDRESS(355+3,K$2+1,,,"Instances") &amp; ":" &amp; ADDRESS(355+3,K$2+1))),"median", MEDIAN(INDIRECT(ADDRESS(355+3,K$2+1,,,"Instances") &amp; ":" &amp; ADDRESS(355+3,K$2+1))),"min", MIN(INDIRECT(ADDRESS(355+3,K$2+1,,,"Instances") &amp; ":" &amp; ADDRESS(355+3,K$2+1))),"max", MAX(INDIRECT(ADDRESS(355+3,K$2+1,,,"Instances") &amp; ":" &amp; ADDRESS(355+3,K$2+1))),"diff", MAX(INDIRECT(ADDRESS(355+3,K$2+1,,,"Instances") &amp; ":" &amp; ADDRESS(355+3,K$2+1)))-MIN(INDIRECT(ADDRESS(355+3,K$2+1,,,"Instances") &amp; ":" &amp; ADDRESS(355+3,K$2+1))))</f>
        <v>0</v>
      </c>
      <c r="L360">
        <f>IFERROR(SMALL(K5:K364,ROW()-ROW($L$5)+1),"")</f>
        <v>0</v>
      </c>
      <c r="N360">
        <f>IFERROR(SUM(L5:L360),"")</f>
        <v>0</v>
      </c>
      <c r="Q360">
        <f>IF(Charts!$B$3="none",E2167,IF(K2167="",NA(),K2167))</f>
        <v>0</v>
      </c>
      <c r="R360">
        <f>IF(Charts!$B$3="none",F2167,IF(L2167="",NA(),L2167))</f>
        <v>0</v>
      </c>
      <c r="S360">
        <f>IF(Charts!$B$3="none",G2167,IF(M2167="",NA(),M2167))</f>
        <v>0</v>
      </c>
      <c r="T360">
        <f>IF(Charts!$B$3="none",H2167,IF(N2167="",NA(),N2167))</f>
        <v>0</v>
      </c>
    </row>
    <row r="361" spans="4:20">
      <c r="D361">
        <v>357</v>
      </c>
      <c r="E361">
        <f>IF(INDIRECT(ADDRESS($D361+2,E$2+1,,,"Instances"))="","",INDIRECT(ADDRESS($D361+2,E$2+1,,,"Instances")))</f>
        <v>0</v>
      </c>
      <c r="F361">
        <f>IFERROR(SMALL(E5:E364,ROW()-ROW($F$5)+1),"")</f>
        <v>0</v>
      </c>
      <c r="H361">
        <f>IFERROR(SUM(F5:F361),"")</f>
        <v>0</v>
      </c>
      <c r="J361">
        <v>357</v>
      </c>
      <c r="K361" cm="1">
        <f t="array" ref="K361">_xlfn.SWITCH(Charts!$B$3,"average", AVERAGE(INDIRECT(ADDRESS(356+3,K$2+1,,,"Instances") &amp; ":" &amp; ADDRESS(356+3,K$2+1))),"median", MEDIAN(INDIRECT(ADDRESS(356+3,K$2+1,,,"Instances") &amp; ":" &amp; ADDRESS(356+3,K$2+1))),"min", MIN(INDIRECT(ADDRESS(356+3,K$2+1,,,"Instances") &amp; ":" &amp; ADDRESS(356+3,K$2+1))),"max", MAX(INDIRECT(ADDRESS(356+3,K$2+1,,,"Instances") &amp; ":" &amp; ADDRESS(356+3,K$2+1))),"diff", MAX(INDIRECT(ADDRESS(356+3,K$2+1,,,"Instances") &amp; ":" &amp; ADDRESS(356+3,K$2+1)))-MIN(INDIRECT(ADDRESS(356+3,K$2+1,,,"Instances") &amp; ":" &amp; ADDRESS(356+3,K$2+1))))</f>
        <v>0</v>
      </c>
      <c r="L361">
        <f>IFERROR(SMALL(K5:K364,ROW()-ROW($L$5)+1),"")</f>
        <v>0</v>
      </c>
      <c r="N361">
        <f>IFERROR(SUM(L5:L361),"")</f>
        <v>0</v>
      </c>
      <c r="Q361">
        <f>IF(Charts!$B$3="none",E2168,IF(K2168="",NA(),K2168))</f>
        <v>0</v>
      </c>
      <c r="R361">
        <f>IF(Charts!$B$3="none",F2168,IF(L2168="",NA(),L2168))</f>
        <v>0</v>
      </c>
      <c r="S361">
        <f>IF(Charts!$B$3="none",G2168,IF(M2168="",NA(),M2168))</f>
        <v>0</v>
      </c>
      <c r="T361">
        <f>IF(Charts!$B$3="none",H2168,IF(N2168="",NA(),N2168))</f>
        <v>0</v>
      </c>
    </row>
    <row r="362" spans="4:20">
      <c r="D362">
        <v>358</v>
      </c>
      <c r="E362">
        <f>IF(INDIRECT(ADDRESS($D362+2,E$2+1,,,"Instances"))="","",INDIRECT(ADDRESS($D362+2,E$2+1,,,"Instances")))</f>
        <v>0</v>
      </c>
      <c r="F362">
        <f>IFERROR(SMALL(E5:E364,ROW()-ROW($F$5)+1),"")</f>
        <v>0</v>
      </c>
      <c r="H362">
        <f>IFERROR(SUM(F5:F362),"")</f>
        <v>0</v>
      </c>
      <c r="J362">
        <v>358</v>
      </c>
      <c r="K362" cm="1">
        <f t="array" ref="K362">_xlfn.SWITCH(Charts!$B$3,"average", AVERAGE(INDIRECT(ADDRESS(357+3,K$2+1,,,"Instances") &amp; ":" &amp; ADDRESS(357+3,K$2+1))),"median", MEDIAN(INDIRECT(ADDRESS(357+3,K$2+1,,,"Instances") &amp; ":" &amp; ADDRESS(357+3,K$2+1))),"min", MIN(INDIRECT(ADDRESS(357+3,K$2+1,,,"Instances") &amp; ":" &amp; ADDRESS(357+3,K$2+1))),"max", MAX(INDIRECT(ADDRESS(357+3,K$2+1,,,"Instances") &amp; ":" &amp; ADDRESS(357+3,K$2+1))),"diff", MAX(INDIRECT(ADDRESS(357+3,K$2+1,,,"Instances") &amp; ":" &amp; ADDRESS(357+3,K$2+1)))-MIN(INDIRECT(ADDRESS(357+3,K$2+1,,,"Instances") &amp; ":" &amp; ADDRESS(357+3,K$2+1))))</f>
        <v>0</v>
      </c>
      <c r="L362">
        <f>IFERROR(SMALL(K5:K364,ROW()-ROW($L$5)+1),"")</f>
        <v>0</v>
      </c>
      <c r="N362">
        <f>IFERROR(SUM(L5:L362),"")</f>
        <v>0</v>
      </c>
      <c r="Q362">
        <f>IF(Charts!$B$3="none",E2169,IF(K2169="",NA(),K2169))</f>
        <v>0</v>
      </c>
      <c r="R362">
        <f>IF(Charts!$B$3="none",F2169,IF(L2169="",NA(),L2169))</f>
        <v>0</v>
      </c>
      <c r="S362">
        <f>IF(Charts!$B$3="none",G2169,IF(M2169="",NA(),M2169))</f>
        <v>0</v>
      </c>
      <c r="T362">
        <f>IF(Charts!$B$3="none",H2169,IF(N2169="",NA(),N2169))</f>
        <v>0</v>
      </c>
    </row>
    <row r="363" spans="4:20">
      <c r="D363">
        <v>359</v>
      </c>
      <c r="E363">
        <f>IF(INDIRECT(ADDRESS($D363+2,E$2+1,,,"Instances"))="","",INDIRECT(ADDRESS($D363+2,E$2+1,,,"Instances")))</f>
        <v>0</v>
      </c>
      <c r="F363">
        <f>IFERROR(SMALL(E5:E364,ROW()-ROW($F$5)+1),"")</f>
        <v>0</v>
      </c>
      <c r="H363">
        <f>IFERROR(SUM(F5:F363),"")</f>
        <v>0</v>
      </c>
      <c r="J363">
        <v>359</v>
      </c>
      <c r="K363" cm="1">
        <f t="array" ref="K363">_xlfn.SWITCH(Charts!$B$3,"average", AVERAGE(INDIRECT(ADDRESS(358+3,K$2+1,,,"Instances") &amp; ":" &amp; ADDRESS(358+3,K$2+1))),"median", MEDIAN(INDIRECT(ADDRESS(358+3,K$2+1,,,"Instances") &amp; ":" &amp; ADDRESS(358+3,K$2+1))),"min", MIN(INDIRECT(ADDRESS(358+3,K$2+1,,,"Instances") &amp; ":" &amp; ADDRESS(358+3,K$2+1))),"max", MAX(INDIRECT(ADDRESS(358+3,K$2+1,,,"Instances") &amp; ":" &amp; ADDRESS(358+3,K$2+1))),"diff", MAX(INDIRECT(ADDRESS(358+3,K$2+1,,,"Instances") &amp; ":" &amp; ADDRESS(358+3,K$2+1)))-MIN(INDIRECT(ADDRESS(358+3,K$2+1,,,"Instances") &amp; ":" &amp; ADDRESS(358+3,K$2+1))))</f>
        <v>0</v>
      </c>
      <c r="L363">
        <f>IFERROR(SMALL(K5:K364,ROW()-ROW($L$5)+1),"")</f>
        <v>0</v>
      </c>
      <c r="N363">
        <f>IFERROR(SUM(L5:L363),"")</f>
        <v>0</v>
      </c>
      <c r="Q363">
        <f>IF(Charts!$B$3="none",E2170,IF(K2170="",NA(),K2170))</f>
        <v>0</v>
      </c>
      <c r="R363">
        <f>IF(Charts!$B$3="none",F2170,IF(L2170="",NA(),L2170))</f>
        <v>0</v>
      </c>
      <c r="S363">
        <f>IF(Charts!$B$3="none",G2170,IF(M2170="",NA(),M2170))</f>
        <v>0</v>
      </c>
      <c r="T363">
        <f>IF(Charts!$B$3="none",H2170,IF(N2170="",NA(),N2170))</f>
        <v>0</v>
      </c>
    </row>
    <row r="364" spans="4:20">
      <c r="D364">
        <v>360</v>
      </c>
      <c r="E364">
        <f>IF(INDIRECT(ADDRESS($D364+2,E$2+1,,,"Instances"))="","",INDIRECT(ADDRESS($D364+2,E$2+1,,,"Instances")))</f>
        <v>0</v>
      </c>
      <c r="F364">
        <f>IFERROR(SMALL(E5:E364,ROW()-ROW($F$5)+1),"")</f>
        <v>0</v>
      </c>
      <c r="H364">
        <f>IFERROR(SUM(F5:F364),"")</f>
        <v>0</v>
      </c>
      <c r="J364">
        <v>360</v>
      </c>
      <c r="K364" cm="1">
        <f t="array" ref="K364">_xlfn.SWITCH(Charts!$B$3,"average", AVERAGE(INDIRECT(ADDRESS(359+3,K$2+1,,,"Instances") &amp; ":" &amp; ADDRESS(359+3,K$2+1))),"median", MEDIAN(INDIRECT(ADDRESS(359+3,K$2+1,,,"Instances") &amp; ":" &amp; ADDRESS(359+3,K$2+1))),"min", MIN(INDIRECT(ADDRESS(359+3,K$2+1,,,"Instances") &amp; ":" &amp; ADDRESS(359+3,K$2+1))),"max", MAX(INDIRECT(ADDRESS(359+3,K$2+1,,,"Instances") &amp; ":" &amp; ADDRESS(359+3,K$2+1))),"diff", MAX(INDIRECT(ADDRESS(359+3,K$2+1,,,"Instances") &amp; ":" &amp; ADDRESS(359+3,K$2+1)))-MIN(INDIRECT(ADDRESS(359+3,K$2+1,,,"Instances") &amp; ":" &amp; ADDRESS(359+3,K$2+1))))</f>
        <v>0</v>
      </c>
      <c r="L364">
        <f>IFERROR(SMALL(K5:K364,ROW()-ROW($L$5)+1),"")</f>
        <v>0</v>
      </c>
      <c r="N364">
        <f>IFERROR(SUM(L5:L364),"")</f>
        <v>0</v>
      </c>
      <c r="Q364">
        <f>IF(Charts!$B$3="none",E2171,IF(K2171="",NA(),K2171))</f>
        <v>0</v>
      </c>
      <c r="R364">
        <f>IF(Charts!$B$3="none",F2171,IF(L2171="",NA(),L2171))</f>
        <v>0</v>
      </c>
      <c r="S364">
        <f>IF(Charts!$B$3="none",G2171,IF(M2171="",NA(),M2171))</f>
        <v>0</v>
      </c>
      <c r="T364">
        <f>IF(Charts!$B$3="none",H2171,IF(N2171="",NA(),N2171))</f>
        <v>0</v>
      </c>
    </row>
    <row r="365" spans="4:20">
      <c r="Q365">
        <f>IF(Charts!$B$3="none",E2172,IF(K2172="",NA(),K2172))</f>
        <v>0</v>
      </c>
      <c r="R365">
        <f>IF(Charts!$B$3="none",F2172,IF(L2172="",NA(),L2172))</f>
        <v>0</v>
      </c>
      <c r="S365">
        <f>IF(Charts!$B$3="none",G2172,IF(M2172="",NA(),M2172))</f>
        <v>0</v>
      </c>
      <c r="T365">
        <f>IF(Charts!$B$3="none",H2172,IF(N2172="",NA(),N2172))</f>
        <v>0</v>
      </c>
    </row>
    <row r="366" spans="4:20">
      <c r="D366" t="s">
        <v>404</v>
      </c>
      <c r="E366" t="s">
        <v>403</v>
      </c>
      <c r="F366" t="s">
        <v>408</v>
      </c>
      <c r="G366" t="s">
        <v>403</v>
      </c>
      <c r="H366" t="s">
        <v>409</v>
      </c>
      <c r="J366" t="s">
        <v>404</v>
      </c>
      <c r="K366" t="s">
        <v>403</v>
      </c>
      <c r="L366" t="s">
        <v>408</v>
      </c>
      <c r="M366" t="s">
        <v>403</v>
      </c>
      <c r="N366" t="s">
        <v>409</v>
      </c>
      <c r="Q366">
        <f>IF(Charts!$B$3="none",E2173,IF(K2173="",NA(),K2173))</f>
        <v>0</v>
      </c>
      <c r="R366">
        <f>IF(Charts!$B$3="none",F2173,IF(L2173="",NA(),L2173))</f>
        <v>0</v>
      </c>
      <c r="S366">
        <f>IF(Charts!$B$3="none",G2173,IF(M2173="",NA(),M2173))</f>
        <v>0</v>
      </c>
      <c r="T366">
        <f>IF(Charts!$B$3="none",H2173,IF(N2173="",NA(),N2173))</f>
        <v>0</v>
      </c>
    </row>
    <row r="367" spans="4:20">
      <c r="E367">
        <v>1</v>
      </c>
      <c r="F367">
        <f>F5</f>
        <v>0</v>
      </c>
      <c r="G367">
        <v>1</v>
      </c>
      <c r="H367">
        <f>H5</f>
        <v>0</v>
      </c>
      <c r="K367">
        <v>1</v>
      </c>
      <c r="L367">
        <f>L5</f>
        <v>0</v>
      </c>
      <c r="M367">
        <v>1</v>
      </c>
      <c r="N367">
        <f>N5</f>
        <v>0</v>
      </c>
      <c r="Q367">
        <f>IF(Charts!$B$3="none",E2174,IF(K2174="",NA(),K2174))</f>
        <v>0</v>
      </c>
      <c r="R367">
        <f>IF(Charts!$B$3="none",F2174,IF(L2174="",NA(),L2174))</f>
        <v>0</v>
      </c>
      <c r="S367">
        <f>IF(Charts!$B$3="none",G2174,IF(M2174="",NA(),M2174))</f>
        <v>0</v>
      </c>
      <c r="T367">
        <f>IF(Charts!$B$3="none",H2174,IF(N2174="",NA(),N2174))</f>
        <v>0</v>
      </c>
    </row>
    <row r="368" spans="4:20">
      <c r="E368">
        <v>2</v>
      </c>
      <c r="F368">
        <f>F6</f>
        <v>0</v>
      </c>
      <c r="G368">
        <v>2</v>
      </c>
      <c r="H368">
        <f>H6</f>
        <v>0</v>
      </c>
      <c r="K368">
        <v>2</v>
      </c>
      <c r="L368">
        <f>L6</f>
        <v>0</v>
      </c>
      <c r="M368">
        <v>2</v>
      </c>
      <c r="N368">
        <f>N6</f>
        <v>0</v>
      </c>
      <c r="Q368">
        <f>IF(Charts!$B$3="none",E2175,IF(K2175="",NA(),K2175))</f>
        <v>0</v>
      </c>
      <c r="R368">
        <f>IF(Charts!$B$3="none",F2175,IF(L2175="",NA(),L2175))</f>
        <v>0</v>
      </c>
      <c r="S368">
        <f>IF(Charts!$B$3="none",G2175,IF(M2175="",NA(),M2175))</f>
        <v>0</v>
      </c>
      <c r="T368">
        <f>IF(Charts!$B$3="none",H2175,IF(N2175="",NA(),N2175))</f>
        <v>0</v>
      </c>
    </row>
    <row r="369" spans="5:20">
      <c r="E369">
        <v>3</v>
      </c>
      <c r="F369">
        <f>F7</f>
        <v>0</v>
      </c>
      <c r="G369">
        <v>3</v>
      </c>
      <c r="H369">
        <f>H7</f>
        <v>0</v>
      </c>
      <c r="K369">
        <v>3</v>
      </c>
      <c r="L369">
        <f>L7</f>
        <v>0</v>
      </c>
      <c r="M369">
        <v>3</v>
      </c>
      <c r="N369">
        <f>N7</f>
        <v>0</v>
      </c>
      <c r="Q369">
        <f>IF(Charts!$B$3="none",E2176,IF(K2176="",NA(),K2176))</f>
        <v>0</v>
      </c>
      <c r="R369">
        <f>IF(Charts!$B$3="none",F2176,IF(L2176="",NA(),L2176))</f>
        <v>0</v>
      </c>
      <c r="S369">
        <f>IF(Charts!$B$3="none",G2176,IF(M2176="",NA(),M2176))</f>
        <v>0</v>
      </c>
      <c r="T369">
        <f>IF(Charts!$B$3="none",H2176,IF(N2176="",NA(),N2176))</f>
        <v>0</v>
      </c>
    </row>
    <row r="370" spans="5:20">
      <c r="E370">
        <v>4</v>
      </c>
      <c r="F370">
        <f>F8</f>
        <v>0</v>
      </c>
      <c r="G370">
        <v>4</v>
      </c>
      <c r="H370">
        <f>H8</f>
        <v>0</v>
      </c>
      <c r="K370">
        <v>4</v>
      </c>
      <c r="L370">
        <f>L8</f>
        <v>0</v>
      </c>
      <c r="M370">
        <v>4</v>
      </c>
      <c r="N370">
        <f>N8</f>
        <v>0</v>
      </c>
      <c r="Q370">
        <f>IF(Charts!$B$3="none",E2177,IF(K2177="",NA(),K2177))</f>
        <v>0</v>
      </c>
      <c r="R370">
        <f>IF(Charts!$B$3="none",F2177,IF(L2177="",NA(),L2177))</f>
        <v>0</v>
      </c>
      <c r="S370">
        <f>IF(Charts!$B$3="none",G2177,IF(M2177="",NA(),M2177))</f>
        <v>0</v>
      </c>
      <c r="T370">
        <f>IF(Charts!$B$3="none",H2177,IF(N2177="",NA(),N2177))</f>
        <v>0</v>
      </c>
    </row>
    <row r="371" spans="5:20">
      <c r="E371">
        <v>5</v>
      </c>
      <c r="F371">
        <f>F9</f>
        <v>0</v>
      </c>
      <c r="G371">
        <v>5</v>
      </c>
      <c r="H371">
        <f>H9</f>
        <v>0</v>
      </c>
      <c r="K371">
        <v>5</v>
      </c>
      <c r="L371">
        <f>L9</f>
        <v>0</v>
      </c>
      <c r="M371">
        <v>5</v>
      </c>
      <c r="N371">
        <f>N9</f>
        <v>0</v>
      </c>
      <c r="Q371">
        <f>IF(Charts!$B$3="none",E2178,IF(K2178="",NA(),K2178))</f>
        <v>0</v>
      </c>
      <c r="R371">
        <f>IF(Charts!$B$3="none",F2178,IF(L2178="",NA(),L2178))</f>
        <v>0</v>
      </c>
      <c r="S371">
        <f>IF(Charts!$B$3="none",G2178,IF(M2178="",NA(),M2178))</f>
        <v>0</v>
      </c>
      <c r="T371">
        <f>IF(Charts!$B$3="none",H2178,IF(N2178="",NA(),N2178))</f>
        <v>0</v>
      </c>
    </row>
    <row r="372" spans="5:20">
      <c r="E372">
        <v>6</v>
      </c>
      <c r="F372">
        <f>F10</f>
        <v>0</v>
      </c>
      <c r="G372">
        <v>6</v>
      </c>
      <c r="H372">
        <f>H10</f>
        <v>0</v>
      </c>
      <c r="K372">
        <v>6</v>
      </c>
      <c r="L372">
        <f>L10</f>
        <v>0</v>
      </c>
      <c r="M372">
        <v>6</v>
      </c>
      <c r="N372">
        <f>N10</f>
        <v>0</v>
      </c>
      <c r="Q372">
        <f>IF(Charts!$B$3="none",E2179,IF(K2179="",NA(),K2179))</f>
        <v>0</v>
      </c>
      <c r="R372">
        <f>IF(Charts!$B$3="none",F2179,IF(L2179="",NA(),L2179))</f>
        <v>0</v>
      </c>
      <c r="S372">
        <f>IF(Charts!$B$3="none",G2179,IF(M2179="",NA(),M2179))</f>
        <v>0</v>
      </c>
      <c r="T372">
        <f>IF(Charts!$B$3="none",H2179,IF(N2179="",NA(),N2179))</f>
        <v>0</v>
      </c>
    </row>
    <row r="373" spans="5:20">
      <c r="E373">
        <v>7</v>
      </c>
      <c r="F373">
        <f>F11</f>
        <v>0</v>
      </c>
      <c r="G373">
        <v>7</v>
      </c>
      <c r="H373">
        <f>H11</f>
        <v>0</v>
      </c>
      <c r="K373">
        <v>7</v>
      </c>
      <c r="L373">
        <f>L11</f>
        <v>0</v>
      </c>
      <c r="M373">
        <v>7</v>
      </c>
      <c r="N373">
        <f>N11</f>
        <v>0</v>
      </c>
      <c r="Q373">
        <f>IF(Charts!$B$3="none",E2180,IF(K2180="",NA(),K2180))</f>
        <v>0</v>
      </c>
      <c r="R373">
        <f>IF(Charts!$B$3="none",F2180,IF(L2180="",NA(),L2180))</f>
        <v>0</v>
      </c>
      <c r="S373">
        <f>IF(Charts!$B$3="none",G2180,IF(M2180="",NA(),M2180))</f>
        <v>0</v>
      </c>
      <c r="T373">
        <f>IF(Charts!$B$3="none",H2180,IF(N2180="",NA(),N2180))</f>
        <v>0</v>
      </c>
    </row>
    <row r="374" spans="5:20">
      <c r="E374">
        <v>8</v>
      </c>
      <c r="F374">
        <f>F12</f>
        <v>0</v>
      </c>
      <c r="G374">
        <v>8</v>
      </c>
      <c r="H374">
        <f>H12</f>
        <v>0</v>
      </c>
      <c r="K374">
        <v>8</v>
      </c>
      <c r="L374">
        <f>L12</f>
        <v>0</v>
      </c>
      <c r="M374">
        <v>8</v>
      </c>
      <c r="N374">
        <f>N12</f>
        <v>0</v>
      </c>
      <c r="Q374">
        <f>IF(Charts!$B$3="none",E2181,IF(K2181="",NA(),K2181))</f>
        <v>0</v>
      </c>
      <c r="R374">
        <f>IF(Charts!$B$3="none",F2181,IF(L2181="",NA(),L2181))</f>
        <v>0</v>
      </c>
      <c r="S374">
        <f>IF(Charts!$B$3="none",G2181,IF(M2181="",NA(),M2181))</f>
        <v>0</v>
      </c>
      <c r="T374">
        <f>IF(Charts!$B$3="none",H2181,IF(N2181="",NA(),N2181))</f>
        <v>0</v>
      </c>
    </row>
    <row r="375" spans="5:20">
      <c r="E375">
        <v>9</v>
      </c>
      <c r="F375">
        <f>F13</f>
        <v>0</v>
      </c>
      <c r="G375">
        <v>9</v>
      </c>
      <c r="H375">
        <f>H13</f>
        <v>0</v>
      </c>
      <c r="K375">
        <v>9</v>
      </c>
      <c r="L375">
        <f>L13</f>
        <v>0</v>
      </c>
      <c r="M375">
        <v>9</v>
      </c>
      <c r="N375">
        <f>N13</f>
        <v>0</v>
      </c>
      <c r="Q375">
        <f>IF(Charts!$B$3="none",E2182,IF(K2182="",NA(),K2182))</f>
        <v>0</v>
      </c>
      <c r="R375">
        <f>IF(Charts!$B$3="none",F2182,IF(L2182="",NA(),L2182))</f>
        <v>0</v>
      </c>
      <c r="S375">
        <f>IF(Charts!$B$3="none",G2182,IF(M2182="",NA(),M2182))</f>
        <v>0</v>
      </c>
      <c r="T375">
        <f>IF(Charts!$B$3="none",H2182,IF(N2182="",NA(),N2182))</f>
        <v>0</v>
      </c>
    </row>
    <row r="376" spans="5:20">
      <c r="E376">
        <v>10</v>
      </c>
      <c r="F376">
        <f>F14</f>
        <v>0</v>
      </c>
      <c r="G376">
        <v>10</v>
      </c>
      <c r="H376">
        <f>H14</f>
        <v>0</v>
      </c>
      <c r="K376">
        <v>10</v>
      </c>
      <c r="L376">
        <f>L14</f>
        <v>0</v>
      </c>
      <c r="M376">
        <v>10</v>
      </c>
      <c r="N376">
        <f>N14</f>
        <v>0</v>
      </c>
      <c r="Q376">
        <f>IF(Charts!$B$3="none",E2183,IF(K2183="",NA(),K2183))</f>
        <v>0</v>
      </c>
      <c r="R376">
        <f>IF(Charts!$B$3="none",F2183,IF(L2183="",NA(),L2183))</f>
        <v>0</v>
      </c>
      <c r="S376">
        <f>IF(Charts!$B$3="none",G2183,IF(M2183="",NA(),M2183))</f>
        <v>0</v>
      </c>
      <c r="T376">
        <f>IF(Charts!$B$3="none",H2183,IF(N2183="",NA(),N2183))</f>
        <v>0</v>
      </c>
    </row>
    <row r="377" spans="5:20">
      <c r="E377">
        <v>11</v>
      </c>
      <c r="F377">
        <f>F15</f>
        <v>0</v>
      </c>
      <c r="G377">
        <v>11</v>
      </c>
      <c r="H377">
        <f>H15</f>
        <v>0</v>
      </c>
      <c r="K377">
        <v>11</v>
      </c>
      <c r="L377">
        <f>L15</f>
        <v>0</v>
      </c>
      <c r="M377">
        <v>11</v>
      </c>
      <c r="N377">
        <f>N15</f>
        <v>0</v>
      </c>
      <c r="Q377">
        <f>IF(Charts!$B$3="none",E2184,IF(K2184="",NA(),K2184))</f>
        <v>0</v>
      </c>
      <c r="R377">
        <f>IF(Charts!$B$3="none",F2184,IF(L2184="",NA(),L2184))</f>
        <v>0</v>
      </c>
      <c r="S377">
        <f>IF(Charts!$B$3="none",G2184,IF(M2184="",NA(),M2184))</f>
        <v>0</v>
      </c>
      <c r="T377">
        <f>IF(Charts!$B$3="none",H2184,IF(N2184="",NA(),N2184))</f>
        <v>0</v>
      </c>
    </row>
    <row r="378" spans="5:20">
      <c r="E378">
        <v>12</v>
      </c>
      <c r="F378">
        <f>F16</f>
        <v>0</v>
      </c>
      <c r="G378">
        <v>12</v>
      </c>
      <c r="H378">
        <f>H16</f>
        <v>0</v>
      </c>
      <c r="K378">
        <v>12</v>
      </c>
      <c r="L378">
        <f>L16</f>
        <v>0</v>
      </c>
      <c r="M378">
        <v>12</v>
      </c>
      <c r="N378">
        <f>N16</f>
        <v>0</v>
      </c>
      <c r="Q378">
        <f>IF(Charts!$B$3="none",E2185,IF(K2185="",NA(),K2185))</f>
        <v>0</v>
      </c>
      <c r="R378">
        <f>IF(Charts!$B$3="none",F2185,IF(L2185="",NA(),L2185))</f>
        <v>0</v>
      </c>
      <c r="S378">
        <f>IF(Charts!$B$3="none",G2185,IF(M2185="",NA(),M2185))</f>
        <v>0</v>
      </c>
      <c r="T378">
        <f>IF(Charts!$B$3="none",H2185,IF(N2185="",NA(),N2185))</f>
        <v>0</v>
      </c>
    </row>
    <row r="379" spans="5:20">
      <c r="E379">
        <v>13</v>
      </c>
      <c r="F379">
        <f>F17</f>
        <v>0</v>
      </c>
      <c r="G379">
        <v>13</v>
      </c>
      <c r="H379">
        <f>H17</f>
        <v>0</v>
      </c>
      <c r="K379">
        <v>13</v>
      </c>
      <c r="L379">
        <f>L17</f>
        <v>0</v>
      </c>
      <c r="M379">
        <v>13</v>
      </c>
      <c r="N379">
        <f>N17</f>
        <v>0</v>
      </c>
      <c r="Q379">
        <f>IF(Charts!$B$3="none",E2186,IF(K2186="",NA(),K2186))</f>
        <v>0</v>
      </c>
      <c r="R379">
        <f>IF(Charts!$B$3="none",F2186,IF(L2186="",NA(),L2186))</f>
        <v>0</v>
      </c>
      <c r="S379">
        <f>IF(Charts!$B$3="none",G2186,IF(M2186="",NA(),M2186))</f>
        <v>0</v>
      </c>
      <c r="T379">
        <f>IF(Charts!$B$3="none",H2186,IF(N2186="",NA(),N2186))</f>
        <v>0</v>
      </c>
    </row>
    <row r="380" spans="5:20">
      <c r="E380">
        <v>14</v>
      </c>
      <c r="F380">
        <f>F18</f>
        <v>0</v>
      </c>
      <c r="G380">
        <v>14</v>
      </c>
      <c r="H380">
        <f>H18</f>
        <v>0</v>
      </c>
      <c r="K380">
        <v>14</v>
      </c>
      <c r="L380">
        <f>L18</f>
        <v>0</v>
      </c>
      <c r="M380">
        <v>14</v>
      </c>
      <c r="N380">
        <f>N18</f>
        <v>0</v>
      </c>
      <c r="Q380">
        <f>IF(Charts!$B$3="none",E2187,IF(K2187="",NA(),K2187))</f>
        <v>0</v>
      </c>
      <c r="R380">
        <f>IF(Charts!$B$3="none",F2187,IF(L2187="",NA(),L2187))</f>
        <v>0</v>
      </c>
      <c r="S380">
        <f>IF(Charts!$B$3="none",G2187,IF(M2187="",NA(),M2187))</f>
        <v>0</v>
      </c>
      <c r="T380">
        <f>IF(Charts!$B$3="none",H2187,IF(N2187="",NA(),N2187))</f>
        <v>0</v>
      </c>
    </row>
    <row r="381" spans="5:20">
      <c r="E381">
        <v>15</v>
      </c>
      <c r="F381">
        <f>F19</f>
        <v>0</v>
      </c>
      <c r="G381">
        <v>15</v>
      </c>
      <c r="H381">
        <f>H19</f>
        <v>0</v>
      </c>
      <c r="K381">
        <v>15</v>
      </c>
      <c r="L381">
        <f>L19</f>
        <v>0</v>
      </c>
      <c r="M381">
        <v>15</v>
      </c>
      <c r="N381">
        <f>N19</f>
        <v>0</v>
      </c>
      <c r="Q381">
        <f>IF(Charts!$B$3="none",E2188,IF(K2188="",NA(),K2188))</f>
        <v>0</v>
      </c>
      <c r="R381">
        <f>IF(Charts!$B$3="none",F2188,IF(L2188="",NA(),L2188))</f>
        <v>0</v>
      </c>
      <c r="S381">
        <f>IF(Charts!$B$3="none",G2188,IF(M2188="",NA(),M2188))</f>
        <v>0</v>
      </c>
      <c r="T381">
        <f>IF(Charts!$B$3="none",H2188,IF(N2188="",NA(),N2188))</f>
        <v>0</v>
      </c>
    </row>
    <row r="382" spans="5:20">
      <c r="E382">
        <v>16</v>
      </c>
      <c r="F382">
        <f>F20</f>
        <v>0</v>
      </c>
      <c r="G382">
        <v>16</v>
      </c>
      <c r="H382">
        <f>H20</f>
        <v>0</v>
      </c>
      <c r="K382">
        <v>16</v>
      </c>
      <c r="L382">
        <f>L20</f>
        <v>0</v>
      </c>
      <c r="M382">
        <v>16</v>
      </c>
      <c r="N382">
        <f>N20</f>
        <v>0</v>
      </c>
      <c r="Q382">
        <f>IF(Charts!$B$3="none",E2189,IF(K2189="",NA(),K2189))</f>
        <v>0</v>
      </c>
      <c r="R382">
        <f>IF(Charts!$B$3="none",F2189,IF(L2189="",NA(),L2189))</f>
        <v>0</v>
      </c>
      <c r="S382">
        <f>IF(Charts!$B$3="none",G2189,IF(M2189="",NA(),M2189))</f>
        <v>0</v>
      </c>
      <c r="T382">
        <f>IF(Charts!$B$3="none",H2189,IF(N2189="",NA(),N2189))</f>
        <v>0</v>
      </c>
    </row>
    <row r="383" spans="5:20">
      <c r="E383">
        <v>17</v>
      </c>
      <c r="F383">
        <f>F21</f>
        <v>0</v>
      </c>
      <c r="G383">
        <v>17</v>
      </c>
      <c r="H383">
        <f>H21</f>
        <v>0</v>
      </c>
      <c r="K383">
        <v>17</v>
      </c>
      <c r="L383">
        <f>L21</f>
        <v>0</v>
      </c>
      <c r="M383">
        <v>17</v>
      </c>
      <c r="N383">
        <f>N21</f>
        <v>0</v>
      </c>
      <c r="Q383">
        <f>IF(Charts!$B$3="none",E2190,IF(K2190="",NA(),K2190))</f>
        <v>0</v>
      </c>
      <c r="R383">
        <f>IF(Charts!$B$3="none",F2190,IF(L2190="",NA(),L2190))</f>
        <v>0</v>
      </c>
      <c r="S383">
        <f>IF(Charts!$B$3="none",G2190,IF(M2190="",NA(),M2190))</f>
        <v>0</v>
      </c>
      <c r="T383">
        <f>IF(Charts!$B$3="none",H2190,IF(N2190="",NA(),N2190))</f>
        <v>0</v>
      </c>
    </row>
    <row r="384" spans="5:20">
      <c r="E384">
        <v>18</v>
      </c>
      <c r="F384">
        <f>F22</f>
        <v>0</v>
      </c>
      <c r="G384">
        <v>18</v>
      </c>
      <c r="H384">
        <f>H22</f>
        <v>0</v>
      </c>
      <c r="K384">
        <v>18</v>
      </c>
      <c r="L384">
        <f>L22</f>
        <v>0</v>
      </c>
      <c r="M384">
        <v>18</v>
      </c>
      <c r="N384">
        <f>N22</f>
        <v>0</v>
      </c>
      <c r="Q384">
        <f>IF(Charts!$B$3="none",E2191,IF(K2191="",NA(),K2191))</f>
        <v>0</v>
      </c>
      <c r="R384">
        <f>IF(Charts!$B$3="none",F2191,IF(L2191="",NA(),L2191))</f>
        <v>0</v>
      </c>
      <c r="S384">
        <f>IF(Charts!$B$3="none",G2191,IF(M2191="",NA(),M2191))</f>
        <v>0</v>
      </c>
      <c r="T384">
        <f>IF(Charts!$B$3="none",H2191,IF(N2191="",NA(),N2191))</f>
        <v>0</v>
      </c>
    </row>
    <row r="385" spans="5:20">
      <c r="E385">
        <v>19</v>
      </c>
      <c r="F385">
        <f>F23</f>
        <v>0</v>
      </c>
      <c r="G385">
        <v>19</v>
      </c>
      <c r="H385">
        <f>H23</f>
        <v>0</v>
      </c>
      <c r="K385">
        <v>19</v>
      </c>
      <c r="L385">
        <f>L23</f>
        <v>0</v>
      </c>
      <c r="M385">
        <v>19</v>
      </c>
      <c r="N385">
        <f>N23</f>
        <v>0</v>
      </c>
      <c r="Q385">
        <f>IF(Charts!$B$3="none",E2192,IF(K2192="",NA(),K2192))</f>
        <v>0</v>
      </c>
      <c r="R385">
        <f>IF(Charts!$B$3="none",F2192,IF(L2192="",NA(),L2192))</f>
        <v>0</v>
      </c>
      <c r="S385">
        <f>IF(Charts!$B$3="none",G2192,IF(M2192="",NA(),M2192))</f>
        <v>0</v>
      </c>
      <c r="T385">
        <f>IF(Charts!$B$3="none",H2192,IF(N2192="",NA(),N2192))</f>
        <v>0</v>
      </c>
    </row>
    <row r="386" spans="5:20">
      <c r="E386">
        <v>20</v>
      </c>
      <c r="F386">
        <f>F24</f>
        <v>0</v>
      </c>
      <c r="G386">
        <v>20</v>
      </c>
      <c r="H386">
        <f>H24</f>
        <v>0</v>
      </c>
      <c r="K386">
        <v>20</v>
      </c>
      <c r="L386">
        <f>L24</f>
        <v>0</v>
      </c>
      <c r="M386">
        <v>20</v>
      </c>
      <c r="N386">
        <f>N24</f>
        <v>0</v>
      </c>
      <c r="Q386">
        <f>IF(Charts!$B$3="none",E2193,IF(K2193="",NA(),K2193))</f>
        <v>0</v>
      </c>
      <c r="R386">
        <f>IF(Charts!$B$3="none",F2193,IF(L2193="",NA(),L2193))</f>
        <v>0</v>
      </c>
      <c r="S386">
        <f>IF(Charts!$B$3="none",G2193,IF(M2193="",NA(),M2193))</f>
        <v>0</v>
      </c>
      <c r="T386">
        <f>IF(Charts!$B$3="none",H2193,IF(N2193="",NA(),N2193))</f>
        <v>0</v>
      </c>
    </row>
    <row r="387" spans="5:20">
      <c r="E387">
        <v>21</v>
      </c>
      <c r="F387">
        <f>F25</f>
        <v>0</v>
      </c>
      <c r="G387">
        <v>21</v>
      </c>
      <c r="H387">
        <f>H25</f>
        <v>0</v>
      </c>
      <c r="K387">
        <v>21</v>
      </c>
      <c r="L387">
        <f>L25</f>
        <v>0</v>
      </c>
      <c r="M387">
        <v>21</v>
      </c>
      <c r="N387">
        <f>N25</f>
        <v>0</v>
      </c>
      <c r="Q387">
        <f>IF(Charts!$B$3="none",E2194,IF(K2194="",NA(),K2194))</f>
        <v>0</v>
      </c>
      <c r="R387">
        <f>IF(Charts!$B$3="none",F2194,IF(L2194="",NA(),L2194))</f>
        <v>0</v>
      </c>
      <c r="S387">
        <f>IF(Charts!$B$3="none",G2194,IF(M2194="",NA(),M2194))</f>
        <v>0</v>
      </c>
      <c r="T387">
        <f>IF(Charts!$B$3="none",H2194,IF(N2194="",NA(),N2194))</f>
        <v>0</v>
      </c>
    </row>
    <row r="388" spans="5:20">
      <c r="E388">
        <v>22</v>
      </c>
      <c r="F388">
        <f>F26</f>
        <v>0</v>
      </c>
      <c r="G388">
        <v>22</v>
      </c>
      <c r="H388">
        <f>H26</f>
        <v>0</v>
      </c>
      <c r="K388">
        <v>22</v>
      </c>
      <c r="L388">
        <f>L26</f>
        <v>0</v>
      </c>
      <c r="M388">
        <v>22</v>
      </c>
      <c r="N388">
        <f>N26</f>
        <v>0</v>
      </c>
      <c r="Q388">
        <f>IF(Charts!$B$3="none",E2195,IF(K2195="",NA(),K2195))</f>
        <v>0</v>
      </c>
      <c r="R388">
        <f>IF(Charts!$B$3="none",F2195,IF(L2195="",NA(),L2195))</f>
        <v>0</v>
      </c>
      <c r="S388">
        <f>IF(Charts!$B$3="none",G2195,IF(M2195="",NA(),M2195))</f>
        <v>0</v>
      </c>
      <c r="T388">
        <f>IF(Charts!$B$3="none",H2195,IF(N2195="",NA(),N2195))</f>
        <v>0</v>
      </c>
    </row>
    <row r="389" spans="5:20">
      <c r="E389">
        <v>23</v>
      </c>
      <c r="F389">
        <f>F27</f>
        <v>0</v>
      </c>
      <c r="G389">
        <v>23</v>
      </c>
      <c r="H389">
        <f>H27</f>
        <v>0</v>
      </c>
      <c r="K389">
        <v>23</v>
      </c>
      <c r="L389">
        <f>L27</f>
        <v>0</v>
      </c>
      <c r="M389">
        <v>23</v>
      </c>
      <c r="N389">
        <f>N27</f>
        <v>0</v>
      </c>
      <c r="Q389">
        <f>IF(Charts!$B$3="none",E2196,IF(K2196="",NA(),K2196))</f>
        <v>0</v>
      </c>
      <c r="R389">
        <f>IF(Charts!$B$3="none",F2196,IF(L2196="",NA(),L2196))</f>
        <v>0</v>
      </c>
      <c r="S389">
        <f>IF(Charts!$B$3="none",G2196,IF(M2196="",NA(),M2196))</f>
        <v>0</v>
      </c>
      <c r="T389">
        <f>IF(Charts!$B$3="none",H2196,IF(N2196="",NA(),N2196))</f>
        <v>0</v>
      </c>
    </row>
    <row r="390" spans="5:20">
      <c r="E390">
        <v>24</v>
      </c>
      <c r="F390">
        <f>F28</f>
        <v>0</v>
      </c>
      <c r="G390">
        <v>24</v>
      </c>
      <c r="H390">
        <f>H28</f>
        <v>0</v>
      </c>
      <c r="K390">
        <v>24</v>
      </c>
      <c r="L390">
        <f>L28</f>
        <v>0</v>
      </c>
      <c r="M390">
        <v>24</v>
      </c>
      <c r="N390">
        <f>N28</f>
        <v>0</v>
      </c>
      <c r="Q390">
        <f>IF(Charts!$B$3="none",E2197,IF(K2197="",NA(),K2197))</f>
        <v>0</v>
      </c>
      <c r="R390">
        <f>IF(Charts!$B$3="none",F2197,IF(L2197="",NA(),L2197))</f>
        <v>0</v>
      </c>
      <c r="S390">
        <f>IF(Charts!$B$3="none",G2197,IF(M2197="",NA(),M2197))</f>
        <v>0</v>
      </c>
      <c r="T390">
        <f>IF(Charts!$B$3="none",H2197,IF(N2197="",NA(),N2197))</f>
        <v>0</v>
      </c>
    </row>
    <row r="391" spans="5:20">
      <c r="E391">
        <v>25</v>
      </c>
      <c r="F391">
        <f>F29</f>
        <v>0</v>
      </c>
      <c r="G391">
        <v>25</v>
      </c>
      <c r="H391">
        <f>H29</f>
        <v>0</v>
      </c>
      <c r="K391">
        <v>25</v>
      </c>
      <c r="L391">
        <f>L29</f>
        <v>0</v>
      </c>
      <c r="M391">
        <v>25</v>
      </c>
      <c r="N391">
        <f>N29</f>
        <v>0</v>
      </c>
      <c r="Q391">
        <f>IF(Charts!$B$3="none",E2198,IF(K2198="",NA(),K2198))</f>
        <v>0</v>
      </c>
      <c r="R391">
        <f>IF(Charts!$B$3="none",F2198,IF(L2198="",NA(),L2198))</f>
        <v>0</v>
      </c>
      <c r="S391">
        <f>IF(Charts!$B$3="none",G2198,IF(M2198="",NA(),M2198))</f>
        <v>0</v>
      </c>
      <c r="T391">
        <f>IF(Charts!$B$3="none",H2198,IF(N2198="",NA(),N2198))</f>
        <v>0</v>
      </c>
    </row>
    <row r="392" spans="5:20">
      <c r="E392">
        <v>26</v>
      </c>
      <c r="F392">
        <f>F30</f>
        <v>0</v>
      </c>
      <c r="G392">
        <v>26</v>
      </c>
      <c r="H392">
        <f>H30</f>
        <v>0</v>
      </c>
      <c r="K392">
        <v>26</v>
      </c>
      <c r="L392">
        <f>L30</f>
        <v>0</v>
      </c>
      <c r="M392">
        <v>26</v>
      </c>
      <c r="N392">
        <f>N30</f>
        <v>0</v>
      </c>
      <c r="Q392">
        <f>IF(Charts!$B$3="none",E2199,IF(K2199="",NA(),K2199))</f>
        <v>0</v>
      </c>
      <c r="R392">
        <f>IF(Charts!$B$3="none",F2199,IF(L2199="",NA(),L2199))</f>
        <v>0</v>
      </c>
      <c r="S392">
        <f>IF(Charts!$B$3="none",G2199,IF(M2199="",NA(),M2199))</f>
        <v>0</v>
      </c>
      <c r="T392">
        <f>IF(Charts!$B$3="none",H2199,IF(N2199="",NA(),N2199))</f>
        <v>0</v>
      </c>
    </row>
    <row r="393" spans="5:20">
      <c r="E393">
        <v>27</v>
      </c>
      <c r="F393">
        <f>F31</f>
        <v>0</v>
      </c>
      <c r="G393">
        <v>27</v>
      </c>
      <c r="H393">
        <f>H31</f>
        <v>0</v>
      </c>
      <c r="K393">
        <v>27</v>
      </c>
      <c r="L393">
        <f>L31</f>
        <v>0</v>
      </c>
      <c r="M393">
        <v>27</v>
      </c>
      <c r="N393">
        <f>N31</f>
        <v>0</v>
      </c>
      <c r="Q393">
        <f>IF(Charts!$B$3="none",E2200,IF(K2200="",NA(),K2200))</f>
        <v>0</v>
      </c>
      <c r="R393">
        <f>IF(Charts!$B$3="none",F2200,IF(L2200="",NA(),L2200))</f>
        <v>0</v>
      </c>
      <c r="S393">
        <f>IF(Charts!$B$3="none",G2200,IF(M2200="",NA(),M2200))</f>
        <v>0</v>
      </c>
      <c r="T393">
        <f>IF(Charts!$B$3="none",H2200,IF(N2200="",NA(),N2200))</f>
        <v>0</v>
      </c>
    </row>
    <row r="394" spans="5:20">
      <c r="E394">
        <v>28</v>
      </c>
      <c r="F394">
        <f>F32</f>
        <v>0</v>
      </c>
      <c r="G394">
        <v>28</v>
      </c>
      <c r="H394">
        <f>H32</f>
        <v>0</v>
      </c>
      <c r="K394">
        <v>28</v>
      </c>
      <c r="L394">
        <f>L32</f>
        <v>0</v>
      </c>
      <c r="M394">
        <v>28</v>
      </c>
      <c r="N394">
        <f>N32</f>
        <v>0</v>
      </c>
      <c r="Q394">
        <f>IF(Charts!$B$3="none",E2201,IF(K2201="",NA(),K2201))</f>
        <v>0</v>
      </c>
      <c r="R394">
        <f>IF(Charts!$B$3="none",F2201,IF(L2201="",NA(),L2201))</f>
        <v>0</v>
      </c>
      <c r="S394">
        <f>IF(Charts!$B$3="none",G2201,IF(M2201="",NA(),M2201))</f>
        <v>0</v>
      </c>
      <c r="T394">
        <f>IF(Charts!$B$3="none",H2201,IF(N2201="",NA(),N2201))</f>
        <v>0</v>
      </c>
    </row>
    <row r="395" spans="5:20">
      <c r="E395">
        <v>29</v>
      </c>
      <c r="F395">
        <f>F33</f>
        <v>0</v>
      </c>
      <c r="G395">
        <v>29</v>
      </c>
      <c r="H395">
        <f>H33</f>
        <v>0</v>
      </c>
      <c r="K395">
        <v>29</v>
      </c>
      <c r="L395">
        <f>L33</f>
        <v>0</v>
      </c>
      <c r="M395">
        <v>29</v>
      </c>
      <c r="N395">
        <f>N33</f>
        <v>0</v>
      </c>
      <c r="Q395">
        <f>IF(Charts!$B$3="none",E2202,IF(K2202="",NA(),K2202))</f>
        <v>0</v>
      </c>
      <c r="R395">
        <f>IF(Charts!$B$3="none",F2202,IF(L2202="",NA(),L2202))</f>
        <v>0</v>
      </c>
      <c r="S395">
        <f>IF(Charts!$B$3="none",G2202,IF(M2202="",NA(),M2202))</f>
        <v>0</v>
      </c>
      <c r="T395">
        <f>IF(Charts!$B$3="none",H2202,IF(N2202="",NA(),N2202))</f>
        <v>0</v>
      </c>
    </row>
    <row r="396" spans="5:20">
      <c r="E396">
        <v>30</v>
      </c>
      <c r="F396">
        <f>F34</f>
        <v>0</v>
      </c>
      <c r="G396">
        <v>30</v>
      </c>
      <c r="H396">
        <f>H34</f>
        <v>0</v>
      </c>
      <c r="K396">
        <v>30</v>
      </c>
      <c r="L396">
        <f>L34</f>
        <v>0</v>
      </c>
      <c r="M396">
        <v>30</v>
      </c>
      <c r="N396">
        <f>N34</f>
        <v>0</v>
      </c>
      <c r="Q396">
        <f>IF(Charts!$B$3="none",E2203,IF(K2203="",NA(),K2203))</f>
        <v>0</v>
      </c>
      <c r="R396">
        <f>IF(Charts!$B$3="none",F2203,IF(L2203="",NA(),L2203))</f>
        <v>0</v>
      </c>
      <c r="S396">
        <f>IF(Charts!$B$3="none",G2203,IF(M2203="",NA(),M2203))</f>
        <v>0</v>
      </c>
      <c r="T396">
        <f>IF(Charts!$B$3="none",H2203,IF(N2203="",NA(),N2203))</f>
        <v>0</v>
      </c>
    </row>
    <row r="397" spans="5:20">
      <c r="E397">
        <v>31</v>
      </c>
      <c r="F397">
        <f>F35</f>
        <v>0</v>
      </c>
      <c r="G397">
        <v>31</v>
      </c>
      <c r="H397">
        <f>H35</f>
        <v>0</v>
      </c>
      <c r="K397">
        <v>31</v>
      </c>
      <c r="L397">
        <f>L35</f>
        <v>0</v>
      </c>
      <c r="M397">
        <v>31</v>
      </c>
      <c r="N397">
        <f>N35</f>
        <v>0</v>
      </c>
      <c r="Q397">
        <f>IF(Charts!$B$3="none",E2204,IF(K2204="",NA(),K2204))</f>
        <v>0</v>
      </c>
      <c r="R397">
        <f>IF(Charts!$B$3="none",F2204,IF(L2204="",NA(),L2204))</f>
        <v>0</v>
      </c>
      <c r="S397">
        <f>IF(Charts!$B$3="none",G2204,IF(M2204="",NA(),M2204))</f>
        <v>0</v>
      </c>
      <c r="T397">
        <f>IF(Charts!$B$3="none",H2204,IF(N2204="",NA(),N2204))</f>
        <v>0</v>
      </c>
    </row>
    <row r="398" spans="5:20">
      <c r="E398">
        <v>32</v>
      </c>
      <c r="F398">
        <f>F36</f>
        <v>0</v>
      </c>
      <c r="G398">
        <v>32</v>
      </c>
      <c r="H398">
        <f>H36</f>
        <v>0</v>
      </c>
      <c r="K398">
        <v>32</v>
      </c>
      <c r="L398">
        <f>L36</f>
        <v>0</v>
      </c>
      <c r="M398">
        <v>32</v>
      </c>
      <c r="N398">
        <f>N36</f>
        <v>0</v>
      </c>
      <c r="Q398">
        <f>IF(Charts!$B$3="none",E2205,IF(K2205="",NA(),K2205))</f>
        <v>0</v>
      </c>
      <c r="R398">
        <f>IF(Charts!$B$3="none",F2205,IF(L2205="",NA(),L2205))</f>
        <v>0</v>
      </c>
      <c r="S398">
        <f>IF(Charts!$B$3="none",G2205,IF(M2205="",NA(),M2205))</f>
        <v>0</v>
      </c>
      <c r="T398">
        <f>IF(Charts!$B$3="none",H2205,IF(N2205="",NA(),N2205))</f>
        <v>0</v>
      </c>
    </row>
    <row r="399" spans="5:20">
      <c r="E399">
        <v>33</v>
      </c>
      <c r="F399">
        <f>F37</f>
        <v>0</v>
      </c>
      <c r="G399">
        <v>33</v>
      </c>
      <c r="H399">
        <f>H37</f>
        <v>0</v>
      </c>
      <c r="K399">
        <v>33</v>
      </c>
      <c r="L399">
        <f>L37</f>
        <v>0</v>
      </c>
      <c r="M399">
        <v>33</v>
      </c>
      <c r="N399">
        <f>N37</f>
        <v>0</v>
      </c>
      <c r="Q399">
        <f>IF(Charts!$B$3="none",E2206,IF(K2206="",NA(),K2206))</f>
        <v>0</v>
      </c>
      <c r="R399">
        <f>IF(Charts!$B$3="none",F2206,IF(L2206="",NA(),L2206))</f>
        <v>0</v>
      </c>
      <c r="S399">
        <f>IF(Charts!$B$3="none",G2206,IF(M2206="",NA(),M2206))</f>
        <v>0</v>
      </c>
      <c r="T399">
        <f>IF(Charts!$B$3="none",H2206,IF(N2206="",NA(),N2206))</f>
        <v>0</v>
      </c>
    </row>
    <row r="400" spans="5:20">
      <c r="E400">
        <v>34</v>
      </c>
      <c r="F400">
        <f>F38</f>
        <v>0</v>
      </c>
      <c r="G400">
        <v>34</v>
      </c>
      <c r="H400">
        <f>H38</f>
        <v>0</v>
      </c>
      <c r="K400">
        <v>34</v>
      </c>
      <c r="L400">
        <f>L38</f>
        <v>0</v>
      </c>
      <c r="M400">
        <v>34</v>
      </c>
      <c r="N400">
        <f>N38</f>
        <v>0</v>
      </c>
      <c r="Q400">
        <f>IF(Charts!$B$3="none",E2207,IF(K2207="",NA(),K2207))</f>
        <v>0</v>
      </c>
      <c r="R400">
        <f>IF(Charts!$B$3="none",F2207,IF(L2207="",NA(),L2207))</f>
        <v>0</v>
      </c>
      <c r="S400">
        <f>IF(Charts!$B$3="none",G2207,IF(M2207="",NA(),M2207))</f>
        <v>0</v>
      </c>
      <c r="T400">
        <f>IF(Charts!$B$3="none",H2207,IF(N2207="",NA(),N2207))</f>
        <v>0</v>
      </c>
    </row>
    <row r="401" spans="5:20">
      <c r="E401">
        <v>35</v>
      </c>
      <c r="F401">
        <f>F39</f>
        <v>0</v>
      </c>
      <c r="G401">
        <v>35</v>
      </c>
      <c r="H401">
        <f>H39</f>
        <v>0</v>
      </c>
      <c r="K401">
        <v>35</v>
      </c>
      <c r="L401">
        <f>L39</f>
        <v>0</v>
      </c>
      <c r="M401">
        <v>35</v>
      </c>
      <c r="N401">
        <f>N39</f>
        <v>0</v>
      </c>
      <c r="Q401">
        <f>IF(Charts!$B$3="none",E2208,IF(K2208="",NA(),K2208))</f>
        <v>0</v>
      </c>
      <c r="R401">
        <f>IF(Charts!$B$3="none",F2208,IF(L2208="",NA(),L2208))</f>
        <v>0</v>
      </c>
      <c r="S401">
        <f>IF(Charts!$B$3="none",G2208,IF(M2208="",NA(),M2208))</f>
        <v>0</v>
      </c>
      <c r="T401">
        <f>IF(Charts!$B$3="none",H2208,IF(N2208="",NA(),N2208))</f>
        <v>0</v>
      </c>
    </row>
    <row r="402" spans="5:20">
      <c r="E402">
        <v>36</v>
      </c>
      <c r="F402">
        <f>F40</f>
        <v>0</v>
      </c>
      <c r="G402">
        <v>36</v>
      </c>
      <c r="H402">
        <f>H40</f>
        <v>0</v>
      </c>
      <c r="K402">
        <v>36</v>
      </c>
      <c r="L402">
        <f>L40</f>
        <v>0</v>
      </c>
      <c r="M402">
        <v>36</v>
      </c>
      <c r="N402">
        <f>N40</f>
        <v>0</v>
      </c>
      <c r="Q402">
        <f>IF(Charts!$B$3="none",E2209,IF(K2209="",NA(),K2209))</f>
        <v>0</v>
      </c>
      <c r="R402">
        <f>IF(Charts!$B$3="none",F2209,IF(L2209="",NA(),L2209))</f>
        <v>0</v>
      </c>
      <c r="S402">
        <f>IF(Charts!$B$3="none",G2209,IF(M2209="",NA(),M2209))</f>
        <v>0</v>
      </c>
      <c r="T402">
        <f>IF(Charts!$B$3="none",H2209,IF(N2209="",NA(),N2209))</f>
        <v>0</v>
      </c>
    </row>
    <row r="403" spans="5:20">
      <c r="E403">
        <v>37</v>
      </c>
      <c r="F403">
        <f>F41</f>
        <v>0</v>
      </c>
      <c r="G403">
        <v>37</v>
      </c>
      <c r="H403">
        <f>H41</f>
        <v>0</v>
      </c>
      <c r="K403">
        <v>37</v>
      </c>
      <c r="L403">
        <f>L41</f>
        <v>0</v>
      </c>
      <c r="M403">
        <v>37</v>
      </c>
      <c r="N403">
        <f>N41</f>
        <v>0</v>
      </c>
      <c r="Q403">
        <f>IF(Charts!$B$3="none",E2210,IF(K2210="",NA(),K2210))</f>
        <v>0</v>
      </c>
      <c r="R403">
        <f>IF(Charts!$B$3="none",F2210,IF(L2210="",NA(),L2210))</f>
        <v>0</v>
      </c>
      <c r="S403">
        <f>IF(Charts!$B$3="none",G2210,IF(M2210="",NA(),M2210))</f>
        <v>0</v>
      </c>
      <c r="T403">
        <f>IF(Charts!$B$3="none",H2210,IF(N2210="",NA(),N2210))</f>
        <v>0</v>
      </c>
    </row>
    <row r="404" spans="5:20">
      <c r="E404">
        <v>38</v>
      </c>
      <c r="F404">
        <f>F42</f>
        <v>0</v>
      </c>
      <c r="G404">
        <v>38</v>
      </c>
      <c r="H404">
        <f>H42</f>
        <v>0</v>
      </c>
      <c r="K404">
        <v>38</v>
      </c>
      <c r="L404">
        <f>L42</f>
        <v>0</v>
      </c>
      <c r="M404">
        <v>38</v>
      </c>
      <c r="N404">
        <f>N42</f>
        <v>0</v>
      </c>
      <c r="Q404">
        <f>IF(Charts!$B$3="none",E2211,IF(K2211="",NA(),K2211))</f>
        <v>0</v>
      </c>
      <c r="R404">
        <f>IF(Charts!$B$3="none",F2211,IF(L2211="",NA(),L2211))</f>
        <v>0</v>
      </c>
      <c r="S404">
        <f>IF(Charts!$B$3="none",G2211,IF(M2211="",NA(),M2211))</f>
        <v>0</v>
      </c>
      <c r="T404">
        <f>IF(Charts!$B$3="none",H2211,IF(N2211="",NA(),N2211))</f>
        <v>0</v>
      </c>
    </row>
    <row r="405" spans="5:20">
      <c r="E405">
        <v>39</v>
      </c>
      <c r="F405">
        <f>F43</f>
        <v>0</v>
      </c>
      <c r="G405">
        <v>39</v>
      </c>
      <c r="H405">
        <f>H43</f>
        <v>0</v>
      </c>
      <c r="K405">
        <v>39</v>
      </c>
      <c r="L405">
        <f>L43</f>
        <v>0</v>
      </c>
      <c r="M405">
        <v>39</v>
      </c>
      <c r="N405">
        <f>N43</f>
        <v>0</v>
      </c>
      <c r="Q405">
        <f>IF(Charts!$B$3="none",E2212,IF(K2212="",NA(),K2212))</f>
        <v>0</v>
      </c>
      <c r="R405">
        <f>IF(Charts!$B$3="none",F2212,IF(L2212="",NA(),L2212))</f>
        <v>0</v>
      </c>
      <c r="S405">
        <f>IF(Charts!$B$3="none",G2212,IF(M2212="",NA(),M2212))</f>
        <v>0</v>
      </c>
      <c r="T405">
        <f>IF(Charts!$B$3="none",H2212,IF(N2212="",NA(),N2212))</f>
        <v>0</v>
      </c>
    </row>
    <row r="406" spans="5:20">
      <c r="E406">
        <v>40</v>
      </c>
      <c r="F406">
        <f>F44</f>
        <v>0</v>
      </c>
      <c r="G406">
        <v>40</v>
      </c>
      <c r="H406">
        <f>H44</f>
        <v>0</v>
      </c>
      <c r="K406">
        <v>40</v>
      </c>
      <c r="L406">
        <f>L44</f>
        <v>0</v>
      </c>
      <c r="M406">
        <v>40</v>
      </c>
      <c r="N406">
        <f>N44</f>
        <v>0</v>
      </c>
      <c r="Q406">
        <f>IF(Charts!$B$3="none",E2213,IF(K2213="",NA(),K2213))</f>
        <v>0</v>
      </c>
      <c r="R406">
        <f>IF(Charts!$B$3="none",F2213,IF(L2213="",NA(),L2213))</f>
        <v>0</v>
      </c>
      <c r="S406">
        <f>IF(Charts!$B$3="none",G2213,IF(M2213="",NA(),M2213))</f>
        <v>0</v>
      </c>
      <c r="T406">
        <f>IF(Charts!$B$3="none",H2213,IF(N2213="",NA(),N2213))</f>
        <v>0</v>
      </c>
    </row>
    <row r="407" spans="5:20">
      <c r="E407">
        <v>41</v>
      </c>
      <c r="F407">
        <f>F45</f>
        <v>0</v>
      </c>
      <c r="G407">
        <v>41</v>
      </c>
      <c r="H407">
        <f>H45</f>
        <v>0</v>
      </c>
      <c r="K407">
        <v>41</v>
      </c>
      <c r="L407">
        <f>L45</f>
        <v>0</v>
      </c>
      <c r="M407">
        <v>41</v>
      </c>
      <c r="N407">
        <f>N45</f>
        <v>0</v>
      </c>
      <c r="Q407">
        <f>IF(Charts!$B$3="none",E2214,IF(K2214="",NA(),K2214))</f>
        <v>0</v>
      </c>
      <c r="R407">
        <f>IF(Charts!$B$3="none",F2214,IF(L2214="",NA(),L2214))</f>
        <v>0</v>
      </c>
      <c r="S407">
        <f>IF(Charts!$B$3="none",G2214,IF(M2214="",NA(),M2214))</f>
        <v>0</v>
      </c>
      <c r="T407">
        <f>IF(Charts!$B$3="none",H2214,IF(N2214="",NA(),N2214))</f>
        <v>0</v>
      </c>
    </row>
    <row r="408" spans="5:20">
      <c r="E408">
        <v>42</v>
      </c>
      <c r="F408">
        <f>F46</f>
        <v>0</v>
      </c>
      <c r="G408">
        <v>42</v>
      </c>
      <c r="H408">
        <f>H46</f>
        <v>0</v>
      </c>
      <c r="K408">
        <v>42</v>
      </c>
      <c r="L408">
        <f>L46</f>
        <v>0</v>
      </c>
      <c r="M408">
        <v>42</v>
      </c>
      <c r="N408">
        <f>N46</f>
        <v>0</v>
      </c>
      <c r="Q408">
        <f>IF(Charts!$B$3="none",E2215,IF(K2215="",NA(),K2215))</f>
        <v>0</v>
      </c>
      <c r="R408">
        <f>IF(Charts!$B$3="none",F2215,IF(L2215="",NA(),L2215))</f>
        <v>0</v>
      </c>
      <c r="S408">
        <f>IF(Charts!$B$3="none",G2215,IF(M2215="",NA(),M2215))</f>
        <v>0</v>
      </c>
      <c r="T408">
        <f>IF(Charts!$B$3="none",H2215,IF(N2215="",NA(),N2215))</f>
        <v>0</v>
      </c>
    </row>
    <row r="409" spans="5:20">
      <c r="E409">
        <v>43</v>
      </c>
      <c r="F409">
        <f>F47</f>
        <v>0</v>
      </c>
      <c r="G409">
        <v>43</v>
      </c>
      <c r="H409">
        <f>H47</f>
        <v>0</v>
      </c>
      <c r="K409">
        <v>43</v>
      </c>
      <c r="L409">
        <f>L47</f>
        <v>0</v>
      </c>
      <c r="M409">
        <v>43</v>
      </c>
      <c r="N409">
        <f>N47</f>
        <v>0</v>
      </c>
      <c r="Q409">
        <f>IF(Charts!$B$3="none",E2216,IF(K2216="",NA(),K2216))</f>
        <v>0</v>
      </c>
      <c r="R409">
        <f>IF(Charts!$B$3="none",F2216,IF(L2216="",NA(),L2216))</f>
        <v>0</v>
      </c>
      <c r="S409">
        <f>IF(Charts!$B$3="none",G2216,IF(M2216="",NA(),M2216))</f>
        <v>0</v>
      </c>
      <c r="T409">
        <f>IF(Charts!$B$3="none",H2216,IF(N2216="",NA(),N2216))</f>
        <v>0</v>
      </c>
    </row>
    <row r="410" spans="5:20">
      <c r="E410">
        <v>44</v>
      </c>
      <c r="F410">
        <f>F48</f>
        <v>0</v>
      </c>
      <c r="G410">
        <v>44</v>
      </c>
      <c r="H410">
        <f>H48</f>
        <v>0</v>
      </c>
      <c r="K410">
        <v>44</v>
      </c>
      <c r="L410">
        <f>L48</f>
        <v>0</v>
      </c>
      <c r="M410">
        <v>44</v>
      </c>
      <c r="N410">
        <f>N48</f>
        <v>0</v>
      </c>
      <c r="Q410">
        <f>IF(Charts!$B$3="none",E2217,IF(K2217="",NA(),K2217))</f>
        <v>0</v>
      </c>
      <c r="R410">
        <f>IF(Charts!$B$3="none",F2217,IF(L2217="",NA(),L2217))</f>
        <v>0</v>
      </c>
      <c r="S410">
        <f>IF(Charts!$B$3="none",G2217,IF(M2217="",NA(),M2217))</f>
        <v>0</v>
      </c>
      <c r="T410">
        <f>IF(Charts!$B$3="none",H2217,IF(N2217="",NA(),N2217))</f>
        <v>0</v>
      </c>
    </row>
    <row r="411" spans="5:20">
      <c r="E411">
        <v>45</v>
      </c>
      <c r="F411">
        <f>F49</f>
        <v>0</v>
      </c>
      <c r="G411">
        <v>45</v>
      </c>
      <c r="H411">
        <f>H49</f>
        <v>0</v>
      </c>
      <c r="K411">
        <v>45</v>
      </c>
      <c r="L411">
        <f>L49</f>
        <v>0</v>
      </c>
      <c r="M411">
        <v>45</v>
      </c>
      <c r="N411">
        <f>N49</f>
        <v>0</v>
      </c>
      <c r="Q411">
        <f>IF(Charts!$B$3="none",E2218,IF(K2218="",NA(),K2218))</f>
        <v>0</v>
      </c>
      <c r="R411">
        <f>IF(Charts!$B$3="none",F2218,IF(L2218="",NA(),L2218))</f>
        <v>0</v>
      </c>
      <c r="S411">
        <f>IF(Charts!$B$3="none",G2218,IF(M2218="",NA(),M2218))</f>
        <v>0</v>
      </c>
      <c r="T411">
        <f>IF(Charts!$B$3="none",H2218,IF(N2218="",NA(),N2218))</f>
        <v>0</v>
      </c>
    </row>
    <row r="412" spans="5:20">
      <c r="E412">
        <v>46</v>
      </c>
      <c r="F412">
        <f>F50</f>
        <v>0</v>
      </c>
      <c r="G412">
        <v>46</v>
      </c>
      <c r="H412">
        <f>H50</f>
        <v>0</v>
      </c>
      <c r="K412">
        <v>46</v>
      </c>
      <c r="L412">
        <f>L50</f>
        <v>0</v>
      </c>
      <c r="M412">
        <v>46</v>
      </c>
      <c r="N412">
        <f>N50</f>
        <v>0</v>
      </c>
      <c r="Q412">
        <f>IF(Charts!$B$3="none",E2219,IF(K2219="",NA(),K2219))</f>
        <v>0</v>
      </c>
      <c r="R412">
        <f>IF(Charts!$B$3="none",F2219,IF(L2219="",NA(),L2219))</f>
        <v>0</v>
      </c>
      <c r="S412">
        <f>IF(Charts!$B$3="none",G2219,IF(M2219="",NA(),M2219))</f>
        <v>0</v>
      </c>
      <c r="T412">
        <f>IF(Charts!$B$3="none",H2219,IF(N2219="",NA(),N2219))</f>
        <v>0</v>
      </c>
    </row>
    <row r="413" spans="5:20">
      <c r="E413">
        <v>47</v>
      </c>
      <c r="F413">
        <f>F51</f>
        <v>0</v>
      </c>
      <c r="G413">
        <v>47</v>
      </c>
      <c r="H413">
        <f>H51</f>
        <v>0</v>
      </c>
      <c r="K413">
        <v>47</v>
      </c>
      <c r="L413">
        <f>L51</f>
        <v>0</v>
      </c>
      <c r="M413">
        <v>47</v>
      </c>
      <c r="N413">
        <f>N51</f>
        <v>0</v>
      </c>
      <c r="Q413">
        <f>IF(Charts!$B$3="none",E2220,IF(K2220="",NA(),K2220))</f>
        <v>0</v>
      </c>
      <c r="R413">
        <f>IF(Charts!$B$3="none",F2220,IF(L2220="",NA(),L2220))</f>
        <v>0</v>
      </c>
      <c r="S413">
        <f>IF(Charts!$B$3="none",G2220,IF(M2220="",NA(),M2220))</f>
        <v>0</v>
      </c>
      <c r="T413">
        <f>IF(Charts!$B$3="none",H2220,IF(N2220="",NA(),N2220))</f>
        <v>0</v>
      </c>
    </row>
    <row r="414" spans="5:20">
      <c r="E414">
        <v>48</v>
      </c>
      <c r="F414">
        <f>F52</f>
        <v>0</v>
      </c>
      <c r="G414">
        <v>48</v>
      </c>
      <c r="H414">
        <f>H52</f>
        <v>0</v>
      </c>
      <c r="K414">
        <v>48</v>
      </c>
      <c r="L414">
        <f>L52</f>
        <v>0</v>
      </c>
      <c r="M414">
        <v>48</v>
      </c>
      <c r="N414">
        <f>N52</f>
        <v>0</v>
      </c>
      <c r="Q414">
        <f>IF(Charts!$B$3="none",E2221,IF(K2221="",NA(),K2221))</f>
        <v>0</v>
      </c>
      <c r="R414">
        <f>IF(Charts!$B$3="none",F2221,IF(L2221="",NA(),L2221))</f>
        <v>0</v>
      </c>
      <c r="S414">
        <f>IF(Charts!$B$3="none",G2221,IF(M2221="",NA(),M2221))</f>
        <v>0</v>
      </c>
      <c r="T414">
        <f>IF(Charts!$B$3="none",H2221,IF(N2221="",NA(),N2221))</f>
        <v>0</v>
      </c>
    </row>
    <row r="415" spans="5:20">
      <c r="E415">
        <v>49</v>
      </c>
      <c r="F415">
        <f>F53</f>
        <v>0</v>
      </c>
      <c r="G415">
        <v>49</v>
      </c>
      <c r="H415">
        <f>H53</f>
        <v>0</v>
      </c>
      <c r="K415">
        <v>49</v>
      </c>
      <c r="L415">
        <f>L53</f>
        <v>0</v>
      </c>
      <c r="M415">
        <v>49</v>
      </c>
      <c r="N415">
        <f>N53</f>
        <v>0</v>
      </c>
      <c r="Q415">
        <f>IF(Charts!$B$3="none",E2222,IF(K2222="",NA(),K2222))</f>
        <v>0</v>
      </c>
      <c r="R415">
        <f>IF(Charts!$B$3="none",F2222,IF(L2222="",NA(),L2222))</f>
        <v>0</v>
      </c>
      <c r="S415">
        <f>IF(Charts!$B$3="none",G2222,IF(M2222="",NA(),M2222))</f>
        <v>0</v>
      </c>
      <c r="T415">
        <f>IF(Charts!$B$3="none",H2222,IF(N2222="",NA(),N2222))</f>
        <v>0</v>
      </c>
    </row>
    <row r="416" spans="5:20">
      <c r="E416">
        <v>50</v>
      </c>
      <c r="F416">
        <f>F54</f>
        <v>0</v>
      </c>
      <c r="G416">
        <v>50</v>
      </c>
      <c r="H416">
        <f>H54</f>
        <v>0</v>
      </c>
      <c r="K416">
        <v>50</v>
      </c>
      <c r="L416">
        <f>L54</f>
        <v>0</v>
      </c>
      <c r="M416">
        <v>50</v>
      </c>
      <c r="N416">
        <f>N54</f>
        <v>0</v>
      </c>
      <c r="Q416">
        <f>IF(Charts!$B$3="none",E2223,IF(K2223="",NA(),K2223))</f>
        <v>0</v>
      </c>
      <c r="R416">
        <f>IF(Charts!$B$3="none",F2223,IF(L2223="",NA(),L2223))</f>
        <v>0</v>
      </c>
      <c r="S416">
        <f>IF(Charts!$B$3="none",G2223,IF(M2223="",NA(),M2223))</f>
        <v>0</v>
      </c>
      <c r="T416">
        <f>IF(Charts!$B$3="none",H2223,IF(N2223="",NA(),N2223))</f>
        <v>0</v>
      </c>
    </row>
    <row r="417" spans="5:20">
      <c r="E417">
        <v>51</v>
      </c>
      <c r="F417">
        <f>F55</f>
        <v>0</v>
      </c>
      <c r="G417">
        <v>51</v>
      </c>
      <c r="H417">
        <f>H55</f>
        <v>0</v>
      </c>
      <c r="K417">
        <v>51</v>
      </c>
      <c r="L417">
        <f>L55</f>
        <v>0</v>
      </c>
      <c r="M417">
        <v>51</v>
      </c>
      <c r="N417">
        <f>N55</f>
        <v>0</v>
      </c>
      <c r="Q417">
        <f>IF(Charts!$B$3="none",E2224,IF(K2224="",NA(),K2224))</f>
        <v>0</v>
      </c>
      <c r="R417">
        <f>IF(Charts!$B$3="none",F2224,IF(L2224="",NA(),L2224))</f>
        <v>0</v>
      </c>
      <c r="S417">
        <f>IF(Charts!$B$3="none",G2224,IF(M2224="",NA(),M2224))</f>
        <v>0</v>
      </c>
      <c r="T417">
        <f>IF(Charts!$B$3="none",H2224,IF(N2224="",NA(),N2224))</f>
        <v>0</v>
      </c>
    </row>
    <row r="418" spans="5:20">
      <c r="E418">
        <v>52</v>
      </c>
      <c r="F418">
        <f>F56</f>
        <v>0</v>
      </c>
      <c r="G418">
        <v>52</v>
      </c>
      <c r="H418">
        <f>H56</f>
        <v>0</v>
      </c>
      <c r="K418">
        <v>52</v>
      </c>
      <c r="L418">
        <f>L56</f>
        <v>0</v>
      </c>
      <c r="M418">
        <v>52</v>
      </c>
      <c r="N418">
        <f>N56</f>
        <v>0</v>
      </c>
      <c r="Q418">
        <f>IF(Charts!$B$3="none",E2225,IF(K2225="",NA(),K2225))</f>
        <v>0</v>
      </c>
      <c r="R418">
        <f>IF(Charts!$B$3="none",F2225,IF(L2225="",NA(),L2225))</f>
        <v>0</v>
      </c>
      <c r="S418">
        <f>IF(Charts!$B$3="none",G2225,IF(M2225="",NA(),M2225))</f>
        <v>0</v>
      </c>
      <c r="T418">
        <f>IF(Charts!$B$3="none",H2225,IF(N2225="",NA(),N2225))</f>
        <v>0</v>
      </c>
    </row>
    <row r="419" spans="5:20">
      <c r="E419">
        <v>53</v>
      </c>
      <c r="F419">
        <f>F57</f>
        <v>0</v>
      </c>
      <c r="G419">
        <v>53</v>
      </c>
      <c r="H419">
        <f>H57</f>
        <v>0</v>
      </c>
      <c r="K419">
        <v>53</v>
      </c>
      <c r="L419">
        <f>L57</f>
        <v>0</v>
      </c>
      <c r="M419">
        <v>53</v>
      </c>
      <c r="N419">
        <f>N57</f>
        <v>0</v>
      </c>
      <c r="Q419">
        <f>IF(Charts!$B$3="none",E2226,IF(K2226="",NA(),K2226))</f>
        <v>0</v>
      </c>
      <c r="R419">
        <f>IF(Charts!$B$3="none",F2226,IF(L2226="",NA(),L2226))</f>
        <v>0</v>
      </c>
      <c r="S419">
        <f>IF(Charts!$B$3="none",G2226,IF(M2226="",NA(),M2226))</f>
        <v>0</v>
      </c>
      <c r="T419">
        <f>IF(Charts!$B$3="none",H2226,IF(N2226="",NA(),N2226))</f>
        <v>0</v>
      </c>
    </row>
    <row r="420" spans="5:20">
      <c r="E420">
        <v>54</v>
      </c>
      <c r="F420">
        <f>F58</f>
        <v>0</v>
      </c>
      <c r="G420">
        <v>54</v>
      </c>
      <c r="H420">
        <f>H58</f>
        <v>0</v>
      </c>
      <c r="K420">
        <v>54</v>
      </c>
      <c r="L420">
        <f>L58</f>
        <v>0</v>
      </c>
      <c r="M420">
        <v>54</v>
      </c>
      <c r="N420">
        <f>N58</f>
        <v>0</v>
      </c>
      <c r="Q420">
        <f>IF(Charts!$B$3="none",E2227,IF(K2227="",NA(),K2227))</f>
        <v>0</v>
      </c>
      <c r="R420">
        <f>IF(Charts!$B$3="none",F2227,IF(L2227="",NA(),L2227))</f>
        <v>0</v>
      </c>
      <c r="S420">
        <f>IF(Charts!$B$3="none",G2227,IF(M2227="",NA(),M2227))</f>
        <v>0</v>
      </c>
      <c r="T420">
        <f>IF(Charts!$B$3="none",H2227,IF(N2227="",NA(),N2227))</f>
        <v>0</v>
      </c>
    </row>
    <row r="421" spans="5:20">
      <c r="E421">
        <v>55</v>
      </c>
      <c r="F421">
        <f>F59</f>
        <v>0</v>
      </c>
      <c r="G421">
        <v>55</v>
      </c>
      <c r="H421">
        <f>H59</f>
        <v>0</v>
      </c>
      <c r="K421">
        <v>55</v>
      </c>
      <c r="L421">
        <f>L59</f>
        <v>0</v>
      </c>
      <c r="M421">
        <v>55</v>
      </c>
      <c r="N421">
        <f>N59</f>
        <v>0</v>
      </c>
      <c r="Q421">
        <f>IF(Charts!$B$3="none",E2228,IF(K2228="",NA(),K2228))</f>
        <v>0</v>
      </c>
      <c r="R421">
        <f>IF(Charts!$B$3="none",F2228,IF(L2228="",NA(),L2228))</f>
        <v>0</v>
      </c>
      <c r="S421">
        <f>IF(Charts!$B$3="none",G2228,IF(M2228="",NA(),M2228))</f>
        <v>0</v>
      </c>
      <c r="T421">
        <f>IF(Charts!$B$3="none",H2228,IF(N2228="",NA(),N2228))</f>
        <v>0</v>
      </c>
    </row>
    <row r="422" spans="5:20">
      <c r="E422">
        <v>56</v>
      </c>
      <c r="F422">
        <f>F60</f>
        <v>0</v>
      </c>
      <c r="G422">
        <v>56</v>
      </c>
      <c r="H422">
        <f>H60</f>
        <v>0</v>
      </c>
      <c r="K422">
        <v>56</v>
      </c>
      <c r="L422">
        <f>L60</f>
        <v>0</v>
      </c>
      <c r="M422">
        <v>56</v>
      </c>
      <c r="N422">
        <f>N60</f>
        <v>0</v>
      </c>
      <c r="Q422">
        <f>IF(Charts!$B$3="none",E2229,IF(K2229="",NA(),K2229))</f>
        <v>0</v>
      </c>
      <c r="R422">
        <f>IF(Charts!$B$3="none",F2229,IF(L2229="",NA(),L2229))</f>
        <v>0</v>
      </c>
      <c r="S422">
        <f>IF(Charts!$B$3="none",G2229,IF(M2229="",NA(),M2229))</f>
        <v>0</v>
      </c>
      <c r="T422">
        <f>IF(Charts!$B$3="none",H2229,IF(N2229="",NA(),N2229))</f>
        <v>0</v>
      </c>
    </row>
    <row r="423" spans="5:20">
      <c r="E423">
        <v>57</v>
      </c>
      <c r="F423">
        <f>F61</f>
        <v>0</v>
      </c>
      <c r="G423">
        <v>57</v>
      </c>
      <c r="H423">
        <f>H61</f>
        <v>0</v>
      </c>
      <c r="K423">
        <v>57</v>
      </c>
      <c r="L423">
        <f>L61</f>
        <v>0</v>
      </c>
      <c r="M423">
        <v>57</v>
      </c>
      <c r="N423">
        <f>N61</f>
        <v>0</v>
      </c>
      <c r="Q423">
        <f>IF(Charts!$B$3="none",E2230,IF(K2230="",NA(),K2230))</f>
        <v>0</v>
      </c>
      <c r="R423">
        <f>IF(Charts!$B$3="none",F2230,IF(L2230="",NA(),L2230))</f>
        <v>0</v>
      </c>
      <c r="S423">
        <f>IF(Charts!$B$3="none",G2230,IF(M2230="",NA(),M2230))</f>
        <v>0</v>
      </c>
      <c r="T423">
        <f>IF(Charts!$B$3="none",H2230,IF(N2230="",NA(),N2230))</f>
        <v>0</v>
      </c>
    </row>
    <row r="424" spans="5:20">
      <c r="E424">
        <v>58</v>
      </c>
      <c r="F424">
        <f>F62</f>
        <v>0</v>
      </c>
      <c r="G424">
        <v>58</v>
      </c>
      <c r="H424">
        <f>H62</f>
        <v>0</v>
      </c>
      <c r="K424">
        <v>58</v>
      </c>
      <c r="L424">
        <f>L62</f>
        <v>0</v>
      </c>
      <c r="M424">
        <v>58</v>
      </c>
      <c r="N424">
        <f>N62</f>
        <v>0</v>
      </c>
      <c r="Q424">
        <f>IF(Charts!$B$3="none",E2231,IF(K2231="",NA(),K2231))</f>
        <v>0</v>
      </c>
      <c r="R424">
        <f>IF(Charts!$B$3="none",F2231,IF(L2231="",NA(),L2231))</f>
        <v>0</v>
      </c>
      <c r="S424">
        <f>IF(Charts!$B$3="none",G2231,IF(M2231="",NA(),M2231))</f>
        <v>0</v>
      </c>
      <c r="T424">
        <f>IF(Charts!$B$3="none",H2231,IF(N2231="",NA(),N2231))</f>
        <v>0</v>
      </c>
    </row>
    <row r="425" spans="5:20">
      <c r="E425">
        <v>59</v>
      </c>
      <c r="F425">
        <f>F63</f>
        <v>0</v>
      </c>
      <c r="G425">
        <v>59</v>
      </c>
      <c r="H425">
        <f>H63</f>
        <v>0</v>
      </c>
      <c r="K425">
        <v>59</v>
      </c>
      <c r="L425">
        <f>L63</f>
        <v>0</v>
      </c>
      <c r="M425">
        <v>59</v>
      </c>
      <c r="N425">
        <f>N63</f>
        <v>0</v>
      </c>
      <c r="Q425">
        <f>IF(Charts!$B$3="none",E2232,IF(K2232="",NA(),K2232))</f>
        <v>0</v>
      </c>
      <c r="R425">
        <f>IF(Charts!$B$3="none",F2232,IF(L2232="",NA(),L2232))</f>
        <v>0</v>
      </c>
      <c r="S425">
        <f>IF(Charts!$B$3="none",G2232,IF(M2232="",NA(),M2232))</f>
        <v>0</v>
      </c>
      <c r="T425">
        <f>IF(Charts!$B$3="none",H2232,IF(N2232="",NA(),N2232))</f>
        <v>0</v>
      </c>
    </row>
    <row r="426" spans="5:20">
      <c r="E426">
        <v>60</v>
      </c>
      <c r="F426">
        <f>F64</f>
        <v>0</v>
      </c>
      <c r="G426">
        <v>60</v>
      </c>
      <c r="H426">
        <f>H64</f>
        <v>0</v>
      </c>
      <c r="K426">
        <v>60</v>
      </c>
      <c r="L426">
        <f>L64</f>
        <v>0</v>
      </c>
      <c r="M426">
        <v>60</v>
      </c>
      <c r="N426">
        <f>N64</f>
        <v>0</v>
      </c>
      <c r="Q426">
        <f>IF(Charts!$B$3="none",E2233,IF(K2233="",NA(),K2233))</f>
        <v>0</v>
      </c>
      <c r="R426">
        <f>IF(Charts!$B$3="none",F2233,IF(L2233="",NA(),L2233))</f>
        <v>0</v>
      </c>
      <c r="S426">
        <f>IF(Charts!$B$3="none",G2233,IF(M2233="",NA(),M2233))</f>
        <v>0</v>
      </c>
      <c r="T426">
        <f>IF(Charts!$B$3="none",H2233,IF(N2233="",NA(),N2233))</f>
        <v>0</v>
      </c>
    </row>
    <row r="427" spans="5:20">
      <c r="E427">
        <v>61</v>
      </c>
      <c r="F427">
        <f>F65</f>
        <v>0</v>
      </c>
      <c r="G427">
        <v>61</v>
      </c>
      <c r="H427">
        <f>H65</f>
        <v>0</v>
      </c>
      <c r="K427">
        <v>61</v>
      </c>
      <c r="L427">
        <f>L65</f>
        <v>0</v>
      </c>
      <c r="M427">
        <v>61</v>
      </c>
      <c r="N427">
        <f>N65</f>
        <v>0</v>
      </c>
      <c r="Q427">
        <f>IF(Charts!$B$3="none",E2234,IF(K2234="",NA(),K2234))</f>
        <v>0</v>
      </c>
      <c r="R427">
        <f>IF(Charts!$B$3="none",F2234,IF(L2234="",NA(),L2234))</f>
        <v>0</v>
      </c>
      <c r="S427">
        <f>IF(Charts!$B$3="none",G2234,IF(M2234="",NA(),M2234))</f>
        <v>0</v>
      </c>
      <c r="T427">
        <f>IF(Charts!$B$3="none",H2234,IF(N2234="",NA(),N2234))</f>
        <v>0</v>
      </c>
    </row>
    <row r="428" spans="5:20">
      <c r="E428">
        <v>62</v>
      </c>
      <c r="F428">
        <f>F66</f>
        <v>0</v>
      </c>
      <c r="G428">
        <v>62</v>
      </c>
      <c r="H428">
        <f>H66</f>
        <v>0</v>
      </c>
      <c r="K428">
        <v>62</v>
      </c>
      <c r="L428">
        <f>L66</f>
        <v>0</v>
      </c>
      <c r="M428">
        <v>62</v>
      </c>
      <c r="N428">
        <f>N66</f>
        <v>0</v>
      </c>
      <c r="Q428">
        <f>IF(Charts!$B$3="none",E2235,IF(K2235="",NA(),K2235))</f>
        <v>0</v>
      </c>
      <c r="R428">
        <f>IF(Charts!$B$3="none",F2235,IF(L2235="",NA(),L2235))</f>
        <v>0</v>
      </c>
      <c r="S428">
        <f>IF(Charts!$B$3="none",G2235,IF(M2235="",NA(),M2235))</f>
        <v>0</v>
      </c>
      <c r="T428">
        <f>IF(Charts!$B$3="none",H2235,IF(N2235="",NA(),N2235))</f>
        <v>0</v>
      </c>
    </row>
    <row r="429" spans="5:20">
      <c r="E429">
        <v>63</v>
      </c>
      <c r="F429">
        <f>F67</f>
        <v>0</v>
      </c>
      <c r="G429">
        <v>63</v>
      </c>
      <c r="H429">
        <f>H67</f>
        <v>0</v>
      </c>
      <c r="K429">
        <v>63</v>
      </c>
      <c r="L429">
        <f>L67</f>
        <v>0</v>
      </c>
      <c r="M429">
        <v>63</v>
      </c>
      <c r="N429">
        <f>N67</f>
        <v>0</v>
      </c>
      <c r="Q429">
        <f>IF(Charts!$B$3="none",E2236,IF(K2236="",NA(),K2236))</f>
        <v>0</v>
      </c>
      <c r="R429">
        <f>IF(Charts!$B$3="none",F2236,IF(L2236="",NA(),L2236))</f>
        <v>0</v>
      </c>
      <c r="S429">
        <f>IF(Charts!$B$3="none",G2236,IF(M2236="",NA(),M2236))</f>
        <v>0</v>
      </c>
      <c r="T429">
        <f>IF(Charts!$B$3="none",H2236,IF(N2236="",NA(),N2236))</f>
        <v>0</v>
      </c>
    </row>
    <row r="430" spans="5:20">
      <c r="E430">
        <v>64</v>
      </c>
      <c r="F430">
        <f>F68</f>
        <v>0</v>
      </c>
      <c r="G430">
        <v>64</v>
      </c>
      <c r="H430">
        <f>H68</f>
        <v>0</v>
      </c>
      <c r="K430">
        <v>64</v>
      </c>
      <c r="L430">
        <f>L68</f>
        <v>0</v>
      </c>
      <c r="M430">
        <v>64</v>
      </c>
      <c r="N430">
        <f>N68</f>
        <v>0</v>
      </c>
      <c r="Q430">
        <f>IF(Charts!$B$3="none",E2237,IF(K2237="",NA(),K2237))</f>
        <v>0</v>
      </c>
      <c r="R430">
        <f>IF(Charts!$B$3="none",F2237,IF(L2237="",NA(),L2237))</f>
        <v>0</v>
      </c>
      <c r="S430">
        <f>IF(Charts!$B$3="none",G2237,IF(M2237="",NA(),M2237))</f>
        <v>0</v>
      </c>
      <c r="T430">
        <f>IF(Charts!$B$3="none",H2237,IF(N2237="",NA(),N2237))</f>
        <v>0</v>
      </c>
    </row>
    <row r="431" spans="5:20">
      <c r="E431">
        <v>65</v>
      </c>
      <c r="F431">
        <f>F69</f>
        <v>0</v>
      </c>
      <c r="G431">
        <v>65</v>
      </c>
      <c r="H431">
        <f>H69</f>
        <v>0</v>
      </c>
      <c r="K431">
        <v>65</v>
      </c>
      <c r="L431">
        <f>L69</f>
        <v>0</v>
      </c>
      <c r="M431">
        <v>65</v>
      </c>
      <c r="N431">
        <f>N69</f>
        <v>0</v>
      </c>
      <c r="Q431">
        <f>IF(Charts!$B$3="none",E2238,IF(K2238="",NA(),K2238))</f>
        <v>0</v>
      </c>
      <c r="R431">
        <f>IF(Charts!$B$3="none",F2238,IF(L2238="",NA(),L2238))</f>
        <v>0</v>
      </c>
      <c r="S431">
        <f>IF(Charts!$B$3="none",G2238,IF(M2238="",NA(),M2238))</f>
        <v>0</v>
      </c>
      <c r="T431">
        <f>IF(Charts!$B$3="none",H2238,IF(N2238="",NA(),N2238))</f>
        <v>0</v>
      </c>
    </row>
    <row r="432" spans="5:20">
      <c r="E432">
        <v>66</v>
      </c>
      <c r="F432">
        <f>F70</f>
        <v>0</v>
      </c>
      <c r="G432">
        <v>66</v>
      </c>
      <c r="H432">
        <f>H70</f>
        <v>0</v>
      </c>
      <c r="K432">
        <v>66</v>
      </c>
      <c r="L432">
        <f>L70</f>
        <v>0</v>
      </c>
      <c r="M432">
        <v>66</v>
      </c>
      <c r="N432">
        <f>N70</f>
        <v>0</v>
      </c>
      <c r="Q432">
        <f>IF(Charts!$B$3="none",E2239,IF(K2239="",NA(),K2239))</f>
        <v>0</v>
      </c>
      <c r="R432">
        <f>IF(Charts!$B$3="none",F2239,IF(L2239="",NA(),L2239))</f>
        <v>0</v>
      </c>
      <c r="S432">
        <f>IF(Charts!$B$3="none",G2239,IF(M2239="",NA(),M2239))</f>
        <v>0</v>
      </c>
      <c r="T432">
        <f>IF(Charts!$B$3="none",H2239,IF(N2239="",NA(),N2239))</f>
        <v>0</v>
      </c>
    </row>
    <row r="433" spans="5:20">
      <c r="E433">
        <v>67</v>
      </c>
      <c r="F433">
        <f>F71</f>
        <v>0</v>
      </c>
      <c r="G433">
        <v>67</v>
      </c>
      <c r="H433">
        <f>H71</f>
        <v>0</v>
      </c>
      <c r="K433">
        <v>67</v>
      </c>
      <c r="L433">
        <f>L71</f>
        <v>0</v>
      </c>
      <c r="M433">
        <v>67</v>
      </c>
      <c r="N433">
        <f>N71</f>
        <v>0</v>
      </c>
      <c r="Q433">
        <f>IF(Charts!$B$3="none",E2240,IF(K2240="",NA(),K2240))</f>
        <v>0</v>
      </c>
      <c r="R433">
        <f>IF(Charts!$B$3="none",F2240,IF(L2240="",NA(),L2240))</f>
        <v>0</v>
      </c>
      <c r="S433">
        <f>IF(Charts!$B$3="none",G2240,IF(M2240="",NA(),M2240))</f>
        <v>0</v>
      </c>
      <c r="T433">
        <f>IF(Charts!$B$3="none",H2240,IF(N2240="",NA(),N2240))</f>
        <v>0</v>
      </c>
    </row>
    <row r="434" spans="5:20">
      <c r="E434">
        <v>68</v>
      </c>
      <c r="F434">
        <f>F72</f>
        <v>0</v>
      </c>
      <c r="G434">
        <v>68</v>
      </c>
      <c r="H434">
        <f>H72</f>
        <v>0</v>
      </c>
      <c r="K434">
        <v>68</v>
      </c>
      <c r="L434">
        <f>L72</f>
        <v>0</v>
      </c>
      <c r="M434">
        <v>68</v>
      </c>
      <c r="N434">
        <f>N72</f>
        <v>0</v>
      </c>
      <c r="Q434">
        <f>IF(Charts!$B$3="none",E2241,IF(K2241="",NA(),K2241))</f>
        <v>0</v>
      </c>
      <c r="R434">
        <f>IF(Charts!$B$3="none",F2241,IF(L2241="",NA(),L2241))</f>
        <v>0</v>
      </c>
      <c r="S434">
        <f>IF(Charts!$B$3="none",G2241,IF(M2241="",NA(),M2241))</f>
        <v>0</v>
      </c>
      <c r="T434">
        <f>IF(Charts!$B$3="none",H2241,IF(N2241="",NA(),N2241))</f>
        <v>0</v>
      </c>
    </row>
    <row r="435" spans="5:20">
      <c r="E435">
        <v>69</v>
      </c>
      <c r="F435">
        <f>F73</f>
        <v>0</v>
      </c>
      <c r="G435">
        <v>69</v>
      </c>
      <c r="H435">
        <f>H73</f>
        <v>0</v>
      </c>
      <c r="K435">
        <v>69</v>
      </c>
      <c r="L435">
        <f>L73</f>
        <v>0</v>
      </c>
      <c r="M435">
        <v>69</v>
      </c>
      <c r="N435">
        <f>N73</f>
        <v>0</v>
      </c>
      <c r="Q435">
        <f>IF(Charts!$B$3="none",E2242,IF(K2242="",NA(),K2242))</f>
        <v>0</v>
      </c>
      <c r="R435">
        <f>IF(Charts!$B$3="none",F2242,IF(L2242="",NA(),L2242))</f>
        <v>0</v>
      </c>
      <c r="S435">
        <f>IF(Charts!$B$3="none",G2242,IF(M2242="",NA(),M2242))</f>
        <v>0</v>
      </c>
      <c r="T435">
        <f>IF(Charts!$B$3="none",H2242,IF(N2242="",NA(),N2242))</f>
        <v>0</v>
      </c>
    </row>
    <row r="436" spans="5:20">
      <c r="E436">
        <v>70</v>
      </c>
      <c r="F436">
        <f>F74</f>
        <v>0</v>
      </c>
      <c r="G436">
        <v>70</v>
      </c>
      <c r="H436">
        <f>H74</f>
        <v>0</v>
      </c>
      <c r="K436">
        <v>70</v>
      </c>
      <c r="L436">
        <f>L74</f>
        <v>0</v>
      </c>
      <c r="M436">
        <v>70</v>
      </c>
      <c r="N436">
        <f>N74</f>
        <v>0</v>
      </c>
      <c r="Q436">
        <f>IF(Charts!$B$3="none",E2243,IF(K2243="",NA(),K2243))</f>
        <v>0</v>
      </c>
      <c r="R436">
        <f>IF(Charts!$B$3="none",F2243,IF(L2243="",NA(),L2243))</f>
        <v>0</v>
      </c>
      <c r="S436">
        <f>IF(Charts!$B$3="none",G2243,IF(M2243="",NA(),M2243))</f>
        <v>0</v>
      </c>
      <c r="T436">
        <f>IF(Charts!$B$3="none",H2243,IF(N2243="",NA(),N2243))</f>
        <v>0</v>
      </c>
    </row>
    <row r="437" spans="5:20">
      <c r="E437">
        <v>71</v>
      </c>
      <c r="F437">
        <f>F75</f>
        <v>0</v>
      </c>
      <c r="G437">
        <v>71</v>
      </c>
      <c r="H437">
        <f>H75</f>
        <v>0</v>
      </c>
      <c r="K437">
        <v>71</v>
      </c>
      <c r="L437">
        <f>L75</f>
        <v>0</v>
      </c>
      <c r="M437">
        <v>71</v>
      </c>
      <c r="N437">
        <f>N75</f>
        <v>0</v>
      </c>
      <c r="Q437">
        <f>IF(Charts!$B$3="none",E2244,IF(K2244="",NA(),K2244))</f>
        <v>0</v>
      </c>
      <c r="R437">
        <f>IF(Charts!$B$3="none",F2244,IF(L2244="",NA(),L2244))</f>
        <v>0</v>
      </c>
      <c r="S437">
        <f>IF(Charts!$B$3="none",G2244,IF(M2244="",NA(),M2244))</f>
        <v>0</v>
      </c>
      <c r="T437">
        <f>IF(Charts!$B$3="none",H2244,IF(N2244="",NA(),N2244))</f>
        <v>0</v>
      </c>
    </row>
    <row r="438" spans="5:20">
      <c r="E438">
        <v>72</v>
      </c>
      <c r="F438">
        <f>F76</f>
        <v>0</v>
      </c>
      <c r="G438">
        <v>72</v>
      </c>
      <c r="H438">
        <f>H76</f>
        <v>0</v>
      </c>
      <c r="K438">
        <v>72</v>
      </c>
      <c r="L438">
        <f>L76</f>
        <v>0</v>
      </c>
      <c r="M438">
        <v>72</v>
      </c>
      <c r="N438">
        <f>N76</f>
        <v>0</v>
      </c>
      <c r="Q438">
        <f>IF(Charts!$B$3="none",E2245,IF(K2245="",NA(),K2245))</f>
        <v>0</v>
      </c>
      <c r="R438">
        <f>IF(Charts!$B$3="none",F2245,IF(L2245="",NA(),L2245))</f>
        <v>0</v>
      </c>
      <c r="S438">
        <f>IF(Charts!$B$3="none",G2245,IF(M2245="",NA(),M2245))</f>
        <v>0</v>
      </c>
      <c r="T438">
        <f>IF(Charts!$B$3="none",H2245,IF(N2245="",NA(),N2245))</f>
        <v>0</v>
      </c>
    </row>
    <row r="439" spans="5:20">
      <c r="E439">
        <v>73</v>
      </c>
      <c r="F439">
        <f>F77</f>
        <v>0</v>
      </c>
      <c r="G439">
        <v>73</v>
      </c>
      <c r="H439">
        <f>H77</f>
        <v>0</v>
      </c>
      <c r="K439">
        <v>73</v>
      </c>
      <c r="L439">
        <f>L77</f>
        <v>0</v>
      </c>
      <c r="M439">
        <v>73</v>
      </c>
      <c r="N439">
        <f>N77</f>
        <v>0</v>
      </c>
      <c r="Q439">
        <f>IF(Charts!$B$3="none",E2246,IF(K2246="",NA(),K2246))</f>
        <v>0</v>
      </c>
      <c r="R439">
        <f>IF(Charts!$B$3="none",F2246,IF(L2246="",NA(),L2246))</f>
        <v>0</v>
      </c>
      <c r="S439">
        <f>IF(Charts!$B$3="none",G2246,IF(M2246="",NA(),M2246))</f>
        <v>0</v>
      </c>
      <c r="T439">
        <f>IF(Charts!$B$3="none",H2246,IF(N2246="",NA(),N2246))</f>
        <v>0</v>
      </c>
    </row>
    <row r="440" spans="5:20">
      <c r="E440">
        <v>74</v>
      </c>
      <c r="F440">
        <f>F78</f>
        <v>0</v>
      </c>
      <c r="G440">
        <v>74</v>
      </c>
      <c r="H440">
        <f>H78</f>
        <v>0</v>
      </c>
      <c r="K440">
        <v>74</v>
      </c>
      <c r="L440">
        <f>L78</f>
        <v>0</v>
      </c>
      <c r="M440">
        <v>74</v>
      </c>
      <c r="N440">
        <f>N78</f>
        <v>0</v>
      </c>
      <c r="Q440">
        <f>IF(Charts!$B$3="none",E2247,IF(K2247="",NA(),K2247))</f>
        <v>0</v>
      </c>
      <c r="R440">
        <f>IF(Charts!$B$3="none",F2247,IF(L2247="",NA(),L2247))</f>
        <v>0</v>
      </c>
      <c r="S440">
        <f>IF(Charts!$B$3="none",G2247,IF(M2247="",NA(),M2247))</f>
        <v>0</v>
      </c>
      <c r="T440">
        <f>IF(Charts!$B$3="none",H2247,IF(N2247="",NA(),N2247))</f>
        <v>0</v>
      </c>
    </row>
    <row r="441" spans="5:20">
      <c r="E441">
        <v>75</v>
      </c>
      <c r="F441">
        <f>F79</f>
        <v>0</v>
      </c>
      <c r="G441">
        <v>75</v>
      </c>
      <c r="H441">
        <f>H79</f>
        <v>0</v>
      </c>
      <c r="K441">
        <v>75</v>
      </c>
      <c r="L441">
        <f>L79</f>
        <v>0</v>
      </c>
      <c r="M441">
        <v>75</v>
      </c>
      <c r="N441">
        <f>N79</f>
        <v>0</v>
      </c>
      <c r="Q441">
        <f>IF(Charts!$B$3="none",E2248,IF(K2248="",NA(),K2248))</f>
        <v>0</v>
      </c>
      <c r="R441">
        <f>IF(Charts!$B$3="none",F2248,IF(L2248="",NA(),L2248))</f>
        <v>0</v>
      </c>
      <c r="S441">
        <f>IF(Charts!$B$3="none",G2248,IF(M2248="",NA(),M2248))</f>
        <v>0</v>
      </c>
      <c r="T441">
        <f>IF(Charts!$B$3="none",H2248,IF(N2248="",NA(),N2248))</f>
        <v>0</v>
      </c>
    </row>
    <row r="442" spans="5:20">
      <c r="E442">
        <v>76</v>
      </c>
      <c r="F442">
        <f>F80</f>
        <v>0</v>
      </c>
      <c r="G442">
        <v>76</v>
      </c>
      <c r="H442">
        <f>H80</f>
        <v>0</v>
      </c>
      <c r="K442">
        <v>76</v>
      </c>
      <c r="L442">
        <f>L80</f>
        <v>0</v>
      </c>
      <c r="M442">
        <v>76</v>
      </c>
      <c r="N442">
        <f>N80</f>
        <v>0</v>
      </c>
      <c r="Q442">
        <f>IF(Charts!$B$3="none",E2249,IF(K2249="",NA(),K2249))</f>
        <v>0</v>
      </c>
      <c r="R442">
        <f>IF(Charts!$B$3="none",F2249,IF(L2249="",NA(),L2249))</f>
        <v>0</v>
      </c>
      <c r="S442">
        <f>IF(Charts!$B$3="none",G2249,IF(M2249="",NA(),M2249))</f>
        <v>0</v>
      </c>
      <c r="T442">
        <f>IF(Charts!$B$3="none",H2249,IF(N2249="",NA(),N2249))</f>
        <v>0</v>
      </c>
    </row>
    <row r="443" spans="5:20">
      <c r="E443">
        <v>77</v>
      </c>
      <c r="F443">
        <f>F81</f>
        <v>0</v>
      </c>
      <c r="G443">
        <v>77</v>
      </c>
      <c r="H443">
        <f>H81</f>
        <v>0</v>
      </c>
      <c r="K443">
        <v>77</v>
      </c>
      <c r="L443">
        <f>L81</f>
        <v>0</v>
      </c>
      <c r="M443">
        <v>77</v>
      </c>
      <c r="N443">
        <f>N81</f>
        <v>0</v>
      </c>
      <c r="Q443">
        <f>IF(Charts!$B$3="none",E2250,IF(K2250="",NA(),K2250))</f>
        <v>0</v>
      </c>
      <c r="R443">
        <f>IF(Charts!$B$3="none",F2250,IF(L2250="",NA(),L2250))</f>
        <v>0</v>
      </c>
      <c r="S443">
        <f>IF(Charts!$B$3="none",G2250,IF(M2250="",NA(),M2250))</f>
        <v>0</v>
      </c>
      <c r="T443">
        <f>IF(Charts!$B$3="none",H2250,IF(N2250="",NA(),N2250))</f>
        <v>0</v>
      </c>
    </row>
    <row r="444" spans="5:20">
      <c r="E444">
        <v>78</v>
      </c>
      <c r="F444">
        <f>F82</f>
        <v>0</v>
      </c>
      <c r="G444">
        <v>78</v>
      </c>
      <c r="H444">
        <f>H82</f>
        <v>0</v>
      </c>
      <c r="K444">
        <v>78</v>
      </c>
      <c r="L444">
        <f>L82</f>
        <v>0</v>
      </c>
      <c r="M444">
        <v>78</v>
      </c>
      <c r="N444">
        <f>N82</f>
        <v>0</v>
      </c>
      <c r="Q444">
        <f>IF(Charts!$B$3="none",E2251,IF(K2251="",NA(),K2251))</f>
        <v>0</v>
      </c>
      <c r="R444">
        <f>IF(Charts!$B$3="none",F2251,IF(L2251="",NA(),L2251))</f>
        <v>0</v>
      </c>
      <c r="S444">
        <f>IF(Charts!$B$3="none",G2251,IF(M2251="",NA(),M2251))</f>
        <v>0</v>
      </c>
      <c r="T444">
        <f>IF(Charts!$B$3="none",H2251,IF(N2251="",NA(),N2251))</f>
        <v>0</v>
      </c>
    </row>
    <row r="445" spans="5:20">
      <c r="E445">
        <v>79</v>
      </c>
      <c r="F445">
        <f>F83</f>
        <v>0</v>
      </c>
      <c r="G445">
        <v>79</v>
      </c>
      <c r="H445">
        <f>H83</f>
        <v>0</v>
      </c>
      <c r="K445">
        <v>79</v>
      </c>
      <c r="L445">
        <f>L83</f>
        <v>0</v>
      </c>
      <c r="M445">
        <v>79</v>
      </c>
      <c r="N445">
        <f>N83</f>
        <v>0</v>
      </c>
      <c r="Q445">
        <f>IF(Charts!$B$3="none",E2252,IF(K2252="",NA(),K2252))</f>
        <v>0</v>
      </c>
      <c r="R445">
        <f>IF(Charts!$B$3="none",F2252,IF(L2252="",NA(),L2252))</f>
        <v>0</v>
      </c>
      <c r="S445">
        <f>IF(Charts!$B$3="none",G2252,IF(M2252="",NA(),M2252))</f>
        <v>0</v>
      </c>
      <c r="T445">
        <f>IF(Charts!$B$3="none",H2252,IF(N2252="",NA(),N2252))</f>
        <v>0</v>
      </c>
    </row>
    <row r="446" spans="5:20">
      <c r="E446">
        <v>80</v>
      </c>
      <c r="F446">
        <f>F84</f>
        <v>0</v>
      </c>
      <c r="G446">
        <v>80</v>
      </c>
      <c r="H446">
        <f>H84</f>
        <v>0</v>
      </c>
      <c r="K446">
        <v>80</v>
      </c>
      <c r="L446">
        <f>L84</f>
        <v>0</v>
      </c>
      <c r="M446">
        <v>80</v>
      </c>
      <c r="N446">
        <f>N84</f>
        <v>0</v>
      </c>
      <c r="Q446">
        <f>IF(Charts!$B$3="none",E2253,IF(K2253="",NA(),K2253))</f>
        <v>0</v>
      </c>
      <c r="R446">
        <f>IF(Charts!$B$3="none",F2253,IF(L2253="",NA(),L2253))</f>
        <v>0</v>
      </c>
      <c r="S446">
        <f>IF(Charts!$B$3="none",G2253,IF(M2253="",NA(),M2253))</f>
        <v>0</v>
      </c>
      <c r="T446">
        <f>IF(Charts!$B$3="none",H2253,IF(N2253="",NA(),N2253))</f>
        <v>0</v>
      </c>
    </row>
    <row r="447" spans="5:20">
      <c r="E447">
        <v>81</v>
      </c>
      <c r="F447">
        <f>F85</f>
        <v>0</v>
      </c>
      <c r="G447">
        <v>81</v>
      </c>
      <c r="H447">
        <f>H85</f>
        <v>0</v>
      </c>
      <c r="K447">
        <v>81</v>
      </c>
      <c r="L447">
        <f>L85</f>
        <v>0</v>
      </c>
      <c r="M447">
        <v>81</v>
      </c>
      <c r="N447">
        <f>N85</f>
        <v>0</v>
      </c>
      <c r="Q447">
        <f>IF(Charts!$B$3="none",E2254,IF(K2254="",NA(),K2254))</f>
        <v>0</v>
      </c>
      <c r="R447">
        <f>IF(Charts!$B$3="none",F2254,IF(L2254="",NA(),L2254))</f>
        <v>0</v>
      </c>
      <c r="S447">
        <f>IF(Charts!$B$3="none",G2254,IF(M2254="",NA(),M2254))</f>
        <v>0</v>
      </c>
      <c r="T447">
        <f>IF(Charts!$B$3="none",H2254,IF(N2254="",NA(),N2254))</f>
        <v>0</v>
      </c>
    </row>
    <row r="448" spans="5:20">
      <c r="E448">
        <v>82</v>
      </c>
      <c r="F448">
        <f>F86</f>
        <v>0</v>
      </c>
      <c r="G448">
        <v>82</v>
      </c>
      <c r="H448">
        <f>H86</f>
        <v>0</v>
      </c>
      <c r="K448">
        <v>82</v>
      </c>
      <c r="L448">
        <f>L86</f>
        <v>0</v>
      </c>
      <c r="M448">
        <v>82</v>
      </c>
      <c r="N448">
        <f>N86</f>
        <v>0</v>
      </c>
      <c r="Q448">
        <f>IF(Charts!$B$3="none",E2255,IF(K2255="",NA(),K2255))</f>
        <v>0</v>
      </c>
      <c r="R448">
        <f>IF(Charts!$B$3="none",F2255,IF(L2255="",NA(),L2255))</f>
        <v>0</v>
      </c>
      <c r="S448">
        <f>IF(Charts!$B$3="none",G2255,IF(M2255="",NA(),M2255))</f>
        <v>0</v>
      </c>
      <c r="T448">
        <f>IF(Charts!$B$3="none",H2255,IF(N2255="",NA(),N2255))</f>
        <v>0</v>
      </c>
    </row>
    <row r="449" spans="5:20">
      <c r="E449">
        <v>83</v>
      </c>
      <c r="F449">
        <f>F87</f>
        <v>0</v>
      </c>
      <c r="G449">
        <v>83</v>
      </c>
      <c r="H449">
        <f>H87</f>
        <v>0</v>
      </c>
      <c r="K449">
        <v>83</v>
      </c>
      <c r="L449">
        <f>L87</f>
        <v>0</v>
      </c>
      <c r="M449">
        <v>83</v>
      </c>
      <c r="N449">
        <f>N87</f>
        <v>0</v>
      </c>
      <c r="Q449">
        <f>IF(Charts!$B$3="none",E2256,IF(K2256="",NA(),K2256))</f>
        <v>0</v>
      </c>
      <c r="R449">
        <f>IF(Charts!$B$3="none",F2256,IF(L2256="",NA(),L2256))</f>
        <v>0</v>
      </c>
      <c r="S449">
        <f>IF(Charts!$B$3="none",G2256,IF(M2256="",NA(),M2256))</f>
        <v>0</v>
      </c>
      <c r="T449">
        <f>IF(Charts!$B$3="none",H2256,IF(N2256="",NA(),N2256))</f>
        <v>0</v>
      </c>
    </row>
    <row r="450" spans="5:20">
      <c r="E450">
        <v>84</v>
      </c>
      <c r="F450">
        <f>F88</f>
        <v>0</v>
      </c>
      <c r="G450">
        <v>84</v>
      </c>
      <c r="H450">
        <f>H88</f>
        <v>0</v>
      </c>
      <c r="K450">
        <v>84</v>
      </c>
      <c r="L450">
        <f>L88</f>
        <v>0</v>
      </c>
      <c r="M450">
        <v>84</v>
      </c>
      <c r="N450">
        <f>N88</f>
        <v>0</v>
      </c>
      <c r="Q450">
        <f>IF(Charts!$B$3="none",E2257,IF(K2257="",NA(),K2257))</f>
        <v>0</v>
      </c>
      <c r="R450">
        <f>IF(Charts!$B$3="none",F2257,IF(L2257="",NA(),L2257))</f>
        <v>0</v>
      </c>
      <c r="S450">
        <f>IF(Charts!$B$3="none",G2257,IF(M2257="",NA(),M2257))</f>
        <v>0</v>
      </c>
      <c r="T450">
        <f>IF(Charts!$B$3="none",H2257,IF(N2257="",NA(),N2257))</f>
        <v>0</v>
      </c>
    </row>
    <row r="451" spans="5:20">
      <c r="E451">
        <v>85</v>
      </c>
      <c r="F451">
        <f>F89</f>
        <v>0</v>
      </c>
      <c r="G451">
        <v>85</v>
      </c>
      <c r="H451">
        <f>H89</f>
        <v>0</v>
      </c>
      <c r="K451">
        <v>85</v>
      </c>
      <c r="L451">
        <f>L89</f>
        <v>0</v>
      </c>
      <c r="M451">
        <v>85</v>
      </c>
      <c r="N451">
        <f>N89</f>
        <v>0</v>
      </c>
      <c r="Q451">
        <f>IF(Charts!$B$3="none",E2258,IF(K2258="",NA(),K2258))</f>
        <v>0</v>
      </c>
      <c r="R451">
        <f>IF(Charts!$B$3="none",F2258,IF(L2258="",NA(),L2258))</f>
        <v>0</v>
      </c>
      <c r="S451">
        <f>IF(Charts!$B$3="none",G2258,IF(M2258="",NA(),M2258))</f>
        <v>0</v>
      </c>
      <c r="T451">
        <f>IF(Charts!$B$3="none",H2258,IF(N2258="",NA(),N2258))</f>
        <v>0</v>
      </c>
    </row>
    <row r="452" spans="5:20">
      <c r="E452">
        <v>86</v>
      </c>
      <c r="F452">
        <f>F90</f>
        <v>0</v>
      </c>
      <c r="G452">
        <v>86</v>
      </c>
      <c r="H452">
        <f>H90</f>
        <v>0</v>
      </c>
      <c r="K452">
        <v>86</v>
      </c>
      <c r="L452">
        <f>L90</f>
        <v>0</v>
      </c>
      <c r="M452">
        <v>86</v>
      </c>
      <c r="N452">
        <f>N90</f>
        <v>0</v>
      </c>
      <c r="Q452">
        <f>IF(Charts!$B$3="none",E2259,IF(K2259="",NA(),K2259))</f>
        <v>0</v>
      </c>
      <c r="R452">
        <f>IF(Charts!$B$3="none",F2259,IF(L2259="",NA(),L2259))</f>
        <v>0</v>
      </c>
      <c r="S452">
        <f>IF(Charts!$B$3="none",G2259,IF(M2259="",NA(),M2259))</f>
        <v>0</v>
      </c>
      <c r="T452">
        <f>IF(Charts!$B$3="none",H2259,IF(N2259="",NA(),N2259))</f>
        <v>0</v>
      </c>
    </row>
    <row r="453" spans="5:20">
      <c r="E453">
        <v>87</v>
      </c>
      <c r="F453">
        <f>F91</f>
        <v>0</v>
      </c>
      <c r="G453">
        <v>87</v>
      </c>
      <c r="H453">
        <f>H91</f>
        <v>0</v>
      </c>
      <c r="K453">
        <v>87</v>
      </c>
      <c r="L453">
        <f>L91</f>
        <v>0</v>
      </c>
      <c r="M453">
        <v>87</v>
      </c>
      <c r="N453">
        <f>N91</f>
        <v>0</v>
      </c>
      <c r="Q453">
        <f>IF(Charts!$B$3="none",E2260,IF(K2260="",NA(),K2260))</f>
        <v>0</v>
      </c>
      <c r="R453">
        <f>IF(Charts!$B$3="none",F2260,IF(L2260="",NA(),L2260))</f>
        <v>0</v>
      </c>
      <c r="S453">
        <f>IF(Charts!$B$3="none",G2260,IF(M2260="",NA(),M2260))</f>
        <v>0</v>
      </c>
      <c r="T453">
        <f>IF(Charts!$B$3="none",H2260,IF(N2260="",NA(),N2260))</f>
        <v>0</v>
      </c>
    </row>
    <row r="454" spans="5:20">
      <c r="E454">
        <v>88</v>
      </c>
      <c r="F454">
        <f>F92</f>
        <v>0</v>
      </c>
      <c r="G454">
        <v>88</v>
      </c>
      <c r="H454">
        <f>H92</f>
        <v>0</v>
      </c>
      <c r="K454">
        <v>88</v>
      </c>
      <c r="L454">
        <f>L92</f>
        <v>0</v>
      </c>
      <c r="M454">
        <v>88</v>
      </c>
      <c r="N454">
        <f>N92</f>
        <v>0</v>
      </c>
      <c r="Q454">
        <f>IF(Charts!$B$3="none",E2261,IF(K2261="",NA(),K2261))</f>
        <v>0</v>
      </c>
      <c r="R454">
        <f>IF(Charts!$B$3="none",F2261,IF(L2261="",NA(),L2261))</f>
        <v>0</v>
      </c>
      <c r="S454">
        <f>IF(Charts!$B$3="none",G2261,IF(M2261="",NA(),M2261))</f>
        <v>0</v>
      </c>
      <c r="T454">
        <f>IF(Charts!$B$3="none",H2261,IF(N2261="",NA(),N2261))</f>
        <v>0</v>
      </c>
    </row>
    <row r="455" spans="5:20">
      <c r="E455">
        <v>89</v>
      </c>
      <c r="F455">
        <f>F93</f>
        <v>0</v>
      </c>
      <c r="G455">
        <v>89</v>
      </c>
      <c r="H455">
        <f>H93</f>
        <v>0</v>
      </c>
      <c r="K455">
        <v>89</v>
      </c>
      <c r="L455">
        <f>L93</f>
        <v>0</v>
      </c>
      <c r="M455">
        <v>89</v>
      </c>
      <c r="N455">
        <f>N93</f>
        <v>0</v>
      </c>
      <c r="Q455">
        <f>IF(Charts!$B$3="none",E2262,IF(K2262="",NA(),K2262))</f>
        <v>0</v>
      </c>
      <c r="R455">
        <f>IF(Charts!$B$3="none",F2262,IF(L2262="",NA(),L2262))</f>
        <v>0</v>
      </c>
      <c r="S455">
        <f>IF(Charts!$B$3="none",G2262,IF(M2262="",NA(),M2262))</f>
        <v>0</v>
      </c>
      <c r="T455">
        <f>IF(Charts!$B$3="none",H2262,IF(N2262="",NA(),N2262))</f>
        <v>0</v>
      </c>
    </row>
    <row r="456" spans="5:20">
      <c r="E456">
        <v>90</v>
      </c>
      <c r="F456">
        <f>F94</f>
        <v>0</v>
      </c>
      <c r="G456">
        <v>90</v>
      </c>
      <c r="H456">
        <f>H94</f>
        <v>0</v>
      </c>
      <c r="K456">
        <v>90</v>
      </c>
      <c r="L456">
        <f>L94</f>
        <v>0</v>
      </c>
      <c r="M456">
        <v>90</v>
      </c>
      <c r="N456">
        <f>N94</f>
        <v>0</v>
      </c>
      <c r="Q456">
        <f>IF(Charts!$B$3="none",E2263,IF(K2263="",NA(),K2263))</f>
        <v>0</v>
      </c>
      <c r="R456">
        <f>IF(Charts!$B$3="none",F2263,IF(L2263="",NA(),L2263))</f>
        <v>0</v>
      </c>
      <c r="S456">
        <f>IF(Charts!$B$3="none",G2263,IF(M2263="",NA(),M2263))</f>
        <v>0</v>
      </c>
      <c r="T456">
        <f>IF(Charts!$B$3="none",H2263,IF(N2263="",NA(),N2263))</f>
        <v>0</v>
      </c>
    </row>
    <row r="457" spans="5:20">
      <c r="E457">
        <v>91</v>
      </c>
      <c r="F457">
        <f>F95</f>
        <v>0</v>
      </c>
      <c r="G457">
        <v>91</v>
      </c>
      <c r="H457">
        <f>H95</f>
        <v>0</v>
      </c>
      <c r="K457">
        <v>91</v>
      </c>
      <c r="L457">
        <f>L95</f>
        <v>0</v>
      </c>
      <c r="M457">
        <v>91</v>
      </c>
      <c r="N457">
        <f>N95</f>
        <v>0</v>
      </c>
      <c r="Q457">
        <f>IF(Charts!$B$3="none",E2264,IF(K2264="",NA(),K2264))</f>
        <v>0</v>
      </c>
      <c r="R457">
        <f>IF(Charts!$B$3="none",F2264,IF(L2264="",NA(),L2264))</f>
        <v>0</v>
      </c>
      <c r="S457">
        <f>IF(Charts!$B$3="none",G2264,IF(M2264="",NA(),M2264))</f>
        <v>0</v>
      </c>
      <c r="T457">
        <f>IF(Charts!$B$3="none",H2264,IF(N2264="",NA(),N2264))</f>
        <v>0</v>
      </c>
    </row>
    <row r="458" spans="5:20">
      <c r="E458">
        <v>92</v>
      </c>
      <c r="F458">
        <f>F96</f>
        <v>0</v>
      </c>
      <c r="G458">
        <v>92</v>
      </c>
      <c r="H458">
        <f>H96</f>
        <v>0</v>
      </c>
      <c r="K458">
        <v>92</v>
      </c>
      <c r="L458">
        <f>L96</f>
        <v>0</v>
      </c>
      <c r="M458">
        <v>92</v>
      </c>
      <c r="N458">
        <f>N96</f>
        <v>0</v>
      </c>
      <c r="Q458">
        <f>IF(Charts!$B$3="none",E2265,IF(K2265="",NA(),K2265))</f>
        <v>0</v>
      </c>
      <c r="R458">
        <f>IF(Charts!$B$3="none",F2265,IF(L2265="",NA(),L2265))</f>
        <v>0</v>
      </c>
      <c r="S458">
        <f>IF(Charts!$B$3="none",G2265,IF(M2265="",NA(),M2265))</f>
        <v>0</v>
      </c>
      <c r="T458">
        <f>IF(Charts!$B$3="none",H2265,IF(N2265="",NA(),N2265))</f>
        <v>0</v>
      </c>
    </row>
    <row r="459" spans="5:20">
      <c r="E459">
        <v>93</v>
      </c>
      <c r="F459">
        <f>F97</f>
        <v>0</v>
      </c>
      <c r="G459">
        <v>93</v>
      </c>
      <c r="H459">
        <f>H97</f>
        <v>0</v>
      </c>
      <c r="K459">
        <v>93</v>
      </c>
      <c r="L459">
        <f>L97</f>
        <v>0</v>
      </c>
      <c r="M459">
        <v>93</v>
      </c>
      <c r="N459">
        <f>N97</f>
        <v>0</v>
      </c>
      <c r="Q459">
        <f>IF(Charts!$B$3="none",E2266,IF(K2266="",NA(),K2266))</f>
        <v>0</v>
      </c>
      <c r="R459">
        <f>IF(Charts!$B$3="none",F2266,IF(L2266="",NA(),L2266))</f>
        <v>0</v>
      </c>
      <c r="S459">
        <f>IF(Charts!$B$3="none",G2266,IF(M2266="",NA(),M2266))</f>
        <v>0</v>
      </c>
      <c r="T459">
        <f>IF(Charts!$B$3="none",H2266,IF(N2266="",NA(),N2266))</f>
        <v>0</v>
      </c>
    </row>
    <row r="460" spans="5:20">
      <c r="E460">
        <v>94</v>
      </c>
      <c r="F460">
        <f>F98</f>
        <v>0</v>
      </c>
      <c r="G460">
        <v>94</v>
      </c>
      <c r="H460">
        <f>H98</f>
        <v>0</v>
      </c>
      <c r="K460">
        <v>94</v>
      </c>
      <c r="L460">
        <f>L98</f>
        <v>0</v>
      </c>
      <c r="M460">
        <v>94</v>
      </c>
      <c r="N460">
        <f>N98</f>
        <v>0</v>
      </c>
      <c r="Q460">
        <f>IF(Charts!$B$3="none",E2267,IF(K2267="",NA(),K2267))</f>
        <v>0</v>
      </c>
      <c r="R460">
        <f>IF(Charts!$B$3="none",F2267,IF(L2267="",NA(),L2267))</f>
        <v>0</v>
      </c>
      <c r="S460">
        <f>IF(Charts!$B$3="none",G2267,IF(M2267="",NA(),M2267))</f>
        <v>0</v>
      </c>
      <c r="T460">
        <f>IF(Charts!$B$3="none",H2267,IF(N2267="",NA(),N2267))</f>
        <v>0</v>
      </c>
    </row>
    <row r="461" spans="5:20">
      <c r="E461">
        <v>95</v>
      </c>
      <c r="F461">
        <f>F99</f>
        <v>0</v>
      </c>
      <c r="G461">
        <v>95</v>
      </c>
      <c r="H461">
        <f>H99</f>
        <v>0</v>
      </c>
      <c r="K461">
        <v>95</v>
      </c>
      <c r="L461">
        <f>L99</f>
        <v>0</v>
      </c>
      <c r="M461">
        <v>95</v>
      </c>
      <c r="N461">
        <f>N99</f>
        <v>0</v>
      </c>
      <c r="Q461">
        <f>IF(Charts!$B$3="none",E2268,IF(K2268="",NA(),K2268))</f>
        <v>0</v>
      </c>
      <c r="R461">
        <f>IF(Charts!$B$3="none",F2268,IF(L2268="",NA(),L2268))</f>
        <v>0</v>
      </c>
      <c r="S461">
        <f>IF(Charts!$B$3="none",G2268,IF(M2268="",NA(),M2268))</f>
        <v>0</v>
      </c>
      <c r="T461">
        <f>IF(Charts!$B$3="none",H2268,IF(N2268="",NA(),N2268))</f>
        <v>0</v>
      </c>
    </row>
    <row r="462" spans="5:20">
      <c r="E462">
        <v>96</v>
      </c>
      <c r="F462">
        <f>F100</f>
        <v>0</v>
      </c>
      <c r="G462">
        <v>96</v>
      </c>
      <c r="H462">
        <f>H100</f>
        <v>0</v>
      </c>
      <c r="K462">
        <v>96</v>
      </c>
      <c r="L462">
        <f>L100</f>
        <v>0</v>
      </c>
      <c r="M462">
        <v>96</v>
      </c>
      <c r="N462">
        <f>N100</f>
        <v>0</v>
      </c>
      <c r="Q462">
        <f>IF(Charts!$B$3="none",E2269,IF(K2269="",NA(),K2269))</f>
        <v>0</v>
      </c>
      <c r="R462">
        <f>IF(Charts!$B$3="none",F2269,IF(L2269="",NA(),L2269))</f>
        <v>0</v>
      </c>
      <c r="S462">
        <f>IF(Charts!$B$3="none",G2269,IF(M2269="",NA(),M2269))</f>
        <v>0</v>
      </c>
      <c r="T462">
        <f>IF(Charts!$B$3="none",H2269,IF(N2269="",NA(),N2269))</f>
        <v>0</v>
      </c>
    </row>
    <row r="463" spans="5:20">
      <c r="E463">
        <v>97</v>
      </c>
      <c r="F463">
        <f>F101</f>
        <v>0</v>
      </c>
      <c r="G463">
        <v>97</v>
      </c>
      <c r="H463">
        <f>H101</f>
        <v>0</v>
      </c>
      <c r="K463">
        <v>97</v>
      </c>
      <c r="L463">
        <f>L101</f>
        <v>0</v>
      </c>
      <c r="M463">
        <v>97</v>
      </c>
      <c r="N463">
        <f>N101</f>
        <v>0</v>
      </c>
      <c r="Q463">
        <f>IF(Charts!$B$3="none",E2270,IF(K2270="",NA(),K2270))</f>
        <v>0</v>
      </c>
      <c r="R463">
        <f>IF(Charts!$B$3="none",F2270,IF(L2270="",NA(),L2270))</f>
        <v>0</v>
      </c>
      <c r="S463">
        <f>IF(Charts!$B$3="none",G2270,IF(M2270="",NA(),M2270))</f>
        <v>0</v>
      </c>
      <c r="T463">
        <f>IF(Charts!$B$3="none",H2270,IF(N2270="",NA(),N2270))</f>
        <v>0</v>
      </c>
    </row>
    <row r="464" spans="5:20">
      <c r="E464">
        <v>98</v>
      </c>
      <c r="F464">
        <f>F102</f>
        <v>0</v>
      </c>
      <c r="G464">
        <v>98</v>
      </c>
      <c r="H464">
        <f>H102</f>
        <v>0</v>
      </c>
      <c r="K464">
        <v>98</v>
      </c>
      <c r="L464">
        <f>L102</f>
        <v>0</v>
      </c>
      <c r="M464">
        <v>98</v>
      </c>
      <c r="N464">
        <f>N102</f>
        <v>0</v>
      </c>
      <c r="Q464">
        <f>IF(Charts!$B$3="none",E2271,IF(K2271="",NA(),K2271))</f>
        <v>0</v>
      </c>
      <c r="R464">
        <f>IF(Charts!$B$3="none",F2271,IF(L2271="",NA(),L2271))</f>
        <v>0</v>
      </c>
      <c r="S464">
        <f>IF(Charts!$B$3="none",G2271,IF(M2271="",NA(),M2271))</f>
        <v>0</v>
      </c>
      <c r="T464">
        <f>IF(Charts!$B$3="none",H2271,IF(N2271="",NA(),N2271))</f>
        <v>0</v>
      </c>
    </row>
    <row r="465" spans="5:20">
      <c r="E465">
        <v>99</v>
      </c>
      <c r="F465">
        <f>F103</f>
        <v>0</v>
      </c>
      <c r="G465">
        <v>99</v>
      </c>
      <c r="H465">
        <f>H103</f>
        <v>0</v>
      </c>
      <c r="K465">
        <v>99</v>
      </c>
      <c r="L465">
        <f>L103</f>
        <v>0</v>
      </c>
      <c r="M465">
        <v>99</v>
      </c>
      <c r="N465">
        <f>N103</f>
        <v>0</v>
      </c>
      <c r="Q465">
        <f>IF(Charts!$B$3="none",E2272,IF(K2272="",NA(),K2272))</f>
        <v>0</v>
      </c>
      <c r="R465">
        <f>IF(Charts!$B$3="none",F2272,IF(L2272="",NA(),L2272))</f>
        <v>0</v>
      </c>
      <c r="S465">
        <f>IF(Charts!$B$3="none",G2272,IF(M2272="",NA(),M2272))</f>
        <v>0</v>
      </c>
      <c r="T465">
        <f>IF(Charts!$B$3="none",H2272,IF(N2272="",NA(),N2272))</f>
        <v>0</v>
      </c>
    </row>
    <row r="466" spans="5:20">
      <c r="E466">
        <v>100</v>
      </c>
      <c r="F466">
        <f>F104</f>
        <v>0</v>
      </c>
      <c r="G466">
        <v>100</v>
      </c>
      <c r="H466">
        <f>H104</f>
        <v>0</v>
      </c>
      <c r="K466">
        <v>100</v>
      </c>
      <c r="L466">
        <f>L104</f>
        <v>0</v>
      </c>
      <c r="M466">
        <v>100</v>
      </c>
      <c r="N466">
        <f>N104</f>
        <v>0</v>
      </c>
      <c r="Q466">
        <f>IF(Charts!$B$3="none",E2273,IF(K2273="",NA(),K2273))</f>
        <v>0</v>
      </c>
      <c r="R466">
        <f>IF(Charts!$B$3="none",F2273,IF(L2273="",NA(),L2273))</f>
        <v>0</v>
      </c>
      <c r="S466">
        <f>IF(Charts!$B$3="none",G2273,IF(M2273="",NA(),M2273))</f>
        <v>0</v>
      </c>
      <c r="T466">
        <f>IF(Charts!$B$3="none",H2273,IF(N2273="",NA(),N2273))</f>
        <v>0</v>
      </c>
    </row>
    <row r="467" spans="5:20">
      <c r="E467">
        <v>101</v>
      </c>
      <c r="F467">
        <f>F105</f>
        <v>0</v>
      </c>
      <c r="G467">
        <v>101</v>
      </c>
      <c r="H467">
        <f>H105</f>
        <v>0</v>
      </c>
      <c r="K467">
        <v>101</v>
      </c>
      <c r="L467">
        <f>L105</f>
        <v>0</v>
      </c>
      <c r="M467">
        <v>101</v>
      </c>
      <c r="N467">
        <f>N105</f>
        <v>0</v>
      </c>
      <c r="Q467">
        <f>IF(Charts!$B$3="none",E2274,IF(K2274="",NA(),K2274))</f>
        <v>0</v>
      </c>
      <c r="R467">
        <f>IF(Charts!$B$3="none",F2274,IF(L2274="",NA(),L2274))</f>
        <v>0</v>
      </c>
      <c r="S467">
        <f>IF(Charts!$B$3="none",G2274,IF(M2274="",NA(),M2274))</f>
        <v>0</v>
      </c>
      <c r="T467">
        <f>IF(Charts!$B$3="none",H2274,IF(N2274="",NA(),N2274))</f>
        <v>0</v>
      </c>
    </row>
    <row r="468" spans="5:20">
      <c r="E468">
        <v>102</v>
      </c>
      <c r="F468">
        <f>F106</f>
        <v>0</v>
      </c>
      <c r="G468">
        <v>102</v>
      </c>
      <c r="H468">
        <f>H106</f>
        <v>0</v>
      </c>
      <c r="K468">
        <v>102</v>
      </c>
      <c r="L468">
        <f>L106</f>
        <v>0</v>
      </c>
      <c r="M468">
        <v>102</v>
      </c>
      <c r="N468">
        <f>N106</f>
        <v>0</v>
      </c>
      <c r="Q468">
        <f>IF(Charts!$B$3="none",E2275,IF(K2275="",NA(),K2275))</f>
        <v>0</v>
      </c>
      <c r="R468">
        <f>IF(Charts!$B$3="none",F2275,IF(L2275="",NA(),L2275))</f>
        <v>0</v>
      </c>
      <c r="S468">
        <f>IF(Charts!$B$3="none",G2275,IF(M2275="",NA(),M2275))</f>
        <v>0</v>
      </c>
      <c r="T468">
        <f>IF(Charts!$B$3="none",H2275,IF(N2275="",NA(),N2275))</f>
        <v>0</v>
      </c>
    </row>
    <row r="469" spans="5:20">
      <c r="E469">
        <v>103</v>
      </c>
      <c r="F469">
        <f>F107</f>
        <v>0</v>
      </c>
      <c r="G469">
        <v>103</v>
      </c>
      <c r="H469">
        <f>H107</f>
        <v>0</v>
      </c>
      <c r="K469">
        <v>103</v>
      </c>
      <c r="L469">
        <f>L107</f>
        <v>0</v>
      </c>
      <c r="M469">
        <v>103</v>
      </c>
      <c r="N469">
        <f>N107</f>
        <v>0</v>
      </c>
      <c r="Q469">
        <f>IF(Charts!$B$3="none",E2276,IF(K2276="",NA(),K2276))</f>
        <v>0</v>
      </c>
      <c r="R469">
        <f>IF(Charts!$B$3="none",F2276,IF(L2276="",NA(),L2276))</f>
        <v>0</v>
      </c>
      <c r="S469">
        <f>IF(Charts!$B$3="none",G2276,IF(M2276="",NA(),M2276))</f>
        <v>0</v>
      </c>
      <c r="T469">
        <f>IF(Charts!$B$3="none",H2276,IF(N2276="",NA(),N2276))</f>
        <v>0</v>
      </c>
    </row>
    <row r="470" spans="5:20">
      <c r="E470">
        <v>104</v>
      </c>
      <c r="F470">
        <f>F108</f>
        <v>0</v>
      </c>
      <c r="G470">
        <v>104</v>
      </c>
      <c r="H470">
        <f>H108</f>
        <v>0</v>
      </c>
      <c r="K470">
        <v>104</v>
      </c>
      <c r="L470">
        <f>L108</f>
        <v>0</v>
      </c>
      <c r="M470">
        <v>104</v>
      </c>
      <c r="N470">
        <f>N108</f>
        <v>0</v>
      </c>
      <c r="Q470">
        <f>IF(Charts!$B$3="none",E2277,IF(K2277="",NA(),K2277))</f>
        <v>0</v>
      </c>
      <c r="R470">
        <f>IF(Charts!$B$3="none",F2277,IF(L2277="",NA(),L2277))</f>
        <v>0</v>
      </c>
      <c r="S470">
        <f>IF(Charts!$B$3="none",G2277,IF(M2277="",NA(),M2277))</f>
        <v>0</v>
      </c>
      <c r="T470">
        <f>IF(Charts!$B$3="none",H2277,IF(N2277="",NA(),N2277))</f>
        <v>0</v>
      </c>
    </row>
    <row r="471" spans="5:20">
      <c r="E471">
        <v>105</v>
      </c>
      <c r="F471">
        <f>F109</f>
        <v>0</v>
      </c>
      <c r="G471">
        <v>105</v>
      </c>
      <c r="H471">
        <f>H109</f>
        <v>0</v>
      </c>
      <c r="K471">
        <v>105</v>
      </c>
      <c r="L471">
        <f>L109</f>
        <v>0</v>
      </c>
      <c r="M471">
        <v>105</v>
      </c>
      <c r="N471">
        <f>N109</f>
        <v>0</v>
      </c>
      <c r="Q471">
        <f>IF(Charts!$B$3="none",E2278,IF(K2278="",NA(),K2278))</f>
        <v>0</v>
      </c>
      <c r="R471">
        <f>IF(Charts!$B$3="none",F2278,IF(L2278="",NA(),L2278))</f>
        <v>0</v>
      </c>
      <c r="S471">
        <f>IF(Charts!$B$3="none",G2278,IF(M2278="",NA(),M2278))</f>
        <v>0</v>
      </c>
      <c r="T471">
        <f>IF(Charts!$B$3="none",H2278,IF(N2278="",NA(),N2278))</f>
        <v>0</v>
      </c>
    </row>
    <row r="472" spans="5:20">
      <c r="E472">
        <v>106</v>
      </c>
      <c r="F472">
        <f>F110</f>
        <v>0</v>
      </c>
      <c r="G472">
        <v>106</v>
      </c>
      <c r="H472">
        <f>H110</f>
        <v>0</v>
      </c>
      <c r="K472">
        <v>106</v>
      </c>
      <c r="L472">
        <f>L110</f>
        <v>0</v>
      </c>
      <c r="M472">
        <v>106</v>
      </c>
      <c r="N472">
        <f>N110</f>
        <v>0</v>
      </c>
      <c r="Q472">
        <f>IF(Charts!$B$3="none",E2279,IF(K2279="",NA(),K2279))</f>
        <v>0</v>
      </c>
      <c r="R472">
        <f>IF(Charts!$B$3="none",F2279,IF(L2279="",NA(),L2279))</f>
        <v>0</v>
      </c>
      <c r="S472">
        <f>IF(Charts!$B$3="none",G2279,IF(M2279="",NA(),M2279))</f>
        <v>0</v>
      </c>
      <c r="T472">
        <f>IF(Charts!$B$3="none",H2279,IF(N2279="",NA(),N2279))</f>
        <v>0</v>
      </c>
    </row>
    <row r="473" spans="5:20">
      <c r="E473">
        <v>107</v>
      </c>
      <c r="F473">
        <f>F111</f>
        <v>0</v>
      </c>
      <c r="G473">
        <v>107</v>
      </c>
      <c r="H473">
        <f>H111</f>
        <v>0</v>
      </c>
      <c r="K473">
        <v>107</v>
      </c>
      <c r="L473">
        <f>L111</f>
        <v>0</v>
      </c>
      <c r="M473">
        <v>107</v>
      </c>
      <c r="N473">
        <f>N111</f>
        <v>0</v>
      </c>
      <c r="Q473">
        <f>IF(Charts!$B$3="none",E2280,IF(K2280="",NA(),K2280))</f>
        <v>0</v>
      </c>
      <c r="R473">
        <f>IF(Charts!$B$3="none",F2280,IF(L2280="",NA(),L2280))</f>
        <v>0</v>
      </c>
      <c r="S473">
        <f>IF(Charts!$B$3="none",G2280,IF(M2280="",NA(),M2280))</f>
        <v>0</v>
      </c>
      <c r="T473">
        <f>IF(Charts!$B$3="none",H2280,IF(N2280="",NA(),N2280))</f>
        <v>0</v>
      </c>
    </row>
    <row r="474" spans="5:20">
      <c r="E474">
        <v>108</v>
      </c>
      <c r="F474">
        <f>F112</f>
        <v>0</v>
      </c>
      <c r="G474">
        <v>108</v>
      </c>
      <c r="H474">
        <f>H112</f>
        <v>0</v>
      </c>
      <c r="K474">
        <v>108</v>
      </c>
      <c r="L474">
        <f>L112</f>
        <v>0</v>
      </c>
      <c r="M474">
        <v>108</v>
      </c>
      <c r="N474">
        <f>N112</f>
        <v>0</v>
      </c>
      <c r="Q474">
        <f>IF(Charts!$B$3="none",E2281,IF(K2281="",NA(),K2281))</f>
        <v>0</v>
      </c>
      <c r="R474">
        <f>IF(Charts!$B$3="none",F2281,IF(L2281="",NA(),L2281))</f>
        <v>0</v>
      </c>
      <c r="S474">
        <f>IF(Charts!$B$3="none",G2281,IF(M2281="",NA(),M2281))</f>
        <v>0</v>
      </c>
      <c r="T474">
        <f>IF(Charts!$B$3="none",H2281,IF(N2281="",NA(),N2281))</f>
        <v>0</v>
      </c>
    </row>
    <row r="475" spans="5:20">
      <c r="E475">
        <v>109</v>
      </c>
      <c r="F475">
        <f>F113</f>
        <v>0</v>
      </c>
      <c r="G475">
        <v>109</v>
      </c>
      <c r="H475">
        <f>H113</f>
        <v>0</v>
      </c>
      <c r="K475">
        <v>109</v>
      </c>
      <c r="L475">
        <f>L113</f>
        <v>0</v>
      </c>
      <c r="M475">
        <v>109</v>
      </c>
      <c r="N475">
        <f>N113</f>
        <v>0</v>
      </c>
      <c r="Q475">
        <f>IF(Charts!$B$3="none",E2282,IF(K2282="",NA(),K2282))</f>
        <v>0</v>
      </c>
      <c r="R475">
        <f>IF(Charts!$B$3="none",F2282,IF(L2282="",NA(),L2282))</f>
        <v>0</v>
      </c>
      <c r="S475">
        <f>IF(Charts!$B$3="none",G2282,IF(M2282="",NA(),M2282))</f>
        <v>0</v>
      </c>
      <c r="T475">
        <f>IF(Charts!$B$3="none",H2282,IF(N2282="",NA(),N2282))</f>
        <v>0</v>
      </c>
    </row>
    <row r="476" spans="5:20">
      <c r="E476">
        <v>110</v>
      </c>
      <c r="F476">
        <f>F114</f>
        <v>0</v>
      </c>
      <c r="G476">
        <v>110</v>
      </c>
      <c r="H476">
        <f>H114</f>
        <v>0</v>
      </c>
      <c r="K476">
        <v>110</v>
      </c>
      <c r="L476">
        <f>L114</f>
        <v>0</v>
      </c>
      <c r="M476">
        <v>110</v>
      </c>
      <c r="N476">
        <f>N114</f>
        <v>0</v>
      </c>
      <c r="Q476">
        <f>IF(Charts!$B$3="none",E2283,IF(K2283="",NA(),K2283))</f>
        <v>0</v>
      </c>
      <c r="R476">
        <f>IF(Charts!$B$3="none",F2283,IF(L2283="",NA(),L2283))</f>
        <v>0</v>
      </c>
      <c r="S476">
        <f>IF(Charts!$B$3="none",G2283,IF(M2283="",NA(),M2283))</f>
        <v>0</v>
      </c>
      <c r="T476">
        <f>IF(Charts!$B$3="none",H2283,IF(N2283="",NA(),N2283))</f>
        <v>0</v>
      </c>
    </row>
    <row r="477" spans="5:20">
      <c r="E477">
        <v>111</v>
      </c>
      <c r="F477">
        <f>F115</f>
        <v>0</v>
      </c>
      <c r="G477">
        <v>111</v>
      </c>
      <c r="H477">
        <f>H115</f>
        <v>0</v>
      </c>
      <c r="K477">
        <v>111</v>
      </c>
      <c r="L477">
        <f>L115</f>
        <v>0</v>
      </c>
      <c r="M477">
        <v>111</v>
      </c>
      <c r="N477">
        <f>N115</f>
        <v>0</v>
      </c>
      <c r="Q477">
        <f>IF(Charts!$B$3="none",E2284,IF(K2284="",NA(),K2284))</f>
        <v>0</v>
      </c>
      <c r="R477">
        <f>IF(Charts!$B$3="none",F2284,IF(L2284="",NA(),L2284))</f>
        <v>0</v>
      </c>
      <c r="S477">
        <f>IF(Charts!$B$3="none",G2284,IF(M2284="",NA(),M2284))</f>
        <v>0</v>
      </c>
      <c r="T477">
        <f>IF(Charts!$B$3="none",H2284,IF(N2284="",NA(),N2284))</f>
        <v>0</v>
      </c>
    </row>
    <row r="478" spans="5:20">
      <c r="E478">
        <v>112</v>
      </c>
      <c r="F478">
        <f>F116</f>
        <v>0</v>
      </c>
      <c r="G478">
        <v>112</v>
      </c>
      <c r="H478">
        <f>H116</f>
        <v>0</v>
      </c>
      <c r="K478">
        <v>112</v>
      </c>
      <c r="L478">
        <f>L116</f>
        <v>0</v>
      </c>
      <c r="M478">
        <v>112</v>
      </c>
      <c r="N478">
        <f>N116</f>
        <v>0</v>
      </c>
      <c r="Q478">
        <f>IF(Charts!$B$3="none",E2285,IF(K2285="",NA(),K2285))</f>
        <v>0</v>
      </c>
      <c r="R478">
        <f>IF(Charts!$B$3="none",F2285,IF(L2285="",NA(),L2285))</f>
        <v>0</v>
      </c>
      <c r="S478">
        <f>IF(Charts!$B$3="none",G2285,IF(M2285="",NA(),M2285))</f>
        <v>0</v>
      </c>
      <c r="T478">
        <f>IF(Charts!$B$3="none",H2285,IF(N2285="",NA(),N2285))</f>
        <v>0</v>
      </c>
    </row>
    <row r="479" spans="5:20">
      <c r="E479">
        <v>113</v>
      </c>
      <c r="F479">
        <f>F117</f>
        <v>0</v>
      </c>
      <c r="G479">
        <v>113</v>
      </c>
      <c r="H479">
        <f>H117</f>
        <v>0</v>
      </c>
      <c r="K479">
        <v>113</v>
      </c>
      <c r="L479">
        <f>L117</f>
        <v>0</v>
      </c>
      <c r="M479">
        <v>113</v>
      </c>
      <c r="N479">
        <f>N117</f>
        <v>0</v>
      </c>
      <c r="Q479">
        <f>IF(Charts!$B$3="none",E2286,IF(K2286="",NA(),K2286))</f>
        <v>0</v>
      </c>
      <c r="R479">
        <f>IF(Charts!$B$3="none",F2286,IF(L2286="",NA(),L2286))</f>
        <v>0</v>
      </c>
      <c r="S479">
        <f>IF(Charts!$B$3="none",G2286,IF(M2286="",NA(),M2286))</f>
        <v>0</v>
      </c>
      <c r="T479">
        <f>IF(Charts!$B$3="none",H2286,IF(N2286="",NA(),N2286))</f>
        <v>0</v>
      </c>
    </row>
    <row r="480" spans="5:20">
      <c r="E480">
        <v>114</v>
      </c>
      <c r="F480">
        <f>F118</f>
        <v>0</v>
      </c>
      <c r="G480">
        <v>114</v>
      </c>
      <c r="H480">
        <f>H118</f>
        <v>0</v>
      </c>
      <c r="K480">
        <v>114</v>
      </c>
      <c r="L480">
        <f>L118</f>
        <v>0</v>
      </c>
      <c r="M480">
        <v>114</v>
      </c>
      <c r="N480">
        <f>N118</f>
        <v>0</v>
      </c>
      <c r="Q480">
        <f>IF(Charts!$B$3="none",E2287,IF(K2287="",NA(),K2287))</f>
        <v>0</v>
      </c>
      <c r="R480">
        <f>IF(Charts!$B$3="none",F2287,IF(L2287="",NA(),L2287))</f>
        <v>0</v>
      </c>
      <c r="S480">
        <f>IF(Charts!$B$3="none",G2287,IF(M2287="",NA(),M2287))</f>
        <v>0</v>
      </c>
      <c r="T480">
        <f>IF(Charts!$B$3="none",H2287,IF(N2287="",NA(),N2287))</f>
        <v>0</v>
      </c>
    </row>
    <row r="481" spans="5:20">
      <c r="E481">
        <v>115</v>
      </c>
      <c r="F481">
        <f>F119</f>
        <v>0</v>
      </c>
      <c r="G481">
        <v>115</v>
      </c>
      <c r="H481">
        <f>H119</f>
        <v>0</v>
      </c>
      <c r="K481">
        <v>115</v>
      </c>
      <c r="L481">
        <f>L119</f>
        <v>0</v>
      </c>
      <c r="M481">
        <v>115</v>
      </c>
      <c r="N481">
        <f>N119</f>
        <v>0</v>
      </c>
      <c r="Q481">
        <f>IF(Charts!$B$3="none",E2288,IF(K2288="",NA(),K2288))</f>
        <v>0</v>
      </c>
      <c r="R481">
        <f>IF(Charts!$B$3="none",F2288,IF(L2288="",NA(),L2288))</f>
        <v>0</v>
      </c>
      <c r="S481">
        <f>IF(Charts!$B$3="none",G2288,IF(M2288="",NA(),M2288))</f>
        <v>0</v>
      </c>
      <c r="T481">
        <f>IF(Charts!$B$3="none",H2288,IF(N2288="",NA(),N2288))</f>
        <v>0</v>
      </c>
    </row>
    <row r="482" spans="5:20">
      <c r="E482">
        <v>116</v>
      </c>
      <c r="F482">
        <f>F120</f>
        <v>0</v>
      </c>
      <c r="G482">
        <v>116</v>
      </c>
      <c r="H482">
        <f>H120</f>
        <v>0</v>
      </c>
      <c r="K482">
        <v>116</v>
      </c>
      <c r="L482">
        <f>L120</f>
        <v>0</v>
      </c>
      <c r="M482">
        <v>116</v>
      </c>
      <c r="N482">
        <f>N120</f>
        <v>0</v>
      </c>
      <c r="Q482">
        <f>IF(Charts!$B$3="none",E2289,IF(K2289="",NA(),K2289))</f>
        <v>0</v>
      </c>
      <c r="R482">
        <f>IF(Charts!$B$3="none",F2289,IF(L2289="",NA(),L2289))</f>
        <v>0</v>
      </c>
      <c r="S482">
        <f>IF(Charts!$B$3="none",G2289,IF(M2289="",NA(),M2289))</f>
        <v>0</v>
      </c>
      <c r="T482">
        <f>IF(Charts!$B$3="none",H2289,IF(N2289="",NA(),N2289))</f>
        <v>0</v>
      </c>
    </row>
    <row r="483" spans="5:20">
      <c r="E483">
        <v>117</v>
      </c>
      <c r="F483">
        <f>F121</f>
        <v>0</v>
      </c>
      <c r="G483">
        <v>117</v>
      </c>
      <c r="H483">
        <f>H121</f>
        <v>0</v>
      </c>
      <c r="K483">
        <v>117</v>
      </c>
      <c r="L483">
        <f>L121</f>
        <v>0</v>
      </c>
      <c r="M483">
        <v>117</v>
      </c>
      <c r="N483">
        <f>N121</f>
        <v>0</v>
      </c>
      <c r="Q483">
        <f>IF(Charts!$B$3="none",E2290,IF(K2290="",NA(),K2290))</f>
        <v>0</v>
      </c>
      <c r="R483">
        <f>IF(Charts!$B$3="none",F2290,IF(L2290="",NA(),L2290))</f>
        <v>0</v>
      </c>
      <c r="S483">
        <f>IF(Charts!$B$3="none",G2290,IF(M2290="",NA(),M2290))</f>
        <v>0</v>
      </c>
      <c r="T483">
        <f>IF(Charts!$B$3="none",H2290,IF(N2290="",NA(),N2290))</f>
        <v>0</v>
      </c>
    </row>
    <row r="484" spans="5:20">
      <c r="E484">
        <v>118</v>
      </c>
      <c r="F484">
        <f>F122</f>
        <v>0</v>
      </c>
      <c r="G484">
        <v>118</v>
      </c>
      <c r="H484">
        <f>H122</f>
        <v>0</v>
      </c>
      <c r="K484">
        <v>118</v>
      </c>
      <c r="L484">
        <f>L122</f>
        <v>0</v>
      </c>
      <c r="M484">
        <v>118</v>
      </c>
      <c r="N484">
        <f>N122</f>
        <v>0</v>
      </c>
      <c r="Q484">
        <f>IF(Charts!$B$3="none",E2291,IF(K2291="",NA(),K2291))</f>
        <v>0</v>
      </c>
      <c r="R484">
        <f>IF(Charts!$B$3="none",F2291,IF(L2291="",NA(),L2291))</f>
        <v>0</v>
      </c>
      <c r="S484">
        <f>IF(Charts!$B$3="none",G2291,IF(M2291="",NA(),M2291))</f>
        <v>0</v>
      </c>
      <c r="T484">
        <f>IF(Charts!$B$3="none",H2291,IF(N2291="",NA(),N2291))</f>
        <v>0</v>
      </c>
    </row>
    <row r="485" spans="5:20">
      <c r="E485">
        <v>119</v>
      </c>
      <c r="F485">
        <f>F123</f>
        <v>0</v>
      </c>
      <c r="G485">
        <v>119</v>
      </c>
      <c r="H485">
        <f>H123</f>
        <v>0</v>
      </c>
      <c r="K485">
        <v>119</v>
      </c>
      <c r="L485">
        <f>L123</f>
        <v>0</v>
      </c>
      <c r="M485">
        <v>119</v>
      </c>
      <c r="N485">
        <f>N123</f>
        <v>0</v>
      </c>
      <c r="Q485">
        <f>IF(Charts!$B$3="none",E2292,IF(K2292="",NA(),K2292))</f>
        <v>0</v>
      </c>
      <c r="R485">
        <f>IF(Charts!$B$3="none",F2292,IF(L2292="",NA(),L2292))</f>
        <v>0</v>
      </c>
      <c r="S485">
        <f>IF(Charts!$B$3="none",G2292,IF(M2292="",NA(),M2292))</f>
        <v>0</v>
      </c>
      <c r="T485">
        <f>IF(Charts!$B$3="none",H2292,IF(N2292="",NA(),N2292))</f>
        <v>0</v>
      </c>
    </row>
    <row r="486" spans="5:20">
      <c r="E486">
        <v>120</v>
      </c>
      <c r="F486">
        <f>F124</f>
        <v>0</v>
      </c>
      <c r="G486">
        <v>120</v>
      </c>
      <c r="H486">
        <f>H124</f>
        <v>0</v>
      </c>
      <c r="K486">
        <v>120</v>
      </c>
      <c r="L486">
        <f>L124</f>
        <v>0</v>
      </c>
      <c r="M486">
        <v>120</v>
      </c>
      <c r="N486">
        <f>N124</f>
        <v>0</v>
      </c>
      <c r="Q486">
        <f>IF(Charts!$B$3="none",E2293,IF(K2293="",NA(),K2293))</f>
        <v>0</v>
      </c>
      <c r="R486">
        <f>IF(Charts!$B$3="none",F2293,IF(L2293="",NA(),L2293))</f>
        <v>0</v>
      </c>
      <c r="S486">
        <f>IF(Charts!$B$3="none",G2293,IF(M2293="",NA(),M2293))</f>
        <v>0</v>
      </c>
      <c r="T486">
        <f>IF(Charts!$B$3="none",H2293,IF(N2293="",NA(),N2293))</f>
        <v>0</v>
      </c>
    </row>
    <row r="487" spans="5:20">
      <c r="E487">
        <v>121</v>
      </c>
      <c r="F487">
        <f>F125</f>
        <v>0</v>
      </c>
      <c r="G487">
        <v>121</v>
      </c>
      <c r="H487">
        <f>H125</f>
        <v>0</v>
      </c>
      <c r="K487">
        <v>121</v>
      </c>
      <c r="L487">
        <f>L125</f>
        <v>0</v>
      </c>
      <c r="M487">
        <v>121</v>
      </c>
      <c r="N487">
        <f>N125</f>
        <v>0</v>
      </c>
      <c r="Q487">
        <f>IF(Charts!$B$3="none",E2294,IF(K2294="",NA(),K2294))</f>
        <v>0</v>
      </c>
      <c r="R487">
        <f>IF(Charts!$B$3="none",F2294,IF(L2294="",NA(),L2294))</f>
        <v>0</v>
      </c>
      <c r="S487">
        <f>IF(Charts!$B$3="none",G2294,IF(M2294="",NA(),M2294))</f>
        <v>0</v>
      </c>
      <c r="T487">
        <f>IF(Charts!$B$3="none",H2294,IF(N2294="",NA(),N2294))</f>
        <v>0</v>
      </c>
    </row>
    <row r="488" spans="5:20">
      <c r="E488">
        <v>122</v>
      </c>
      <c r="F488">
        <f>F126</f>
        <v>0</v>
      </c>
      <c r="G488">
        <v>122</v>
      </c>
      <c r="H488">
        <f>H126</f>
        <v>0</v>
      </c>
      <c r="K488">
        <v>122</v>
      </c>
      <c r="L488">
        <f>L126</f>
        <v>0</v>
      </c>
      <c r="M488">
        <v>122</v>
      </c>
      <c r="N488">
        <f>N126</f>
        <v>0</v>
      </c>
      <c r="Q488">
        <f>IF(Charts!$B$3="none",E2295,IF(K2295="",NA(),K2295))</f>
        <v>0</v>
      </c>
      <c r="R488">
        <f>IF(Charts!$B$3="none",F2295,IF(L2295="",NA(),L2295))</f>
        <v>0</v>
      </c>
      <c r="S488">
        <f>IF(Charts!$B$3="none",G2295,IF(M2295="",NA(),M2295))</f>
        <v>0</v>
      </c>
      <c r="T488">
        <f>IF(Charts!$B$3="none",H2295,IF(N2295="",NA(),N2295))</f>
        <v>0</v>
      </c>
    </row>
    <row r="489" spans="5:20">
      <c r="E489">
        <v>123</v>
      </c>
      <c r="F489">
        <f>F127</f>
        <v>0</v>
      </c>
      <c r="G489">
        <v>123</v>
      </c>
      <c r="H489">
        <f>H127</f>
        <v>0</v>
      </c>
      <c r="K489">
        <v>123</v>
      </c>
      <c r="L489">
        <f>L127</f>
        <v>0</v>
      </c>
      <c r="M489">
        <v>123</v>
      </c>
      <c r="N489">
        <f>N127</f>
        <v>0</v>
      </c>
      <c r="Q489">
        <f>IF(Charts!$B$3="none",E2296,IF(K2296="",NA(),K2296))</f>
        <v>0</v>
      </c>
      <c r="R489">
        <f>IF(Charts!$B$3="none",F2296,IF(L2296="",NA(),L2296))</f>
        <v>0</v>
      </c>
      <c r="S489">
        <f>IF(Charts!$B$3="none",G2296,IF(M2296="",NA(),M2296))</f>
        <v>0</v>
      </c>
      <c r="T489">
        <f>IF(Charts!$B$3="none",H2296,IF(N2296="",NA(),N2296))</f>
        <v>0</v>
      </c>
    </row>
    <row r="490" spans="5:20">
      <c r="E490">
        <v>124</v>
      </c>
      <c r="F490">
        <f>F128</f>
        <v>0</v>
      </c>
      <c r="G490">
        <v>124</v>
      </c>
      <c r="H490">
        <f>H128</f>
        <v>0</v>
      </c>
      <c r="K490">
        <v>124</v>
      </c>
      <c r="L490">
        <f>L128</f>
        <v>0</v>
      </c>
      <c r="M490">
        <v>124</v>
      </c>
      <c r="N490">
        <f>N128</f>
        <v>0</v>
      </c>
      <c r="Q490">
        <f>IF(Charts!$B$3="none",E2297,IF(K2297="",NA(),K2297))</f>
        <v>0</v>
      </c>
      <c r="R490">
        <f>IF(Charts!$B$3="none",F2297,IF(L2297="",NA(),L2297))</f>
        <v>0</v>
      </c>
      <c r="S490">
        <f>IF(Charts!$B$3="none",G2297,IF(M2297="",NA(),M2297))</f>
        <v>0</v>
      </c>
      <c r="T490">
        <f>IF(Charts!$B$3="none",H2297,IF(N2297="",NA(),N2297))</f>
        <v>0</v>
      </c>
    </row>
    <row r="491" spans="5:20">
      <c r="E491">
        <v>125</v>
      </c>
      <c r="F491">
        <f>F129</f>
        <v>0</v>
      </c>
      <c r="G491">
        <v>125</v>
      </c>
      <c r="H491">
        <f>H129</f>
        <v>0</v>
      </c>
      <c r="K491">
        <v>125</v>
      </c>
      <c r="L491">
        <f>L129</f>
        <v>0</v>
      </c>
      <c r="M491">
        <v>125</v>
      </c>
      <c r="N491">
        <f>N129</f>
        <v>0</v>
      </c>
      <c r="Q491">
        <f>IF(Charts!$B$3="none",E2298,IF(K2298="",NA(),K2298))</f>
        <v>0</v>
      </c>
      <c r="R491">
        <f>IF(Charts!$B$3="none",F2298,IF(L2298="",NA(),L2298))</f>
        <v>0</v>
      </c>
      <c r="S491">
        <f>IF(Charts!$B$3="none",G2298,IF(M2298="",NA(),M2298))</f>
        <v>0</v>
      </c>
      <c r="T491">
        <f>IF(Charts!$B$3="none",H2298,IF(N2298="",NA(),N2298))</f>
        <v>0</v>
      </c>
    </row>
    <row r="492" spans="5:20">
      <c r="E492">
        <v>126</v>
      </c>
      <c r="F492">
        <f>F130</f>
        <v>0</v>
      </c>
      <c r="G492">
        <v>126</v>
      </c>
      <c r="H492">
        <f>H130</f>
        <v>0</v>
      </c>
      <c r="K492">
        <v>126</v>
      </c>
      <c r="L492">
        <f>L130</f>
        <v>0</v>
      </c>
      <c r="M492">
        <v>126</v>
      </c>
      <c r="N492">
        <f>N130</f>
        <v>0</v>
      </c>
      <c r="Q492">
        <f>IF(Charts!$B$3="none",E2299,IF(K2299="",NA(),K2299))</f>
        <v>0</v>
      </c>
      <c r="R492">
        <f>IF(Charts!$B$3="none",F2299,IF(L2299="",NA(),L2299))</f>
        <v>0</v>
      </c>
      <c r="S492">
        <f>IF(Charts!$B$3="none",G2299,IF(M2299="",NA(),M2299))</f>
        <v>0</v>
      </c>
      <c r="T492">
        <f>IF(Charts!$B$3="none",H2299,IF(N2299="",NA(),N2299))</f>
        <v>0</v>
      </c>
    </row>
    <row r="493" spans="5:20">
      <c r="E493">
        <v>127</v>
      </c>
      <c r="F493">
        <f>F131</f>
        <v>0</v>
      </c>
      <c r="G493">
        <v>127</v>
      </c>
      <c r="H493">
        <f>H131</f>
        <v>0</v>
      </c>
      <c r="K493">
        <v>127</v>
      </c>
      <c r="L493">
        <f>L131</f>
        <v>0</v>
      </c>
      <c r="M493">
        <v>127</v>
      </c>
      <c r="N493">
        <f>N131</f>
        <v>0</v>
      </c>
      <c r="Q493">
        <f>IF(Charts!$B$3="none",E2300,IF(K2300="",NA(),K2300))</f>
        <v>0</v>
      </c>
      <c r="R493">
        <f>IF(Charts!$B$3="none",F2300,IF(L2300="",NA(),L2300))</f>
        <v>0</v>
      </c>
      <c r="S493">
        <f>IF(Charts!$B$3="none",G2300,IF(M2300="",NA(),M2300))</f>
        <v>0</v>
      </c>
      <c r="T493">
        <f>IF(Charts!$B$3="none",H2300,IF(N2300="",NA(),N2300))</f>
        <v>0</v>
      </c>
    </row>
    <row r="494" spans="5:20">
      <c r="E494">
        <v>128</v>
      </c>
      <c r="F494">
        <f>F132</f>
        <v>0</v>
      </c>
      <c r="G494">
        <v>128</v>
      </c>
      <c r="H494">
        <f>H132</f>
        <v>0</v>
      </c>
      <c r="K494">
        <v>128</v>
      </c>
      <c r="L494">
        <f>L132</f>
        <v>0</v>
      </c>
      <c r="M494">
        <v>128</v>
      </c>
      <c r="N494">
        <f>N132</f>
        <v>0</v>
      </c>
      <c r="Q494">
        <f>IF(Charts!$B$3="none",E2301,IF(K2301="",NA(),K2301))</f>
        <v>0</v>
      </c>
      <c r="R494">
        <f>IF(Charts!$B$3="none",F2301,IF(L2301="",NA(),L2301))</f>
        <v>0</v>
      </c>
      <c r="S494">
        <f>IF(Charts!$B$3="none",G2301,IF(M2301="",NA(),M2301))</f>
        <v>0</v>
      </c>
      <c r="T494">
        <f>IF(Charts!$B$3="none",H2301,IF(N2301="",NA(),N2301))</f>
        <v>0</v>
      </c>
    </row>
    <row r="495" spans="5:20">
      <c r="E495">
        <v>129</v>
      </c>
      <c r="F495">
        <f>F133</f>
        <v>0</v>
      </c>
      <c r="G495">
        <v>129</v>
      </c>
      <c r="H495">
        <f>H133</f>
        <v>0</v>
      </c>
      <c r="K495">
        <v>129</v>
      </c>
      <c r="L495">
        <f>L133</f>
        <v>0</v>
      </c>
      <c r="M495">
        <v>129</v>
      </c>
      <c r="N495">
        <f>N133</f>
        <v>0</v>
      </c>
      <c r="Q495">
        <f>IF(Charts!$B$3="none",E2302,IF(K2302="",NA(),K2302))</f>
        <v>0</v>
      </c>
      <c r="R495">
        <f>IF(Charts!$B$3="none",F2302,IF(L2302="",NA(),L2302))</f>
        <v>0</v>
      </c>
      <c r="S495">
        <f>IF(Charts!$B$3="none",G2302,IF(M2302="",NA(),M2302))</f>
        <v>0</v>
      </c>
      <c r="T495">
        <f>IF(Charts!$B$3="none",H2302,IF(N2302="",NA(),N2302))</f>
        <v>0</v>
      </c>
    </row>
    <row r="496" spans="5:20">
      <c r="E496">
        <v>130</v>
      </c>
      <c r="F496">
        <f>F134</f>
        <v>0</v>
      </c>
      <c r="G496">
        <v>130</v>
      </c>
      <c r="H496">
        <f>H134</f>
        <v>0</v>
      </c>
      <c r="K496">
        <v>130</v>
      </c>
      <c r="L496">
        <f>L134</f>
        <v>0</v>
      </c>
      <c r="M496">
        <v>130</v>
      </c>
      <c r="N496">
        <f>N134</f>
        <v>0</v>
      </c>
      <c r="Q496">
        <f>IF(Charts!$B$3="none",E2303,IF(K2303="",NA(),K2303))</f>
        <v>0</v>
      </c>
      <c r="R496">
        <f>IF(Charts!$B$3="none",F2303,IF(L2303="",NA(),L2303))</f>
        <v>0</v>
      </c>
      <c r="S496">
        <f>IF(Charts!$B$3="none",G2303,IF(M2303="",NA(),M2303))</f>
        <v>0</v>
      </c>
      <c r="T496">
        <f>IF(Charts!$B$3="none",H2303,IF(N2303="",NA(),N2303))</f>
        <v>0</v>
      </c>
    </row>
    <row r="497" spans="5:20">
      <c r="E497">
        <v>131</v>
      </c>
      <c r="F497">
        <f>F135</f>
        <v>0</v>
      </c>
      <c r="G497">
        <v>131</v>
      </c>
      <c r="H497">
        <f>H135</f>
        <v>0</v>
      </c>
      <c r="K497">
        <v>131</v>
      </c>
      <c r="L497">
        <f>L135</f>
        <v>0</v>
      </c>
      <c r="M497">
        <v>131</v>
      </c>
      <c r="N497">
        <f>N135</f>
        <v>0</v>
      </c>
      <c r="Q497">
        <f>IF(Charts!$B$3="none",E2304,IF(K2304="",NA(),K2304))</f>
        <v>0</v>
      </c>
      <c r="R497">
        <f>IF(Charts!$B$3="none",F2304,IF(L2304="",NA(),L2304))</f>
        <v>0</v>
      </c>
      <c r="S497">
        <f>IF(Charts!$B$3="none",G2304,IF(M2304="",NA(),M2304))</f>
        <v>0</v>
      </c>
      <c r="T497">
        <f>IF(Charts!$B$3="none",H2304,IF(N2304="",NA(),N2304))</f>
        <v>0</v>
      </c>
    </row>
    <row r="498" spans="5:20">
      <c r="E498">
        <v>132</v>
      </c>
      <c r="F498">
        <f>F136</f>
        <v>0</v>
      </c>
      <c r="G498">
        <v>132</v>
      </c>
      <c r="H498">
        <f>H136</f>
        <v>0</v>
      </c>
      <c r="K498">
        <v>132</v>
      </c>
      <c r="L498">
        <f>L136</f>
        <v>0</v>
      </c>
      <c r="M498">
        <v>132</v>
      </c>
      <c r="N498">
        <f>N136</f>
        <v>0</v>
      </c>
      <c r="Q498">
        <f>IF(Charts!$B$3="none",E2305,IF(K2305="",NA(),K2305))</f>
        <v>0</v>
      </c>
      <c r="R498">
        <f>IF(Charts!$B$3="none",F2305,IF(L2305="",NA(),L2305))</f>
        <v>0</v>
      </c>
      <c r="S498">
        <f>IF(Charts!$B$3="none",G2305,IF(M2305="",NA(),M2305))</f>
        <v>0</v>
      </c>
      <c r="T498">
        <f>IF(Charts!$B$3="none",H2305,IF(N2305="",NA(),N2305))</f>
        <v>0</v>
      </c>
    </row>
    <row r="499" spans="5:20">
      <c r="E499">
        <v>133</v>
      </c>
      <c r="F499">
        <f>F137</f>
        <v>0</v>
      </c>
      <c r="G499">
        <v>133</v>
      </c>
      <c r="H499">
        <f>H137</f>
        <v>0</v>
      </c>
      <c r="K499">
        <v>133</v>
      </c>
      <c r="L499">
        <f>L137</f>
        <v>0</v>
      </c>
      <c r="M499">
        <v>133</v>
      </c>
      <c r="N499">
        <f>N137</f>
        <v>0</v>
      </c>
      <c r="Q499">
        <f>IF(Charts!$B$3="none",E2306,IF(K2306="",NA(),K2306))</f>
        <v>0</v>
      </c>
      <c r="R499">
        <f>IF(Charts!$B$3="none",F2306,IF(L2306="",NA(),L2306))</f>
        <v>0</v>
      </c>
      <c r="S499">
        <f>IF(Charts!$B$3="none",G2306,IF(M2306="",NA(),M2306))</f>
        <v>0</v>
      </c>
      <c r="T499">
        <f>IF(Charts!$B$3="none",H2306,IF(N2306="",NA(),N2306))</f>
        <v>0</v>
      </c>
    </row>
    <row r="500" spans="5:20">
      <c r="E500">
        <v>134</v>
      </c>
      <c r="F500">
        <f>F138</f>
        <v>0</v>
      </c>
      <c r="G500">
        <v>134</v>
      </c>
      <c r="H500">
        <f>H138</f>
        <v>0</v>
      </c>
      <c r="K500">
        <v>134</v>
      </c>
      <c r="L500">
        <f>L138</f>
        <v>0</v>
      </c>
      <c r="M500">
        <v>134</v>
      </c>
      <c r="N500">
        <f>N138</f>
        <v>0</v>
      </c>
      <c r="Q500">
        <f>IF(Charts!$B$3="none",E2307,IF(K2307="",NA(),K2307))</f>
        <v>0</v>
      </c>
      <c r="R500">
        <f>IF(Charts!$B$3="none",F2307,IF(L2307="",NA(),L2307))</f>
        <v>0</v>
      </c>
      <c r="S500">
        <f>IF(Charts!$B$3="none",G2307,IF(M2307="",NA(),M2307))</f>
        <v>0</v>
      </c>
      <c r="T500">
        <f>IF(Charts!$B$3="none",H2307,IF(N2307="",NA(),N2307))</f>
        <v>0</v>
      </c>
    </row>
    <row r="501" spans="5:20">
      <c r="E501">
        <v>135</v>
      </c>
      <c r="F501">
        <f>F139</f>
        <v>0</v>
      </c>
      <c r="G501">
        <v>135</v>
      </c>
      <c r="H501">
        <f>H139</f>
        <v>0</v>
      </c>
      <c r="K501">
        <v>135</v>
      </c>
      <c r="L501">
        <f>L139</f>
        <v>0</v>
      </c>
      <c r="M501">
        <v>135</v>
      </c>
      <c r="N501">
        <f>N139</f>
        <v>0</v>
      </c>
      <c r="Q501">
        <f>IF(Charts!$B$3="none",E2308,IF(K2308="",NA(),K2308))</f>
        <v>0</v>
      </c>
      <c r="R501">
        <f>IF(Charts!$B$3="none",F2308,IF(L2308="",NA(),L2308))</f>
        <v>0</v>
      </c>
      <c r="S501">
        <f>IF(Charts!$B$3="none",G2308,IF(M2308="",NA(),M2308))</f>
        <v>0</v>
      </c>
      <c r="T501">
        <f>IF(Charts!$B$3="none",H2308,IF(N2308="",NA(),N2308))</f>
        <v>0</v>
      </c>
    </row>
    <row r="502" spans="5:20">
      <c r="E502">
        <v>136</v>
      </c>
      <c r="F502">
        <f>F140</f>
        <v>0</v>
      </c>
      <c r="G502">
        <v>136</v>
      </c>
      <c r="H502">
        <f>H140</f>
        <v>0</v>
      </c>
      <c r="K502">
        <v>136</v>
      </c>
      <c r="L502">
        <f>L140</f>
        <v>0</v>
      </c>
      <c r="M502">
        <v>136</v>
      </c>
      <c r="N502">
        <f>N140</f>
        <v>0</v>
      </c>
      <c r="Q502">
        <f>IF(Charts!$B$3="none",E2309,IF(K2309="",NA(),K2309))</f>
        <v>0</v>
      </c>
      <c r="R502">
        <f>IF(Charts!$B$3="none",F2309,IF(L2309="",NA(),L2309))</f>
        <v>0</v>
      </c>
      <c r="S502">
        <f>IF(Charts!$B$3="none",G2309,IF(M2309="",NA(),M2309))</f>
        <v>0</v>
      </c>
      <c r="T502">
        <f>IF(Charts!$B$3="none",H2309,IF(N2309="",NA(),N2309))</f>
        <v>0</v>
      </c>
    </row>
    <row r="503" spans="5:20">
      <c r="E503">
        <v>137</v>
      </c>
      <c r="F503">
        <f>F141</f>
        <v>0</v>
      </c>
      <c r="G503">
        <v>137</v>
      </c>
      <c r="H503">
        <f>H141</f>
        <v>0</v>
      </c>
      <c r="K503">
        <v>137</v>
      </c>
      <c r="L503">
        <f>L141</f>
        <v>0</v>
      </c>
      <c r="M503">
        <v>137</v>
      </c>
      <c r="N503">
        <f>N141</f>
        <v>0</v>
      </c>
      <c r="Q503">
        <f>IF(Charts!$B$3="none",E2310,IF(K2310="",NA(),K2310))</f>
        <v>0</v>
      </c>
      <c r="R503">
        <f>IF(Charts!$B$3="none",F2310,IF(L2310="",NA(),L2310))</f>
        <v>0</v>
      </c>
      <c r="S503">
        <f>IF(Charts!$B$3="none",G2310,IF(M2310="",NA(),M2310))</f>
        <v>0</v>
      </c>
      <c r="T503">
        <f>IF(Charts!$B$3="none",H2310,IF(N2310="",NA(),N2310))</f>
        <v>0</v>
      </c>
    </row>
    <row r="504" spans="5:20">
      <c r="E504">
        <v>138</v>
      </c>
      <c r="F504">
        <f>F142</f>
        <v>0</v>
      </c>
      <c r="G504">
        <v>138</v>
      </c>
      <c r="H504">
        <f>H142</f>
        <v>0</v>
      </c>
      <c r="K504">
        <v>138</v>
      </c>
      <c r="L504">
        <f>L142</f>
        <v>0</v>
      </c>
      <c r="M504">
        <v>138</v>
      </c>
      <c r="N504">
        <f>N142</f>
        <v>0</v>
      </c>
      <c r="Q504">
        <f>IF(Charts!$B$3="none",E2311,IF(K2311="",NA(),K2311))</f>
        <v>0</v>
      </c>
      <c r="R504">
        <f>IF(Charts!$B$3="none",F2311,IF(L2311="",NA(),L2311))</f>
        <v>0</v>
      </c>
      <c r="S504">
        <f>IF(Charts!$B$3="none",G2311,IF(M2311="",NA(),M2311))</f>
        <v>0</v>
      </c>
      <c r="T504">
        <f>IF(Charts!$B$3="none",H2311,IF(N2311="",NA(),N2311))</f>
        <v>0</v>
      </c>
    </row>
    <row r="505" spans="5:20">
      <c r="E505">
        <v>139</v>
      </c>
      <c r="F505">
        <f>F143</f>
        <v>0</v>
      </c>
      <c r="G505">
        <v>139</v>
      </c>
      <c r="H505">
        <f>H143</f>
        <v>0</v>
      </c>
      <c r="K505">
        <v>139</v>
      </c>
      <c r="L505">
        <f>L143</f>
        <v>0</v>
      </c>
      <c r="M505">
        <v>139</v>
      </c>
      <c r="N505">
        <f>N143</f>
        <v>0</v>
      </c>
      <c r="Q505">
        <f>IF(Charts!$B$3="none",E2312,IF(K2312="",NA(),K2312))</f>
        <v>0</v>
      </c>
      <c r="R505">
        <f>IF(Charts!$B$3="none",F2312,IF(L2312="",NA(),L2312))</f>
        <v>0</v>
      </c>
      <c r="S505">
        <f>IF(Charts!$B$3="none",G2312,IF(M2312="",NA(),M2312))</f>
        <v>0</v>
      </c>
      <c r="T505">
        <f>IF(Charts!$B$3="none",H2312,IF(N2312="",NA(),N2312))</f>
        <v>0</v>
      </c>
    </row>
    <row r="506" spans="5:20">
      <c r="E506">
        <v>140</v>
      </c>
      <c r="F506">
        <f>F144</f>
        <v>0</v>
      </c>
      <c r="G506">
        <v>140</v>
      </c>
      <c r="H506">
        <f>H144</f>
        <v>0</v>
      </c>
      <c r="K506">
        <v>140</v>
      </c>
      <c r="L506">
        <f>L144</f>
        <v>0</v>
      </c>
      <c r="M506">
        <v>140</v>
      </c>
      <c r="N506">
        <f>N144</f>
        <v>0</v>
      </c>
      <c r="Q506">
        <f>IF(Charts!$B$3="none",E2313,IF(K2313="",NA(),K2313))</f>
        <v>0</v>
      </c>
      <c r="R506">
        <f>IF(Charts!$B$3="none",F2313,IF(L2313="",NA(),L2313))</f>
        <v>0</v>
      </c>
      <c r="S506">
        <f>IF(Charts!$B$3="none",G2313,IF(M2313="",NA(),M2313))</f>
        <v>0</v>
      </c>
      <c r="T506">
        <f>IF(Charts!$B$3="none",H2313,IF(N2313="",NA(),N2313))</f>
        <v>0</v>
      </c>
    </row>
    <row r="507" spans="5:20">
      <c r="E507">
        <v>141</v>
      </c>
      <c r="F507">
        <f>F145</f>
        <v>0</v>
      </c>
      <c r="G507">
        <v>141</v>
      </c>
      <c r="H507">
        <f>H145</f>
        <v>0</v>
      </c>
      <c r="K507">
        <v>141</v>
      </c>
      <c r="L507">
        <f>L145</f>
        <v>0</v>
      </c>
      <c r="M507">
        <v>141</v>
      </c>
      <c r="N507">
        <f>N145</f>
        <v>0</v>
      </c>
      <c r="Q507">
        <f>IF(Charts!$B$3="none",E2314,IF(K2314="",NA(),K2314))</f>
        <v>0</v>
      </c>
      <c r="R507">
        <f>IF(Charts!$B$3="none",F2314,IF(L2314="",NA(),L2314))</f>
        <v>0</v>
      </c>
      <c r="S507">
        <f>IF(Charts!$B$3="none",G2314,IF(M2314="",NA(),M2314))</f>
        <v>0</v>
      </c>
      <c r="T507">
        <f>IF(Charts!$B$3="none",H2314,IF(N2314="",NA(),N2314))</f>
        <v>0</v>
      </c>
    </row>
    <row r="508" spans="5:20">
      <c r="E508">
        <v>142</v>
      </c>
      <c r="F508">
        <f>F146</f>
        <v>0</v>
      </c>
      <c r="G508">
        <v>142</v>
      </c>
      <c r="H508">
        <f>H146</f>
        <v>0</v>
      </c>
      <c r="K508">
        <v>142</v>
      </c>
      <c r="L508">
        <f>L146</f>
        <v>0</v>
      </c>
      <c r="M508">
        <v>142</v>
      </c>
      <c r="N508">
        <f>N146</f>
        <v>0</v>
      </c>
      <c r="Q508">
        <f>IF(Charts!$B$3="none",E2315,IF(K2315="",NA(),K2315))</f>
        <v>0</v>
      </c>
      <c r="R508">
        <f>IF(Charts!$B$3="none",F2315,IF(L2315="",NA(),L2315))</f>
        <v>0</v>
      </c>
      <c r="S508">
        <f>IF(Charts!$B$3="none",G2315,IF(M2315="",NA(),M2315))</f>
        <v>0</v>
      </c>
      <c r="T508">
        <f>IF(Charts!$B$3="none",H2315,IF(N2315="",NA(),N2315))</f>
        <v>0</v>
      </c>
    </row>
    <row r="509" spans="5:20">
      <c r="E509">
        <v>143</v>
      </c>
      <c r="F509">
        <f>F147</f>
        <v>0</v>
      </c>
      <c r="G509">
        <v>143</v>
      </c>
      <c r="H509">
        <f>H147</f>
        <v>0</v>
      </c>
      <c r="K509">
        <v>143</v>
      </c>
      <c r="L509">
        <f>L147</f>
        <v>0</v>
      </c>
      <c r="M509">
        <v>143</v>
      </c>
      <c r="N509">
        <f>N147</f>
        <v>0</v>
      </c>
      <c r="Q509">
        <f>IF(Charts!$B$3="none",E2316,IF(K2316="",NA(),K2316))</f>
        <v>0</v>
      </c>
      <c r="R509">
        <f>IF(Charts!$B$3="none",F2316,IF(L2316="",NA(),L2316))</f>
        <v>0</v>
      </c>
      <c r="S509">
        <f>IF(Charts!$B$3="none",G2316,IF(M2316="",NA(),M2316))</f>
        <v>0</v>
      </c>
      <c r="T509">
        <f>IF(Charts!$B$3="none",H2316,IF(N2316="",NA(),N2316))</f>
        <v>0</v>
      </c>
    </row>
    <row r="510" spans="5:20">
      <c r="E510">
        <v>144</v>
      </c>
      <c r="F510">
        <f>F148</f>
        <v>0</v>
      </c>
      <c r="G510">
        <v>144</v>
      </c>
      <c r="H510">
        <f>H148</f>
        <v>0</v>
      </c>
      <c r="K510">
        <v>144</v>
      </c>
      <c r="L510">
        <f>L148</f>
        <v>0</v>
      </c>
      <c r="M510">
        <v>144</v>
      </c>
      <c r="N510">
        <f>N148</f>
        <v>0</v>
      </c>
      <c r="Q510">
        <f>IF(Charts!$B$3="none",E2317,IF(K2317="",NA(),K2317))</f>
        <v>0</v>
      </c>
      <c r="R510">
        <f>IF(Charts!$B$3="none",F2317,IF(L2317="",NA(),L2317))</f>
        <v>0</v>
      </c>
      <c r="S510">
        <f>IF(Charts!$B$3="none",G2317,IF(M2317="",NA(),M2317))</f>
        <v>0</v>
      </c>
      <c r="T510">
        <f>IF(Charts!$B$3="none",H2317,IF(N2317="",NA(),N2317))</f>
        <v>0</v>
      </c>
    </row>
    <row r="511" spans="5:20">
      <c r="E511">
        <v>145</v>
      </c>
      <c r="F511">
        <f>F149</f>
        <v>0</v>
      </c>
      <c r="G511">
        <v>145</v>
      </c>
      <c r="H511">
        <f>H149</f>
        <v>0</v>
      </c>
      <c r="K511">
        <v>145</v>
      </c>
      <c r="L511">
        <f>L149</f>
        <v>0</v>
      </c>
      <c r="M511">
        <v>145</v>
      </c>
      <c r="N511">
        <f>N149</f>
        <v>0</v>
      </c>
      <c r="Q511">
        <f>IF(Charts!$B$3="none",E2318,IF(K2318="",NA(),K2318))</f>
        <v>0</v>
      </c>
      <c r="R511">
        <f>IF(Charts!$B$3="none",F2318,IF(L2318="",NA(),L2318))</f>
        <v>0</v>
      </c>
      <c r="S511">
        <f>IF(Charts!$B$3="none",G2318,IF(M2318="",NA(),M2318))</f>
        <v>0</v>
      </c>
      <c r="T511">
        <f>IF(Charts!$B$3="none",H2318,IF(N2318="",NA(),N2318))</f>
        <v>0</v>
      </c>
    </row>
    <row r="512" spans="5:20">
      <c r="E512">
        <v>146</v>
      </c>
      <c r="F512">
        <f>F150</f>
        <v>0</v>
      </c>
      <c r="G512">
        <v>146</v>
      </c>
      <c r="H512">
        <f>H150</f>
        <v>0</v>
      </c>
      <c r="K512">
        <v>146</v>
      </c>
      <c r="L512">
        <f>L150</f>
        <v>0</v>
      </c>
      <c r="M512">
        <v>146</v>
      </c>
      <c r="N512">
        <f>N150</f>
        <v>0</v>
      </c>
      <c r="Q512">
        <f>IF(Charts!$B$3="none",E2319,IF(K2319="",NA(),K2319))</f>
        <v>0</v>
      </c>
      <c r="R512">
        <f>IF(Charts!$B$3="none",F2319,IF(L2319="",NA(),L2319))</f>
        <v>0</v>
      </c>
      <c r="S512">
        <f>IF(Charts!$B$3="none",G2319,IF(M2319="",NA(),M2319))</f>
        <v>0</v>
      </c>
      <c r="T512">
        <f>IF(Charts!$B$3="none",H2319,IF(N2319="",NA(),N2319))</f>
        <v>0</v>
      </c>
    </row>
    <row r="513" spans="5:20">
      <c r="E513">
        <v>147</v>
      </c>
      <c r="F513">
        <f>F151</f>
        <v>0</v>
      </c>
      <c r="G513">
        <v>147</v>
      </c>
      <c r="H513">
        <f>H151</f>
        <v>0</v>
      </c>
      <c r="K513">
        <v>147</v>
      </c>
      <c r="L513">
        <f>L151</f>
        <v>0</v>
      </c>
      <c r="M513">
        <v>147</v>
      </c>
      <c r="N513">
        <f>N151</f>
        <v>0</v>
      </c>
      <c r="Q513">
        <f>IF(Charts!$B$3="none",E2320,IF(K2320="",NA(),K2320))</f>
        <v>0</v>
      </c>
      <c r="R513">
        <f>IF(Charts!$B$3="none",F2320,IF(L2320="",NA(),L2320))</f>
        <v>0</v>
      </c>
      <c r="S513">
        <f>IF(Charts!$B$3="none",G2320,IF(M2320="",NA(),M2320))</f>
        <v>0</v>
      </c>
      <c r="T513">
        <f>IF(Charts!$B$3="none",H2320,IF(N2320="",NA(),N2320))</f>
        <v>0</v>
      </c>
    </row>
    <row r="514" spans="5:20">
      <c r="E514">
        <v>148</v>
      </c>
      <c r="F514">
        <f>F152</f>
        <v>0</v>
      </c>
      <c r="G514">
        <v>148</v>
      </c>
      <c r="H514">
        <f>H152</f>
        <v>0</v>
      </c>
      <c r="K514">
        <v>148</v>
      </c>
      <c r="L514">
        <f>L152</f>
        <v>0</v>
      </c>
      <c r="M514">
        <v>148</v>
      </c>
      <c r="N514">
        <f>N152</f>
        <v>0</v>
      </c>
      <c r="Q514">
        <f>IF(Charts!$B$3="none",E2321,IF(K2321="",NA(),K2321))</f>
        <v>0</v>
      </c>
      <c r="R514">
        <f>IF(Charts!$B$3="none",F2321,IF(L2321="",NA(),L2321))</f>
        <v>0</v>
      </c>
      <c r="S514">
        <f>IF(Charts!$B$3="none",G2321,IF(M2321="",NA(),M2321))</f>
        <v>0</v>
      </c>
      <c r="T514">
        <f>IF(Charts!$B$3="none",H2321,IF(N2321="",NA(),N2321))</f>
        <v>0</v>
      </c>
    </row>
    <row r="515" spans="5:20">
      <c r="E515">
        <v>149</v>
      </c>
      <c r="F515">
        <f>F153</f>
        <v>0</v>
      </c>
      <c r="G515">
        <v>149</v>
      </c>
      <c r="H515">
        <f>H153</f>
        <v>0</v>
      </c>
      <c r="K515">
        <v>149</v>
      </c>
      <c r="L515">
        <f>L153</f>
        <v>0</v>
      </c>
      <c r="M515">
        <v>149</v>
      </c>
      <c r="N515">
        <f>N153</f>
        <v>0</v>
      </c>
      <c r="Q515">
        <f>IF(Charts!$B$3="none",E2322,IF(K2322="",NA(),K2322))</f>
        <v>0</v>
      </c>
      <c r="R515">
        <f>IF(Charts!$B$3="none",F2322,IF(L2322="",NA(),L2322))</f>
        <v>0</v>
      </c>
      <c r="S515">
        <f>IF(Charts!$B$3="none",G2322,IF(M2322="",NA(),M2322))</f>
        <v>0</v>
      </c>
      <c r="T515">
        <f>IF(Charts!$B$3="none",H2322,IF(N2322="",NA(),N2322))</f>
        <v>0</v>
      </c>
    </row>
    <row r="516" spans="5:20">
      <c r="E516">
        <v>150</v>
      </c>
      <c r="F516">
        <f>F154</f>
        <v>0</v>
      </c>
      <c r="G516">
        <v>150</v>
      </c>
      <c r="H516">
        <f>H154</f>
        <v>0</v>
      </c>
      <c r="K516">
        <v>150</v>
      </c>
      <c r="L516">
        <f>L154</f>
        <v>0</v>
      </c>
      <c r="M516">
        <v>150</v>
      </c>
      <c r="N516">
        <f>N154</f>
        <v>0</v>
      </c>
      <c r="Q516">
        <f>IF(Charts!$B$3="none",E2323,IF(K2323="",NA(),K2323))</f>
        <v>0</v>
      </c>
      <c r="R516">
        <f>IF(Charts!$B$3="none",F2323,IF(L2323="",NA(),L2323))</f>
        <v>0</v>
      </c>
      <c r="S516">
        <f>IF(Charts!$B$3="none",G2323,IF(M2323="",NA(),M2323))</f>
        <v>0</v>
      </c>
      <c r="T516">
        <f>IF(Charts!$B$3="none",H2323,IF(N2323="",NA(),N2323))</f>
        <v>0</v>
      </c>
    </row>
    <row r="517" spans="5:20">
      <c r="E517">
        <v>151</v>
      </c>
      <c r="F517">
        <f>F155</f>
        <v>0</v>
      </c>
      <c r="G517">
        <v>151</v>
      </c>
      <c r="H517">
        <f>H155</f>
        <v>0</v>
      </c>
      <c r="K517">
        <v>151</v>
      </c>
      <c r="L517">
        <f>L155</f>
        <v>0</v>
      </c>
      <c r="M517">
        <v>151</v>
      </c>
      <c r="N517">
        <f>N155</f>
        <v>0</v>
      </c>
      <c r="Q517">
        <f>IF(Charts!$B$3="none",E2324,IF(K2324="",NA(),K2324))</f>
        <v>0</v>
      </c>
      <c r="R517">
        <f>IF(Charts!$B$3="none",F2324,IF(L2324="",NA(),L2324))</f>
        <v>0</v>
      </c>
      <c r="S517">
        <f>IF(Charts!$B$3="none",G2324,IF(M2324="",NA(),M2324))</f>
        <v>0</v>
      </c>
      <c r="T517">
        <f>IF(Charts!$B$3="none",H2324,IF(N2324="",NA(),N2324))</f>
        <v>0</v>
      </c>
    </row>
    <row r="518" spans="5:20">
      <c r="E518">
        <v>152</v>
      </c>
      <c r="F518">
        <f>F156</f>
        <v>0</v>
      </c>
      <c r="G518">
        <v>152</v>
      </c>
      <c r="H518">
        <f>H156</f>
        <v>0</v>
      </c>
      <c r="K518">
        <v>152</v>
      </c>
      <c r="L518">
        <f>L156</f>
        <v>0</v>
      </c>
      <c r="M518">
        <v>152</v>
      </c>
      <c r="N518">
        <f>N156</f>
        <v>0</v>
      </c>
      <c r="Q518">
        <f>IF(Charts!$B$3="none",E2325,IF(K2325="",NA(),K2325))</f>
        <v>0</v>
      </c>
      <c r="R518">
        <f>IF(Charts!$B$3="none",F2325,IF(L2325="",NA(),L2325))</f>
        <v>0</v>
      </c>
      <c r="S518">
        <f>IF(Charts!$B$3="none",G2325,IF(M2325="",NA(),M2325))</f>
        <v>0</v>
      </c>
      <c r="T518">
        <f>IF(Charts!$B$3="none",H2325,IF(N2325="",NA(),N2325))</f>
        <v>0</v>
      </c>
    </row>
    <row r="519" spans="5:20">
      <c r="E519">
        <v>153</v>
      </c>
      <c r="F519">
        <f>F157</f>
        <v>0</v>
      </c>
      <c r="G519">
        <v>153</v>
      </c>
      <c r="H519">
        <f>H157</f>
        <v>0</v>
      </c>
      <c r="K519">
        <v>153</v>
      </c>
      <c r="L519">
        <f>L157</f>
        <v>0</v>
      </c>
      <c r="M519">
        <v>153</v>
      </c>
      <c r="N519">
        <f>N157</f>
        <v>0</v>
      </c>
      <c r="Q519">
        <f>IF(Charts!$B$3="none",E2326,IF(K2326="",NA(),K2326))</f>
        <v>0</v>
      </c>
      <c r="R519">
        <f>IF(Charts!$B$3="none",F2326,IF(L2326="",NA(),L2326))</f>
        <v>0</v>
      </c>
      <c r="S519">
        <f>IF(Charts!$B$3="none",G2326,IF(M2326="",NA(),M2326))</f>
        <v>0</v>
      </c>
      <c r="T519">
        <f>IF(Charts!$B$3="none",H2326,IF(N2326="",NA(),N2326))</f>
        <v>0</v>
      </c>
    </row>
    <row r="520" spans="5:20">
      <c r="E520">
        <v>154</v>
      </c>
      <c r="F520">
        <f>F158</f>
        <v>0</v>
      </c>
      <c r="G520">
        <v>154</v>
      </c>
      <c r="H520">
        <f>H158</f>
        <v>0</v>
      </c>
      <c r="K520">
        <v>154</v>
      </c>
      <c r="L520">
        <f>L158</f>
        <v>0</v>
      </c>
      <c r="M520">
        <v>154</v>
      </c>
      <c r="N520">
        <f>N158</f>
        <v>0</v>
      </c>
      <c r="Q520">
        <f>IF(Charts!$B$3="none",E2327,IF(K2327="",NA(),K2327))</f>
        <v>0</v>
      </c>
      <c r="R520">
        <f>IF(Charts!$B$3="none",F2327,IF(L2327="",NA(),L2327))</f>
        <v>0</v>
      </c>
      <c r="S520">
        <f>IF(Charts!$B$3="none",G2327,IF(M2327="",NA(),M2327))</f>
        <v>0</v>
      </c>
      <c r="T520">
        <f>IF(Charts!$B$3="none",H2327,IF(N2327="",NA(),N2327))</f>
        <v>0</v>
      </c>
    </row>
    <row r="521" spans="5:20">
      <c r="E521">
        <v>155</v>
      </c>
      <c r="F521">
        <f>F159</f>
        <v>0</v>
      </c>
      <c r="G521">
        <v>155</v>
      </c>
      <c r="H521">
        <f>H159</f>
        <v>0</v>
      </c>
      <c r="K521">
        <v>155</v>
      </c>
      <c r="L521">
        <f>L159</f>
        <v>0</v>
      </c>
      <c r="M521">
        <v>155</v>
      </c>
      <c r="N521">
        <f>N159</f>
        <v>0</v>
      </c>
      <c r="Q521">
        <f>IF(Charts!$B$3="none",E2328,IF(K2328="",NA(),K2328))</f>
        <v>0</v>
      </c>
      <c r="R521">
        <f>IF(Charts!$B$3="none",F2328,IF(L2328="",NA(),L2328))</f>
        <v>0</v>
      </c>
      <c r="S521">
        <f>IF(Charts!$B$3="none",G2328,IF(M2328="",NA(),M2328))</f>
        <v>0</v>
      </c>
      <c r="T521">
        <f>IF(Charts!$B$3="none",H2328,IF(N2328="",NA(),N2328))</f>
        <v>0</v>
      </c>
    </row>
    <row r="522" spans="5:20">
      <c r="E522">
        <v>156</v>
      </c>
      <c r="F522">
        <f>F160</f>
        <v>0</v>
      </c>
      <c r="G522">
        <v>156</v>
      </c>
      <c r="H522">
        <f>H160</f>
        <v>0</v>
      </c>
      <c r="K522">
        <v>156</v>
      </c>
      <c r="L522">
        <f>L160</f>
        <v>0</v>
      </c>
      <c r="M522">
        <v>156</v>
      </c>
      <c r="N522">
        <f>N160</f>
        <v>0</v>
      </c>
      <c r="Q522">
        <f>IF(Charts!$B$3="none",E2329,IF(K2329="",NA(),K2329))</f>
        <v>0</v>
      </c>
      <c r="R522">
        <f>IF(Charts!$B$3="none",F2329,IF(L2329="",NA(),L2329))</f>
        <v>0</v>
      </c>
      <c r="S522">
        <f>IF(Charts!$B$3="none",G2329,IF(M2329="",NA(),M2329))</f>
        <v>0</v>
      </c>
      <c r="T522">
        <f>IF(Charts!$B$3="none",H2329,IF(N2329="",NA(),N2329))</f>
        <v>0</v>
      </c>
    </row>
    <row r="523" spans="5:20">
      <c r="E523">
        <v>157</v>
      </c>
      <c r="F523">
        <f>F161</f>
        <v>0</v>
      </c>
      <c r="G523">
        <v>157</v>
      </c>
      <c r="H523">
        <f>H161</f>
        <v>0</v>
      </c>
      <c r="K523">
        <v>157</v>
      </c>
      <c r="L523">
        <f>L161</f>
        <v>0</v>
      </c>
      <c r="M523">
        <v>157</v>
      </c>
      <c r="N523">
        <f>N161</f>
        <v>0</v>
      </c>
      <c r="Q523">
        <f>IF(Charts!$B$3="none",E2330,IF(K2330="",NA(),K2330))</f>
        <v>0</v>
      </c>
      <c r="R523">
        <f>IF(Charts!$B$3="none",F2330,IF(L2330="",NA(),L2330))</f>
        <v>0</v>
      </c>
      <c r="S523">
        <f>IF(Charts!$B$3="none",G2330,IF(M2330="",NA(),M2330))</f>
        <v>0</v>
      </c>
      <c r="T523">
        <f>IF(Charts!$B$3="none",H2330,IF(N2330="",NA(),N2330))</f>
        <v>0</v>
      </c>
    </row>
    <row r="524" spans="5:20">
      <c r="E524">
        <v>158</v>
      </c>
      <c r="F524">
        <f>F162</f>
        <v>0</v>
      </c>
      <c r="G524">
        <v>158</v>
      </c>
      <c r="H524">
        <f>H162</f>
        <v>0</v>
      </c>
      <c r="K524">
        <v>158</v>
      </c>
      <c r="L524">
        <f>L162</f>
        <v>0</v>
      </c>
      <c r="M524">
        <v>158</v>
      </c>
      <c r="N524">
        <f>N162</f>
        <v>0</v>
      </c>
      <c r="Q524">
        <f>IF(Charts!$B$3="none",E2331,IF(K2331="",NA(),K2331))</f>
        <v>0</v>
      </c>
      <c r="R524">
        <f>IF(Charts!$B$3="none",F2331,IF(L2331="",NA(),L2331))</f>
        <v>0</v>
      </c>
      <c r="S524">
        <f>IF(Charts!$B$3="none",G2331,IF(M2331="",NA(),M2331))</f>
        <v>0</v>
      </c>
      <c r="T524">
        <f>IF(Charts!$B$3="none",H2331,IF(N2331="",NA(),N2331))</f>
        <v>0</v>
      </c>
    </row>
    <row r="525" spans="5:20">
      <c r="E525">
        <v>159</v>
      </c>
      <c r="F525">
        <f>F163</f>
        <v>0</v>
      </c>
      <c r="G525">
        <v>159</v>
      </c>
      <c r="H525">
        <f>H163</f>
        <v>0</v>
      </c>
      <c r="K525">
        <v>159</v>
      </c>
      <c r="L525">
        <f>L163</f>
        <v>0</v>
      </c>
      <c r="M525">
        <v>159</v>
      </c>
      <c r="N525">
        <f>N163</f>
        <v>0</v>
      </c>
      <c r="Q525">
        <f>IF(Charts!$B$3="none",E2332,IF(K2332="",NA(),K2332))</f>
        <v>0</v>
      </c>
      <c r="R525">
        <f>IF(Charts!$B$3="none",F2332,IF(L2332="",NA(),L2332))</f>
        <v>0</v>
      </c>
      <c r="S525">
        <f>IF(Charts!$B$3="none",G2332,IF(M2332="",NA(),M2332))</f>
        <v>0</v>
      </c>
      <c r="T525">
        <f>IF(Charts!$B$3="none",H2332,IF(N2332="",NA(),N2332))</f>
        <v>0</v>
      </c>
    </row>
    <row r="526" spans="5:20">
      <c r="E526">
        <v>160</v>
      </c>
      <c r="F526">
        <f>F164</f>
        <v>0</v>
      </c>
      <c r="G526">
        <v>160</v>
      </c>
      <c r="H526">
        <f>H164</f>
        <v>0</v>
      </c>
      <c r="K526">
        <v>160</v>
      </c>
      <c r="L526">
        <f>L164</f>
        <v>0</v>
      </c>
      <c r="M526">
        <v>160</v>
      </c>
      <c r="N526">
        <f>N164</f>
        <v>0</v>
      </c>
      <c r="Q526">
        <f>IF(Charts!$B$3="none",E2333,IF(K2333="",NA(),K2333))</f>
        <v>0</v>
      </c>
      <c r="R526">
        <f>IF(Charts!$B$3="none",F2333,IF(L2333="",NA(),L2333))</f>
        <v>0</v>
      </c>
      <c r="S526">
        <f>IF(Charts!$B$3="none",G2333,IF(M2333="",NA(),M2333))</f>
        <v>0</v>
      </c>
      <c r="T526">
        <f>IF(Charts!$B$3="none",H2333,IF(N2333="",NA(),N2333))</f>
        <v>0</v>
      </c>
    </row>
    <row r="527" spans="5:20">
      <c r="E527">
        <v>161</v>
      </c>
      <c r="F527">
        <f>F165</f>
        <v>0</v>
      </c>
      <c r="G527">
        <v>161</v>
      </c>
      <c r="H527">
        <f>H165</f>
        <v>0</v>
      </c>
      <c r="K527">
        <v>161</v>
      </c>
      <c r="L527">
        <f>L165</f>
        <v>0</v>
      </c>
      <c r="M527">
        <v>161</v>
      </c>
      <c r="N527">
        <f>N165</f>
        <v>0</v>
      </c>
      <c r="Q527">
        <f>IF(Charts!$B$3="none",E2334,IF(K2334="",NA(),K2334))</f>
        <v>0</v>
      </c>
      <c r="R527">
        <f>IF(Charts!$B$3="none",F2334,IF(L2334="",NA(),L2334))</f>
        <v>0</v>
      </c>
      <c r="S527">
        <f>IF(Charts!$B$3="none",G2334,IF(M2334="",NA(),M2334))</f>
        <v>0</v>
      </c>
      <c r="T527">
        <f>IF(Charts!$B$3="none",H2334,IF(N2334="",NA(),N2334))</f>
        <v>0</v>
      </c>
    </row>
    <row r="528" spans="5:20">
      <c r="E528">
        <v>162</v>
      </c>
      <c r="F528">
        <f>F166</f>
        <v>0</v>
      </c>
      <c r="G528">
        <v>162</v>
      </c>
      <c r="H528">
        <f>H166</f>
        <v>0</v>
      </c>
      <c r="K528">
        <v>162</v>
      </c>
      <c r="L528">
        <f>L166</f>
        <v>0</v>
      </c>
      <c r="M528">
        <v>162</v>
      </c>
      <c r="N528">
        <f>N166</f>
        <v>0</v>
      </c>
      <c r="Q528">
        <f>IF(Charts!$B$3="none",E2335,IF(K2335="",NA(),K2335))</f>
        <v>0</v>
      </c>
      <c r="R528">
        <f>IF(Charts!$B$3="none",F2335,IF(L2335="",NA(),L2335))</f>
        <v>0</v>
      </c>
      <c r="S528">
        <f>IF(Charts!$B$3="none",G2335,IF(M2335="",NA(),M2335))</f>
        <v>0</v>
      </c>
      <c r="T528">
        <f>IF(Charts!$B$3="none",H2335,IF(N2335="",NA(),N2335))</f>
        <v>0</v>
      </c>
    </row>
    <row r="529" spans="5:20">
      <c r="E529">
        <v>163</v>
      </c>
      <c r="F529">
        <f>F167</f>
        <v>0</v>
      </c>
      <c r="G529">
        <v>163</v>
      </c>
      <c r="H529">
        <f>H167</f>
        <v>0</v>
      </c>
      <c r="K529">
        <v>163</v>
      </c>
      <c r="L529">
        <f>L167</f>
        <v>0</v>
      </c>
      <c r="M529">
        <v>163</v>
      </c>
      <c r="N529">
        <f>N167</f>
        <v>0</v>
      </c>
      <c r="Q529">
        <f>IF(Charts!$B$3="none",E2336,IF(K2336="",NA(),K2336))</f>
        <v>0</v>
      </c>
      <c r="R529">
        <f>IF(Charts!$B$3="none",F2336,IF(L2336="",NA(),L2336))</f>
        <v>0</v>
      </c>
      <c r="S529">
        <f>IF(Charts!$B$3="none",G2336,IF(M2336="",NA(),M2336))</f>
        <v>0</v>
      </c>
      <c r="T529">
        <f>IF(Charts!$B$3="none",H2336,IF(N2336="",NA(),N2336))</f>
        <v>0</v>
      </c>
    </row>
    <row r="530" spans="5:20">
      <c r="E530">
        <v>164</v>
      </c>
      <c r="F530">
        <f>F168</f>
        <v>0</v>
      </c>
      <c r="G530">
        <v>164</v>
      </c>
      <c r="H530">
        <f>H168</f>
        <v>0</v>
      </c>
      <c r="K530">
        <v>164</v>
      </c>
      <c r="L530">
        <f>L168</f>
        <v>0</v>
      </c>
      <c r="M530">
        <v>164</v>
      </c>
      <c r="N530">
        <f>N168</f>
        <v>0</v>
      </c>
      <c r="Q530">
        <f>IF(Charts!$B$3="none",E2337,IF(K2337="",NA(),K2337))</f>
        <v>0</v>
      </c>
      <c r="R530">
        <f>IF(Charts!$B$3="none",F2337,IF(L2337="",NA(),L2337))</f>
        <v>0</v>
      </c>
      <c r="S530">
        <f>IF(Charts!$B$3="none",G2337,IF(M2337="",NA(),M2337))</f>
        <v>0</v>
      </c>
      <c r="T530">
        <f>IF(Charts!$B$3="none",H2337,IF(N2337="",NA(),N2337))</f>
        <v>0</v>
      </c>
    </row>
    <row r="531" spans="5:20">
      <c r="E531">
        <v>165</v>
      </c>
      <c r="F531">
        <f>F169</f>
        <v>0</v>
      </c>
      <c r="G531">
        <v>165</v>
      </c>
      <c r="H531">
        <f>H169</f>
        <v>0</v>
      </c>
      <c r="K531">
        <v>165</v>
      </c>
      <c r="L531">
        <f>L169</f>
        <v>0</v>
      </c>
      <c r="M531">
        <v>165</v>
      </c>
      <c r="N531">
        <f>N169</f>
        <v>0</v>
      </c>
      <c r="Q531">
        <f>IF(Charts!$B$3="none",E2338,IF(K2338="",NA(),K2338))</f>
        <v>0</v>
      </c>
      <c r="R531">
        <f>IF(Charts!$B$3="none",F2338,IF(L2338="",NA(),L2338))</f>
        <v>0</v>
      </c>
      <c r="S531">
        <f>IF(Charts!$B$3="none",G2338,IF(M2338="",NA(),M2338))</f>
        <v>0</v>
      </c>
      <c r="T531">
        <f>IF(Charts!$B$3="none",H2338,IF(N2338="",NA(),N2338))</f>
        <v>0</v>
      </c>
    </row>
    <row r="532" spans="5:20">
      <c r="E532">
        <v>166</v>
      </c>
      <c r="F532">
        <f>F170</f>
        <v>0</v>
      </c>
      <c r="G532">
        <v>166</v>
      </c>
      <c r="H532">
        <f>H170</f>
        <v>0</v>
      </c>
      <c r="K532">
        <v>166</v>
      </c>
      <c r="L532">
        <f>L170</f>
        <v>0</v>
      </c>
      <c r="M532">
        <v>166</v>
      </c>
      <c r="N532">
        <f>N170</f>
        <v>0</v>
      </c>
      <c r="Q532">
        <f>IF(Charts!$B$3="none",E2339,IF(K2339="",NA(),K2339))</f>
        <v>0</v>
      </c>
      <c r="R532">
        <f>IF(Charts!$B$3="none",F2339,IF(L2339="",NA(),L2339))</f>
        <v>0</v>
      </c>
      <c r="S532">
        <f>IF(Charts!$B$3="none",G2339,IF(M2339="",NA(),M2339))</f>
        <v>0</v>
      </c>
      <c r="T532">
        <f>IF(Charts!$B$3="none",H2339,IF(N2339="",NA(),N2339))</f>
        <v>0</v>
      </c>
    </row>
    <row r="533" spans="5:20">
      <c r="E533">
        <v>167</v>
      </c>
      <c r="F533">
        <f>F171</f>
        <v>0</v>
      </c>
      <c r="G533">
        <v>167</v>
      </c>
      <c r="H533">
        <f>H171</f>
        <v>0</v>
      </c>
      <c r="K533">
        <v>167</v>
      </c>
      <c r="L533">
        <f>L171</f>
        <v>0</v>
      </c>
      <c r="M533">
        <v>167</v>
      </c>
      <c r="N533">
        <f>N171</f>
        <v>0</v>
      </c>
      <c r="Q533">
        <f>IF(Charts!$B$3="none",E2340,IF(K2340="",NA(),K2340))</f>
        <v>0</v>
      </c>
      <c r="R533">
        <f>IF(Charts!$B$3="none",F2340,IF(L2340="",NA(),L2340))</f>
        <v>0</v>
      </c>
      <c r="S533">
        <f>IF(Charts!$B$3="none",G2340,IF(M2340="",NA(),M2340))</f>
        <v>0</v>
      </c>
      <c r="T533">
        <f>IF(Charts!$B$3="none",H2340,IF(N2340="",NA(),N2340))</f>
        <v>0</v>
      </c>
    </row>
    <row r="534" spans="5:20">
      <c r="E534">
        <v>168</v>
      </c>
      <c r="F534">
        <f>F172</f>
        <v>0</v>
      </c>
      <c r="G534">
        <v>168</v>
      </c>
      <c r="H534">
        <f>H172</f>
        <v>0</v>
      </c>
      <c r="K534">
        <v>168</v>
      </c>
      <c r="L534">
        <f>L172</f>
        <v>0</v>
      </c>
      <c r="M534">
        <v>168</v>
      </c>
      <c r="N534">
        <f>N172</f>
        <v>0</v>
      </c>
      <c r="Q534">
        <f>IF(Charts!$B$3="none",E2341,IF(K2341="",NA(),K2341))</f>
        <v>0</v>
      </c>
      <c r="R534">
        <f>IF(Charts!$B$3="none",F2341,IF(L2341="",NA(),L2341))</f>
        <v>0</v>
      </c>
      <c r="S534">
        <f>IF(Charts!$B$3="none",G2341,IF(M2341="",NA(),M2341))</f>
        <v>0</v>
      </c>
      <c r="T534">
        <f>IF(Charts!$B$3="none",H2341,IF(N2341="",NA(),N2341))</f>
        <v>0</v>
      </c>
    </row>
    <row r="535" spans="5:20">
      <c r="E535">
        <v>169</v>
      </c>
      <c r="F535">
        <f>F173</f>
        <v>0</v>
      </c>
      <c r="G535">
        <v>169</v>
      </c>
      <c r="H535">
        <f>H173</f>
        <v>0</v>
      </c>
      <c r="K535">
        <v>169</v>
      </c>
      <c r="L535">
        <f>L173</f>
        <v>0</v>
      </c>
      <c r="M535">
        <v>169</v>
      </c>
      <c r="N535">
        <f>N173</f>
        <v>0</v>
      </c>
      <c r="Q535">
        <f>IF(Charts!$B$3="none",E2342,IF(K2342="",NA(),K2342))</f>
        <v>0</v>
      </c>
      <c r="R535">
        <f>IF(Charts!$B$3="none",F2342,IF(L2342="",NA(),L2342))</f>
        <v>0</v>
      </c>
      <c r="S535">
        <f>IF(Charts!$B$3="none",G2342,IF(M2342="",NA(),M2342))</f>
        <v>0</v>
      </c>
      <c r="T535">
        <f>IF(Charts!$B$3="none",H2342,IF(N2342="",NA(),N2342))</f>
        <v>0</v>
      </c>
    </row>
    <row r="536" spans="5:20">
      <c r="E536">
        <v>170</v>
      </c>
      <c r="F536">
        <f>F174</f>
        <v>0</v>
      </c>
      <c r="G536">
        <v>170</v>
      </c>
      <c r="H536">
        <f>H174</f>
        <v>0</v>
      </c>
      <c r="K536">
        <v>170</v>
      </c>
      <c r="L536">
        <f>L174</f>
        <v>0</v>
      </c>
      <c r="M536">
        <v>170</v>
      </c>
      <c r="N536">
        <f>N174</f>
        <v>0</v>
      </c>
      <c r="Q536">
        <f>IF(Charts!$B$3="none",E2343,IF(K2343="",NA(),K2343))</f>
        <v>0</v>
      </c>
      <c r="R536">
        <f>IF(Charts!$B$3="none",F2343,IF(L2343="",NA(),L2343))</f>
        <v>0</v>
      </c>
      <c r="S536">
        <f>IF(Charts!$B$3="none",G2343,IF(M2343="",NA(),M2343))</f>
        <v>0</v>
      </c>
      <c r="T536">
        <f>IF(Charts!$B$3="none",H2343,IF(N2343="",NA(),N2343))</f>
        <v>0</v>
      </c>
    </row>
    <row r="537" spans="5:20">
      <c r="E537">
        <v>171</v>
      </c>
      <c r="F537">
        <f>F175</f>
        <v>0</v>
      </c>
      <c r="G537">
        <v>171</v>
      </c>
      <c r="H537">
        <f>H175</f>
        <v>0</v>
      </c>
      <c r="K537">
        <v>171</v>
      </c>
      <c r="L537">
        <f>L175</f>
        <v>0</v>
      </c>
      <c r="M537">
        <v>171</v>
      </c>
      <c r="N537">
        <f>N175</f>
        <v>0</v>
      </c>
      <c r="Q537">
        <f>IF(Charts!$B$3="none",E2344,IF(K2344="",NA(),K2344))</f>
        <v>0</v>
      </c>
      <c r="R537">
        <f>IF(Charts!$B$3="none",F2344,IF(L2344="",NA(),L2344))</f>
        <v>0</v>
      </c>
      <c r="S537">
        <f>IF(Charts!$B$3="none",G2344,IF(M2344="",NA(),M2344))</f>
        <v>0</v>
      </c>
      <c r="T537">
        <f>IF(Charts!$B$3="none",H2344,IF(N2344="",NA(),N2344))</f>
        <v>0</v>
      </c>
    </row>
    <row r="538" spans="5:20">
      <c r="E538">
        <v>172</v>
      </c>
      <c r="F538">
        <f>F176</f>
        <v>0</v>
      </c>
      <c r="G538">
        <v>172</v>
      </c>
      <c r="H538">
        <f>H176</f>
        <v>0</v>
      </c>
      <c r="K538">
        <v>172</v>
      </c>
      <c r="L538">
        <f>L176</f>
        <v>0</v>
      </c>
      <c r="M538">
        <v>172</v>
      </c>
      <c r="N538">
        <f>N176</f>
        <v>0</v>
      </c>
      <c r="Q538">
        <f>IF(Charts!$B$3="none",E2345,IF(K2345="",NA(),K2345))</f>
        <v>0</v>
      </c>
      <c r="R538">
        <f>IF(Charts!$B$3="none",F2345,IF(L2345="",NA(),L2345))</f>
        <v>0</v>
      </c>
      <c r="S538">
        <f>IF(Charts!$B$3="none",G2345,IF(M2345="",NA(),M2345))</f>
        <v>0</v>
      </c>
      <c r="T538">
        <f>IF(Charts!$B$3="none",H2345,IF(N2345="",NA(),N2345))</f>
        <v>0</v>
      </c>
    </row>
    <row r="539" spans="5:20">
      <c r="E539">
        <v>173</v>
      </c>
      <c r="F539">
        <f>F177</f>
        <v>0</v>
      </c>
      <c r="G539">
        <v>173</v>
      </c>
      <c r="H539">
        <f>H177</f>
        <v>0</v>
      </c>
      <c r="K539">
        <v>173</v>
      </c>
      <c r="L539">
        <f>L177</f>
        <v>0</v>
      </c>
      <c r="M539">
        <v>173</v>
      </c>
      <c r="N539">
        <f>N177</f>
        <v>0</v>
      </c>
      <c r="Q539">
        <f>IF(Charts!$B$3="none",E2346,IF(K2346="",NA(),K2346))</f>
        <v>0</v>
      </c>
      <c r="R539">
        <f>IF(Charts!$B$3="none",F2346,IF(L2346="",NA(),L2346))</f>
        <v>0</v>
      </c>
      <c r="S539">
        <f>IF(Charts!$B$3="none",G2346,IF(M2346="",NA(),M2346))</f>
        <v>0</v>
      </c>
      <c r="T539">
        <f>IF(Charts!$B$3="none",H2346,IF(N2346="",NA(),N2346))</f>
        <v>0</v>
      </c>
    </row>
    <row r="540" spans="5:20">
      <c r="E540">
        <v>174</v>
      </c>
      <c r="F540">
        <f>F178</f>
        <v>0</v>
      </c>
      <c r="G540">
        <v>174</v>
      </c>
      <c r="H540">
        <f>H178</f>
        <v>0</v>
      </c>
      <c r="K540">
        <v>174</v>
      </c>
      <c r="L540">
        <f>L178</f>
        <v>0</v>
      </c>
      <c r="M540">
        <v>174</v>
      </c>
      <c r="N540">
        <f>N178</f>
        <v>0</v>
      </c>
      <c r="Q540">
        <f>IF(Charts!$B$3="none",E2347,IF(K2347="",NA(),K2347))</f>
        <v>0</v>
      </c>
      <c r="R540">
        <f>IF(Charts!$B$3="none",F2347,IF(L2347="",NA(),L2347))</f>
        <v>0</v>
      </c>
      <c r="S540">
        <f>IF(Charts!$B$3="none",G2347,IF(M2347="",NA(),M2347))</f>
        <v>0</v>
      </c>
      <c r="T540">
        <f>IF(Charts!$B$3="none",H2347,IF(N2347="",NA(),N2347))</f>
        <v>0</v>
      </c>
    </row>
    <row r="541" spans="5:20">
      <c r="E541">
        <v>175</v>
      </c>
      <c r="F541">
        <f>F179</f>
        <v>0</v>
      </c>
      <c r="G541">
        <v>175</v>
      </c>
      <c r="H541">
        <f>H179</f>
        <v>0</v>
      </c>
      <c r="K541">
        <v>175</v>
      </c>
      <c r="L541">
        <f>L179</f>
        <v>0</v>
      </c>
      <c r="M541">
        <v>175</v>
      </c>
      <c r="N541">
        <f>N179</f>
        <v>0</v>
      </c>
      <c r="Q541">
        <f>IF(Charts!$B$3="none",E2348,IF(K2348="",NA(),K2348))</f>
        <v>0</v>
      </c>
      <c r="R541">
        <f>IF(Charts!$B$3="none",F2348,IF(L2348="",NA(),L2348))</f>
        <v>0</v>
      </c>
      <c r="S541">
        <f>IF(Charts!$B$3="none",G2348,IF(M2348="",NA(),M2348))</f>
        <v>0</v>
      </c>
      <c r="T541">
        <f>IF(Charts!$B$3="none",H2348,IF(N2348="",NA(),N2348))</f>
        <v>0</v>
      </c>
    </row>
    <row r="542" spans="5:20">
      <c r="E542">
        <v>176</v>
      </c>
      <c r="F542">
        <f>F180</f>
        <v>0</v>
      </c>
      <c r="G542">
        <v>176</v>
      </c>
      <c r="H542">
        <f>H180</f>
        <v>0</v>
      </c>
      <c r="K542">
        <v>176</v>
      </c>
      <c r="L542">
        <f>L180</f>
        <v>0</v>
      </c>
      <c r="M542">
        <v>176</v>
      </c>
      <c r="N542">
        <f>N180</f>
        <v>0</v>
      </c>
      <c r="Q542">
        <f>IF(Charts!$B$3="none",E2349,IF(K2349="",NA(),K2349))</f>
        <v>0</v>
      </c>
      <c r="R542">
        <f>IF(Charts!$B$3="none",F2349,IF(L2349="",NA(),L2349))</f>
        <v>0</v>
      </c>
      <c r="S542">
        <f>IF(Charts!$B$3="none",G2349,IF(M2349="",NA(),M2349))</f>
        <v>0</v>
      </c>
      <c r="T542">
        <f>IF(Charts!$B$3="none",H2349,IF(N2349="",NA(),N2349))</f>
        <v>0</v>
      </c>
    </row>
    <row r="543" spans="5:20">
      <c r="E543">
        <v>177</v>
      </c>
      <c r="F543">
        <f>F181</f>
        <v>0</v>
      </c>
      <c r="G543">
        <v>177</v>
      </c>
      <c r="H543">
        <f>H181</f>
        <v>0</v>
      </c>
      <c r="K543">
        <v>177</v>
      </c>
      <c r="L543">
        <f>L181</f>
        <v>0</v>
      </c>
      <c r="M543">
        <v>177</v>
      </c>
      <c r="N543">
        <f>N181</f>
        <v>0</v>
      </c>
      <c r="Q543">
        <f>IF(Charts!$B$3="none",E2350,IF(K2350="",NA(),K2350))</f>
        <v>0</v>
      </c>
      <c r="R543">
        <f>IF(Charts!$B$3="none",F2350,IF(L2350="",NA(),L2350))</f>
        <v>0</v>
      </c>
      <c r="S543">
        <f>IF(Charts!$B$3="none",G2350,IF(M2350="",NA(),M2350))</f>
        <v>0</v>
      </c>
      <c r="T543">
        <f>IF(Charts!$B$3="none",H2350,IF(N2350="",NA(),N2350))</f>
        <v>0</v>
      </c>
    </row>
    <row r="544" spans="5:20">
      <c r="E544">
        <v>178</v>
      </c>
      <c r="F544">
        <f>F182</f>
        <v>0</v>
      </c>
      <c r="G544">
        <v>178</v>
      </c>
      <c r="H544">
        <f>H182</f>
        <v>0</v>
      </c>
      <c r="K544">
        <v>178</v>
      </c>
      <c r="L544">
        <f>L182</f>
        <v>0</v>
      </c>
      <c r="M544">
        <v>178</v>
      </c>
      <c r="N544">
        <f>N182</f>
        <v>0</v>
      </c>
      <c r="Q544">
        <f>IF(Charts!$B$3="none",E2351,IF(K2351="",NA(),K2351))</f>
        <v>0</v>
      </c>
      <c r="R544">
        <f>IF(Charts!$B$3="none",F2351,IF(L2351="",NA(),L2351))</f>
        <v>0</v>
      </c>
      <c r="S544">
        <f>IF(Charts!$B$3="none",G2351,IF(M2351="",NA(),M2351))</f>
        <v>0</v>
      </c>
      <c r="T544">
        <f>IF(Charts!$B$3="none",H2351,IF(N2351="",NA(),N2351))</f>
        <v>0</v>
      </c>
    </row>
    <row r="545" spans="5:20">
      <c r="E545">
        <v>179</v>
      </c>
      <c r="F545">
        <f>F183</f>
        <v>0</v>
      </c>
      <c r="G545">
        <v>179</v>
      </c>
      <c r="H545">
        <f>H183</f>
        <v>0</v>
      </c>
      <c r="K545">
        <v>179</v>
      </c>
      <c r="L545">
        <f>L183</f>
        <v>0</v>
      </c>
      <c r="M545">
        <v>179</v>
      </c>
      <c r="N545">
        <f>N183</f>
        <v>0</v>
      </c>
      <c r="Q545">
        <f>IF(Charts!$B$3="none",E2352,IF(K2352="",NA(),K2352))</f>
        <v>0</v>
      </c>
      <c r="R545">
        <f>IF(Charts!$B$3="none",F2352,IF(L2352="",NA(),L2352))</f>
        <v>0</v>
      </c>
      <c r="S545">
        <f>IF(Charts!$B$3="none",G2352,IF(M2352="",NA(),M2352))</f>
        <v>0</v>
      </c>
      <c r="T545">
        <f>IF(Charts!$B$3="none",H2352,IF(N2352="",NA(),N2352))</f>
        <v>0</v>
      </c>
    </row>
    <row r="546" spans="5:20">
      <c r="E546">
        <v>180</v>
      </c>
      <c r="F546">
        <f>F184</f>
        <v>0</v>
      </c>
      <c r="G546">
        <v>180</v>
      </c>
      <c r="H546">
        <f>H184</f>
        <v>0</v>
      </c>
      <c r="K546">
        <v>180</v>
      </c>
      <c r="L546">
        <f>L184</f>
        <v>0</v>
      </c>
      <c r="M546">
        <v>180</v>
      </c>
      <c r="N546">
        <f>N184</f>
        <v>0</v>
      </c>
      <c r="Q546">
        <f>IF(Charts!$B$3="none",E2353,IF(K2353="",NA(),K2353))</f>
        <v>0</v>
      </c>
      <c r="R546">
        <f>IF(Charts!$B$3="none",F2353,IF(L2353="",NA(),L2353))</f>
        <v>0</v>
      </c>
      <c r="S546">
        <f>IF(Charts!$B$3="none",G2353,IF(M2353="",NA(),M2353))</f>
        <v>0</v>
      </c>
      <c r="T546">
        <f>IF(Charts!$B$3="none",H2353,IF(N2353="",NA(),N2353))</f>
        <v>0</v>
      </c>
    </row>
    <row r="547" spans="5:20">
      <c r="E547">
        <v>181</v>
      </c>
      <c r="F547">
        <f>F185</f>
        <v>0</v>
      </c>
      <c r="G547">
        <v>181</v>
      </c>
      <c r="H547">
        <f>H185</f>
        <v>0</v>
      </c>
      <c r="K547">
        <v>181</v>
      </c>
      <c r="L547">
        <f>L185</f>
        <v>0</v>
      </c>
      <c r="M547">
        <v>181</v>
      </c>
      <c r="N547">
        <f>N185</f>
        <v>0</v>
      </c>
      <c r="Q547">
        <f>IF(Charts!$B$3="none",E2354,IF(K2354="",NA(),K2354))</f>
        <v>0</v>
      </c>
      <c r="R547">
        <f>IF(Charts!$B$3="none",F2354,IF(L2354="",NA(),L2354))</f>
        <v>0</v>
      </c>
      <c r="S547">
        <f>IF(Charts!$B$3="none",G2354,IF(M2354="",NA(),M2354))</f>
        <v>0</v>
      </c>
      <c r="T547">
        <f>IF(Charts!$B$3="none",H2354,IF(N2354="",NA(),N2354))</f>
        <v>0</v>
      </c>
    </row>
    <row r="548" spans="5:20">
      <c r="E548">
        <v>182</v>
      </c>
      <c r="F548">
        <f>F186</f>
        <v>0</v>
      </c>
      <c r="G548">
        <v>182</v>
      </c>
      <c r="H548">
        <f>H186</f>
        <v>0</v>
      </c>
      <c r="K548">
        <v>182</v>
      </c>
      <c r="L548">
        <f>L186</f>
        <v>0</v>
      </c>
      <c r="M548">
        <v>182</v>
      </c>
      <c r="N548">
        <f>N186</f>
        <v>0</v>
      </c>
      <c r="Q548">
        <f>IF(Charts!$B$3="none",E2355,IF(K2355="",NA(),K2355))</f>
        <v>0</v>
      </c>
      <c r="R548">
        <f>IF(Charts!$B$3="none",F2355,IF(L2355="",NA(),L2355))</f>
        <v>0</v>
      </c>
      <c r="S548">
        <f>IF(Charts!$B$3="none",G2355,IF(M2355="",NA(),M2355))</f>
        <v>0</v>
      </c>
      <c r="T548">
        <f>IF(Charts!$B$3="none",H2355,IF(N2355="",NA(),N2355))</f>
        <v>0</v>
      </c>
    </row>
    <row r="549" spans="5:20">
      <c r="E549">
        <v>183</v>
      </c>
      <c r="F549">
        <f>F187</f>
        <v>0</v>
      </c>
      <c r="G549">
        <v>183</v>
      </c>
      <c r="H549">
        <f>H187</f>
        <v>0</v>
      </c>
      <c r="K549">
        <v>183</v>
      </c>
      <c r="L549">
        <f>L187</f>
        <v>0</v>
      </c>
      <c r="M549">
        <v>183</v>
      </c>
      <c r="N549">
        <f>N187</f>
        <v>0</v>
      </c>
      <c r="Q549">
        <f>IF(Charts!$B$3="none",E2356,IF(K2356="",NA(),K2356))</f>
        <v>0</v>
      </c>
      <c r="R549">
        <f>IF(Charts!$B$3="none",F2356,IF(L2356="",NA(),L2356))</f>
        <v>0</v>
      </c>
      <c r="S549">
        <f>IF(Charts!$B$3="none",G2356,IF(M2356="",NA(),M2356))</f>
        <v>0</v>
      </c>
      <c r="T549">
        <f>IF(Charts!$B$3="none",H2356,IF(N2356="",NA(),N2356))</f>
        <v>0</v>
      </c>
    </row>
    <row r="550" spans="5:20">
      <c r="E550">
        <v>184</v>
      </c>
      <c r="F550">
        <f>F188</f>
        <v>0</v>
      </c>
      <c r="G550">
        <v>184</v>
      </c>
      <c r="H550">
        <f>H188</f>
        <v>0</v>
      </c>
      <c r="K550">
        <v>184</v>
      </c>
      <c r="L550">
        <f>L188</f>
        <v>0</v>
      </c>
      <c r="M550">
        <v>184</v>
      </c>
      <c r="N550">
        <f>N188</f>
        <v>0</v>
      </c>
      <c r="Q550">
        <f>IF(Charts!$B$3="none",E2357,IF(K2357="",NA(),K2357))</f>
        <v>0</v>
      </c>
      <c r="R550">
        <f>IF(Charts!$B$3="none",F2357,IF(L2357="",NA(),L2357))</f>
        <v>0</v>
      </c>
      <c r="S550">
        <f>IF(Charts!$B$3="none",G2357,IF(M2357="",NA(),M2357))</f>
        <v>0</v>
      </c>
      <c r="T550">
        <f>IF(Charts!$B$3="none",H2357,IF(N2357="",NA(),N2357))</f>
        <v>0</v>
      </c>
    </row>
    <row r="551" spans="5:20">
      <c r="E551">
        <v>185</v>
      </c>
      <c r="F551">
        <f>F189</f>
        <v>0</v>
      </c>
      <c r="G551">
        <v>185</v>
      </c>
      <c r="H551">
        <f>H189</f>
        <v>0</v>
      </c>
      <c r="K551">
        <v>185</v>
      </c>
      <c r="L551">
        <f>L189</f>
        <v>0</v>
      </c>
      <c r="M551">
        <v>185</v>
      </c>
      <c r="N551">
        <f>N189</f>
        <v>0</v>
      </c>
      <c r="Q551">
        <f>IF(Charts!$B$3="none",E2358,IF(K2358="",NA(),K2358))</f>
        <v>0</v>
      </c>
      <c r="R551">
        <f>IF(Charts!$B$3="none",F2358,IF(L2358="",NA(),L2358))</f>
        <v>0</v>
      </c>
      <c r="S551">
        <f>IF(Charts!$B$3="none",G2358,IF(M2358="",NA(),M2358))</f>
        <v>0</v>
      </c>
      <c r="T551">
        <f>IF(Charts!$B$3="none",H2358,IF(N2358="",NA(),N2358))</f>
        <v>0</v>
      </c>
    </row>
    <row r="552" spans="5:20">
      <c r="E552">
        <v>186</v>
      </c>
      <c r="F552">
        <f>F190</f>
        <v>0</v>
      </c>
      <c r="G552">
        <v>186</v>
      </c>
      <c r="H552">
        <f>H190</f>
        <v>0</v>
      </c>
      <c r="K552">
        <v>186</v>
      </c>
      <c r="L552">
        <f>L190</f>
        <v>0</v>
      </c>
      <c r="M552">
        <v>186</v>
      </c>
      <c r="N552">
        <f>N190</f>
        <v>0</v>
      </c>
      <c r="Q552">
        <f>IF(Charts!$B$3="none",E2359,IF(K2359="",NA(),K2359))</f>
        <v>0</v>
      </c>
      <c r="R552">
        <f>IF(Charts!$B$3="none",F2359,IF(L2359="",NA(),L2359))</f>
        <v>0</v>
      </c>
      <c r="S552">
        <f>IF(Charts!$B$3="none",G2359,IF(M2359="",NA(),M2359))</f>
        <v>0</v>
      </c>
      <c r="T552">
        <f>IF(Charts!$B$3="none",H2359,IF(N2359="",NA(),N2359))</f>
        <v>0</v>
      </c>
    </row>
    <row r="553" spans="5:20">
      <c r="E553">
        <v>187</v>
      </c>
      <c r="F553">
        <f>F191</f>
        <v>0</v>
      </c>
      <c r="G553">
        <v>187</v>
      </c>
      <c r="H553">
        <f>H191</f>
        <v>0</v>
      </c>
      <c r="K553">
        <v>187</v>
      </c>
      <c r="L553">
        <f>L191</f>
        <v>0</v>
      </c>
      <c r="M553">
        <v>187</v>
      </c>
      <c r="N553">
        <f>N191</f>
        <v>0</v>
      </c>
      <c r="Q553">
        <f>IF(Charts!$B$3="none",E2360,IF(K2360="",NA(),K2360))</f>
        <v>0</v>
      </c>
      <c r="R553">
        <f>IF(Charts!$B$3="none",F2360,IF(L2360="",NA(),L2360))</f>
        <v>0</v>
      </c>
      <c r="S553">
        <f>IF(Charts!$B$3="none",G2360,IF(M2360="",NA(),M2360))</f>
        <v>0</v>
      </c>
      <c r="T553">
        <f>IF(Charts!$B$3="none",H2360,IF(N2360="",NA(),N2360))</f>
        <v>0</v>
      </c>
    </row>
    <row r="554" spans="5:20">
      <c r="E554">
        <v>188</v>
      </c>
      <c r="F554">
        <f>F192</f>
        <v>0</v>
      </c>
      <c r="G554">
        <v>188</v>
      </c>
      <c r="H554">
        <f>H192</f>
        <v>0</v>
      </c>
      <c r="K554">
        <v>188</v>
      </c>
      <c r="L554">
        <f>L192</f>
        <v>0</v>
      </c>
      <c r="M554">
        <v>188</v>
      </c>
      <c r="N554">
        <f>N192</f>
        <v>0</v>
      </c>
      <c r="Q554">
        <f>IF(Charts!$B$3="none",E2361,IF(K2361="",NA(),K2361))</f>
        <v>0</v>
      </c>
      <c r="R554">
        <f>IF(Charts!$B$3="none",F2361,IF(L2361="",NA(),L2361))</f>
        <v>0</v>
      </c>
      <c r="S554">
        <f>IF(Charts!$B$3="none",G2361,IF(M2361="",NA(),M2361))</f>
        <v>0</v>
      </c>
      <c r="T554">
        <f>IF(Charts!$B$3="none",H2361,IF(N2361="",NA(),N2361))</f>
        <v>0</v>
      </c>
    </row>
    <row r="555" spans="5:20">
      <c r="E555">
        <v>189</v>
      </c>
      <c r="F555">
        <f>F193</f>
        <v>0</v>
      </c>
      <c r="G555">
        <v>189</v>
      </c>
      <c r="H555">
        <f>H193</f>
        <v>0</v>
      </c>
      <c r="K555">
        <v>189</v>
      </c>
      <c r="L555">
        <f>L193</f>
        <v>0</v>
      </c>
      <c r="M555">
        <v>189</v>
      </c>
      <c r="N555">
        <f>N193</f>
        <v>0</v>
      </c>
      <c r="Q555">
        <f>IF(Charts!$B$3="none",E2362,IF(K2362="",NA(),K2362))</f>
        <v>0</v>
      </c>
      <c r="R555">
        <f>IF(Charts!$B$3="none",F2362,IF(L2362="",NA(),L2362))</f>
        <v>0</v>
      </c>
      <c r="S555">
        <f>IF(Charts!$B$3="none",G2362,IF(M2362="",NA(),M2362))</f>
        <v>0</v>
      </c>
      <c r="T555">
        <f>IF(Charts!$B$3="none",H2362,IF(N2362="",NA(),N2362))</f>
        <v>0</v>
      </c>
    </row>
    <row r="556" spans="5:20">
      <c r="E556">
        <v>190</v>
      </c>
      <c r="F556">
        <f>F194</f>
        <v>0</v>
      </c>
      <c r="G556">
        <v>190</v>
      </c>
      <c r="H556">
        <f>H194</f>
        <v>0</v>
      </c>
      <c r="K556">
        <v>190</v>
      </c>
      <c r="L556">
        <f>L194</f>
        <v>0</v>
      </c>
      <c r="M556">
        <v>190</v>
      </c>
      <c r="N556">
        <f>N194</f>
        <v>0</v>
      </c>
      <c r="Q556">
        <f>IF(Charts!$B$3="none",E2363,IF(K2363="",NA(),K2363))</f>
        <v>0</v>
      </c>
      <c r="R556">
        <f>IF(Charts!$B$3="none",F2363,IF(L2363="",NA(),L2363))</f>
        <v>0</v>
      </c>
      <c r="S556">
        <f>IF(Charts!$B$3="none",G2363,IF(M2363="",NA(),M2363))</f>
        <v>0</v>
      </c>
      <c r="T556">
        <f>IF(Charts!$B$3="none",H2363,IF(N2363="",NA(),N2363))</f>
        <v>0</v>
      </c>
    </row>
    <row r="557" spans="5:20">
      <c r="E557">
        <v>191</v>
      </c>
      <c r="F557">
        <f>F195</f>
        <v>0</v>
      </c>
      <c r="G557">
        <v>191</v>
      </c>
      <c r="H557">
        <f>H195</f>
        <v>0</v>
      </c>
      <c r="K557">
        <v>191</v>
      </c>
      <c r="L557">
        <f>L195</f>
        <v>0</v>
      </c>
      <c r="M557">
        <v>191</v>
      </c>
      <c r="N557">
        <f>N195</f>
        <v>0</v>
      </c>
      <c r="Q557">
        <f>IF(Charts!$B$3="none",E2364,IF(K2364="",NA(),K2364))</f>
        <v>0</v>
      </c>
      <c r="R557">
        <f>IF(Charts!$B$3="none",F2364,IF(L2364="",NA(),L2364))</f>
        <v>0</v>
      </c>
      <c r="S557">
        <f>IF(Charts!$B$3="none",G2364,IF(M2364="",NA(),M2364))</f>
        <v>0</v>
      </c>
      <c r="T557">
        <f>IF(Charts!$B$3="none",H2364,IF(N2364="",NA(),N2364))</f>
        <v>0</v>
      </c>
    </row>
    <row r="558" spans="5:20">
      <c r="E558">
        <v>192</v>
      </c>
      <c r="F558">
        <f>F196</f>
        <v>0</v>
      </c>
      <c r="G558">
        <v>192</v>
      </c>
      <c r="H558">
        <f>H196</f>
        <v>0</v>
      </c>
      <c r="K558">
        <v>192</v>
      </c>
      <c r="L558">
        <f>L196</f>
        <v>0</v>
      </c>
      <c r="M558">
        <v>192</v>
      </c>
      <c r="N558">
        <f>N196</f>
        <v>0</v>
      </c>
      <c r="Q558">
        <f>IF(Charts!$B$3="none",E2365,IF(K2365="",NA(),K2365))</f>
        <v>0</v>
      </c>
      <c r="R558">
        <f>IF(Charts!$B$3="none",F2365,IF(L2365="",NA(),L2365))</f>
        <v>0</v>
      </c>
      <c r="S558">
        <f>IF(Charts!$B$3="none",G2365,IF(M2365="",NA(),M2365))</f>
        <v>0</v>
      </c>
      <c r="T558">
        <f>IF(Charts!$B$3="none",H2365,IF(N2365="",NA(),N2365))</f>
        <v>0</v>
      </c>
    </row>
    <row r="559" spans="5:20">
      <c r="E559">
        <v>193</v>
      </c>
      <c r="F559">
        <f>F197</f>
        <v>0</v>
      </c>
      <c r="G559">
        <v>193</v>
      </c>
      <c r="H559">
        <f>H197</f>
        <v>0</v>
      </c>
      <c r="K559">
        <v>193</v>
      </c>
      <c r="L559">
        <f>L197</f>
        <v>0</v>
      </c>
      <c r="M559">
        <v>193</v>
      </c>
      <c r="N559">
        <f>N197</f>
        <v>0</v>
      </c>
      <c r="Q559">
        <f>IF(Charts!$B$3="none",E2366,IF(K2366="",NA(),K2366))</f>
        <v>0</v>
      </c>
      <c r="R559">
        <f>IF(Charts!$B$3="none",F2366,IF(L2366="",NA(),L2366))</f>
        <v>0</v>
      </c>
      <c r="S559">
        <f>IF(Charts!$B$3="none",G2366,IF(M2366="",NA(),M2366))</f>
        <v>0</v>
      </c>
      <c r="T559">
        <f>IF(Charts!$B$3="none",H2366,IF(N2366="",NA(),N2366))</f>
        <v>0</v>
      </c>
    </row>
    <row r="560" spans="5:20">
      <c r="E560">
        <v>194</v>
      </c>
      <c r="F560">
        <f>F198</f>
        <v>0</v>
      </c>
      <c r="G560">
        <v>194</v>
      </c>
      <c r="H560">
        <f>H198</f>
        <v>0</v>
      </c>
      <c r="K560">
        <v>194</v>
      </c>
      <c r="L560">
        <f>L198</f>
        <v>0</v>
      </c>
      <c r="M560">
        <v>194</v>
      </c>
      <c r="N560">
        <f>N198</f>
        <v>0</v>
      </c>
      <c r="Q560">
        <f>IF(Charts!$B$3="none",E2367,IF(K2367="",NA(),K2367))</f>
        <v>0</v>
      </c>
      <c r="R560">
        <f>IF(Charts!$B$3="none",F2367,IF(L2367="",NA(),L2367))</f>
        <v>0</v>
      </c>
      <c r="S560">
        <f>IF(Charts!$B$3="none",G2367,IF(M2367="",NA(),M2367))</f>
        <v>0</v>
      </c>
      <c r="T560">
        <f>IF(Charts!$B$3="none",H2367,IF(N2367="",NA(),N2367))</f>
        <v>0</v>
      </c>
    </row>
    <row r="561" spans="5:20">
      <c r="E561">
        <v>195</v>
      </c>
      <c r="F561">
        <f>F199</f>
        <v>0</v>
      </c>
      <c r="G561">
        <v>195</v>
      </c>
      <c r="H561">
        <f>H199</f>
        <v>0</v>
      </c>
      <c r="K561">
        <v>195</v>
      </c>
      <c r="L561">
        <f>L199</f>
        <v>0</v>
      </c>
      <c r="M561">
        <v>195</v>
      </c>
      <c r="N561">
        <f>N199</f>
        <v>0</v>
      </c>
      <c r="Q561">
        <f>IF(Charts!$B$3="none",E2368,IF(K2368="",NA(),K2368))</f>
        <v>0</v>
      </c>
      <c r="R561">
        <f>IF(Charts!$B$3="none",F2368,IF(L2368="",NA(),L2368))</f>
        <v>0</v>
      </c>
      <c r="S561">
        <f>IF(Charts!$B$3="none",G2368,IF(M2368="",NA(),M2368))</f>
        <v>0</v>
      </c>
      <c r="T561">
        <f>IF(Charts!$B$3="none",H2368,IF(N2368="",NA(),N2368))</f>
        <v>0</v>
      </c>
    </row>
    <row r="562" spans="5:20">
      <c r="E562">
        <v>196</v>
      </c>
      <c r="F562">
        <f>F200</f>
        <v>0</v>
      </c>
      <c r="G562">
        <v>196</v>
      </c>
      <c r="H562">
        <f>H200</f>
        <v>0</v>
      </c>
      <c r="K562">
        <v>196</v>
      </c>
      <c r="L562">
        <f>L200</f>
        <v>0</v>
      </c>
      <c r="M562">
        <v>196</v>
      </c>
      <c r="N562">
        <f>N200</f>
        <v>0</v>
      </c>
      <c r="Q562">
        <f>IF(Charts!$B$3="none",E2369,IF(K2369="",NA(),K2369))</f>
        <v>0</v>
      </c>
      <c r="R562">
        <f>IF(Charts!$B$3="none",F2369,IF(L2369="",NA(),L2369))</f>
        <v>0</v>
      </c>
      <c r="S562">
        <f>IF(Charts!$B$3="none",G2369,IF(M2369="",NA(),M2369))</f>
        <v>0</v>
      </c>
      <c r="T562">
        <f>IF(Charts!$B$3="none",H2369,IF(N2369="",NA(),N2369))</f>
        <v>0</v>
      </c>
    </row>
    <row r="563" spans="5:20">
      <c r="E563">
        <v>197</v>
      </c>
      <c r="F563">
        <f>F201</f>
        <v>0</v>
      </c>
      <c r="G563">
        <v>197</v>
      </c>
      <c r="H563">
        <f>H201</f>
        <v>0</v>
      </c>
      <c r="K563">
        <v>197</v>
      </c>
      <c r="L563">
        <f>L201</f>
        <v>0</v>
      </c>
      <c r="M563">
        <v>197</v>
      </c>
      <c r="N563">
        <f>N201</f>
        <v>0</v>
      </c>
      <c r="Q563">
        <f>IF(Charts!$B$3="none",E2370,IF(K2370="",NA(),K2370))</f>
        <v>0</v>
      </c>
      <c r="R563">
        <f>IF(Charts!$B$3="none",F2370,IF(L2370="",NA(),L2370))</f>
        <v>0</v>
      </c>
      <c r="S563">
        <f>IF(Charts!$B$3="none",G2370,IF(M2370="",NA(),M2370))</f>
        <v>0</v>
      </c>
      <c r="T563">
        <f>IF(Charts!$B$3="none",H2370,IF(N2370="",NA(),N2370))</f>
        <v>0</v>
      </c>
    </row>
    <row r="564" spans="5:20">
      <c r="E564">
        <v>198</v>
      </c>
      <c r="F564">
        <f>F202</f>
        <v>0</v>
      </c>
      <c r="G564">
        <v>198</v>
      </c>
      <c r="H564">
        <f>H202</f>
        <v>0</v>
      </c>
      <c r="K564">
        <v>198</v>
      </c>
      <c r="L564">
        <f>L202</f>
        <v>0</v>
      </c>
      <c r="M564">
        <v>198</v>
      </c>
      <c r="N564">
        <f>N202</f>
        <v>0</v>
      </c>
      <c r="Q564">
        <f>IF(Charts!$B$3="none",E2371,IF(K2371="",NA(),K2371))</f>
        <v>0</v>
      </c>
      <c r="R564">
        <f>IF(Charts!$B$3="none",F2371,IF(L2371="",NA(),L2371))</f>
        <v>0</v>
      </c>
      <c r="S564">
        <f>IF(Charts!$B$3="none",G2371,IF(M2371="",NA(),M2371))</f>
        <v>0</v>
      </c>
      <c r="T564">
        <f>IF(Charts!$B$3="none",H2371,IF(N2371="",NA(),N2371))</f>
        <v>0</v>
      </c>
    </row>
    <row r="565" spans="5:20">
      <c r="E565">
        <v>199</v>
      </c>
      <c r="F565">
        <f>F203</f>
        <v>0</v>
      </c>
      <c r="G565">
        <v>199</v>
      </c>
      <c r="H565">
        <f>H203</f>
        <v>0</v>
      </c>
      <c r="K565">
        <v>199</v>
      </c>
      <c r="L565">
        <f>L203</f>
        <v>0</v>
      </c>
      <c r="M565">
        <v>199</v>
      </c>
      <c r="N565">
        <f>N203</f>
        <v>0</v>
      </c>
      <c r="Q565">
        <f>IF(Charts!$B$3="none",E2372,IF(K2372="",NA(),K2372))</f>
        <v>0</v>
      </c>
      <c r="R565">
        <f>IF(Charts!$B$3="none",F2372,IF(L2372="",NA(),L2372))</f>
        <v>0</v>
      </c>
      <c r="S565">
        <f>IF(Charts!$B$3="none",G2372,IF(M2372="",NA(),M2372))</f>
        <v>0</v>
      </c>
      <c r="T565">
        <f>IF(Charts!$B$3="none",H2372,IF(N2372="",NA(),N2372))</f>
        <v>0</v>
      </c>
    </row>
    <row r="566" spans="5:20">
      <c r="E566">
        <v>200</v>
      </c>
      <c r="F566">
        <f>F204</f>
        <v>0</v>
      </c>
      <c r="G566">
        <v>200</v>
      </c>
      <c r="H566">
        <f>H204</f>
        <v>0</v>
      </c>
      <c r="K566">
        <v>200</v>
      </c>
      <c r="L566">
        <f>L204</f>
        <v>0</v>
      </c>
      <c r="M566">
        <v>200</v>
      </c>
      <c r="N566">
        <f>N204</f>
        <v>0</v>
      </c>
      <c r="Q566">
        <f>IF(Charts!$B$3="none",E2373,IF(K2373="",NA(),K2373))</f>
        <v>0</v>
      </c>
      <c r="R566">
        <f>IF(Charts!$B$3="none",F2373,IF(L2373="",NA(),L2373))</f>
        <v>0</v>
      </c>
      <c r="S566">
        <f>IF(Charts!$B$3="none",G2373,IF(M2373="",NA(),M2373))</f>
        <v>0</v>
      </c>
      <c r="T566">
        <f>IF(Charts!$B$3="none",H2373,IF(N2373="",NA(),N2373))</f>
        <v>0</v>
      </c>
    </row>
    <row r="567" spans="5:20">
      <c r="E567">
        <v>201</v>
      </c>
      <c r="F567">
        <f>F205</f>
        <v>0</v>
      </c>
      <c r="G567">
        <v>201</v>
      </c>
      <c r="H567">
        <f>H205</f>
        <v>0</v>
      </c>
      <c r="K567">
        <v>201</v>
      </c>
      <c r="L567">
        <f>L205</f>
        <v>0</v>
      </c>
      <c r="M567">
        <v>201</v>
      </c>
      <c r="N567">
        <f>N205</f>
        <v>0</v>
      </c>
      <c r="Q567">
        <f>IF(Charts!$B$3="none",E2374,IF(K2374="",NA(),K2374))</f>
        <v>0</v>
      </c>
      <c r="R567">
        <f>IF(Charts!$B$3="none",F2374,IF(L2374="",NA(),L2374))</f>
        <v>0</v>
      </c>
      <c r="S567">
        <f>IF(Charts!$B$3="none",G2374,IF(M2374="",NA(),M2374))</f>
        <v>0</v>
      </c>
      <c r="T567">
        <f>IF(Charts!$B$3="none",H2374,IF(N2374="",NA(),N2374))</f>
        <v>0</v>
      </c>
    </row>
    <row r="568" spans="5:20">
      <c r="E568">
        <v>202</v>
      </c>
      <c r="F568">
        <f>F206</f>
        <v>0</v>
      </c>
      <c r="G568">
        <v>202</v>
      </c>
      <c r="H568">
        <f>H206</f>
        <v>0</v>
      </c>
      <c r="K568">
        <v>202</v>
      </c>
      <c r="L568">
        <f>L206</f>
        <v>0</v>
      </c>
      <c r="M568">
        <v>202</v>
      </c>
      <c r="N568">
        <f>N206</f>
        <v>0</v>
      </c>
      <c r="Q568">
        <f>IF(Charts!$B$3="none",E2375,IF(K2375="",NA(),K2375))</f>
        <v>0</v>
      </c>
      <c r="R568">
        <f>IF(Charts!$B$3="none",F2375,IF(L2375="",NA(),L2375))</f>
        <v>0</v>
      </c>
      <c r="S568">
        <f>IF(Charts!$B$3="none",G2375,IF(M2375="",NA(),M2375))</f>
        <v>0</v>
      </c>
      <c r="T568">
        <f>IF(Charts!$B$3="none",H2375,IF(N2375="",NA(),N2375))</f>
        <v>0</v>
      </c>
    </row>
    <row r="569" spans="5:20">
      <c r="E569">
        <v>203</v>
      </c>
      <c r="F569">
        <f>F207</f>
        <v>0</v>
      </c>
      <c r="G569">
        <v>203</v>
      </c>
      <c r="H569">
        <f>H207</f>
        <v>0</v>
      </c>
      <c r="K569">
        <v>203</v>
      </c>
      <c r="L569">
        <f>L207</f>
        <v>0</v>
      </c>
      <c r="M569">
        <v>203</v>
      </c>
      <c r="N569">
        <f>N207</f>
        <v>0</v>
      </c>
      <c r="Q569">
        <f>IF(Charts!$B$3="none",E2376,IF(K2376="",NA(),K2376))</f>
        <v>0</v>
      </c>
      <c r="R569">
        <f>IF(Charts!$B$3="none",F2376,IF(L2376="",NA(),L2376))</f>
        <v>0</v>
      </c>
      <c r="S569">
        <f>IF(Charts!$B$3="none",G2376,IF(M2376="",NA(),M2376))</f>
        <v>0</v>
      </c>
      <c r="T569">
        <f>IF(Charts!$B$3="none",H2376,IF(N2376="",NA(),N2376))</f>
        <v>0</v>
      </c>
    </row>
    <row r="570" spans="5:20">
      <c r="E570">
        <v>204</v>
      </c>
      <c r="F570">
        <f>F208</f>
        <v>0</v>
      </c>
      <c r="G570">
        <v>204</v>
      </c>
      <c r="H570">
        <f>H208</f>
        <v>0</v>
      </c>
      <c r="K570">
        <v>204</v>
      </c>
      <c r="L570">
        <f>L208</f>
        <v>0</v>
      </c>
      <c r="M570">
        <v>204</v>
      </c>
      <c r="N570">
        <f>N208</f>
        <v>0</v>
      </c>
      <c r="Q570">
        <f>IF(Charts!$B$3="none",E2377,IF(K2377="",NA(),K2377))</f>
        <v>0</v>
      </c>
      <c r="R570">
        <f>IF(Charts!$B$3="none",F2377,IF(L2377="",NA(),L2377))</f>
        <v>0</v>
      </c>
      <c r="S570">
        <f>IF(Charts!$B$3="none",G2377,IF(M2377="",NA(),M2377))</f>
        <v>0</v>
      </c>
      <c r="T570">
        <f>IF(Charts!$B$3="none",H2377,IF(N2377="",NA(),N2377))</f>
        <v>0</v>
      </c>
    </row>
    <row r="571" spans="5:20">
      <c r="E571">
        <v>205</v>
      </c>
      <c r="F571">
        <f>F209</f>
        <v>0</v>
      </c>
      <c r="G571">
        <v>205</v>
      </c>
      <c r="H571">
        <f>H209</f>
        <v>0</v>
      </c>
      <c r="K571">
        <v>205</v>
      </c>
      <c r="L571">
        <f>L209</f>
        <v>0</v>
      </c>
      <c r="M571">
        <v>205</v>
      </c>
      <c r="N571">
        <f>N209</f>
        <v>0</v>
      </c>
      <c r="Q571">
        <f>IF(Charts!$B$3="none",E2378,IF(K2378="",NA(),K2378))</f>
        <v>0</v>
      </c>
      <c r="R571">
        <f>IF(Charts!$B$3="none",F2378,IF(L2378="",NA(),L2378))</f>
        <v>0</v>
      </c>
      <c r="S571">
        <f>IF(Charts!$B$3="none",G2378,IF(M2378="",NA(),M2378))</f>
        <v>0</v>
      </c>
      <c r="T571">
        <f>IF(Charts!$B$3="none",H2378,IF(N2378="",NA(),N2378))</f>
        <v>0</v>
      </c>
    </row>
    <row r="572" spans="5:20">
      <c r="E572">
        <v>206</v>
      </c>
      <c r="F572">
        <f>F210</f>
        <v>0</v>
      </c>
      <c r="G572">
        <v>206</v>
      </c>
      <c r="H572">
        <f>H210</f>
        <v>0</v>
      </c>
      <c r="K572">
        <v>206</v>
      </c>
      <c r="L572">
        <f>L210</f>
        <v>0</v>
      </c>
      <c r="M572">
        <v>206</v>
      </c>
      <c r="N572">
        <f>N210</f>
        <v>0</v>
      </c>
      <c r="Q572">
        <f>IF(Charts!$B$3="none",E2379,IF(K2379="",NA(),K2379))</f>
        <v>0</v>
      </c>
      <c r="R572">
        <f>IF(Charts!$B$3="none",F2379,IF(L2379="",NA(),L2379))</f>
        <v>0</v>
      </c>
      <c r="S572">
        <f>IF(Charts!$B$3="none",G2379,IF(M2379="",NA(),M2379))</f>
        <v>0</v>
      </c>
      <c r="T572">
        <f>IF(Charts!$B$3="none",H2379,IF(N2379="",NA(),N2379))</f>
        <v>0</v>
      </c>
    </row>
    <row r="573" spans="5:20">
      <c r="E573">
        <v>207</v>
      </c>
      <c r="F573">
        <f>F211</f>
        <v>0</v>
      </c>
      <c r="G573">
        <v>207</v>
      </c>
      <c r="H573">
        <f>H211</f>
        <v>0</v>
      </c>
      <c r="K573">
        <v>207</v>
      </c>
      <c r="L573">
        <f>L211</f>
        <v>0</v>
      </c>
      <c r="M573">
        <v>207</v>
      </c>
      <c r="N573">
        <f>N211</f>
        <v>0</v>
      </c>
      <c r="Q573">
        <f>IF(Charts!$B$3="none",E2380,IF(K2380="",NA(),K2380))</f>
        <v>0</v>
      </c>
      <c r="R573">
        <f>IF(Charts!$B$3="none",F2380,IF(L2380="",NA(),L2380))</f>
        <v>0</v>
      </c>
      <c r="S573">
        <f>IF(Charts!$B$3="none",G2380,IF(M2380="",NA(),M2380))</f>
        <v>0</v>
      </c>
      <c r="T573">
        <f>IF(Charts!$B$3="none",H2380,IF(N2380="",NA(),N2380))</f>
        <v>0</v>
      </c>
    </row>
    <row r="574" spans="5:20">
      <c r="E574">
        <v>208</v>
      </c>
      <c r="F574">
        <f>F212</f>
        <v>0</v>
      </c>
      <c r="G574">
        <v>208</v>
      </c>
      <c r="H574">
        <f>H212</f>
        <v>0</v>
      </c>
      <c r="K574">
        <v>208</v>
      </c>
      <c r="L574">
        <f>L212</f>
        <v>0</v>
      </c>
      <c r="M574">
        <v>208</v>
      </c>
      <c r="N574">
        <f>N212</f>
        <v>0</v>
      </c>
      <c r="Q574">
        <f>IF(Charts!$B$3="none",E2381,IF(K2381="",NA(),K2381))</f>
        <v>0</v>
      </c>
      <c r="R574">
        <f>IF(Charts!$B$3="none",F2381,IF(L2381="",NA(),L2381))</f>
        <v>0</v>
      </c>
      <c r="S574">
        <f>IF(Charts!$B$3="none",G2381,IF(M2381="",NA(),M2381))</f>
        <v>0</v>
      </c>
      <c r="T574">
        <f>IF(Charts!$B$3="none",H2381,IF(N2381="",NA(),N2381))</f>
        <v>0</v>
      </c>
    </row>
    <row r="575" spans="5:20">
      <c r="E575">
        <v>209</v>
      </c>
      <c r="F575">
        <f>F213</f>
        <v>0</v>
      </c>
      <c r="G575">
        <v>209</v>
      </c>
      <c r="H575">
        <f>H213</f>
        <v>0</v>
      </c>
      <c r="K575">
        <v>209</v>
      </c>
      <c r="L575">
        <f>L213</f>
        <v>0</v>
      </c>
      <c r="M575">
        <v>209</v>
      </c>
      <c r="N575">
        <f>N213</f>
        <v>0</v>
      </c>
      <c r="Q575">
        <f>IF(Charts!$B$3="none",E2382,IF(K2382="",NA(),K2382))</f>
        <v>0</v>
      </c>
      <c r="R575">
        <f>IF(Charts!$B$3="none",F2382,IF(L2382="",NA(),L2382))</f>
        <v>0</v>
      </c>
      <c r="S575">
        <f>IF(Charts!$B$3="none",G2382,IF(M2382="",NA(),M2382))</f>
        <v>0</v>
      </c>
      <c r="T575">
        <f>IF(Charts!$B$3="none",H2382,IF(N2382="",NA(),N2382))</f>
        <v>0</v>
      </c>
    </row>
    <row r="576" spans="5:20">
      <c r="E576">
        <v>210</v>
      </c>
      <c r="F576">
        <f>F214</f>
        <v>0</v>
      </c>
      <c r="G576">
        <v>210</v>
      </c>
      <c r="H576">
        <f>H214</f>
        <v>0</v>
      </c>
      <c r="K576">
        <v>210</v>
      </c>
      <c r="L576">
        <f>L214</f>
        <v>0</v>
      </c>
      <c r="M576">
        <v>210</v>
      </c>
      <c r="N576">
        <f>N214</f>
        <v>0</v>
      </c>
      <c r="Q576">
        <f>IF(Charts!$B$3="none",E2383,IF(K2383="",NA(),K2383))</f>
        <v>0</v>
      </c>
      <c r="R576">
        <f>IF(Charts!$B$3="none",F2383,IF(L2383="",NA(),L2383))</f>
        <v>0</v>
      </c>
      <c r="S576">
        <f>IF(Charts!$B$3="none",G2383,IF(M2383="",NA(),M2383))</f>
        <v>0</v>
      </c>
      <c r="T576">
        <f>IF(Charts!$B$3="none",H2383,IF(N2383="",NA(),N2383))</f>
        <v>0</v>
      </c>
    </row>
    <row r="577" spans="5:20">
      <c r="E577">
        <v>211</v>
      </c>
      <c r="F577">
        <f>F215</f>
        <v>0</v>
      </c>
      <c r="G577">
        <v>211</v>
      </c>
      <c r="H577">
        <f>H215</f>
        <v>0</v>
      </c>
      <c r="K577">
        <v>211</v>
      </c>
      <c r="L577">
        <f>L215</f>
        <v>0</v>
      </c>
      <c r="M577">
        <v>211</v>
      </c>
      <c r="N577">
        <f>N215</f>
        <v>0</v>
      </c>
      <c r="Q577">
        <f>IF(Charts!$B$3="none",E2384,IF(K2384="",NA(),K2384))</f>
        <v>0</v>
      </c>
      <c r="R577">
        <f>IF(Charts!$B$3="none",F2384,IF(L2384="",NA(),L2384))</f>
        <v>0</v>
      </c>
      <c r="S577">
        <f>IF(Charts!$B$3="none",G2384,IF(M2384="",NA(),M2384))</f>
        <v>0</v>
      </c>
      <c r="T577">
        <f>IF(Charts!$B$3="none",H2384,IF(N2384="",NA(),N2384))</f>
        <v>0</v>
      </c>
    </row>
    <row r="578" spans="5:20">
      <c r="E578">
        <v>212</v>
      </c>
      <c r="F578">
        <f>F216</f>
        <v>0</v>
      </c>
      <c r="G578">
        <v>212</v>
      </c>
      <c r="H578">
        <f>H216</f>
        <v>0</v>
      </c>
      <c r="K578">
        <v>212</v>
      </c>
      <c r="L578">
        <f>L216</f>
        <v>0</v>
      </c>
      <c r="M578">
        <v>212</v>
      </c>
      <c r="N578">
        <f>N216</f>
        <v>0</v>
      </c>
      <c r="Q578">
        <f>IF(Charts!$B$3="none",E2385,IF(K2385="",NA(),K2385))</f>
        <v>0</v>
      </c>
      <c r="R578">
        <f>IF(Charts!$B$3="none",F2385,IF(L2385="",NA(),L2385))</f>
        <v>0</v>
      </c>
      <c r="S578">
        <f>IF(Charts!$B$3="none",G2385,IF(M2385="",NA(),M2385))</f>
        <v>0</v>
      </c>
      <c r="T578">
        <f>IF(Charts!$B$3="none",H2385,IF(N2385="",NA(),N2385))</f>
        <v>0</v>
      </c>
    </row>
    <row r="579" spans="5:20">
      <c r="E579">
        <v>213</v>
      </c>
      <c r="F579">
        <f>F217</f>
        <v>0</v>
      </c>
      <c r="G579">
        <v>213</v>
      </c>
      <c r="H579">
        <f>H217</f>
        <v>0</v>
      </c>
      <c r="K579">
        <v>213</v>
      </c>
      <c r="L579">
        <f>L217</f>
        <v>0</v>
      </c>
      <c r="M579">
        <v>213</v>
      </c>
      <c r="N579">
        <f>N217</f>
        <v>0</v>
      </c>
      <c r="Q579">
        <f>IF(Charts!$B$3="none",E2386,IF(K2386="",NA(),K2386))</f>
        <v>0</v>
      </c>
      <c r="R579">
        <f>IF(Charts!$B$3="none",F2386,IF(L2386="",NA(),L2386))</f>
        <v>0</v>
      </c>
      <c r="S579">
        <f>IF(Charts!$B$3="none",G2386,IF(M2386="",NA(),M2386))</f>
        <v>0</v>
      </c>
      <c r="T579">
        <f>IF(Charts!$B$3="none",H2386,IF(N2386="",NA(),N2386))</f>
        <v>0</v>
      </c>
    </row>
    <row r="580" spans="5:20">
      <c r="E580">
        <v>214</v>
      </c>
      <c r="F580">
        <f>F218</f>
        <v>0</v>
      </c>
      <c r="G580">
        <v>214</v>
      </c>
      <c r="H580">
        <f>H218</f>
        <v>0</v>
      </c>
      <c r="K580">
        <v>214</v>
      </c>
      <c r="L580">
        <f>L218</f>
        <v>0</v>
      </c>
      <c r="M580">
        <v>214</v>
      </c>
      <c r="N580">
        <f>N218</f>
        <v>0</v>
      </c>
      <c r="Q580">
        <f>IF(Charts!$B$3="none",E2387,IF(K2387="",NA(),K2387))</f>
        <v>0</v>
      </c>
      <c r="R580">
        <f>IF(Charts!$B$3="none",F2387,IF(L2387="",NA(),L2387))</f>
        <v>0</v>
      </c>
      <c r="S580">
        <f>IF(Charts!$B$3="none",G2387,IF(M2387="",NA(),M2387))</f>
        <v>0</v>
      </c>
      <c r="T580">
        <f>IF(Charts!$B$3="none",H2387,IF(N2387="",NA(),N2387))</f>
        <v>0</v>
      </c>
    </row>
    <row r="581" spans="5:20">
      <c r="E581">
        <v>215</v>
      </c>
      <c r="F581">
        <f>F219</f>
        <v>0</v>
      </c>
      <c r="G581">
        <v>215</v>
      </c>
      <c r="H581">
        <f>H219</f>
        <v>0</v>
      </c>
      <c r="K581">
        <v>215</v>
      </c>
      <c r="L581">
        <f>L219</f>
        <v>0</v>
      </c>
      <c r="M581">
        <v>215</v>
      </c>
      <c r="N581">
        <f>N219</f>
        <v>0</v>
      </c>
      <c r="Q581">
        <f>IF(Charts!$B$3="none",E2388,IF(K2388="",NA(),K2388))</f>
        <v>0</v>
      </c>
      <c r="R581">
        <f>IF(Charts!$B$3="none",F2388,IF(L2388="",NA(),L2388))</f>
        <v>0</v>
      </c>
      <c r="S581">
        <f>IF(Charts!$B$3="none",G2388,IF(M2388="",NA(),M2388))</f>
        <v>0</v>
      </c>
      <c r="T581">
        <f>IF(Charts!$B$3="none",H2388,IF(N2388="",NA(),N2388))</f>
        <v>0</v>
      </c>
    </row>
    <row r="582" spans="5:20">
      <c r="E582">
        <v>216</v>
      </c>
      <c r="F582">
        <f>F220</f>
        <v>0</v>
      </c>
      <c r="G582">
        <v>216</v>
      </c>
      <c r="H582">
        <f>H220</f>
        <v>0</v>
      </c>
      <c r="K582">
        <v>216</v>
      </c>
      <c r="L582">
        <f>L220</f>
        <v>0</v>
      </c>
      <c r="M582">
        <v>216</v>
      </c>
      <c r="N582">
        <f>N220</f>
        <v>0</v>
      </c>
      <c r="Q582">
        <f>IF(Charts!$B$3="none",E2389,IF(K2389="",NA(),K2389))</f>
        <v>0</v>
      </c>
      <c r="R582">
        <f>IF(Charts!$B$3="none",F2389,IF(L2389="",NA(),L2389))</f>
        <v>0</v>
      </c>
      <c r="S582">
        <f>IF(Charts!$B$3="none",G2389,IF(M2389="",NA(),M2389))</f>
        <v>0</v>
      </c>
      <c r="T582">
        <f>IF(Charts!$B$3="none",H2389,IF(N2389="",NA(),N2389))</f>
        <v>0</v>
      </c>
    </row>
    <row r="583" spans="5:20">
      <c r="E583">
        <v>217</v>
      </c>
      <c r="F583">
        <f>F221</f>
        <v>0</v>
      </c>
      <c r="G583">
        <v>217</v>
      </c>
      <c r="H583">
        <f>H221</f>
        <v>0</v>
      </c>
      <c r="K583">
        <v>217</v>
      </c>
      <c r="L583">
        <f>L221</f>
        <v>0</v>
      </c>
      <c r="M583">
        <v>217</v>
      </c>
      <c r="N583">
        <f>N221</f>
        <v>0</v>
      </c>
      <c r="Q583">
        <f>IF(Charts!$B$3="none",E2390,IF(K2390="",NA(),K2390))</f>
        <v>0</v>
      </c>
      <c r="R583">
        <f>IF(Charts!$B$3="none",F2390,IF(L2390="",NA(),L2390))</f>
        <v>0</v>
      </c>
      <c r="S583">
        <f>IF(Charts!$B$3="none",G2390,IF(M2390="",NA(),M2390))</f>
        <v>0</v>
      </c>
      <c r="T583">
        <f>IF(Charts!$B$3="none",H2390,IF(N2390="",NA(),N2390))</f>
        <v>0</v>
      </c>
    </row>
    <row r="584" spans="5:20">
      <c r="E584">
        <v>218</v>
      </c>
      <c r="F584">
        <f>F222</f>
        <v>0</v>
      </c>
      <c r="G584">
        <v>218</v>
      </c>
      <c r="H584">
        <f>H222</f>
        <v>0</v>
      </c>
      <c r="K584">
        <v>218</v>
      </c>
      <c r="L584">
        <f>L222</f>
        <v>0</v>
      </c>
      <c r="M584">
        <v>218</v>
      </c>
      <c r="N584">
        <f>N222</f>
        <v>0</v>
      </c>
      <c r="Q584">
        <f>IF(Charts!$B$3="none",E2391,IF(K2391="",NA(),K2391))</f>
        <v>0</v>
      </c>
      <c r="R584">
        <f>IF(Charts!$B$3="none",F2391,IF(L2391="",NA(),L2391))</f>
        <v>0</v>
      </c>
      <c r="S584">
        <f>IF(Charts!$B$3="none",G2391,IF(M2391="",NA(),M2391))</f>
        <v>0</v>
      </c>
      <c r="T584">
        <f>IF(Charts!$B$3="none",H2391,IF(N2391="",NA(),N2391))</f>
        <v>0</v>
      </c>
    </row>
    <row r="585" spans="5:20">
      <c r="E585">
        <v>219</v>
      </c>
      <c r="F585">
        <f>F223</f>
        <v>0</v>
      </c>
      <c r="G585">
        <v>219</v>
      </c>
      <c r="H585">
        <f>H223</f>
        <v>0</v>
      </c>
      <c r="K585">
        <v>219</v>
      </c>
      <c r="L585">
        <f>L223</f>
        <v>0</v>
      </c>
      <c r="M585">
        <v>219</v>
      </c>
      <c r="N585">
        <f>N223</f>
        <v>0</v>
      </c>
      <c r="Q585">
        <f>IF(Charts!$B$3="none",E2392,IF(K2392="",NA(),K2392))</f>
        <v>0</v>
      </c>
      <c r="R585">
        <f>IF(Charts!$B$3="none",F2392,IF(L2392="",NA(),L2392))</f>
        <v>0</v>
      </c>
      <c r="S585">
        <f>IF(Charts!$B$3="none",G2392,IF(M2392="",NA(),M2392))</f>
        <v>0</v>
      </c>
      <c r="T585">
        <f>IF(Charts!$B$3="none",H2392,IF(N2392="",NA(),N2392))</f>
        <v>0</v>
      </c>
    </row>
    <row r="586" spans="5:20">
      <c r="E586">
        <v>220</v>
      </c>
      <c r="F586">
        <f>F224</f>
        <v>0</v>
      </c>
      <c r="G586">
        <v>220</v>
      </c>
      <c r="H586">
        <f>H224</f>
        <v>0</v>
      </c>
      <c r="K586">
        <v>220</v>
      </c>
      <c r="L586">
        <f>L224</f>
        <v>0</v>
      </c>
      <c r="M586">
        <v>220</v>
      </c>
      <c r="N586">
        <f>N224</f>
        <v>0</v>
      </c>
      <c r="Q586">
        <f>IF(Charts!$B$3="none",E2393,IF(K2393="",NA(),K2393))</f>
        <v>0</v>
      </c>
      <c r="R586">
        <f>IF(Charts!$B$3="none",F2393,IF(L2393="",NA(),L2393))</f>
        <v>0</v>
      </c>
      <c r="S586">
        <f>IF(Charts!$B$3="none",G2393,IF(M2393="",NA(),M2393))</f>
        <v>0</v>
      </c>
      <c r="T586">
        <f>IF(Charts!$B$3="none",H2393,IF(N2393="",NA(),N2393))</f>
        <v>0</v>
      </c>
    </row>
    <row r="587" spans="5:20">
      <c r="E587">
        <v>221</v>
      </c>
      <c r="F587">
        <f>F225</f>
        <v>0</v>
      </c>
      <c r="G587">
        <v>221</v>
      </c>
      <c r="H587">
        <f>H225</f>
        <v>0</v>
      </c>
      <c r="K587">
        <v>221</v>
      </c>
      <c r="L587">
        <f>L225</f>
        <v>0</v>
      </c>
      <c r="M587">
        <v>221</v>
      </c>
      <c r="N587">
        <f>N225</f>
        <v>0</v>
      </c>
      <c r="Q587">
        <f>IF(Charts!$B$3="none",E2394,IF(K2394="",NA(),K2394))</f>
        <v>0</v>
      </c>
      <c r="R587">
        <f>IF(Charts!$B$3="none",F2394,IF(L2394="",NA(),L2394))</f>
        <v>0</v>
      </c>
      <c r="S587">
        <f>IF(Charts!$B$3="none",G2394,IF(M2394="",NA(),M2394))</f>
        <v>0</v>
      </c>
      <c r="T587">
        <f>IF(Charts!$B$3="none",H2394,IF(N2394="",NA(),N2394))</f>
        <v>0</v>
      </c>
    </row>
    <row r="588" spans="5:20">
      <c r="E588">
        <v>222</v>
      </c>
      <c r="F588">
        <f>F226</f>
        <v>0</v>
      </c>
      <c r="G588">
        <v>222</v>
      </c>
      <c r="H588">
        <f>H226</f>
        <v>0</v>
      </c>
      <c r="K588">
        <v>222</v>
      </c>
      <c r="L588">
        <f>L226</f>
        <v>0</v>
      </c>
      <c r="M588">
        <v>222</v>
      </c>
      <c r="N588">
        <f>N226</f>
        <v>0</v>
      </c>
      <c r="Q588">
        <f>IF(Charts!$B$3="none",E2395,IF(K2395="",NA(),K2395))</f>
        <v>0</v>
      </c>
      <c r="R588">
        <f>IF(Charts!$B$3="none",F2395,IF(L2395="",NA(),L2395))</f>
        <v>0</v>
      </c>
      <c r="S588">
        <f>IF(Charts!$B$3="none",G2395,IF(M2395="",NA(),M2395))</f>
        <v>0</v>
      </c>
      <c r="T588">
        <f>IF(Charts!$B$3="none",H2395,IF(N2395="",NA(),N2395))</f>
        <v>0</v>
      </c>
    </row>
    <row r="589" spans="5:20">
      <c r="E589">
        <v>223</v>
      </c>
      <c r="F589">
        <f>F227</f>
        <v>0</v>
      </c>
      <c r="G589">
        <v>223</v>
      </c>
      <c r="H589">
        <f>H227</f>
        <v>0</v>
      </c>
      <c r="K589">
        <v>223</v>
      </c>
      <c r="L589">
        <f>L227</f>
        <v>0</v>
      </c>
      <c r="M589">
        <v>223</v>
      </c>
      <c r="N589">
        <f>N227</f>
        <v>0</v>
      </c>
      <c r="Q589">
        <f>IF(Charts!$B$3="none",E2396,IF(K2396="",NA(),K2396))</f>
        <v>0</v>
      </c>
      <c r="R589">
        <f>IF(Charts!$B$3="none",F2396,IF(L2396="",NA(),L2396))</f>
        <v>0</v>
      </c>
      <c r="S589">
        <f>IF(Charts!$B$3="none",G2396,IF(M2396="",NA(),M2396))</f>
        <v>0</v>
      </c>
      <c r="T589">
        <f>IF(Charts!$B$3="none",H2396,IF(N2396="",NA(),N2396))</f>
        <v>0</v>
      </c>
    </row>
    <row r="590" spans="5:20">
      <c r="E590">
        <v>224</v>
      </c>
      <c r="F590">
        <f>F228</f>
        <v>0</v>
      </c>
      <c r="G590">
        <v>224</v>
      </c>
      <c r="H590">
        <f>H228</f>
        <v>0</v>
      </c>
      <c r="K590">
        <v>224</v>
      </c>
      <c r="L590">
        <f>L228</f>
        <v>0</v>
      </c>
      <c r="M590">
        <v>224</v>
      </c>
      <c r="N590">
        <f>N228</f>
        <v>0</v>
      </c>
      <c r="Q590">
        <f>IF(Charts!$B$3="none",E2397,IF(K2397="",NA(),K2397))</f>
        <v>0</v>
      </c>
      <c r="R590">
        <f>IF(Charts!$B$3="none",F2397,IF(L2397="",NA(),L2397))</f>
        <v>0</v>
      </c>
      <c r="S590">
        <f>IF(Charts!$B$3="none",G2397,IF(M2397="",NA(),M2397))</f>
        <v>0</v>
      </c>
      <c r="T590">
        <f>IF(Charts!$B$3="none",H2397,IF(N2397="",NA(),N2397))</f>
        <v>0</v>
      </c>
    </row>
    <row r="591" spans="5:20">
      <c r="E591">
        <v>225</v>
      </c>
      <c r="F591">
        <f>F229</f>
        <v>0</v>
      </c>
      <c r="G591">
        <v>225</v>
      </c>
      <c r="H591">
        <f>H229</f>
        <v>0</v>
      </c>
      <c r="K591">
        <v>225</v>
      </c>
      <c r="L591">
        <f>L229</f>
        <v>0</v>
      </c>
      <c r="M591">
        <v>225</v>
      </c>
      <c r="N591">
        <f>N229</f>
        <v>0</v>
      </c>
      <c r="Q591">
        <f>IF(Charts!$B$3="none",E2398,IF(K2398="",NA(),K2398))</f>
        <v>0</v>
      </c>
      <c r="R591">
        <f>IF(Charts!$B$3="none",F2398,IF(L2398="",NA(),L2398))</f>
        <v>0</v>
      </c>
      <c r="S591">
        <f>IF(Charts!$B$3="none",G2398,IF(M2398="",NA(),M2398))</f>
        <v>0</v>
      </c>
      <c r="T591">
        <f>IF(Charts!$B$3="none",H2398,IF(N2398="",NA(),N2398))</f>
        <v>0</v>
      </c>
    </row>
    <row r="592" spans="5:20">
      <c r="E592">
        <v>226</v>
      </c>
      <c r="F592">
        <f>F230</f>
        <v>0</v>
      </c>
      <c r="G592">
        <v>226</v>
      </c>
      <c r="H592">
        <f>H230</f>
        <v>0</v>
      </c>
      <c r="K592">
        <v>226</v>
      </c>
      <c r="L592">
        <f>L230</f>
        <v>0</v>
      </c>
      <c r="M592">
        <v>226</v>
      </c>
      <c r="N592">
        <f>N230</f>
        <v>0</v>
      </c>
      <c r="Q592">
        <f>IF(Charts!$B$3="none",E2399,IF(K2399="",NA(),K2399))</f>
        <v>0</v>
      </c>
      <c r="R592">
        <f>IF(Charts!$B$3="none",F2399,IF(L2399="",NA(),L2399))</f>
        <v>0</v>
      </c>
      <c r="S592">
        <f>IF(Charts!$B$3="none",G2399,IF(M2399="",NA(),M2399))</f>
        <v>0</v>
      </c>
      <c r="T592">
        <f>IF(Charts!$B$3="none",H2399,IF(N2399="",NA(),N2399))</f>
        <v>0</v>
      </c>
    </row>
    <row r="593" spans="5:20">
      <c r="E593">
        <v>227</v>
      </c>
      <c r="F593">
        <f>F231</f>
        <v>0</v>
      </c>
      <c r="G593">
        <v>227</v>
      </c>
      <c r="H593">
        <f>H231</f>
        <v>0</v>
      </c>
      <c r="K593">
        <v>227</v>
      </c>
      <c r="L593">
        <f>L231</f>
        <v>0</v>
      </c>
      <c r="M593">
        <v>227</v>
      </c>
      <c r="N593">
        <f>N231</f>
        <v>0</v>
      </c>
      <c r="Q593">
        <f>IF(Charts!$B$3="none",E2400,IF(K2400="",NA(),K2400))</f>
        <v>0</v>
      </c>
      <c r="R593">
        <f>IF(Charts!$B$3="none",F2400,IF(L2400="",NA(),L2400))</f>
        <v>0</v>
      </c>
      <c r="S593">
        <f>IF(Charts!$B$3="none",G2400,IF(M2400="",NA(),M2400))</f>
        <v>0</v>
      </c>
      <c r="T593">
        <f>IF(Charts!$B$3="none",H2400,IF(N2400="",NA(),N2400))</f>
        <v>0</v>
      </c>
    </row>
    <row r="594" spans="5:20">
      <c r="E594">
        <v>228</v>
      </c>
      <c r="F594">
        <f>F232</f>
        <v>0</v>
      </c>
      <c r="G594">
        <v>228</v>
      </c>
      <c r="H594">
        <f>H232</f>
        <v>0</v>
      </c>
      <c r="K594">
        <v>228</v>
      </c>
      <c r="L594">
        <f>L232</f>
        <v>0</v>
      </c>
      <c r="M594">
        <v>228</v>
      </c>
      <c r="N594">
        <f>N232</f>
        <v>0</v>
      </c>
      <c r="Q594">
        <f>IF(Charts!$B$3="none",E2401,IF(K2401="",NA(),K2401))</f>
        <v>0</v>
      </c>
      <c r="R594">
        <f>IF(Charts!$B$3="none",F2401,IF(L2401="",NA(),L2401))</f>
        <v>0</v>
      </c>
      <c r="S594">
        <f>IF(Charts!$B$3="none",G2401,IF(M2401="",NA(),M2401))</f>
        <v>0</v>
      </c>
      <c r="T594">
        <f>IF(Charts!$B$3="none",H2401,IF(N2401="",NA(),N2401))</f>
        <v>0</v>
      </c>
    </row>
    <row r="595" spans="5:20">
      <c r="E595">
        <v>229</v>
      </c>
      <c r="F595">
        <f>F233</f>
        <v>0</v>
      </c>
      <c r="G595">
        <v>229</v>
      </c>
      <c r="H595">
        <f>H233</f>
        <v>0</v>
      </c>
      <c r="K595">
        <v>229</v>
      </c>
      <c r="L595">
        <f>L233</f>
        <v>0</v>
      </c>
      <c r="M595">
        <v>229</v>
      </c>
      <c r="N595">
        <f>N233</f>
        <v>0</v>
      </c>
      <c r="Q595">
        <f>IF(Charts!$B$3="none",E2402,IF(K2402="",NA(),K2402))</f>
        <v>0</v>
      </c>
      <c r="R595">
        <f>IF(Charts!$B$3="none",F2402,IF(L2402="",NA(),L2402))</f>
        <v>0</v>
      </c>
      <c r="S595">
        <f>IF(Charts!$B$3="none",G2402,IF(M2402="",NA(),M2402))</f>
        <v>0</v>
      </c>
      <c r="T595">
        <f>IF(Charts!$B$3="none",H2402,IF(N2402="",NA(),N2402))</f>
        <v>0</v>
      </c>
    </row>
    <row r="596" spans="5:20">
      <c r="E596">
        <v>230</v>
      </c>
      <c r="F596">
        <f>F234</f>
        <v>0</v>
      </c>
      <c r="G596">
        <v>230</v>
      </c>
      <c r="H596">
        <f>H234</f>
        <v>0</v>
      </c>
      <c r="K596">
        <v>230</v>
      </c>
      <c r="L596">
        <f>L234</f>
        <v>0</v>
      </c>
      <c r="M596">
        <v>230</v>
      </c>
      <c r="N596">
        <f>N234</f>
        <v>0</v>
      </c>
      <c r="Q596">
        <f>IF(Charts!$B$3="none",E2403,IF(K2403="",NA(),K2403))</f>
        <v>0</v>
      </c>
      <c r="R596">
        <f>IF(Charts!$B$3="none",F2403,IF(L2403="",NA(),L2403))</f>
        <v>0</v>
      </c>
      <c r="S596">
        <f>IF(Charts!$B$3="none",G2403,IF(M2403="",NA(),M2403))</f>
        <v>0</v>
      </c>
      <c r="T596">
        <f>IF(Charts!$B$3="none",H2403,IF(N2403="",NA(),N2403))</f>
        <v>0</v>
      </c>
    </row>
    <row r="597" spans="5:20">
      <c r="E597">
        <v>231</v>
      </c>
      <c r="F597">
        <f>F235</f>
        <v>0</v>
      </c>
      <c r="G597">
        <v>231</v>
      </c>
      <c r="H597">
        <f>H235</f>
        <v>0</v>
      </c>
      <c r="K597">
        <v>231</v>
      </c>
      <c r="L597">
        <f>L235</f>
        <v>0</v>
      </c>
      <c r="M597">
        <v>231</v>
      </c>
      <c r="N597">
        <f>N235</f>
        <v>0</v>
      </c>
      <c r="Q597">
        <f>IF(Charts!$B$3="none",E2404,IF(K2404="",NA(),K2404))</f>
        <v>0</v>
      </c>
      <c r="R597">
        <f>IF(Charts!$B$3="none",F2404,IF(L2404="",NA(),L2404))</f>
        <v>0</v>
      </c>
      <c r="S597">
        <f>IF(Charts!$B$3="none",G2404,IF(M2404="",NA(),M2404))</f>
        <v>0</v>
      </c>
      <c r="T597">
        <f>IF(Charts!$B$3="none",H2404,IF(N2404="",NA(),N2404))</f>
        <v>0</v>
      </c>
    </row>
    <row r="598" spans="5:20">
      <c r="E598">
        <v>232</v>
      </c>
      <c r="F598">
        <f>F236</f>
        <v>0</v>
      </c>
      <c r="G598">
        <v>232</v>
      </c>
      <c r="H598">
        <f>H236</f>
        <v>0</v>
      </c>
      <c r="K598">
        <v>232</v>
      </c>
      <c r="L598">
        <f>L236</f>
        <v>0</v>
      </c>
      <c r="M598">
        <v>232</v>
      </c>
      <c r="N598">
        <f>N236</f>
        <v>0</v>
      </c>
      <c r="Q598">
        <f>IF(Charts!$B$3="none",E2405,IF(K2405="",NA(),K2405))</f>
        <v>0</v>
      </c>
      <c r="R598">
        <f>IF(Charts!$B$3="none",F2405,IF(L2405="",NA(),L2405))</f>
        <v>0</v>
      </c>
      <c r="S598">
        <f>IF(Charts!$B$3="none",G2405,IF(M2405="",NA(),M2405))</f>
        <v>0</v>
      </c>
      <c r="T598">
        <f>IF(Charts!$B$3="none",H2405,IF(N2405="",NA(),N2405))</f>
        <v>0</v>
      </c>
    </row>
    <row r="599" spans="5:20">
      <c r="E599">
        <v>233</v>
      </c>
      <c r="F599">
        <f>F237</f>
        <v>0</v>
      </c>
      <c r="G599">
        <v>233</v>
      </c>
      <c r="H599">
        <f>H237</f>
        <v>0</v>
      </c>
      <c r="K599">
        <v>233</v>
      </c>
      <c r="L599">
        <f>L237</f>
        <v>0</v>
      </c>
      <c r="M599">
        <v>233</v>
      </c>
      <c r="N599">
        <f>N237</f>
        <v>0</v>
      </c>
      <c r="Q599">
        <f>IF(Charts!$B$3="none",E2406,IF(K2406="",NA(),K2406))</f>
        <v>0</v>
      </c>
      <c r="R599">
        <f>IF(Charts!$B$3="none",F2406,IF(L2406="",NA(),L2406))</f>
        <v>0</v>
      </c>
      <c r="S599">
        <f>IF(Charts!$B$3="none",G2406,IF(M2406="",NA(),M2406))</f>
        <v>0</v>
      </c>
      <c r="T599">
        <f>IF(Charts!$B$3="none",H2406,IF(N2406="",NA(),N2406))</f>
        <v>0</v>
      </c>
    </row>
    <row r="600" spans="5:20">
      <c r="E600">
        <v>234</v>
      </c>
      <c r="F600">
        <f>F238</f>
        <v>0</v>
      </c>
      <c r="G600">
        <v>234</v>
      </c>
      <c r="H600">
        <f>H238</f>
        <v>0</v>
      </c>
      <c r="K600">
        <v>234</v>
      </c>
      <c r="L600">
        <f>L238</f>
        <v>0</v>
      </c>
      <c r="M600">
        <v>234</v>
      </c>
      <c r="N600">
        <f>N238</f>
        <v>0</v>
      </c>
      <c r="Q600">
        <f>IF(Charts!$B$3="none",E2407,IF(K2407="",NA(),K2407))</f>
        <v>0</v>
      </c>
      <c r="R600">
        <f>IF(Charts!$B$3="none",F2407,IF(L2407="",NA(),L2407))</f>
        <v>0</v>
      </c>
      <c r="S600">
        <f>IF(Charts!$B$3="none",G2407,IF(M2407="",NA(),M2407))</f>
        <v>0</v>
      </c>
      <c r="T600">
        <f>IF(Charts!$B$3="none",H2407,IF(N2407="",NA(),N2407))</f>
        <v>0</v>
      </c>
    </row>
    <row r="601" spans="5:20">
      <c r="E601">
        <v>235</v>
      </c>
      <c r="F601">
        <f>F239</f>
        <v>0</v>
      </c>
      <c r="G601">
        <v>235</v>
      </c>
      <c r="H601">
        <f>H239</f>
        <v>0</v>
      </c>
      <c r="K601">
        <v>235</v>
      </c>
      <c r="L601">
        <f>L239</f>
        <v>0</v>
      </c>
      <c r="M601">
        <v>235</v>
      </c>
      <c r="N601">
        <f>N239</f>
        <v>0</v>
      </c>
      <c r="Q601">
        <f>IF(Charts!$B$3="none",E2408,IF(K2408="",NA(),K2408))</f>
        <v>0</v>
      </c>
      <c r="R601">
        <f>IF(Charts!$B$3="none",F2408,IF(L2408="",NA(),L2408))</f>
        <v>0</v>
      </c>
      <c r="S601">
        <f>IF(Charts!$B$3="none",G2408,IF(M2408="",NA(),M2408))</f>
        <v>0</v>
      </c>
      <c r="T601">
        <f>IF(Charts!$B$3="none",H2408,IF(N2408="",NA(),N2408))</f>
        <v>0</v>
      </c>
    </row>
    <row r="602" spans="5:20">
      <c r="E602">
        <v>236</v>
      </c>
      <c r="F602">
        <f>F240</f>
        <v>0</v>
      </c>
      <c r="G602">
        <v>236</v>
      </c>
      <c r="H602">
        <f>H240</f>
        <v>0</v>
      </c>
      <c r="K602">
        <v>236</v>
      </c>
      <c r="L602">
        <f>L240</f>
        <v>0</v>
      </c>
      <c r="M602">
        <v>236</v>
      </c>
      <c r="N602">
        <f>N240</f>
        <v>0</v>
      </c>
      <c r="Q602">
        <f>IF(Charts!$B$3="none",E2409,IF(K2409="",NA(),K2409))</f>
        <v>0</v>
      </c>
      <c r="R602">
        <f>IF(Charts!$B$3="none",F2409,IF(L2409="",NA(),L2409))</f>
        <v>0</v>
      </c>
      <c r="S602">
        <f>IF(Charts!$B$3="none",G2409,IF(M2409="",NA(),M2409))</f>
        <v>0</v>
      </c>
      <c r="T602">
        <f>IF(Charts!$B$3="none",H2409,IF(N2409="",NA(),N2409))</f>
        <v>0</v>
      </c>
    </row>
    <row r="603" spans="5:20">
      <c r="E603">
        <v>237</v>
      </c>
      <c r="F603">
        <f>F241</f>
        <v>0</v>
      </c>
      <c r="G603">
        <v>237</v>
      </c>
      <c r="H603">
        <f>H241</f>
        <v>0</v>
      </c>
      <c r="K603">
        <v>237</v>
      </c>
      <c r="L603">
        <f>L241</f>
        <v>0</v>
      </c>
      <c r="M603">
        <v>237</v>
      </c>
      <c r="N603">
        <f>N241</f>
        <v>0</v>
      </c>
      <c r="Q603">
        <f>IF(Charts!$B$3="none",E2410,IF(K2410="",NA(),K2410))</f>
        <v>0</v>
      </c>
      <c r="R603">
        <f>IF(Charts!$B$3="none",F2410,IF(L2410="",NA(),L2410))</f>
        <v>0</v>
      </c>
      <c r="S603">
        <f>IF(Charts!$B$3="none",G2410,IF(M2410="",NA(),M2410))</f>
        <v>0</v>
      </c>
      <c r="T603">
        <f>IF(Charts!$B$3="none",H2410,IF(N2410="",NA(),N2410))</f>
        <v>0</v>
      </c>
    </row>
    <row r="604" spans="5:20">
      <c r="E604">
        <v>238</v>
      </c>
      <c r="F604">
        <f>F242</f>
        <v>0</v>
      </c>
      <c r="G604">
        <v>238</v>
      </c>
      <c r="H604">
        <f>H242</f>
        <v>0</v>
      </c>
      <c r="K604">
        <v>238</v>
      </c>
      <c r="L604">
        <f>L242</f>
        <v>0</v>
      </c>
      <c r="M604">
        <v>238</v>
      </c>
      <c r="N604">
        <f>N242</f>
        <v>0</v>
      </c>
      <c r="Q604">
        <f>IF(Charts!$B$3="none",E2411,IF(K2411="",NA(),K2411))</f>
        <v>0</v>
      </c>
      <c r="R604">
        <f>IF(Charts!$B$3="none",F2411,IF(L2411="",NA(),L2411))</f>
        <v>0</v>
      </c>
      <c r="S604">
        <f>IF(Charts!$B$3="none",G2411,IF(M2411="",NA(),M2411))</f>
        <v>0</v>
      </c>
      <c r="T604">
        <f>IF(Charts!$B$3="none",H2411,IF(N2411="",NA(),N2411))</f>
        <v>0</v>
      </c>
    </row>
    <row r="605" spans="5:20">
      <c r="E605">
        <v>239</v>
      </c>
      <c r="F605">
        <f>F243</f>
        <v>0</v>
      </c>
      <c r="G605">
        <v>239</v>
      </c>
      <c r="H605">
        <f>H243</f>
        <v>0</v>
      </c>
      <c r="K605">
        <v>239</v>
      </c>
      <c r="L605">
        <f>L243</f>
        <v>0</v>
      </c>
      <c r="M605">
        <v>239</v>
      </c>
      <c r="N605">
        <f>N243</f>
        <v>0</v>
      </c>
      <c r="Q605">
        <f>IF(Charts!$B$3="none",E2412,IF(K2412="",NA(),K2412))</f>
        <v>0</v>
      </c>
      <c r="R605">
        <f>IF(Charts!$B$3="none",F2412,IF(L2412="",NA(),L2412))</f>
        <v>0</v>
      </c>
      <c r="S605">
        <f>IF(Charts!$B$3="none",G2412,IF(M2412="",NA(),M2412))</f>
        <v>0</v>
      </c>
      <c r="T605">
        <f>IF(Charts!$B$3="none",H2412,IF(N2412="",NA(),N2412))</f>
        <v>0</v>
      </c>
    </row>
    <row r="606" spans="5:20">
      <c r="E606">
        <v>240</v>
      </c>
      <c r="F606">
        <f>F244</f>
        <v>0</v>
      </c>
      <c r="G606">
        <v>240</v>
      </c>
      <c r="H606">
        <f>H244</f>
        <v>0</v>
      </c>
      <c r="K606">
        <v>240</v>
      </c>
      <c r="L606">
        <f>L244</f>
        <v>0</v>
      </c>
      <c r="M606">
        <v>240</v>
      </c>
      <c r="N606">
        <f>N244</f>
        <v>0</v>
      </c>
      <c r="Q606">
        <f>IF(Charts!$B$3="none",E2413,IF(K2413="",NA(),K2413))</f>
        <v>0</v>
      </c>
      <c r="R606">
        <f>IF(Charts!$B$3="none",F2413,IF(L2413="",NA(),L2413))</f>
        <v>0</v>
      </c>
      <c r="S606">
        <f>IF(Charts!$B$3="none",G2413,IF(M2413="",NA(),M2413))</f>
        <v>0</v>
      </c>
      <c r="T606">
        <f>IF(Charts!$B$3="none",H2413,IF(N2413="",NA(),N2413))</f>
        <v>0</v>
      </c>
    </row>
    <row r="607" spans="5:20">
      <c r="E607">
        <v>241</v>
      </c>
      <c r="F607">
        <f>F245</f>
        <v>0</v>
      </c>
      <c r="G607">
        <v>241</v>
      </c>
      <c r="H607">
        <f>H245</f>
        <v>0</v>
      </c>
      <c r="K607">
        <v>241</v>
      </c>
      <c r="L607">
        <f>L245</f>
        <v>0</v>
      </c>
      <c r="M607">
        <v>241</v>
      </c>
      <c r="N607">
        <f>N245</f>
        <v>0</v>
      </c>
      <c r="Q607">
        <f>IF(Charts!$B$3="none",E2414,IF(K2414="",NA(),K2414))</f>
        <v>0</v>
      </c>
      <c r="R607">
        <f>IF(Charts!$B$3="none",F2414,IF(L2414="",NA(),L2414))</f>
        <v>0</v>
      </c>
      <c r="S607">
        <f>IF(Charts!$B$3="none",G2414,IF(M2414="",NA(),M2414))</f>
        <v>0</v>
      </c>
      <c r="T607">
        <f>IF(Charts!$B$3="none",H2414,IF(N2414="",NA(),N2414))</f>
        <v>0</v>
      </c>
    </row>
    <row r="608" spans="5:20">
      <c r="E608">
        <v>242</v>
      </c>
      <c r="F608">
        <f>F246</f>
        <v>0</v>
      </c>
      <c r="G608">
        <v>242</v>
      </c>
      <c r="H608">
        <f>H246</f>
        <v>0</v>
      </c>
      <c r="K608">
        <v>242</v>
      </c>
      <c r="L608">
        <f>L246</f>
        <v>0</v>
      </c>
      <c r="M608">
        <v>242</v>
      </c>
      <c r="N608">
        <f>N246</f>
        <v>0</v>
      </c>
      <c r="Q608">
        <f>IF(Charts!$B$3="none",E2415,IF(K2415="",NA(),K2415))</f>
        <v>0</v>
      </c>
      <c r="R608">
        <f>IF(Charts!$B$3="none",F2415,IF(L2415="",NA(),L2415))</f>
        <v>0</v>
      </c>
      <c r="S608">
        <f>IF(Charts!$B$3="none",G2415,IF(M2415="",NA(),M2415))</f>
        <v>0</v>
      </c>
      <c r="T608">
        <f>IF(Charts!$B$3="none",H2415,IF(N2415="",NA(),N2415))</f>
        <v>0</v>
      </c>
    </row>
    <row r="609" spans="5:20">
      <c r="E609">
        <v>243</v>
      </c>
      <c r="F609">
        <f>F247</f>
        <v>0</v>
      </c>
      <c r="G609">
        <v>243</v>
      </c>
      <c r="H609">
        <f>H247</f>
        <v>0</v>
      </c>
      <c r="K609">
        <v>243</v>
      </c>
      <c r="L609">
        <f>L247</f>
        <v>0</v>
      </c>
      <c r="M609">
        <v>243</v>
      </c>
      <c r="N609">
        <f>N247</f>
        <v>0</v>
      </c>
      <c r="Q609">
        <f>IF(Charts!$B$3="none",E2416,IF(K2416="",NA(),K2416))</f>
        <v>0</v>
      </c>
      <c r="R609">
        <f>IF(Charts!$B$3="none",F2416,IF(L2416="",NA(),L2416))</f>
        <v>0</v>
      </c>
      <c r="S609">
        <f>IF(Charts!$B$3="none",G2416,IF(M2416="",NA(),M2416))</f>
        <v>0</v>
      </c>
      <c r="T609">
        <f>IF(Charts!$B$3="none",H2416,IF(N2416="",NA(),N2416))</f>
        <v>0</v>
      </c>
    </row>
    <row r="610" spans="5:20">
      <c r="E610">
        <v>244</v>
      </c>
      <c r="F610">
        <f>F248</f>
        <v>0</v>
      </c>
      <c r="G610">
        <v>244</v>
      </c>
      <c r="H610">
        <f>H248</f>
        <v>0</v>
      </c>
      <c r="K610">
        <v>244</v>
      </c>
      <c r="L610">
        <f>L248</f>
        <v>0</v>
      </c>
      <c r="M610">
        <v>244</v>
      </c>
      <c r="N610">
        <f>N248</f>
        <v>0</v>
      </c>
      <c r="Q610">
        <f>IF(Charts!$B$3="none",E2417,IF(K2417="",NA(),K2417))</f>
        <v>0</v>
      </c>
      <c r="R610">
        <f>IF(Charts!$B$3="none",F2417,IF(L2417="",NA(),L2417))</f>
        <v>0</v>
      </c>
      <c r="S610">
        <f>IF(Charts!$B$3="none",G2417,IF(M2417="",NA(),M2417))</f>
        <v>0</v>
      </c>
      <c r="T610">
        <f>IF(Charts!$B$3="none",H2417,IF(N2417="",NA(),N2417))</f>
        <v>0</v>
      </c>
    </row>
    <row r="611" spans="5:20">
      <c r="E611">
        <v>245</v>
      </c>
      <c r="F611">
        <f>F249</f>
        <v>0</v>
      </c>
      <c r="G611">
        <v>245</v>
      </c>
      <c r="H611">
        <f>H249</f>
        <v>0</v>
      </c>
      <c r="K611">
        <v>245</v>
      </c>
      <c r="L611">
        <f>L249</f>
        <v>0</v>
      </c>
      <c r="M611">
        <v>245</v>
      </c>
      <c r="N611">
        <f>N249</f>
        <v>0</v>
      </c>
      <c r="Q611">
        <f>IF(Charts!$B$3="none",E2418,IF(K2418="",NA(),K2418))</f>
        <v>0</v>
      </c>
      <c r="R611">
        <f>IF(Charts!$B$3="none",F2418,IF(L2418="",NA(),L2418))</f>
        <v>0</v>
      </c>
      <c r="S611">
        <f>IF(Charts!$B$3="none",G2418,IF(M2418="",NA(),M2418))</f>
        <v>0</v>
      </c>
      <c r="T611">
        <f>IF(Charts!$B$3="none",H2418,IF(N2418="",NA(),N2418))</f>
        <v>0</v>
      </c>
    </row>
    <row r="612" spans="5:20">
      <c r="E612">
        <v>246</v>
      </c>
      <c r="F612">
        <f>F250</f>
        <v>0</v>
      </c>
      <c r="G612">
        <v>246</v>
      </c>
      <c r="H612">
        <f>H250</f>
        <v>0</v>
      </c>
      <c r="K612">
        <v>246</v>
      </c>
      <c r="L612">
        <f>L250</f>
        <v>0</v>
      </c>
      <c r="M612">
        <v>246</v>
      </c>
      <c r="N612">
        <f>N250</f>
        <v>0</v>
      </c>
      <c r="Q612">
        <f>IF(Charts!$B$3="none",E2419,IF(K2419="",NA(),K2419))</f>
        <v>0</v>
      </c>
      <c r="R612">
        <f>IF(Charts!$B$3="none",F2419,IF(L2419="",NA(),L2419))</f>
        <v>0</v>
      </c>
      <c r="S612">
        <f>IF(Charts!$B$3="none",G2419,IF(M2419="",NA(),M2419))</f>
        <v>0</v>
      </c>
      <c r="T612">
        <f>IF(Charts!$B$3="none",H2419,IF(N2419="",NA(),N2419))</f>
        <v>0</v>
      </c>
    </row>
    <row r="613" spans="5:20">
      <c r="E613">
        <v>247</v>
      </c>
      <c r="F613">
        <f>F251</f>
        <v>0</v>
      </c>
      <c r="G613">
        <v>247</v>
      </c>
      <c r="H613">
        <f>H251</f>
        <v>0</v>
      </c>
      <c r="K613">
        <v>247</v>
      </c>
      <c r="L613">
        <f>L251</f>
        <v>0</v>
      </c>
      <c r="M613">
        <v>247</v>
      </c>
      <c r="N613">
        <f>N251</f>
        <v>0</v>
      </c>
      <c r="Q613">
        <f>IF(Charts!$B$3="none",E2420,IF(K2420="",NA(),K2420))</f>
        <v>0</v>
      </c>
      <c r="R613">
        <f>IF(Charts!$B$3="none",F2420,IF(L2420="",NA(),L2420))</f>
        <v>0</v>
      </c>
      <c r="S613">
        <f>IF(Charts!$B$3="none",G2420,IF(M2420="",NA(),M2420))</f>
        <v>0</v>
      </c>
      <c r="T613">
        <f>IF(Charts!$B$3="none",H2420,IF(N2420="",NA(),N2420))</f>
        <v>0</v>
      </c>
    </row>
    <row r="614" spans="5:20">
      <c r="E614">
        <v>248</v>
      </c>
      <c r="F614">
        <f>F252</f>
        <v>0</v>
      </c>
      <c r="G614">
        <v>248</v>
      </c>
      <c r="H614">
        <f>H252</f>
        <v>0</v>
      </c>
      <c r="K614">
        <v>248</v>
      </c>
      <c r="L614">
        <f>L252</f>
        <v>0</v>
      </c>
      <c r="M614">
        <v>248</v>
      </c>
      <c r="N614">
        <f>N252</f>
        <v>0</v>
      </c>
      <c r="Q614">
        <f>IF(Charts!$B$3="none",E2421,IF(K2421="",NA(),K2421))</f>
        <v>0</v>
      </c>
      <c r="R614">
        <f>IF(Charts!$B$3="none",F2421,IF(L2421="",NA(),L2421))</f>
        <v>0</v>
      </c>
      <c r="S614">
        <f>IF(Charts!$B$3="none",G2421,IF(M2421="",NA(),M2421))</f>
        <v>0</v>
      </c>
      <c r="T614">
        <f>IF(Charts!$B$3="none",H2421,IF(N2421="",NA(),N2421))</f>
        <v>0</v>
      </c>
    </row>
    <row r="615" spans="5:20">
      <c r="E615">
        <v>249</v>
      </c>
      <c r="F615">
        <f>F253</f>
        <v>0</v>
      </c>
      <c r="G615">
        <v>249</v>
      </c>
      <c r="H615">
        <f>H253</f>
        <v>0</v>
      </c>
      <c r="K615">
        <v>249</v>
      </c>
      <c r="L615">
        <f>L253</f>
        <v>0</v>
      </c>
      <c r="M615">
        <v>249</v>
      </c>
      <c r="N615">
        <f>N253</f>
        <v>0</v>
      </c>
      <c r="Q615">
        <f>IF(Charts!$B$3="none",E2422,IF(K2422="",NA(),K2422))</f>
        <v>0</v>
      </c>
      <c r="R615">
        <f>IF(Charts!$B$3="none",F2422,IF(L2422="",NA(),L2422))</f>
        <v>0</v>
      </c>
      <c r="S615">
        <f>IF(Charts!$B$3="none",G2422,IF(M2422="",NA(),M2422))</f>
        <v>0</v>
      </c>
      <c r="T615">
        <f>IF(Charts!$B$3="none",H2422,IF(N2422="",NA(),N2422))</f>
        <v>0</v>
      </c>
    </row>
    <row r="616" spans="5:20">
      <c r="E616">
        <v>250</v>
      </c>
      <c r="F616">
        <f>F254</f>
        <v>0</v>
      </c>
      <c r="G616">
        <v>250</v>
      </c>
      <c r="H616">
        <f>H254</f>
        <v>0</v>
      </c>
      <c r="K616">
        <v>250</v>
      </c>
      <c r="L616">
        <f>L254</f>
        <v>0</v>
      </c>
      <c r="M616">
        <v>250</v>
      </c>
      <c r="N616">
        <f>N254</f>
        <v>0</v>
      </c>
      <c r="Q616">
        <f>IF(Charts!$B$3="none",E2423,IF(K2423="",NA(),K2423))</f>
        <v>0</v>
      </c>
      <c r="R616">
        <f>IF(Charts!$B$3="none",F2423,IF(L2423="",NA(),L2423))</f>
        <v>0</v>
      </c>
      <c r="S616">
        <f>IF(Charts!$B$3="none",G2423,IF(M2423="",NA(),M2423))</f>
        <v>0</v>
      </c>
      <c r="T616">
        <f>IF(Charts!$B$3="none",H2423,IF(N2423="",NA(),N2423))</f>
        <v>0</v>
      </c>
    </row>
    <row r="617" spans="5:20">
      <c r="E617">
        <v>251</v>
      </c>
      <c r="F617">
        <f>F255</f>
        <v>0</v>
      </c>
      <c r="G617">
        <v>251</v>
      </c>
      <c r="H617">
        <f>H255</f>
        <v>0</v>
      </c>
      <c r="K617">
        <v>251</v>
      </c>
      <c r="L617">
        <f>L255</f>
        <v>0</v>
      </c>
      <c r="M617">
        <v>251</v>
      </c>
      <c r="N617">
        <f>N255</f>
        <v>0</v>
      </c>
      <c r="Q617">
        <f>IF(Charts!$B$3="none",E2424,IF(K2424="",NA(),K2424))</f>
        <v>0</v>
      </c>
      <c r="R617">
        <f>IF(Charts!$B$3="none",F2424,IF(L2424="",NA(),L2424))</f>
        <v>0</v>
      </c>
      <c r="S617">
        <f>IF(Charts!$B$3="none",G2424,IF(M2424="",NA(),M2424))</f>
        <v>0</v>
      </c>
      <c r="T617">
        <f>IF(Charts!$B$3="none",H2424,IF(N2424="",NA(),N2424))</f>
        <v>0</v>
      </c>
    </row>
    <row r="618" spans="5:20">
      <c r="E618">
        <v>252</v>
      </c>
      <c r="F618">
        <f>F256</f>
        <v>0</v>
      </c>
      <c r="G618">
        <v>252</v>
      </c>
      <c r="H618">
        <f>H256</f>
        <v>0</v>
      </c>
      <c r="K618">
        <v>252</v>
      </c>
      <c r="L618">
        <f>L256</f>
        <v>0</v>
      </c>
      <c r="M618">
        <v>252</v>
      </c>
      <c r="N618">
        <f>N256</f>
        <v>0</v>
      </c>
      <c r="Q618">
        <f>IF(Charts!$B$3="none",E2425,IF(K2425="",NA(),K2425))</f>
        <v>0</v>
      </c>
      <c r="R618">
        <f>IF(Charts!$B$3="none",F2425,IF(L2425="",NA(),L2425))</f>
        <v>0</v>
      </c>
      <c r="S618">
        <f>IF(Charts!$B$3="none",G2425,IF(M2425="",NA(),M2425))</f>
        <v>0</v>
      </c>
      <c r="T618">
        <f>IF(Charts!$B$3="none",H2425,IF(N2425="",NA(),N2425))</f>
        <v>0</v>
      </c>
    </row>
    <row r="619" spans="5:20">
      <c r="E619">
        <v>253</v>
      </c>
      <c r="F619">
        <f>F257</f>
        <v>0</v>
      </c>
      <c r="G619">
        <v>253</v>
      </c>
      <c r="H619">
        <f>H257</f>
        <v>0</v>
      </c>
      <c r="K619">
        <v>253</v>
      </c>
      <c r="L619">
        <f>L257</f>
        <v>0</v>
      </c>
      <c r="M619">
        <v>253</v>
      </c>
      <c r="N619">
        <f>N257</f>
        <v>0</v>
      </c>
      <c r="Q619">
        <f>IF(Charts!$B$3="none",E2426,IF(K2426="",NA(),K2426))</f>
        <v>0</v>
      </c>
      <c r="R619">
        <f>IF(Charts!$B$3="none",F2426,IF(L2426="",NA(),L2426))</f>
        <v>0</v>
      </c>
      <c r="S619">
        <f>IF(Charts!$B$3="none",G2426,IF(M2426="",NA(),M2426))</f>
        <v>0</v>
      </c>
      <c r="T619">
        <f>IF(Charts!$B$3="none",H2426,IF(N2426="",NA(),N2426))</f>
        <v>0</v>
      </c>
    </row>
    <row r="620" spans="5:20">
      <c r="E620">
        <v>254</v>
      </c>
      <c r="F620">
        <f>F258</f>
        <v>0</v>
      </c>
      <c r="G620">
        <v>254</v>
      </c>
      <c r="H620">
        <f>H258</f>
        <v>0</v>
      </c>
      <c r="K620">
        <v>254</v>
      </c>
      <c r="L620">
        <f>L258</f>
        <v>0</v>
      </c>
      <c r="M620">
        <v>254</v>
      </c>
      <c r="N620">
        <f>N258</f>
        <v>0</v>
      </c>
      <c r="Q620">
        <f>IF(Charts!$B$3="none",E2427,IF(K2427="",NA(),K2427))</f>
        <v>0</v>
      </c>
      <c r="R620">
        <f>IF(Charts!$B$3="none",F2427,IF(L2427="",NA(),L2427))</f>
        <v>0</v>
      </c>
      <c r="S620">
        <f>IF(Charts!$B$3="none",G2427,IF(M2427="",NA(),M2427))</f>
        <v>0</v>
      </c>
      <c r="T620">
        <f>IF(Charts!$B$3="none",H2427,IF(N2427="",NA(),N2427))</f>
        <v>0</v>
      </c>
    </row>
    <row r="621" spans="5:20">
      <c r="E621">
        <v>255</v>
      </c>
      <c r="F621">
        <f>F259</f>
        <v>0</v>
      </c>
      <c r="G621">
        <v>255</v>
      </c>
      <c r="H621">
        <f>H259</f>
        <v>0</v>
      </c>
      <c r="K621">
        <v>255</v>
      </c>
      <c r="L621">
        <f>L259</f>
        <v>0</v>
      </c>
      <c r="M621">
        <v>255</v>
      </c>
      <c r="N621">
        <f>N259</f>
        <v>0</v>
      </c>
      <c r="Q621">
        <f>IF(Charts!$B$3="none",E2428,IF(K2428="",NA(),K2428))</f>
        <v>0</v>
      </c>
      <c r="R621">
        <f>IF(Charts!$B$3="none",F2428,IF(L2428="",NA(),L2428))</f>
        <v>0</v>
      </c>
      <c r="S621">
        <f>IF(Charts!$B$3="none",G2428,IF(M2428="",NA(),M2428))</f>
        <v>0</v>
      </c>
      <c r="T621">
        <f>IF(Charts!$B$3="none",H2428,IF(N2428="",NA(),N2428))</f>
        <v>0</v>
      </c>
    </row>
    <row r="622" spans="5:20">
      <c r="E622">
        <v>256</v>
      </c>
      <c r="F622">
        <f>F260</f>
        <v>0</v>
      </c>
      <c r="G622">
        <v>256</v>
      </c>
      <c r="H622">
        <f>H260</f>
        <v>0</v>
      </c>
      <c r="K622">
        <v>256</v>
      </c>
      <c r="L622">
        <f>L260</f>
        <v>0</v>
      </c>
      <c r="M622">
        <v>256</v>
      </c>
      <c r="N622">
        <f>N260</f>
        <v>0</v>
      </c>
      <c r="Q622">
        <f>IF(Charts!$B$3="none",E2429,IF(K2429="",NA(),K2429))</f>
        <v>0</v>
      </c>
      <c r="R622">
        <f>IF(Charts!$B$3="none",F2429,IF(L2429="",NA(),L2429))</f>
        <v>0</v>
      </c>
      <c r="S622">
        <f>IF(Charts!$B$3="none",G2429,IF(M2429="",NA(),M2429))</f>
        <v>0</v>
      </c>
      <c r="T622">
        <f>IF(Charts!$B$3="none",H2429,IF(N2429="",NA(),N2429))</f>
        <v>0</v>
      </c>
    </row>
    <row r="623" spans="5:20">
      <c r="E623">
        <v>257</v>
      </c>
      <c r="F623">
        <f>F261</f>
        <v>0</v>
      </c>
      <c r="G623">
        <v>257</v>
      </c>
      <c r="H623">
        <f>H261</f>
        <v>0</v>
      </c>
      <c r="K623">
        <v>257</v>
      </c>
      <c r="L623">
        <f>L261</f>
        <v>0</v>
      </c>
      <c r="M623">
        <v>257</v>
      </c>
      <c r="N623">
        <f>N261</f>
        <v>0</v>
      </c>
      <c r="Q623">
        <f>IF(Charts!$B$3="none",E2430,IF(K2430="",NA(),K2430))</f>
        <v>0</v>
      </c>
      <c r="R623">
        <f>IF(Charts!$B$3="none",F2430,IF(L2430="",NA(),L2430))</f>
        <v>0</v>
      </c>
      <c r="S623">
        <f>IF(Charts!$B$3="none",G2430,IF(M2430="",NA(),M2430))</f>
        <v>0</v>
      </c>
      <c r="T623">
        <f>IF(Charts!$B$3="none",H2430,IF(N2430="",NA(),N2430))</f>
        <v>0</v>
      </c>
    </row>
    <row r="624" spans="5:20">
      <c r="E624">
        <v>258</v>
      </c>
      <c r="F624">
        <f>F262</f>
        <v>0</v>
      </c>
      <c r="G624">
        <v>258</v>
      </c>
      <c r="H624">
        <f>H262</f>
        <v>0</v>
      </c>
      <c r="K624">
        <v>258</v>
      </c>
      <c r="L624">
        <f>L262</f>
        <v>0</v>
      </c>
      <c r="M624">
        <v>258</v>
      </c>
      <c r="N624">
        <f>N262</f>
        <v>0</v>
      </c>
      <c r="Q624">
        <f>IF(Charts!$B$3="none",E2431,IF(K2431="",NA(),K2431))</f>
        <v>0</v>
      </c>
      <c r="R624">
        <f>IF(Charts!$B$3="none",F2431,IF(L2431="",NA(),L2431))</f>
        <v>0</v>
      </c>
      <c r="S624">
        <f>IF(Charts!$B$3="none",G2431,IF(M2431="",NA(),M2431))</f>
        <v>0</v>
      </c>
      <c r="T624">
        <f>IF(Charts!$B$3="none",H2431,IF(N2431="",NA(),N2431))</f>
        <v>0</v>
      </c>
    </row>
    <row r="625" spans="5:20">
      <c r="E625">
        <v>259</v>
      </c>
      <c r="F625">
        <f>F263</f>
        <v>0</v>
      </c>
      <c r="G625">
        <v>259</v>
      </c>
      <c r="H625">
        <f>H263</f>
        <v>0</v>
      </c>
      <c r="K625">
        <v>259</v>
      </c>
      <c r="L625">
        <f>L263</f>
        <v>0</v>
      </c>
      <c r="M625">
        <v>259</v>
      </c>
      <c r="N625">
        <f>N263</f>
        <v>0</v>
      </c>
      <c r="Q625">
        <f>IF(Charts!$B$3="none",E2432,IF(K2432="",NA(),K2432))</f>
        <v>0</v>
      </c>
      <c r="R625">
        <f>IF(Charts!$B$3="none",F2432,IF(L2432="",NA(),L2432))</f>
        <v>0</v>
      </c>
      <c r="S625">
        <f>IF(Charts!$B$3="none",G2432,IF(M2432="",NA(),M2432))</f>
        <v>0</v>
      </c>
      <c r="T625">
        <f>IF(Charts!$B$3="none",H2432,IF(N2432="",NA(),N2432))</f>
        <v>0</v>
      </c>
    </row>
    <row r="626" spans="5:20">
      <c r="E626">
        <v>260</v>
      </c>
      <c r="F626">
        <f>F264</f>
        <v>0</v>
      </c>
      <c r="G626">
        <v>260</v>
      </c>
      <c r="H626">
        <f>H264</f>
        <v>0</v>
      </c>
      <c r="K626">
        <v>260</v>
      </c>
      <c r="L626">
        <f>L264</f>
        <v>0</v>
      </c>
      <c r="M626">
        <v>260</v>
      </c>
      <c r="N626">
        <f>N264</f>
        <v>0</v>
      </c>
      <c r="Q626">
        <f>IF(Charts!$B$3="none",E2433,IF(K2433="",NA(),K2433))</f>
        <v>0</v>
      </c>
      <c r="R626">
        <f>IF(Charts!$B$3="none",F2433,IF(L2433="",NA(),L2433))</f>
        <v>0</v>
      </c>
      <c r="S626">
        <f>IF(Charts!$B$3="none",G2433,IF(M2433="",NA(),M2433))</f>
        <v>0</v>
      </c>
      <c r="T626">
        <f>IF(Charts!$B$3="none",H2433,IF(N2433="",NA(),N2433))</f>
        <v>0</v>
      </c>
    </row>
    <row r="627" spans="5:20">
      <c r="E627">
        <v>261</v>
      </c>
      <c r="F627">
        <f>F265</f>
        <v>0</v>
      </c>
      <c r="G627">
        <v>261</v>
      </c>
      <c r="H627">
        <f>H265</f>
        <v>0</v>
      </c>
      <c r="K627">
        <v>261</v>
      </c>
      <c r="L627">
        <f>L265</f>
        <v>0</v>
      </c>
      <c r="M627">
        <v>261</v>
      </c>
      <c r="N627">
        <f>N265</f>
        <v>0</v>
      </c>
      <c r="Q627">
        <f>IF(Charts!$B$3="none",E2434,IF(K2434="",NA(),K2434))</f>
        <v>0</v>
      </c>
      <c r="R627">
        <f>IF(Charts!$B$3="none",F2434,IF(L2434="",NA(),L2434))</f>
        <v>0</v>
      </c>
      <c r="S627">
        <f>IF(Charts!$B$3="none",G2434,IF(M2434="",NA(),M2434))</f>
        <v>0</v>
      </c>
      <c r="T627">
        <f>IF(Charts!$B$3="none",H2434,IF(N2434="",NA(),N2434))</f>
        <v>0</v>
      </c>
    </row>
    <row r="628" spans="5:20">
      <c r="E628">
        <v>262</v>
      </c>
      <c r="F628">
        <f>F266</f>
        <v>0</v>
      </c>
      <c r="G628">
        <v>262</v>
      </c>
      <c r="H628">
        <f>H266</f>
        <v>0</v>
      </c>
      <c r="K628">
        <v>262</v>
      </c>
      <c r="L628">
        <f>L266</f>
        <v>0</v>
      </c>
      <c r="M628">
        <v>262</v>
      </c>
      <c r="N628">
        <f>N266</f>
        <v>0</v>
      </c>
      <c r="Q628">
        <f>IF(Charts!$B$3="none",E2435,IF(K2435="",NA(),K2435))</f>
        <v>0</v>
      </c>
      <c r="R628">
        <f>IF(Charts!$B$3="none",F2435,IF(L2435="",NA(),L2435))</f>
        <v>0</v>
      </c>
      <c r="S628">
        <f>IF(Charts!$B$3="none",G2435,IF(M2435="",NA(),M2435))</f>
        <v>0</v>
      </c>
      <c r="T628">
        <f>IF(Charts!$B$3="none",H2435,IF(N2435="",NA(),N2435))</f>
        <v>0</v>
      </c>
    </row>
    <row r="629" spans="5:20">
      <c r="E629">
        <v>263</v>
      </c>
      <c r="F629">
        <f>F267</f>
        <v>0</v>
      </c>
      <c r="G629">
        <v>263</v>
      </c>
      <c r="H629">
        <f>H267</f>
        <v>0</v>
      </c>
      <c r="K629">
        <v>263</v>
      </c>
      <c r="L629">
        <f>L267</f>
        <v>0</v>
      </c>
      <c r="M629">
        <v>263</v>
      </c>
      <c r="N629">
        <f>N267</f>
        <v>0</v>
      </c>
      <c r="Q629">
        <f>IF(Charts!$B$3="none",E2436,IF(K2436="",NA(),K2436))</f>
        <v>0</v>
      </c>
      <c r="R629">
        <f>IF(Charts!$B$3="none",F2436,IF(L2436="",NA(),L2436))</f>
        <v>0</v>
      </c>
      <c r="S629">
        <f>IF(Charts!$B$3="none",G2436,IF(M2436="",NA(),M2436))</f>
        <v>0</v>
      </c>
      <c r="T629">
        <f>IF(Charts!$B$3="none",H2436,IF(N2436="",NA(),N2436))</f>
        <v>0</v>
      </c>
    </row>
    <row r="630" spans="5:20">
      <c r="E630">
        <v>264</v>
      </c>
      <c r="F630">
        <f>F268</f>
        <v>0</v>
      </c>
      <c r="G630">
        <v>264</v>
      </c>
      <c r="H630">
        <f>H268</f>
        <v>0</v>
      </c>
      <c r="K630">
        <v>264</v>
      </c>
      <c r="L630">
        <f>L268</f>
        <v>0</v>
      </c>
      <c r="M630">
        <v>264</v>
      </c>
      <c r="N630">
        <f>N268</f>
        <v>0</v>
      </c>
      <c r="Q630">
        <f>IF(Charts!$B$3="none",E2437,IF(K2437="",NA(),K2437))</f>
        <v>0</v>
      </c>
      <c r="R630">
        <f>IF(Charts!$B$3="none",F2437,IF(L2437="",NA(),L2437))</f>
        <v>0</v>
      </c>
      <c r="S630">
        <f>IF(Charts!$B$3="none",G2437,IF(M2437="",NA(),M2437))</f>
        <v>0</v>
      </c>
      <c r="T630">
        <f>IF(Charts!$B$3="none",H2437,IF(N2437="",NA(),N2437))</f>
        <v>0</v>
      </c>
    </row>
    <row r="631" spans="5:20">
      <c r="E631">
        <v>265</v>
      </c>
      <c r="F631">
        <f>F269</f>
        <v>0</v>
      </c>
      <c r="G631">
        <v>265</v>
      </c>
      <c r="H631">
        <f>H269</f>
        <v>0</v>
      </c>
      <c r="K631">
        <v>265</v>
      </c>
      <c r="L631">
        <f>L269</f>
        <v>0</v>
      </c>
      <c r="M631">
        <v>265</v>
      </c>
      <c r="N631">
        <f>N269</f>
        <v>0</v>
      </c>
      <c r="Q631">
        <f>IF(Charts!$B$3="none",E2438,IF(K2438="",NA(),K2438))</f>
        <v>0</v>
      </c>
      <c r="R631">
        <f>IF(Charts!$B$3="none",F2438,IF(L2438="",NA(),L2438))</f>
        <v>0</v>
      </c>
      <c r="S631">
        <f>IF(Charts!$B$3="none",G2438,IF(M2438="",NA(),M2438))</f>
        <v>0</v>
      </c>
      <c r="T631">
        <f>IF(Charts!$B$3="none",H2438,IF(N2438="",NA(),N2438))</f>
        <v>0</v>
      </c>
    </row>
    <row r="632" spans="5:20">
      <c r="E632">
        <v>266</v>
      </c>
      <c r="F632">
        <f>F270</f>
        <v>0</v>
      </c>
      <c r="G632">
        <v>266</v>
      </c>
      <c r="H632">
        <f>H270</f>
        <v>0</v>
      </c>
      <c r="K632">
        <v>266</v>
      </c>
      <c r="L632">
        <f>L270</f>
        <v>0</v>
      </c>
      <c r="M632">
        <v>266</v>
      </c>
      <c r="N632">
        <f>N270</f>
        <v>0</v>
      </c>
      <c r="Q632">
        <f>IF(Charts!$B$3="none",E2439,IF(K2439="",NA(),K2439))</f>
        <v>0</v>
      </c>
      <c r="R632">
        <f>IF(Charts!$B$3="none",F2439,IF(L2439="",NA(),L2439))</f>
        <v>0</v>
      </c>
      <c r="S632">
        <f>IF(Charts!$B$3="none",G2439,IF(M2439="",NA(),M2439))</f>
        <v>0</v>
      </c>
      <c r="T632">
        <f>IF(Charts!$B$3="none",H2439,IF(N2439="",NA(),N2439))</f>
        <v>0</v>
      </c>
    </row>
    <row r="633" spans="5:20">
      <c r="E633">
        <v>267</v>
      </c>
      <c r="F633">
        <f>F271</f>
        <v>0</v>
      </c>
      <c r="G633">
        <v>267</v>
      </c>
      <c r="H633">
        <f>H271</f>
        <v>0</v>
      </c>
      <c r="K633">
        <v>267</v>
      </c>
      <c r="L633">
        <f>L271</f>
        <v>0</v>
      </c>
      <c r="M633">
        <v>267</v>
      </c>
      <c r="N633">
        <f>N271</f>
        <v>0</v>
      </c>
      <c r="Q633">
        <f>IF(Charts!$B$3="none",E2440,IF(K2440="",NA(),K2440))</f>
        <v>0</v>
      </c>
      <c r="R633">
        <f>IF(Charts!$B$3="none",F2440,IF(L2440="",NA(),L2440))</f>
        <v>0</v>
      </c>
      <c r="S633">
        <f>IF(Charts!$B$3="none",G2440,IF(M2440="",NA(),M2440))</f>
        <v>0</v>
      </c>
      <c r="T633">
        <f>IF(Charts!$B$3="none",H2440,IF(N2440="",NA(),N2440))</f>
        <v>0</v>
      </c>
    </row>
    <row r="634" spans="5:20">
      <c r="E634">
        <v>268</v>
      </c>
      <c r="F634">
        <f>F272</f>
        <v>0</v>
      </c>
      <c r="G634">
        <v>268</v>
      </c>
      <c r="H634">
        <f>H272</f>
        <v>0</v>
      </c>
      <c r="K634">
        <v>268</v>
      </c>
      <c r="L634">
        <f>L272</f>
        <v>0</v>
      </c>
      <c r="M634">
        <v>268</v>
      </c>
      <c r="N634">
        <f>N272</f>
        <v>0</v>
      </c>
      <c r="Q634">
        <f>IF(Charts!$B$3="none",E2441,IF(K2441="",NA(),K2441))</f>
        <v>0</v>
      </c>
      <c r="R634">
        <f>IF(Charts!$B$3="none",F2441,IF(L2441="",NA(),L2441))</f>
        <v>0</v>
      </c>
      <c r="S634">
        <f>IF(Charts!$B$3="none",G2441,IF(M2441="",NA(),M2441))</f>
        <v>0</v>
      </c>
      <c r="T634">
        <f>IF(Charts!$B$3="none",H2441,IF(N2441="",NA(),N2441))</f>
        <v>0</v>
      </c>
    </row>
    <row r="635" spans="5:20">
      <c r="E635">
        <v>269</v>
      </c>
      <c r="F635">
        <f>F273</f>
        <v>0</v>
      </c>
      <c r="G635">
        <v>269</v>
      </c>
      <c r="H635">
        <f>H273</f>
        <v>0</v>
      </c>
      <c r="K635">
        <v>269</v>
      </c>
      <c r="L635">
        <f>L273</f>
        <v>0</v>
      </c>
      <c r="M635">
        <v>269</v>
      </c>
      <c r="N635">
        <f>N273</f>
        <v>0</v>
      </c>
      <c r="Q635">
        <f>IF(Charts!$B$3="none",E2442,IF(K2442="",NA(),K2442))</f>
        <v>0</v>
      </c>
      <c r="R635">
        <f>IF(Charts!$B$3="none",F2442,IF(L2442="",NA(),L2442))</f>
        <v>0</v>
      </c>
      <c r="S635">
        <f>IF(Charts!$B$3="none",G2442,IF(M2442="",NA(),M2442))</f>
        <v>0</v>
      </c>
      <c r="T635">
        <f>IF(Charts!$B$3="none",H2442,IF(N2442="",NA(),N2442))</f>
        <v>0</v>
      </c>
    </row>
    <row r="636" spans="5:20">
      <c r="E636">
        <v>270</v>
      </c>
      <c r="F636">
        <f>F274</f>
        <v>0</v>
      </c>
      <c r="G636">
        <v>270</v>
      </c>
      <c r="H636">
        <f>H274</f>
        <v>0</v>
      </c>
      <c r="K636">
        <v>270</v>
      </c>
      <c r="L636">
        <f>L274</f>
        <v>0</v>
      </c>
      <c r="M636">
        <v>270</v>
      </c>
      <c r="N636">
        <f>N274</f>
        <v>0</v>
      </c>
      <c r="Q636">
        <f>IF(Charts!$B$3="none",E2443,IF(K2443="",NA(),K2443))</f>
        <v>0</v>
      </c>
      <c r="R636">
        <f>IF(Charts!$B$3="none",F2443,IF(L2443="",NA(),L2443))</f>
        <v>0</v>
      </c>
      <c r="S636">
        <f>IF(Charts!$B$3="none",G2443,IF(M2443="",NA(),M2443))</f>
        <v>0</v>
      </c>
      <c r="T636">
        <f>IF(Charts!$B$3="none",H2443,IF(N2443="",NA(),N2443))</f>
        <v>0</v>
      </c>
    </row>
    <row r="637" spans="5:20">
      <c r="E637">
        <v>271</v>
      </c>
      <c r="F637">
        <f>F275</f>
        <v>0</v>
      </c>
      <c r="G637">
        <v>271</v>
      </c>
      <c r="H637">
        <f>H275</f>
        <v>0</v>
      </c>
      <c r="K637">
        <v>271</v>
      </c>
      <c r="L637">
        <f>L275</f>
        <v>0</v>
      </c>
      <c r="M637">
        <v>271</v>
      </c>
      <c r="N637">
        <f>N275</f>
        <v>0</v>
      </c>
      <c r="Q637">
        <f>IF(Charts!$B$3="none",E2444,IF(K2444="",NA(),K2444))</f>
        <v>0</v>
      </c>
      <c r="R637">
        <f>IF(Charts!$B$3="none",F2444,IF(L2444="",NA(),L2444))</f>
        <v>0</v>
      </c>
      <c r="S637">
        <f>IF(Charts!$B$3="none",G2444,IF(M2444="",NA(),M2444))</f>
        <v>0</v>
      </c>
      <c r="T637">
        <f>IF(Charts!$B$3="none",H2444,IF(N2444="",NA(),N2444))</f>
        <v>0</v>
      </c>
    </row>
    <row r="638" spans="5:20">
      <c r="E638">
        <v>272</v>
      </c>
      <c r="F638">
        <f>F276</f>
        <v>0</v>
      </c>
      <c r="G638">
        <v>272</v>
      </c>
      <c r="H638">
        <f>H276</f>
        <v>0</v>
      </c>
      <c r="K638">
        <v>272</v>
      </c>
      <c r="L638">
        <f>L276</f>
        <v>0</v>
      </c>
      <c r="M638">
        <v>272</v>
      </c>
      <c r="N638">
        <f>N276</f>
        <v>0</v>
      </c>
      <c r="Q638">
        <f>IF(Charts!$B$3="none",E2445,IF(K2445="",NA(),K2445))</f>
        <v>0</v>
      </c>
      <c r="R638">
        <f>IF(Charts!$B$3="none",F2445,IF(L2445="",NA(),L2445))</f>
        <v>0</v>
      </c>
      <c r="S638">
        <f>IF(Charts!$B$3="none",G2445,IF(M2445="",NA(),M2445))</f>
        <v>0</v>
      </c>
      <c r="T638">
        <f>IF(Charts!$B$3="none",H2445,IF(N2445="",NA(),N2445))</f>
        <v>0</v>
      </c>
    </row>
    <row r="639" spans="5:20">
      <c r="E639">
        <v>273</v>
      </c>
      <c r="F639">
        <f>F277</f>
        <v>0</v>
      </c>
      <c r="G639">
        <v>273</v>
      </c>
      <c r="H639">
        <f>H277</f>
        <v>0</v>
      </c>
      <c r="K639">
        <v>273</v>
      </c>
      <c r="L639">
        <f>L277</f>
        <v>0</v>
      </c>
      <c r="M639">
        <v>273</v>
      </c>
      <c r="N639">
        <f>N277</f>
        <v>0</v>
      </c>
      <c r="Q639">
        <f>IF(Charts!$B$3="none",E2446,IF(K2446="",NA(),K2446))</f>
        <v>0</v>
      </c>
      <c r="R639">
        <f>IF(Charts!$B$3="none",F2446,IF(L2446="",NA(),L2446))</f>
        <v>0</v>
      </c>
      <c r="S639">
        <f>IF(Charts!$B$3="none",G2446,IF(M2446="",NA(),M2446))</f>
        <v>0</v>
      </c>
      <c r="T639">
        <f>IF(Charts!$B$3="none",H2446,IF(N2446="",NA(),N2446))</f>
        <v>0</v>
      </c>
    </row>
    <row r="640" spans="5:20">
      <c r="E640">
        <v>274</v>
      </c>
      <c r="F640">
        <f>F278</f>
        <v>0</v>
      </c>
      <c r="G640">
        <v>274</v>
      </c>
      <c r="H640">
        <f>H278</f>
        <v>0</v>
      </c>
      <c r="K640">
        <v>274</v>
      </c>
      <c r="L640">
        <f>L278</f>
        <v>0</v>
      </c>
      <c r="M640">
        <v>274</v>
      </c>
      <c r="N640">
        <f>N278</f>
        <v>0</v>
      </c>
      <c r="Q640">
        <f>IF(Charts!$B$3="none",E2447,IF(K2447="",NA(),K2447))</f>
        <v>0</v>
      </c>
      <c r="R640">
        <f>IF(Charts!$B$3="none",F2447,IF(L2447="",NA(),L2447))</f>
        <v>0</v>
      </c>
      <c r="S640">
        <f>IF(Charts!$B$3="none",G2447,IF(M2447="",NA(),M2447))</f>
        <v>0</v>
      </c>
      <c r="T640">
        <f>IF(Charts!$B$3="none",H2447,IF(N2447="",NA(),N2447))</f>
        <v>0</v>
      </c>
    </row>
    <row r="641" spans="5:20">
      <c r="E641">
        <v>275</v>
      </c>
      <c r="F641">
        <f>F279</f>
        <v>0</v>
      </c>
      <c r="G641">
        <v>275</v>
      </c>
      <c r="H641">
        <f>H279</f>
        <v>0</v>
      </c>
      <c r="K641">
        <v>275</v>
      </c>
      <c r="L641">
        <f>L279</f>
        <v>0</v>
      </c>
      <c r="M641">
        <v>275</v>
      </c>
      <c r="N641">
        <f>N279</f>
        <v>0</v>
      </c>
      <c r="Q641">
        <f>IF(Charts!$B$3="none",E2448,IF(K2448="",NA(),K2448))</f>
        <v>0</v>
      </c>
      <c r="R641">
        <f>IF(Charts!$B$3="none",F2448,IF(L2448="",NA(),L2448))</f>
        <v>0</v>
      </c>
      <c r="S641">
        <f>IF(Charts!$B$3="none",G2448,IF(M2448="",NA(),M2448))</f>
        <v>0</v>
      </c>
      <c r="T641">
        <f>IF(Charts!$B$3="none",H2448,IF(N2448="",NA(),N2448))</f>
        <v>0</v>
      </c>
    </row>
    <row r="642" spans="5:20">
      <c r="E642">
        <v>276</v>
      </c>
      <c r="F642">
        <f>F280</f>
        <v>0</v>
      </c>
      <c r="G642">
        <v>276</v>
      </c>
      <c r="H642">
        <f>H280</f>
        <v>0</v>
      </c>
      <c r="K642">
        <v>276</v>
      </c>
      <c r="L642">
        <f>L280</f>
        <v>0</v>
      </c>
      <c r="M642">
        <v>276</v>
      </c>
      <c r="N642">
        <f>N280</f>
        <v>0</v>
      </c>
      <c r="Q642">
        <f>IF(Charts!$B$3="none",E2449,IF(K2449="",NA(),K2449))</f>
        <v>0</v>
      </c>
      <c r="R642">
        <f>IF(Charts!$B$3="none",F2449,IF(L2449="",NA(),L2449))</f>
        <v>0</v>
      </c>
      <c r="S642">
        <f>IF(Charts!$B$3="none",G2449,IF(M2449="",NA(),M2449))</f>
        <v>0</v>
      </c>
      <c r="T642">
        <f>IF(Charts!$B$3="none",H2449,IF(N2449="",NA(),N2449))</f>
        <v>0</v>
      </c>
    </row>
    <row r="643" spans="5:20">
      <c r="E643">
        <v>277</v>
      </c>
      <c r="F643">
        <f>F281</f>
        <v>0</v>
      </c>
      <c r="G643">
        <v>277</v>
      </c>
      <c r="H643">
        <f>H281</f>
        <v>0</v>
      </c>
      <c r="K643">
        <v>277</v>
      </c>
      <c r="L643">
        <f>L281</f>
        <v>0</v>
      </c>
      <c r="M643">
        <v>277</v>
      </c>
      <c r="N643">
        <f>N281</f>
        <v>0</v>
      </c>
      <c r="Q643">
        <f>IF(Charts!$B$3="none",E2450,IF(K2450="",NA(),K2450))</f>
        <v>0</v>
      </c>
      <c r="R643">
        <f>IF(Charts!$B$3="none",F2450,IF(L2450="",NA(),L2450))</f>
        <v>0</v>
      </c>
      <c r="S643">
        <f>IF(Charts!$B$3="none",G2450,IF(M2450="",NA(),M2450))</f>
        <v>0</v>
      </c>
      <c r="T643">
        <f>IF(Charts!$B$3="none",H2450,IF(N2450="",NA(),N2450))</f>
        <v>0</v>
      </c>
    </row>
    <row r="644" spans="5:20">
      <c r="E644">
        <v>278</v>
      </c>
      <c r="F644">
        <f>F282</f>
        <v>0</v>
      </c>
      <c r="G644">
        <v>278</v>
      </c>
      <c r="H644">
        <f>H282</f>
        <v>0</v>
      </c>
      <c r="K644">
        <v>278</v>
      </c>
      <c r="L644">
        <f>L282</f>
        <v>0</v>
      </c>
      <c r="M644">
        <v>278</v>
      </c>
      <c r="N644">
        <f>N282</f>
        <v>0</v>
      </c>
      <c r="Q644">
        <f>IF(Charts!$B$3="none",E2451,IF(K2451="",NA(),K2451))</f>
        <v>0</v>
      </c>
      <c r="R644">
        <f>IF(Charts!$B$3="none",F2451,IF(L2451="",NA(),L2451))</f>
        <v>0</v>
      </c>
      <c r="S644">
        <f>IF(Charts!$B$3="none",G2451,IF(M2451="",NA(),M2451))</f>
        <v>0</v>
      </c>
      <c r="T644">
        <f>IF(Charts!$B$3="none",H2451,IF(N2451="",NA(),N2451))</f>
        <v>0</v>
      </c>
    </row>
    <row r="645" spans="5:20">
      <c r="E645">
        <v>279</v>
      </c>
      <c r="F645">
        <f>F283</f>
        <v>0</v>
      </c>
      <c r="G645">
        <v>279</v>
      </c>
      <c r="H645">
        <f>H283</f>
        <v>0</v>
      </c>
      <c r="K645">
        <v>279</v>
      </c>
      <c r="L645">
        <f>L283</f>
        <v>0</v>
      </c>
      <c r="M645">
        <v>279</v>
      </c>
      <c r="N645">
        <f>N283</f>
        <v>0</v>
      </c>
      <c r="Q645">
        <f>IF(Charts!$B$3="none",E2452,IF(K2452="",NA(),K2452))</f>
        <v>0</v>
      </c>
      <c r="R645">
        <f>IF(Charts!$B$3="none",F2452,IF(L2452="",NA(),L2452))</f>
        <v>0</v>
      </c>
      <c r="S645">
        <f>IF(Charts!$B$3="none",G2452,IF(M2452="",NA(),M2452))</f>
        <v>0</v>
      </c>
      <c r="T645">
        <f>IF(Charts!$B$3="none",H2452,IF(N2452="",NA(),N2452))</f>
        <v>0</v>
      </c>
    </row>
    <row r="646" spans="5:20">
      <c r="E646">
        <v>280</v>
      </c>
      <c r="F646">
        <f>F284</f>
        <v>0</v>
      </c>
      <c r="G646">
        <v>280</v>
      </c>
      <c r="H646">
        <f>H284</f>
        <v>0</v>
      </c>
      <c r="K646">
        <v>280</v>
      </c>
      <c r="L646">
        <f>L284</f>
        <v>0</v>
      </c>
      <c r="M646">
        <v>280</v>
      </c>
      <c r="N646">
        <f>N284</f>
        <v>0</v>
      </c>
      <c r="Q646">
        <f>IF(Charts!$B$3="none",E2453,IF(K2453="",NA(),K2453))</f>
        <v>0</v>
      </c>
      <c r="R646">
        <f>IF(Charts!$B$3="none",F2453,IF(L2453="",NA(),L2453))</f>
        <v>0</v>
      </c>
      <c r="S646">
        <f>IF(Charts!$B$3="none",G2453,IF(M2453="",NA(),M2453))</f>
        <v>0</v>
      </c>
      <c r="T646">
        <f>IF(Charts!$B$3="none",H2453,IF(N2453="",NA(),N2453))</f>
        <v>0</v>
      </c>
    </row>
    <row r="647" spans="5:20">
      <c r="E647">
        <v>281</v>
      </c>
      <c r="F647">
        <f>F285</f>
        <v>0</v>
      </c>
      <c r="G647">
        <v>281</v>
      </c>
      <c r="H647">
        <f>H285</f>
        <v>0</v>
      </c>
      <c r="K647">
        <v>281</v>
      </c>
      <c r="L647">
        <f>L285</f>
        <v>0</v>
      </c>
      <c r="M647">
        <v>281</v>
      </c>
      <c r="N647">
        <f>N285</f>
        <v>0</v>
      </c>
      <c r="Q647">
        <f>IF(Charts!$B$3="none",E2454,IF(K2454="",NA(),K2454))</f>
        <v>0</v>
      </c>
      <c r="R647">
        <f>IF(Charts!$B$3="none",F2454,IF(L2454="",NA(),L2454))</f>
        <v>0</v>
      </c>
      <c r="S647">
        <f>IF(Charts!$B$3="none",G2454,IF(M2454="",NA(),M2454))</f>
        <v>0</v>
      </c>
      <c r="T647">
        <f>IF(Charts!$B$3="none",H2454,IF(N2454="",NA(),N2454))</f>
        <v>0</v>
      </c>
    </row>
    <row r="648" spans="5:20">
      <c r="E648">
        <v>282</v>
      </c>
      <c r="F648">
        <f>F286</f>
        <v>0</v>
      </c>
      <c r="G648">
        <v>282</v>
      </c>
      <c r="H648">
        <f>H286</f>
        <v>0</v>
      </c>
      <c r="K648">
        <v>282</v>
      </c>
      <c r="L648">
        <f>L286</f>
        <v>0</v>
      </c>
      <c r="M648">
        <v>282</v>
      </c>
      <c r="N648">
        <f>N286</f>
        <v>0</v>
      </c>
      <c r="Q648">
        <f>IF(Charts!$B$3="none",E2455,IF(K2455="",NA(),K2455))</f>
        <v>0</v>
      </c>
      <c r="R648">
        <f>IF(Charts!$B$3="none",F2455,IF(L2455="",NA(),L2455))</f>
        <v>0</v>
      </c>
      <c r="S648">
        <f>IF(Charts!$B$3="none",G2455,IF(M2455="",NA(),M2455))</f>
        <v>0</v>
      </c>
      <c r="T648">
        <f>IF(Charts!$B$3="none",H2455,IF(N2455="",NA(),N2455))</f>
        <v>0</v>
      </c>
    </row>
    <row r="649" spans="5:20">
      <c r="E649">
        <v>283</v>
      </c>
      <c r="F649">
        <f>F287</f>
        <v>0</v>
      </c>
      <c r="G649">
        <v>283</v>
      </c>
      <c r="H649">
        <f>H287</f>
        <v>0</v>
      </c>
      <c r="K649">
        <v>283</v>
      </c>
      <c r="L649">
        <f>L287</f>
        <v>0</v>
      </c>
      <c r="M649">
        <v>283</v>
      </c>
      <c r="N649">
        <f>N287</f>
        <v>0</v>
      </c>
      <c r="Q649">
        <f>IF(Charts!$B$3="none",E2456,IF(K2456="",NA(),K2456))</f>
        <v>0</v>
      </c>
      <c r="R649">
        <f>IF(Charts!$B$3="none",F2456,IF(L2456="",NA(),L2456))</f>
        <v>0</v>
      </c>
      <c r="S649">
        <f>IF(Charts!$B$3="none",G2456,IF(M2456="",NA(),M2456))</f>
        <v>0</v>
      </c>
      <c r="T649">
        <f>IF(Charts!$B$3="none",H2456,IF(N2456="",NA(),N2456))</f>
        <v>0</v>
      </c>
    </row>
    <row r="650" spans="5:20">
      <c r="E650">
        <v>284</v>
      </c>
      <c r="F650">
        <f>F288</f>
        <v>0</v>
      </c>
      <c r="G650">
        <v>284</v>
      </c>
      <c r="H650">
        <f>H288</f>
        <v>0</v>
      </c>
      <c r="K650">
        <v>284</v>
      </c>
      <c r="L650">
        <f>L288</f>
        <v>0</v>
      </c>
      <c r="M650">
        <v>284</v>
      </c>
      <c r="N650">
        <f>N288</f>
        <v>0</v>
      </c>
      <c r="Q650">
        <f>IF(Charts!$B$3="none",E2457,IF(K2457="",NA(),K2457))</f>
        <v>0</v>
      </c>
      <c r="R650">
        <f>IF(Charts!$B$3="none",F2457,IF(L2457="",NA(),L2457))</f>
        <v>0</v>
      </c>
      <c r="S650">
        <f>IF(Charts!$B$3="none",G2457,IF(M2457="",NA(),M2457))</f>
        <v>0</v>
      </c>
      <c r="T650">
        <f>IF(Charts!$B$3="none",H2457,IF(N2457="",NA(),N2457))</f>
        <v>0</v>
      </c>
    </row>
    <row r="651" spans="5:20">
      <c r="E651">
        <v>285</v>
      </c>
      <c r="F651">
        <f>F289</f>
        <v>0</v>
      </c>
      <c r="G651">
        <v>285</v>
      </c>
      <c r="H651">
        <f>H289</f>
        <v>0</v>
      </c>
      <c r="K651">
        <v>285</v>
      </c>
      <c r="L651">
        <f>L289</f>
        <v>0</v>
      </c>
      <c r="M651">
        <v>285</v>
      </c>
      <c r="N651">
        <f>N289</f>
        <v>0</v>
      </c>
      <c r="Q651">
        <f>IF(Charts!$B$3="none",E2458,IF(K2458="",NA(),K2458))</f>
        <v>0</v>
      </c>
      <c r="R651">
        <f>IF(Charts!$B$3="none",F2458,IF(L2458="",NA(),L2458))</f>
        <v>0</v>
      </c>
      <c r="S651">
        <f>IF(Charts!$B$3="none",G2458,IF(M2458="",NA(),M2458))</f>
        <v>0</v>
      </c>
      <c r="T651">
        <f>IF(Charts!$B$3="none",H2458,IF(N2458="",NA(),N2458))</f>
        <v>0</v>
      </c>
    </row>
    <row r="652" spans="5:20">
      <c r="E652">
        <v>286</v>
      </c>
      <c r="F652">
        <f>F290</f>
        <v>0</v>
      </c>
      <c r="G652">
        <v>286</v>
      </c>
      <c r="H652">
        <f>H290</f>
        <v>0</v>
      </c>
      <c r="K652">
        <v>286</v>
      </c>
      <c r="L652">
        <f>L290</f>
        <v>0</v>
      </c>
      <c r="M652">
        <v>286</v>
      </c>
      <c r="N652">
        <f>N290</f>
        <v>0</v>
      </c>
      <c r="Q652">
        <f>IF(Charts!$B$3="none",E2459,IF(K2459="",NA(),K2459))</f>
        <v>0</v>
      </c>
      <c r="R652">
        <f>IF(Charts!$B$3="none",F2459,IF(L2459="",NA(),L2459))</f>
        <v>0</v>
      </c>
      <c r="S652">
        <f>IF(Charts!$B$3="none",G2459,IF(M2459="",NA(),M2459))</f>
        <v>0</v>
      </c>
      <c r="T652">
        <f>IF(Charts!$B$3="none",H2459,IF(N2459="",NA(),N2459))</f>
        <v>0</v>
      </c>
    </row>
    <row r="653" spans="5:20">
      <c r="E653">
        <v>287</v>
      </c>
      <c r="F653">
        <f>F291</f>
        <v>0</v>
      </c>
      <c r="G653">
        <v>287</v>
      </c>
      <c r="H653">
        <f>H291</f>
        <v>0</v>
      </c>
      <c r="K653">
        <v>287</v>
      </c>
      <c r="L653">
        <f>L291</f>
        <v>0</v>
      </c>
      <c r="M653">
        <v>287</v>
      </c>
      <c r="N653">
        <f>N291</f>
        <v>0</v>
      </c>
      <c r="Q653">
        <f>IF(Charts!$B$3="none",E2460,IF(K2460="",NA(),K2460))</f>
        <v>0</v>
      </c>
      <c r="R653">
        <f>IF(Charts!$B$3="none",F2460,IF(L2460="",NA(),L2460))</f>
        <v>0</v>
      </c>
      <c r="S653">
        <f>IF(Charts!$B$3="none",G2460,IF(M2460="",NA(),M2460))</f>
        <v>0</v>
      </c>
      <c r="T653">
        <f>IF(Charts!$B$3="none",H2460,IF(N2460="",NA(),N2460))</f>
        <v>0</v>
      </c>
    </row>
    <row r="654" spans="5:20">
      <c r="E654">
        <v>288</v>
      </c>
      <c r="F654">
        <f>F292</f>
        <v>0</v>
      </c>
      <c r="G654">
        <v>288</v>
      </c>
      <c r="H654">
        <f>H292</f>
        <v>0</v>
      </c>
      <c r="K654">
        <v>288</v>
      </c>
      <c r="L654">
        <f>L292</f>
        <v>0</v>
      </c>
      <c r="M654">
        <v>288</v>
      </c>
      <c r="N654">
        <f>N292</f>
        <v>0</v>
      </c>
      <c r="Q654">
        <f>IF(Charts!$B$3="none",E2461,IF(K2461="",NA(),K2461))</f>
        <v>0</v>
      </c>
      <c r="R654">
        <f>IF(Charts!$B$3="none",F2461,IF(L2461="",NA(),L2461))</f>
        <v>0</v>
      </c>
      <c r="S654">
        <f>IF(Charts!$B$3="none",G2461,IF(M2461="",NA(),M2461))</f>
        <v>0</v>
      </c>
      <c r="T654">
        <f>IF(Charts!$B$3="none",H2461,IF(N2461="",NA(),N2461))</f>
        <v>0</v>
      </c>
    </row>
    <row r="655" spans="5:20">
      <c r="E655">
        <v>289</v>
      </c>
      <c r="F655">
        <f>F293</f>
        <v>0</v>
      </c>
      <c r="G655">
        <v>289</v>
      </c>
      <c r="H655">
        <f>H293</f>
        <v>0</v>
      </c>
      <c r="K655">
        <v>289</v>
      </c>
      <c r="L655">
        <f>L293</f>
        <v>0</v>
      </c>
      <c r="M655">
        <v>289</v>
      </c>
      <c r="N655">
        <f>N293</f>
        <v>0</v>
      </c>
      <c r="Q655">
        <f>IF(Charts!$B$3="none",E2462,IF(K2462="",NA(),K2462))</f>
        <v>0</v>
      </c>
      <c r="R655">
        <f>IF(Charts!$B$3="none",F2462,IF(L2462="",NA(),L2462))</f>
        <v>0</v>
      </c>
      <c r="S655">
        <f>IF(Charts!$B$3="none",G2462,IF(M2462="",NA(),M2462))</f>
        <v>0</v>
      </c>
      <c r="T655">
        <f>IF(Charts!$B$3="none",H2462,IF(N2462="",NA(),N2462))</f>
        <v>0</v>
      </c>
    </row>
    <row r="656" spans="5:20">
      <c r="E656">
        <v>290</v>
      </c>
      <c r="F656">
        <f>F294</f>
        <v>0</v>
      </c>
      <c r="G656">
        <v>290</v>
      </c>
      <c r="H656">
        <f>H294</f>
        <v>0</v>
      </c>
      <c r="K656">
        <v>290</v>
      </c>
      <c r="L656">
        <f>L294</f>
        <v>0</v>
      </c>
      <c r="M656">
        <v>290</v>
      </c>
      <c r="N656">
        <f>N294</f>
        <v>0</v>
      </c>
      <c r="Q656">
        <f>IF(Charts!$B$3="none",E2463,IF(K2463="",NA(),K2463))</f>
        <v>0</v>
      </c>
      <c r="R656">
        <f>IF(Charts!$B$3="none",F2463,IF(L2463="",NA(),L2463))</f>
        <v>0</v>
      </c>
      <c r="S656">
        <f>IF(Charts!$B$3="none",G2463,IF(M2463="",NA(),M2463))</f>
        <v>0</v>
      </c>
      <c r="T656">
        <f>IF(Charts!$B$3="none",H2463,IF(N2463="",NA(),N2463))</f>
        <v>0</v>
      </c>
    </row>
    <row r="657" spans="5:20">
      <c r="E657">
        <v>291</v>
      </c>
      <c r="F657">
        <f>F295</f>
        <v>0</v>
      </c>
      <c r="G657">
        <v>291</v>
      </c>
      <c r="H657">
        <f>H295</f>
        <v>0</v>
      </c>
      <c r="K657">
        <v>291</v>
      </c>
      <c r="L657">
        <f>L295</f>
        <v>0</v>
      </c>
      <c r="M657">
        <v>291</v>
      </c>
      <c r="N657">
        <f>N295</f>
        <v>0</v>
      </c>
      <c r="Q657">
        <f>IF(Charts!$B$3="none",E2464,IF(K2464="",NA(),K2464))</f>
        <v>0</v>
      </c>
      <c r="R657">
        <f>IF(Charts!$B$3="none",F2464,IF(L2464="",NA(),L2464))</f>
        <v>0</v>
      </c>
      <c r="S657">
        <f>IF(Charts!$B$3="none",G2464,IF(M2464="",NA(),M2464))</f>
        <v>0</v>
      </c>
      <c r="T657">
        <f>IF(Charts!$B$3="none",H2464,IF(N2464="",NA(),N2464))</f>
        <v>0</v>
      </c>
    </row>
    <row r="658" spans="5:20">
      <c r="E658">
        <v>292</v>
      </c>
      <c r="F658">
        <f>F296</f>
        <v>0</v>
      </c>
      <c r="G658">
        <v>292</v>
      </c>
      <c r="H658">
        <f>H296</f>
        <v>0</v>
      </c>
      <c r="K658">
        <v>292</v>
      </c>
      <c r="L658">
        <f>L296</f>
        <v>0</v>
      </c>
      <c r="M658">
        <v>292</v>
      </c>
      <c r="N658">
        <f>N296</f>
        <v>0</v>
      </c>
      <c r="Q658">
        <f>IF(Charts!$B$3="none",E2465,IF(K2465="",NA(),K2465))</f>
        <v>0</v>
      </c>
      <c r="R658">
        <f>IF(Charts!$B$3="none",F2465,IF(L2465="",NA(),L2465))</f>
        <v>0</v>
      </c>
      <c r="S658">
        <f>IF(Charts!$B$3="none",G2465,IF(M2465="",NA(),M2465))</f>
        <v>0</v>
      </c>
      <c r="T658">
        <f>IF(Charts!$B$3="none",H2465,IF(N2465="",NA(),N2465))</f>
        <v>0</v>
      </c>
    </row>
    <row r="659" spans="5:20">
      <c r="E659">
        <v>293</v>
      </c>
      <c r="F659">
        <f>F297</f>
        <v>0</v>
      </c>
      <c r="G659">
        <v>293</v>
      </c>
      <c r="H659">
        <f>H297</f>
        <v>0</v>
      </c>
      <c r="K659">
        <v>293</v>
      </c>
      <c r="L659">
        <f>L297</f>
        <v>0</v>
      </c>
      <c r="M659">
        <v>293</v>
      </c>
      <c r="N659">
        <f>N297</f>
        <v>0</v>
      </c>
      <c r="Q659">
        <f>IF(Charts!$B$3="none",E2466,IF(K2466="",NA(),K2466))</f>
        <v>0</v>
      </c>
      <c r="R659">
        <f>IF(Charts!$B$3="none",F2466,IF(L2466="",NA(),L2466))</f>
        <v>0</v>
      </c>
      <c r="S659">
        <f>IF(Charts!$B$3="none",G2466,IF(M2466="",NA(),M2466))</f>
        <v>0</v>
      </c>
      <c r="T659">
        <f>IF(Charts!$B$3="none",H2466,IF(N2466="",NA(),N2466))</f>
        <v>0</v>
      </c>
    </row>
    <row r="660" spans="5:20">
      <c r="E660">
        <v>294</v>
      </c>
      <c r="F660">
        <f>F298</f>
        <v>0</v>
      </c>
      <c r="G660">
        <v>294</v>
      </c>
      <c r="H660">
        <f>H298</f>
        <v>0</v>
      </c>
      <c r="K660">
        <v>294</v>
      </c>
      <c r="L660">
        <f>L298</f>
        <v>0</v>
      </c>
      <c r="M660">
        <v>294</v>
      </c>
      <c r="N660">
        <f>N298</f>
        <v>0</v>
      </c>
      <c r="Q660">
        <f>IF(Charts!$B$3="none",E2467,IF(K2467="",NA(),K2467))</f>
        <v>0</v>
      </c>
      <c r="R660">
        <f>IF(Charts!$B$3="none",F2467,IF(L2467="",NA(),L2467))</f>
        <v>0</v>
      </c>
      <c r="S660">
        <f>IF(Charts!$B$3="none",G2467,IF(M2467="",NA(),M2467))</f>
        <v>0</v>
      </c>
      <c r="T660">
        <f>IF(Charts!$B$3="none",H2467,IF(N2467="",NA(),N2467))</f>
        <v>0</v>
      </c>
    </row>
    <row r="661" spans="5:20">
      <c r="E661">
        <v>295</v>
      </c>
      <c r="F661">
        <f>F299</f>
        <v>0</v>
      </c>
      <c r="G661">
        <v>295</v>
      </c>
      <c r="H661">
        <f>H299</f>
        <v>0</v>
      </c>
      <c r="K661">
        <v>295</v>
      </c>
      <c r="L661">
        <f>L299</f>
        <v>0</v>
      </c>
      <c r="M661">
        <v>295</v>
      </c>
      <c r="N661">
        <f>N299</f>
        <v>0</v>
      </c>
      <c r="Q661">
        <f>IF(Charts!$B$3="none",E2468,IF(K2468="",NA(),K2468))</f>
        <v>0</v>
      </c>
      <c r="R661">
        <f>IF(Charts!$B$3="none",F2468,IF(L2468="",NA(),L2468))</f>
        <v>0</v>
      </c>
      <c r="S661">
        <f>IF(Charts!$B$3="none",G2468,IF(M2468="",NA(),M2468))</f>
        <v>0</v>
      </c>
      <c r="T661">
        <f>IF(Charts!$B$3="none",H2468,IF(N2468="",NA(),N2468))</f>
        <v>0</v>
      </c>
    </row>
    <row r="662" spans="5:20">
      <c r="E662">
        <v>296</v>
      </c>
      <c r="F662">
        <f>F300</f>
        <v>0</v>
      </c>
      <c r="G662">
        <v>296</v>
      </c>
      <c r="H662">
        <f>H300</f>
        <v>0</v>
      </c>
      <c r="K662">
        <v>296</v>
      </c>
      <c r="L662">
        <f>L300</f>
        <v>0</v>
      </c>
      <c r="M662">
        <v>296</v>
      </c>
      <c r="N662">
        <f>N300</f>
        <v>0</v>
      </c>
      <c r="Q662">
        <f>IF(Charts!$B$3="none",E2469,IF(K2469="",NA(),K2469))</f>
        <v>0</v>
      </c>
      <c r="R662">
        <f>IF(Charts!$B$3="none",F2469,IF(L2469="",NA(),L2469))</f>
        <v>0</v>
      </c>
      <c r="S662">
        <f>IF(Charts!$B$3="none",G2469,IF(M2469="",NA(),M2469))</f>
        <v>0</v>
      </c>
      <c r="T662">
        <f>IF(Charts!$B$3="none",H2469,IF(N2469="",NA(),N2469))</f>
        <v>0</v>
      </c>
    </row>
    <row r="663" spans="5:20">
      <c r="E663">
        <v>297</v>
      </c>
      <c r="F663">
        <f>F301</f>
        <v>0</v>
      </c>
      <c r="G663">
        <v>297</v>
      </c>
      <c r="H663">
        <f>H301</f>
        <v>0</v>
      </c>
      <c r="K663">
        <v>297</v>
      </c>
      <c r="L663">
        <f>L301</f>
        <v>0</v>
      </c>
      <c r="M663">
        <v>297</v>
      </c>
      <c r="N663">
        <f>N301</f>
        <v>0</v>
      </c>
      <c r="Q663">
        <f>IF(Charts!$B$3="none",E2470,IF(K2470="",NA(),K2470))</f>
        <v>0</v>
      </c>
      <c r="R663">
        <f>IF(Charts!$B$3="none",F2470,IF(L2470="",NA(),L2470))</f>
        <v>0</v>
      </c>
      <c r="S663">
        <f>IF(Charts!$B$3="none",G2470,IF(M2470="",NA(),M2470))</f>
        <v>0</v>
      </c>
      <c r="T663">
        <f>IF(Charts!$B$3="none",H2470,IF(N2470="",NA(),N2470))</f>
        <v>0</v>
      </c>
    </row>
    <row r="664" spans="5:20">
      <c r="E664">
        <v>298</v>
      </c>
      <c r="F664">
        <f>F302</f>
        <v>0</v>
      </c>
      <c r="G664">
        <v>298</v>
      </c>
      <c r="H664">
        <f>H302</f>
        <v>0</v>
      </c>
      <c r="K664">
        <v>298</v>
      </c>
      <c r="L664">
        <f>L302</f>
        <v>0</v>
      </c>
      <c r="M664">
        <v>298</v>
      </c>
      <c r="N664">
        <f>N302</f>
        <v>0</v>
      </c>
      <c r="Q664">
        <f>IF(Charts!$B$3="none",E2471,IF(K2471="",NA(),K2471))</f>
        <v>0</v>
      </c>
      <c r="R664">
        <f>IF(Charts!$B$3="none",F2471,IF(L2471="",NA(),L2471))</f>
        <v>0</v>
      </c>
      <c r="S664">
        <f>IF(Charts!$B$3="none",G2471,IF(M2471="",NA(),M2471))</f>
        <v>0</v>
      </c>
      <c r="T664">
        <f>IF(Charts!$B$3="none",H2471,IF(N2471="",NA(),N2471))</f>
        <v>0</v>
      </c>
    </row>
    <row r="665" spans="5:20">
      <c r="E665">
        <v>299</v>
      </c>
      <c r="F665">
        <f>F303</f>
        <v>0</v>
      </c>
      <c r="G665">
        <v>299</v>
      </c>
      <c r="H665">
        <f>H303</f>
        <v>0</v>
      </c>
      <c r="K665">
        <v>299</v>
      </c>
      <c r="L665">
        <f>L303</f>
        <v>0</v>
      </c>
      <c r="M665">
        <v>299</v>
      </c>
      <c r="N665">
        <f>N303</f>
        <v>0</v>
      </c>
      <c r="Q665">
        <f>IF(Charts!$B$3="none",E2472,IF(K2472="",NA(),K2472))</f>
        <v>0</v>
      </c>
      <c r="R665">
        <f>IF(Charts!$B$3="none",F2472,IF(L2472="",NA(),L2472))</f>
        <v>0</v>
      </c>
      <c r="S665">
        <f>IF(Charts!$B$3="none",G2472,IF(M2472="",NA(),M2472))</f>
        <v>0</v>
      </c>
      <c r="T665">
        <f>IF(Charts!$B$3="none",H2472,IF(N2472="",NA(),N2472))</f>
        <v>0</v>
      </c>
    </row>
    <row r="666" spans="5:20">
      <c r="E666">
        <v>300</v>
      </c>
      <c r="F666">
        <f>F304</f>
        <v>0</v>
      </c>
      <c r="G666">
        <v>300</v>
      </c>
      <c r="H666">
        <f>H304</f>
        <v>0</v>
      </c>
      <c r="K666">
        <v>300</v>
      </c>
      <c r="L666">
        <f>L304</f>
        <v>0</v>
      </c>
      <c r="M666">
        <v>300</v>
      </c>
      <c r="N666">
        <f>N304</f>
        <v>0</v>
      </c>
      <c r="Q666">
        <f>IF(Charts!$B$3="none",E2473,IF(K2473="",NA(),K2473))</f>
        <v>0</v>
      </c>
      <c r="R666">
        <f>IF(Charts!$B$3="none",F2473,IF(L2473="",NA(),L2473))</f>
        <v>0</v>
      </c>
      <c r="S666">
        <f>IF(Charts!$B$3="none",G2473,IF(M2473="",NA(),M2473))</f>
        <v>0</v>
      </c>
      <c r="T666">
        <f>IF(Charts!$B$3="none",H2473,IF(N2473="",NA(),N2473))</f>
        <v>0</v>
      </c>
    </row>
    <row r="667" spans="5:20">
      <c r="E667">
        <v>301</v>
      </c>
      <c r="F667">
        <f>F305</f>
        <v>0</v>
      </c>
      <c r="G667">
        <v>301</v>
      </c>
      <c r="H667">
        <f>H305</f>
        <v>0</v>
      </c>
      <c r="K667">
        <v>301</v>
      </c>
      <c r="L667">
        <f>L305</f>
        <v>0</v>
      </c>
      <c r="M667">
        <v>301</v>
      </c>
      <c r="N667">
        <f>N305</f>
        <v>0</v>
      </c>
      <c r="Q667">
        <f>IF(Charts!$B$3="none",E2474,IF(K2474="",NA(),K2474))</f>
        <v>0</v>
      </c>
      <c r="R667">
        <f>IF(Charts!$B$3="none",F2474,IF(L2474="",NA(),L2474))</f>
        <v>0</v>
      </c>
      <c r="S667">
        <f>IF(Charts!$B$3="none",G2474,IF(M2474="",NA(),M2474))</f>
        <v>0</v>
      </c>
      <c r="T667">
        <f>IF(Charts!$B$3="none",H2474,IF(N2474="",NA(),N2474))</f>
        <v>0</v>
      </c>
    </row>
    <row r="668" spans="5:20">
      <c r="E668">
        <v>302</v>
      </c>
      <c r="F668">
        <f>F306</f>
        <v>0</v>
      </c>
      <c r="G668">
        <v>302</v>
      </c>
      <c r="H668">
        <f>H306</f>
        <v>0</v>
      </c>
      <c r="K668">
        <v>302</v>
      </c>
      <c r="L668">
        <f>L306</f>
        <v>0</v>
      </c>
      <c r="M668">
        <v>302</v>
      </c>
      <c r="N668">
        <f>N306</f>
        <v>0</v>
      </c>
      <c r="Q668">
        <f>IF(Charts!$B$3="none",E2475,IF(K2475="",NA(),K2475))</f>
        <v>0</v>
      </c>
      <c r="R668">
        <f>IF(Charts!$B$3="none",F2475,IF(L2475="",NA(),L2475))</f>
        <v>0</v>
      </c>
      <c r="S668">
        <f>IF(Charts!$B$3="none",G2475,IF(M2475="",NA(),M2475))</f>
        <v>0</v>
      </c>
      <c r="T668">
        <f>IF(Charts!$B$3="none",H2475,IF(N2475="",NA(),N2475))</f>
        <v>0</v>
      </c>
    </row>
    <row r="669" spans="5:20">
      <c r="E669">
        <v>303</v>
      </c>
      <c r="F669">
        <f>F307</f>
        <v>0</v>
      </c>
      <c r="G669">
        <v>303</v>
      </c>
      <c r="H669">
        <f>H307</f>
        <v>0</v>
      </c>
      <c r="K669">
        <v>303</v>
      </c>
      <c r="L669">
        <f>L307</f>
        <v>0</v>
      </c>
      <c r="M669">
        <v>303</v>
      </c>
      <c r="N669">
        <f>N307</f>
        <v>0</v>
      </c>
      <c r="Q669">
        <f>IF(Charts!$B$3="none",E2476,IF(K2476="",NA(),K2476))</f>
        <v>0</v>
      </c>
      <c r="R669">
        <f>IF(Charts!$B$3="none",F2476,IF(L2476="",NA(),L2476))</f>
        <v>0</v>
      </c>
      <c r="S669">
        <f>IF(Charts!$B$3="none",G2476,IF(M2476="",NA(),M2476))</f>
        <v>0</v>
      </c>
      <c r="T669">
        <f>IF(Charts!$B$3="none",H2476,IF(N2476="",NA(),N2476))</f>
        <v>0</v>
      </c>
    </row>
    <row r="670" spans="5:20">
      <c r="E670">
        <v>304</v>
      </c>
      <c r="F670">
        <f>F308</f>
        <v>0</v>
      </c>
      <c r="G670">
        <v>304</v>
      </c>
      <c r="H670">
        <f>H308</f>
        <v>0</v>
      </c>
      <c r="K670">
        <v>304</v>
      </c>
      <c r="L670">
        <f>L308</f>
        <v>0</v>
      </c>
      <c r="M670">
        <v>304</v>
      </c>
      <c r="N670">
        <f>N308</f>
        <v>0</v>
      </c>
      <c r="Q670">
        <f>IF(Charts!$B$3="none",E2477,IF(K2477="",NA(),K2477))</f>
        <v>0</v>
      </c>
      <c r="R670">
        <f>IF(Charts!$B$3="none",F2477,IF(L2477="",NA(),L2477))</f>
        <v>0</v>
      </c>
      <c r="S670">
        <f>IF(Charts!$B$3="none",G2477,IF(M2477="",NA(),M2477))</f>
        <v>0</v>
      </c>
      <c r="T670">
        <f>IF(Charts!$B$3="none",H2477,IF(N2477="",NA(),N2477))</f>
        <v>0</v>
      </c>
    </row>
    <row r="671" spans="5:20">
      <c r="E671">
        <v>305</v>
      </c>
      <c r="F671">
        <f>F309</f>
        <v>0</v>
      </c>
      <c r="G671">
        <v>305</v>
      </c>
      <c r="H671">
        <f>H309</f>
        <v>0</v>
      </c>
      <c r="K671">
        <v>305</v>
      </c>
      <c r="L671">
        <f>L309</f>
        <v>0</v>
      </c>
      <c r="M671">
        <v>305</v>
      </c>
      <c r="N671">
        <f>N309</f>
        <v>0</v>
      </c>
      <c r="Q671">
        <f>IF(Charts!$B$3="none",E2478,IF(K2478="",NA(),K2478))</f>
        <v>0</v>
      </c>
      <c r="R671">
        <f>IF(Charts!$B$3="none",F2478,IF(L2478="",NA(),L2478))</f>
        <v>0</v>
      </c>
      <c r="S671">
        <f>IF(Charts!$B$3="none",G2478,IF(M2478="",NA(),M2478))</f>
        <v>0</v>
      </c>
      <c r="T671">
        <f>IF(Charts!$B$3="none",H2478,IF(N2478="",NA(),N2478))</f>
        <v>0</v>
      </c>
    </row>
    <row r="672" spans="5:20">
      <c r="E672">
        <v>306</v>
      </c>
      <c r="F672">
        <f>F310</f>
        <v>0</v>
      </c>
      <c r="G672">
        <v>306</v>
      </c>
      <c r="H672">
        <f>H310</f>
        <v>0</v>
      </c>
      <c r="K672">
        <v>306</v>
      </c>
      <c r="L672">
        <f>L310</f>
        <v>0</v>
      </c>
      <c r="M672">
        <v>306</v>
      </c>
      <c r="N672">
        <f>N310</f>
        <v>0</v>
      </c>
      <c r="Q672">
        <f>IF(Charts!$B$3="none",E2479,IF(K2479="",NA(),K2479))</f>
        <v>0</v>
      </c>
      <c r="R672">
        <f>IF(Charts!$B$3="none",F2479,IF(L2479="",NA(),L2479))</f>
        <v>0</v>
      </c>
      <c r="S672">
        <f>IF(Charts!$B$3="none",G2479,IF(M2479="",NA(),M2479))</f>
        <v>0</v>
      </c>
      <c r="T672">
        <f>IF(Charts!$B$3="none",H2479,IF(N2479="",NA(),N2479))</f>
        <v>0</v>
      </c>
    </row>
    <row r="673" spans="5:20">
      <c r="E673">
        <v>307</v>
      </c>
      <c r="F673">
        <f>F311</f>
        <v>0</v>
      </c>
      <c r="G673">
        <v>307</v>
      </c>
      <c r="H673">
        <f>H311</f>
        <v>0</v>
      </c>
      <c r="K673">
        <v>307</v>
      </c>
      <c r="L673">
        <f>L311</f>
        <v>0</v>
      </c>
      <c r="M673">
        <v>307</v>
      </c>
      <c r="N673">
        <f>N311</f>
        <v>0</v>
      </c>
      <c r="Q673">
        <f>IF(Charts!$B$3="none",E2480,IF(K2480="",NA(),K2480))</f>
        <v>0</v>
      </c>
      <c r="R673">
        <f>IF(Charts!$B$3="none",F2480,IF(L2480="",NA(),L2480))</f>
        <v>0</v>
      </c>
      <c r="S673">
        <f>IF(Charts!$B$3="none",G2480,IF(M2480="",NA(),M2480))</f>
        <v>0</v>
      </c>
      <c r="T673">
        <f>IF(Charts!$B$3="none",H2480,IF(N2480="",NA(),N2480))</f>
        <v>0</v>
      </c>
    </row>
    <row r="674" spans="5:20">
      <c r="E674">
        <v>308</v>
      </c>
      <c r="F674">
        <f>F312</f>
        <v>0</v>
      </c>
      <c r="G674">
        <v>308</v>
      </c>
      <c r="H674">
        <f>H312</f>
        <v>0</v>
      </c>
      <c r="K674">
        <v>308</v>
      </c>
      <c r="L674">
        <f>L312</f>
        <v>0</v>
      </c>
      <c r="M674">
        <v>308</v>
      </c>
      <c r="N674">
        <f>N312</f>
        <v>0</v>
      </c>
      <c r="Q674">
        <f>IF(Charts!$B$3="none",E2481,IF(K2481="",NA(),K2481))</f>
        <v>0</v>
      </c>
      <c r="R674">
        <f>IF(Charts!$B$3="none",F2481,IF(L2481="",NA(),L2481))</f>
        <v>0</v>
      </c>
      <c r="S674">
        <f>IF(Charts!$B$3="none",G2481,IF(M2481="",NA(),M2481))</f>
        <v>0</v>
      </c>
      <c r="T674">
        <f>IF(Charts!$B$3="none",H2481,IF(N2481="",NA(),N2481))</f>
        <v>0</v>
      </c>
    </row>
    <row r="675" spans="5:20">
      <c r="E675">
        <v>309</v>
      </c>
      <c r="F675">
        <f>F313</f>
        <v>0</v>
      </c>
      <c r="G675">
        <v>309</v>
      </c>
      <c r="H675">
        <f>H313</f>
        <v>0</v>
      </c>
      <c r="K675">
        <v>309</v>
      </c>
      <c r="L675">
        <f>L313</f>
        <v>0</v>
      </c>
      <c r="M675">
        <v>309</v>
      </c>
      <c r="N675">
        <f>N313</f>
        <v>0</v>
      </c>
      <c r="Q675">
        <f>IF(Charts!$B$3="none",E2482,IF(K2482="",NA(),K2482))</f>
        <v>0</v>
      </c>
      <c r="R675">
        <f>IF(Charts!$B$3="none",F2482,IF(L2482="",NA(),L2482))</f>
        <v>0</v>
      </c>
      <c r="S675">
        <f>IF(Charts!$B$3="none",G2482,IF(M2482="",NA(),M2482))</f>
        <v>0</v>
      </c>
      <c r="T675">
        <f>IF(Charts!$B$3="none",H2482,IF(N2482="",NA(),N2482))</f>
        <v>0</v>
      </c>
    </row>
    <row r="676" spans="5:20">
      <c r="E676">
        <v>310</v>
      </c>
      <c r="F676">
        <f>F314</f>
        <v>0</v>
      </c>
      <c r="G676">
        <v>310</v>
      </c>
      <c r="H676">
        <f>H314</f>
        <v>0</v>
      </c>
      <c r="K676">
        <v>310</v>
      </c>
      <c r="L676">
        <f>L314</f>
        <v>0</v>
      </c>
      <c r="M676">
        <v>310</v>
      </c>
      <c r="N676">
        <f>N314</f>
        <v>0</v>
      </c>
      <c r="Q676">
        <f>IF(Charts!$B$3="none",E2483,IF(K2483="",NA(),K2483))</f>
        <v>0</v>
      </c>
      <c r="R676">
        <f>IF(Charts!$B$3="none",F2483,IF(L2483="",NA(),L2483))</f>
        <v>0</v>
      </c>
      <c r="S676">
        <f>IF(Charts!$B$3="none",G2483,IF(M2483="",NA(),M2483))</f>
        <v>0</v>
      </c>
      <c r="T676">
        <f>IF(Charts!$B$3="none",H2483,IF(N2483="",NA(),N2483))</f>
        <v>0</v>
      </c>
    </row>
    <row r="677" spans="5:20">
      <c r="E677">
        <v>311</v>
      </c>
      <c r="F677">
        <f>F315</f>
        <v>0</v>
      </c>
      <c r="G677">
        <v>311</v>
      </c>
      <c r="H677">
        <f>H315</f>
        <v>0</v>
      </c>
      <c r="K677">
        <v>311</v>
      </c>
      <c r="L677">
        <f>L315</f>
        <v>0</v>
      </c>
      <c r="M677">
        <v>311</v>
      </c>
      <c r="N677">
        <f>N315</f>
        <v>0</v>
      </c>
      <c r="Q677">
        <f>IF(Charts!$B$3="none",E2484,IF(K2484="",NA(),K2484))</f>
        <v>0</v>
      </c>
      <c r="R677">
        <f>IF(Charts!$B$3="none",F2484,IF(L2484="",NA(),L2484))</f>
        <v>0</v>
      </c>
      <c r="S677">
        <f>IF(Charts!$B$3="none",G2484,IF(M2484="",NA(),M2484))</f>
        <v>0</v>
      </c>
      <c r="T677">
        <f>IF(Charts!$B$3="none",H2484,IF(N2484="",NA(),N2484))</f>
        <v>0</v>
      </c>
    </row>
    <row r="678" spans="5:20">
      <c r="E678">
        <v>312</v>
      </c>
      <c r="F678">
        <f>F316</f>
        <v>0</v>
      </c>
      <c r="G678">
        <v>312</v>
      </c>
      <c r="H678">
        <f>H316</f>
        <v>0</v>
      </c>
      <c r="K678">
        <v>312</v>
      </c>
      <c r="L678">
        <f>L316</f>
        <v>0</v>
      </c>
      <c r="M678">
        <v>312</v>
      </c>
      <c r="N678">
        <f>N316</f>
        <v>0</v>
      </c>
      <c r="Q678">
        <f>IF(Charts!$B$3="none",E2485,IF(K2485="",NA(),K2485))</f>
        <v>0</v>
      </c>
      <c r="R678">
        <f>IF(Charts!$B$3="none",F2485,IF(L2485="",NA(),L2485))</f>
        <v>0</v>
      </c>
      <c r="S678">
        <f>IF(Charts!$B$3="none",G2485,IF(M2485="",NA(),M2485))</f>
        <v>0</v>
      </c>
      <c r="T678">
        <f>IF(Charts!$B$3="none",H2485,IF(N2485="",NA(),N2485))</f>
        <v>0</v>
      </c>
    </row>
    <row r="679" spans="5:20">
      <c r="E679">
        <v>313</v>
      </c>
      <c r="F679">
        <f>F317</f>
        <v>0</v>
      </c>
      <c r="G679">
        <v>313</v>
      </c>
      <c r="H679">
        <f>H317</f>
        <v>0</v>
      </c>
      <c r="K679">
        <v>313</v>
      </c>
      <c r="L679">
        <f>L317</f>
        <v>0</v>
      </c>
      <c r="M679">
        <v>313</v>
      </c>
      <c r="N679">
        <f>N317</f>
        <v>0</v>
      </c>
      <c r="Q679">
        <f>IF(Charts!$B$3="none",E2486,IF(K2486="",NA(),K2486))</f>
        <v>0</v>
      </c>
      <c r="R679">
        <f>IF(Charts!$B$3="none",F2486,IF(L2486="",NA(),L2486))</f>
        <v>0</v>
      </c>
      <c r="S679">
        <f>IF(Charts!$B$3="none",G2486,IF(M2486="",NA(),M2486))</f>
        <v>0</v>
      </c>
      <c r="T679">
        <f>IF(Charts!$B$3="none",H2486,IF(N2486="",NA(),N2486))</f>
        <v>0</v>
      </c>
    </row>
    <row r="680" spans="5:20">
      <c r="E680">
        <v>314</v>
      </c>
      <c r="F680">
        <f>F318</f>
        <v>0</v>
      </c>
      <c r="G680">
        <v>314</v>
      </c>
      <c r="H680">
        <f>H318</f>
        <v>0</v>
      </c>
      <c r="K680">
        <v>314</v>
      </c>
      <c r="L680">
        <f>L318</f>
        <v>0</v>
      </c>
      <c r="M680">
        <v>314</v>
      </c>
      <c r="N680">
        <f>N318</f>
        <v>0</v>
      </c>
      <c r="Q680">
        <f>IF(Charts!$B$3="none",E2487,IF(K2487="",NA(),K2487))</f>
        <v>0</v>
      </c>
      <c r="R680">
        <f>IF(Charts!$B$3="none",F2487,IF(L2487="",NA(),L2487))</f>
        <v>0</v>
      </c>
      <c r="S680">
        <f>IF(Charts!$B$3="none",G2487,IF(M2487="",NA(),M2487))</f>
        <v>0</v>
      </c>
      <c r="T680">
        <f>IF(Charts!$B$3="none",H2487,IF(N2487="",NA(),N2487))</f>
        <v>0</v>
      </c>
    </row>
    <row r="681" spans="5:20">
      <c r="E681">
        <v>315</v>
      </c>
      <c r="F681">
        <f>F319</f>
        <v>0</v>
      </c>
      <c r="G681">
        <v>315</v>
      </c>
      <c r="H681">
        <f>H319</f>
        <v>0</v>
      </c>
      <c r="K681">
        <v>315</v>
      </c>
      <c r="L681">
        <f>L319</f>
        <v>0</v>
      </c>
      <c r="M681">
        <v>315</v>
      </c>
      <c r="N681">
        <f>N319</f>
        <v>0</v>
      </c>
      <c r="Q681">
        <f>IF(Charts!$B$3="none",E2488,IF(K2488="",NA(),K2488))</f>
        <v>0</v>
      </c>
      <c r="R681">
        <f>IF(Charts!$B$3="none",F2488,IF(L2488="",NA(),L2488))</f>
        <v>0</v>
      </c>
      <c r="S681">
        <f>IF(Charts!$B$3="none",G2488,IF(M2488="",NA(),M2488))</f>
        <v>0</v>
      </c>
      <c r="T681">
        <f>IF(Charts!$B$3="none",H2488,IF(N2488="",NA(),N2488))</f>
        <v>0</v>
      </c>
    </row>
    <row r="682" spans="5:20">
      <c r="E682">
        <v>316</v>
      </c>
      <c r="F682">
        <f>F320</f>
        <v>0</v>
      </c>
      <c r="G682">
        <v>316</v>
      </c>
      <c r="H682">
        <f>H320</f>
        <v>0</v>
      </c>
      <c r="K682">
        <v>316</v>
      </c>
      <c r="L682">
        <f>L320</f>
        <v>0</v>
      </c>
      <c r="M682">
        <v>316</v>
      </c>
      <c r="N682">
        <f>N320</f>
        <v>0</v>
      </c>
      <c r="Q682">
        <f>IF(Charts!$B$3="none",E2489,IF(K2489="",NA(),K2489))</f>
        <v>0</v>
      </c>
      <c r="R682">
        <f>IF(Charts!$B$3="none",F2489,IF(L2489="",NA(),L2489))</f>
        <v>0</v>
      </c>
      <c r="S682">
        <f>IF(Charts!$B$3="none",G2489,IF(M2489="",NA(),M2489))</f>
        <v>0</v>
      </c>
      <c r="T682">
        <f>IF(Charts!$B$3="none",H2489,IF(N2489="",NA(),N2489))</f>
        <v>0</v>
      </c>
    </row>
    <row r="683" spans="5:20">
      <c r="E683">
        <v>317</v>
      </c>
      <c r="F683">
        <f>F321</f>
        <v>0</v>
      </c>
      <c r="G683">
        <v>317</v>
      </c>
      <c r="H683">
        <f>H321</f>
        <v>0</v>
      </c>
      <c r="K683">
        <v>317</v>
      </c>
      <c r="L683">
        <f>L321</f>
        <v>0</v>
      </c>
      <c r="M683">
        <v>317</v>
      </c>
      <c r="N683">
        <f>N321</f>
        <v>0</v>
      </c>
      <c r="Q683">
        <f>IF(Charts!$B$3="none",E2490,IF(K2490="",NA(),K2490))</f>
        <v>0</v>
      </c>
      <c r="R683">
        <f>IF(Charts!$B$3="none",F2490,IF(L2490="",NA(),L2490))</f>
        <v>0</v>
      </c>
      <c r="S683">
        <f>IF(Charts!$B$3="none",G2490,IF(M2490="",NA(),M2490))</f>
        <v>0</v>
      </c>
      <c r="T683">
        <f>IF(Charts!$B$3="none",H2490,IF(N2490="",NA(),N2490))</f>
        <v>0</v>
      </c>
    </row>
    <row r="684" spans="5:20">
      <c r="E684">
        <v>318</v>
      </c>
      <c r="F684">
        <f>F322</f>
        <v>0</v>
      </c>
      <c r="G684">
        <v>318</v>
      </c>
      <c r="H684">
        <f>H322</f>
        <v>0</v>
      </c>
      <c r="K684">
        <v>318</v>
      </c>
      <c r="L684">
        <f>L322</f>
        <v>0</v>
      </c>
      <c r="M684">
        <v>318</v>
      </c>
      <c r="N684">
        <f>N322</f>
        <v>0</v>
      </c>
      <c r="Q684">
        <f>IF(Charts!$B$3="none",E2491,IF(K2491="",NA(),K2491))</f>
        <v>0</v>
      </c>
      <c r="R684">
        <f>IF(Charts!$B$3="none",F2491,IF(L2491="",NA(),L2491))</f>
        <v>0</v>
      </c>
      <c r="S684">
        <f>IF(Charts!$B$3="none",G2491,IF(M2491="",NA(),M2491))</f>
        <v>0</v>
      </c>
      <c r="T684">
        <f>IF(Charts!$B$3="none",H2491,IF(N2491="",NA(),N2491))</f>
        <v>0</v>
      </c>
    </row>
    <row r="685" spans="5:20">
      <c r="E685">
        <v>319</v>
      </c>
      <c r="F685">
        <f>F323</f>
        <v>0</v>
      </c>
      <c r="G685">
        <v>319</v>
      </c>
      <c r="H685">
        <f>H323</f>
        <v>0</v>
      </c>
      <c r="K685">
        <v>319</v>
      </c>
      <c r="L685">
        <f>L323</f>
        <v>0</v>
      </c>
      <c r="M685">
        <v>319</v>
      </c>
      <c r="N685">
        <f>N323</f>
        <v>0</v>
      </c>
      <c r="Q685">
        <f>IF(Charts!$B$3="none",E2492,IF(K2492="",NA(),K2492))</f>
        <v>0</v>
      </c>
      <c r="R685">
        <f>IF(Charts!$B$3="none",F2492,IF(L2492="",NA(),L2492))</f>
        <v>0</v>
      </c>
      <c r="S685">
        <f>IF(Charts!$B$3="none",G2492,IF(M2492="",NA(),M2492))</f>
        <v>0</v>
      </c>
      <c r="T685">
        <f>IF(Charts!$B$3="none",H2492,IF(N2492="",NA(),N2492))</f>
        <v>0</v>
      </c>
    </row>
    <row r="686" spans="5:20">
      <c r="E686">
        <v>320</v>
      </c>
      <c r="F686">
        <f>F324</f>
        <v>0</v>
      </c>
      <c r="G686">
        <v>320</v>
      </c>
      <c r="H686">
        <f>H324</f>
        <v>0</v>
      </c>
      <c r="K686">
        <v>320</v>
      </c>
      <c r="L686">
        <f>L324</f>
        <v>0</v>
      </c>
      <c r="M686">
        <v>320</v>
      </c>
      <c r="N686">
        <f>N324</f>
        <v>0</v>
      </c>
      <c r="Q686">
        <f>IF(Charts!$B$3="none",E2493,IF(K2493="",NA(),K2493))</f>
        <v>0</v>
      </c>
      <c r="R686">
        <f>IF(Charts!$B$3="none",F2493,IF(L2493="",NA(),L2493))</f>
        <v>0</v>
      </c>
      <c r="S686">
        <f>IF(Charts!$B$3="none",G2493,IF(M2493="",NA(),M2493))</f>
        <v>0</v>
      </c>
      <c r="T686">
        <f>IF(Charts!$B$3="none",H2493,IF(N2493="",NA(),N2493))</f>
        <v>0</v>
      </c>
    </row>
    <row r="687" spans="5:20">
      <c r="E687">
        <v>321</v>
      </c>
      <c r="F687">
        <f>F325</f>
        <v>0</v>
      </c>
      <c r="G687">
        <v>321</v>
      </c>
      <c r="H687">
        <f>H325</f>
        <v>0</v>
      </c>
      <c r="K687">
        <v>321</v>
      </c>
      <c r="L687">
        <f>L325</f>
        <v>0</v>
      </c>
      <c r="M687">
        <v>321</v>
      </c>
      <c r="N687">
        <f>N325</f>
        <v>0</v>
      </c>
      <c r="Q687">
        <f>IF(Charts!$B$3="none",E2494,IF(K2494="",NA(),K2494))</f>
        <v>0</v>
      </c>
      <c r="R687">
        <f>IF(Charts!$B$3="none",F2494,IF(L2494="",NA(),L2494))</f>
        <v>0</v>
      </c>
      <c r="S687">
        <f>IF(Charts!$B$3="none",G2494,IF(M2494="",NA(),M2494))</f>
        <v>0</v>
      </c>
      <c r="T687">
        <f>IF(Charts!$B$3="none",H2494,IF(N2494="",NA(),N2494))</f>
        <v>0</v>
      </c>
    </row>
    <row r="688" spans="5:20">
      <c r="E688">
        <v>322</v>
      </c>
      <c r="F688">
        <f>F326</f>
        <v>0</v>
      </c>
      <c r="G688">
        <v>322</v>
      </c>
      <c r="H688">
        <f>H326</f>
        <v>0</v>
      </c>
      <c r="K688">
        <v>322</v>
      </c>
      <c r="L688">
        <f>L326</f>
        <v>0</v>
      </c>
      <c r="M688">
        <v>322</v>
      </c>
      <c r="N688">
        <f>N326</f>
        <v>0</v>
      </c>
      <c r="Q688">
        <f>IF(Charts!$B$3="none",E2495,IF(K2495="",NA(),K2495))</f>
        <v>0</v>
      </c>
      <c r="R688">
        <f>IF(Charts!$B$3="none",F2495,IF(L2495="",NA(),L2495))</f>
        <v>0</v>
      </c>
      <c r="S688">
        <f>IF(Charts!$B$3="none",G2495,IF(M2495="",NA(),M2495))</f>
        <v>0</v>
      </c>
      <c r="T688">
        <f>IF(Charts!$B$3="none",H2495,IF(N2495="",NA(),N2495))</f>
        <v>0</v>
      </c>
    </row>
    <row r="689" spans="5:20">
      <c r="E689">
        <v>323</v>
      </c>
      <c r="F689">
        <f>F327</f>
        <v>0</v>
      </c>
      <c r="G689">
        <v>323</v>
      </c>
      <c r="H689">
        <f>H327</f>
        <v>0</v>
      </c>
      <c r="K689">
        <v>323</v>
      </c>
      <c r="L689">
        <f>L327</f>
        <v>0</v>
      </c>
      <c r="M689">
        <v>323</v>
      </c>
      <c r="N689">
        <f>N327</f>
        <v>0</v>
      </c>
      <c r="Q689">
        <f>IF(Charts!$B$3="none",E2496,IF(K2496="",NA(),K2496))</f>
        <v>0</v>
      </c>
      <c r="R689">
        <f>IF(Charts!$B$3="none",F2496,IF(L2496="",NA(),L2496))</f>
        <v>0</v>
      </c>
      <c r="S689">
        <f>IF(Charts!$B$3="none",G2496,IF(M2496="",NA(),M2496))</f>
        <v>0</v>
      </c>
      <c r="T689">
        <f>IF(Charts!$B$3="none",H2496,IF(N2496="",NA(),N2496))</f>
        <v>0</v>
      </c>
    </row>
    <row r="690" spans="5:20">
      <c r="E690">
        <v>324</v>
      </c>
      <c r="F690">
        <f>F328</f>
        <v>0</v>
      </c>
      <c r="G690">
        <v>324</v>
      </c>
      <c r="H690">
        <f>H328</f>
        <v>0</v>
      </c>
      <c r="K690">
        <v>324</v>
      </c>
      <c r="L690">
        <f>L328</f>
        <v>0</v>
      </c>
      <c r="M690">
        <v>324</v>
      </c>
      <c r="N690">
        <f>N328</f>
        <v>0</v>
      </c>
      <c r="Q690">
        <f>IF(Charts!$B$3="none",E2497,IF(K2497="",NA(),K2497))</f>
        <v>0</v>
      </c>
      <c r="R690">
        <f>IF(Charts!$B$3="none",F2497,IF(L2497="",NA(),L2497))</f>
        <v>0</v>
      </c>
      <c r="S690">
        <f>IF(Charts!$B$3="none",G2497,IF(M2497="",NA(),M2497))</f>
        <v>0</v>
      </c>
      <c r="T690">
        <f>IF(Charts!$B$3="none",H2497,IF(N2497="",NA(),N2497))</f>
        <v>0</v>
      </c>
    </row>
    <row r="691" spans="5:20">
      <c r="E691">
        <v>325</v>
      </c>
      <c r="F691">
        <f>F329</f>
        <v>0</v>
      </c>
      <c r="G691">
        <v>325</v>
      </c>
      <c r="H691">
        <f>H329</f>
        <v>0</v>
      </c>
      <c r="K691">
        <v>325</v>
      </c>
      <c r="L691">
        <f>L329</f>
        <v>0</v>
      </c>
      <c r="M691">
        <v>325</v>
      </c>
      <c r="N691">
        <f>N329</f>
        <v>0</v>
      </c>
      <c r="Q691">
        <f>IF(Charts!$B$3="none",E2498,IF(K2498="",NA(),K2498))</f>
        <v>0</v>
      </c>
      <c r="R691">
        <f>IF(Charts!$B$3="none",F2498,IF(L2498="",NA(),L2498))</f>
        <v>0</v>
      </c>
      <c r="S691">
        <f>IF(Charts!$B$3="none",G2498,IF(M2498="",NA(),M2498))</f>
        <v>0</v>
      </c>
      <c r="T691">
        <f>IF(Charts!$B$3="none",H2498,IF(N2498="",NA(),N2498))</f>
        <v>0</v>
      </c>
    </row>
    <row r="692" spans="5:20">
      <c r="E692">
        <v>326</v>
      </c>
      <c r="F692">
        <f>F330</f>
        <v>0</v>
      </c>
      <c r="G692">
        <v>326</v>
      </c>
      <c r="H692">
        <f>H330</f>
        <v>0</v>
      </c>
      <c r="K692">
        <v>326</v>
      </c>
      <c r="L692">
        <f>L330</f>
        <v>0</v>
      </c>
      <c r="M692">
        <v>326</v>
      </c>
      <c r="N692">
        <f>N330</f>
        <v>0</v>
      </c>
      <c r="Q692">
        <f>IF(Charts!$B$3="none",E2499,IF(K2499="",NA(),K2499))</f>
        <v>0</v>
      </c>
      <c r="R692">
        <f>IF(Charts!$B$3="none",F2499,IF(L2499="",NA(),L2499))</f>
        <v>0</v>
      </c>
      <c r="S692">
        <f>IF(Charts!$B$3="none",G2499,IF(M2499="",NA(),M2499))</f>
        <v>0</v>
      </c>
      <c r="T692">
        <f>IF(Charts!$B$3="none",H2499,IF(N2499="",NA(),N2499))</f>
        <v>0</v>
      </c>
    </row>
    <row r="693" spans="5:20">
      <c r="E693">
        <v>327</v>
      </c>
      <c r="F693">
        <f>F331</f>
        <v>0</v>
      </c>
      <c r="G693">
        <v>327</v>
      </c>
      <c r="H693">
        <f>H331</f>
        <v>0</v>
      </c>
      <c r="K693">
        <v>327</v>
      </c>
      <c r="L693">
        <f>L331</f>
        <v>0</v>
      </c>
      <c r="M693">
        <v>327</v>
      </c>
      <c r="N693">
        <f>N331</f>
        <v>0</v>
      </c>
      <c r="Q693">
        <f>IF(Charts!$B$3="none",E2500,IF(K2500="",NA(),K2500))</f>
        <v>0</v>
      </c>
      <c r="R693">
        <f>IF(Charts!$B$3="none",F2500,IF(L2500="",NA(),L2500))</f>
        <v>0</v>
      </c>
      <c r="S693">
        <f>IF(Charts!$B$3="none",G2500,IF(M2500="",NA(),M2500))</f>
        <v>0</v>
      </c>
      <c r="T693">
        <f>IF(Charts!$B$3="none",H2500,IF(N2500="",NA(),N2500))</f>
        <v>0</v>
      </c>
    </row>
    <row r="694" spans="5:20">
      <c r="E694">
        <v>328</v>
      </c>
      <c r="F694">
        <f>F332</f>
        <v>0</v>
      </c>
      <c r="G694">
        <v>328</v>
      </c>
      <c r="H694">
        <f>H332</f>
        <v>0</v>
      </c>
      <c r="K694">
        <v>328</v>
      </c>
      <c r="L694">
        <f>L332</f>
        <v>0</v>
      </c>
      <c r="M694">
        <v>328</v>
      </c>
      <c r="N694">
        <f>N332</f>
        <v>0</v>
      </c>
      <c r="Q694">
        <f>IF(Charts!$B$3="none",E2501,IF(K2501="",NA(),K2501))</f>
        <v>0</v>
      </c>
      <c r="R694">
        <f>IF(Charts!$B$3="none",F2501,IF(L2501="",NA(),L2501))</f>
        <v>0</v>
      </c>
      <c r="S694">
        <f>IF(Charts!$B$3="none",G2501,IF(M2501="",NA(),M2501))</f>
        <v>0</v>
      </c>
      <c r="T694">
        <f>IF(Charts!$B$3="none",H2501,IF(N2501="",NA(),N2501))</f>
        <v>0</v>
      </c>
    </row>
    <row r="695" spans="5:20">
      <c r="E695">
        <v>329</v>
      </c>
      <c r="F695">
        <f>F333</f>
        <v>0</v>
      </c>
      <c r="G695">
        <v>329</v>
      </c>
      <c r="H695">
        <f>H333</f>
        <v>0</v>
      </c>
      <c r="K695">
        <v>329</v>
      </c>
      <c r="L695">
        <f>L333</f>
        <v>0</v>
      </c>
      <c r="M695">
        <v>329</v>
      </c>
      <c r="N695">
        <f>N333</f>
        <v>0</v>
      </c>
      <c r="Q695">
        <f>IF(Charts!$B$3="none",E2502,IF(K2502="",NA(),K2502))</f>
        <v>0</v>
      </c>
      <c r="R695">
        <f>IF(Charts!$B$3="none",F2502,IF(L2502="",NA(),L2502))</f>
        <v>0</v>
      </c>
      <c r="S695">
        <f>IF(Charts!$B$3="none",G2502,IF(M2502="",NA(),M2502))</f>
        <v>0</v>
      </c>
      <c r="T695">
        <f>IF(Charts!$B$3="none",H2502,IF(N2502="",NA(),N2502))</f>
        <v>0</v>
      </c>
    </row>
    <row r="696" spans="5:20">
      <c r="E696">
        <v>330</v>
      </c>
      <c r="F696">
        <f>F334</f>
        <v>0</v>
      </c>
      <c r="G696">
        <v>330</v>
      </c>
      <c r="H696">
        <f>H334</f>
        <v>0</v>
      </c>
      <c r="K696">
        <v>330</v>
      </c>
      <c r="L696">
        <f>L334</f>
        <v>0</v>
      </c>
      <c r="M696">
        <v>330</v>
      </c>
      <c r="N696">
        <f>N334</f>
        <v>0</v>
      </c>
      <c r="Q696">
        <f>IF(Charts!$B$3="none",E2503,IF(K2503="",NA(),K2503))</f>
        <v>0</v>
      </c>
      <c r="R696">
        <f>IF(Charts!$B$3="none",F2503,IF(L2503="",NA(),L2503))</f>
        <v>0</v>
      </c>
      <c r="S696">
        <f>IF(Charts!$B$3="none",G2503,IF(M2503="",NA(),M2503))</f>
        <v>0</v>
      </c>
      <c r="T696">
        <f>IF(Charts!$B$3="none",H2503,IF(N2503="",NA(),N2503))</f>
        <v>0</v>
      </c>
    </row>
    <row r="697" spans="5:20">
      <c r="E697">
        <v>331</v>
      </c>
      <c r="F697">
        <f>F335</f>
        <v>0</v>
      </c>
      <c r="G697">
        <v>331</v>
      </c>
      <c r="H697">
        <f>H335</f>
        <v>0</v>
      </c>
      <c r="K697">
        <v>331</v>
      </c>
      <c r="L697">
        <f>L335</f>
        <v>0</v>
      </c>
      <c r="M697">
        <v>331</v>
      </c>
      <c r="N697">
        <f>N335</f>
        <v>0</v>
      </c>
      <c r="Q697">
        <f>IF(Charts!$B$3="none",E2504,IF(K2504="",NA(),K2504))</f>
        <v>0</v>
      </c>
      <c r="R697">
        <f>IF(Charts!$B$3="none",F2504,IF(L2504="",NA(),L2504))</f>
        <v>0</v>
      </c>
      <c r="S697">
        <f>IF(Charts!$B$3="none",G2504,IF(M2504="",NA(),M2504))</f>
        <v>0</v>
      </c>
      <c r="T697">
        <f>IF(Charts!$B$3="none",H2504,IF(N2504="",NA(),N2504))</f>
        <v>0</v>
      </c>
    </row>
    <row r="698" spans="5:20">
      <c r="E698">
        <v>332</v>
      </c>
      <c r="F698">
        <f>F336</f>
        <v>0</v>
      </c>
      <c r="G698">
        <v>332</v>
      </c>
      <c r="H698">
        <f>H336</f>
        <v>0</v>
      </c>
      <c r="K698">
        <v>332</v>
      </c>
      <c r="L698">
        <f>L336</f>
        <v>0</v>
      </c>
      <c r="M698">
        <v>332</v>
      </c>
      <c r="N698">
        <f>N336</f>
        <v>0</v>
      </c>
      <c r="Q698">
        <f>IF(Charts!$B$3="none",E2505,IF(K2505="",NA(),K2505))</f>
        <v>0</v>
      </c>
      <c r="R698">
        <f>IF(Charts!$B$3="none",F2505,IF(L2505="",NA(),L2505))</f>
        <v>0</v>
      </c>
      <c r="S698">
        <f>IF(Charts!$B$3="none",G2505,IF(M2505="",NA(),M2505))</f>
        <v>0</v>
      </c>
      <c r="T698">
        <f>IF(Charts!$B$3="none",H2505,IF(N2505="",NA(),N2505))</f>
        <v>0</v>
      </c>
    </row>
    <row r="699" spans="5:20">
      <c r="E699">
        <v>333</v>
      </c>
      <c r="F699">
        <f>F337</f>
        <v>0</v>
      </c>
      <c r="G699">
        <v>333</v>
      </c>
      <c r="H699">
        <f>H337</f>
        <v>0</v>
      </c>
      <c r="K699">
        <v>333</v>
      </c>
      <c r="L699">
        <f>L337</f>
        <v>0</v>
      </c>
      <c r="M699">
        <v>333</v>
      </c>
      <c r="N699">
        <f>N337</f>
        <v>0</v>
      </c>
      <c r="Q699">
        <f>IF(Charts!$B$3="none",E2506,IF(K2506="",NA(),K2506))</f>
        <v>0</v>
      </c>
      <c r="R699">
        <f>IF(Charts!$B$3="none",F2506,IF(L2506="",NA(),L2506))</f>
        <v>0</v>
      </c>
      <c r="S699">
        <f>IF(Charts!$B$3="none",G2506,IF(M2506="",NA(),M2506))</f>
        <v>0</v>
      </c>
      <c r="T699">
        <f>IF(Charts!$B$3="none",H2506,IF(N2506="",NA(),N2506))</f>
        <v>0</v>
      </c>
    </row>
    <row r="700" spans="5:20">
      <c r="E700">
        <v>334</v>
      </c>
      <c r="F700">
        <f>F338</f>
        <v>0</v>
      </c>
      <c r="G700">
        <v>334</v>
      </c>
      <c r="H700">
        <f>H338</f>
        <v>0</v>
      </c>
      <c r="K700">
        <v>334</v>
      </c>
      <c r="L700">
        <f>L338</f>
        <v>0</v>
      </c>
      <c r="M700">
        <v>334</v>
      </c>
      <c r="N700">
        <f>N338</f>
        <v>0</v>
      </c>
      <c r="Q700">
        <f>IF(Charts!$B$3="none",E2507,IF(K2507="",NA(),K2507))</f>
        <v>0</v>
      </c>
      <c r="R700">
        <f>IF(Charts!$B$3="none",F2507,IF(L2507="",NA(),L2507))</f>
        <v>0</v>
      </c>
      <c r="S700">
        <f>IF(Charts!$B$3="none",G2507,IF(M2507="",NA(),M2507))</f>
        <v>0</v>
      </c>
      <c r="T700">
        <f>IF(Charts!$B$3="none",H2507,IF(N2507="",NA(),N2507))</f>
        <v>0</v>
      </c>
    </row>
    <row r="701" spans="5:20">
      <c r="E701">
        <v>335</v>
      </c>
      <c r="F701">
        <f>F339</f>
        <v>0</v>
      </c>
      <c r="G701">
        <v>335</v>
      </c>
      <c r="H701">
        <f>H339</f>
        <v>0</v>
      </c>
      <c r="K701">
        <v>335</v>
      </c>
      <c r="L701">
        <f>L339</f>
        <v>0</v>
      </c>
      <c r="M701">
        <v>335</v>
      </c>
      <c r="N701">
        <f>N339</f>
        <v>0</v>
      </c>
      <c r="Q701">
        <f>IF(Charts!$B$3="none",E2508,IF(K2508="",NA(),K2508))</f>
        <v>0</v>
      </c>
      <c r="R701">
        <f>IF(Charts!$B$3="none",F2508,IF(L2508="",NA(),L2508))</f>
        <v>0</v>
      </c>
      <c r="S701">
        <f>IF(Charts!$B$3="none",G2508,IF(M2508="",NA(),M2508))</f>
        <v>0</v>
      </c>
      <c r="T701">
        <f>IF(Charts!$B$3="none",H2508,IF(N2508="",NA(),N2508))</f>
        <v>0</v>
      </c>
    </row>
    <row r="702" spans="5:20">
      <c r="E702">
        <v>336</v>
      </c>
      <c r="F702">
        <f>F340</f>
        <v>0</v>
      </c>
      <c r="G702">
        <v>336</v>
      </c>
      <c r="H702">
        <f>H340</f>
        <v>0</v>
      </c>
      <c r="K702">
        <v>336</v>
      </c>
      <c r="L702">
        <f>L340</f>
        <v>0</v>
      </c>
      <c r="M702">
        <v>336</v>
      </c>
      <c r="N702">
        <f>N340</f>
        <v>0</v>
      </c>
      <c r="Q702">
        <f>IF(Charts!$B$3="none",E2509,IF(K2509="",NA(),K2509))</f>
        <v>0</v>
      </c>
      <c r="R702">
        <f>IF(Charts!$B$3="none",F2509,IF(L2509="",NA(),L2509))</f>
        <v>0</v>
      </c>
      <c r="S702">
        <f>IF(Charts!$B$3="none",G2509,IF(M2509="",NA(),M2509))</f>
        <v>0</v>
      </c>
      <c r="T702">
        <f>IF(Charts!$B$3="none",H2509,IF(N2509="",NA(),N2509))</f>
        <v>0</v>
      </c>
    </row>
    <row r="703" spans="5:20">
      <c r="E703">
        <v>337</v>
      </c>
      <c r="F703">
        <f>F341</f>
        <v>0</v>
      </c>
      <c r="G703">
        <v>337</v>
      </c>
      <c r="H703">
        <f>H341</f>
        <v>0</v>
      </c>
      <c r="K703">
        <v>337</v>
      </c>
      <c r="L703">
        <f>L341</f>
        <v>0</v>
      </c>
      <c r="M703">
        <v>337</v>
      </c>
      <c r="N703">
        <f>N341</f>
        <v>0</v>
      </c>
      <c r="Q703">
        <f>IF(Charts!$B$3="none",E2510,IF(K2510="",NA(),K2510))</f>
        <v>0</v>
      </c>
      <c r="R703">
        <f>IF(Charts!$B$3="none",F2510,IF(L2510="",NA(),L2510))</f>
        <v>0</v>
      </c>
      <c r="S703">
        <f>IF(Charts!$B$3="none",G2510,IF(M2510="",NA(),M2510))</f>
        <v>0</v>
      </c>
      <c r="T703">
        <f>IF(Charts!$B$3="none",H2510,IF(N2510="",NA(),N2510))</f>
        <v>0</v>
      </c>
    </row>
    <row r="704" spans="5:20">
      <c r="E704">
        <v>338</v>
      </c>
      <c r="F704">
        <f>F342</f>
        <v>0</v>
      </c>
      <c r="G704">
        <v>338</v>
      </c>
      <c r="H704">
        <f>H342</f>
        <v>0</v>
      </c>
      <c r="K704">
        <v>338</v>
      </c>
      <c r="L704">
        <f>L342</f>
        <v>0</v>
      </c>
      <c r="M704">
        <v>338</v>
      </c>
      <c r="N704">
        <f>N342</f>
        <v>0</v>
      </c>
      <c r="Q704">
        <f>IF(Charts!$B$3="none",E2511,IF(K2511="",NA(),K2511))</f>
        <v>0</v>
      </c>
      <c r="R704">
        <f>IF(Charts!$B$3="none",F2511,IF(L2511="",NA(),L2511))</f>
        <v>0</v>
      </c>
      <c r="S704">
        <f>IF(Charts!$B$3="none",G2511,IF(M2511="",NA(),M2511))</f>
        <v>0</v>
      </c>
      <c r="T704">
        <f>IF(Charts!$B$3="none",H2511,IF(N2511="",NA(),N2511))</f>
        <v>0</v>
      </c>
    </row>
    <row r="705" spans="5:20">
      <c r="E705">
        <v>339</v>
      </c>
      <c r="F705">
        <f>F343</f>
        <v>0</v>
      </c>
      <c r="G705">
        <v>339</v>
      </c>
      <c r="H705">
        <f>H343</f>
        <v>0</v>
      </c>
      <c r="K705">
        <v>339</v>
      </c>
      <c r="L705">
        <f>L343</f>
        <v>0</v>
      </c>
      <c r="M705">
        <v>339</v>
      </c>
      <c r="N705">
        <f>N343</f>
        <v>0</v>
      </c>
      <c r="Q705">
        <f>IF(Charts!$B$3="none",E2512,IF(K2512="",NA(),K2512))</f>
        <v>0</v>
      </c>
      <c r="R705">
        <f>IF(Charts!$B$3="none",F2512,IF(L2512="",NA(),L2512))</f>
        <v>0</v>
      </c>
      <c r="S705">
        <f>IF(Charts!$B$3="none",G2512,IF(M2512="",NA(),M2512))</f>
        <v>0</v>
      </c>
      <c r="T705">
        <f>IF(Charts!$B$3="none",H2512,IF(N2512="",NA(),N2512))</f>
        <v>0</v>
      </c>
    </row>
    <row r="706" spans="5:20">
      <c r="E706">
        <v>340</v>
      </c>
      <c r="F706">
        <f>F344</f>
        <v>0</v>
      </c>
      <c r="G706">
        <v>340</v>
      </c>
      <c r="H706">
        <f>H344</f>
        <v>0</v>
      </c>
      <c r="K706">
        <v>340</v>
      </c>
      <c r="L706">
        <f>L344</f>
        <v>0</v>
      </c>
      <c r="M706">
        <v>340</v>
      </c>
      <c r="N706">
        <f>N344</f>
        <v>0</v>
      </c>
      <c r="Q706">
        <f>IF(Charts!$B$3="none",E2513,IF(K2513="",NA(),K2513))</f>
        <v>0</v>
      </c>
      <c r="R706">
        <f>IF(Charts!$B$3="none",F2513,IF(L2513="",NA(),L2513))</f>
        <v>0</v>
      </c>
      <c r="S706">
        <f>IF(Charts!$B$3="none",G2513,IF(M2513="",NA(),M2513))</f>
        <v>0</v>
      </c>
      <c r="T706">
        <f>IF(Charts!$B$3="none",H2513,IF(N2513="",NA(),N2513))</f>
        <v>0</v>
      </c>
    </row>
    <row r="707" spans="5:20">
      <c r="E707">
        <v>341</v>
      </c>
      <c r="F707">
        <f>F345</f>
        <v>0</v>
      </c>
      <c r="G707">
        <v>341</v>
      </c>
      <c r="H707">
        <f>H345</f>
        <v>0</v>
      </c>
      <c r="K707">
        <v>341</v>
      </c>
      <c r="L707">
        <f>L345</f>
        <v>0</v>
      </c>
      <c r="M707">
        <v>341</v>
      </c>
      <c r="N707">
        <f>N345</f>
        <v>0</v>
      </c>
      <c r="Q707">
        <f>IF(Charts!$B$3="none",E2514,IF(K2514="",NA(),K2514))</f>
        <v>0</v>
      </c>
      <c r="R707">
        <f>IF(Charts!$B$3="none",F2514,IF(L2514="",NA(),L2514))</f>
        <v>0</v>
      </c>
      <c r="S707">
        <f>IF(Charts!$B$3="none",G2514,IF(M2514="",NA(),M2514))</f>
        <v>0</v>
      </c>
      <c r="T707">
        <f>IF(Charts!$B$3="none",H2514,IF(N2514="",NA(),N2514))</f>
        <v>0</v>
      </c>
    </row>
    <row r="708" spans="5:20">
      <c r="E708">
        <v>342</v>
      </c>
      <c r="F708">
        <f>F346</f>
        <v>0</v>
      </c>
      <c r="G708">
        <v>342</v>
      </c>
      <c r="H708">
        <f>H346</f>
        <v>0</v>
      </c>
      <c r="K708">
        <v>342</v>
      </c>
      <c r="L708">
        <f>L346</f>
        <v>0</v>
      </c>
      <c r="M708">
        <v>342</v>
      </c>
      <c r="N708">
        <f>N346</f>
        <v>0</v>
      </c>
      <c r="Q708">
        <f>IF(Charts!$B$3="none",E2515,IF(K2515="",NA(),K2515))</f>
        <v>0</v>
      </c>
      <c r="R708">
        <f>IF(Charts!$B$3="none",F2515,IF(L2515="",NA(),L2515))</f>
        <v>0</v>
      </c>
      <c r="S708">
        <f>IF(Charts!$B$3="none",G2515,IF(M2515="",NA(),M2515))</f>
        <v>0</v>
      </c>
      <c r="T708">
        <f>IF(Charts!$B$3="none",H2515,IF(N2515="",NA(),N2515))</f>
        <v>0</v>
      </c>
    </row>
    <row r="709" spans="5:20">
      <c r="E709">
        <v>343</v>
      </c>
      <c r="F709">
        <f>F347</f>
        <v>0</v>
      </c>
      <c r="G709">
        <v>343</v>
      </c>
      <c r="H709">
        <f>H347</f>
        <v>0</v>
      </c>
      <c r="K709">
        <v>343</v>
      </c>
      <c r="L709">
        <f>L347</f>
        <v>0</v>
      </c>
      <c r="M709">
        <v>343</v>
      </c>
      <c r="N709">
        <f>N347</f>
        <v>0</v>
      </c>
      <c r="Q709">
        <f>IF(Charts!$B$3="none",E2516,IF(K2516="",NA(),K2516))</f>
        <v>0</v>
      </c>
      <c r="R709">
        <f>IF(Charts!$B$3="none",F2516,IF(L2516="",NA(),L2516))</f>
        <v>0</v>
      </c>
      <c r="S709">
        <f>IF(Charts!$B$3="none",G2516,IF(M2516="",NA(),M2516))</f>
        <v>0</v>
      </c>
      <c r="T709">
        <f>IF(Charts!$B$3="none",H2516,IF(N2516="",NA(),N2516))</f>
        <v>0</v>
      </c>
    </row>
    <row r="710" spans="5:20">
      <c r="E710">
        <v>344</v>
      </c>
      <c r="F710">
        <f>F348</f>
        <v>0</v>
      </c>
      <c r="G710">
        <v>344</v>
      </c>
      <c r="H710">
        <f>H348</f>
        <v>0</v>
      </c>
      <c r="K710">
        <v>344</v>
      </c>
      <c r="L710">
        <f>L348</f>
        <v>0</v>
      </c>
      <c r="M710">
        <v>344</v>
      </c>
      <c r="N710">
        <f>N348</f>
        <v>0</v>
      </c>
      <c r="Q710">
        <f>IF(Charts!$B$3="none",E2517,IF(K2517="",NA(),K2517))</f>
        <v>0</v>
      </c>
      <c r="R710">
        <f>IF(Charts!$B$3="none",F2517,IF(L2517="",NA(),L2517))</f>
        <v>0</v>
      </c>
      <c r="S710">
        <f>IF(Charts!$B$3="none",G2517,IF(M2517="",NA(),M2517))</f>
        <v>0</v>
      </c>
      <c r="T710">
        <f>IF(Charts!$B$3="none",H2517,IF(N2517="",NA(),N2517))</f>
        <v>0</v>
      </c>
    </row>
    <row r="711" spans="5:20">
      <c r="E711">
        <v>345</v>
      </c>
      <c r="F711">
        <f>F349</f>
        <v>0</v>
      </c>
      <c r="G711">
        <v>345</v>
      </c>
      <c r="H711">
        <f>H349</f>
        <v>0</v>
      </c>
      <c r="K711">
        <v>345</v>
      </c>
      <c r="L711">
        <f>L349</f>
        <v>0</v>
      </c>
      <c r="M711">
        <v>345</v>
      </c>
      <c r="N711">
        <f>N349</f>
        <v>0</v>
      </c>
      <c r="Q711">
        <f>IF(Charts!$B$3="none",E2518,IF(K2518="",NA(),K2518))</f>
        <v>0</v>
      </c>
      <c r="R711">
        <f>IF(Charts!$B$3="none",F2518,IF(L2518="",NA(),L2518))</f>
        <v>0</v>
      </c>
      <c r="S711">
        <f>IF(Charts!$B$3="none",G2518,IF(M2518="",NA(),M2518))</f>
        <v>0</v>
      </c>
      <c r="T711">
        <f>IF(Charts!$B$3="none",H2518,IF(N2518="",NA(),N2518))</f>
        <v>0</v>
      </c>
    </row>
    <row r="712" spans="5:20">
      <c r="E712">
        <v>346</v>
      </c>
      <c r="F712">
        <f>F350</f>
        <v>0</v>
      </c>
      <c r="G712">
        <v>346</v>
      </c>
      <c r="H712">
        <f>H350</f>
        <v>0</v>
      </c>
      <c r="K712">
        <v>346</v>
      </c>
      <c r="L712">
        <f>L350</f>
        <v>0</v>
      </c>
      <c r="M712">
        <v>346</v>
      </c>
      <c r="N712">
        <f>N350</f>
        <v>0</v>
      </c>
      <c r="Q712">
        <f>IF(Charts!$B$3="none",E2519,IF(K2519="",NA(),K2519))</f>
        <v>0</v>
      </c>
      <c r="R712">
        <f>IF(Charts!$B$3="none",F2519,IF(L2519="",NA(),L2519))</f>
        <v>0</v>
      </c>
      <c r="S712">
        <f>IF(Charts!$B$3="none",G2519,IF(M2519="",NA(),M2519))</f>
        <v>0</v>
      </c>
      <c r="T712">
        <f>IF(Charts!$B$3="none",H2519,IF(N2519="",NA(),N2519))</f>
        <v>0</v>
      </c>
    </row>
    <row r="713" spans="5:20">
      <c r="E713">
        <v>347</v>
      </c>
      <c r="F713">
        <f>F351</f>
        <v>0</v>
      </c>
      <c r="G713">
        <v>347</v>
      </c>
      <c r="H713">
        <f>H351</f>
        <v>0</v>
      </c>
      <c r="K713">
        <v>347</v>
      </c>
      <c r="L713">
        <f>L351</f>
        <v>0</v>
      </c>
      <c r="M713">
        <v>347</v>
      </c>
      <c r="N713">
        <f>N351</f>
        <v>0</v>
      </c>
      <c r="Q713">
        <f>IF(Charts!$B$3="none",E2520,IF(K2520="",NA(),K2520))</f>
        <v>0</v>
      </c>
      <c r="R713">
        <f>IF(Charts!$B$3="none",F2520,IF(L2520="",NA(),L2520))</f>
        <v>0</v>
      </c>
      <c r="S713">
        <f>IF(Charts!$B$3="none",G2520,IF(M2520="",NA(),M2520))</f>
        <v>0</v>
      </c>
      <c r="T713">
        <f>IF(Charts!$B$3="none",H2520,IF(N2520="",NA(),N2520))</f>
        <v>0</v>
      </c>
    </row>
    <row r="714" spans="5:20">
      <c r="E714">
        <v>348</v>
      </c>
      <c r="F714">
        <f>F352</f>
        <v>0</v>
      </c>
      <c r="G714">
        <v>348</v>
      </c>
      <c r="H714">
        <f>H352</f>
        <v>0</v>
      </c>
      <c r="K714">
        <v>348</v>
      </c>
      <c r="L714">
        <f>L352</f>
        <v>0</v>
      </c>
      <c r="M714">
        <v>348</v>
      </c>
      <c r="N714">
        <f>N352</f>
        <v>0</v>
      </c>
      <c r="Q714">
        <f>IF(Charts!$B$3="none",E2521,IF(K2521="",NA(),K2521))</f>
        <v>0</v>
      </c>
      <c r="R714">
        <f>IF(Charts!$B$3="none",F2521,IF(L2521="",NA(),L2521))</f>
        <v>0</v>
      </c>
      <c r="S714">
        <f>IF(Charts!$B$3="none",G2521,IF(M2521="",NA(),M2521))</f>
        <v>0</v>
      </c>
      <c r="T714">
        <f>IF(Charts!$B$3="none",H2521,IF(N2521="",NA(),N2521))</f>
        <v>0</v>
      </c>
    </row>
    <row r="715" spans="5:20">
      <c r="E715">
        <v>349</v>
      </c>
      <c r="F715">
        <f>F353</f>
        <v>0</v>
      </c>
      <c r="G715">
        <v>349</v>
      </c>
      <c r="H715">
        <f>H353</f>
        <v>0</v>
      </c>
      <c r="K715">
        <v>349</v>
      </c>
      <c r="L715">
        <f>L353</f>
        <v>0</v>
      </c>
      <c r="M715">
        <v>349</v>
      </c>
      <c r="N715">
        <f>N353</f>
        <v>0</v>
      </c>
      <c r="Q715">
        <f>IF(Charts!$B$3="none",E2522,IF(K2522="",NA(),K2522))</f>
        <v>0</v>
      </c>
      <c r="R715">
        <f>IF(Charts!$B$3="none",F2522,IF(L2522="",NA(),L2522))</f>
        <v>0</v>
      </c>
      <c r="S715">
        <f>IF(Charts!$B$3="none",G2522,IF(M2522="",NA(),M2522))</f>
        <v>0</v>
      </c>
      <c r="T715">
        <f>IF(Charts!$B$3="none",H2522,IF(N2522="",NA(),N2522))</f>
        <v>0</v>
      </c>
    </row>
    <row r="716" spans="5:20">
      <c r="E716">
        <v>350</v>
      </c>
      <c r="F716">
        <f>F354</f>
        <v>0</v>
      </c>
      <c r="G716">
        <v>350</v>
      </c>
      <c r="H716">
        <f>H354</f>
        <v>0</v>
      </c>
      <c r="K716">
        <v>350</v>
      </c>
      <c r="L716">
        <f>L354</f>
        <v>0</v>
      </c>
      <c r="M716">
        <v>350</v>
      </c>
      <c r="N716">
        <f>N354</f>
        <v>0</v>
      </c>
      <c r="Q716">
        <f>IF(Charts!$B$3="none",E2523,IF(K2523="",NA(),K2523))</f>
        <v>0</v>
      </c>
      <c r="R716">
        <f>IF(Charts!$B$3="none",F2523,IF(L2523="",NA(),L2523))</f>
        <v>0</v>
      </c>
      <c r="S716">
        <f>IF(Charts!$B$3="none",G2523,IF(M2523="",NA(),M2523))</f>
        <v>0</v>
      </c>
      <c r="T716">
        <f>IF(Charts!$B$3="none",H2523,IF(N2523="",NA(),N2523))</f>
        <v>0</v>
      </c>
    </row>
    <row r="717" spans="5:20">
      <c r="E717">
        <v>351</v>
      </c>
      <c r="F717">
        <f>F355</f>
        <v>0</v>
      </c>
      <c r="G717">
        <v>351</v>
      </c>
      <c r="H717">
        <f>H355</f>
        <v>0</v>
      </c>
      <c r="K717">
        <v>351</v>
      </c>
      <c r="L717">
        <f>L355</f>
        <v>0</v>
      </c>
      <c r="M717">
        <v>351</v>
      </c>
      <c r="N717">
        <f>N355</f>
        <v>0</v>
      </c>
      <c r="Q717">
        <f>IF(Charts!$B$3="none",E2524,IF(K2524="",NA(),K2524))</f>
        <v>0</v>
      </c>
      <c r="R717">
        <f>IF(Charts!$B$3="none",F2524,IF(L2524="",NA(),L2524))</f>
        <v>0</v>
      </c>
      <c r="S717">
        <f>IF(Charts!$B$3="none",G2524,IF(M2524="",NA(),M2524))</f>
        <v>0</v>
      </c>
      <c r="T717">
        <f>IF(Charts!$B$3="none",H2524,IF(N2524="",NA(),N2524))</f>
        <v>0</v>
      </c>
    </row>
    <row r="718" spans="5:20">
      <c r="E718">
        <v>352</v>
      </c>
      <c r="F718">
        <f>F356</f>
        <v>0</v>
      </c>
      <c r="G718">
        <v>352</v>
      </c>
      <c r="H718">
        <f>H356</f>
        <v>0</v>
      </c>
      <c r="K718">
        <v>352</v>
      </c>
      <c r="L718">
        <f>L356</f>
        <v>0</v>
      </c>
      <c r="M718">
        <v>352</v>
      </c>
      <c r="N718">
        <f>N356</f>
        <v>0</v>
      </c>
      <c r="Q718">
        <f>IF(Charts!$B$3="none",E2525,IF(K2525="",NA(),K2525))</f>
        <v>0</v>
      </c>
      <c r="R718">
        <f>IF(Charts!$B$3="none",F2525,IF(L2525="",NA(),L2525))</f>
        <v>0</v>
      </c>
      <c r="S718">
        <f>IF(Charts!$B$3="none",G2525,IF(M2525="",NA(),M2525))</f>
        <v>0</v>
      </c>
      <c r="T718">
        <f>IF(Charts!$B$3="none",H2525,IF(N2525="",NA(),N2525))</f>
        <v>0</v>
      </c>
    </row>
    <row r="719" spans="5:20">
      <c r="E719">
        <v>353</v>
      </c>
      <c r="F719">
        <f>F357</f>
        <v>0</v>
      </c>
      <c r="G719">
        <v>353</v>
      </c>
      <c r="H719">
        <f>H357</f>
        <v>0</v>
      </c>
      <c r="K719">
        <v>353</v>
      </c>
      <c r="L719">
        <f>L357</f>
        <v>0</v>
      </c>
      <c r="M719">
        <v>353</v>
      </c>
      <c r="N719">
        <f>N357</f>
        <v>0</v>
      </c>
      <c r="Q719">
        <f>IF(Charts!$B$3="none",E2526,IF(K2526="",NA(),K2526))</f>
        <v>0</v>
      </c>
      <c r="R719">
        <f>IF(Charts!$B$3="none",F2526,IF(L2526="",NA(),L2526))</f>
        <v>0</v>
      </c>
      <c r="S719">
        <f>IF(Charts!$B$3="none",G2526,IF(M2526="",NA(),M2526))</f>
        <v>0</v>
      </c>
      <c r="T719">
        <f>IF(Charts!$B$3="none",H2526,IF(N2526="",NA(),N2526))</f>
        <v>0</v>
      </c>
    </row>
    <row r="720" spans="5:20">
      <c r="E720">
        <v>354</v>
      </c>
      <c r="F720">
        <f>F358</f>
        <v>0</v>
      </c>
      <c r="G720">
        <v>354</v>
      </c>
      <c r="H720">
        <f>H358</f>
        <v>0</v>
      </c>
      <c r="K720">
        <v>354</v>
      </c>
      <c r="L720">
        <f>L358</f>
        <v>0</v>
      </c>
      <c r="M720">
        <v>354</v>
      </c>
      <c r="N720">
        <f>N358</f>
        <v>0</v>
      </c>
      <c r="Q720">
        <f>IF(Charts!$B$3="none",E2527,IF(K2527="",NA(),K2527))</f>
        <v>0</v>
      </c>
      <c r="R720">
        <f>IF(Charts!$B$3="none",F2527,IF(L2527="",NA(),L2527))</f>
        <v>0</v>
      </c>
      <c r="S720">
        <f>IF(Charts!$B$3="none",G2527,IF(M2527="",NA(),M2527))</f>
        <v>0</v>
      </c>
      <c r="T720">
        <f>IF(Charts!$B$3="none",H2527,IF(N2527="",NA(),N2527))</f>
        <v>0</v>
      </c>
    </row>
    <row r="721" spans="5:20">
      <c r="E721">
        <v>355</v>
      </c>
      <c r="F721">
        <f>F359</f>
        <v>0</v>
      </c>
      <c r="G721">
        <v>355</v>
      </c>
      <c r="H721">
        <f>H359</f>
        <v>0</v>
      </c>
      <c r="K721">
        <v>355</v>
      </c>
      <c r="L721">
        <f>L359</f>
        <v>0</v>
      </c>
      <c r="M721">
        <v>355</v>
      </c>
      <c r="N721">
        <f>N359</f>
        <v>0</v>
      </c>
      <c r="Q721">
        <f>IF(Charts!$B$3="none",E2528,IF(K2528="",NA(),K2528))</f>
        <v>0</v>
      </c>
      <c r="R721">
        <f>IF(Charts!$B$3="none",F2528,IF(L2528="",NA(),L2528))</f>
        <v>0</v>
      </c>
      <c r="S721">
        <f>IF(Charts!$B$3="none",G2528,IF(M2528="",NA(),M2528))</f>
        <v>0</v>
      </c>
      <c r="T721">
        <f>IF(Charts!$B$3="none",H2528,IF(N2528="",NA(),N2528))</f>
        <v>0</v>
      </c>
    </row>
    <row r="722" spans="5:20">
      <c r="E722">
        <v>356</v>
      </c>
      <c r="F722">
        <f>F360</f>
        <v>0</v>
      </c>
      <c r="G722">
        <v>356</v>
      </c>
      <c r="H722">
        <f>H360</f>
        <v>0</v>
      </c>
      <c r="K722">
        <v>356</v>
      </c>
      <c r="L722">
        <f>L360</f>
        <v>0</v>
      </c>
      <c r="M722">
        <v>356</v>
      </c>
      <c r="N722">
        <f>N360</f>
        <v>0</v>
      </c>
      <c r="Q722">
        <f>IF(Charts!$B$3="none",E2529,IF(K2529="",NA(),K2529))</f>
        <v>0</v>
      </c>
      <c r="R722">
        <f>IF(Charts!$B$3="none",F2529,IF(L2529="",NA(),L2529))</f>
        <v>0</v>
      </c>
      <c r="S722">
        <f>IF(Charts!$B$3="none",G2529,IF(M2529="",NA(),M2529))</f>
        <v>0</v>
      </c>
      <c r="T722">
        <f>IF(Charts!$B$3="none",H2529,IF(N2529="",NA(),N2529))</f>
        <v>0</v>
      </c>
    </row>
    <row r="723" spans="5:20">
      <c r="E723">
        <v>357</v>
      </c>
      <c r="F723">
        <f>F361</f>
        <v>0</v>
      </c>
      <c r="G723">
        <v>357</v>
      </c>
      <c r="H723">
        <f>H361</f>
        <v>0</v>
      </c>
      <c r="K723">
        <v>357</v>
      </c>
      <c r="L723">
        <f>L361</f>
        <v>0</v>
      </c>
      <c r="M723">
        <v>357</v>
      </c>
      <c r="N723">
        <f>N361</f>
        <v>0</v>
      </c>
      <c r="Q723">
        <f>IF(Charts!$B$3="none",E2530,IF(K2530="",NA(),K2530))</f>
        <v>0</v>
      </c>
      <c r="R723">
        <f>IF(Charts!$B$3="none",F2530,IF(L2530="",NA(),L2530))</f>
        <v>0</v>
      </c>
      <c r="S723">
        <f>IF(Charts!$B$3="none",G2530,IF(M2530="",NA(),M2530))</f>
        <v>0</v>
      </c>
      <c r="T723">
        <f>IF(Charts!$B$3="none",H2530,IF(N2530="",NA(),N2530))</f>
        <v>0</v>
      </c>
    </row>
    <row r="724" spans="5:20">
      <c r="E724">
        <v>358</v>
      </c>
      <c r="F724">
        <f>F362</f>
        <v>0</v>
      </c>
      <c r="G724">
        <v>358</v>
      </c>
      <c r="H724">
        <f>H362</f>
        <v>0</v>
      </c>
      <c r="K724">
        <v>358</v>
      </c>
      <c r="L724">
        <f>L362</f>
        <v>0</v>
      </c>
      <c r="M724">
        <v>358</v>
      </c>
      <c r="N724">
        <f>N362</f>
        <v>0</v>
      </c>
      <c r="Q724">
        <f>IF(Charts!$B$3="none",E2531,IF(K2531="",NA(),K2531))</f>
        <v>0</v>
      </c>
      <c r="R724">
        <f>IF(Charts!$B$3="none",F2531,IF(L2531="",NA(),L2531))</f>
        <v>0</v>
      </c>
      <c r="S724">
        <f>IF(Charts!$B$3="none",G2531,IF(M2531="",NA(),M2531))</f>
        <v>0</v>
      </c>
      <c r="T724">
        <f>IF(Charts!$B$3="none",H2531,IF(N2531="",NA(),N2531))</f>
        <v>0</v>
      </c>
    </row>
    <row r="725" spans="5:20">
      <c r="E725">
        <v>359</v>
      </c>
      <c r="F725">
        <f>F363</f>
        <v>0</v>
      </c>
      <c r="G725">
        <v>359</v>
      </c>
      <c r="H725">
        <f>H363</f>
        <v>0</v>
      </c>
      <c r="K725">
        <v>359</v>
      </c>
      <c r="L725">
        <f>L363</f>
        <v>0</v>
      </c>
      <c r="M725">
        <v>359</v>
      </c>
      <c r="N725">
        <f>N363</f>
        <v>0</v>
      </c>
    </row>
    <row r="726" spans="5:20">
      <c r="E726">
        <v>360</v>
      </c>
      <c r="F726">
        <f>F364</f>
        <v>0</v>
      </c>
      <c r="G726">
        <v>360</v>
      </c>
      <c r="H726">
        <f>H364</f>
        <v>0</v>
      </c>
      <c r="K726">
        <v>360</v>
      </c>
      <c r="L726">
        <f>L364</f>
        <v>0</v>
      </c>
      <c r="M726">
        <v>360</v>
      </c>
      <c r="N726">
        <f>N364</f>
        <v>0</v>
      </c>
    </row>
    <row r="727" spans="5:20">
      <c r="E727">
        <v>2</v>
      </c>
      <c r="F727">
        <f>IF(F6="","",F5)</f>
        <v>0</v>
      </c>
      <c r="G727">
        <v>2</v>
      </c>
      <c r="H727">
        <f>H5</f>
        <v>0</v>
      </c>
      <c r="K727">
        <v>2</v>
      </c>
      <c r="L727">
        <f>IF(L6="","",L5)</f>
        <v>0</v>
      </c>
      <c r="M727">
        <v>2</v>
      </c>
      <c r="N727">
        <f>N5</f>
        <v>0</v>
      </c>
    </row>
    <row r="728" spans="5:20">
      <c r="E728">
        <v>3</v>
      </c>
      <c r="F728">
        <f>IF(F7="","",F6)</f>
        <v>0</v>
      </c>
      <c r="G728">
        <v>3</v>
      </c>
      <c r="H728">
        <f>H6</f>
        <v>0</v>
      </c>
      <c r="K728">
        <v>3</v>
      </c>
      <c r="L728">
        <f>IF(L7="","",L6)</f>
        <v>0</v>
      </c>
      <c r="M728">
        <v>3</v>
      </c>
      <c r="N728">
        <f>N6</f>
        <v>0</v>
      </c>
    </row>
    <row r="729" spans="5:20">
      <c r="E729">
        <v>4</v>
      </c>
      <c r="F729">
        <f>IF(F8="","",F7)</f>
        <v>0</v>
      </c>
      <c r="G729">
        <v>4</v>
      </c>
      <c r="H729">
        <f>H7</f>
        <v>0</v>
      </c>
      <c r="K729">
        <v>4</v>
      </c>
      <c r="L729">
        <f>IF(L8="","",L7)</f>
        <v>0</v>
      </c>
      <c r="M729">
        <v>4</v>
      </c>
      <c r="N729">
        <f>N7</f>
        <v>0</v>
      </c>
    </row>
    <row r="730" spans="5:20">
      <c r="E730">
        <v>5</v>
      </c>
      <c r="F730">
        <f>IF(F9="","",F8)</f>
        <v>0</v>
      </c>
      <c r="G730">
        <v>5</v>
      </c>
      <c r="H730">
        <f>H8</f>
        <v>0</v>
      </c>
      <c r="K730">
        <v>5</v>
      </c>
      <c r="L730">
        <f>IF(L9="","",L8)</f>
        <v>0</v>
      </c>
      <c r="M730">
        <v>5</v>
      </c>
      <c r="N730">
        <f>N8</f>
        <v>0</v>
      </c>
    </row>
    <row r="731" spans="5:20">
      <c r="E731">
        <v>6</v>
      </c>
      <c r="F731">
        <f>IF(F10="","",F9)</f>
        <v>0</v>
      </c>
      <c r="G731">
        <v>6</v>
      </c>
      <c r="H731">
        <f>H9</f>
        <v>0</v>
      </c>
      <c r="K731">
        <v>6</v>
      </c>
      <c r="L731">
        <f>IF(L10="","",L9)</f>
        <v>0</v>
      </c>
      <c r="M731">
        <v>6</v>
      </c>
      <c r="N731">
        <f>N9</f>
        <v>0</v>
      </c>
    </row>
    <row r="732" spans="5:20">
      <c r="E732">
        <v>7</v>
      </c>
      <c r="F732">
        <f>IF(F11="","",F10)</f>
        <v>0</v>
      </c>
      <c r="G732">
        <v>7</v>
      </c>
      <c r="H732">
        <f>H10</f>
        <v>0</v>
      </c>
      <c r="K732">
        <v>7</v>
      </c>
      <c r="L732">
        <f>IF(L11="","",L10)</f>
        <v>0</v>
      </c>
      <c r="M732">
        <v>7</v>
      </c>
      <c r="N732">
        <f>N10</f>
        <v>0</v>
      </c>
    </row>
    <row r="733" spans="5:20">
      <c r="E733">
        <v>8</v>
      </c>
      <c r="F733">
        <f>IF(F12="","",F11)</f>
        <v>0</v>
      </c>
      <c r="G733">
        <v>8</v>
      </c>
      <c r="H733">
        <f>H11</f>
        <v>0</v>
      </c>
      <c r="K733">
        <v>8</v>
      </c>
      <c r="L733">
        <f>IF(L12="","",L11)</f>
        <v>0</v>
      </c>
      <c r="M733">
        <v>8</v>
      </c>
      <c r="N733">
        <f>N11</f>
        <v>0</v>
      </c>
    </row>
    <row r="734" spans="5:20">
      <c r="E734">
        <v>9</v>
      </c>
      <c r="F734">
        <f>IF(F13="","",F12)</f>
        <v>0</v>
      </c>
      <c r="G734">
        <v>9</v>
      </c>
      <c r="H734">
        <f>H12</f>
        <v>0</v>
      </c>
      <c r="K734">
        <v>9</v>
      </c>
      <c r="L734">
        <f>IF(L13="","",L12)</f>
        <v>0</v>
      </c>
      <c r="M734">
        <v>9</v>
      </c>
      <c r="N734">
        <f>N12</f>
        <v>0</v>
      </c>
    </row>
    <row r="735" spans="5:20">
      <c r="E735">
        <v>10</v>
      </c>
      <c r="F735">
        <f>IF(F14="","",F13)</f>
        <v>0</v>
      </c>
      <c r="G735">
        <v>10</v>
      </c>
      <c r="H735">
        <f>H13</f>
        <v>0</v>
      </c>
      <c r="K735">
        <v>10</v>
      </c>
      <c r="L735">
        <f>IF(L14="","",L13)</f>
        <v>0</v>
      </c>
      <c r="M735">
        <v>10</v>
      </c>
      <c r="N735">
        <f>N13</f>
        <v>0</v>
      </c>
    </row>
    <row r="736" spans="5:20">
      <c r="E736">
        <v>11</v>
      </c>
      <c r="F736">
        <f>IF(F15="","",F14)</f>
        <v>0</v>
      </c>
      <c r="G736">
        <v>11</v>
      </c>
      <c r="H736">
        <f>H14</f>
        <v>0</v>
      </c>
      <c r="K736">
        <v>11</v>
      </c>
      <c r="L736">
        <f>IF(L15="","",L14)</f>
        <v>0</v>
      </c>
      <c r="M736">
        <v>11</v>
      </c>
      <c r="N736">
        <f>N14</f>
        <v>0</v>
      </c>
    </row>
    <row r="737" spans="5:14">
      <c r="E737">
        <v>12</v>
      </c>
      <c r="F737">
        <f>IF(F16="","",F15)</f>
        <v>0</v>
      </c>
      <c r="G737">
        <v>12</v>
      </c>
      <c r="H737">
        <f>H15</f>
        <v>0</v>
      </c>
      <c r="K737">
        <v>12</v>
      </c>
      <c r="L737">
        <f>IF(L16="","",L15)</f>
        <v>0</v>
      </c>
      <c r="M737">
        <v>12</v>
      </c>
      <c r="N737">
        <f>N15</f>
        <v>0</v>
      </c>
    </row>
    <row r="738" spans="5:14">
      <c r="E738">
        <v>13</v>
      </c>
      <c r="F738">
        <f>IF(F17="","",F16)</f>
        <v>0</v>
      </c>
      <c r="G738">
        <v>13</v>
      </c>
      <c r="H738">
        <f>H16</f>
        <v>0</v>
      </c>
      <c r="K738">
        <v>13</v>
      </c>
      <c r="L738">
        <f>IF(L17="","",L16)</f>
        <v>0</v>
      </c>
      <c r="M738">
        <v>13</v>
      </c>
      <c r="N738">
        <f>N16</f>
        <v>0</v>
      </c>
    </row>
    <row r="739" spans="5:14">
      <c r="E739">
        <v>14</v>
      </c>
      <c r="F739">
        <f>IF(F18="","",F17)</f>
        <v>0</v>
      </c>
      <c r="G739">
        <v>14</v>
      </c>
      <c r="H739">
        <f>H17</f>
        <v>0</v>
      </c>
      <c r="K739">
        <v>14</v>
      </c>
      <c r="L739">
        <f>IF(L18="","",L17)</f>
        <v>0</v>
      </c>
      <c r="M739">
        <v>14</v>
      </c>
      <c r="N739">
        <f>N17</f>
        <v>0</v>
      </c>
    </row>
    <row r="740" spans="5:14">
      <c r="E740">
        <v>15</v>
      </c>
      <c r="F740">
        <f>IF(F19="","",F18)</f>
        <v>0</v>
      </c>
      <c r="G740">
        <v>15</v>
      </c>
      <c r="H740">
        <f>H18</f>
        <v>0</v>
      </c>
      <c r="K740">
        <v>15</v>
      </c>
      <c r="L740">
        <f>IF(L19="","",L18)</f>
        <v>0</v>
      </c>
      <c r="M740">
        <v>15</v>
      </c>
      <c r="N740">
        <f>N18</f>
        <v>0</v>
      </c>
    </row>
    <row r="741" spans="5:14">
      <c r="E741">
        <v>16</v>
      </c>
      <c r="F741">
        <f>IF(F20="","",F19)</f>
        <v>0</v>
      </c>
      <c r="G741">
        <v>16</v>
      </c>
      <c r="H741">
        <f>H19</f>
        <v>0</v>
      </c>
      <c r="K741">
        <v>16</v>
      </c>
      <c r="L741">
        <f>IF(L20="","",L19)</f>
        <v>0</v>
      </c>
      <c r="M741">
        <v>16</v>
      </c>
      <c r="N741">
        <f>N19</f>
        <v>0</v>
      </c>
    </row>
    <row r="742" spans="5:14">
      <c r="E742">
        <v>17</v>
      </c>
      <c r="F742">
        <f>IF(F21="","",F20)</f>
        <v>0</v>
      </c>
      <c r="G742">
        <v>17</v>
      </c>
      <c r="H742">
        <f>H20</f>
        <v>0</v>
      </c>
      <c r="K742">
        <v>17</v>
      </c>
      <c r="L742">
        <f>IF(L21="","",L20)</f>
        <v>0</v>
      </c>
      <c r="M742">
        <v>17</v>
      </c>
      <c r="N742">
        <f>N20</f>
        <v>0</v>
      </c>
    </row>
    <row r="743" spans="5:14">
      <c r="E743">
        <v>18</v>
      </c>
      <c r="F743">
        <f>IF(F22="","",F21)</f>
        <v>0</v>
      </c>
      <c r="G743">
        <v>18</v>
      </c>
      <c r="H743">
        <f>H21</f>
        <v>0</v>
      </c>
      <c r="K743">
        <v>18</v>
      </c>
      <c r="L743">
        <f>IF(L22="","",L21)</f>
        <v>0</v>
      </c>
      <c r="M743">
        <v>18</v>
      </c>
      <c r="N743">
        <f>N21</f>
        <v>0</v>
      </c>
    </row>
    <row r="744" spans="5:14">
      <c r="E744">
        <v>19</v>
      </c>
      <c r="F744">
        <f>IF(F23="","",F22)</f>
        <v>0</v>
      </c>
      <c r="G744">
        <v>19</v>
      </c>
      <c r="H744">
        <f>H22</f>
        <v>0</v>
      </c>
      <c r="K744">
        <v>19</v>
      </c>
      <c r="L744">
        <f>IF(L23="","",L22)</f>
        <v>0</v>
      </c>
      <c r="M744">
        <v>19</v>
      </c>
      <c r="N744">
        <f>N22</f>
        <v>0</v>
      </c>
    </row>
    <row r="745" spans="5:14">
      <c r="E745">
        <v>20</v>
      </c>
      <c r="F745">
        <f>IF(F24="","",F23)</f>
        <v>0</v>
      </c>
      <c r="G745">
        <v>20</v>
      </c>
      <c r="H745">
        <f>H23</f>
        <v>0</v>
      </c>
      <c r="K745">
        <v>20</v>
      </c>
      <c r="L745">
        <f>IF(L24="","",L23)</f>
        <v>0</v>
      </c>
      <c r="M745">
        <v>20</v>
      </c>
      <c r="N745">
        <f>N23</f>
        <v>0</v>
      </c>
    </row>
    <row r="746" spans="5:14">
      <c r="E746">
        <v>21</v>
      </c>
      <c r="F746">
        <f>IF(F25="","",F24)</f>
        <v>0</v>
      </c>
      <c r="G746">
        <v>21</v>
      </c>
      <c r="H746">
        <f>H24</f>
        <v>0</v>
      </c>
      <c r="K746">
        <v>21</v>
      </c>
      <c r="L746">
        <f>IF(L25="","",L24)</f>
        <v>0</v>
      </c>
      <c r="M746">
        <v>21</v>
      </c>
      <c r="N746">
        <f>N24</f>
        <v>0</v>
      </c>
    </row>
    <row r="747" spans="5:14">
      <c r="E747">
        <v>22</v>
      </c>
      <c r="F747">
        <f>IF(F26="","",F25)</f>
        <v>0</v>
      </c>
      <c r="G747">
        <v>22</v>
      </c>
      <c r="H747">
        <f>H25</f>
        <v>0</v>
      </c>
      <c r="K747">
        <v>22</v>
      </c>
      <c r="L747">
        <f>IF(L26="","",L25)</f>
        <v>0</v>
      </c>
      <c r="M747">
        <v>22</v>
      </c>
      <c r="N747">
        <f>N25</f>
        <v>0</v>
      </c>
    </row>
    <row r="748" spans="5:14">
      <c r="E748">
        <v>23</v>
      </c>
      <c r="F748">
        <f>IF(F27="","",F26)</f>
        <v>0</v>
      </c>
      <c r="G748">
        <v>23</v>
      </c>
      <c r="H748">
        <f>H26</f>
        <v>0</v>
      </c>
      <c r="K748">
        <v>23</v>
      </c>
      <c r="L748">
        <f>IF(L27="","",L26)</f>
        <v>0</v>
      </c>
      <c r="M748">
        <v>23</v>
      </c>
      <c r="N748">
        <f>N26</f>
        <v>0</v>
      </c>
    </row>
    <row r="749" spans="5:14">
      <c r="E749">
        <v>24</v>
      </c>
      <c r="F749">
        <f>IF(F28="","",F27)</f>
        <v>0</v>
      </c>
      <c r="G749">
        <v>24</v>
      </c>
      <c r="H749">
        <f>H27</f>
        <v>0</v>
      </c>
      <c r="K749">
        <v>24</v>
      </c>
      <c r="L749">
        <f>IF(L28="","",L27)</f>
        <v>0</v>
      </c>
      <c r="M749">
        <v>24</v>
      </c>
      <c r="N749">
        <f>N27</f>
        <v>0</v>
      </c>
    </row>
    <row r="750" spans="5:14">
      <c r="E750">
        <v>25</v>
      </c>
      <c r="F750">
        <f>IF(F29="","",F28)</f>
        <v>0</v>
      </c>
      <c r="G750">
        <v>25</v>
      </c>
      <c r="H750">
        <f>H28</f>
        <v>0</v>
      </c>
      <c r="K750">
        <v>25</v>
      </c>
      <c r="L750">
        <f>IF(L29="","",L28)</f>
        <v>0</v>
      </c>
      <c r="M750">
        <v>25</v>
      </c>
      <c r="N750">
        <f>N28</f>
        <v>0</v>
      </c>
    </row>
    <row r="751" spans="5:14">
      <c r="E751">
        <v>26</v>
      </c>
      <c r="F751">
        <f>IF(F30="","",F29)</f>
        <v>0</v>
      </c>
      <c r="G751">
        <v>26</v>
      </c>
      <c r="H751">
        <f>H29</f>
        <v>0</v>
      </c>
      <c r="K751">
        <v>26</v>
      </c>
      <c r="L751">
        <f>IF(L30="","",L29)</f>
        <v>0</v>
      </c>
      <c r="M751">
        <v>26</v>
      </c>
      <c r="N751">
        <f>N29</f>
        <v>0</v>
      </c>
    </row>
    <row r="752" spans="5:14">
      <c r="E752">
        <v>27</v>
      </c>
      <c r="F752">
        <f>IF(F31="","",F30)</f>
        <v>0</v>
      </c>
      <c r="G752">
        <v>27</v>
      </c>
      <c r="H752">
        <f>H30</f>
        <v>0</v>
      </c>
      <c r="K752">
        <v>27</v>
      </c>
      <c r="L752">
        <f>IF(L31="","",L30)</f>
        <v>0</v>
      </c>
      <c r="M752">
        <v>27</v>
      </c>
      <c r="N752">
        <f>N30</f>
        <v>0</v>
      </c>
    </row>
    <row r="753" spans="5:14">
      <c r="E753">
        <v>28</v>
      </c>
      <c r="F753">
        <f>IF(F32="","",F31)</f>
        <v>0</v>
      </c>
      <c r="G753">
        <v>28</v>
      </c>
      <c r="H753">
        <f>H31</f>
        <v>0</v>
      </c>
      <c r="K753">
        <v>28</v>
      </c>
      <c r="L753">
        <f>IF(L32="","",L31)</f>
        <v>0</v>
      </c>
      <c r="M753">
        <v>28</v>
      </c>
      <c r="N753">
        <f>N31</f>
        <v>0</v>
      </c>
    </row>
    <row r="754" spans="5:14">
      <c r="E754">
        <v>29</v>
      </c>
      <c r="F754">
        <f>IF(F33="","",F32)</f>
        <v>0</v>
      </c>
      <c r="G754">
        <v>29</v>
      </c>
      <c r="H754">
        <f>H32</f>
        <v>0</v>
      </c>
      <c r="K754">
        <v>29</v>
      </c>
      <c r="L754">
        <f>IF(L33="","",L32)</f>
        <v>0</v>
      </c>
      <c r="M754">
        <v>29</v>
      </c>
      <c r="N754">
        <f>N32</f>
        <v>0</v>
      </c>
    </row>
    <row r="755" spans="5:14">
      <c r="E755">
        <v>30</v>
      </c>
      <c r="F755">
        <f>IF(F34="","",F33)</f>
        <v>0</v>
      </c>
      <c r="G755">
        <v>30</v>
      </c>
      <c r="H755">
        <f>H33</f>
        <v>0</v>
      </c>
      <c r="K755">
        <v>30</v>
      </c>
      <c r="L755">
        <f>IF(L34="","",L33)</f>
        <v>0</v>
      </c>
      <c r="M755">
        <v>30</v>
      </c>
      <c r="N755">
        <f>N33</f>
        <v>0</v>
      </c>
    </row>
    <row r="756" spans="5:14">
      <c r="E756">
        <v>31</v>
      </c>
      <c r="F756">
        <f>IF(F35="","",F34)</f>
        <v>0</v>
      </c>
      <c r="G756">
        <v>31</v>
      </c>
      <c r="H756">
        <f>H34</f>
        <v>0</v>
      </c>
      <c r="K756">
        <v>31</v>
      </c>
      <c r="L756">
        <f>IF(L35="","",L34)</f>
        <v>0</v>
      </c>
      <c r="M756">
        <v>31</v>
      </c>
      <c r="N756">
        <f>N34</f>
        <v>0</v>
      </c>
    </row>
    <row r="757" spans="5:14">
      <c r="E757">
        <v>32</v>
      </c>
      <c r="F757">
        <f>IF(F36="","",F35)</f>
        <v>0</v>
      </c>
      <c r="G757">
        <v>32</v>
      </c>
      <c r="H757">
        <f>H35</f>
        <v>0</v>
      </c>
      <c r="K757">
        <v>32</v>
      </c>
      <c r="L757">
        <f>IF(L36="","",L35)</f>
        <v>0</v>
      </c>
      <c r="M757">
        <v>32</v>
      </c>
      <c r="N757">
        <f>N35</f>
        <v>0</v>
      </c>
    </row>
    <row r="758" spans="5:14">
      <c r="E758">
        <v>33</v>
      </c>
      <c r="F758">
        <f>IF(F37="","",F36)</f>
        <v>0</v>
      </c>
      <c r="G758">
        <v>33</v>
      </c>
      <c r="H758">
        <f>H36</f>
        <v>0</v>
      </c>
      <c r="K758">
        <v>33</v>
      </c>
      <c r="L758">
        <f>IF(L37="","",L36)</f>
        <v>0</v>
      </c>
      <c r="M758">
        <v>33</v>
      </c>
      <c r="N758">
        <f>N36</f>
        <v>0</v>
      </c>
    </row>
    <row r="759" spans="5:14">
      <c r="E759">
        <v>34</v>
      </c>
      <c r="F759">
        <f>IF(F38="","",F37)</f>
        <v>0</v>
      </c>
      <c r="G759">
        <v>34</v>
      </c>
      <c r="H759">
        <f>H37</f>
        <v>0</v>
      </c>
      <c r="K759">
        <v>34</v>
      </c>
      <c r="L759">
        <f>IF(L38="","",L37)</f>
        <v>0</v>
      </c>
      <c r="M759">
        <v>34</v>
      </c>
      <c r="N759">
        <f>N37</f>
        <v>0</v>
      </c>
    </row>
    <row r="760" spans="5:14">
      <c r="E760">
        <v>35</v>
      </c>
      <c r="F760">
        <f>IF(F39="","",F38)</f>
        <v>0</v>
      </c>
      <c r="G760">
        <v>35</v>
      </c>
      <c r="H760">
        <f>H38</f>
        <v>0</v>
      </c>
      <c r="K760">
        <v>35</v>
      </c>
      <c r="L760">
        <f>IF(L39="","",L38)</f>
        <v>0</v>
      </c>
      <c r="M760">
        <v>35</v>
      </c>
      <c r="N760">
        <f>N38</f>
        <v>0</v>
      </c>
    </row>
    <row r="761" spans="5:14">
      <c r="E761">
        <v>36</v>
      </c>
      <c r="F761">
        <f>IF(F40="","",F39)</f>
        <v>0</v>
      </c>
      <c r="G761">
        <v>36</v>
      </c>
      <c r="H761">
        <f>H39</f>
        <v>0</v>
      </c>
      <c r="K761">
        <v>36</v>
      </c>
      <c r="L761">
        <f>IF(L40="","",L39)</f>
        <v>0</v>
      </c>
      <c r="M761">
        <v>36</v>
      </c>
      <c r="N761">
        <f>N39</f>
        <v>0</v>
      </c>
    </row>
    <row r="762" spans="5:14">
      <c r="E762">
        <v>37</v>
      </c>
      <c r="F762">
        <f>IF(F41="","",F40)</f>
        <v>0</v>
      </c>
      <c r="G762">
        <v>37</v>
      </c>
      <c r="H762">
        <f>H40</f>
        <v>0</v>
      </c>
      <c r="K762">
        <v>37</v>
      </c>
      <c r="L762">
        <f>IF(L41="","",L40)</f>
        <v>0</v>
      </c>
      <c r="M762">
        <v>37</v>
      </c>
      <c r="N762">
        <f>N40</f>
        <v>0</v>
      </c>
    </row>
    <row r="763" spans="5:14">
      <c r="E763">
        <v>38</v>
      </c>
      <c r="F763">
        <f>IF(F42="","",F41)</f>
        <v>0</v>
      </c>
      <c r="G763">
        <v>38</v>
      </c>
      <c r="H763">
        <f>H41</f>
        <v>0</v>
      </c>
      <c r="K763">
        <v>38</v>
      </c>
      <c r="L763">
        <f>IF(L42="","",L41)</f>
        <v>0</v>
      </c>
      <c r="M763">
        <v>38</v>
      </c>
      <c r="N763">
        <f>N41</f>
        <v>0</v>
      </c>
    </row>
    <row r="764" spans="5:14">
      <c r="E764">
        <v>39</v>
      </c>
      <c r="F764">
        <f>IF(F43="","",F42)</f>
        <v>0</v>
      </c>
      <c r="G764">
        <v>39</v>
      </c>
      <c r="H764">
        <f>H42</f>
        <v>0</v>
      </c>
      <c r="K764">
        <v>39</v>
      </c>
      <c r="L764">
        <f>IF(L43="","",L42)</f>
        <v>0</v>
      </c>
      <c r="M764">
        <v>39</v>
      </c>
      <c r="N764">
        <f>N42</f>
        <v>0</v>
      </c>
    </row>
    <row r="765" spans="5:14">
      <c r="E765">
        <v>40</v>
      </c>
      <c r="F765">
        <f>IF(F44="","",F43)</f>
        <v>0</v>
      </c>
      <c r="G765">
        <v>40</v>
      </c>
      <c r="H765">
        <f>H43</f>
        <v>0</v>
      </c>
      <c r="K765">
        <v>40</v>
      </c>
      <c r="L765">
        <f>IF(L44="","",L43)</f>
        <v>0</v>
      </c>
      <c r="M765">
        <v>40</v>
      </c>
      <c r="N765">
        <f>N43</f>
        <v>0</v>
      </c>
    </row>
    <row r="766" spans="5:14">
      <c r="E766">
        <v>41</v>
      </c>
      <c r="F766">
        <f>IF(F45="","",F44)</f>
        <v>0</v>
      </c>
      <c r="G766">
        <v>41</v>
      </c>
      <c r="H766">
        <f>H44</f>
        <v>0</v>
      </c>
      <c r="K766">
        <v>41</v>
      </c>
      <c r="L766">
        <f>IF(L45="","",L44)</f>
        <v>0</v>
      </c>
      <c r="M766">
        <v>41</v>
      </c>
      <c r="N766">
        <f>N44</f>
        <v>0</v>
      </c>
    </row>
    <row r="767" spans="5:14">
      <c r="E767">
        <v>42</v>
      </c>
      <c r="F767">
        <f>IF(F46="","",F45)</f>
        <v>0</v>
      </c>
      <c r="G767">
        <v>42</v>
      </c>
      <c r="H767">
        <f>H45</f>
        <v>0</v>
      </c>
      <c r="K767">
        <v>42</v>
      </c>
      <c r="L767">
        <f>IF(L46="","",L45)</f>
        <v>0</v>
      </c>
      <c r="M767">
        <v>42</v>
      </c>
      <c r="N767">
        <f>N45</f>
        <v>0</v>
      </c>
    </row>
    <row r="768" spans="5:14">
      <c r="E768">
        <v>43</v>
      </c>
      <c r="F768">
        <f>IF(F47="","",F46)</f>
        <v>0</v>
      </c>
      <c r="G768">
        <v>43</v>
      </c>
      <c r="H768">
        <f>H46</f>
        <v>0</v>
      </c>
      <c r="K768">
        <v>43</v>
      </c>
      <c r="L768">
        <f>IF(L47="","",L46)</f>
        <v>0</v>
      </c>
      <c r="M768">
        <v>43</v>
      </c>
      <c r="N768">
        <f>N46</f>
        <v>0</v>
      </c>
    </row>
    <row r="769" spans="5:14">
      <c r="E769">
        <v>44</v>
      </c>
      <c r="F769">
        <f>IF(F48="","",F47)</f>
        <v>0</v>
      </c>
      <c r="G769">
        <v>44</v>
      </c>
      <c r="H769">
        <f>H47</f>
        <v>0</v>
      </c>
      <c r="K769">
        <v>44</v>
      </c>
      <c r="L769">
        <f>IF(L48="","",L47)</f>
        <v>0</v>
      </c>
      <c r="M769">
        <v>44</v>
      </c>
      <c r="N769">
        <f>N47</f>
        <v>0</v>
      </c>
    </row>
    <row r="770" spans="5:14">
      <c r="E770">
        <v>45</v>
      </c>
      <c r="F770">
        <f>IF(F49="","",F48)</f>
        <v>0</v>
      </c>
      <c r="G770">
        <v>45</v>
      </c>
      <c r="H770">
        <f>H48</f>
        <v>0</v>
      </c>
      <c r="K770">
        <v>45</v>
      </c>
      <c r="L770">
        <f>IF(L49="","",L48)</f>
        <v>0</v>
      </c>
      <c r="M770">
        <v>45</v>
      </c>
      <c r="N770">
        <f>N48</f>
        <v>0</v>
      </c>
    </row>
    <row r="771" spans="5:14">
      <c r="E771">
        <v>46</v>
      </c>
      <c r="F771">
        <f>IF(F50="","",F49)</f>
        <v>0</v>
      </c>
      <c r="G771">
        <v>46</v>
      </c>
      <c r="H771">
        <f>H49</f>
        <v>0</v>
      </c>
      <c r="K771">
        <v>46</v>
      </c>
      <c r="L771">
        <f>IF(L50="","",L49)</f>
        <v>0</v>
      </c>
      <c r="M771">
        <v>46</v>
      </c>
      <c r="N771">
        <f>N49</f>
        <v>0</v>
      </c>
    </row>
    <row r="772" spans="5:14">
      <c r="E772">
        <v>47</v>
      </c>
      <c r="F772">
        <f>IF(F51="","",F50)</f>
        <v>0</v>
      </c>
      <c r="G772">
        <v>47</v>
      </c>
      <c r="H772">
        <f>H50</f>
        <v>0</v>
      </c>
      <c r="K772">
        <v>47</v>
      </c>
      <c r="L772">
        <f>IF(L51="","",L50)</f>
        <v>0</v>
      </c>
      <c r="M772">
        <v>47</v>
      </c>
      <c r="N772">
        <f>N50</f>
        <v>0</v>
      </c>
    </row>
    <row r="773" spans="5:14">
      <c r="E773">
        <v>48</v>
      </c>
      <c r="F773">
        <f>IF(F52="","",F51)</f>
        <v>0</v>
      </c>
      <c r="G773">
        <v>48</v>
      </c>
      <c r="H773">
        <f>H51</f>
        <v>0</v>
      </c>
      <c r="K773">
        <v>48</v>
      </c>
      <c r="L773">
        <f>IF(L52="","",L51)</f>
        <v>0</v>
      </c>
      <c r="M773">
        <v>48</v>
      </c>
      <c r="N773">
        <f>N51</f>
        <v>0</v>
      </c>
    </row>
    <row r="774" spans="5:14">
      <c r="E774">
        <v>49</v>
      </c>
      <c r="F774">
        <f>IF(F53="","",F52)</f>
        <v>0</v>
      </c>
      <c r="G774">
        <v>49</v>
      </c>
      <c r="H774">
        <f>H52</f>
        <v>0</v>
      </c>
      <c r="K774">
        <v>49</v>
      </c>
      <c r="L774">
        <f>IF(L53="","",L52)</f>
        <v>0</v>
      </c>
      <c r="M774">
        <v>49</v>
      </c>
      <c r="N774">
        <f>N52</f>
        <v>0</v>
      </c>
    </row>
    <row r="775" spans="5:14">
      <c r="E775">
        <v>50</v>
      </c>
      <c r="F775">
        <f>IF(F54="","",F53)</f>
        <v>0</v>
      </c>
      <c r="G775">
        <v>50</v>
      </c>
      <c r="H775">
        <f>H53</f>
        <v>0</v>
      </c>
      <c r="K775">
        <v>50</v>
      </c>
      <c r="L775">
        <f>IF(L54="","",L53)</f>
        <v>0</v>
      </c>
      <c r="M775">
        <v>50</v>
      </c>
      <c r="N775">
        <f>N53</f>
        <v>0</v>
      </c>
    </row>
    <row r="776" spans="5:14">
      <c r="E776">
        <v>51</v>
      </c>
      <c r="F776">
        <f>IF(F55="","",F54)</f>
        <v>0</v>
      </c>
      <c r="G776">
        <v>51</v>
      </c>
      <c r="H776">
        <f>H54</f>
        <v>0</v>
      </c>
      <c r="K776">
        <v>51</v>
      </c>
      <c r="L776">
        <f>IF(L55="","",L54)</f>
        <v>0</v>
      </c>
      <c r="M776">
        <v>51</v>
      </c>
      <c r="N776">
        <f>N54</f>
        <v>0</v>
      </c>
    </row>
    <row r="777" spans="5:14">
      <c r="E777">
        <v>52</v>
      </c>
      <c r="F777">
        <f>IF(F56="","",F55)</f>
        <v>0</v>
      </c>
      <c r="G777">
        <v>52</v>
      </c>
      <c r="H777">
        <f>H55</f>
        <v>0</v>
      </c>
      <c r="K777">
        <v>52</v>
      </c>
      <c r="L777">
        <f>IF(L56="","",L55)</f>
        <v>0</v>
      </c>
      <c r="M777">
        <v>52</v>
      </c>
      <c r="N777">
        <f>N55</f>
        <v>0</v>
      </c>
    </row>
    <row r="778" spans="5:14">
      <c r="E778">
        <v>53</v>
      </c>
      <c r="F778">
        <f>IF(F57="","",F56)</f>
        <v>0</v>
      </c>
      <c r="G778">
        <v>53</v>
      </c>
      <c r="H778">
        <f>H56</f>
        <v>0</v>
      </c>
      <c r="K778">
        <v>53</v>
      </c>
      <c r="L778">
        <f>IF(L57="","",L56)</f>
        <v>0</v>
      </c>
      <c r="M778">
        <v>53</v>
      </c>
      <c r="N778">
        <f>N56</f>
        <v>0</v>
      </c>
    </row>
    <row r="779" spans="5:14">
      <c r="E779">
        <v>54</v>
      </c>
      <c r="F779">
        <f>IF(F58="","",F57)</f>
        <v>0</v>
      </c>
      <c r="G779">
        <v>54</v>
      </c>
      <c r="H779">
        <f>H57</f>
        <v>0</v>
      </c>
      <c r="K779">
        <v>54</v>
      </c>
      <c r="L779">
        <f>IF(L58="","",L57)</f>
        <v>0</v>
      </c>
      <c r="M779">
        <v>54</v>
      </c>
      <c r="N779">
        <f>N57</f>
        <v>0</v>
      </c>
    </row>
    <row r="780" spans="5:14">
      <c r="E780">
        <v>55</v>
      </c>
      <c r="F780">
        <f>IF(F59="","",F58)</f>
        <v>0</v>
      </c>
      <c r="G780">
        <v>55</v>
      </c>
      <c r="H780">
        <f>H58</f>
        <v>0</v>
      </c>
      <c r="K780">
        <v>55</v>
      </c>
      <c r="L780">
        <f>IF(L59="","",L58)</f>
        <v>0</v>
      </c>
      <c r="M780">
        <v>55</v>
      </c>
      <c r="N780">
        <f>N58</f>
        <v>0</v>
      </c>
    </row>
    <row r="781" spans="5:14">
      <c r="E781">
        <v>56</v>
      </c>
      <c r="F781">
        <f>IF(F60="","",F59)</f>
        <v>0</v>
      </c>
      <c r="G781">
        <v>56</v>
      </c>
      <c r="H781">
        <f>H59</f>
        <v>0</v>
      </c>
      <c r="K781">
        <v>56</v>
      </c>
      <c r="L781">
        <f>IF(L60="","",L59)</f>
        <v>0</v>
      </c>
      <c r="M781">
        <v>56</v>
      </c>
      <c r="N781">
        <f>N59</f>
        <v>0</v>
      </c>
    </row>
    <row r="782" spans="5:14">
      <c r="E782">
        <v>57</v>
      </c>
      <c r="F782">
        <f>IF(F61="","",F60)</f>
        <v>0</v>
      </c>
      <c r="G782">
        <v>57</v>
      </c>
      <c r="H782">
        <f>H60</f>
        <v>0</v>
      </c>
      <c r="K782">
        <v>57</v>
      </c>
      <c r="L782">
        <f>IF(L61="","",L60)</f>
        <v>0</v>
      </c>
      <c r="M782">
        <v>57</v>
      </c>
      <c r="N782">
        <f>N60</f>
        <v>0</v>
      </c>
    </row>
    <row r="783" spans="5:14">
      <c r="E783">
        <v>58</v>
      </c>
      <c r="F783">
        <f>IF(F62="","",F61)</f>
        <v>0</v>
      </c>
      <c r="G783">
        <v>58</v>
      </c>
      <c r="H783">
        <f>H61</f>
        <v>0</v>
      </c>
      <c r="K783">
        <v>58</v>
      </c>
      <c r="L783">
        <f>IF(L62="","",L61)</f>
        <v>0</v>
      </c>
      <c r="M783">
        <v>58</v>
      </c>
      <c r="N783">
        <f>N61</f>
        <v>0</v>
      </c>
    </row>
    <row r="784" spans="5:14">
      <c r="E784">
        <v>59</v>
      </c>
      <c r="F784">
        <f>IF(F63="","",F62)</f>
        <v>0</v>
      </c>
      <c r="G784">
        <v>59</v>
      </c>
      <c r="H784">
        <f>H62</f>
        <v>0</v>
      </c>
      <c r="K784">
        <v>59</v>
      </c>
      <c r="L784">
        <f>IF(L63="","",L62)</f>
        <v>0</v>
      </c>
      <c r="M784">
        <v>59</v>
      </c>
      <c r="N784">
        <f>N62</f>
        <v>0</v>
      </c>
    </row>
    <row r="785" spans="5:14">
      <c r="E785">
        <v>60</v>
      </c>
      <c r="F785">
        <f>IF(F64="","",F63)</f>
        <v>0</v>
      </c>
      <c r="G785">
        <v>60</v>
      </c>
      <c r="H785">
        <f>H63</f>
        <v>0</v>
      </c>
      <c r="K785">
        <v>60</v>
      </c>
      <c r="L785">
        <f>IF(L64="","",L63)</f>
        <v>0</v>
      </c>
      <c r="M785">
        <v>60</v>
      </c>
      <c r="N785">
        <f>N63</f>
        <v>0</v>
      </c>
    </row>
    <row r="786" spans="5:14">
      <c r="E786">
        <v>61</v>
      </c>
      <c r="F786">
        <f>IF(F65="","",F64)</f>
        <v>0</v>
      </c>
      <c r="G786">
        <v>61</v>
      </c>
      <c r="H786">
        <f>H64</f>
        <v>0</v>
      </c>
      <c r="K786">
        <v>61</v>
      </c>
      <c r="L786">
        <f>IF(L65="","",L64)</f>
        <v>0</v>
      </c>
      <c r="M786">
        <v>61</v>
      </c>
      <c r="N786">
        <f>N64</f>
        <v>0</v>
      </c>
    </row>
    <row r="787" spans="5:14">
      <c r="E787">
        <v>62</v>
      </c>
      <c r="F787">
        <f>IF(F66="","",F65)</f>
        <v>0</v>
      </c>
      <c r="G787">
        <v>62</v>
      </c>
      <c r="H787">
        <f>H65</f>
        <v>0</v>
      </c>
      <c r="K787">
        <v>62</v>
      </c>
      <c r="L787">
        <f>IF(L66="","",L65)</f>
        <v>0</v>
      </c>
      <c r="M787">
        <v>62</v>
      </c>
      <c r="N787">
        <f>N65</f>
        <v>0</v>
      </c>
    </row>
    <row r="788" spans="5:14">
      <c r="E788">
        <v>63</v>
      </c>
      <c r="F788">
        <f>IF(F67="","",F66)</f>
        <v>0</v>
      </c>
      <c r="G788">
        <v>63</v>
      </c>
      <c r="H788">
        <f>H66</f>
        <v>0</v>
      </c>
      <c r="K788">
        <v>63</v>
      </c>
      <c r="L788">
        <f>IF(L67="","",L66)</f>
        <v>0</v>
      </c>
      <c r="M788">
        <v>63</v>
      </c>
      <c r="N788">
        <f>N66</f>
        <v>0</v>
      </c>
    </row>
    <row r="789" spans="5:14">
      <c r="E789">
        <v>64</v>
      </c>
      <c r="F789">
        <f>IF(F68="","",F67)</f>
        <v>0</v>
      </c>
      <c r="G789">
        <v>64</v>
      </c>
      <c r="H789">
        <f>H67</f>
        <v>0</v>
      </c>
      <c r="K789">
        <v>64</v>
      </c>
      <c r="L789">
        <f>IF(L68="","",L67)</f>
        <v>0</v>
      </c>
      <c r="M789">
        <v>64</v>
      </c>
      <c r="N789">
        <f>N67</f>
        <v>0</v>
      </c>
    </row>
    <row r="790" spans="5:14">
      <c r="E790">
        <v>65</v>
      </c>
      <c r="F790">
        <f>IF(F69="","",F68)</f>
        <v>0</v>
      </c>
      <c r="G790">
        <v>65</v>
      </c>
      <c r="H790">
        <f>H68</f>
        <v>0</v>
      </c>
      <c r="K790">
        <v>65</v>
      </c>
      <c r="L790">
        <f>IF(L69="","",L68)</f>
        <v>0</v>
      </c>
      <c r="M790">
        <v>65</v>
      </c>
      <c r="N790">
        <f>N68</f>
        <v>0</v>
      </c>
    </row>
    <row r="791" spans="5:14">
      <c r="E791">
        <v>66</v>
      </c>
      <c r="F791">
        <f>IF(F70="","",F69)</f>
        <v>0</v>
      </c>
      <c r="G791">
        <v>66</v>
      </c>
      <c r="H791">
        <f>H69</f>
        <v>0</v>
      </c>
      <c r="K791">
        <v>66</v>
      </c>
      <c r="L791">
        <f>IF(L70="","",L69)</f>
        <v>0</v>
      </c>
      <c r="M791">
        <v>66</v>
      </c>
      <c r="N791">
        <f>N69</f>
        <v>0</v>
      </c>
    </row>
    <row r="792" spans="5:14">
      <c r="E792">
        <v>67</v>
      </c>
      <c r="F792">
        <f>IF(F71="","",F70)</f>
        <v>0</v>
      </c>
      <c r="G792">
        <v>67</v>
      </c>
      <c r="H792">
        <f>H70</f>
        <v>0</v>
      </c>
      <c r="K792">
        <v>67</v>
      </c>
      <c r="L792">
        <f>IF(L71="","",L70)</f>
        <v>0</v>
      </c>
      <c r="M792">
        <v>67</v>
      </c>
      <c r="N792">
        <f>N70</f>
        <v>0</v>
      </c>
    </row>
    <row r="793" spans="5:14">
      <c r="E793">
        <v>68</v>
      </c>
      <c r="F793">
        <f>IF(F72="","",F71)</f>
        <v>0</v>
      </c>
      <c r="G793">
        <v>68</v>
      </c>
      <c r="H793">
        <f>H71</f>
        <v>0</v>
      </c>
      <c r="K793">
        <v>68</v>
      </c>
      <c r="L793">
        <f>IF(L72="","",L71)</f>
        <v>0</v>
      </c>
      <c r="M793">
        <v>68</v>
      </c>
      <c r="N793">
        <f>N71</f>
        <v>0</v>
      </c>
    </row>
    <row r="794" spans="5:14">
      <c r="E794">
        <v>69</v>
      </c>
      <c r="F794">
        <f>IF(F73="","",F72)</f>
        <v>0</v>
      </c>
      <c r="G794">
        <v>69</v>
      </c>
      <c r="H794">
        <f>H72</f>
        <v>0</v>
      </c>
      <c r="K794">
        <v>69</v>
      </c>
      <c r="L794">
        <f>IF(L73="","",L72)</f>
        <v>0</v>
      </c>
      <c r="M794">
        <v>69</v>
      </c>
      <c r="N794">
        <f>N72</f>
        <v>0</v>
      </c>
    </row>
    <row r="795" spans="5:14">
      <c r="E795">
        <v>70</v>
      </c>
      <c r="F795">
        <f>IF(F74="","",F73)</f>
        <v>0</v>
      </c>
      <c r="G795">
        <v>70</v>
      </c>
      <c r="H795">
        <f>H73</f>
        <v>0</v>
      </c>
      <c r="K795">
        <v>70</v>
      </c>
      <c r="L795">
        <f>IF(L74="","",L73)</f>
        <v>0</v>
      </c>
      <c r="M795">
        <v>70</v>
      </c>
      <c r="N795">
        <f>N73</f>
        <v>0</v>
      </c>
    </row>
    <row r="796" spans="5:14">
      <c r="E796">
        <v>71</v>
      </c>
      <c r="F796">
        <f>IF(F75="","",F74)</f>
        <v>0</v>
      </c>
      <c r="G796">
        <v>71</v>
      </c>
      <c r="H796">
        <f>H74</f>
        <v>0</v>
      </c>
      <c r="K796">
        <v>71</v>
      </c>
      <c r="L796">
        <f>IF(L75="","",L74)</f>
        <v>0</v>
      </c>
      <c r="M796">
        <v>71</v>
      </c>
      <c r="N796">
        <f>N74</f>
        <v>0</v>
      </c>
    </row>
    <row r="797" spans="5:14">
      <c r="E797">
        <v>72</v>
      </c>
      <c r="F797">
        <f>IF(F76="","",F75)</f>
        <v>0</v>
      </c>
      <c r="G797">
        <v>72</v>
      </c>
      <c r="H797">
        <f>H75</f>
        <v>0</v>
      </c>
      <c r="K797">
        <v>72</v>
      </c>
      <c r="L797">
        <f>IF(L76="","",L75)</f>
        <v>0</v>
      </c>
      <c r="M797">
        <v>72</v>
      </c>
      <c r="N797">
        <f>N75</f>
        <v>0</v>
      </c>
    </row>
    <row r="798" spans="5:14">
      <c r="E798">
        <v>73</v>
      </c>
      <c r="F798">
        <f>IF(F77="","",F76)</f>
        <v>0</v>
      </c>
      <c r="G798">
        <v>73</v>
      </c>
      <c r="H798">
        <f>H76</f>
        <v>0</v>
      </c>
      <c r="K798">
        <v>73</v>
      </c>
      <c r="L798">
        <f>IF(L77="","",L76)</f>
        <v>0</v>
      </c>
      <c r="M798">
        <v>73</v>
      </c>
      <c r="N798">
        <f>N76</f>
        <v>0</v>
      </c>
    </row>
    <row r="799" spans="5:14">
      <c r="E799">
        <v>74</v>
      </c>
      <c r="F799">
        <f>IF(F78="","",F77)</f>
        <v>0</v>
      </c>
      <c r="G799">
        <v>74</v>
      </c>
      <c r="H799">
        <f>H77</f>
        <v>0</v>
      </c>
      <c r="K799">
        <v>74</v>
      </c>
      <c r="L799">
        <f>IF(L78="","",L77)</f>
        <v>0</v>
      </c>
      <c r="M799">
        <v>74</v>
      </c>
      <c r="N799">
        <f>N77</f>
        <v>0</v>
      </c>
    </row>
    <row r="800" spans="5:14">
      <c r="E800">
        <v>75</v>
      </c>
      <c r="F800">
        <f>IF(F79="","",F78)</f>
        <v>0</v>
      </c>
      <c r="G800">
        <v>75</v>
      </c>
      <c r="H800">
        <f>H78</f>
        <v>0</v>
      </c>
      <c r="K800">
        <v>75</v>
      </c>
      <c r="L800">
        <f>IF(L79="","",L78)</f>
        <v>0</v>
      </c>
      <c r="M800">
        <v>75</v>
      </c>
      <c r="N800">
        <f>N78</f>
        <v>0</v>
      </c>
    </row>
    <row r="801" spans="5:14">
      <c r="E801">
        <v>76</v>
      </c>
      <c r="F801">
        <f>IF(F80="","",F79)</f>
        <v>0</v>
      </c>
      <c r="G801">
        <v>76</v>
      </c>
      <c r="H801">
        <f>H79</f>
        <v>0</v>
      </c>
      <c r="K801">
        <v>76</v>
      </c>
      <c r="L801">
        <f>IF(L80="","",L79)</f>
        <v>0</v>
      </c>
      <c r="M801">
        <v>76</v>
      </c>
      <c r="N801">
        <f>N79</f>
        <v>0</v>
      </c>
    </row>
    <row r="802" spans="5:14">
      <c r="E802">
        <v>77</v>
      </c>
      <c r="F802">
        <f>IF(F81="","",F80)</f>
        <v>0</v>
      </c>
      <c r="G802">
        <v>77</v>
      </c>
      <c r="H802">
        <f>H80</f>
        <v>0</v>
      </c>
      <c r="K802">
        <v>77</v>
      </c>
      <c r="L802">
        <f>IF(L81="","",L80)</f>
        <v>0</v>
      </c>
      <c r="M802">
        <v>77</v>
      </c>
      <c r="N802">
        <f>N80</f>
        <v>0</v>
      </c>
    </row>
    <row r="803" spans="5:14">
      <c r="E803">
        <v>78</v>
      </c>
      <c r="F803">
        <f>IF(F82="","",F81)</f>
        <v>0</v>
      </c>
      <c r="G803">
        <v>78</v>
      </c>
      <c r="H803">
        <f>H81</f>
        <v>0</v>
      </c>
      <c r="K803">
        <v>78</v>
      </c>
      <c r="L803">
        <f>IF(L82="","",L81)</f>
        <v>0</v>
      </c>
      <c r="M803">
        <v>78</v>
      </c>
      <c r="N803">
        <f>N81</f>
        <v>0</v>
      </c>
    </row>
    <row r="804" spans="5:14">
      <c r="E804">
        <v>79</v>
      </c>
      <c r="F804">
        <f>IF(F83="","",F82)</f>
        <v>0</v>
      </c>
      <c r="G804">
        <v>79</v>
      </c>
      <c r="H804">
        <f>H82</f>
        <v>0</v>
      </c>
      <c r="K804">
        <v>79</v>
      </c>
      <c r="L804">
        <f>IF(L83="","",L82)</f>
        <v>0</v>
      </c>
      <c r="M804">
        <v>79</v>
      </c>
      <c r="N804">
        <f>N82</f>
        <v>0</v>
      </c>
    </row>
    <row r="805" spans="5:14">
      <c r="E805">
        <v>80</v>
      </c>
      <c r="F805">
        <f>IF(F84="","",F83)</f>
        <v>0</v>
      </c>
      <c r="G805">
        <v>80</v>
      </c>
      <c r="H805">
        <f>H83</f>
        <v>0</v>
      </c>
      <c r="K805">
        <v>80</v>
      </c>
      <c r="L805">
        <f>IF(L84="","",L83)</f>
        <v>0</v>
      </c>
      <c r="M805">
        <v>80</v>
      </c>
      <c r="N805">
        <f>N83</f>
        <v>0</v>
      </c>
    </row>
    <row r="806" spans="5:14">
      <c r="E806">
        <v>81</v>
      </c>
      <c r="F806">
        <f>IF(F85="","",F84)</f>
        <v>0</v>
      </c>
      <c r="G806">
        <v>81</v>
      </c>
      <c r="H806">
        <f>H84</f>
        <v>0</v>
      </c>
      <c r="K806">
        <v>81</v>
      </c>
      <c r="L806">
        <f>IF(L85="","",L84)</f>
        <v>0</v>
      </c>
      <c r="M806">
        <v>81</v>
      </c>
      <c r="N806">
        <f>N84</f>
        <v>0</v>
      </c>
    </row>
    <row r="807" spans="5:14">
      <c r="E807">
        <v>82</v>
      </c>
      <c r="F807">
        <f>IF(F86="","",F85)</f>
        <v>0</v>
      </c>
      <c r="G807">
        <v>82</v>
      </c>
      <c r="H807">
        <f>H85</f>
        <v>0</v>
      </c>
      <c r="K807">
        <v>82</v>
      </c>
      <c r="L807">
        <f>IF(L86="","",L85)</f>
        <v>0</v>
      </c>
      <c r="M807">
        <v>82</v>
      </c>
      <c r="N807">
        <f>N85</f>
        <v>0</v>
      </c>
    </row>
    <row r="808" spans="5:14">
      <c r="E808">
        <v>83</v>
      </c>
      <c r="F808">
        <f>IF(F87="","",F86)</f>
        <v>0</v>
      </c>
      <c r="G808">
        <v>83</v>
      </c>
      <c r="H808">
        <f>H86</f>
        <v>0</v>
      </c>
      <c r="K808">
        <v>83</v>
      </c>
      <c r="L808">
        <f>IF(L87="","",L86)</f>
        <v>0</v>
      </c>
      <c r="M808">
        <v>83</v>
      </c>
      <c r="N808">
        <f>N86</f>
        <v>0</v>
      </c>
    </row>
    <row r="809" spans="5:14">
      <c r="E809">
        <v>84</v>
      </c>
      <c r="F809">
        <f>IF(F88="","",F87)</f>
        <v>0</v>
      </c>
      <c r="G809">
        <v>84</v>
      </c>
      <c r="H809">
        <f>H87</f>
        <v>0</v>
      </c>
      <c r="K809">
        <v>84</v>
      </c>
      <c r="L809">
        <f>IF(L88="","",L87)</f>
        <v>0</v>
      </c>
      <c r="M809">
        <v>84</v>
      </c>
      <c r="N809">
        <f>N87</f>
        <v>0</v>
      </c>
    </row>
    <row r="810" spans="5:14">
      <c r="E810">
        <v>85</v>
      </c>
      <c r="F810">
        <f>IF(F89="","",F88)</f>
        <v>0</v>
      </c>
      <c r="G810">
        <v>85</v>
      </c>
      <c r="H810">
        <f>H88</f>
        <v>0</v>
      </c>
      <c r="K810">
        <v>85</v>
      </c>
      <c r="L810">
        <f>IF(L89="","",L88)</f>
        <v>0</v>
      </c>
      <c r="M810">
        <v>85</v>
      </c>
      <c r="N810">
        <f>N88</f>
        <v>0</v>
      </c>
    </row>
    <row r="811" spans="5:14">
      <c r="E811">
        <v>86</v>
      </c>
      <c r="F811">
        <f>IF(F90="","",F89)</f>
        <v>0</v>
      </c>
      <c r="G811">
        <v>86</v>
      </c>
      <c r="H811">
        <f>H89</f>
        <v>0</v>
      </c>
      <c r="K811">
        <v>86</v>
      </c>
      <c r="L811">
        <f>IF(L90="","",L89)</f>
        <v>0</v>
      </c>
      <c r="M811">
        <v>86</v>
      </c>
      <c r="N811">
        <f>N89</f>
        <v>0</v>
      </c>
    </row>
    <row r="812" spans="5:14">
      <c r="E812">
        <v>87</v>
      </c>
      <c r="F812">
        <f>IF(F91="","",F90)</f>
        <v>0</v>
      </c>
      <c r="G812">
        <v>87</v>
      </c>
      <c r="H812">
        <f>H90</f>
        <v>0</v>
      </c>
      <c r="K812">
        <v>87</v>
      </c>
      <c r="L812">
        <f>IF(L91="","",L90)</f>
        <v>0</v>
      </c>
      <c r="M812">
        <v>87</v>
      </c>
      <c r="N812">
        <f>N90</f>
        <v>0</v>
      </c>
    </row>
    <row r="813" spans="5:14">
      <c r="E813">
        <v>88</v>
      </c>
      <c r="F813">
        <f>IF(F92="","",F91)</f>
        <v>0</v>
      </c>
      <c r="G813">
        <v>88</v>
      </c>
      <c r="H813">
        <f>H91</f>
        <v>0</v>
      </c>
      <c r="K813">
        <v>88</v>
      </c>
      <c r="L813">
        <f>IF(L92="","",L91)</f>
        <v>0</v>
      </c>
      <c r="M813">
        <v>88</v>
      </c>
      <c r="N813">
        <f>N91</f>
        <v>0</v>
      </c>
    </row>
    <row r="814" spans="5:14">
      <c r="E814">
        <v>89</v>
      </c>
      <c r="F814">
        <f>IF(F93="","",F92)</f>
        <v>0</v>
      </c>
      <c r="G814">
        <v>89</v>
      </c>
      <c r="H814">
        <f>H92</f>
        <v>0</v>
      </c>
      <c r="K814">
        <v>89</v>
      </c>
      <c r="L814">
        <f>IF(L93="","",L92)</f>
        <v>0</v>
      </c>
      <c r="M814">
        <v>89</v>
      </c>
      <c r="N814">
        <f>N92</f>
        <v>0</v>
      </c>
    </row>
    <row r="815" spans="5:14">
      <c r="E815">
        <v>90</v>
      </c>
      <c r="F815">
        <f>IF(F94="","",F93)</f>
        <v>0</v>
      </c>
      <c r="G815">
        <v>90</v>
      </c>
      <c r="H815">
        <f>H93</f>
        <v>0</v>
      </c>
      <c r="K815">
        <v>90</v>
      </c>
      <c r="L815">
        <f>IF(L94="","",L93)</f>
        <v>0</v>
      </c>
      <c r="M815">
        <v>90</v>
      </c>
      <c r="N815">
        <f>N93</f>
        <v>0</v>
      </c>
    </row>
    <row r="816" spans="5:14">
      <c r="E816">
        <v>91</v>
      </c>
      <c r="F816">
        <f>IF(F95="","",F94)</f>
        <v>0</v>
      </c>
      <c r="G816">
        <v>91</v>
      </c>
      <c r="H816">
        <f>H94</f>
        <v>0</v>
      </c>
      <c r="K816">
        <v>91</v>
      </c>
      <c r="L816">
        <f>IF(L95="","",L94)</f>
        <v>0</v>
      </c>
      <c r="M816">
        <v>91</v>
      </c>
      <c r="N816">
        <f>N94</f>
        <v>0</v>
      </c>
    </row>
    <row r="817" spans="5:14">
      <c r="E817">
        <v>92</v>
      </c>
      <c r="F817">
        <f>IF(F96="","",F95)</f>
        <v>0</v>
      </c>
      <c r="G817">
        <v>92</v>
      </c>
      <c r="H817">
        <f>H95</f>
        <v>0</v>
      </c>
      <c r="K817">
        <v>92</v>
      </c>
      <c r="L817">
        <f>IF(L96="","",L95)</f>
        <v>0</v>
      </c>
      <c r="M817">
        <v>92</v>
      </c>
      <c r="N817">
        <f>N95</f>
        <v>0</v>
      </c>
    </row>
    <row r="818" spans="5:14">
      <c r="E818">
        <v>93</v>
      </c>
      <c r="F818">
        <f>IF(F97="","",F96)</f>
        <v>0</v>
      </c>
      <c r="G818">
        <v>93</v>
      </c>
      <c r="H818">
        <f>H96</f>
        <v>0</v>
      </c>
      <c r="K818">
        <v>93</v>
      </c>
      <c r="L818">
        <f>IF(L97="","",L96)</f>
        <v>0</v>
      </c>
      <c r="M818">
        <v>93</v>
      </c>
      <c r="N818">
        <f>N96</f>
        <v>0</v>
      </c>
    </row>
    <row r="819" spans="5:14">
      <c r="E819">
        <v>94</v>
      </c>
      <c r="F819">
        <f>IF(F98="","",F97)</f>
        <v>0</v>
      </c>
      <c r="G819">
        <v>94</v>
      </c>
      <c r="H819">
        <f>H97</f>
        <v>0</v>
      </c>
      <c r="K819">
        <v>94</v>
      </c>
      <c r="L819">
        <f>IF(L98="","",L97)</f>
        <v>0</v>
      </c>
      <c r="M819">
        <v>94</v>
      </c>
      <c r="N819">
        <f>N97</f>
        <v>0</v>
      </c>
    </row>
    <row r="820" spans="5:14">
      <c r="E820">
        <v>95</v>
      </c>
      <c r="F820">
        <f>IF(F99="","",F98)</f>
        <v>0</v>
      </c>
      <c r="G820">
        <v>95</v>
      </c>
      <c r="H820">
        <f>H98</f>
        <v>0</v>
      </c>
      <c r="K820">
        <v>95</v>
      </c>
      <c r="L820">
        <f>IF(L99="","",L98)</f>
        <v>0</v>
      </c>
      <c r="M820">
        <v>95</v>
      </c>
      <c r="N820">
        <f>N98</f>
        <v>0</v>
      </c>
    </row>
    <row r="821" spans="5:14">
      <c r="E821">
        <v>96</v>
      </c>
      <c r="F821">
        <f>IF(F100="","",F99)</f>
        <v>0</v>
      </c>
      <c r="G821">
        <v>96</v>
      </c>
      <c r="H821">
        <f>H99</f>
        <v>0</v>
      </c>
      <c r="K821">
        <v>96</v>
      </c>
      <c r="L821">
        <f>IF(L100="","",L99)</f>
        <v>0</v>
      </c>
      <c r="M821">
        <v>96</v>
      </c>
      <c r="N821">
        <f>N99</f>
        <v>0</v>
      </c>
    </row>
    <row r="822" spans="5:14">
      <c r="E822">
        <v>97</v>
      </c>
      <c r="F822">
        <f>IF(F101="","",F100)</f>
        <v>0</v>
      </c>
      <c r="G822">
        <v>97</v>
      </c>
      <c r="H822">
        <f>H100</f>
        <v>0</v>
      </c>
      <c r="K822">
        <v>97</v>
      </c>
      <c r="L822">
        <f>IF(L101="","",L100)</f>
        <v>0</v>
      </c>
      <c r="M822">
        <v>97</v>
      </c>
      <c r="N822">
        <f>N100</f>
        <v>0</v>
      </c>
    </row>
    <row r="823" spans="5:14">
      <c r="E823">
        <v>98</v>
      </c>
      <c r="F823">
        <f>IF(F102="","",F101)</f>
        <v>0</v>
      </c>
      <c r="G823">
        <v>98</v>
      </c>
      <c r="H823">
        <f>H101</f>
        <v>0</v>
      </c>
      <c r="K823">
        <v>98</v>
      </c>
      <c r="L823">
        <f>IF(L102="","",L101)</f>
        <v>0</v>
      </c>
      <c r="M823">
        <v>98</v>
      </c>
      <c r="N823">
        <f>N101</f>
        <v>0</v>
      </c>
    </row>
    <row r="824" spans="5:14">
      <c r="E824">
        <v>99</v>
      </c>
      <c r="F824">
        <f>IF(F103="","",F102)</f>
        <v>0</v>
      </c>
      <c r="G824">
        <v>99</v>
      </c>
      <c r="H824">
        <f>H102</f>
        <v>0</v>
      </c>
      <c r="K824">
        <v>99</v>
      </c>
      <c r="L824">
        <f>IF(L103="","",L102)</f>
        <v>0</v>
      </c>
      <c r="M824">
        <v>99</v>
      </c>
      <c r="N824">
        <f>N102</f>
        <v>0</v>
      </c>
    </row>
    <row r="825" spans="5:14">
      <c r="E825">
        <v>100</v>
      </c>
      <c r="F825">
        <f>IF(F104="","",F103)</f>
        <v>0</v>
      </c>
      <c r="G825">
        <v>100</v>
      </c>
      <c r="H825">
        <f>H103</f>
        <v>0</v>
      </c>
      <c r="K825">
        <v>100</v>
      </c>
      <c r="L825">
        <f>IF(L104="","",L103)</f>
        <v>0</v>
      </c>
      <c r="M825">
        <v>100</v>
      </c>
      <c r="N825">
        <f>N103</f>
        <v>0</v>
      </c>
    </row>
    <row r="826" spans="5:14">
      <c r="E826">
        <v>101</v>
      </c>
      <c r="F826">
        <f>IF(F105="","",F104)</f>
        <v>0</v>
      </c>
      <c r="G826">
        <v>101</v>
      </c>
      <c r="H826">
        <f>H104</f>
        <v>0</v>
      </c>
      <c r="K826">
        <v>101</v>
      </c>
      <c r="L826">
        <f>IF(L105="","",L104)</f>
        <v>0</v>
      </c>
      <c r="M826">
        <v>101</v>
      </c>
      <c r="N826">
        <f>N104</f>
        <v>0</v>
      </c>
    </row>
    <row r="827" spans="5:14">
      <c r="E827">
        <v>102</v>
      </c>
      <c r="F827">
        <f>IF(F106="","",F105)</f>
        <v>0</v>
      </c>
      <c r="G827">
        <v>102</v>
      </c>
      <c r="H827">
        <f>H105</f>
        <v>0</v>
      </c>
      <c r="K827">
        <v>102</v>
      </c>
      <c r="L827">
        <f>IF(L106="","",L105)</f>
        <v>0</v>
      </c>
      <c r="M827">
        <v>102</v>
      </c>
      <c r="N827">
        <f>N105</f>
        <v>0</v>
      </c>
    </row>
    <row r="828" spans="5:14">
      <c r="E828">
        <v>103</v>
      </c>
      <c r="F828">
        <f>IF(F107="","",F106)</f>
        <v>0</v>
      </c>
      <c r="G828">
        <v>103</v>
      </c>
      <c r="H828">
        <f>H106</f>
        <v>0</v>
      </c>
      <c r="K828">
        <v>103</v>
      </c>
      <c r="L828">
        <f>IF(L107="","",L106)</f>
        <v>0</v>
      </c>
      <c r="M828">
        <v>103</v>
      </c>
      <c r="N828">
        <f>N106</f>
        <v>0</v>
      </c>
    </row>
    <row r="829" spans="5:14">
      <c r="E829">
        <v>104</v>
      </c>
      <c r="F829">
        <f>IF(F108="","",F107)</f>
        <v>0</v>
      </c>
      <c r="G829">
        <v>104</v>
      </c>
      <c r="H829">
        <f>H107</f>
        <v>0</v>
      </c>
      <c r="K829">
        <v>104</v>
      </c>
      <c r="L829">
        <f>IF(L108="","",L107)</f>
        <v>0</v>
      </c>
      <c r="M829">
        <v>104</v>
      </c>
      <c r="N829">
        <f>N107</f>
        <v>0</v>
      </c>
    </row>
    <row r="830" spans="5:14">
      <c r="E830">
        <v>105</v>
      </c>
      <c r="F830">
        <f>IF(F109="","",F108)</f>
        <v>0</v>
      </c>
      <c r="G830">
        <v>105</v>
      </c>
      <c r="H830">
        <f>H108</f>
        <v>0</v>
      </c>
      <c r="K830">
        <v>105</v>
      </c>
      <c r="L830">
        <f>IF(L109="","",L108)</f>
        <v>0</v>
      </c>
      <c r="M830">
        <v>105</v>
      </c>
      <c r="N830">
        <f>N108</f>
        <v>0</v>
      </c>
    </row>
    <row r="831" spans="5:14">
      <c r="E831">
        <v>106</v>
      </c>
      <c r="F831">
        <f>IF(F110="","",F109)</f>
        <v>0</v>
      </c>
      <c r="G831">
        <v>106</v>
      </c>
      <c r="H831">
        <f>H109</f>
        <v>0</v>
      </c>
      <c r="K831">
        <v>106</v>
      </c>
      <c r="L831">
        <f>IF(L110="","",L109)</f>
        <v>0</v>
      </c>
      <c r="M831">
        <v>106</v>
      </c>
      <c r="N831">
        <f>N109</f>
        <v>0</v>
      </c>
    </row>
    <row r="832" spans="5:14">
      <c r="E832">
        <v>107</v>
      </c>
      <c r="F832">
        <f>IF(F111="","",F110)</f>
        <v>0</v>
      </c>
      <c r="G832">
        <v>107</v>
      </c>
      <c r="H832">
        <f>H110</f>
        <v>0</v>
      </c>
      <c r="K832">
        <v>107</v>
      </c>
      <c r="L832">
        <f>IF(L111="","",L110)</f>
        <v>0</v>
      </c>
      <c r="M832">
        <v>107</v>
      </c>
      <c r="N832">
        <f>N110</f>
        <v>0</v>
      </c>
    </row>
    <row r="833" spans="5:14">
      <c r="E833">
        <v>108</v>
      </c>
      <c r="F833">
        <f>IF(F112="","",F111)</f>
        <v>0</v>
      </c>
      <c r="G833">
        <v>108</v>
      </c>
      <c r="H833">
        <f>H111</f>
        <v>0</v>
      </c>
      <c r="K833">
        <v>108</v>
      </c>
      <c r="L833">
        <f>IF(L112="","",L111)</f>
        <v>0</v>
      </c>
      <c r="M833">
        <v>108</v>
      </c>
      <c r="N833">
        <f>N111</f>
        <v>0</v>
      </c>
    </row>
    <row r="834" spans="5:14">
      <c r="E834">
        <v>109</v>
      </c>
      <c r="F834">
        <f>IF(F113="","",F112)</f>
        <v>0</v>
      </c>
      <c r="G834">
        <v>109</v>
      </c>
      <c r="H834">
        <f>H112</f>
        <v>0</v>
      </c>
      <c r="K834">
        <v>109</v>
      </c>
      <c r="L834">
        <f>IF(L113="","",L112)</f>
        <v>0</v>
      </c>
      <c r="M834">
        <v>109</v>
      </c>
      <c r="N834">
        <f>N112</f>
        <v>0</v>
      </c>
    </row>
    <row r="835" spans="5:14">
      <c r="E835">
        <v>110</v>
      </c>
      <c r="F835">
        <f>IF(F114="","",F113)</f>
        <v>0</v>
      </c>
      <c r="G835">
        <v>110</v>
      </c>
      <c r="H835">
        <f>H113</f>
        <v>0</v>
      </c>
      <c r="K835">
        <v>110</v>
      </c>
      <c r="L835">
        <f>IF(L114="","",L113)</f>
        <v>0</v>
      </c>
      <c r="M835">
        <v>110</v>
      </c>
      <c r="N835">
        <f>N113</f>
        <v>0</v>
      </c>
    </row>
    <row r="836" spans="5:14">
      <c r="E836">
        <v>111</v>
      </c>
      <c r="F836">
        <f>IF(F115="","",F114)</f>
        <v>0</v>
      </c>
      <c r="G836">
        <v>111</v>
      </c>
      <c r="H836">
        <f>H114</f>
        <v>0</v>
      </c>
      <c r="K836">
        <v>111</v>
      </c>
      <c r="L836">
        <f>IF(L115="","",L114)</f>
        <v>0</v>
      </c>
      <c r="M836">
        <v>111</v>
      </c>
      <c r="N836">
        <f>N114</f>
        <v>0</v>
      </c>
    </row>
    <row r="837" spans="5:14">
      <c r="E837">
        <v>112</v>
      </c>
      <c r="F837">
        <f>IF(F116="","",F115)</f>
        <v>0</v>
      </c>
      <c r="G837">
        <v>112</v>
      </c>
      <c r="H837">
        <f>H115</f>
        <v>0</v>
      </c>
      <c r="K837">
        <v>112</v>
      </c>
      <c r="L837">
        <f>IF(L116="","",L115)</f>
        <v>0</v>
      </c>
      <c r="M837">
        <v>112</v>
      </c>
      <c r="N837">
        <f>N115</f>
        <v>0</v>
      </c>
    </row>
    <row r="838" spans="5:14">
      <c r="E838">
        <v>113</v>
      </c>
      <c r="F838">
        <f>IF(F117="","",F116)</f>
        <v>0</v>
      </c>
      <c r="G838">
        <v>113</v>
      </c>
      <c r="H838">
        <f>H116</f>
        <v>0</v>
      </c>
      <c r="K838">
        <v>113</v>
      </c>
      <c r="L838">
        <f>IF(L117="","",L116)</f>
        <v>0</v>
      </c>
      <c r="M838">
        <v>113</v>
      </c>
      <c r="N838">
        <f>N116</f>
        <v>0</v>
      </c>
    </row>
    <row r="839" spans="5:14">
      <c r="E839">
        <v>114</v>
      </c>
      <c r="F839">
        <f>IF(F118="","",F117)</f>
        <v>0</v>
      </c>
      <c r="G839">
        <v>114</v>
      </c>
      <c r="H839">
        <f>H117</f>
        <v>0</v>
      </c>
      <c r="K839">
        <v>114</v>
      </c>
      <c r="L839">
        <f>IF(L118="","",L117)</f>
        <v>0</v>
      </c>
      <c r="M839">
        <v>114</v>
      </c>
      <c r="N839">
        <f>N117</f>
        <v>0</v>
      </c>
    </row>
    <row r="840" spans="5:14">
      <c r="E840">
        <v>115</v>
      </c>
      <c r="F840">
        <f>IF(F119="","",F118)</f>
        <v>0</v>
      </c>
      <c r="G840">
        <v>115</v>
      </c>
      <c r="H840">
        <f>H118</f>
        <v>0</v>
      </c>
      <c r="K840">
        <v>115</v>
      </c>
      <c r="L840">
        <f>IF(L119="","",L118)</f>
        <v>0</v>
      </c>
      <c r="M840">
        <v>115</v>
      </c>
      <c r="N840">
        <f>N118</f>
        <v>0</v>
      </c>
    </row>
    <row r="841" spans="5:14">
      <c r="E841">
        <v>116</v>
      </c>
      <c r="F841">
        <f>IF(F120="","",F119)</f>
        <v>0</v>
      </c>
      <c r="G841">
        <v>116</v>
      </c>
      <c r="H841">
        <f>H119</f>
        <v>0</v>
      </c>
      <c r="K841">
        <v>116</v>
      </c>
      <c r="L841">
        <f>IF(L120="","",L119)</f>
        <v>0</v>
      </c>
      <c r="M841">
        <v>116</v>
      </c>
      <c r="N841">
        <f>N119</f>
        <v>0</v>
      </c>
    </row>
    <row r="842" spans="5:14">
      <c r="E842">
        <v>117</v>
      </c>
      <c r="F842">
        <f>IF(F121="","",F120)</f>
        <v>0</v>
      </c>
      <c r="G842">
        <v>117</v>
      </c>
      <c r="H842">
        <f>H120</f>
        <v>0</v>
      </c>
      <c r="K842">
        <v>117</v>
      </c>
      <c r="L842">
        <f>IF(L121="","",L120)</f>
        <v>0</v>
      </c>
      <c r="M842">
        <v>117</v>
      </c>
      <c r="N842">
        <f>N120</f>
        <v>0</v>
      </c>
    </row>
    <row r="843" spans="5:14">
      <c r="E843">
        <v>118</v>
      </c>
      <c r="F843">
        <f>IF(F122="","",F121)</f>
        <v>0</v>
      </c>
      <c r="G843">
        <v>118</v>
      </c>
      <c r="H843">
        <f>H121</f>
        <v>0</v>
      </c>
      <c r="K843">
        <v>118</v>
      </c>
      <c r="L843">
        <f>IF(L122="","",L121)</f>
        <v>0</v>
      </c>
      <c r="M843">
        <v>118</v>
      </c>
      <c r="N843">
        <f>N121</f>
        <v>0</v>
      </c>
    </row>
    <row r="844" spans="5:14">
      <c r="E844">
        <v>119</v>
      </c>
      <c r="F844">
        <f>IF(F123="","",F122)</f>
        <v>0</v>
      </c>
      <c r="G844">
        <v>119</v>
      </c>
      <c r="H844">
        <f>H122</f>
        <v>0</v>
      </c>
      <c r="K844">
        <v>119</v>
      </c>
      <c r="L844">
        <f>IF(L123="","",L122)</f>
        <v>0</v>
      </c>
      <c r="M844">
        <v>119</v>
      </c>
      <c r="N844">
        <f>N122</f>
        <v>0</v>
      </c>
    </row>
    <row r="845" spans="5:14">
      <c r="E845">
        <v>120</v>
      </c>
      <c r="F845">
        <f>IF(F124="","",F123)</f>
        <v>0</v>
      </c>
      <c r="G845">
        <v>120</v>
      </c>
      <c r="H845">
        <f>H123</f>
        <v>0</v>
      </c>
      <c r="K845">
        <v>120</v>
      </c>
      <c r="L845">
        <f>IF(L124="","",L123)</f>
        <v>0</v>
      </c>
      <c r="M845">
        <v>120</v>
      </c>
      <c r="N845">
        <f>N123</f>
        <v>0</v>
      </c>
    </row>
    <row r="846" spans="5:14">
      <c r="E846">
        <v>121</v>
      </c>
      <c r="F846">
        <f>IF(F125="","",F124)</f>
        <v>0</v>
      </c>
      <c r="G846">
        <v>121</v>
      </c>
      <c r="H846">
        <f>H124</f>
        <v>0</v>
      </c>
      <c r="K846">
        <v>121</v>
      </c>
      <c r="L846">
        <f>IF(L125="","",L124)</f>
        <v>0</v>
      </c>
      <c r="M846">
        <v>121</v>
      </c>
      <c r="N846">
        <f>N124</f>
        <v>0</v>
      </c>
    </row>
    <row r="847" spans="5:14">
      <c r="E847">
        <v>122</v>
      </c>
      <c r="F847">
        <f>IF(F126="","",F125)</f>
        <v>0</v>
      </c>
      <c r="G847">
        <v>122</v>
      </c>
      <c r="H847">
        <f>H125</f>
        <v>0</v>
      </c>
      <c r="K847">
        <v>122</v>
      </c>
      <c r="L847">
        <f>IF(L126="","",L125)</f>
        <v>0</v>
      </c>
      <c r="M847">
        <v>122</v>
      </c>
      <c r="N847">
        <f>N125</f>
        <v>0</v>
      </c>
    </row>
    <row r="848" spans="5:14">
      <c r="E848">
        <v>123</v>
      </c>
      <c r="F848">
        <f>IF(F127="","",F126)</f>
        <v>0</v>
      </c>
      <c r="G848">
        <v>123</v>
      </c>
      <c r="H848">
        <f>H126</f>
        <v>0</v>
      </c>
      <c r="K848">
        <v>123</v>
      </c>
      <c r="L848">
        <f>IF(L127="","",L126)</f>
        <v>0</v>
      </c>
      <c r="M848">
        <v>123</v>
      </c>
      <c r="N848">
        <f>N126</f>
        <v>0</v>
      </c>
    </row>
    <row r="849" spans="5:14">
      <c r="E849">
        <v>124</v>
      </c>
      <c r="F849">
        <f>IF(F128="","",F127)</f>
        <v>0</v>
      </c>
      <c r="G849">
        <v>124</v>
      </c>
      <c r="H849">
        <f>H127</f>
        <v>0</v>
      </c>
      <c r="K849">
        <v>124</v>
      </c>
      <c r="L849">
        <f>IF(L128="","",L127)</f>
        <v>0</v>
      </c>
      <c r="M849">
        <v>124</v>
      </c>
      <c r="N849">
        <f>N127</f>
        <v>0</v>
      </c>
    </row>
    <row r="850" spans="5:14">
      <c r="E850">
        <v>125</v>
      </c>
      <c r="F850">
        <f>IF(F129="","",F128)</f>
        <v>0</v>
      </c>
      <c r="G850">
        <v>125</v>
      </c>
      <c r="H850">
        <f>H128</f>
        <v>0</v>
      </c>
      <c r="K850">
        <v>125</v>
      </c>
      <c r="L850">
        <f>IF(L129="","",L128)</f>
        <v>0</v>
      </c>
      <c r="M850">
        <v>125</v>
      </c>
      <c r="N850">
        <f>N128</f>
        <v>0</v>
      </c>
    </row>
    <row r="851" spans="5:14">
      <c r="E851">
        <v>126</v>
      </c>
      <c r="F851">
        <f>IF(F130="","",F129)</f>
        <v>0</v>
      </c>
      <c r="G851">
        <v>126</v>
      </c>
      <c r="H851">
        <f>H129</f>
        <v>0</v>
      </c>
      <c r="K851">
        <v>126</v>
      </c>
      <c r="L851">
        <f>IF(L130="","",L129)</f>
        <v>0</v>
      </c>
      <c r="M851">
        <v>126</v>
      </c>
      <c r="N851">
        <f>N129</f>
        <v>0</v>
      </c>
    </row>
    <row r="852" spans="5:14">
      <c r="E852">
        <v>127</v>
      </c>
      <c r="F852">
        <f>IF(F131="","",F130)</f>
        <v>0</v>
      </c>
      <c r="G852">
        <v>127</v>
      </c>
      <c r="H852">
        <f>H130</f>
        <v>0</v>
      </c>
      <c r="K852">
        <v>127</v>
      </c>
      <c r="L852">
        <f>IF(L131="","",L130)</f>
        <v>0</v>
      </c>
      <c r="M852">
        <v>127</v>
      </c>
      <c r="N852">
        <f>N130</f>
        <v>0</v>
      </c>
    </row>
    <row r="853" spans="5:14">
      <c r="E853">
        <v>128</v>
      </c>
      <c r="F853">
        <f>IF(F132="","",F131)</f>
        <v>0</v>
      </c>
      <c r="G853">
        <v>128</v>
      </c>
      <c r="H853">
        <f>H131</f>
        <v>0</v>
      </c>
      <c r="K853">
        <v>128</v>
      </c>
      <c r="L853">
        <f>IF(L132="","",L131)</f>
        <v>0</v>
      </c>
      <c r="M853">
        <v>128</v>
      </c>
      <c r="N853">
        <f>N131</f>
        <v>0</v>
      </c>
    </row>
    <row r="854" spans="5:14">
      <c r="E854">
        <v>129</v>
      </c>
      <c r="F854">
        <f>IF(F133="","",F132)</f>
        <v>0</v>
      </c>
      <c r="G854">
        <v>129</v>
      </c>
      <c r="H854">
        <f>H132</f>
        <v>0</v>
      </c>
      <c r="K854">
        <v>129</v>
      </c>
      <c r="L854">
        <f>IF(L133="","",L132)</f>
        <v>0</v>
      </c>
      <c r="M854">
        <v>129</v>
      </c>
      <c r="N854">
        <f>N132</f>
        <v>0</v>
      </c>
    </row>
    <row r="855" spans="5:14">
      <c r="E855">
        <v>130</v>
      </c>
      <c r="F855">
        <f>IF(F134="","",F133)</f>
        <v>0</v>
      </c>
      <c r="G855">
        <v>130</v>
      </c>
      <c r="H855">
        <f>H133</f>
        <v>0</v>
      </c>
      <c r="K855">
        <v>130</v>
      </c>
      <c r="L855">
        <f>IF(L134="","",L133)</f>
        <v>0</v>
      </c>
      <c r="M855">
        <v>130</v>
      </c>
      <c r="N855">
        <f>N133</f>
        <v>0</v>
      </c>
    </row>
    <row r="856" spans="5:14">
      <c r="E856">
        <v>131</v>
      </c>
      <c r="F856">
        <f>IF(F135="","",F134)</f>
        <v>0</v>
      </c>
      <c r="G856">
        <v>131</v>
      </c>
      <c r="H856">
        <f>H134</f>
        <v>0</v>
      </c>
      <c r="K856">
        <v>131</v>
      </c>
      <c r="L856">
        <f>IF(L135="","",L134)</f>
        <v>0</v>
      </c>
      <c r="M856">
        <v>131</v>
      </c>
      <c r="N856">
        <f>N134</f>
        <v>0</v>
      </c>
    </row>
    <row r="857" spans="5:14">
      <c r="E857">
        <v>132</v>
      </c>
      <c r="F857">
        <f>IF(F136="","",F135)</f>
        <v>0</v>
      </c>
      <c r="G857">
        <v>132</v>
      </c>
      <c r="H857">
        <f>H135</f>
        <v>0</v>
      </c>
      <c r="K857">
        <v>132</v>
      </c>
      <c r="L857">
        <f>IF(L136="","",L135)</f>
        <v>0</v>
      </c>
      <c r="M857">
        <v>132</v>
      </c>
      <c r="N857">
        <f>N135</f>
        <v>0</v>
      </c>
    </row>
    <row r="858" spans="5:14">
      <c r="E858">
        <v>133</v>
      </c>
      <c r="F858">
        <f>IF(F137="","",F136)</f>
        <v>0</v>
      </c>
      <c r="G858">
        <v>133</v>
      </c>
      <c r="H858">
        <f>H136</f>
        <v>0</v>
      </c>
      <c r="K858">
        <v>133</v>
      </c>
      <c r="L858">
        <f>IF(L137="","",L136)</f>
        <v>0</v>
      </c>
      <c r="M858">
        <v>133</v>
      </c>
      <c r="N858">
        <f>N136</f>
        <v>0</v>
      </c>
    </row>
    <row r="859" spans="5:14">
      <c r="E859">
        <v>134</v>
      </c>
      <c r="F859">
        <f>IF(F138="","",F137)</f>
        <v>0</v>
      </c>
      <c r="G859">
        <v>134</v>
      </c>
      <c r="H859">
        <f>H137</f>
        <v>0</v>
      </c>
      <c r="K859">
        <v>134</v>
      </c>
      <c r="L859">
        <f>IF(L138="","",L137)</f>
        <v>0</v>
      </c>
      <c r="M859">
        <v>134</v>
      </c>
      <c r="N859">
        <f>N137</f>
        <v>0</v>
      </c>
    </row>
    <row r="860" spans="5:14">
      <c r="E860">
        <v>135</v>
      </c>
      <c r="F860">
        <f>IF(F139="","",F138)</f>
        <v>0</v>
      </c>
      <c r="G860">
        <v>135</v>
      </c>
      <c r="H860">
        <f>H138</f>
        <v>0</v>
      </c>
      <c r="K860">
        <v>135</v>
      </c>
      <c r="L860">
        <f>IF(L139="","",L138)</f>
        <v>0</v>
      </c>
      <c r="M860">
        <v>135</v>
      </c>
      <c r="N860">
        <f>N138</f>
        <v>0</v>
      </c>
    </row>
    <row r="861" spans="5:14">
      <c r="E861">
        <v>136</v>
      </c>
      <c r="F861">
        <f>IF(F140="","",F139)</f>
        <v>0</v>
      </c>
      <c r="G861">
        <v>136</v>
      </c>
      <c r="H861">
        <f>H139</f>
        <v>0</v>
      </c>
      <c r="K861">
        <v>136</v>
      </c>
      <c r="L861">
        <f>IF(L140="","",L139)</f>
        <v>0</v>
      </c>
      <c r="M861">
        <v>136</v>
      </c>
      <c r="N861">
        <f>N139</f>
        <v>0</v>
      </c>
    </row>
    <row r="862" spans="5:14">
      <c r="E862">
        <v>137</v>
      </c>
      <c r="F862">
        <f>IF(F141="","",F140)</f>
        <v>0</v>
      </c>
      <c r="G862">
        <v>137</v>
      </c>
      <c r="H862">
        <f>H140</f>
        <v>0</v>
      </c>
      <c r="K862">
        <v>137</v>
      </c>
      <c r="L862">
        <f>IF(L141="","",L140)</f>
        <v>0</v>
      </c>
      <c r="M862">
        <v>137</v>
      </c>
      <c r="N862">
        <f>N140</f>
        <v>0</v>
      </c>
    </row>
    <row r="863" spans="5:14">
      <c r="E863">
        <v>138</v>
      </c>
      <c r="F863">
        <f>IF(F142="","",F141)</f>
        <v>0</v>
      </c>
      <c r="G863">
        <v>138</v>
      </c>
      <c r="H863">
        <f>H141</f>
        <v>0</v>
      </c>
      <c r="K863">
        <v>138</v>
      </c>
      <c r="L863">
        <f>IF(L142="","",L141)</f>
        <v>0</v>
      </c>
      <c r="M863">
        <v>138</v>
      </c>
      <c r="N863">
        <f>N141</f>
        <v>0</v>
      </c>
    </row>
    <row r="864" spans="5:14">
      <c r="E864">
        <v>139</v>
      </c>
      <c r="F864">
        <f>IF(F143="","",F142)</f>
        <v>0</v>
      </c>
      <c r="G864">
        <v>139</v>
      </c>
      <c r="H864">
        <f>H142</f>
        <v>0</v>
      </c>
      <c r="K864">
        <v>139</v>
      </c>
      <c r="L864">
        <f>IF(L143="","",L142)</f>
        <v>0</v>
      </c>
      <c r="M864">
        <v>139</v>
      </c>
      <c r="N864">
        <f>N142</f>
        <v>0</v>
      </c>
    </row>
    <row r="865" spans="5:14">
      <c r="E865">
        <v>140</v>
      </c>
      <c r="F865">
        <f>IF(F144="","",F143)</f>
        <v>0</v>
      </c>
      <c r="G865">
        <v>140</v>
      </c>
      <c r="H865">
        <f>H143</f>
        <v>0</v>
      </c>
      <c r="K865">
        <v>140</v>
      </c>
      <c r="L865">
        <f>IF(L144="","",L143)</f>
        <v>0</v>
      </c>
      <c r="M865">
        <v>140</v>
      </c>
      <c r="N865">
        <f>N143</f>
        <v>0</v>
      </c>
    </row>
    <row r="866" spans="5:14">
      <c r="E866">
        <v>141</v>
      </c>
      <c r="F866">
        <f>IF(F145="","",F144)</f>
        <v>0</v>
      </c>
      <c r="G866">
        <v>141</v>
      </c>
      <c r="H866">
        <f>H144</f>
        <v>0</v>
      </c>
      <c r="K866">
        <v>141</v>
      </c>
      <c r="L866">
        <f>IF(L145="","",L144)</f>
        <v>0</v>
      </c>
      <c r="M866">
        <v>141</v>
      </c>
      <c r="N866">
        <f>N144</f>
        <v>0</v>
      </c>
    </row>
    <row r="867" spans="5:14">
      <c r="E867">
        <v>142</v>
      </c>
      <c r="F867">
        <f>IF(F146="","",F145)</f>
        <v>0</v>
      </c>
      <c r="G867">
        <v>142</v>
      </c>
      <c r="H867">
        <f>H145</f>
        <v>0</v>
      </c>
      <c r="K867">
        <v>142</v>
      </c>
      <c r="L867">
        <f>IF(L146="","",L145)</f>
        <v>0</v>
      </c>
      <c r="M867">
        <v>142</v>
      </c>
      <c r="N867">
        <f>N145</f>
        <v>0</v>
      </c>
    </row>
    <row r="868" spans="5:14">
      <c r="E868">
        <v>143</v>
      </c>
      <c r="F868">
        <f>IF(F147="","",F146)</f>
        <v>0</v>
      </c>
      <c r="G868">
        <v>143</v>
      </c>
      <c r="H868">
        <f>H146</f>
        <v>0</v>
      </c>
      <c r="K868">
        <v>143</v>
      </c>
      <c r="L868">
        <f>IF(L147="","",L146)</f>
        <v>0</v>
      </c>
      <c r="M868">
        <v>143</v>
      </c>
      <c r="N868">
        <f>N146</f>
        <v>0</v>
      </c>
    </row>
    <row r="869" spans="5:14">
      <c r="E869">
        <v>144</v>
      </c>
      <c r="F869">
        <f>IF(F148="","",F147)</f>
        <v>0</v>
      </c>
      <c r="G869">
        <v>144</v>
      </c>
      <c r="H869">
        <f>H147</f>
        <v>0</v>
      </c>
      <c r="K869">
        <v>144</v>
      </c>
      <c r="L869">
        <f>IF(L148="","",L147)</f>
        <v>0</v>
      </c>
      <c r="M869">
        <v>144</v>
      </c>
      <c r="N869">
        <f>N147</f>
        <v>0</v>
      </c>
    </row>
    <row r="870" spans="5:14">
      <c r="E870">
        <v>145</v>
      </c>
      <c r="F870">
        <f>IF(F149="","",F148)</f>
        <v>0</v>
      </c>
      <c r="G870">
        <v>145</v>
      </c>
      <c r="H870">
        <f>H148</f>
        <v>0</v>
      </c>
      <c r="K870">
        <v>145</v>
      </c>
      <c r="L870">
        <f>IF(L149="","",L148)</f>
        <v>0</v>
      </c>
      <c r="M870">
        <v>145</v>
      </c>
      <c r="N870">
        <f>N148</f>
        <v>0</v>
      </c>
    </row>
    <row r="871" spans="5:14">
      <c r="E871">
        <v>146</v>
      </c>
      <c r="F871">
        <f>IF(F150="","",F149)</f>
        <v>0</v>
      </c>
      <c r="G871">
        <v>146</v>
      </c>
      <c r="H871">
        <f>H149</f>
        <v>0</v>
      </c>
      <c r="K871">
        <v>146</v>
      </c>
      <c r="L871">
        <f>IF(L150="","",L149)</f>
        <v>0</v>
      </c>
      <c r="M871">
        <v>146</v>
      </c>
      <c r="N871">
        <f>N149</f>
        <v>0</v>
      </c>
    </row>
    <row r="872" spans="5:14">
      <c r="E872">
        <v>147</v>
      </c>
      <c r="F872">
        <f>IF(F151="","",F150)</f>
        <v>0</v>
      </c>
      <c r="G872">
        <v>147</v>
      </c>
      <c r="H872">
        <f>H150</f>
        <v>0</v>
      </c>
      <c r="K872">
        <v>147</v>
      </c>
      <c r="L872">
        <f>IF(L151="","",L150)</f>
        <v>0</v>
      </c>
      <c r="M872">
        <v>147</v>
      </c>
      <c r="N872">
        <f>N150</f>
        <v>0</v>
      </c>
    </row>
    <row r="873" spans="5:14">
      <c r="E873">
        <v>148</v>
      </c>
      <c r="F873">
        <f>IF(F152="","",F151)</f>
        <v>0</v>
      </c>
      <c r="G873">
        <v>148</v>
      </c>
      <c r="H873">
        <f>H151</f>
        <v>0</v>
      </c>
      <c r="K873">
        <v>148</v>
      </c>
      <c r="L873">
        <f>IF(L152="","",L151)</f>
        <v>0</v>
      </c>
      <c r="M873">
        <v>148</v>
      </c>
      <c r="N873">
        <f>N151</f>
        <v>0</v>
      </c>
    </row>
    <row r="874" spans="5:14">
      <c r="E874">
        <v>149</v>
      </c>
      <c r="F874">
        <f>IF(F153="","",F152)</f>
        <v>0</v>
      </c>
      <c r="G874">
        <v>149</v>
      </c>
      <c r="H874">
        <f>H152</f>
        <v>0</v>
      </c>
      <c r="K874">
        <v>149</v>
      </c>
      <c r="L874">
        <f>IF(L153="","",L152)</f>
        <v>0</v>
      </c>
      <c r="M874">
        <v>149</v>
      </c>
      <c r="N874">
        <f>N152</f>
        <v>0</v>
      </c>
    </row>
    <row r="875" spans="5:14">
      <c r="E875">
        <v>150</v>
      </c>
      <c r="F875">
        <f>IF(F154="","",F153)</f>
        <v>0</v>
      </c>
      <c r="G875">
        <v>150</v>
      </c>
      <c r="H875">
        <f>H153</f>
        <v>0</v>
      </c>
      <c r="K875">
        <v>150</v>
      </c>
      <c r="L875">
        <f>IF(L154="","",L153)</f>
        <v>0</v>
      </c>
      <c r="M875">
        <v>150</v>
      </c>
      <c r="N875">
        <f>N153</f>
        <v>0</v>
      </c>
    </row>
    <row r="876" spans="5:14">
      <c r="E876">
        <v>151</v>
      </c>
      <c r="F876">
        <f>IF(F155="","",F154)</f>
        <v>0</v>
      </c>
      <c r="G876">
        <v>151</v>
      </c>
      <c r="H876">
        <f>H154</f>
        <v>0</v>
      </c>
      <c r="K876">
        <v>151</v>
      </c>
      <c r="L876">
        <f>IF(L155="","",L154)</f>
        <v>0</v>
      </c>
      <c r="M876">
        <v>151</v>
      </c>
      <c r="N876">
        <f>N154</f>
        <v>0</v>
      </c>
    </row>
    <row r="877" spans="5:14">
      <c r="E877">
        <v>152</v>
      </c>
      <c r="F877">
        <f>IF(F156="","",F155)</f>
        <v>0</v>
      </c>
      <c r="G877">
        <v>152</v>
      </c>
      <c r="H877">
        <f>H155</f>
        <v>0</v>
      </c>
      <c r="K877">
        <v>152</v>
      </c>
      <c r="L877">
        <f>IF(L156="","",L155)</f>
        <v>0</v>
      </c>
      <c r="M877">
        <v>152</v>
      </c>
      <c r="N877">
        <f>N155</f>
        <v>0</v>
      </c>
    </row>
    <row r="878" spans="5:14">
      <c r="E878">
        <v>153</v>
      </c>
      <c r="F878">
        <f>IF(F157="","",F156)</f>
        <v>0</v>
      </c>
      <c r="G878">
        <v>153</v>
      </c>
      <c r="H878">
        <f>H156</f>
        <v>0</v>
      </c>
      <c r="K878">
        <v>153</v>
      </c>
      <c r="L878">
        <f>IF(L157="","",L156)</f>
        <v>0</v>
      </c>
      <c r="M878">
        <v>153</v>
      </c>
      <c r="N878">
        <f>N156</f>
        <v>0</v>
      </c>
    </row>
    <row r="879" spans="5:14">
      <c r="E879">
        <v>154</v>
      </c>
      <c r="F879">
        <f>IF(F158="","",F157)</f>
        <v>0</v>
      </c>
      <c r="G879">
        <v>154</v>
      </c>
      <c r="H879">
        <f>H157</f>
        <v>0</v>
      </c>
      <c r="K879">
        <v>154</v>
      </c>
      <c r="L879">
        <f>IF(L158="","",L157)</f>
        <v>0</v>
      </c>
      <c r="M879">
        <v>154</v>
      </c>
      <c r="N879">
        <f>N157</f>
        <v>0</v>
      </c>
    </row>
    <row r="880" spans="5:14">
      <c r="E880">
        <v>155</v>
      </c>
      <c r="F880">
        <f>IF(F159="","",F158)</f>
        <v>0</v>
      </c>
      <c r="G880">
        <v>155</v>
      </c>
      <c r="H880">
        <f>H158</f>
        <v>0</v>
      </c>
      <c r="K880">
        <v>155</v>
      </c>
      <c r="L880">
        <f>IF(L159="","",L158)</f>
        <v>0</v>
      </c>
      <c r="M880">
        <v>155</v>
      </c>
      <c r="N880">
        <f>N158</f>
        <v>0</v>
      </c>
    </row>
    <row r="881" spans="5:14">
      <c r="E881">
        <v>156</v>
      </c>
      <c r="F881">
        <f>IF(F160="","",F159)</f>
        <v>0</v>
      </c>
      <c r="G881">
        <v>156</v>
      </c>
      <c r="H881">
        <f>H159</f>
        <v>0</v>
      </c>
      <c r="K881">
        <v>156</v>
      </c>
      <c r="L881">
        <f>IF(L160="","",L159)</f>
        <v>0</v>
      </c>
      <c r="M881">
        <v>156</v>
      </c>
      <c r="N881">
        <f>N159</f>
        <v>0</v>
      </c>
    </row>
    <row r="882" spans="5:14">
      <c r="E882">
        <v>157</v>
      </c>
      <c r="F882">
        <f>IF(F161="","",F160)</f>
        <v>0</v>
      </c>
      <c r="G882">
        <v>157</v>
      </c>
      <c r="H882">
        <f>H160</f>
        <v>0</v>
      </c>
      <c r="K882">
        <v>157</v>
      </c>
      <c r="L882">
        <f>IF(L161="","",L160)</f>
        <v>0</v>
      </c>
      <c r="M882">
        <v>157</v>
      </c>
      <c r="N882">
        <f>N160</f>
        <v>0</v>
      </c>
    </row>
    <row r="883" spans="5:14">
      <c r="E883">
        <v>158</v>
      </c>
      <c r="F883">
        <f>IF(F162="","",F161)</f>
        <v>0</v>
      </c>
      <c r="G883">
        <v>158</v>
      </c>
      <c r="H883">
        <f>H161</f>
        <v>0</v>
      </c>
      <c r="K883">
        <v>158</v>
      </c>
      <c r="L883">
        <f>IF(L162="","",L161)</f>
        <v>0</v>
      </c>
      <c r="M883">
        <v>158</v>
      </c>
      <c r="N883">
        <f>N161</f>
        <v>0</v>
      </c>
    </row>
    <row r="884" spans="5:14">
      <c r="E884">
        <v>159</v>
      </c>
      <c r="F884">
        <f>IF(F163="","",F162)</f>
        <v>0</v>
      </c>
      <c r="G884">
        <v>159</v>
      </c>
      <c r="H884">
        <f>H162</f>
        <v>0</v>
      </c>
      <c r="K884">
        <v>159</v>
      </c>
      <c r="L884">
        <f>IF(L163="","",L162)</f>
        <v>0</v>
      </c>
      <c r="M884">
        <v>159</v>
      </c>
      <c r="N884">
        <f>N162</f>
        <v>0</v>
      </c>
    </row>
    <row r="885" spans="5:14">
      <c r="E885">
        <v>160</v>
      </c>
      <c r="F885">
        <f>IF(F164="","",F163)</f>
        <v>0</v>
      </c>
      <c r="G885">
        <v>160</v>
      </c>
      <c r="H885">
        <f>H163</f>
        <v>0</v>
      </c>
      <c r="K885">
        <v>160</v>
      </c>
      <c r="L885">
        <f>IF(L164="","",L163)</f>
        <v>0</v>
      </c>
      <c r="M885">
        <v>160</v>
      </c>
      <c r="N885">
        <f>N163</f>
        <v>0</v>
      </c>
    </row>
    <row r="886" spans="5:14">
      <c r="E886">
        <v>161</v>
      </c>
      <c r="F886">
        <f>IF(F165="","",F164)</f>
        <v>0</v>
      </c>
      <c r="G886">
        <v>161</v>
      </c>
      <c r="H886">
        <f>H164</f>
        <v>0</v>
      </c>
      <c r="K886">
        <v>161</v>
      </c>
      <c r="L886">
        <f>IF(L165="","",L164)</f>
        <v>0</v>
      </c>
      <c r="M886">
        <v>161</v>
      </c>
      <c r="N886">
        <f>N164</f>
        <v>0</v>
      </c>
    </row>
    <row r="887" spans="5:14">
      <c r="E887">
        <v>162</v>
      </c>
      <c r="F887">
        <f>IF(F166="","",F165)</f>
        <v>0</v>
      </c>
      <c r="G887">
        <v>162</v>
      </c>
      <c r="H887">
        <f>H165</f>
        <v>0</v>
      </c>
      <c r="K887">
        <v>162</v>
      </c>
      <c r="L887">
        <f>IF(L166="","",L165)</f>
        <v>0</v>
      </c>
      <c r="M887">
        <v>162</v>
      </c>
      <c r="N887">
        <f>N165</f>
        <v>0</v>
      </c>
    </row>
    <row r="888" spans="5:14">
      <c r="E888">
        <v>163</v>
      </c>
      <c r="F888">
        <f>IF(F167="","",F166)</f>
        <v>0</v>
      </c>
      <c r="G888">
        <v>163</v>
      </c>
      <c r="H888">
        <f>H166</f>
        <v>0</v>
      </c>
      <c r="K888">
        <v>163</v>
      </c>
      <c r="L888">
        <f>IF(L167="","",L166)</f>
        <v>0</v>
      </c>
      <c r="M888">
        <v>163</v>
      </c>
      <c r="N888">
        <f>N166</f>
        <v>0</v>
      </c>
    </row>
    <row r="889" spans="5:14">
      <c r="E889">
        <v>164</v>
      </c>
      <c r="F889">
        <f>IF(F168="","",F167)</f>
        <v>0</v>
      </c>
      <c r="G889">
        <v>164</v>
      </c>
      <c r="H889">
        <f>H167</f>
        <v>0</v>
      </c>
      <c r="K889">
        <v>164</v>
      </c>
      <c r="L889">
        <f>IF(L168="","",L167)</f>
        <v>0</v>
      </c>
      <c r="M889">
        <v>164</v>
      </c>
      <c r="N889">
        <f>N167</f>
        <v>0</v>
      </c>
    </row>
    <row r="890" spans="5:14">
      <c r="E890">
        <v>165</v>
      </c>
      <c r="F890">
        <f>IF(F169="","",F168)</f>
        <v>0</v>
      </c>
      <c r="G890">
        <v>165</v>
      </c>
      <c r="H890">
        <f>H168</f>
        <v>0</v>
      </c>
      <c r="K890">
        <v>165</v>
      </c>
      <c r="L890">
        <f>IF(L169="","",L168)</f>
        <v>0</v>
      </c>
      <c r="M890">
        <v>165</v>
      </c>
      <c r="N890">
        <f>N168</f>
        <v>0</v>
      </c>
    </row>
    <row r="891" spans="5:14">
      <c r="E891">
        <v>166</v>
      </c>
      <c r="F891">
        <f>IF(F170="","",F169)</f>
        <v>0</v>
      </c>
      <c r="G891">
        <v>166</v>
      </c>
      <c r="H891">
        <f>H169</f>
        <v>0</v>
      </c>
      <c r="K891">
        <v>166</v>
      </c>
      <c r="L891">
        <f>IF(L170="","",L169)</f>
        <v>0</v>
      </c>
      <c r="M891">
        <v>166</v>
      </c>
      <c r="N891">
        <f>N169</f>
        <v>0</v>
      </c>
    </row>
    <row r="892" spans="5:14">
      <c r="E892">
        <v>167</v>
      </c>
      <c r="F892">
        <f>IF(F171="","",F170)</f>
        <v>0</v>
      </c>
      <c r="G892">
        <v>167</v>
      </c>
      <c r="H892">
        <f>H170</f>
        <v>0</v>
      </c>
      <c r="K892">
        <v>167</v>
      </c>
      <c r="L892">
        <f>IF(L171="","",L170)</f>
        <v>0</v>
      </c>
      <c r="M892">
        <v>167</v>
      </c>
      <c r="N892">
        <f>N170</f>
        <v>0</v>
      </c>
    </row>
    <row r="893" spans="5:14">
      <c r="E893">
        <v>168</v>
      </c>
      <c r="F893">
        <f>IF(F172="","",F171)</f>
        <v>0</v>
      </c>
      <c r="G893">
        <v>168</v>
      </c>
      <c r="H893">
        <f>H171</f>
        <v>0</v>
      </c>
      <c r="K893">
        <v>168</v>
      </c>
      <c r="L893">
        <f>IF(L172="","",L171)</f>
        <v>0</v>
      </c>
      <c r="M893">
        <v>168</v>
      </c>
      <c r="N893">
        <f>N171</f>
        <v>0</v>
      </c>
    </row>
    <row r="894" spans="5:14">
      <c r="E894">
        <v>169</v>
      </c>
      <c r="F894">
        <f>IF(F173="","",F172)</f>
        <v>0</v>
      </c>
      <c r="G894">
        <v>169</v>
      </c>
      <c r="H894">
        <f>H172</f>
        <v>0</v>
      </c>
      <c r="K894">
        <v>169</v>
      </c>
      <c r="L894">
        <f>IF(L173="","",L172)</f>
        <v>0</v>
      </c>
      <c r="M894">
        <v>169</v>
      </c>
      <c r="N894">
        <f>N172</f>
        <v>0</v>
      </c>
    </row>
    <row r="895" spans="5:14">
      <c r="E895">
        <v>170</v>
      </c>
      <c r="F895">
        <f>IF(F174="","",F173)</f>
        <v>0</v>
      </c>
      <c r="G895">
        <v>170</v>
      </c>
      <c r="H895">
        <f>H173</f>
        <v>0</v>
      </c>
      <c r="K895">
        <v>170</v>
      </c>
      <c r="L895">
        <f>IF(L174="","",L173)</f>
        <v>0</v>
      </c>
      <c r="M895">
        <v>170</v>
      </c>
      <c r="N895">
        <f>N173</f>
        <v>0</v>
      </c>
    </row>
    <row r="896" spans="5:14">
      <c r="E896">
        <v>171</v>
      </c>
      <c r="F896">
        <f>IF(F175="","",F174)</f>
        <v>0</v>
      </c>
      <c r="G896">
        <v>171</v>
      </c>
      <c r="H896">
        <f>H174</f>
        <v>0</v>
      </c>
      <c r="K896">
        <v>171</v>
      </c>
      <c r="L896">
        <f>IF(L175="","",L174)</f>
        <v>0</v>
      </c>
      <c r="M896">
        <v>171</v>
      </c>
      <c r="N896">
        <f>N174</f>
        <v>0</v>
      </c>
    </row>
    <row r="897" spans="5:14">
      <c r="E897">
        <v>172</v>
      </c>
      <c r="F897">
        <f>IF(F176="","",F175)</f>
        <v>0</v>
      </c>
      <c r="G897">
        <v>172</v>
      </c>
      <c r="H897">
        <f>H175</f>
        <v>0</v>
      </c>
      <c r="K897">
        <v>172</v>
      </c>
      <c r="L897">
        <f>IF(L176="","",L175)</f>
        <v>0</v>
      </c>
      <c r="M897">
        <v>172</v>
      </c>
      <c r="N897">
        <f>N175</f>
        <v>0</v>
      </c>
    </row>
    <row r="898" spans="5:14">
      <c r="E898">
        <v>173</v>
      </c>
      <c r="F898">
        <f>IF(F177="","",F176)</f>
        <v>0</v>
      </c>
      <c r="G898">
        <v>173</v>
      </c>
      <c r="H898">
        <f>H176</f>
        <v>0</v>
      </c>
      <c r="K898">
        <v>173</v>
      </c>
      <c r="L898">
        <f>IF(L177="","",L176)</f>
        <v>0</v>
      </c>
      <c r="M898">
        <v>173</v>
      </c>
      <c r="N898">
        <f>N176</f>
        <v>0</v>
      </c>
    </row>
    <row r="899" spans="5:14">
      <c r="E899">
        <v>174</v>
      </c>
      <c r="F899">
        <f>IF(F178="","",F177)</f>
        <v>0</v>
      </c>
      <c r="G899">
        <v>174</v>
      </c>
      <c r="H899">
        <f>H177</f>
        <v>0</v>
      </c>
      <c r="K899">
        <v>174</v>
      </c>
      <c r="L899">
        <f>IF(L178="","",L177)</f>
        <v>0</v>
      </c>
      <c r="M899">
        <v>174</v>
      </c>
      <c r="N899">
        <f>N177</f>
        <v>0</v>
      </c>
    </row>
    <row r="900" spans="5:14">
      <c r="E900">
        <v>175</v>
      </c>
      <c r="F900">
        <f>IF(F179="","",F178)</f>
        <v>0</v>
      </c>
      <c r="G900">
        <v>175</v>
      </c>
      <c r="H900">
        <f>H178</f>
        <v>0</v>
      </c>
      <c r="K900">
        <v>175</v>
      </c>
      <c r="L900">
        <f>IF(L179="","",L178)</f>
        <v>0</v>
      </c>
      <c r="M900">
        <v>175</v>
      </c>
      <c r="N900">
        <f>N178</f>
        <v>0</v>
      </c>
    </row>
    <row r="901" spans="5:14">
      <c r="E901">
        <v>176</v>
      </c>
      <c r="F901">
        <f>IF(F180="","",F179)</f>
        <v>0</v>
      </c>
      <c r="G901">
        <v>176</v>
      </c>
      <c r="H901">
        <f>H179</f>
        <v>0</v>
      </c>
      <c r="K901">
        <v>176</v>
      </c>
      <c r="L901">
        <f>IF(L180="","",L179)</f>
        <v>0</v>
      </c>
      <c r="M901">
        <v>176</v>
      </c>
      <c r="N901">
        <f>N179</f>
        <v>0</v>
      </c>
    </row>
    <row r="902" spans="5:14">
      <c r="E902">
        <v>177</v>
      </c>
      <c r="F902">
        <f>IF(F181="","",F180)</f>
        <v>0</v>
      </c>
      <c r="G902">
        <v>177</v>
      </c>
      <c r="H902">
        <f>H180</f>
        <v>0</v>
      </c>
      <c r="K902">
        <v>177</v>
      </c>
      <c r="L902">
        <f>IF(L181="","",L180)</f>
        <v>0</v>
      </c>
      <c r="M902">
        <v>177</v>
      </c>
      <c r="N902">
        <f>N180</f>
        <v>0</v>
      </c>
    </row>
    <row r="903" spans="5:14">
      <c r="E903">
        <v>178</v>
      </c>
      <c r="F903">
        <f>IF(F182="","",F181)</f>
        <v>0</v>
      </c>
      <c r="G903">
        <v>178</v>
      </c>
      <c r="H903">
        <f>H181</f>
        <v>0</v>
      </c>
      <c r="K903">
        <v>178</v>
      </c>
      <c r="L903">
        <f>IF(L182="","",L181)</f>
        <v>0</v>
      </c>
      <c r="M903">
        <v>178</v>
      </c>
      <c r="N903">
        <f>N181</f>
        <v>0</v>
      </c>
    </row>
    <row r="904" spans="5:14">
      <c r="E904">
        <v>179</v>
      </c>
      <c r="F904">
        <f>IF(F183="","",F182)</f>
        <v>0</v>
      </c>
      <c r="G904">
        <v>179</v>
      </c>
      <c r="H904">
        <f>H182</f>
        <v>0</v>
      </c>
      <c r="K904">
        <v>179</v>
      </c>
      <c r="L904">
        <f>IF(L183="","",L182)</f>
        <v>0</v>
      </c>
      <c r="M904">
        <v>179</v>
      </c>
      <c r="N904">
        <f>N182</f>
        <v>0</v>
      </c>
    </row>
    <row r="905" spans="5:14">
      <c r="E905">
        <v>180</v>
      </c>
      <c r="F905">
        <f>IF(F184="","",F183)</f>
        <v>0</v>
      </c>
      <c r="G905">
        <v>180</v>
      </c>
      <c r="H905">
        <f>H183</f>
        <v>0</v>
      </c>
      <c r="K905">
        <v>180</v>
      </c>
      <c r="L905">
        <f>IF(L184="","",L183)</f>
        <v>0</v>
      </c>
      <c r="M905">
        <v>180</v>
      </c>
      <c r="N905">
        <f>N183</f>
        <v>0</v>
      </c>
    </row>
    <row r="906" spans="5:14">
      <c r="E906">
        <v>181</v>
      </c>
      <c r="F906">
        <f>IF(F185="","",F184)</f>
        <v>0</v>
      </c>
      <c r="G906">
        <v>181</v>
      </c>
      <c r="H906">
        <f>H184</f>
        <v>0</v>
      </c>
      <c r="K906">
        <v>181</v>
      </c>
      <c r="L906">
        <f>IF(L185="","",L184)</f>
        <v>0</v>
      </c>
      <c r="M906">
        <v>181</v>
      </c>
      <c r="N906">
        <f>N184</f>
        <v>0</v>
      </c>
    </row>
    <row r="907" spans="5:14">
      <c r="E907">
        <v>182</v>
      </c>
      <c r="F907">
        <f>IF(F186="","",F185)</f>
        <v>0</v>
      </c>
      <c r="G907">
        <v>182</v>
      </c>
      <c r="H907">
        <f>H185</f>
        <v>0</v>
      </c>
      <c r="K907">
        <v>182</v>
      </c>
      <c r="L907">
        <f>IF(L186="","",L185)</f>
        <v>0</v>
      </c>
      <c r="M907">
        <v>182</v>
      </c>
      <c r="N907">
        <f>N185</f>
        <v>0</v>
      </c>
    </row>
    <row r="908" spans="5:14">
      <c r="E908">
        <v>183</v>
      </c>
      <c r="F908">
        <f>IF(F187="","",F186)</f>
        <v>0</v>
      </c>
      <c r="G908">
        <v>183</v>
      </c>
      <c r="H908">
        <f>H186</f>
        <v>0</v>
      </c>
      <c r="K908">
        <v>183</v>
      </c>
      <c r="L908">
        <f>IF(L187="","",L186)</f>
        <v>0</v>
      </c>
      <c r="M908">
        <v>183</v>
      </c>
      <c r="N908">
        <f>N186</f>
        <v>0</v>
      </c>
    </row>
    <row r="909" spans="5:14">
      <c r="E909">
        <v>184</v>
      </c>
      <c r="F909">
        <f>IF(F188="","",F187)</f>
        <v>0</v>
      </c>
      <c r="G909">
        <v>184</v>
      </c>
      <c r="H909">
        <f>H187</f>
        <v>0</v>
      </c>
      <c r="K909">
        <v>184</v>
      </c>
      <c r="L909">
        <f>IF(L188="","",L187)</f>
        <v>0</v>
      </c>
      <c r="M909">
        <v>184</v>
      </c>
      <c r="N909">
        <f>N187</f>
        <v>0</v>
      </c>
    </row>
    <row r="910" spans="5:14">
      <c r="E910">
        <v>185</v>
      </c>
      <c r="F910">
        <f>IF(F189="","",F188)</f>
        <v>0</v>
      </c>
      <c r="G910">
        <v>185</v>
      </c>
      <c r="H910">
        <f>H188</f>
        <v>0</v>
      </c>
      <c r="K910">
        <v>185</v>
      </c>
      <c r="L910">
        <f>IF(L189="","",L188)</f>
        <v>0</v>
      </c>
      <c r="M910">
        <v>185</v>
      </c>
      <c r="N910">
        <f>N188</f>
        <v>0</v>
      </c>
    </row>
    <row r="911" spans="5:14">
      <c r="E911">
        <v>186</v>
      </c>
      <c r="F911">
        <f>IF(F190="","",F189)</f>
        <v>0</v>
      </c>
      <c r="G911">
        <v>186</v>
      </c>
      <c r="H911">
        <f>H189</f>
        <v>0</v>
      </c>
      <c r="K911">
        <v>186</v>
      </c>
      <c r="L911">
        <f>IF(L190="","",L189)</f>
        <v>0</v>
      </c>
      <c r="M911">
        <v>186</v>
      </c>
      <c r="N911">
        <f>N189</f>
        <v>0</v>
      </c>
    </row>
    <row r="912" spans="5:14">
      <c r="E912">
        <v>187</v>
      </c>
      <c r="F912">
        <f>IF(F191="","",F190)</f>
        <v>0</v>
      </c>
      <c r="G912">
        <v>187</v>
      </c>
      <c r="H912">
        <f>H190</f>
        <v>0</v>
      </c>
      <c r="K912">
        <v>187</v>
      </c>
      <c r="L912">
        <f>IF(L191="","",L190)</f>
        <v>0</v>
      </c>
      <c r="M912">
        <v>187</v>
      </c>
      <c r="N912">
        <f>N190</f>
        <v>0</v>
      </c>
    </row>
    <row r="913" spans="5:14">
      <c r="E913">
        <v>188</v>
      </c>
      <c r="F913">
        <f>IF(F192="","",F191)</f>
        <v>0</v>
      </c>
      <c r="G913">
        <v>188</v>
      </c>
      <c r="H913">
        <f>H191</f>
        <v>0</v>
      </c>
      <c r="K913">
        <v>188</v>
      </c>
      <c r="L913">
        <f>IF(L192="","",L191)</f>
        <v>0</v>
      </c>
      <c r="M913">
        <v>188</v>
      </c>
      <c r="N913">
        <f>N191</f>
        <v>0</v>
      </c>
    </row>
    <row r="914" spans="5:14">
      <c r="E914">
        <v>189</v>
      </c>
      <c r="F914">
        <f>IF(F193="","",F192)</f>
        <v>0</v>
      </c>
      <c r="G914">
        <v>189</v>
      </c>
      <c r="H914">
        <f>H192</f>
        <v>0</v>
      </c>
      <c r="K914">
        <v>189</v>
      </c>
      <c r="L914">
        <f>IF(L193="","",L192)</f>
        <v>0</v>
      </c>
      <c r="M914">
        <v>189</v>
      </c>
      <c r="N914">
        <f>N192</f>
        <v>0</v>
      </c>
    </row>
    <row r="915" spans="5:14">
      <c r="E915">
        <v>190</v>
      </c>
      <c r="F915">
        <f>IF(F194="","",F193)</f>
        <v>0</v>
      </c>
      <c r="G915">
        <v>190</v>
      </c>
      <c r="H915">
        <f>H193</f>
        <v>0</v>
      </c>
      <c r="K915">
        <v>190</v>
      </c>
      <c r="L915">
        <f>IF(L194="","",L193)</f>
        <v>0</v>
      </c>
      <c r="M915">
        <v>190</v>
      </c>
      <c r="N915">
        <f>N193</f>
        <v>0</v>
      </c>
    </row>
    <row r="916" spans="5:14">
      <c r="E916">
        <v>191</v>
      </c>
      <c r="F916">
        <f>IF(F195="","",F194)</f>
        <v>0</v>
      </c>
      <c r="G916">
        <v>191</v>
      </c>
      <c r="H916">
        <f>H194</f>
        <v>0</v>
      </c>
      <c r="K916">
        <v>191</v>
      </c>
      <c r="L916">
        <f>IF(L195="","",L194)</f>
        <v>0</v>
      </c>
      <c r="M916">
        <v>191</v>
      </c>
      <c r="N916">
        <f>N194</f>
        <v>0</v>
      </c>
    </row>
    <row r="917" spans="5:14">
      <c r="E917">
        <v>192</v>
      </c>
      <c r="F917">
        <f>IF(F196="","",F195)</f>
        <v>0</v>
      </c>
      <c r="G917">
        <v>192</v>
      </c>
      <c r="H917">
        <f>H195</f>
        <v>0</v>
      </c>
      <c r="K917">
        <v>192</v>
      </c>
      <c r="L917">
        <f>IF(L196="","",L195)</f>
        <v>0</v>
      </c>
      <c r="M917">
        <v>192</v>
      </c>
      <c r="N917">
        <f>N195</f>
        <v>0</v>
      </c>
    </row>
    <row r="918" spans="5:14">
      <c r="E918">
        <v>193</v>
      </c>
      <c r="F918">
        <f>IF(F197="","",F196)</f>
        <v>0</v>
      </c>
      <c r="G918">
        <v>193</v>
      </c>
      <c r="H918">
        <f>H196</f>
        <v>0</v>
      </c>
      <c r="K918">
        <v>193</v>
      </c>
      <c r="L918">
        <f>IF(L197="","",L196)</f>
        <v>0</v>
      </c>
      <c r="M918">
        <v>193</v>
      </c>
      <c r="N918">
        <f>N196</f>
        <v>0</v>
      </c>
    </row>
    <row r="919" spans="5:14">
      <c r="E919">
        <v>194</v>
      </c>
      <c r="F919">
        <f>IF(F198="","",F197)</f>
        <v>0</v>
      </c>
      <c r="G919">
        <v>194</v>
      </c>
      <c r="H919">
        <f>H197</f>
        <v>0</v>
      </c>
      <c r="K919">
        <v>194</v>
      </c>
      <c r="L919">
        <f>IF(L198="","",L197)</f>
        <v>0</v>
      </c>
      <c r="M919">
        <v>194</v>
      </c>
      <c r="N919">
        <f>N197</f>
        <v>0</v>
      </c>
    </row>
    <row r="920" spans="5:14">
      <c r="E920">
        <v>195</v>
      </c>
      <c r="F920">
        <f>IF(F199="","",F198)</f>
        <v>0</v>
      </c>
      <c r="G920">
        <v>195</v>
      </c>
      <c r="H920">
        <f>H198</f>
        <v>0</v>
      </c>
      <c r="K920">
        <v>195</v>
      </c>
      <c r="L920">
        <f>IF(L199="","",L198)</f>
        <v>0</v>
      </c>
      <c r="M920">
        <v>195</v>
      </c>
      <c r="N920">
        <f>N198</f>
        <v>0</v>
      </c>
    </row>
    <row r="921" spans="5:14">
      <c r="E921">
        <v>196</v>
      </c>
      <c r="F921">
        <f>IF(F200="","",F199)</f>
        <v>0</v>
      </c>
      <c r="G921">
        <v>196</v>
      </c>
      <c r="H921">
        <f>H199</f>
        <v>0</v>
      </c>
      <c r="K921">
        <v>196</v>
      </c>
      <c r="L921">
        <f>IF(L200="","",L199)</f>
        <v>0</v>
      </c>
      <c r="M921">
        <v>196</v>
      </c>
      <c r="N921">
        <f>N199</f>
        <v>0</v>
      </c>
    </row>
    <row r="922" spans="5:14">
      <c r="E922">
        <v>197</v>
      </c>
      <c r="F922">
        <f>IF(F201="","",F200)</f>
        <v>0</v>
      </c>
      <c r="G922">
        <v>197</v>
      </c>
      <c r="H922">
        <f>H200</f>
        <v>0</v>
      </c>
      <c r="K922">
        <v>197</v>
      </c>
      <c r="L922">
        <f>IF(L201="","",L200)</f>
        <v>0</v>
      </c>
      <c r="M922">
        <v>197</v>
      </c>
      <c r="N922">
        <f>N200</f>
        <v>0</v>
      </c>
    </row>
    <row r="923" spans="5:14">
      <c r="E923">
        <v>198</v>
      </c>
      <c r="F923">
        <f>IF(F202="","",F201)</f>
        <v>0</v>
      </c>
      <c r="G923">
        <v>198</v>
      </c>
      <c r="H923">
        <f>H201</f>
        <v>0</v>
      </c>
      <c r="K923">
        <v>198</v>
      </c>
      <c r="L923">
        <f>IF(L202="","",L201)</f>
        <v>0</v>
      </c>
      <c r="M923">
        <v>198</v>
      </c>
      <c r="N923">
        <f>N201</f>
        <v>0</v>
      </c>
    </row>
    <row r="924" spans="5:14">
      <c r="E924">
        <v>199</v>
      </c>
      <c r="F924">
        <f>IF(F203="","",F202)</f>
        <v>0</v>
      </c>
      <c r="G924">
        <v>199</v>
      </c>
      <c r="H924">
        <f>H202</f>
        <v>0</v>
      </c>
      <c r="K924">
        <v>199</v>
      </c>
      <c r="L924">
        <f>IF(L203="","",L202)</f>
        <v>0</v>
      </c>
      <c r="M924">
        <v>199</v>
      </c>
      <c r="N924">
        <f>N202</f>
        <v>0</v>
      </c>
    </row>
    <row r="925" spans="5:14">
      <c r="E925">
        <v>200</v>
      </c>
      <c r="F925">
        <f>IF(F204="","",F203)</f>
        <v>0</v>
      </c>
      <c r="G925">
        <v>200</v>
      </c>
      <c r="H925">
        <f>H203</f>
        <v>0</v>
      </c>
      <c r="K925">
        <v>200</v>
      </c>
      <c r="L925">
        <f>IF(L204="","",L203)</f>
        <v>0</v>
      </c>
      <c r="M925">
        <v>200</v>
      </c>
      <c r="N925">
        <f>N203</f>
        <v>0</v>
      </c>
    </row>
    <row r="926" spans="5:14">
      <c r="E926">
        <v>201</v>
      </c>
      <c r="F926">
        <f>IF(F205="","",F204)</f>
        <v>0</v>
      </c>
      <c r="G926">
        <v>201</v>
      </c>
      <c r="H926">
        <f>H204</f>
        <v>0</v>
      </c>
      <c r="K926">
        <v>201</v>
      </c>
      <c r="L926">
        <f>IF(L205="","",L204)</f>
        <v>0</v>
      </c>
      <c r="M926">
        <v>201</v>
      </c>
      <c r="N926">
        <f>N204</f>
        <v>0</v>
      </c>
    </row>
    <row r="927" spans="5:14">
      <c r="E927">
        <v>202</v>
      </c>
      <c r="F927">
        <f>IF(F206="","",F205)</f>
        <v>0</v>
      </c>
      <c r="G927">
        <v>202</v>
      </c>
      <c r="H927">
        <f>H205</f>
        <v>0</v>
      </c>
      <c r="K927">
        <v>202</v>
      </c>
      <c r="L927">
        <f>IF(L206="","",L205)</f>
        <v>0</v>
      </c>
      <c r="M927">
        <v>202</v>
      </c>
      <c r="N927">
        <f>N205</f>
        <v>0</v>
      </c>
    </row>
    <row r="928" spans="5:14">
      <c r="E928">
        <v>203</v>
      </c>
      <c r="F928">
        <f>IF(F207="","",F206)</f>
        <v>0</v>
      </c>
      <c r="G928">
        <v>203</v>
      </c>
      <c r="H928">
        <f>H206</f>
        <v>0</v>
      </c>
      <c r="K928">
        <v>203</v>
      </c>
      <c r="L928">
        <f>IF(L207="","",L206)</f>
        <v>0</v>
      </c>
      <c r="M928">
        <v>203</v>
      </c>
      <c r="N928">
        <f>N206</f>
        <v>0</v>
      </c>
    </row>
    <row r="929" spans="5:14">
      <c r="E929">
        <v>204</v>
      </c>
      <c r="F929">
        <f>IF(F208="","",F207)</f>
        <v>0</v>
      </c>
      <c r="G929">
        <v>204</v>
      </c>
      <c r="H929">
        <f>H207</f>
        <v>0</v>
      </c>
      <c r="K929">
        <v>204</v>
      </c>
      <c r="L929">
        <f>IF(L208="","",L207)</f>
        <v>0</v>
      </c>
      <c r="M929">
        <v>204</v>
      </c>
      <c r="N929">
        <f>N207</f>
        <v>0</v>
      </c>
    </row>
    <row r="930" spans="5:14">
      <c r="E930">
        <v>205</v>
      </c>
      <c r="F930">
        <f>IF(F209="","",F208)</f>
        <v>0</v>
      </c>
      <c r="G930">
        <v>205</v>
      </c>
      <c r="H930">
        <f>H208</f>
        <v>0</v>
      </c>
      <c r="K930">
        <v>205</v>
      </c>
      <c r="L930">
        <f>IF(L209="","",L208)</f>
        <v>0</v>
      </c>
      <c r="M930">
        <v>205</v>
      </c>
      <c r="N930">
        <f>N208</f>
        <v>0</v>
      </c>
    </row>
    <row r="931" spans="5:14">
      <c r="E931">
        <v>206</v>
      </c>
      <c r="F931">
        <f>IF(F210="","",F209)</f>
        <v>0</v>
      </c>
      <c r="G931">
        <v>206</v>
      </c>
      <c r="H931">
        <f>H209</f>
        <v>0</v>
      </c>
      <c r="K931">
        <v>206</v>
      </c>
      <c r="L931">
        <f>IF(L210="","",L209)</f>
        <v>0</v>
      </c>
      <c r="M931">
        <v>206</v>
      </c>
      <c r="N931">
        <f>N209</f>
        <v>0</v>
      </c>
    </row>
    <row r="932" spans="5:14">
      <c r="E932">
        <v>207</v>
      </c>
      <c r="F932">
        <f>IF(F211="","",F210)</f>
        <v>0</v>
      </c>
      <c r="G932">
        <v>207</v>
      </c>
      <c r="H932">
        <f>H210</f>
        <v>0</v>
      </c>
      <c r="K932">
        <v>207</v>
      </c>
      <c r="L932">
        <f>IF(L211="","",L210)</f>
        <v>0</v>
      </c>
      <c r="M932">
        <v>207</v>
      </c>
      <c r="N932">
        <f>N210</f>
        <v>0</v>
      </c>
    </row>
    <row r="933" spans="5:14">
      <c r="E933">
        <v>208</v>
      </c>
      <c r="F933">
        <f>IF(F212="","",F211)</f>
        <v>0</v>
      </c>
      <c r="G933">
        <v>208</v>
      </c>
      <c r="H933">
        <f>H211</f>
        <v>0</v>
      </c>
      <c r="K933">
        <v>208</v>
      </c>
      <c r="L933">
        <f>IF(L212="","",L211)</f>
        <v>0</v>
      </c>
      <c r="M933">
        <v>208</v>
      </c>
      <c r="N933">
        <f>N211</f>
        <v>0</v>
      </c>
    </row>
    <row r="934" spans="5:14">
      <c r="E934">
        <v>209</v>
      </c>
      <c r="F934">
        <f>IF(F213="","",F212)</f>
        <v>0</v>
      </c>
      <c r="G934">
        <v>209</v>
      </c>
      <c r="H934">
        <f>H212</f>
        <v>0</v>
      </c>
      <c r="K934">
        <v>209</v>
      </c>
      <c r="L934">
        <f>IF(L213="","",L212)</f>
        <v>0</v>
      </c>
      <c r="M934">
        <v>209</v>
      </c>
      <c r="N934">
        <f>N212</f>
        <v>0</v>
      </c>
    </row>
    <row r="935" spans="5:14">
      <c r="E935">
        <v>210</v>
      </c>
      <c r="F935">
        <f>IF(F214="","",F213)</f>
        <v>0</v>
      </c>
      <c r="G935">
        <v>210</v>
      </c>
      <c r="H935">
        <f>H213</f>
        <v>0</v>
      </c>
      <c r="K935">
        <v>210</v>
      </c>
      <c r="L935">
        <f>IF(L214="","",L213)</f>
        <v>0</v>
      </c>
      <c r="M935">
        <v>210</v>
      </c>
      <c r="N935">
        <f>N213</f>
        <v>0</v>
      </c>
    </row>
    <row r="936" spans="5:14">
      <c r="E936">
        <v>211</v>
      </c>
      <c r="F936">
        <f>IF(F215="","",F214)</f>
        <v>0</v>
      </c>
      <c r="G936">
        <v>211</v>
      </c>
      <c r="H936">
        <f>H214</f>
        <v>0</v>
      </c>
      <c r="K936">
        <v>211</v>
      </c>
      <c r="L936">
        <f>IF(L215="","",L214)</f>
        <v>0</v>
      </c>
      <c r="M936">
        <v>211</v>
      </c>
      <c r="N936">
        <f>N214</f>
        <v>0</v>
      </c>
    </row>
    <row r="937" spans="5:14">
      <c r="E937">
        <v>212</v>
      </c>
      <c r="F937">
        <f>IF(F216="","",F215)</f>
        <v>0</v>
      </c>
      <c r="G937">
        <v>212</v>
      </c>
      <c r="H937">
        <f>H215</f>
        <v>0</v>
      </c>
      <c r="K937">
        <v>212</v>
      </c>
      <c r="L937">
        <f>IF(L216="","",L215)</f>
        <v>0</v>
      </c>
      <c r="M937">
        <v>212</v>
      </c>
      <c r="N937">
        <f>N215</f>
        <v>0</v>
      </c>
    </row>
    <row r="938" spans="5:14">
      <c r="E938">
        <v>213</v>
      </c>
      <c r="F938">
        <f>IF(F217="","",F216)</f>
        <v>0</v>
      </c>
      <c r="G938">
        <v>213</v>
      </c>
      <c r="H938">
        <f>H216</f>
        <v>0</v>
      </c>
      <c r="K938">
        <v>213</v>
      </c>
      <c r="L938">
        <f>IF(L217="","",L216)</f>
        <v>0</v>
      </c>
      <c r="M938">
        <v>213</v>
      </c>
      <c r="N938">
        <f>N216</f>
        <v>0</v>
      </c>
    </row>
    <row r="939" spans="5:14">
      <c r="E939">
        <v>214</v>
      </c>
      <c r="F939">
        <f>IF(F218="","",F217)</f>
        <v>0</v>
      </c>
      <c r="G939">
        <v>214</v>
      </c>
      <c r="H939">
        <f>H217</f>
        <v>0</v>
      </c>
      <c r="K939">
        <v>214</v>
      </c>
      <c r="L939">
        <f>IF(L218="","",L217)</f>
        <v>0</v>
      </c>
      <c r="M939">
        <v>214</v>
      </c>
      <c r="N939">
        <f>N217</f>
        <v>0</v>
      </c>
    </row>
    <row r="940" spans="5:14">
      <c r="E940">
        <v>215</v>
      </c>
      <c r="F940">
        <f>IF(F219="","",F218)</f>
        <v>0</v>
      </c>
      <c r="G940">
        <v>215</v>
      </c>
      <c r="H940">
        <f>H218</f>
        <v>0</v>
      </c>
      <c r="K940">
        <v>215</v>
      </c>
      <c r="L940">
        <f>IF(L219="","",L218)</f>
        <v>0</v>
      </c>
      <c r="M940">
        <v>215</v>
      </c>
      <c r="N940">
        <f>N218</f>
        <v>0</v>
      </c>
    </row>
    <row r="941" spans="5:14">
      <c r="E941">
        <v>216</v>
      </c>
      <c r="F941">
        <f>IF(F220="","",F219)</f>
        <v>0</v>
      </c>
      <c r="G941">
        <v>216</v>
      </c>
      <c r="H941">
        <f>H219</f>
        <v>0</v>
      </c>
      <c r="K941">
        <v>216</v>
      </c>
      <c r="L941">
        <f>IF(L220="","",L219)</f>
        <v>0</v>
      </c>
      <c r="M941">
        <v>216</v>
      </c>
      <c r="N941">
        <f>N219</f>
        <v>0</v>
      </c>
    </row>
    <row r="942" spans="5:14">
      <c r="E942">
        <v>217</v>
      </c>
      <c r="F942">
        <f>IF(F221="","",F220)</f>
        <v>0</v>
      </c>
      <c r="G942">
        <v>217</v>
      </c>
      <c r="H942">
        <f>H220</f>
        <v>0</v>
      </c>
      <c r="K942">
        <v>217</v>
      </c>
      <c r="L942">
        <f>IF(L221="","",L220)</f>
        <v>0</v>
      </c>
      <c r="M942">
        <v>217</v>
      </c>
      <c r="N942">
        <f>N220</f>
        <v>0</v>
      </c>
    </row>
    <row r="943" spans="5:14">
      <c r="E943">
        <v>218</v>
      </c>
      <c r="F943">
        <f>IF(F222="","",F221)</f>
        <v>0</v>
      </c>
      <c r="G943">
        <v>218</v>
      </c>
      <c r="H943">
        <f>H221</f>
        <v>0</v>
      </c>
      <c r="K943">
        <v>218</v>
      </c>
      <c r="L943">
        <f>IF(L222="","",L221)</f>
        <v>0</v>
      </c>
      <c r="M943">
        <v>218</v>
      </c>
      <c r="N943">
        <f>N221</f>
        <v>0</v>
      </c>
    </row>
    <row r="944" spans="5:14">
      <c r="E944">
        <v>219</v>
      </c>
      <c r="F944">
        <f>IF(F223="","",F222)</f>
        <v>0</v>
      </c>
      <c r="G944">
        <v>219</v>
      </c>
      <c r="H944">
        <f>H222</f>
        <v>0</v>
      </c>
      <c r="K944">
        <v>219</v>
      </c>
      <c r="L944">
        <f>IF(L223="","",L222)</f>
        <v>0</v>
      </c>
      <c r="M944">
        <v>219</v>
      </c>
      <c r="N944">
        <f>N222</f>
        <v>0</v>
      </c>
    </row>
    <row r="945" spans="5:14">
      <c r="E945">
        <v>220</v>
      </c>
      <c r="F945">
        <f>IF(F224="","",F223)</f>
        <v>0</v>
      </c>
      <c r="G945">
        <v>220</v>
      </c>
      <c r="H945">
        <f>H223</f>
        <v>0</v>
      </c>
      <c r="K945">
        <v>220</v>
      </c>
      <c r="L945">
        <f>IF(L224="","",L223)</f>
        <v>0</v>
      </c>
      <c r="M945">
        <v>220</v>
      </c>
      <c r="N945">
        <f>N223</f>
        <v>0</v>
      </c>
    </row>
    <row r="946" spans="5:14">
      <c r="E946">
        <v>221</v>
      </c>
      <c r="F946">
        <f>IF(F225="","",F224)</f>
        <v>0</v>
      </c>
      <c r="G946">
        <v>221</v>
      </c>
      <c r="H946">
        <f>H224</f>
        <v>0</v>
      </c>
      <c r="K946">
        <v>221</v>
      </c>
      <c r="L946">
        <f>IF(L225="","",L224)</f>
        <v>0</v>
      </c>
      <c r="M946">
        <v>221</v>
      </c>
      <c r="N946">
        <f>N224</f>
        <v>0</v>
      </c>
    </row>
    <row r="947" spans="5:14">
      <c r="E947">
        <v>222</v>
      </c>
      <c r="F947">
        <f>IF(F226="","",F225)</f>
        <v>0</v>
      </c>
      <c r="G947">
        <v>222</v>
      </c>
      <c r="H947">
        <f>H225</f>
        <v>0</v>
      </c>
      <c r="K947">
        <v>222</v>
      </c>
      <c r="L947">
        <f>IF(L226="","",L225)</f>
        <v>0</v>
      </c>
      <c r="M947">
        <v>222</v>
      </c>
      <c r="N947">
        <f>N225</f>
        <v>0</v>
      </c>
    </row>
    <row r="948" spans="5:14">
      <c r="E948">
        <v>223</v>
      </c>
      <c r="F948">
        <f>IF(F227="","",F226)</f>
        <v>0</v>
      </c>
      <c r="G948">
        <v>223</v>
      </c>
      <c r="H948">
        <f>H226</f>
        <v>0</v>
      </c>
      <c r="K948">
        <v>223</v>
      </c>
      <c r="L948">
        <f>IF(L227="","",L226)</f>
        <v>0</v>
      </c>
      <c r="M948">
        <v>223</v>
      </c>
      <c r="N948">
        <f>N226</f>
        <v>0</v>
      </c>
    </row>
    <row r="949" spans="5:14">
      <c r="E949">
        <v>224</v>
      </c>
      <c r="F949">
        <f>IF(F228="","",F227)</f>
        <v>0</v>
      </c>
      <c r="G949">
        <v>224</v>
      </c>
      <c r="H949">
        <f>H227</f>
        <v>0</v>
      </c>
      <c r="K949">
        <v>224</v>
      </c>
      <c r="L949">
        <f>IF(L228="","",L227)</f>
        <v>0</v>
      </c>
      <c r="M949">
        <v>224</v>
      </c>
      <c r="N949">
        <f>N227</f>
        <v>0</v>
      </c>
    </row>
    <row r="950" spans="5:14">
      <c r="E950">
        <v>225</v>
      </c>
      <c r="F950">
        <f>IF(F229="","",F228)</f>
        <v>0</v>
      </c>
      <c r="G950">
        <v>225</v>
      </c>
      <c r="H950">
        <f>H228</f>
        <v>0</v>
      </c>
      <c r="K950">
        <v>225</v>
      </c>
      <c r="L950">
        <f>IF(L229="","",L228)</f>
        <v>0</v>
      </c>
      <c r="M950">
        <v>225</v>
      </c>
      <c r="N950">
        <f>N228</f>
        <v>0</v>
      </c>
    </row>
    <row r="951" spans="5:14">
      <c r="E951">
        <v>226</v>
      </c>
      <c r="F951">
        <f>IF(F230="","",F229)</f>
        <v>0</v>
      </c>
      <c r="G951">
        <v>226</v>
      </c>
      <c r="H951">
        <f>H229</f>
        <v>0</v>
      </c>
      <c r="K951">
        <v>226</v>
      </c>
      <c r="L951">
        <f>IF(L230="","",L229)</f>
        <v>0</v>
      </c>
      <c r="M951">
        <v>226</v>
      </c>
      <c r="N951">
        <f>N229</f>
        <v>0</v>
      </c>
    </row>
    <row r="952" spans="5:14">
      <c r="E952">
        <v>227</v>
      </c>
      <c r="F952">
        <f>IF(F231="","",F230)</f>
        <v>0</v>
      </c>
      <c r="G952">
        <v>227</v>
      </c>
      <c r="H952">
        <f>H230</f>
        <v>0</v>
      </c>
      <c r="K952">
        <v>227</v>
      </c>
      <c r="L952">
        <f>IF(L231="","",L230)</f>
        <v>0</v>
      </c>
      <c r="M952">
        <v>227</v>
      </c>
      <c r="N952">
        <f>N230</f>
        <v>0</v>
      </c>
    </row>
    <row r="953" spans="5:14">
      <c r="E953">
        <v>228</v>
      </c>
      <c r="F953">
        <f>IF(F232="","",F231)</f>
        <v>0</v>
      </c>
      <c r="G953">
        <v>228</v>
      </c>
      <c r="H953">
        <f>H231</f>
        <v>0</v>
      </c>
      <c r="K953">
        <v>228</v>
      </c>
      <c r="L953">
        <f>IF(L232="","",L231)</f>
        <v>0</v>
      </c>
      <c r="M953">
        <v>228</v>
      </c>
      <c r="N953">
        <f>N231</f>
        <v>0</v>
      </c>
    </row>
    <row r="954" spans="5:14">
      <c r="E954">
        <v>229</v>
      </c>
      <c r="F954">
        <f>IF(F233="","",F232)</f>
        <v>0</v>
      </c>
      <c r="G954">
        <v>229</v>
      </c>
      <c r="H954">
        <f>H232</f>
        <v>0</v>
      </c>
      <c r="K954">
        <v>229</v>
      </c>
      <c r="L954">
        <f>IF(L233="","",L232)</f>
        <v>0</v>
      </c>
      <c r="M954">
        <v>229</v>
      </c>
      <c r="N954">
        <f>N232</f>
        <v>0</v>
      </c>
    </row>
    <row r="955" spans="5:14">
      <c r="E955">
        <v>230</v>
      </c>
      <c r="F955">
        <f>IF(F234="","",F233)</f>
        <v>0</v>
      </c>
      <c r="G955">
        <v>230</v>
      </c>
      <c r="H955">
        <f>H233</f>
        <v>0</v>
      </c>
      <c r="K955">
        <v>230</v>
      </c>
      <c r="L955">
        <f>IF(L234="","",L233)</f>
        <v>0</v>
      </c>
      <c r="M955">
        <v>230</v>
      </c>
      <c r="N955">
        <f>N233</f>
        <v>0</v>
      </c>
    </row>
    <row r="956" spans="5:14">
      <c r="E956">
        <v>231</v>
      </c>
      <c r="F956">
        <f>IF(F235="","",F234)</f>
        <v>0</v>
      </c>
      <c r="G956">
        <v>231</v>
      </c>
      <c r="H956">
        <f>H234</f>
        <v>0</v>
      </c>
      <c r="K956">
        <v>231</v>
      </c>
      <c r="L956">
        <f>IF(L235="","",L234)</f>
        <v>0</v>
      </c>
      <c r="M956">
        <v>231</v>
      </c>
      <c r="N956">
        <f>N234</f>
        <v>0</v>
      </c>
    </row>
    <row r="957" spans="5:14">
      <c r="E957">
        <v>232</v>
      </c>
      <c r="F957">
        <f>IF(F236="","",F235)</f>
        <v>0</v>
      </c>
      <c r="G957">
        <v>232</v>
      </c>
      <c r="H957">
        <f>H235</f>
        <v>0</v>
      </c>
      <c r="K957">
        <v>232</v>
      </c>
      <c r="L957">
        <f>IF(L236="","",L235)</f>
        <v>0</v>
      </c>
      <c r="M957">
        <v>232</v>
      </c>
      <c r="N957">
        <f>N235</f>
        <v>0</v>
      </c>
    </row>
    <row r="958" spans="5:14">
      <c r="E958">
        <v>233</v>
      </c>
      <c r="F958">
        <f>IF(F237="","",F236)</f>
        <v>0</v>
      </c>
      <c r="G958">
        <v>233</v>
      </c>
      <c r="H958">
        <f>H236</f>
        <v>0</v>
      </c>
      <c r="K958">
        <v>233</v>
      </c>
      <c r="L958">
        <f>IF(L237="","",L236)</f>
        <v>0</v>
      </c>
      <c r="M958">
        <v>233</v>
      </c>
      <c r="N958">
        <f>N236</f>
        <v>0</v>
      </c>
    </row>
    <row r="959" spans="5:14">
      <c r="E959">
        <v>234</v>
      </c>
      <c r="F959">
        <f>IF(F238="","",F237)</f>
        <v>0</v>
      </c>
      <c r="G959">
        <v>234</v>
      </c>
      <c r="H959">
        <f>H237</f>
        <v>0</v>
      </c>
      <c r="K959">
        <v>234</v>
      </c>
      <c r="L959">
        <f>IF(L238="","",L237)</f>
        <v>0</v>
      </c>
      <c r="M959">
        <v>234</v>
      </c>
      <c r="N959">
        <f>N237</f>
        <v>0</v>
      </c>
    </row>
    <row r="960" spans="5:14">
      <c r="E960">
        <v>235</v>
      </c>
      <c r="F960">
        <f>IF(F239="","",F238)</f>
        <v>0</v>
      </c>
      <c r="G960">
        <v>235</v>
      </c>
      <c r="H960">
        <f>H238</f>
        <v>0</v>
      </c>
      <c r="K960">
        <v>235</v>
      </c>
      <c r="L960">
        <f>IF(L239="","",L238)</f>
        <v>0</v>
      </c>
      <c r="M960">
        <v>235</v>
      </c>
      <c r="N960">
        <f>N238</f>
        <v>0</v>
      </c>
    </row>
    <row r="961" spans="5:14">
      <c r="E961">
        <v>236</v>
      </c>
      <c r="F961">
        <f>IF(F240="","",F239)</f>
        <v>0</v>
      </c>
      <c r="G961">
        <v>236</v>
      </c>
      <c r="H961">
        <f>H239</f>
        <v>0</v>
      </c>
      <c r="K961">
        <v>236</v>
      </c>
      <c r="L961">
        <f>IF(L240="","",L239)</f>
        <v>0</v>
      </c>
      <c r="M961">
        <v>236</v>
      </c>
      <c r="N961">
        <f>N239</f>
        <v>0</v>
      </c>
    </row>
    <row r="962" spans="5:14">
      <c r="E962">
        <v>237</v>
      </c>
      <c r="F962">
        <f>IF(F241="","",F240)</f>
        <v>0</v>
      </c>
      <c r="G962">
        <v>237</v>
      </c>
      <c r="H962">
        <f>H240</f>
        <v>0</v>
      </c>
      <c r="K962">
        <v>237</v>
      </c>
      <c r="L962">
        <f>IF(L241="","",L240)</f>
        <v>0</v>
      </c>
      <c r="M962">
        <v>237</v>
      </c>
      <c r="N962">
        <f>N240</f>
        <v>0</v>
      </c>
    </row>
    <row r="963" spans="5:14">
      <c r="E963">
        <v>238</v>
      </c>
      <c r="F963">
        <f>IF(F242="","",F241)</f>
        <v>0</v>
      </c>
      <c r="G963">
        <v>238</v>
      </c>
      <c r="H963">
        <f>H241</f>
        <v>0</v>
      </c>
      <c r="K963">
        <v>238</v>
      </c>
      <c r="L963">
        <f>IF(L242="","",L241)</f>
        <v>0</v>
      </c>
      <c r="M963">
        <v>238</v>
      </c>
      <c r="N963">
        <f>N241</f>
        <v>0</v>
      </c>
    </row>
    <row r="964" spans="5:14">
      <c r="E964">
        <v>239</v>
      </c>
      <c r="F964">
        <f>IF(F243="","",F242)</f>
        <v>0</v>
      </c>
      <c r="G964">
        <v>239</v>
      </c>
      <c r="H964">
        <f>H242</f>
        <v>0</v>
      </c>
      <c r="K964">
        <v>239</v>
      </c>
      <c r="L964">
        <f>IF(L243="","",L242)</f>
        <v>0</v>
      </c>
      <c r="M964">
        <v>239</v>
      </c>
      <c r="N964">
        <f>N242</f>
        <v>0</v>
      </c>
    </row>
    <row r="965" spans="5:14">
      <c r="E965">
        <v>240</v>
      </c>
      <c r="F965">
        <f>IF(F244="","",F243)</f>
        <v>0</v>
      </c>
      <c r="G965">
        <v>240</v>
      </c>
      <c r="H965">
        <f>H243</f>
        <v>0</v>
      </c>
      <c r="K965">
        <v>240</v>
      </c>
      <c r="L965">
        <f>IF(L244="","",L243)</f>
        <v>0</v>
      </c>
      <c r="M965">
        <v>240</v>
      </c>
      <c r="N965">
        <f>N243</f>
        <v>0</v>
      </c>
    </row>
    <row r="966" spans="5:14">
      <c r="E966">
        <v>241</v>
      </c>
      <c r="F966">
        <f>IF(F245="","",F244)</f>
        <v>0</v>
      </c>
      <c r="G966">
        <v>241</v>
      </c>
      <c r="H966">
        <f>H244</f>
        <v>0</v>
      </c>
      <c r="K966">
        <v>241</v>
      </c>
      <c r="L966">
        <f>IF(L245="","",L244)</f>
        <v>0</v>
      </c>
      <c r="M966">
        <v>241</v>
      </c>
      <c r="N966">
        <f>N244</f>
        <v>0</v>
      </c>
    </row>
    <row r="967" spans="5:14">
      <c r="E967">
        <v>242</v>
      </c>
      <c r="F967">
        <f>IF(F246="","",F245)</f>
        <v>0</v>
      </c>
      <c r="G967">
        <v>242</v>
      </c>
      <c r="H967">
        <f>H245</f>
        <v>0</v>
      </c>
      <c r="K967">
        <v>242</v>
      </c>
      <c r="L967">
        <f>IF(L246="","",L245)</f>
        <v>0</v>
      </c>
      <c r="M967">
        <v>242</v>
      </c>
      <c r="N967">
        <f>N245</f>
        <v>0</v>
      </c>
    </row>
    <row r="968" spans="5:14">
      <c r="E968">
        <v>243</v>
      </c>
      <c r="F968">
        <f>IF(F247="","",F246)</f>
        <v>0</v>
      </c>
      <c r="G968">
        <v>243</v>
      </c>
      <c r="H968">
        <f>H246</f>
        <v>0</v>
      </c>
      <c r="K968">
        <v>243</v>
      </c>
      <c r="L968">
        <f>IF(L247="","",L246)</f>
        <v>0</v>
      </c>
      <c r="M968">
        <v>243</v>
      </c>
      <c r="N968">
        <f>N246</f>
        <v>0</v>
      </c>
    </row>
    <row r="969" spans="5:14">
      <c r="E969">
        <v>244</v>
      </c>
      <c r="F969">
        <f>IF(F248="","",F247)</f>
        <v>0</v>
      </c>
      <c r="G969">
        <v>244</v>
      </c>
      <c r="H969">
        <f>H247</f>
        <v>0</v>
      </c>
      <c r="K969">
        <v>244</v>
      </c>
      <c r="L969">
        <f>IF(L248="","",L247)</f>
        <v>0</v>
      </c>
      <c r="M969">
        <v>244</v>
      </c>
      <c r="N969">
        <f>N247</f>
        <v>0</v>
      </c>
    </row>
    <row r="970" spans="5:14">
      <c r="E970">
        <v>245</v>
      </c>
      <c r="F970">
        <f>IF(F249="","",F248)</f>
        <v>0</v>
      </c>
      <c r="G970">
        <v>245</v>
      </c>
      <c r="H970">
        <f>H248</f>
        <v>0</v>
      </c>
      <c r="K970">
        <v>245</v>
      </c>
      <c r="L970">
        <f>IF(L249="","",L248)</f>
        <v>0</v>
      </c>
      <c r="M970">
        <v>245</v>
      </c>
      <c r="N970">
        <f>N248</f>
        <v>0</v>
      </c>
    </row>
    <row r="971" spans="5:14">
      <c r="E971">
        <v>246</v>
      </c>
      <c r="F971">
        <f>IF(F250="","",F249)</f>
        <v>0</v>
      </c>
      <c r="G971">
        <v>246</v>
      </c>
      <c r="H971">
        <f>H249</f>
        <v>0</v>
      </c>
      <c r="K971">
        <v>246</v>
      </c>
      <c r="L971">
        <f>IF(L250="","",L249)</f>
        <v>0</v>
      </c>
      <c r="M971">
        <v>246</v>
      </c>
      <c r="N971">
        <f>N249</f>
        <v>0</v>
      </c>
    </row>
    <row r="972" spans="5:14">
      <c r="E972">
        <v>247</v>
      </c>
      <c r="F972">
        <f>IF(F251="","",F250)</f>
        <v>0</v>
      </c>
      <c r="G972">
        <v>247</v>
      </c>
      <c r="H972">
        <f>H250</f>
        <v>0</v>
      </c>
      <c r="K972">
        <v>247</v>
      </c>
      <c r="L972">
        <f>IF(L251="","",L250)</f>
        <v>0</v>
      </c>
      <c r="M972">
        <v>247</v>
      </c>
      <c r="N972">
        <f>N250</f>
        <v>0</v>
      </c>
    </row>
    <row r="973" spans="5:14">
      <c r="E973">
        <v>248</v>
      </c>
      <c r="F973">
        <f>IF(F252="","",F251)</f>
        <v>0</v>
      </c>
      <c r="G973">
        <v>248</v>
      </c>
      <c r="H973">
        <f>H251</f>
        <v>0</v>
      </c>
      <c r="K973">
        <v>248</v>
      </c>
      <c r="L973">
        <f>IF(L252="","",L251)</f>
        <v>0</v>
      </c>
      <c r="M973">
        <v>248</v>
      </c>
      <c r="N973">
        <f>N251</f>
        <v>0</v>
      </c>
    </row>
    <row r="974" spans="5:14">
      <c r="E974">
        <v>249</v>
      </c>
      <c r="F974">
        <f>IF(F253="","",F252)</f>
        <v>0</v>
      </c>
      <c r="G974">
        <v>249</v>
      </c>
      <c r="H974">
        <f>H252</f>
        <v>0</v>
      </c>
      <c r="K974">
        <v>249</v>
      </c>
      <c r="L974">
        <f>IF(L253="","",L252)</f>
        <v>0</v>
      </c>
      <c r="M974">
        <v>249</v>
      </c>
      <c r="N974">
        <f>N252</f>
        <v>0</v>
      </c>
    </row>
    <row r="975" spans="5:14">
      <c r="E975">
        <v>250</v>
      </c>
      <c r="F975">
        <f>IF(F254="","",F253)</f>
        <v>0</v>
      </c>
      <c r="G975">
        <v>250</v>
      </c>
      <c r="H975">
        <f>H253</f>
        <v>0</v>
      </c>
      <c r="K975">
        <v>250</v>
      </c>
      <c r="L975">
        <f>IF(L254="","",L253)</f>
        <v>0</v>
      </c>
      <c r="M975">
        <v>250</v>
      </c>
      <c r="N975">
        <f>N253</f>
        <v>0</v>
      </c>
    </row>
    <row r="976" spans="5:14">
      <c r="E976">
        <v>251</v>
      </c>
      <c r="F976">
        <f>IF(F255="","",F254)</f>
        <v>0</v>
      </c>
      <c r="G976">
        <v>251</v>
      </c>
      <c r="H976">
        <f>H254</f>
        <v>0</v>
      </c>
      <c r="K976">
        <v>251</v>
      </c>
      <c r="L976">
        <f>IF(L255="","",L254)</f>
        <v>0</v>
      </c>
      <c r="M976">
        <v>251</v>
      </c>
      <c r="N976">
        <f>N254</f>
        <v>0</v>
      </c>
    </row>
    <row r="977" spans="5:14">
      <c r="E977">
        <v>252</v>
      </c>
      <c r="F977">
        <f>IF(F256="","",F255)</f>
        <v>0</v>
      </c>
      <c r="G977">
        <v>252</v>
      </c>
      <c r="H977">
        <f>H255</f>
        <v>0</v>
      </c>
      <c r="K977">
        <v>252</v>
      </c>
      <c r="L977">
        <f>IF(L256="","",L255)</f>
        <v>0</v>
      </c>
      <c r="M977">
        <v>252</v>
      </c>
      <c r="N977">
        <f>N255</f>
        <v>0</v>
      </c>
    </row>
    <row r="978" spans="5:14">
      <c r="E978">
        <v>253</v>
      </c>
      <c r="F978">
        <f>IF(F257="","",F256)</f>
        <v>0</v>
      </c>
      <c r="G978">
        <v>253</v>
      </c>
      <c r="H978">
        <f>H256</f>
        <v>0</v>
      </c>
      <c r="K978">
        <v>253</v>
      </c>
      <c r="L978">
        <f>IF(L257="","",L256)</f>
        <v>0</v>
      </c>
      <c r="M978">
        <v>253</v>
      </c>
      <c r="N978">
        <f>N256</f>
        <v>0</v>
      </c>
    </row>
    <row r="979" spans="5:14">
      <c r="E979">
        <v>254</v>
      </c>
      <c r="F979">
        <f>IF(F258="","",F257)</f>
        <v>0</v>
      </c>
      <c r="G979">
        <v>254</v>
      </c>
      <c r="H979">
        <f>H257</f>
        <v>0</v>
      </c>
      <c r="K979">
        <v>254</v>
      </c>
      <c r="L979">
        <f>IF(L258="","",L257)</f>
        <v>0</v>
      </c>
      <c r="M979">
        <v>254</v>
      </c>
      <c r="N979">
        <f>N257</f>
        <v>0</v>
      </c>
    </row>
    <row r="980" spans="5:14">
      <c r="E980">
        <v>255</v>
      </c>
      <c r="F980">
        <f>IF(F259="","",F258)</f>
        <v>0</v>
      </c>
      <c r="G980">
        <v>255</v>
      </c>
      <c r="H980">
        <f>H258</f>
        <v>0</v>
      </c>
      <c r="K980">
        <v>255</v>
      </c>
      <c r="L980">
        <f>IF(L259="","",L258)</f>
        <v>0</v>
      </c>
      <c r="M980">
        <v>255</v>
      </c>
      <c r="N980">
        <f>N258</f>
        <v>0</v>
      </c>
    </row>
    <row r="981" spans="5:14">
      <c r="E981">
        <v>256</v>
      </c>
      <c r="F981">
        <f>IF(F260="","",F259)</f>
        <v>0</v>
      </c>
      <c r="G981">
        <v>256</v>
      </c>
      <c r="H981">
        <f>H259</f>
        <v>0</v>
      </c>
      <c r="K981">
        <v>256</v>
      </c>
      <c r="L981">
        <f>IF(L260="","",L259)</f>
        <v>0</v>
      </c>
      <c r="M981">
        <v>256</v>
      </c>
      <c r="N981">
        <f>N259</f>
        <v>0</v>
      </c>
    </row>
    <row r="982" spans="5:14">
      <c r="E982">
        <v>257</v>
      </c>
      <c r="F982">
        <f>IF(F261="","",F260)</f>
        <v>0</v>
      </c>
      <c r="G982">
        <v>257</v>
      </c>
      <c r="H982">
        <f>H260</f>
        <v>0</v>
      </c>
      <c r="K982">
        <v>257</v>
      </c>
      <c r="L982">
        <f>IF(L261="","",L260)</f>
        <v>0</v>
      </c>
      <c r="M982">
        <v>257</v>
      </c>
      <c r="N982">
        <f>N260</f>
        <v>0</v>
      </c>
    </row>
    <row r="983" spans="5:14">
      <c r="E983">
        <v>258</v>
      </c>
      <c r="F983">
        <f>IF(F262="","",F261)</f>
        <v>0</v>
      </c>
      <c r="G983">
        <v>258</v>
      </c>
      <c r="H983">
        <f>H261</f>
        <v>0</v>
      </c>
      <c r="K983">
        <v>258</v>
      </c>
      <c r="L983">
        <f>IF(L262="","",L261)</f>
        <v>0</v>
      </c>
      <c r="M983">
        <v>258</v>
      </c>
      <c r="N983">
        <f>N261</f>
        <v>0</v>
      </c>
    </row>
    <row r="984" spans="5:14">
      <c r="E984">
        <v>259</v>
      </c>
      <c r="F984">
        <f>IF(F263="","",F262)</f>
        <v>0</v>
      </c>
      <c r="G984">
        <v>259</v>
      </c>
      <c r="H984">
        <f>H262</f>
        <v>0</v>
      </c>
      <c r="K984">
        <v>259</v>
      </c>
      <c r="L984">
        <f>IF(L263="","",L262)</f>
        <v>0</v>
      </c>
      <c r="M984">
        <v>259</v>
      </c>
      <c r="N984">
        <f>N262</f>
        <v>0</v>
      </c>
    </row>
    <row r="985" spans="5:14">
      <c r="E985">
        <v>260</v>
      </c>
      <c r="F985">
        <f>IF(F264="","",F263)</f>
        <v>0</v>
      </c>
      <c r="G985">
        <v>260</v>
      </c>
      <c r="H985">
        <f>H263</f>
        <v>0</v>
      </c>
      <c r="K985">
        <v>260</v>
      </c>
      <c r="L985">
        <f>IF(L264="","",L263)</f>
        <v>0</v>
      </c>
      <c r="M985">
        <v>260</v>
      </c>
      <c r="N985">
        <f>N263</f>
        <v>0</v>
      </c>
    </row>
    <row r="986" spans="5:14">
      <c r="E986">
        <v>261</v>
      </c>
      <c r="F986">
        <f>IF(F265="","",F264)</f>
        <v>0</v>
      </c>
      <c r="G986">
        <v>261</v>
      </c>
      <c r="H986">
        <f>H264</f>
        <v>0</v>
      </c>
      <c r="K986">
        <v>261</v>
      </c>
      <c r="L986">
        <f>IF(L265="","",L264)</f>
        <v>0</v>
      </c>
      <c r="M986">
        <v>261</v>
      </c>
      <c r="N986">
        <f>N264</f>
        <v>0</v>
      </c>
    </row>
    <row r="987" spans="5:14">
      <c r="E987">
        <v>262</v>
      </c>
      <c r="F987">
        <f>IF(F266="","",F265)</f>
        <v>0</v>
      </c>
      <c r="G987">
        <v>262</v>
      </c>
      <c r="H987">
        <f>H265</f>
        <v>0</v>
      </c>
      <c r="K987">
        <v>262</v>
      </c>
      <c r="L987">
        <f>IF(L266="","",L265)</f>
        <v>0</v>
      </c>
      <c r="M987">
        <v>262</v>
      </c>
      <c r="N987">
        <f>N265</f>
        <v>0</v>
      </c>
    </row>
    <row r="988" spans="5:14">
      <c r="E988">
        <v>263</v>
      </c>
      <c r="F988">
        <f>IF(F267="","",F266)</f>
        <v>0</v>
      </c>
      <c r="G988">
        <v>263</v>
      </c>
      <c r="H988">
        <f>H266</f>
        <v>0</v>
      </c>
      <c r="K988">
        <v>263</v>
      </c>
      <c r="L988">
        <f>IF(L267="","",L266)</f>
        <v>0</v>
      </c>
      <c r="M988">
        <v>263</v>
      </c>
      <c r="N988">
        <f>N266</f>
        <v>0</v>
      </c>
    </row>
    <row r="989" spans="5:14">
      <c r="E989">
        <v>264</v>
      </c>
      <c r="F989">
        <f>IF(F268="","",F267)</f>
        <v>0</v>
      </c>
      <c r="G989">
        <v>264</v>
      </c>
      <c r="H989">
        <f>H267</f>
        <v>0</v>
      </c>
      <c r="K989">
        <v>264</v>
      </c>
      <c r="L989">
        <f>IF(L268="","",L267)</f>
        <v>0</v>
      </c>
      <c r="M989">
        <v>264</v>
      </c>
      <c r="N989">
        <f>N267</f>
        <v>0</v>
      </c>
    </row>
    <row r="990" spans="5:14">
      <c r="E990">
        <v>265</v>
      </c>
      <c r="F990">
        <f>IF(F269="","",F268)</f>
        <v>0</v>
      </c>
      <c r="G990">
        <v>265</v>
      </c>
      <c r="H990">
        <f>H268</f>
        <v>0</v>
      </c>
      <c r="K990">
        <v>265</v>
      </c>
      <c r="L990">
        <f>IF(L269="","",L268)</f>
        <v>0</v>
      </c>
      <c r="M990">
        <v>265</v>
      </c>
      <c r="N990">
        <f>N268</f>
        <v>0</v>
      </c>
    </row>
    <row r="991" spans="5:14">
      <c r="E991">
        <v>266</v>
      </c>
      <c r="F991">
        <f>IF(F270="","",F269)</f>
        <v>0</v>
      </c>
      <c r="G991">
        <v>266</v>
      </c>
      <c r="H991">
        <f>H269</f>
        <v>0</v>
      </c>
      <c r="K991">
        <v>266</v>
      </c>
      <c r="L991">
        <f>IF(L270="","",L269)</f>
        <v>0</v>
      </c>
      <c r="M991">
        <v>266</v>
      </c>
      <c r="N991">
        <f>N269</f>
        <v>0</v>
      </c>
    </row>
    <row r="992" spans="5:14">
      <c r="E992">
        <v>267</v>
      </c>
      <c r="F992">
        <f>IF(F271="","",F270)</f>
        <v>0</v>
      </c>
      <c r="G992">
        <v>267</v>
      </c>
      <c r="H992">
        <f>H270</f>
        <v>0</v>
      </c>
      <c r="K992">
        <v>267</v>
      </c>
      <c r="L992">
        <f>IF(L271="","",L270)</f>
        <v>0</v>
      </c>
      <c r="M992">
        <v>267</v>
      </c>
      <c r="N992">
        <f>N270</f>
        <v>0</v>
      </c>
    </row>
    <row r="993" spans="5:14">
      <c r="E993">
        <v>268</v>
      </c>
      <c r="F993">
        <f>IF(F272="","",F271)</f>
        <v>0</v>
      </c>
      <c r="G993">
        <v>268</v>
      </c>
      <c r="H993">
        <f>H271</f>
        <v>0</v>
      </c>
      <c r="K993">
        <v>268</v>
      </c>
      <c r="L993">
        <f>IF(L272="","",L271)</f>
        <v>0</v>
      </c>
      <c r="M993">
        <v>268</v>
      </c>
      <c r="N993">
        <f>N271</f>
        <v>0</v>
      </c>
    </row>
    <row r="994" spans="5:14">
      <c r="E994">
        <v>269</v>
      </c>
      <c r="F994">
        <f>IF(F273="","",F272)</f>
        <v>0</v>
      </c>
      <c r="G994">
        <v>269</v>
      </c>
      <c r="H994">
        <f>H272</f>
        <v>0</v>
      </c>
      <c r="K994">
        <v>269</v>
      </c>
      <c r="L994">
        <f>IF(L273="","",L272)</f>
        <v>0</v>
      </c>
      <c r="M994">
        <v>269</v>
      </c>
      <c r="N994">
        <f>N272</f>
        <v>0</v>
      </c>
    </row>
    <row r="995" spans="5:14">
      <c r="E995">
        <v>270</v>
      </c>
      <c r="F995">
        <f>IF(F274="","",F273)</f>
        <v>0</v>
      </c>
      <c r="G995">
        <v>270</v>
      </c>
      <c r="H995">
        <f>H273</f>
        <v>0</v>
      </c>
      <c r="K995">
        <v>270</v>
      </c>
      <c r="L995">
        <f>IF(L274="","",L273)</f>
        <v>0</v>
      </c>
      <c r="M995">
        <v>270</v>
      </c>
      <c r="N995">
        <f>N273</f>
        <v>0</v>
      </c>
    </row>
    <row r="996" spans="5:14">
      <c r="E996">
        <v>271</v>
      </c>
      <c r="F996">
        <f>IF(F275="","",F274)</f>
        <v>0</v>
      </c>
      <c r="G996">
        <v>271</v>
      </c>
      <c r="H996">
        <f>H274</f>
        <v>0</v>
      </c>
      <c r="K996">
        <v>271</v>
      </c>
      <c r="L996">
        <f>IF(L275="","",L274)</f>
        <v>0</v>
      </c>
      <c r="M996">
        <v>271</v>
      </c>
      <c r="N996">
        <f>N274</f>
        <v>0</v>
      </c>
    </row>
    <row r="997" spans="5:14">
      <c r="E997">
        <v>272</v>
      </c>
      <c r="F997">
        <f>IF(F276="","",F275)</f>
        <v>0</v>
      </c>
      <c r="G997">
        <v>272</v>
      </c>
      <c r="H997">
        <f>H275</f>
        <v>0</v>
      </c>
      <c r="K997">
        <v>272</v>
      </c>
      <c r="L997">
        <f>IF(L276="","",L275)</f>
        <v>0</v>
      </c>
      <c r="M997">
        <v>272</v>
      </c>
      <c r="N997">
        <f>N275</f>
        <v>0</v>
      </c>
    </row>
    <row r="998" spans="5:14">
      <c r="E998">
        <v>273</v>
      </c>
      <c r="F998">
        <f>IF(F277="","",F276)</f>
        <v>0</v>
      </c>
      <c r="G998">
        <v>273</v>
      </c>
      <c r="H998">
        <f>H276</f>
        <v>0</v>
      </c>
      <c r="K998">
        <v>273</v>
      </c>
      <c r="L998">
        <f>IF(L277="","",L276)</f>
        <v>0</v>
      </c>
      <c r="M998">
        <v>273</v>
      </c>
      <c r="N998">
        <f>N276</f>
        <v>0</v>
      </c>
    </row>
    <row r="999" spans="5:14">
      <c r="E999">
        <v>274</v>
      </c>
      <c r="F999">
        <f>IF(F278="","",F277)</f>
        <v>0</v>
      </c>
      <c r="G999">
        <v>274</v>
      </c>
      <c r="H999">
        <f>H277</f>
        <v>0</v>
      </c>
      <c r="K999">
        <v>274</v>
      </c>
      <c r="L999">
        <f>IF(L278="","",L277)</f>
        <v>0</v>
      </c>
      <c r="M999">
        <v>274</v>
      </c>
      <c r="N999">
        <f>N277</f>
        <v>0</v>
      </c>
    </row>
    <row r="1000" spans="5:14">
      <c r="E1000">
        <v>275</v>
      </c>
      <c r="F1000">
        <f>IF(F279="","",F278)</f>
        <v>0</v>
      </c>
      <c r="G1000">
        <v>275</v>
      </c>
      <c r="H1000">
        <f>H278</f>
        <v>0</v>
      </c>
      <c r="K1000">
        <v>275</v>
      </c>
      <c r="L1000">
        <f>IF(L279="","",L278)</f>
        <v>0</v>
      </c>
      <c r="M1000">
        <v>275</v>
      </c>
      <c r="N1000">
        <f>N278</f>
        <v>0</v>
      </c>
    </row>
    <row r="1001" spans="5:14">
      <c r="E1001">
        <v>276</v>
      </c>
      <c r="F1001">
        <f>IF(F280="","",F279)</f>
        <v>0</v>
      </c>
      <c r="G1001">
        <v>276</v>
      </c>
      <c r="H1001">
        <f>H279</f>
        <v>0</v>
      </c>
      <c r="K1001">
        <v>276</v>
      </c>
      <c r="L1001">
        <f>IF(L280="","",L279)</f>
        <v>0</v>
      </c>
      <c r="M1001">
        <v>276</v>
      </c>
      <c r="N1001">
        <f>N279</f>
        <v>0</v>
      </c>
    </row>
    <row r="1002" spans="5:14">
      <c r="E1002">
        <v>277</v>
      </c>
      <c r="F1002">
        <f>IF(F281="","",F280)</f>
        <v>0</v>
      </c>
      <c r="G1002">
        <v>277</v>
      </c>
      <c r="H1002">
        <f>H280</f>
        <v>0</v>
      </c>
      <c r="K1002">
        <v>277</v>
      </c>
      <c r="L1002">
        <f>IF(L281="","",L280)</f>
        <v>0</v>
      </c>
      <c r="M1002">
        <v>277</v>
      </c>
      <c r="N1002">
        <f>N280</f>
        <v>0</v>
      </c>
    </row>
    <row r="1003" spans="5:14">
      <c r="E1003">
        <v>278</v>
      </c>
      <c r="F1003">
        <f>IF(F282="","",F281)</f>
        <v>0</v>
      </c>
      <c r="G1003">
        <v>278</v>
      </c>
      <c r="H1003">
        <f>H281</f>
        <v>0</v>
      </c>
      <c r="K1003">
        <v>278</v>
      </c>
      <c r="L1003">
        <f>IF(L282="","",L281)</f>
        <v>0</v>
      </c>
      <c r="M1003">
        <v>278</v>
      </c>
      <c r="N1003">
        <f>N281</f>
        <v>0</v>
      </c>
    </row>
    <row r="1004" spans="5:14">
      <c r="E1004">
        <v>279</v>
      </c>
      <c r="F1004">
        <f>IF(F283="","",F282)</f>
        <v>0</v>
      </c>
      <c r="G1004">
        <v>279</v>
      </c>
      <c r="H1004">
        <f>H282</f>
        <v>0</v>
      </c>
      <c r="K1004">
        <v>279</v>
      </c>
      <c r="L1004">
        <f>IF(L283="","",L282)</f>
        <v>0</v>
      </c>
      <c r="M1004">
        <v>279</v>
      </c>
      <c r="N1004">
        <f>N282</f>
        <v>0</v>
      </c>
    </row>
    <row r="1005" spans="5:14">
      <c r="E1005">
        <v>280</v>
      </c>
      <c r="F1005">
        <f>IF(F284="","",F283)</f>
        <v>0</v>
      </c>
      <c r="G1005">
        <v>280</v>
      </c>
      <c r="H1005">
        <f>H283</f>
        <v>0</v>
      </c>
      <c r="K1005">
        <v>280</v>
      </c>
      <c r="L1005">
        <f>IF(L284="","",L283)</f>
        <v>0</v>
      </c>
      <c r="M1005">
        <v>280</v>
      </c>
      <c r="N1005">
        <f>N283</f>
        <v>0</v>
      </c>
    </row>
    <row r="1006" spans="5:14">
      <c r="E1006">
        <v>281</v>
      </c>
      <c r="F1006">
        <f>IF(F285="","",F284)</f>
        <v>0</v>
      </c>
      <c r="G1006">
        <v>281</v>
      </c>
      <c r="H1006">
        <f>H284</f>
        <v>0</v>
      </c>
      <c r="K1006">
        <v>281</v>
      </c>
      <c r="L1006">
        <f>IF(L285="","",L284)</f>
        <v>0</v>
      </c>
      <c r="M1006">
        <v>281</v>
      </c>
      <c r="N1006">
        <f>N284</f>
        <v>0</v>
      </c>
    </row>
    <row r="1007" spans="5:14">
      <c r="E1007">
        <v>282</v>
      </c>
      <c r="F1007">
        <f>IF(F286="","",F285)</f>
        <v>0</v>
      </c>
      <c r="G1007">
        <v>282</v>
      </c>
      <c r="H1007">
        <f>H285</f>
        <v>0</v>
      </c>
      <c r="K1007">
        <v>282</v>
      </c>
      <c r="L1007">
        <f>IF(L286="","",L285)</f>
        <v>0</v>
      </c>
      <c r="M1007">
        <v>282</v>
      </c>
      <c r="N1007">
        <f>N285</f>
        <v>0</v>
      </c>
    </row>
    <row r="1008" spans="5:14">
      <c r="E1008">
        <v>283</v>
      </c>
      <c r="F1008">
        <f>IF(F287="","",F286)</f>
        <v>0</v>
      </c>
      <c r="G1008">
        <v>283</v>
      </c>
      <c r="H1008">
        <f>H286</f>
        <v>0</v>
      </c>
      <c r="K1008">
        <v>283</v>
      </c>
      <c r="L1008">
        <f>IF(L287="","",L286)</f>
        <v>0</v>
      </c>
      <c r="M1008">
        <v>283</v>
      </c>
      <c r="N1008">
        <f>N286</f>
        <v>0</v>
      </c>
    </row>
    <row r="1009" spans="5:14">
      <c r="E1009">
        <v>284</v>
      </c>
      <c r="F1009">
        <f>IF(F288="","",F287)</f>
        <v>0</v>
      </c>
      <c r="G1009">
        <v>284</v>
      </c>
      <c r="H1009">
        <f>H287</f>
        <v>0</v>
      </c>
      <c r="K1009">
        <v>284</v>
      </c>
      <c r="L1009">
        <f>IF(L288="","",L287)</f>
        <v>0</v>
      </c>
      <c r="M1009">
        <v>284</v>
      </c>
      <c r="N1009">
        <f>N287</f>
        <v>0</v>
      </c>
    </row>
    <row r="1010" spans="5:14">
      <c r="E1010">
        <v>285</v>
      </c>
      <c r="F1010">
        <f>IF(F289="","",F288)</f>
        <v>0</v>
      </c>
      <c r="G1010">
        <v>285</v>
      </c>
      <c r="H1010">
        <f>H288</f>
        <v>0</v>
      </c>
      <c r="K1010">
        <v>285</v>
      </c>
      <c r="L1010">
        <f>IF(L289="","",L288)</f>
        <v>0</v>
      </c>
      <c r="M1010">
        <v>285</v>
      </c>
      <c r="N1010">
        <f>N288</f>
        <v>0</v>
      </c>
    </row>
    <row r="1011" spans="5:14">
      <c r="E1011">
        <v>286</v>
      </c>
      <c r="F1011">
        <f>IF(F290="","",F289)</f>
        <v>0</v>
      </c>
      <c r="G1011">
        <v>286</v>
      </c>
      <c r="H1011">
        <f>H289</f>
        <v>0</v>
      </c>
      <c r="K1011">
        <v>286</v>
      </c>
      <c r="L1011">
        <f>IF(L290="","",L289)</f>
        <v>0</v>
      </c>
      <c r="M1011">
        <v>286</v>
      </c>
      <c r="N1011">
        <f>N289</f>
        <v>0</v>
      </c>
    </row>
    <row r="1012" spans="5:14">
      <c r="E1012">
        <v>287</v>
      </c>
      <c r="F1012">
        <f>IF(F291="","",F290)</f>
        <v>0</v>
      </c>
      <c r="G1012">
        <v>287</v>
      </c>
      <c r="H1012">
        <f>H290</f>
        <v>0</v>
      </c>
      <c r="K1012">
        <v>287</v>
      </c>
      <c r="L1012">
        <f>IF(L291="","",L290)</f>
        <v>0</v>
      </c>
      <c r="M1012">
        <v>287</v>
      </c>
      <c r="N1012">
        <f>N290</f>
        <v>0</v>
      </c>
    </row>
    <row r="1013" spans="5:14">
      <c r="E1013">
        <v>288</v>
      </c>
      <c r="F1013">
        <f>IF(F292="","",F291)</f>
        <v>0</v>
      </c>
      <c r="G1013">
        <v>288</v>
      </c>
      <c r="H1013">
        <f>H291</f>
        <v>0</v>
      </c>
      <c r="K1013">
        <v>288</v>
      </c>
      <c r="L1013">
        <f>IF(L292="","",L291)</f>
        <v>0</v>
      </c>
      <c r="M1013">
        <v>288</v>
      </c>
      <c r="N1013">
        <f>N291</f>
        <v>0</v>
      </c>
    </row>
    <row r="1014" spans="5:14">
      <c r="E1014">
        <v>289</v>
      </c>
      <c r="F1014">
        <f>IF(F293="","",F292)</f>
        <v>0</v>
      </c>
      <c r="G1014">
        <v>289</v>
      </c>
      <c r="H1014">
        <f>H292</f>
        <v>0</v>
      </c>
      <c r="K1014">
        <v>289</v>
      </c>
      <c r="L1014">
        <f>IF(L293="","",L292)</f>
        <v>0</v>
      </c>
      <c r="M1014">
        <v>289</v>
      </c>
      <c r="N1014">
        <f>N292</f>
        <v>0</v>
      </c>
    </row>
    <row r="1015" spans="5:14">
      <c r="E1015">
        <v>290</v>
      </c>
      <c r="F1015">
        <f>IF(F294="","",F293)</f>
        <v>0</v>
      </c>
      <c r="G1015">
        <v>290</v>
      </c>
      <c r="H1015">
        <f>H293</f>
        <v>0</v>
      </c>
      <c r="K1015">
        <v>290</v>
      </c>
      <c r="L1015">
        <f>IF(L294="","",L293)</f>
        <v>0</v>
      </c>
      <c r="M1015">
        <v>290</v>
      </c>
      <c r="N1015">
        <f>N293</f>
        <v>0</v>
      </c>
    </row>
    <row r="1016" spans="5:14">
      <c r="E1016">
        <v>291</v>
      </c>
      <c r="F1016">
        <f>IF(F295="","",F294)</f>
        <v>0</v>
      </c>
      <c r="G1016">
        <v>291</v>
      </c>
      <c r="H1016">
        <f>H294</f>
        <v>0</v>
      </c>
      <c r="K1016">
        <v>291</v>
      </c>
      <c r="L1016">
        <f>IF(L295="","",L294)</f>
        <v>0</v>
      </c>
      <c r="M1016">
        <v>291</v>
      </c>
      <c r="N1016">
        <f>N294</f>
        <v>0</v>
      </c>
    </row>
    <row r="1017" spans="5:14">
      <c r="E1017">
        <v>292</v>
      </c>
      <c r="F1017">
        <f>IF(F296="","",F295)</f>
        <v>0</v>
      </c>
      <c r="G1017">
        <v>292</v>
      </c>
      <c r="H1017">
        <f>H295</f>
        <v>0</v>
      </c>
      <c r="K1017">
        <v>292</v>
      </c>
      <c r="L1017">
        <f>IF(L296="","",L295)</f>
        <v>0</v>
      </c>
      <c r="M1017">
        <v>292</v>
      </c>
      <c r="N1017">
        <f>N295</f>
        <v>0</v>
      </c>
    </row>
    <row r="1018" spans="5:14">
      <c r="E1018">
        <v>293</v>
      </c>
      <c r="F1018">
        <f>IF(F297="","",F296)</f>
        <v>0</v>
      </c>
      <c r="G1018">
        <v>293</v>
      </c>
      <c r="H1018">
        <f>H296</f>
        <v>0</v>
      </c>
      <c r="K1018">
        <v>293</v>
      </c>
      <c r="L1018">
        <f>IF(L297="","",L296)</f>
        <v>0</v>
      </c>
      <c r="M1018">
        <v>293</v>
      </c>
      <c r="N1018">
        <f>N296</f>
        <v>0</v>
      </c>
    </row>
    <row r="1019" spans="5:14">
      <c r="E1019">
        <v>294</v>
      </c>
      <c r="F1019">
        <f>IF(F298="","",F297)</f>
        <v>0</v>
      </c>
      <c r="G1019">
        <v>294</v>
      </c>
      <c r="H1019">
        <f>H297</f>
        <v>0</v>
      </c>
      <c r="K1019">
        <v>294</v>
      </c>
      <c r="L1019">
        <f>IF(L298="","",L297)</f>
        <v>0</v>
      </c>
      <c r="M1019">
        <v>294</v>
      </c>
      <c r="N1019">
        <f>N297</f>
        <v>0</v>
      </c>
    </row>
    <row r="1020" spans="5:14">
      <c r="E1020">
        <v>295</v>
      </c>
      <c r="F1020">
        <f>IF(F299="","",F298)</f>
        <v>0</v>
      </c>
      <c r="G1020">
        <v>295</v>
      </c>
      <c r="H1020">
        <f>H298</f>
        <v>0</v>
      </c>
      <c r="K1020">
        <v>295</v>
      </c>
      <c r="L1020">
        <f>IF(L299="","",L298)</f>
        <v>0</v>
      </c>
      <c r="M1020">
        <v>295</v>
      </c>
      <c r="N1020">
        <f>N298</f>
        <v>0</v>
      </c>
    </row>
    <row r="1021" spans="5:14">
      <c r="E1021">
        <v>296</v>
      </c>
      <c r="F1021">
        <f>IF(F300="","",F299)</f>
        <v>0</v>
      </c>
      <c r="G1021">
        <v>296</v>
      </c>
      <c r="H1021">
        <f>H299</f>
        <v>0</v>
      </c>
      <c r="K1021">
        <v>296</v>
      </c>
      <c r="L1021">
        <f>IF(L300="","",L299)</f>
        <v>0</v>
      </c>
      <c r="M1021">
        <v>296</v>
      </c>
      <c r="N1021">
        <f>N299</f>
        <v>0</v>
      </c>
    </row>
    <row r="1022" spans="5:14">
      <c r="E1022">
        <v>297</v>
      </c>
      <c r="F1022">
        <f>IF(F301="","",F300)</f>
        <v>0</v>
      </c>
      <c r="G1022">
        <v>297</v>
      </c>
      <c r="H1022">
        <f>H300</f>
        <v>0</v>
      </c>
      <c r="K1022">
        <v>297</v>
      </c>
      <c r="L1022">
        <f>IF(L301="","",L300)</f>
        <v>0</v>
      </c>
      <c r="M1022">
        <v>297</v>
      </c>
      <c r="N1022">
        <f>N300</f>
        <v>0</v>
      </c>
    </row>
    <row r="1023" spans="5:14">
      <c r="E1023">
        <v>298</v>
      </c>
      <c r="F1023">
        <f>IF(F302="","",F301)</f>
        <v>0</v>
      </c>
      <c r="G1023">
        <v>298</v>
      </c>
      <c r="H1023">
        <f>H301</f>
        <v>0</v>
      </c>
      <c r="K1023">
        <v>298</v>
      </c>
      <c r="L1023">
        <f>IF(L302="","",L301)</f>
        <v>0</v>
      </c>
      <c r="M1023">
        <v>298</v>
      </c>
      <c r="N1023">
        <f>N301</f>
        <v>0</v>
      </c>
    </row>
    <row r="1024" spans="5:14">
      <c r="E1024">
        <v>299</v>
      </c>
      <c r="F1024">
        <f>IF(F303="","",F302)</f>
        <v>0</v>
      </c>
      <c r="G1024">
        <v>299</v>
      </c>
      <c r="H1024">
        <f>H302</f>
        <v>0</v>
      </c>
      <c r="K1024">
        <v>299</v>
      </c>
      <c r="L1024">
        <f>IF(L303="","",L302)</f>
        <v>0</v>
      </c>
      <c r="M1024">
        <v>299</v>
      </c>
      <c r="N1024">
        <f>N302</f>
        <v>0</v>
      </c>
    </row>
    <row r="1025" spans="5:14">
      <c r="E1025">
        <v>300</v>
      </c>
      <c r="F1025">
        <f>IF(F304="","",F303)</f>
        <v>0</v>
      </c>
      <c r="G1025">
        <v>300</v>
      </c>
      <c r="H1025">
        <f>H303</f>
        <v>0</v>
      </c>
      <c r="K1025">
        <v>300</v>
      </c>
      <c r="L1025">
        <f>IF(L304="","",L303)</f>
        <v>0</v>
      </c>
      <c r="M1025">
        <v>300</v>
      </c>
      <c r="N1025">
        <f>N303</f>
        <v>0</v>
      </c>
    </row>
    <row r="1026" spans="5:14">
      <c r="E1026">
        <v>301</v>
      </c>
      <c r="F1026">
        <f>IF(F305="","",F304)</f>
        <v>0</v>
      </c>
      <c r="G1026">
        <v>301</v>
      </c>
      <c r="H1026">
        <f>H304</f>
        <v>0</v>
      </c>
      <c r="K1026">
        <v>301</v>
      </c>
      <c r="L1026">
        <f>IF(L305="","",L304)</f>
        <v>0</v>
      </c>
      <c r="M1026">
        <v>301</v>
      </c>
      <c r="N1026">
        <f>N304</f>
        <v>0</v>
      </c>
    </row>
    <row r="1027" spans="5:14">
      <c r="E1027">
        <v>302</v>
      </c>
      <c r="F1027">
        <f>IF(F306="","",F305)</f>
        <v>0</v>
      </c>
      <c r="G1027">
        <v>302</v>
      </c>
      <c r="H1027">
        <f>H305</f>
        <v>0</v>
      </c>
      <c r="K1027">
        <v>302</v>
      </c>
      <c r="L1027">
        <f>IF(L306="","",L305)</f>
        <v>0</v>
      </c>
      <c r="M1027">
        <v>302</v>
      </c>
      <c r="N1027">
        <f>N305</f>
        <v>0</v>
      </c>
    </row>
    <row r="1028" spans="5:14">
      <c r="E1028">
        <v>303</v>
      </c>
      <c r="F1028">
        <f>IF(F307="","",F306)</f>
        <v>0</v>
      </c>
      <c r="G1028">
        <v>303</v>
      </c>
      <c r="H1028">
        <f>H306</f>
        <v>0</v>
      </c>
      <c r="K1028">
        <v>303</v>
      </c>
      <c r="L1028">
        <f>IF(L307="","",L306)</f>
        <v>0</v>
      </c>
      <c r="M1028">
        <v>303</v>
      </c>
      <c r="N1028">
        <f>N306</f>
        <v>0</v>
      </c>
    </row>
    <row r="1029" spans="5:14">
      <c r="E1029">
        <v>304</v>
      </c>
      <c r="F1029">
        <f>IF(F308="","",F307)</f>
        <v>0</v>
      </c>
      <c r="G1029">
        <v>304</v>
      </c>
      <c r="H1029">
        <f>H307</f>
        <v>0</v>
      </c>
      <c r="K1029">
        <v>304</v>
      </c>
      <c r="L1029">
        <f>IF(L308="","",L307)</f>
        <v>0</v>
      </c>
      <c r="M1029">
        <v>304</v>
      </c>
      <c r="N1029">
        <f>N307</f>
        <v>0</v>
      </c>
    </row>
    <row r="1030" spans="5:14">
      <c r="E1030">
        <v>305</v>
      </c>
      <c r="F1030">
        <f>IF(F309="","",F308)</f>
        <v>0</v>
      </c>
      <c r="G1030">
        <v>305</v>
      </c>
      <c r="H1030">
        <f>H308</f>
        <v>0</v>
      </c>
      <c r="K1030">
        <v>305</v>
      </c>
      <c r="L1030">
        <f>IF(L309="","",L308)</f>
        <v>0</v>
      </c>
      <c r="M1030">
        <v>305</v>
      </c>
      <c r="N1030">
        <f>N308</f>
        <v>0</v>
      </c>
    </row>
    <row r="1031" spans="5:14">
      <c r="E1031">
        <v>306</v>
      </c>
      <c r="F1031">
        <f>IF(F310="","",F309)</f>
        <v>0</v>
      </c>
      <c r="G1031">
        <v>306</v>
      </c>
      <c r="H1031">
        <f>H309</f>
        <v>0</v>
      </c>
      <c r="K1031">
        <v>306</v>
      </c>
      <c r="L1031">
        <f>IF(L310="","",L309)</f>
        <v>0</v>
      </c>
      <c r="M1031">
        <v>306</v>
      </c>
      <c r="N1031">
        <f>N309</f>
        <v>0</v>
      </c>
    </row>
    <row r="1032" spans="5:14">
      <c r="E1032">
        <v>307</v>
      </c>
      <c r="F1032">
        <f>IF(F311="","",F310)</f>
        <v>0</v>
      </c>
      <c r="G1032">
        <v>307</v>
      </c>
      <c r="H1032">
        <f>H310</f>
        <v>0</v>
      </c>
      <c r="K1032">
        <v>307</v>
      </c>
      <c r="L1032">
        <f>IF(L311="","",L310)</f>
        <v>0</v>
      </c>
      <c r="M1032">
        <v>307</v>
      </c>
      <c r="N1032">
        <f>N310</f>
        <v>0</v>
      </c>
    </row>
    <row r="1033" spans="5:14">
      <c r="E1033">
        <v>308</v>
      </c>
      <c r="F1033">
        <f>IF(F312="","",F311)</f>
        <v>0</v>
      </c>
      <c r="G1033">
        <v>308</v>
      </c>
      <c r="H1033">
        <f>H311</f>
        <v>0</v>
      </c>
      <c r="K1033">
        <v>308</v>
      </c>
      <c r="L1033">
        <f>IF(L312="","",L311)</f>
        <v>0</v>
      </c>
      <c r="M1033">
        <v>308</v>
      </c>
      <c r="N1033">
        <f>N311</f>
        <v>0</v>
      </c>
    </row>
    <row r="1034" spans="5:14">
      <c r="E1034">
        <v>309</v>
      </c>
      <c r="F1034">
        <f>IF(F313="","",F312)</f>
        <v>0</v>
      </c>
      <c r="G1034">
        <v>309</v>
      </c>
      <c r="H1034">
        <f>H312</f>
        <v>0</v>
      </c>
      <c r="K1034">
        <v>309</v>
      </c>
      <c r="L1034">
        <f>IF(L313="","",L312)</f>
        <v>0</v>
      </c>
      <c r="M1034">
        <v>309</v>
      </c>
      <c r="N1034">
        <f>N312</f>
        <v>0</v>
      </c>
    </row>
    <row r="1035" spans="5:14">
      <c r="E1035">
        <v>310</v>
      </c>
      <c r="F1035">
        <f>IF(F314="","",F313)</f>
        <v>0</v>
      </c>
      <c r="G1035">
        <v>310</v>
      </c>
      <c r="H1035">
        <f>H313</f>
        <v>0</v>
      </c>
      <c r="K1035">
        <v>310</v>
      </c>
      <c r="L1035">
        <f>IF(L314="","",L313)</f>
        <v>0</v>
      </c>
      <c r="M1035">
        <v>310</v>
      </c>
      <c r="N1035">
        <f>N313</f>
        <v>0</v>
      </c>
    </row>
    <row r="1036" spans="5:14">
      <c r="E1036">
        <v>311</v>
      </c>
      <c r="F1036">
        <f>IF(F315="","",F314)</f>
        <v>0</v>
      </c>
      <c r="G1036">
        <v>311</v>
      </c>
      <c r="H1036">
        <f>H314</f>
        <v>0</v>
      </c>
      <c r="K1036">
        <v>311</v>
      </c>
      <c r="L1036">
        <f>IF(L315="","",L314)</f>
        <v>0</v>
      </c>
      <c r="M1036">
        <v>311</v>
      </c>
      <c r="N1036">
        <f>N314</f>
        <v>0</v>
      </c>
    </row>
    <row r="1037" spans="5:14">
      <c r="E1037">
        <v>312</v>
      </c>
      <c r="F1037">
        <f>IF(F316="","",F315)</f>
        <v>0</v>
      </c>
      <c r="G1037">
        <v>312</v>
      </c>
      <c r="H1037">
        <f>H315</f>
        <v>0</v>
      </c>
      <c r="K1037">
        <v>312</v>
      </c>
      <c r="L1037">
        <f>IF(L316="","",L315)</f>
        <v>0</v>
      </c>
      <c r="M1037">
        <v>312</v>
      </c>
      <c r="N1037">
        <f>N315</f>
        <v>0</v>
      </c>
    </row>
    <row r="1038" spans="5:14">
      <c r="E1038">
        <v>313</v>
      </c>
      <c r="F1038">
        <f>IF(F317="","",F316)</f>
        <v>0</v>
      </c>
      <c r="G1038">
        <v>313</v>
      </c>
      <c r="H1038">
        <f>H316</f>
        <v>0</v>
      </c>
      <c r="K1038">
        <v>313</v>
      </c>
      <c r="L1038">
        <f>IF(L317="","",L316)</f>
        <v>0</v>
      </c>
      <c r="M1038">
        <v>313</v>
      </c>
      <c r="N1038">
        <f>N316</f>
        <v>0</v>
      </c>
    </row>
    <row r="1039" spans="5:14">
      <c r="E1039">
        <v>314</v>
      </c>
      <c r="F1039">
        <f>IF(F318="","",F317)</f>
        <v>0</v>
      </c>
      <c r="G1039">
        <v>314</v>
      </c>
      <c r="H1039">
        <f>H317</f>
        <v>0</v>
      </c>
      <c r="K1039">
        <v>314</v>
      </c>
      <c r="L1039">
        <f>IF(L318="","",L317)</f>
        <v>0</v>
      </c>
      <c r="M1039">
        <v>314</v>
      </c>
      <c r="N1039">
        <f>N317</f>
        <v>0</v>
      </c>
    </row>
    <row r="1040" spans="5:14">
      <c r="E1040">
        <v>315</v>
      </c>
      <c r="F1040">
        <f>IF(F319="","",F318)</f>
        <v>0</v>
      </c>
      <c r="G1040">
        <v>315</v>
      </c>
      <c r="H1040">
        <f>H318</f>
        <v>0</v>
      </c>
      <c r="K1040">
        <v>315</v>
      </c>
      <c r="L1040">
        <f>IF(L319="","",L318)</f>
        <v>0</v>
      </c>
      <c r="M1040">
        <v>315</v>
      </c>
      <c r="N1040">
        <f>N318</f>
        <v>0</v>
      </c>
    </row>
    <row r="1041" spans="5:14">
      <c r="E1041">
        <v>316</v>
      </c>
      <c r="F1041">
        <f>IF(F320="","",F319)</f>
        <v>0</v>
      </c>
      <c r="G1041">
        <v>316</v>
      </c>
      <c r="H1041">
        <f>H319</f>
        <v>0</v>
      </c>
      <c r="K1041">
        <v>316</v>
      </c>
      <c r="L1041">
        <f>IF(L320="","",L319)</f>
        <v>0</v>
      </c>
      <c r="M1041">
        <v>316</v>
      </c>
      <c r="N1041">
        <f>N319</f>
        <v>0</v>
      </c>
    </row>
    <row r="1042" spans="5:14">
      <c r="E1042">
        <v>317</v>
      </c>
      <c r="F1042">
        <f>IF(F321="","",F320)</f>
        <v>0</v>
      </c>
      <c r="G1042">
        <v>317</v>
      </c>
      <c r="H1042">
        <f>H320</f>
        <v>0</v>
      </c>
      <c r="K1042">
        <v>317</v>
      </c>
      <c r="L1042">
        <f>IF(L321="","",L320)</f>
        <v>0</v>
      </c>
      <c r="M1042">
        <v>317</v>
      </c>
      <c r="N1042">
        <f>N320</f>
        <v>0</v>
      </c>
    </row>
    <row r="1043" spans="5:14">
      <c r="E1043">
        <v>318</v>
      </c>
      <c r="F1043">
        <f>IF(F322="","",F321)</f>
        <v>0</v>
      </c>
      <c r="G1043">
        <v>318</v>
      </c>
      <c r="H1043">
        <f>H321</f>
        <v>0</v>
      </c>
      <c r="K1043">
        <v>318</v>
      </c>
      <c r="L1043">
        <f>IF(L322="","",L321)</f>
        <v>0</v>
      </c>
      <c r="M1043">
        <v>318</v>
      </c>
      <c r="N1043">
        <f>N321</f>
        <v>0</v>
      </c>
    </row>
    <row r="1044" spans="5:14">
      <c r="E1044">
        <v>319</v>
      </c>
      <c r="F1044">
        <f>IF(F323="","",F322)</f>
        <v>0</v>
      </c>
      <c r="G1044">
        <v>319</v>
      </c>
      <c r="H1044">
        <f>H322</f>
        <v>0</v>
      </c>
      <c r="K1044">
        <v>319</v>
      </c>
      <c r="L1044">
        <f>IF(L323="","",L322)</f>
        <v>0</v>
      </c>
      <c r="M1044">
        <v>319</v>
      </c>
      <c r="N1044">
        <f>N322</f>
        <v>0</v>
      </c>
    </row>
    <row r="1045" spans="5:14">
      <c r="E1045">
        <v>320</v>
      </c>
      <c r="F1045">
        <f>IF(F324="","",F323)</f>
        <v>0</v>
      </c>
      <c r="G1045">
        <v>320</v>
      </c>
      <c r="H1045">
        <f>H323</f>
        <v>0</v>
      </c>
      <c r="K1045">
        <v>320</v>
      </c>
      <c r="L1045">
        <f>IF(L324="","",L323)</f>
        <v>0</v>
      </c>
      <c r="M1045">
        <v>320</v>
      </c>
      <c r="N1045">
        <f>N323</f>
        <v>0</v>
      </c>
    </row>
    <row r="1046" spans="5:14">
      <c r="E1046">
        <v>321</v>
      </c>
      <c r="F1046">
        <f>IF(F325="","",F324)</f>
        <v>0</v>
      </c>
      <c r="G1046">
        <v>321</v>
      </c>
      <c r="H1046">
        <f>H324</f>
        <v>0</v>
      </c>
      <c r="K1046">
        <v>321</v>
      </c>
      <c r="L1046">
        <f>IF(L325="","",L324)</f>
        <v>0</v>
      </c>
      <c r="M1046">
        <v>321</v>
      </c>
      <c r="N1046">
        <f>N324</f>
        <v>0</v>
      </c>
    </row>
    <row r="1047" spans="5:14">
      <c r="E1047">
        <v>322</v>
      </c>
      <c r="F1047">
        <f>IF(F326="","",F325)</f>
        <v>0</v>
      </c>
      <c r="G1047">
        <v>322</v>
      </c>
      <c r="H1047">
        <f>H325</f>
        <v>0</v>
      </c>
      <c r="K1047">
        <v>322</v>
      </c>
      <c r="L1047">
        <f>IF(L326="","",L325)</f>
        <v>0</v>
      </c>
      <c r="M1047">
        <v>322</v>
      </c>
      <c r="N1047">
        <f>N325</f>
        <v>0</v>
      </c>
    </row>
    <row r="1048" spans="5:14">
      <c r="E1048">
        <v>323</v>
      </c>
      <c r="F1048">
        <f>IF(F327="","",F326)</f>
        <v>0</v>
      </c>
      <c r="G1048">
        <v>323</v>
      </c>
      <c r="H1048">
        <f>H326</f>
        <v>0</v>
      </c>
      <c r="K1048">
        <v>323</v>
      </c>
      <c r="L1048">
        <f>IF(L327="","",L326)</f>
        <v>0</v>
      </c>
      <c r="M1048">
        <v>323</v>
      </c>
      <c r="N1048">
        <f>N326</f>
        <v>0</v>
      </c>
    </row>
    <row r="1049" spans="5:14">
      <c r="E1049">
        <v>324</v>
      </c>
      <c r="F1049">
        <f>IF(F328="","",F327)</f>
        <v>0</v>
      </c>
      <c r="G1049">
        <v>324</v>
      </c>
      <c r="H1049">
        <f>H327</f>
        <v>0</v>
      </c>
      <c r="K1049">
        <v>324</v>
      </c>
      <c r="L1049">
        <f>IF(L328="","",L327)</f>
        <v>0</v>
      </c>
      <c r="M1049">
        <v>324</v>
      </c>
      <c r="N1049">
        <f>N327</f>
        <v>0</v>
      </c>
    </row>
    <row r="1050" spans="5:14">
      <c r="E1050">
        <v>325</v>
      </c>
      <c r="F1050">
        <f>IF(F329="","",F328)</f>
        <v>0</v>
      </c>
      <c r="G1050">
        <v>325</v>
      </c>
      <c r="H1050">
        <f>H328</f>
        <v>0</v>
      </c>
      <c r="K1050">
        <v>325</v>
      </c>
      <c r="L1050">
        <f>IF(L329="","",L328)</f>
        <v>0</v>
      </c>
      <c r="M1050">
        <v>325</v>
      </c>
      <c r="N1050">
        <f>N328</f>
        <v>0</v>
      </c>
    </row>
    <row r="1051" spans="5:14">
      <c r="E1051">
        <v>326</v>
      </c>
      <c r="F1051">
        <f>IF(F330="","",F329)</f>
        <v>0</v>
      </c>
      <c r="G1051">
        <v>326</v>
      </c>
      <c r="H1051">
        <f>H329</f>
        <v>0</v>
      </c>
      <c r="K1051">
        <v>326</v>
      </c>
      <c r="L1051">
        <f>IF(L330="","",L329)</f>
        <v>0</v>
      </c>
      <c r="M1051">
        <v>326</v>
      </c>
      <c r="N1051">
        <f>N329</f>
        <v>0</v>
      </c>
    </row>
    <row r="1052" spans="5:14">
      <c r="E1052">
        <v>327</v>
      </c>
      <c r="F1052">
        <f>IF(F331="","",F330)</f>
        <v>0</v>
      </c>
      <c r="G1052">
        <v>327</v>
      </c>
      <c r="H1052">
        <f>H330</f>
        <v>0</v>
      </c>
      <c r="K1052">
        <v>327</v>
      </c>
      <c r="L1052">
        <f>IF(L331="","",L330)</f>
        <v>0</v>
      </c>
      <c r="M1052">
        <v>327</v>
      </c>
      <c r="N1052">
        <f>N330</f>
        <v>0</v>
      </c>
    </row>
    <row r="1053" spans="5:14">
      <c r="E1053">
        <v>328</v>
      </c>
      <c r="F1053">
        <f>IF(F332="","",F331)</f>
        <v>0</v>
      </c>
      <c r="G1053">
        <v>328</v>
      </c>
      <c r="H1053">
        <f>H331</f>
        <v>0</v>
      </c>
      <c r="K1053">
        <v>328</v>
      </c>
      <c r="L1053">
        <f>IF(L332="","",L331)</f>
        <v>0</v>
      </c>
      <c r="M1053">
        <v>328</v>
      </c>
      <c r="N1053">
        <f>N331</f>
        <v>0</v>
      </c>
    </row>
    <row r="1054" spans="5:14">
      <c r="E1054">
        <v>329</v>
      </c>
      <c r="F1054">
        <f>IF(F333="","",F332)</f>
        <v>0</v>
      </c>
      <c r="G1054">
        <v>329</v>
      </c>
      <c r="H1054">
        <f>H332</f>
        <v>0</v>
      </c>
      <c r="K1054">
        <v>329</v>
      </c>
      <c r="L1054">
        <f>IF(L333="","",L332)</f>
        <v>0</v>
      </c>
      <c r="M1054">
        <v>329</v>
      </c>
      <c r="N1054">
        <f>N332</f>
        <v>0</v>
      </c>
    </row>
    <row r="1055" spans="5:14">
      <c r="E1055">
        <v>330</v>
      </c>
      <c r="F1055">
        <f>IF(F334="","",F333)</f>
        <v>0</v>
      </c>
      <c r="G1055">
        <v>330</v>
      </c>
      <c r="H1055">
        <f>H333</f>
        <v>0</v>
      </c>
      <c r="K1055">
        <v>330</v>
      </c>
      <c r="L1055">
        <f>IF(L334="","",L333)</f>
        <v>0</v>
      </c>
      <c r="M1055">
        <v>330</v>
      </c>
      <c r="N1055">
        <f>N333</f>
        <v>0</v>
      </c>
    </row>
    <row r="1056" spans="5:14">
      <c r="E1056">
        <v>331</v>
      </c>
      <c r="F1056">
        <f>IF(F335="","",F334)</f>
        <v>0</v>
      </c>
      <c r="G1056">
        <v>331</v>
      </c>
      <c r="H1056">
        <f>H334</f>
        <v>0</v>
      </c>
      <c r="K1056">
        <v>331</v>
      </c>
      <c r="L1056">
        <f>IF(L335="","",L334)</f>
        <v>0</v>
      </c>
      <c r="M1056">
        <v>331</v>
      </c>
      <c r="N1056">
        <f>N334</f>
        <v>0</v>
      </c>
    </row>
    <row r="1057" spans="5:14">
      <c r="E1057">
        <v>332</v>
      </c>
      <c r="F1057">
        <f>IF(F336="","",F335)</f>
        <v>0</v>
      </c>
      <c r="G1057">
        <v>332</v>
      </c>
      <c r="H1057">
        <f>H335</f>
        <v>0</v>
      </c>
      <c r="K1057">
        <v>332</v>
      </c>
      <c r="L1057">
        <f>IF(L336="","",L335)</f>
        <v>0</v>
      </c>
      <c r="M1057">
        <v>332</v>
      </c>
      <c r="N1057">
        <f>N335</f>
        <v>0</v>
      </c>
    </row>
    <row r="1058" spans="5:14">
      <c r="E1058">
        <v>333</v>
      </c>
      <c r="F1058">
        <f>IF(F337="","",F336)</f>
        <v>0</v>
      </c>
      <c r="G1058">
        <v>333</v>
      </c>
      <c r="H1058">
        <f>H336</f>
        <v>0</v>
      </c>
      <c r="K1058">
        <v>333</v>
      </c>
      <c r="L1058">
        <f>IF(L337="","",L336)</f>
        <v>0</v>
      </c>
      <c r="M1058">
        <v>333</v>
      </c>
      <c r="N1058">
        <f>N336</f>
        <v>0</v>
      </c>
    </row>
    <row r="1059" spans="5:14">
      <c r="E1059">
        <v>334</v>
      </c>
      <c r="F1059">
        <f>IF(F338="","",F337)</f>
        <v>0</v>
      </c>
      <c r="G1059">
        <v>334</v>
      </c>
      <c r="H1059">
        <f>H337</f>
        <v>0</v>
      </c>
      <c r="K1059">
        <v>334</v>
      </c>
      <c r="L1059">
        <f>IF(L338="","",L337)</f>
        <v>0</v>
      </c>
      <c r="M1059">
        <v>334</v>
      </c>
      <c r="N1059">
        <f>N337</f>
        <v>0</v>
      </c>
    </row>
    <row r="1060" spans="5:14">
      <c r="E1060">
        <v>335</v>
      </c>
      <c r="F1060">
        <f>IF(F339="","",F338)</f>
        <v>0</v>
      </c>
      <c r="G1060">
        <v>335</v>
      </c>
      <c r="H1060">
        <f>H338</f>
        <v>0</v>
      </c>
      <c r="K1060">
        <v>335</v>
      </c>
      <c r="L1060">
        <f>IF(L339="","",L338)</f>
        <v>0</v>
      </c>
      <c r="M1060">
        <v>335</v>
      </c>
      <c r="N1060">
        <f>N338</f>
        <v>0</v>
      </c>
    </row>
    <row r="1061" spans="5:14">
      <c r="E1061">
        <v>336</v>
      </c>
      <c r="F1061">
        <f>IF(F340="","",F339)</f>
        <v>0</v>
      </c>
      <c r="G1061">
        <v>336</v>
      </c>
      <c r="H1061">
        <f>H339</f>
        <v>0</v>
      </c>
      <c r="K1061">
        <v>336</v>
      </c>
      <c r="L1061">
        <f>IF(L340="","",L339)</f>
        <v>0</v>
      </c>
      <c r="M1061">
        <v>336</v>
      </c>
      <c r="N1061">
        <f>N339</f>
        <v>0</v>
      </c>
    </row>
    <row r="1062" spans="5:14">
      <c r="E1062">
        <v>337</v>
      </c>
      <c r="F1062">
        <f>IF(F341="","",F340)</f>
        <v>0</v>
      </c>
      <c r="G1062">
        <v>337</v>
      </c>
      <c r="H1062">
        <f>H340</f>
        <v>0</v>
      </c>
      <c r="K1062">
        <v>337</v>
      </c>
      <c r="L1062">
        <f>IF(L341="","",L340)</f>
        <v>0</v>
      </c>
      <c r="M1062">
        <v>337</v>
      </c>
      <c r="N1062">
        <f>N340</f>
        <v>0</v>
      </c>
    </row>
    <row r="1063" spans="5:14">
      <c r="E1063">
        <v>338</v>
      </c>
      <c r="F1063">
        <f>IF(F342="","",F341)</f>
        <v>0</v>
      </c>
      <c r="G1063">
        <v>338</v>
      </c>
      <c r="H1063">
        <f>H341</f>
        <v>0</v>
      </c>
      <c r="K1063">
        <v>338</v>
      </c>
      <c r="L1063">
        <f>IF(L342="","",L341)</f>
        <v>0</v>
      </c>
      <c r="M1063">
        <v>338</v>
      </c>
      <c r="N1063">
        <f>N341</f>
        <v>0</v>
      </c>
    </row>
    <row r="1064" spans="5:14">
      <c r="E1064">
        <v>339</v>
      </c>
      <c r="F1064">
        <f>IF(F343="","",F342)</f>
        <v>0</v>
      </c>
      <c r="G1064">
        <v>339</v>
      </c>
      <c r="H1064">
        <f>H342</f>
        <v>0</v>
      </c>
      <c r="K1064">
        <v>339</v>
      </c>
      <c r="L1064">
        <f>IF(L343="","",L342)</f>
        <v>0</v>
      </c>
      <c r="M1064">
        <v>339</v>
      </c>
      <c r="N1064">
        <f>N342</f>
        <v>0</v>
      </c>
    </row>
    <row r="1065" spans="5:14">
      <c r="E1065">
        <v>340</v>
      </c>
      <c r="F1065">
        <f>IF(F344="","",F343)</f>
        <v>0</v>
      </c>
      <c r="G1065">
        <v>340</v>
      </c>
      <c r="H1065">
        <f>H343</f>
        <v>0</v>
      </c>
      <c r="K1065">
        <v>340</v>
      </c>
      <c r="L1065">
        <f>IF(L344="","",L343)</f>
        <v>0</v>
      </c>
      <c r="M1065">
        <v>340</v>
      </c>
      <c r="N1065">
        <f>N343</f>
        <v>0</v>
      </c>
    </row>
    <row r="1066" spans="5:14">
      <c r="E1066">
        <v>341</v>
      </c>
      <c r="F1066">
        <f>IF(F345="","",F344)</f>
        <v>0</v>
      </c>
      <c r="G1066">
        <v>341</v>
      </c>
      <c r="H1066">
        <f>H344</f>
        <v>0</v>
      </c>
      <c r="K1066">
        <v>341</v>
      </c>
      <c r="L1066">
        <f>IF(L345="","",L344)</f>
        <v>0</v>
      </c>
      <c r="M1066">
        <v>341</v>
      </c>
      <c r="N1066">
        <f>N344</f>
        <v>0</v>
      </c>
    </row>
    <row r="1067" spans="5:14">
      <c r="E1067">
        <v>342</v>
      </c>
      <c r="F1067">
        <f>IF(F346="","",F345)</f>
        <v>0</v>
      </c>
      <c r="G1067">
        <v>342</v>
      </c>
      <c r="H1067">
        <f>H345</f>
        <v>0</v>
      </c>
      <c r="K1067">
        <v>342</v>
      </c>
      <c r="L1067">
        <f>IF(L346="","",L345)</f>
        <v>0</v>
      </c>
      <c r="M1067">
        <v>342</v>
      </c>
      <c r="N1067">
        <f>N345</f>
        <v>0</v>
      </c>
    </row>
    <row r="1068" spans="5:14">
      <c r="E1068">
        <v>343</v>
      </c>
      <c r="F1068">
        <f>IF(F347="","",F346)</f>
        <v>0</v>
      </c>
      <c r="G1068">
        <v>343</v>
      </c>
      <c r="H1068">
        <f>H346</f>
        <v>0</v>
      </c>
      <c r="K1068">
        <v>343</v>
      </c>
      <c r="L1068">
        <f>IF(L347="","",L346)</f>
        <v>0</v>
      </c>
      <c r="M1068">
        <v>343</v>
      </c>
      <c r="N1068">
        <f>N346</f>
        <v>0</v>
      </c>
    </row>
    <row r="1069" spans="5:14">
      <c r="E1069">
        <v>344</v>
      </c>
      <c r="F1069">
        <f>IF(F348="","",F347)</f>
        <v>0</v>
      </c>
      <c r="G1069">
        <v>344</v>
      </c>
      <c r="H1069">
        <f>H347</f>
        <v>0</v>
      </c>
      <c r="K1069">
        <v>344</v>
      </c>
      <c r="L1069">
        <f>IF(L348="","",L347)</f>
        <v>0</v>
      </c>
      <c r="M1069">
        <v>344</v>
      </c>
      <c r="N1069">
        <f>N347</f>
        <v>0</v>
      </c>
    </row>
    <row r="1070" spans="5:14">
      <c r="E1070">
        <v>345</v>
      </c>
      <c r="F1070">
        <f>IF(F349="","",F348)</f>
        <v>0</v>
      </c>
      <c r="G1070">
        <v>345</v>
      </c>
      <c r="H1070">
        <f>H348</f>
        <v>0</v>
      </c>
      <c r="K1070">
        <v>345</v>
      </c>
      <c r="L1070">
        <f>IF(L349="","",L348)</f>
        <v>0</v>
      </c>
      <c r="M1070">
        <v>345</v>
      </c>
      <c r="N1070">
        <f>N348</f>
        <v>0</v>
      </c>
    </row>
    <row r="1071" spans="5:14">
      <c r="E1071">
        <v>346</v>
      </c>
      <c r="F1071">
        <f>IF(F350="","",F349)</f>
        <v>0</v>
      </c>
      <c r="G1071">
        <v>346</v>
      </c>
      <c r="H1071">
        <f>H349</f>
        <v>0</v>
      </c>
      <c r="K1071">
        <v>346</v>
      </c>
      <c r="L1071">
        <f>IF(L350="","",L349)</f>
        <v>0</v>
      </c>
      <c r="M1071">
        <v>346</v>
      </c>
      <c r="N1071">
        <f>N349</f>
        <v>0</v>
      </c>
    </row>
    <row r="1072" spans="5:14">
      <c r="E1072">
        <v>347</v>
      </c>
      <c r="F1072">
        <f>IF(F351="","",F350)</f>
        <v>0</v>
      </c>
      <c r="G1072">
        <v>347</v>
      </c>
      <c r="H1072">
        <f>H350</f>
        <v>0</v>
      </c>
      <c r="K1072">
        <v>347</v>
      </c>
      <c r="L1072">
        <f>IF(L351="","",L350)</f>
        <v>0</v>
      </c>
      <c r="M1072">
        <v>347</v>
      </c>
      <c r="N1072">
        <f>N350</f>
        <v>0</v>
      </c>
    </row>
    <row r="1073" spans="5:14">
      <c r="E1073">
        <v>348</v>
      </c>
      <c r="F1073">
        <f>IF(F352="","",F351)</f>
        <v>0</v>
      </c>
      <c r="G1073">
        <v>348</v>
      </c>
      <c r="H1073">
        <f>H351</f>
        <v>0</v>
      </c>
      <c r="K1073">
        <v>348</v>
      </c>
      <c r="L1073">
        <f>IF(L352="","",L351)</f>
        <v>0</v>
      </c>
      <c r="M1073">
        <v>348</v>
      </c>
      <c r="N1073">
        <f>N351</f>
        <v>0</v>
      </c>
    </row>
    <row r="1074" spans="5:14">
      <c r="E1074">
        <v>349</v>
      </c>
      <c r="F1074">
        <f>IF(F353="","",F352)</f>
        <v>0</v>
      </c>
      <c r="G1074">
        <v>349</v>
      </c>
      <c r="H1074">
        <f>H352</f>
        <v>0</v>
      </c>
      <c r="K1074">
        <v>349</v>
      </c>
      <c r="L1074">
        <f>IF(L353="","",L352)</f>
        <v>0</v>
      </c>
      <c r="M1074">
        <v>349</v>
      </c>
      <c r="N1074">
        <f>N352</f>
        <v>0</v>
      </c>
    </row>
    <row r="1075" spans="5:14">
      <c r="E1075">
        <v>350</v>
      </c>
      <c r="F1075">
        <f>IF(F354="","",F353)</f>
        <v>0</v>
      </c>
      <c r="G1075">
        <v>350</v>
      </c>
      <c r="H1075">
        <f>H353</f>
        <v>0</v>
      </c>
      <c r="K1075">
        <v>350</v>
      </c>
      <c r="L1075">
        <f>IF(L354="","",L353)</f>
        <v>0</v>
      </c>
      <c r="M1075">
        <v>350</v>
      </c>
      <c r="N1075">
        <f>N353</f>
        <v>0</v>
      </c>
    </row>
    <row r="1076" spans="5:14">
      <c r="E1076">
        <v>351</v>
      </c>
      <c r="F1076">
        <f>IF(F355="","",F354)</f>
        <v>0</v>
      </c>
      <c r="G1076">
        <v>351</v>
      </c>
      <c r="H1076">
        <f>H354</f>
        <v>0</v>
      </c>
      <c r="K1076">
        <v>351</v>
      </c>
      <c r="L1076">
        <f>IF(L355="","",L354)</f>
        <v>0</v>
      </c>
      <c r="M1076">
        <v>351</v>
      </c>
      <c r="N1076">
        <f>N354</f>
        <v>0</v>
      </c>
    </row>
    <row r="1077" spans="5:14">
      <c r="E1077">
        <v>352</v>
      </c>
      <c r="F1077">
        <f>IF(F356="","",F355)</f>
        <v>0</v>
      </c>
      <c r="G1077">
        <v>352</v>
      </c>
      <c r="H1077">
        <f>H355</f>
        <v>0</v>
      </c>
      <c r="K1077">
        <v>352</v>
      </c>
      <c r="L1077">
        <f>IF(L356="","",L355)</f>
        <v>0</v>
      </c>
      <c r="M1077">
        <v>352</v>
      </c>
      <c r="N1077">
        <f>N355</f>
        <v>0</v>
      </c>
    </row>
    <row r="1078" spans="5:14">
      <c r="E1078">
        <v>353</v>
      </c>
      <c r="F1078">
        <f>IF(F357="","",F356)</f>
        <v>0</v>
      </c>
      <c r="G1078">
        <v>353</v>
      </c>
      <c r="H1078">
        <f>H356</f>
        <v>0</v>
      </c>
      <c r="K1078">
        <v>353</v>
      </c>
      <c r="L1078">
        <f>IF(L357="","",L356)</f>
        <v>0</v>
      </c>
      <c r="M1078">
        <v>353</v>
      </c>
      <c r="N1078">
        <f>N356</f>
        <v>0</v>
      </c>
    </row>
    <row r="1079" spans="5:14">
      <c r="E1079">
        <v>354</v>
      </c>
      <c r="F1079">
        <f>IF(F358="","",F357)</f>
        <v>0</v>
      </c>
      <c r="G1079">
        <v>354</v>
      </c>
      <c r="H1079">
        <f>H357</f>
        <v>0</v>
      </c>
      <c r="K1079">
        <v>354</v>
      </c>
      <c r="L1079">
        <f>IF(L358="","",L357)</f>
        <v>0</v>
      </c>
      <c r="M1079">
        <v>354</v>
      </c>
      <c r="N1079">
        <f>N357</f>
        <v>0</v>
      </c>
    </row>
    <row r="1080" spans="5:14">
      <c r="E1080">
        <v>355</v>
      </c>
      <c r="F1080">
        <f>IF(F359="","",F358)</f>
        <v>0</v>
      </c>
      <c r="G1080">
        <v>355</v>
      </c>
      <c r="H1080">
        <f>H358</f>
        <v>0</v>
      </c>
      <c r="K1080">
        <v>355</v>
      </c>
      <c r="L1080">
        <f>IF(L359="","",L358)</f>
        <v>0</v>
      </c>
      <c r="M1080">
        <v>355</v>
      </c>
      <c r="N1080">
        <f>N358</f>
        <v>0</v>
      </c>
    </row>
    <row r="1081" spans="5:14">
      <c r="E1081">
        <v>356</v>
      </c>
      <c r="F1081">
        <f>IF(F360="","",F359)</f>
        <v>0</v>
      </c>
      <c r="G1081">
        <v>356</v>
      </c>
      <c r="H1081">
        <f>H359</f>
        <v>0</v>
      </c>
      <c r="K1081">
        <v>356</v>
      </c>
      <c r="L1081">
        <f>IF(L360="","",L359)</f>
        <v>0</v>
      </c>
      <c r="M1081">
        <v>356</v>
      </c>
      <c r="N1081">
        <f>N359</f>
        <v>0</v>
      </c>
    </row>
    <row r="1082" spans="5:14">
      <c r="E1082">
        <v>357</v>
      </c>
      <c r="F1082">
        <f>IF(F361="","",F360)</f>
        <v>0</v>
      </c>
      <c r="G1082">
        <v>357</v>
      </c>
      <c r="H1082">
        <f>H360</f>
        <v>0</v>
      </c>
      <c r="K1082">
        <v>357</v>
      </c>
      <c r="L1082">
        <f>IF(L361="","",L360)</f>
        <v>0</v>
      </c>
      <c r="M1082">
        <v>357</v>
      </c>
      <c r="N1082">
        <f>N360</f>
        <v>0</v>
      </c>
    </row>
    <row r="1083" spans="5:14">
      <c r="E1083">
        <v>358</v>
      </c>
      <c r="F1083">
        <f>IF(F362="","",F361)</f>
        <v>0</v>
      </c>
      <c r="G1083">
        <v>358</v>
      </c>
      <c r="H1083">
        <f>H361</f>
        <v>0</v>
      </c>
      <c r="K1083">
        <v>358</v>
      </c>
      <c r="L1083">
        <f>IF(L362="","",L361)</f>
        <v>0</v>
      </c>
      <c r="M1083">
        <v>358</v>
      </c>
      <c r="N1083">
        <f>N361</f>
        <v>0</v>
      </c>
    </row>
    <row r="1084" spans="5:14">
      <c r="E1084">
        <v>359</v>
      </c>
      <c r="F1084">
        <f>IF(F363="","",F362)</f>
        <v>0</v>
      </c>
      <c r="G1084">
        <v>359</v>
      </c>
      <c r="H1084">
        <f>H362</f>
        <v>0</v>
      </c>
      <c r="K1084">
        <v>359</v>
      </c>
      <c r="L1084">
        <f>IF(L363="","",L362)</f>
        <v>0</v>
      </c>
      <c r="M1084">
        <v>359</v>
      </c>
      <c r="N1084">
        <f>N362</f>
        <v>0</v>
      </c>
    </row>
    <row r="1085" spans="5:14">
      <c r="E1085">
        <v>360</v>
      </c>
      <c r="F1085">
        <f>IF(F364="","",F363)</f>
        <v>0</v>
      </c>
      <c r="G1085">
        <v>360</v>
      </c>
      <c r="H1085">
        <f>H363</f>
        <v>0</v>
      </c>
      <c r="K1085">
        <v>360</v>
      </c>
      <c r="L1085">
        <f>IF(L364="","",L363)</f>
        <v>0</v>
      </c>
      <c r="M1085">
        <v>360</v>
      </c>
      <c r="N1085">
        <f>N363</f>
        <v>0</v>
      </c>
    </row>
    <row r="1086" spans="5:14">
      <c r="E1086">
        <v>0</v>
      </c>
      <c r="F1086">
        <v>0</v>
      </c>
      <c r="G1086">
        <v>0</v>
      </c>
      <c r="H1086">
        <v>0</v>
      </c>
      <c r="K1086">
        <v>0</v>
      </c>
      <c r="L1086">
        <v>0</v>
      </c>
      <c r="M1086">
        <v>0</v>
      </c>
      <c r="N1086">
        <v>0</v>
      </c>
    </row>
    <row r="1087" spans="5:14">
      <c r="E1087">
        <v>1</v>
      </c>
      <c r="F1087">
        <v>0</v>
      </c>
      <c r="G1087">
        <v>1</v>
      </c>
      <c r="H1087">
        <v>0</v>
      </c>
      <c r="K1087">
        <v>1</v>
      </c>
      <c r="L1087">
        <v>0</v>
      </c>
      <c r="M1087">
        <v>1</v>
      </c>
      <c r="N1087">
        <v>0</v>
      </c>
    </row>
    <row r="1089" spans="4:14">
      <c r="D1089" t="s">
        <v>405</v>
      </c>
      <c r="E1089" t="s">
        <v>403</v>
      </c>
      <c r="F1089" t="s">
        <v>408</v>
      </c>
      <c r="G1089" t="s">
        <v>403</v>
      </c>
      <c r="H1089" t="s">
        <v>409</v>
      </c>
      <c r="J1089" t="s">
        <v>405</v>
      </c>
      <c r="K1089" t="s">
        <v>403</v>
      </c>
      <c r="L1089" t="s">
        <v>408</v>
      </c>
      <c r="M1089" t="s">
        <v>403</v>
      </c>
      <c r="N1089" t="s">
        <v>409</v>
      </c>
    </row>
    <row r="1090" spans="4:14">
      <c r="E1090">
        <f>IFERROR(SMALL(E367:E1087,ROW()-ROW($E$1090)+1),"")</f>
        <v>0</v>
      </c>
      <c r="F1090">
        <f>IFERROR(SMALL(F367:F1087,ROW()-ROW($F$1090)+1),"")</f>
        <v>0</v>
      </c>
      <c r="G1090">
        <f>IFERROR(SMALL(G367:G1087,ROW()-ROW($G$1090)+1),"")</f>
        <v>0</v>
      </c>
      <c r="H1090">
        <f>IFERROR(SMALL(H367:H1087,ROW()-ROW($H$1090)+1),"")</f>
        <v>0</v>
      </c>
      <c r="K1090">
        <f>IFERROR(SMALL(K367:K1087,ROW()-ROW($K$1090)+1),"")</f>
        <v>0</v>
      </c>
      <c r="L1090">
        <f>IFERROR(SMALL(L367:L1087,ROW()-ROW($L$1090)+1),"")</f>
        <v>0</v>
      </c>
      <c r="M1090">
        <f>IFERROR(SMALL(M367:M1087,ROW()-ROW($M$1090)+1),"")</f>
        <v>0</v>
      </c>
      <c r="N1090">
        <f>IFERROR(SMALL(N367:N1087,ROW()-ROW($N$1090)+1),"")</f>
        <v>0</v>
      </c>
    </row>
    <row r="1091" spans="4:14">
      <c r="E1091">
        <f>IFERROR(SMALL(E367:E1087,ROW()-ROW($E$1090)+1),"")</f>
        <v>0</v>
      </c>
      <c r="F1091">
        <f>IFERROR(SMALL(F367:F1087,ROW()-ROW($F$1090)+1),"")</f>
        <v>0</v>
      </c>
      <c r="G1091">
        <f>IFERROR(SMALL(G367:G1087,ROW()-ROW($G$1090)+1),"")</f>
        <v>0</v>
      </c>
      <c r="H1091">
        <f>IFERROR(SMALL(H367:H1087,ROW()-ROW($H$1090)+1),"")</f>
        <v>0</v>
      </c>
      <c r="K1091">
        <f>IFERROR(SMALL(K367:K1087,ROW()-ROW($K$1090)+1),"")</f>
        <v>0</v>
      </c>
      <c r="L1091">
        <f>IFERROR(SMALL(L367:L1087,ROW()-ROW($L$1090)+1),"")</f>
        <v>0</v>
      </c>
      <c r="M1091">
        <f>IFERROR(SMALL(M367:M1087,ROW()-ROW($M$1090)+1),"")</f>
        <v>0</v>
      </c>
      <c r="N1091">
        <f>IFERROR(SMALL(N367:N1087,ROW()-ROW($N$1090)+1),"")</f>
        <v>0</v>
      </c>
    </row>
    <row r="1092" spans="4:14">
      <c r="E1092">
        <f>IFERROR(SMALL(E367:E1087,ROW()-ROW($E$1090)+1),"")</f>
        <v>0</v>
      </c>
      <c r="F1092">
        <f>IFERROR(SMALL(F367:F1087,ROW()-ROW($F$1090)+1),"")</f>
        <v>0</v>
      </c>
      <c r="G1092">
        <f>IFERROR(SMALL(G367:G1087,ROW()-ROW($G$1090)+1),"")</f>
        <v>0</v>
      </c>
      <c r="H1092">
        <f>IFERROR(SMALL(H367:H1087,ROW()-ROW($H$1090)+1),"")</f>
        <v>0</v>
      </c>
      <c r="K1092">
        <f>IFERROR(SMALL(K367:K1087,ROW()-ROW($K$1090)+1),"")</f>
        <v>0</v>
      </c>
      <c r="L1092">
        <f>IFERROR(SMALL(L367:L1087,ROW()-ROW($L$1090)+1),"")</f>
        <v>0</v>
      </c>
      <c r="M1092">
        <f>IFERROR(SMALL(M367:M1087,ROW()-ROW($M$1090)+1),"")</f>
        <v>0</v>
      </c>
      <c r="N1092">
        <f>IFERROR(SMALL(N367:N1087,ROW()-ROW($N$1090)+1),"")</f>
        <v>0</v>
      </c>
    </row>
    <row r="1093" spans="4:14">
      <c r="E1093">
        <f>IFERROR(SMALL(E367:E1087,ROW()-ROW($E$1090)+1),"")</f>
        <v>0</v>
      </c>
      <c r="F1093">
        <f>IFERROR(SMALL(F367:F1087,ROW()-ROW($F$1090)+1),"")</f>
        <v>0</v>
      </c>
      <c r="G1093">
        <f>IFERROR(SMALL(G367:G1087,ROW()-ROW($G$1090)+1),"")</f>
        <v>0</v>
      </c>
      <c r="H1093">
        <f>IFERROR(SMALL(H367:H1087,ROW()-ROW($H$1090)+1),"")</f>
        <v>0</v>
      </c>
      <c r="K1093">
        <f>IFERROR(SMALL(K367:K1087,ROW()-ROW($K$1090)+1),"")</f>
        <v>0</v>
      </c>
      <c r="L1093">
        <f>IFERROR(SMALL(L367:L1087,ROW()-ROW($L$1090)+1),"")</f>
        <v>0</v>
      </c>
      <c r="M1093">
        <f>IFERROR(SMALL(M367:M1087,ROW()-ROW($M$1090)+1),"")</f>
        <v>0</v>
      </c>
      <c r="N1093">
        <f>IFERROR(SMALL(N367:N1087,ROW()-ROW($N$1090)+1),"")</f>
        <v>0</v>
      </c>
    </row>
    <row r="1094" spans="4:14">
      <c r="E1094">
        <f>IFERROR(SMALL(E367:E1087,ROW()-ROW($E$1090)+1),"")</f>
        <v>0</v>
      </c>
      <c r="F1094">
        <f>IFERROR(SMALL(F367:F1087,ROW()-ROW($F$1090)+1),"")</f>
        <v>0</v>
      </c>
      <c r="G1094">
        <f>IFERROR(SMALL(G367:G1087,ROW()-ROW($G$1090)+1),"")</f>
        <v>0</v>
      </c>
      <c r="H1094">
        <f>IFERROR(SMALL(H367:H1087,ROW()-ROW($H$1090)+1),"")</f>
        <v>0</v>
      </c>
      <c r="K1094">
        <f>IFERROR(SMALL(K367:K1087,ROW()-ROW($K$1090)+1),"")</f>
        <v>0</v>
      </c>
      <c r="L1094">
        <f>IFERROR(SMALL(L367:L1087,ROW()-ROW($L$1090)+1),"")</f>
        <v>0</v>
      </c>
      <c r="M1094">
        <f>IFERROR(SMALL(M367:M1087,ROW()-ROW($M$1090)+1),"")</f>
        <v>0</v>
      </c>
      <c r="N1094">
        <f>IFERROR(SMALL(N367:N1087,ROW()-ROW($N$1090)+1),"")</f>
        <v>0</v>
      </c>
    </row>
    <row r="1095" spans="4:14">
      <c r="E1095">
        <f>IFERROR(SMALL(E367:E1087,ROW()-ROW($E$1090)+1),"")</f>
        <v>0</v>
      </c>
      <c r="F1095">
        <f>IFERROR(SMALL(F367:F1087,ROW()-ROW($F$1090)+1),"")</f>
        <v>0</v>
      </c>
      <c r="G1095">
        <f>IFERROR(SMALL(G367:G1087,ROW()-ROW($G$1090)+1),"")</f>
        <v>0</v>
      </c>
      <c r="H1095">
        <f>IFERROR(SMALL(H367:H1087,ROW()-ROW($H$1090)+1),"")</f>
        <v>0</v>
      </c>
      <c r="K1095">
        <f>IFERROR(SMALL(K367:K1087,ROW()-ROW($K$1090)+1),"")</f>
        <v>0</v>
      </c>
      <c r="L1095">
        <f>IFERROR(SMALL(L367:L1087,ROW()-ROW($L$1090)+1),"")</f>
        <v>0</v>
      </c>
      <c r="M1095">
        <f>IFERROR(SMALL(M367:M1087,ROW()-ROW($M$1090)+1),"")</f>
        <v>0</v>
      </c>
      <c r="N1095">
        <f>IFERROR(SMALL(N367:N1087,ROW()-ROW($N$1090)+1),"")</f>
        <v>0</v>
      </c>
    </row>
    <row r="1096" spans="4:14">
      <c r="E1096">
        <f>IFERROR(SMALL(E367:E1087,ROW()-ROW($E$1090)+1),"")</f>
        <v>0</v>
      </c>
      <c r="F1096">
        <f>IFERROR(SMALL(F367:F1087,ROW()-ROW($F$1090)+1),"")</f>
        <v>0</v>
      </c>
      <c r="G1096">
        <f>IFERROR(SMALL(G367:G1087,ROW()-ROW($G$1090)+1),"")</f>
        <v>0</v>
      </c>
      <c r="H1096">
        <f>IFERROR(SMALL(H367:H1087,ROW()-ROW($H$1090)+1),"")</f>
        <v>0</v>
      </c>
      <c r="K1096">
        <f>IFERROR(SMALL(K367:K1087,ROW()-ROW($K$1090)+1),"")</f>
        <v>0</v>
      </c>
      <c r="L1096">
        <f>IFERROR(SMALL(L367:L1087,ROW()-ROW($L$1090)+1),"")</f>
        <v>0</v>
      </c>
      <c r="M1096">
        <f>IFERROR(SMALL(M367:M1087,ROW()-ROW($M$1090)+1),"")</f>
        <v>0</v>
      </c>
      <c r="N1096">
        <f>IFERROR(SMALL(N367:N1087,ROW()-ROW($N$1090)+1),"")</f>
        <v>0</v>
      </c>
    </row>
    <row r="1097" spans="4:14">
      <c r="E1097">
        <f>IFERROR(SMALL(E367:E1087,ROW()-ROW($E$1090)+1),"")</f>
        <v>0</v>
      </c>
      <c r="F1097">
        <f>IFERROR(SMALL(F367:F1087,ROW()-ROW($F$1090)+1),"")</f>
        <v>0</v>
      </c>
      <c r="G1097">
        <f>IFERROR(SMALL(G367:G1087,ROW()-ROW($G$1090)+1),"")</f>
        <v>0</v>
      </c>
      <c r="H1097">
        <f>IFERROR(SMALL(H367:H1087,ROW()-ROW($H$1090)+1),"")</f>
        <v>0</v>
      </c>
      <c r="K1097">
        <f>IFERROR(SMALL(K367:K1087,ROW()-ROW($K$1090)+1),"")</f>
        <v>0</v>
      </c>
      <c r="L1097">
        <f>IFERROR(SMALL(L367:L1087,ROW()-ROW($L$1090)+1),"")</f>
        <v>0</v>
      </c>
      <c r="M1097">
        <f>IFERROR(SMALL(M367:M1087,ROW()-ROW($M$1090)+1),"")</f>
        <v>0</v>
      </c>
      <c r="N1097">
        <f>IFERROR(SMALL(N367:N1087,ROW()-ROW($N$1090)+1),"")</f>
        <v>0</v>
      </c>
    </row>
    <row r="1098" spans="4:14">
      <c r="E1098">
        <f>IFERROR(SMALL(E367:E1087,ROW()-ROW($E$1090)+1),"")</f>
        <v>0</v>
      </c>
      <c r="F1098">
        <f>IFERROR(SMALL(F367:F1087,ROW()-ROW($F$1090)+1),"")</f>
        <v>0</v>
      </c>
      <c r="G1098">
        <f>IFERROR(SMALL(G367:G1087,ROW()-ROW($G$1090)+1),"")</f>
        <v>0</v>
      </c>
      <c r="H1098">
        <f>IFERROR(SMALL(H367:H1087,ROW()-ROW($H$1090)+1),"")</f>
        <v>0</v>
      </c>
      <c r="K1098">
        <f>IFERROR(SMALL(K367:K1087,ROW()-ROW($K$1090)+1),"")</f>
        <v>0</v>
      </c>
      <c r="L1098">
        <f>IFERROR(SMALL(L367:L1087,ROW()-ROW($L$1090)+1),"")</f>
        <v>0</v>
      </c>
      <c r="M1098">
        <f>IFERROR(SMALL(M367:M1087,ROW()-ROW($M$1090)+1),"")</f>
        <v>0</v>
      </c>
      <c r="N1098">
        <f>IFERROR(SMALL(N367:N1087,ROW()-ROW($N$1090)+1),"")</f>
        <v>0</v>
      </c>
    </row>
    <row r="1099" spans="4:14">
      <c r="E1099">
        <f>IFERROR(SMALL(E367:E1087,ROW()-ROW($E$1090)+1),"")</f>
        <v>0</v>
      </c>
      <c r="F1099">
        <f>IFERROR(SMALL(F367:F1087,ROW()-ROW($F$1090)+1),"")</f>
        <v>0</v>
      </c>
      <c r="G1099">
        <f>IFERROR(SMALL(G367:G1087,ROW()-ROW($G$1090)+1),"")</f>
        <v>0</v>
      </c>
      <c r="H1099">
        <f>IFERROR(SMALL(H367:H1087,ROW()-ROW($H$1090)+1),"")</f>
        <v>0</v>
      </c>
      <c r="K1099">
        <f>IFERROR(SMALL(K367:K1087,ROW()-ROW($K$1090)+1),"")</f>
        <v>0</v>
      </c>
      <c r="L1099">
        <f>IFERROR(SMALL(L367:L1087,ROW()-ROW($L$1090)+1),"")</f>
        <v>0</v>
      </c>
      <c r="M1099">
        <f>IFERROR(SMALL(M367:M1087,ROW()-ROW($M$1090)+1),"")</f>
        <v>0</v>
      </c>
      <c r="N1099">
        <f>IFERROR(SMALL(N367:N1087,ROW()-ROW($N$1090)+1),"")</f>
        <v>0</v>
      </c>
    </row>
    <row r="1100" spans="4:14">
      <c r="E1100">
        <f>IFERROR(SMALL(E367:E1087,ROW()-ROW($E$1090)+1),"")</f>
        <v>0</v>
      </c>
      <c r="F1100">
        <f>IFERROR(SMALL(F367:F1087,ROW()-ROW($F$1090)+1),"")</f>
        <v>0</v>
      </c>
      <c r="G1100">
        <f>IFERROR(SMALL(G367:G1087,ROW()-ROW($G$1090)+1),"")</f>
        <v>0</v>
      </c>
      <c r="H1100">
        <f>IFERROR(SMALL(H367:H1087,ROW()-ROW($H$1090)+1),"")</f>
        <v>0</v>
      </c>
      <c r="K1100">
        <f>IFERROR(SMALL(K367:K1087,ROW()-ROW($K$1090)+1),"")</f>
        <v>0</v>
      </c>
      <c r="L1100">
        <f>IFERROR(SMALL(L367:L1087,ROW()-ROW($L$1090)+1),"")</f>
        <v>0</v>
      </c>
      <c r="M1100">
        <f>IFERROR(SMALL(M367:M1087,ROW()-ROW($M$1090)+1),"")</f>
        <v>0</v>
      </c>
      <c r="N1100">
        <f>IFERROR(SMALL(N367:N1087,ROW()-ROW($N$1090)+1),"")</f>
        <v>0</v>
      </c>
    </row>
    <row r="1101" spans="4:14">
      <c r="E1101">
        <f>IFERROR(SMALL(E367:E1087,ROW()-ROW($E$1090)+1),"")</f>
        <v>0</v>
      </c>
      <c r="F1101">
        <f>IFERROR(SMALL(F367:F1087,ROW()-ROW($F$1090)+1),"")</f>
        <v>0</v>
      </c>
      <c r="G1101">
        <f>IFERROR(SMALL(G367:G1087,ROW()-ROW($G$1090)+1),"")</f>
        <v>0</v>
      </c>
      <c r="H1101">
        <f>IFERROR(SMALL(H367:H1087,ROW()-ROW($H$1090)+1),"")</f>
        <v>0</v>
      </c>
      <c r="K1101">
        <f>IFERROR(SMALL(K367:K1087,ROW()-ROW($K$1090)+1),"")</f>
        <v>0</v>
      </c>
      <c r="L1101">
        <f>IFERROR(SMALL(L367:L1087,ROW()-ROW($L$1090)+1),"")</f>
        <v>0</v>
      </c>
      <c r="M1101">
        <f>IFERROR(SMALL(M367:M1087,ROW()-ROW($M$1090)+1),"")</f>
        <v>0</v>
      </c>
      <c r="N1101">
        <f>IFERROR(SMALL(N367:N1087,ROW()-ROW($N$1090)+1),"")</f>
        <v>0</v>
      </c>
    </row>
    <row r="1102" spans="4:14">
      <c r="E1102">
        <f>IFERROR(SMALL(E367:E1087,ROW()-ROW($E$1090)+1),"")</f>
        <v>0</v>
      </c>
      <c r="F1102">
        <f>IFERROR(SMALL(F367:F1087,ROW()-ROW($F$1090)+1),"")</f>
        <v>0</v>
      </c>
      <c r="G1102">
        <f>IFERROR(SMALL(G367:G1087,ROW()-ROW($G$1090)+1),"")</f>
        <v>0</v>
      </c>
      <c r="H1102">
        <f>IFERROR(SMALL(H367:H1087,ROW()-ROW($H$1090)+1),"")</f>
        <v>0</v>
      </c>
      <c r="K1102">
        <f>IFERROR(SMALL(K367:K1087,ROW()-ROW($K$1090)+1),"")</f>
        <v>0</v>
      </c>
      <c r="L1102">
        <f>IFERROR(SMALL(L367:L1087,ROW()-ROW($L$1090)+1),"")</f>
        <v>0</v>
      </c>
      <c r="M1102">
        <f>IFERROR(SMALL(M367:M1087,ROW()-ROW($M$1090)+1),"")</f>
        <v>0</v>
      </c>
      <c r="N1102">
        <f>IFERROR(SMALL(N367:N1087,ROW()-ROW($N$1090)+1),"")</f>
        <v>0</v>
      </c>
    </row>
    <row r="1103" spans="4:14">
      <c r="E1103">
        <f>IFERROR(SMALL(E367:E1087,ROW()-ROW($E$1090)+1),"")</f>
        <v>0</v>
      </c>
      <c r="F1103">
        <f>IFERROR(SMALL(F367:F1087,ROW()-ROW($F$1090)+1),"")</f>
        <v>0</v>
      </c>
      <c r="G1103">
        <f>IFERROR(SMALL(G367:G1087,ROW()-ROW($G$1090)+1),"")</f>
        <v>0</v>
      </c>
      <c r="H1103">
        <f>IFERROR(SMALL(H367:H1087,ROW()-ROW($H$1090)+1),"")</f>
        <v>0</v>
      </c>
      <c r="K1103">
        <f>IFERROR(SMALL(K367:K1087,ROW()-ROW($K$1090)+1),"")</f>
        <v>0</v>
      </c>
      <c r="L1103">
        <f>IFERROR(SMALL(L367:L1087,ROW()-ROW($L$1090)+1),"")</f>
        <v>0</v>
      </c>
      <c r="M1103">
        <f>IFERROR(SMALL(M367:M1087,ROW()-ROW($M$1090)+1),"")</f>
        <v>0</v>
      </c>
      <c r="N1103">
        <f>IFERROR(SMALL(N367:N1087,ROW()-ROW($N$1090)+1),"")</f>
        <v>0</v>
      </c>
    </row>
    <row r="1104" spans="4:14">
      <c r="E1104">
        <f>IFERROR(SMALL(E367:E1087,ROW()-ROW($E$1090)+1),"")</f>
        <v>0</v>
      </c>
      <c r="F1104">
        <f>IFERROR(SMALL(F367:F1087,ROW()-ROW($F$1090)+1),"")</f>
        <v>0</v>
      </c>
      <c r="G1104">
        <f>IFERROR(SMALL(G367:G1087,ROW()-ROW($G$1090)+1),"")</f>
        <v>0</v>
      </c>
      <c r="H1104">
        <f>IFERROR(SMALL(H367:H1087,ROW()-ROW($H$1090)+1),"")</f>
        <v>0</v>
      </c>
      <c r="K1104">
        <f>IFERROR(SMALL(K367:K1087,ROW()-ROW($K$1090)+1),"")</f>
        <v>0</v>
      </c>
      <c r="L1104">
        <f>IFERROR(SMALL(L367:L1087,ROW()-ROW($L$1090)+1),"")</f>
        <v>0</v>
      </c>
      <c r="M1104">
        <f>IFERROR(SMALL(M367:M1087,ROW()-ROW($M$1090)+1),"")</f>
        <v>0</v>
      </c>
      <c r="N1104">
        <f>IFERROR(SMALL(N367:N1087,ROW()-ROW($N$1090)+1),"")</f>
        <v>0</v>
      </c>
    </row>
    <row r="1105" spans="5:14">
      <c r="E1105">
        <f>IFERROR(SMALL(E367:E1087,ROW()-ROW($E$1090)+1),"")</f>
        <v>0</v>
      </c>
      <c r="F1105">
        <f>IFERROR(SMALL(F367:F1087,ROW()-ROW($F$1090)+1),"")</f>
        <v>0</v>
      </c>
      <c r="G1105">
        <f>IFERROR(SMALL(G367:G1087,ROW()-ROW($G$1090)+1),"")</f>
        <v>0</v>
      </c>
      <c r="H1105">
        <f>IFERROR(SMALL(H367:H1087,ROW()-ROW($H$1090)+1),"")</f>
        <v>0</v>
      </c>
      <c r="K1105">
        <f>IFERROR(SMALL(K367:K1087,ROW()-ROW($K$1090)+1),"")</f>
        <v>0</v>
      </c>
      <c r="L1105">
        <f>IFERROR(SMALL(L367:L1087,ROW()-ROW($L$1090)+1),"")</f>
        <v>0</v>
      </c>
      <c r="M1105">
        <f>IFERROR(SMALL(M367:M1087,ROW()-ROW($M$1090)+1),"")</f>
        <v>0</v>
      </c>
      <c r="N1105">
        <f>IFERROR(SMALL(N367:N1087,ROW()-ROW($N$1090)+1),"")</f>
        <v>0</v>
      </c>
    </row>
    <row r="1106" spans="5:14">
      <c r="E1106">
        <f>IFERROR(SMALL(E367:E1087,ROW()-ROW($E$1090)+1),"")</f>
        <v>0</v>
      </c>
      <c r="F1106">
        <f>IFERROR(SMALL(F367:F1087,ROW()-ROW($F$1090)+1),"")</f>
        <v>0</v>
      </c>
      <c r="G1106">
        <f>IFERROR(SMALL(G367:G1087,ROW()-ROW($G$1090)+1),"")</f>
        <v>0</v>
      </c>
      <c r="H1106">
        <f>IFERROR(SMALL(H367:H1087,ROW()-ROW($H$1090)+1),"")</f>
        <v>0</v>
      </c>
      <c r="K1106">
        <f>IFERROR(SMALL(K367:K1087,ROW()-ROW($K$1090)+1),"")</f>
        <v>0</v>
      </c>
      <c r="L1106">
        <f>IFERROR(SMALL(L367:L1087,ROW()-ROW($L$1090)+1),"")</f>
        <v>0</v>
      </c>
      <c r="M1106">
        <f>IFERROR(SMALL(M367:M1087,ROW()-ROW($M$1090)+1),"")</f>
        <v>0</v>
      </c>
      <c r="N1106">
        <f>IFERROR(SMALL(N367:N1087,ROW()-ROW($N$1090)+1),"")</f>
        <v>0</v>
      </c>
    </row>
    <row r="1107" spans="5:14">
      <c r="E1107">
        <f>IFERROR(SMALL(E367:E1087,ROW()-ROW($E$1090)+1),"")</f>
        <v>0</v>
      </c>
      <c r="F1107">
        <f>IFERROR(SMALL(F367:F1087,ROW()-ROW($F$1090)+1),"")</f>
        <v>0</v>
      </c>
      <c r="G1107">
        <f>IFERROR(SMALL(G367:G1087,ROW()-ROW($G$1090)+1),"")</f>
        <v>0</v>
      </c>
      <c r="H1107">
        <f>IFERROR(SMALL(H367:H1087,ROW()-ROW($H$1090)+1),"")</f>
        <v>0</v>
      </c>
      <c r="K1107">
        <f>IFERROR(SMALL(K367:K1087,ROW()-ROW($K$1090)+1),"")</f>
        <v>0</v>
      </c>
      <c r="L1107">
        <f>IFERROR(SMALL(L367:L1087,ROW()-ROW($L$1090)+1),"")</f>
        <v>0</v>
      </c>
      <c r="M1107">
        <f>IFERROR(SMALL(M367:M1087,ROW()-ROW($M$1090)+1),"")</f>
        <v>0</v>
      </c>
      <c r="N1107">
        <f>IFERROR(SMALL(N367:N1087,ROW()-ROW($N$1090)+1),"")</f>
        <v>0</v>
      </c>
    </row>
    <row r="1108" spans="5:14">
      <c r="E1108">
        <f>IFERROR(SMALL(E367:E1087,ROW()-ROW($E$1090)+1),"")</f>
        <v>0</v>
      </c>
      <c r="F1108">
        <f>IFERROR(SMALL(F367:F1087,ROW()-ROW($F$1090)+1),"")</f>
        <v>0</v>
      </c>
      <c r="G1108">
        <f>IFERROR(SMALL(G367:G1087,ROW()-ROW($G$1090)+1),"")</f>
        <v>0</v>
      </c>
      <c r="H1108">
        <f>IFERROR(SMALL(H367:H1087,ROW()-ROW($H$1090)+1),"")</f>
        <v>0</v>
      </c>
      <c r="K1108">
        <f>IFERROR(SMALL(K367:K1087,ROW()-ROW($K$1090)+1),"")</f>
        <v>0</v>
      </c>
      <c r="L1108">
        <f>IFERROR(SMALL(L367:L1087,ROW()-ROW($L$1090)+1),"")</f>
        <v>0</v>
      </c>
      <c r="M1108">
        <f>IFERROR(SMALL(M367:M1087,ROW()-ROW($M$1090)+1),"")</f>
        <v>0</v>
      </c>
      <c r="N1108">
        <f>IFERROR(SMALL(N367:N1087,ROW()-ROW($N$1090)+1),"")</f>
        <v>0</v>
      </c>
    </row>
    <row r="1109" spans="5:14">
      <c r="E1109">
        <f>IFERROR(SMALL(E367:E1087,ROW()-ROW($E$1090)+1),"")</f>
        <v>0</v>
      </c>
      <c r="F1109">
        <f>IFERROR(SMALL(F367:F1087,ROW()-ROW($F$1090)+1),"")</f>
        <v>0</v>
      </c>
      <c r="G1109">
        <f>IFERROR(SMALL(G367:G1087,ROW()-ROW($G$1090)+1),"")</f>
        <v>0</v>
      </c>
      <c r="H1109">
        <f>IFERROR(SMALL(H367:H1087,ROW()-ROW($H$1090)+1),"")</f>
        <v>0</v>
      </c>
      <c r="K1109">
        <f>IFERROR(SMALL(K367:K1087,ROW()-ROW($K$1090)+1),"")</f>
        <v>0</v>
      </c>
      <c r="L1109">
        <f>IFERROR(SMALL(L367:L1087,ROW()-ROW($L$1090)+1),"")</f>
        <v>0</v>
      </c>
      <c r="M1109">
        <f>IFERROR(SMALL(M367:M1087,ROW()-ROW($M$1090)+1),"")</f>
        <v>0</v>
      </c>
      <c r="N1109">
        <f>IFERROR(SMALL(N367:N1087,ROW()-ROW($N$1090)+1),"")</f>
        <v>0</v>
      </c>
    </row>
    <row r="1110" spans="5:14">
      <c r="E1110">
        <f>IFERROR(SMALL(E367:E1087,ROW()-ROW($E$1090)+1),"")</f>
        <v>0</v>
      </c>
      <c r="F1110">
        <f>IFERROR(SMALL(F367:F1087,ROW()-ROW($F$1090)+1),"")</f>
        <v>0</v>
      </c>
      <c r="G1110">
        <f>IFERROR(SMALL(G367:G1087,ROW()-ROW($G$1090)+1),"")</f>
        <v>0</v>
      </c>
      <c r="H1110">
        <f>IFERROR(SMALL(H367:H1087,ROW()-ROW($H$1090)+1),"")</f>
        <v>0</v>
      </c>
      <c r="K1110">
        <f>IFERROR(SMALL(K367:K1087,ROW()-ROW($K$1090)+1),"")</f>
        <v>0</v>
      </c>
      <c r="L1110">
        <f>IFERROR(SMALL(L367:L1087,ROW()-ROW($L$1090)+1),"")</f>
        <v>0</v>
      </c>
      <c r="M1110">
        <f>IFERROR(SMALL(M367:M1087,ROW()-ROW($M$1090)+1),"")</f>
        <v>0</v>
      </c>
      <c r="N1110">
        <f>IFERROR(SMALL(N367:N1087,ROW()-ROW($N$1090)+1),"")</f>
        <v>0</v>
      </c>
    </row>
    <row r="1111" spans="5:14">
      <c r="E1111">
        <f>IFERROR(SMALL(E367:E1087,ROW()-ROW($E$1090)+1),"")</f>
        <v>0</v>
      </c>
      <c r="F1111">
        <f>IFERROR(SMALL(F367:F1087,ROW()-ROW($F$1090)+1),"")</f>
        <v>0</v>
      </c>
      <c r="G1111">
        <f>IFERROR(SMALL(G367:G1087,ROW()-ROW($G$1090)+1),"")</f>
        <v>0</v>
      </c>
      <c r="H1111">
        <f>IFERROR(SMALL(H367:H1087,ROW()-ROW($H$1090)+1),"")</f>
        <v>0</v>
      </c>
      <c r="K1111">
        <f>IFERROR(SMALL(K367:K1087,ROW()-ROW($K$1090)+1),"")</f>
        <v>0</v>
      </c>
      <c r="L1111">
        <f>IFERROR(SMALL(L367:L1087,ROW()-ROW($L$1090)+1),"")</f>
        <v>0</v>
      </c>
      <c r="M1111">
        <f>IFERROR(SMALL(M367:M1087,ROW()-ROW($M$1090)+1),"")</f>
        <v>0</v>
      </c>
      <c r="N1111">
        <f>IFERROR(SMALL(N367:N1087,ROW()-ROW($N$1090)+1),"")</f>
        <v>0</v>
      </c>
    </row>
    <row r="1112" spans="5:14">
      <c r="E1112">
        <f>IFERROR(SMALL(E367:E1087,ROW()-ROW($E$1090)+1),"")</f>
        <v>0</v>
      </c>
      <c r="F1112">
        <f>IFERROR(SMALL(F367:F1087,ROW()-ROW($F$1090)+1),"")</f>
        <v>0</v>
      </c>
      <c r="G1112">
        <f>IFERROR(SMALL(G367:G1087,ROW()-ROW($G$1090)+1),"")</f>
        <v>0</v>
      </c>
      <c r="H1112">
        <f>IFERROR(SMALL(H367:H1087,ROW()-ROW($H$1090)+1),"")</f>
        <v>0</v>
      </c>
      <c r="K1112">
        <f>IFERROR(SMALL(K367:K1087,ROW()-ROW($K$1090)+1),"")</f>
        <v>0</v>
      </c>
      <c r="L1112">
        <f>IFERROR(SMALL(L367:L1087,ROW()-ROW($L$1090)+1),"")</f>
        <v>0</v>
      </c>
      <c r="M1112">
        <f>IFERROR(SMALL(M367:M1087,ROW()-ROW($M$1090)+1),"")</f>
        <v>0</v>
      </c>
      <c r="N1112">
        <f>IFERROR(SMALL(N367:N1087,ROW()-ROW($N$1090)+1),"")</f>
        <v>0</v>
      </c>
    </row>
    <row r="1113" spans="5:14">
      <c r="E1113">
        <f>IFERROR(SMALL(E367:E1087,ROW()-ROW($E$1090)+1),"")</f>
        <v>0</v>
      </c>
      <c r="F1113">
        <f>IFERROR(SMALL(F367:F1087,ROW()-ROW($F$1090)+1),"")</f>
        <v>0</v>
      </c>
      <c r="G1113">
        <f>IFERROR(SMALL(G367:G1087,ROW()-ROW($G$1090)+1),"")</f>
        <v>0</v>
      </c>
      <c r="H1113">
        <f>IFERROR(SMALL(H367:H1087,ROW()-ROW($H$1090)+1),"")</f>
        <v>0</v>
      </c>
      <c r="K1113">
        <f>IFERROR(SMALL(K367:K1087,ROW()-ROW($K$1090)+1),"")</f>
        <v>0</v>
      </c>
      <c r="L1113">
        <f>IFERROR(SMALL(L367:L1087,ROW()-ROW($L$1090)+1),"")</f>
        <v>0</v>
      </c>
      <c r="M1113">
        <f>IFERROR(SMALL(M367:M1087,ROW()-ROW($M$1090)+1),"")</f>
        <v>0</v>
      </c>
      <c r="N1113">
        <f>IFERROR(SMALL(N367:N1087,ROW()-ROW($N$1090)+1),"")</f>
        <v>0</v>
      </c>
    </row>
    <row r="1114" spans="5:14">
      <c r="E1114">
        <f>IFERROR(SMALL(E367:E1087,ROW()-ROW($E$1090)+1),"")</f>
        <v>0</v>
      </c>
      <c r="F1114">
        <f>IFERROR(SMALL(F367:F1087,ROW()-ROW($F$1090)+1),"")</f>
        <v>0</v>
      </c>
      <c r="G1114">
        <f>IFERROR(SMALL(G367:G1087,ROW()-ROW($G$1090)+1),"")</f>
        <v>0</v>
      </c>
      <c r="H1114">
        <f>IFERROR(SMALL(H367:H1087,ROW()-ROW($H$1090)+1),"")</f>
        <v>0</v>
      </c>
      <c r="K1114">
        <f>IFERROR(SMALL(K367:K1087,ROW()-ROW($K$1090)+1),"")</f>
        <v>0</v>
      </c>
      <c r="L1114">
        <f>IFERROR(SMALL(L367:L1087,ROW()-ROW($L$1090)+1),"")</f>
        <v>0</v>
      </c>
      <c r="M1114">
        <f>IFERROR(SMALL(M367:M1087,ROW()-ROW($M$1090)+1),"")</f>
        <v>0</v>
      </c>
      <c r="N1114">
        <f>IFERROR(SMALL(N367:N1087,ROW()-ROW($N$1090)+1),"")</f>
        <v>0</v>
      </c>
    </row>
    <row r="1115" spans="5:14">
      <c r="E1115">
        <f>IFERROR(SMALL(E367:E1087,ROW()-ROW($E$1090)+1),"")</f>
        <v>0</v>
      </c>
      <c r="F1115">
        <f>IFERROR(SMALL(F367:F1087,ROW()-ROW($F$1090)+1),"")</f>
        <v>0</v>
      </c>
      <c r="G1115">
        <f>IFERROR(SMALL(G367:G1087,ROW()-ROW($G$1090)+1),"")</f>
        <v>0</v>
      </c>
      <c r="H1115">
        <f>IFERROR(SMALL(H367:H1087,ROW()-ROW($H$1090)+1),"")</f>
        <v>0</v>
      </c>
      <c r="K1115">
        <f>IFERROR(SMALL(K367:K1087,ROW()-ROW($K$1090)+1),"")</f>
        <v>0</v>
      </c>
      <c r="L1115">
        <f>IFERROR(SMALL(L367:L1087,ROW()-ROW($L$1090)+1),"")</f>
        <v>0</v>
      </c>
      <c r="M1115">
        <f>IFERROR(SMALL(M367:M1087,ROW()-ROW($M$1090)+1),"")</f>
        <v>0</v>
      </c>
      <c r="N1115">
        <f>IFERROR(SMALL(N367:N1087,ROW()-ROW($N$1090)+1),"")</f>
        <v>0</v>
      </c>
    </row>
    <row r="1116" spans="5:14">
      <c r="E1116">
        <f>IFERROR(SMALL(E367:E1087,ROW()-ROW($E$1090)+1),"")</f>
        <v>0</v>
      </c>
      <c r="F1116">
        <f>IFERROR(SMALL(F367:F1087,ROW()-ROW($F$1090)+1),"")</f>
        <v>0</v>
      </c>
      <c r="G1116">
        <f>IFERROR(SMALL(G367:G1087,ROW()-ROW($G$1090)+1),"")</f>
        <v>0</v>
      </c>
      <c r="H1116">
        <f>IFERROR(SMALL(H367:H1087,ROW()-ROW($H$1090)+1),"")</f>
        <v>0</v>
      </c>
      <c r="K1116">
        <f>IFERROR(SMALL(K367:K1087,ROW()-ROW($K$1090)+1),"")</f>
        <v>0</v>
      </c>
      <c r="L1116">
        <f>IFERROR(SMALL(L367:L1087,ROW()-ROW($L$1090)+1),"")</f>
        <v>0</v>
      </c>
      <c r="M1116">
        <f>IFERROR(SMALL(M367:M1087,ROW()-ROW($M$1090)+1),"")</f>
        <v>0</v>
      </c>
      <c r="N1116">
        <f>IFERROR(SMALL(N367:N1087,ROW()-ROW($N$1090)+1),"")</f>
        <v>0</v>
      </c>
    </row>
    <row r="1117" spans="5:14">
      <c r="E1117">
        <f>IFERROR(SMALL(E367:E1087,ROW()-ROW($E$1090)+1),"")</f>
        <v>0</v>
      </c>
      <c r="F1117">
        <f>IFERROR(SMALL(F367:F1087,ROW()-ROW($F$1090)+1),"")</f>
        <v>0</v>
      </c>
      <c r="G1117">
        <f>IFERROR(SMALL(G367:G1087,ROW()-ROW($G$1090)+1),"")</f>
        <v>0</v>
      </c>
      <c r="H1117">
        <f>IFERROR(SMALL(H367:H1087,ROW()-ROW($H$1090)+1),"")</f>
        <v>0</v>
      </c>
      <c r="K1117">
        <f>IFERROR(SMALL(K367:K1087,ROW()-ROW($K$1090)+1),"")</f>
        <v>0</v>
      </c>
      <c r="L1117">
        <f>IFERROR(SMALL(L367:L1087,ROW()-ROW($L$1090)+1),"")</f>
        <v>0</v>
      </c>
      <c r="M1117">
        <f>IFERROR(SMALL(M367:M1087,ROW()-ROW($M$1090)+1),"")</f>
        <v>0</v>
      </c>
      <c r="N1117">
        <f>IFERROR(SMALL(N367:N1087,ROW()-ROW($N$1090)+1),"")</f>
        <v>0</v>
      </c>
    </row>
    <row r="1118" spans="5:14">
      <c r="E1118">
        <f>IFERROR(SMALL(E367:E1087,ROW()-ROW($E$1090)+1),"")</f>
        <v>0</v>
      </c>
      <c r="F1118">
        <f>IFERROR(SMALL(F367:F1087,ROW()-ROW($F$1090)+1),"")</f>
        <v>0</v>
      </c>
      <c r="G1118">
        <f>IFERROR(SMALL(G367:G1087,ROW()-ROW($G$1090)+1),"")</f>
        <v>0</v>
      </c>
      <c r="H1118">
        <f>IFERROR(SMALL(H367:H1087,ROW()-ROW($H$1090)+1),"")</f>
        <v>0</v>
      </c>
      <c r="K1118">
        <f>IFERROR(SMALL(K367:K1087,ROW()-ROW($K$1090)+1),"")</f>
        <v>0</v>
      </c>
      <c r="L1118">
        <f>IFERROR(SMALL(L367:L1087,ROW()-ROW($L$1090)+1),"")</f>
        <v>0</v>
      </c>
      <c r="M1118">
        <f>IFERROR(SMALL(M367:M1087,ROW()-ROW($M$1090)+1),"")</f>
        <v>0</v>
      </c>
      <c r="N1118">
        <f>IFERROR(SMALL(N367:N1087,ROW()-ROW($N$1090)+1),"")</f>
        <v>0</v>
      </c>
    </row>
    <row r="1119" spans="5:14">
      <c r="E1119">
        <f>IFERROR(SMALL(E367:E1087,ROW()-ROW($E$1090)+1),"")</f>
        <v>0</v>
      </c>
      <c r="F1119">
        <f>IFERROR(SMALL(F367:F1087,ROW()-ROW($F$1090)+1),"")</f>
        <v>0</v>
      </c>
      <c r="G1119">
        <f>IFERROR(SMALL(G367:G1087,ROW()-ROW($G$1090)+1),"")</f>
        <v>0</v>
      </c>
      <c r="H1119">
        <f>IFERROR(SMALL(H367:H1087,ROW()-ROW($H$1090)+1),"")</f>
        <v>0</v>
      </c>
      <c r="K1119">
        <f>IFERROR(SMALL(K367:K1087,ROW()-ROW($K$1090)+1),"")</f>
        <v>0</v>
      </c>
      <c r="L1119">
        <f>IFERROR(SMALL(L367:L1087,ROW()-ROW($L$1090)+1),"")</f>
        <v>0</v>
      </c>
      <c r="M1119">
        <f>IFERROR(SMALL(M367:M1087,ROW()-ROW($M$1090)+1),"")</f>
        <v>0</v>
      </c>
      <c r="N1119">
        <f>IFERROR(SMALL(N367:N1087,ROW()-ROW($N$1090)+1),"")</f>
        <v>0</v>
      </c>
    </row>
    <row r="1120" spans="5:14">
      <c r="E1120">
        <f>IFERROR(SMALL(E367:E1087,ROW()-ROW($E$1090)+1),"")</f>
        <v>0</v>
      </c>
      <c r="F1120">
        <f>IFERROR(SMALL(F367:F1087,ROW()-ROW($F$1090)+1),"")</f>
        <v>0</v>
      </c>
      <c r="G1120">
        <f>IFERROR(SMALL(G367:G1087,ROW()-ROW($G$1090)+1),"")</f>
        <v>0</v>
      </c>
      <c r="H1120">
        <f>IFERROR(SMALL(H367:H1087,ROW()-ROW($H$1090)+1),"")</f>
        <v>0</v>
      </c>
      <c r="K1120">
        <f>IFERROR(SMALL(K367:K1087,ROW()-ROW($K$1090)+1),"")</f>
        <v>0</v>
      </c>
      <c r="L1120">
        <f>IFERROR(SMALL(L367:L1087,ROW()-ROW($L$1090)+1),"")</f>
        <v>0</v>
      </c>
      <c r="M1120">
        <f>IFERROR(SMALL(M367:M1087,ROW()-ROW($M$1090)+1),"")</f>
        <v>0</v>
      </c>
      <c r="N1120">
        <f>IFERROR(SMALL(N367:N1087,ROW()-ROW($N$1090)+1),"")</f>
        <v>0</v>
      </c>
    </row>
    <row r="1121" spans="5:14">
      <c r="E1121">
        <f>IFERROR(SMALL(E367:E1087,ROW()-ROW($E$1090)+1),"")</f>
        <v>0</v>
      </c>
      <c r="F1121">
        <f>IFERROR(SMALL(F367:F1087,ROW()-ROW($F$1090)+1),"")</f>
        <v>0</v>
      </c>
      <c r="G1121">
        <f>IFERROR(SMALL(G367:G1087,ROW()-ROW($G$1090)+1),"")</f>
        <v>0</v>
      </c>
      <c r="H1121">
        <f>IFERROR(SMALL(H367:H1087,ROW()-ROW($H$1090)+1),"")</f>
        <v>0</v>
      </c>
      <c r="K1121">
        <f>IFERROR(SMALL(K367:K1087,ROW()-ROW($K$1090)+1),"")</f>
        <v>0</v>
      </c>
      <c r="L1121">
        <f>IFERROR(SMALL(L367:L1087,ROW()-ROW($L$1090)+1),"")</f>
        <v>0</v>
      </c>
      <c r="M1121">
        <f>IFERROR(SMALL(M367:M1087,ROW()-ROW($M$1090)+1),"")</f>
        <v>0</v>
      </c>
      <c r="N1121">
        <f>IFERROR(SMALL(N367:N1087,ROW()-ROW($N$1090)+1),"")</f>
        <v>0</v>
      </c>
    </row>
    <row r="1122" spans="5:14">
      <c r="E1122">
        <f>IFERROR(SMALL(E367:E1087,ROW()-ROW($E$1090)+1),"")</f>
        <v>0</v>
      </c>
      <c r="F1122">
        <f>IFERROR(SMALL(F367:F1087,ROW()-ROW($F$1090)+1),"")</f>
        <v>0</v>
      </c>
      <c r="G1122">
        <f>IFERROR(SMALL(G367:G1087,ROW()-ROW($G$1090)+1),"")</f>
        <v>0</v>
      </c>
      <c r="H1122">
        <f>IFERROR(SMALL(H367:H1087,ROW()-ROW($H$1090)+1),"")</f>
        <v>0</v>
      </c>
      <c r="K1122">
        <f>IFERROR(SMALL(K367:K1087,ROW()-ROW($K$1090)+1),"")</f>
        <v>0</v>
      </c>
      <c r="L1122">
        <f>IFERROR(SMALL(L367:L1087,ROW()-ROW($L$1090)+1),"")</f>
        <v>0</v>
      </c>
      <c r="M1122">
        <f>IFERROR(SMALL(M367:M1087,ROW()-ROW($M$1090)+1),"")</f>
        <v>0</v>
      </c>
      <c r="N1122">
        <f>IFERROR(SMALL(N367:N1087,ROW()-ROW($N$1090)+1),"")</f>
        <v>0</v>
      </c>
    </row>
    <row r="1123" spans="5:14">
      <c r="E1123">
        <f>IFERROR(SMALL(E367:E1087,ROW()-ROW($E$1090)+1),"")</f>
        <v>0</v>
      </c>
      <c r="F1123">
        <f>IFERROR(SMALL(F367:F1087,ROW()-ROW($F$1090)+1),"")</f>
        <v>0</v>
      </c>
      <c r="G1123">
        <f>IFERROR(SMALL(G367:G1087,ROW()-ROW($G$1090)+1),"")</f>
        <v>0</v>
      </c>
      <c r="H1123">
        <f>IFERROR(SMALL(H367:H1087,ROW()-ROW($H$1090)+1),"")</f>
        <v>0</v>
      </c>
      <c r="K1123">
        <f>IFERROR(SMALL(K367:K1087,ROW()-ROW($K$1090)+1),"")</f>
        <v>0</v>
      </c>
      <c r="L1123">
        <f>IFERROR(SMALL(L367:L1087,ROW()-ROW($L$1090)+1),"")</f>
        <v>0</v>
      </c>
      <c r="M1123">
        <f>IFERROR(SMALL(M367:M1087,ROW()-ROW($M$1090)+1),"")</f>
        <v>0</v>
      </c>
      <c r="N1123">
        <f>IFERROR(SMALL(N367:N1087,ROW()-ROW($N$1090)+1),"")</f>
        <v>0</v>
      </c>
    </row>
    <row r="1124" spans="5:14">
      <c r="E1124">
        <f>IFERROR(SMALL(E367:E1087,ROW()-ROW($E$1090)+1),"")</f>
        <v>0</v>
      </c>
      <c r="F1124">
        <f>IFERROR(SMALL(F367:F1087,ROW()-ROW($F$1090)+1),"")</f>
        <v>0</v>
      </c>
      <c r="G1124">
        <f>IFERROR(SMALL(G367:G1087,ROW()-ROW($G$1090)+1),"")</f>
        <v>0</v>
      </c>
      <c r="H1124">
        <f>IFERROR(SMALL(H367:H1087,ROW()-ROW($H$1090)+1),"")</f>
        <v>0</v>
      </c>
      <c r="K1124">
        <f>IFERROR(SMALL(K367:K1087,ROW()-ROW($K$1090)+1),"")</f>
        <v>0</v>
      </c>
      <c r="L1124">
        <f>IFERROR(SMALL(L367:L1087,ROW()-ROW($L$1090)+1),"")</f>
        <v>0</v>
      </c>
      <c r="M1124">
        <f>IFERROR(SMALL(M367:M1087,ROW()-ROW($M$1090)+1),"")</f>
        <v>0</v>
      </c>
      <c r="N1124">
        <f>IFERROR(SMALL(N367:N1087,ROW()-ROW($N$1090)+1),"")</f>
        <v>0</v>
      </c>
    </row>
    <row r="1125" spans="5:14">
      <c r="E1125">
        <f>IFERROR(SMALL(E367:E1087,ROW()-ROW($E$1090)+1),"")</f>
        <v>0</v>
      </c>
      <c r="F1125">
        <f>IFERROR(SMALL(F367:F1087,ROW()-ROW($F$1090)+1),"")</f>
        <v>0</v>
      </c>
      <c r="G1125">
        <f>IFERROR(SMALL(G367:G1087,ROW()-ROW($G$1090)+1),"")</f>
        <v>0</v>
      </c>
      <c r="H1125">
        <f>IFERROR(SMALL(H367:H1087,ROW()-ROW($H$1090)+1),"")</f>
        <v>0</v>
      </c>
      <c r="K1125">
        <f>IFERROR(SMALL(K367:K1087,ROW()-ROW($K$1090)+1),"")</f>
        <v>0</v>
      </c>
      <c r="L1125">
        <f>IFERROR(SMALL(L367:L1087,ROW()-ROW($L$1090)+1),"")</f>
        <v>0</v>
      </c>
      <c r="M1125">
        <f>IFERROR(SMALL(M367:M1087,ROW()-ROW($M$1090)+1),"")</f>
        <v>0</v>
      </c>
      <c r="N1125">
        <f>IFERROR(SMALL(N367:N1087,ROW()-ROW($N$1090)+1),"")</f>
        <v>0</v>
      </c>
    </row>
    <row r="1126" spans="5:14">
      <c r="E1126">
        <f>IFERROR(SMALL(E367:E1087,ROW()-ROW($E$1090)+1),"")</f>
        <v>0</v>
      </c>
      <c r="F1126">
        <f>IFERROR(SMALL(F367:F1087,ROW()-ROW($F$1090)+1),"")</f>
        <v>0</v>
      </c>
      <c r="G1126">
        <f>IFERROR(SMALL(G367:G1087,ROW()-ROW($G$1090)+1),"")</f>
        <v>0</v>
      </c>
      <c r="H1126">
        <f>IFERROR(SMALL(H367:H1087,ROW()-ROW($H$1090)+1),"")</f>
        <v>0</v>
      </c>
      <c r="K1126">
        <f>IFERROR(SMALL(K367:K1087,ROW()-ROW($K$1090)+1),"")</f>
        <v>0</v>
      </c>
      <c r="L1126">
        <f>IFERROR(SMALL(L367:L1087,ROW()-ROW($L$1090)+1),"")</f>
        <v>0</v>
      </c>
      <c r="M1126">
        <f>IFERROR(SMALL(M367:M1087,ROW()-ROW($M$1090)+1),"")</f>
        <v>0</v>
      </c>
      <c r="N1126">
        <f>IFERROR(SMALL(N367:N1087,ROW()-ROW($N$1090)+1),"")</f>
        <v>0</v>
      </c>
    </row>
    <row r="1127" spans="5:14">
      <c r="E1127">
        <f>IFERROR(SMALL(E367:E1087,ROW()-ROW($E$1090)+1),"")</f>
        <v>0</v>
      </c>
      <c r="F1127">
        <f>IFERROR(SMALL(F367:F1087,ROW()-ROW($F$1090)+1),"")</f>
        <v>0</v>
      </c>
      <c r="G1127">
        <f>IFERROR(SMALL(G367:G1087,ROW()-ROW($G$1090)+1),"")</f>
        <v>0</v>
      </c>
      <c r="H1127">
        <f>IFERROR(SMALL(H367:H1087,ROW()-ROW($H$1090)+1),"")</f>
        <v>0</v>
      </c>
      <c r="K1127">
        <f>IFERROR(SMALL(K367:K1087,ROW()-ROW($K$1090)+1),"")</f>
        <v>0</v>
      </c>
      <c r="L1127">
        <f>IFERROR(SMALL(L367:L1087,ROW()-ROW($L$1090)+1),"")</f>
        <v>0</v>
      </c>
      <c r="M1127">
        <f>IFERROR(SMALL(M367:M1087,ROW()-ROW($M$1090)+1),"")</f>
        <v>0</v>
      </c>
      <c r="N1127">
        <f>IFERROR(SMALL(N367:N1087,ROW()-ROW($N$1090)+1),"")</f>
        <v>0</v>
      </c>
    </row>
    <row r="1128" spans="5:14">
      <c r="E1128">
        <f>IFERROR(SMALL(E367:E1087,ROW()-ROW($E$1090)+1),"")</f>
        <v>0</v>
      </c>
      <c r="F1128">
        <f>IFERROR(SMALL(F367:F1087,ROW()-ROW($F$1090)+1),"")</f>
        <v>0</v>
      </c>
      <c r="G1128">
        <f>IFERROR(SMALL(G367:G1087,ROW()-ROW($G$1090)+1),"")</f>
        <v>0</v>
      </c>
      <c r="H1128">
        <f>IFERROR(SMALL(H367:H1087,ROW()-ROW($H$1090)+1),"")</f>
        <v>0</v>
      </c>
      <c r="K1128">
        <f>IFERROR(SMALL(K367:K1087,ROW()-ROW($K$1090)+1),"")</f>
        <v>0</v>
      </c>
      <c r="L1128">
        <f>IFERROR(SMALL(L367:L1087,ROW()-ROW($L$1090)+1),"")</f>
        <v>0</v>
      </c>
      <c r="M1128">
        <f>IFERROR(SMALL(M367:M1087,ROW()-ROW($M$1090)+1),"")</f>
        <v>0</v>
      </c>
      <c r="N1128">
        <f>IFERROR(SMALL(N367:N1087,ROW()-ROW($N$1090)+1),"")</f>
        <v>0</v>
      </c>
    </row>
    <row r="1129" spans="5:14">
      <c r="E1129">
        <f>IFERROR(SMALL(E367:E1087,ROW()-ROW($E$1090)+1),"")</f>
        <v>0</v>
      </c>
      <c r="F1129">
        <f>IFERROR(SMALL(F367:F1087,ROW()-ROW($F$1090)+1),"")</f>
        <v>0</v>
      </c>
      <c r="G1129">
        <f>IFERROR(SMALL(G367:G1087,ROW()-ROW($G$1090)+1),"")</f>
        <v>0</v>
      </c>
      <c r="H1129">
        <f>IFERROR(SMALL(H367:H1087,ROW()-ROW($H$1090)+1),"")</f>
        <v>0</v>
      </c>
      <c r="K1129">
        <f>IFERROR(SMALL(K367:K1087,ROW()-ROW($K$1090)+1),"")</f>
        <v>0</v>
      </c>
      <c r="L1129">
        <f>IFERROR(SMALL(L367:L1087,ROW()-ROW($L$1090)+1),"")</f>
        <v>0</v>
      </c>
      <c r="M1129">
        <f>IFERROR(SMALL(M367:M1087,ROW()-ROW($M$1090)+1),"")</f>
        <v>0</v>
      </c>
      <c r="N1129">
        <f>IFERROR(SMALL(N367:N1087,ROW()-ROW($N$1090)+1),"")</f>
        <v>0</v>
      </c>
    </row>
    <row r="1130" spans="5:14">
      <c r="E1130">
        <f>IFERROR(SMALL(E367:E1087,ROW()-ROW($E$1090)+1),"")</f>
        <v>0</v>
      </c>
      <c r="F1130">
        <f>IFERROR(SMALL(F367:F1087,ROW()-ROW($F$1090)+1),"")</f>
        <v>0</v>
      </c>
      <c r="G1130">
        <f>IFERROR(SMALL(G367:G1087,ROW()-ROW($G$1090)+1),"")</f>
        <v>0</v>
      </c>
      <c r="H1130">
        <f>IFERROR(SMALL(H367:H1087,ROW()-ROW($H$1090)+1),"")</f>
        <v>0</v>
      </c>
      <c r="K1130">
        <f>IFERROR(SMALL(K367:K1087,ROW()-ROW($K$1090)+1),"")</f>
        <v>0</v>
      </c>
      <c r="L1130">
        <f>IFERROR(SMALL(L367:L1087,ROW()-ROW($L$1090)+1),"")</f>
        <v>0</v>
      </c>
      <c r="M1130">
        <f>IFERROR(SMALL(M367:M1087,ROW()-ROW($M$1090)+1),"")</f>
        <v>0</v>
      </c>
      <c r="N1130">
        <f>IFERROR(SMALL(N367:N1087,ROW()-ROW($N$1090)+1),"")</f>
        <v>0</v>
      </c>
    </row>
    <row r="1131" spans="5:14">
      <c r="E1131">
        <f>IFERROR(SMALL(E367:E1087,ROW()-ROW($E$1090)+1),"")</f>
        <v>0</v>
      </c>
      <c r="F1131">
        <f>IFERROR(SMALL(F367:F1087,ROW()-ROW($F$1090)+1),"")</f>
        <v>0</v>
      </c>
      <c r="G1131">
        <f>IFERROR(SMALL(G367:G1087,ROW()-ROW($G$1090)+1),"")</f>
        <v>0</v>
      </c>
      <c r="H1131">
        <f>IFERROR(SMALL(H367:H1087,ROW()-ROW($H$1090)+1),"")</f>
        <v>0</v>
      </c>
      <c r="K1131">
        <f>IFERROR(SMALL(K367:K1087,ROW()-ROW($K$1090)+1),"")</f>
        <v>0</v>
      </c>
      <c r="L1131">
        <f>IFERROR(SMALL(L367:L1087,ROW()-ROW($L$1090)+1),"")</f>
        <v>0</v>
      </c>
      <c r="M1131">
        <f>IFERROR(SMALL(M367:M1087,ROW()-ROW($M$1090)+1),"")</f>
        <v>0</v>
      </c>
      <c r="N1131">
        <f>IFERROR(SMALL(N367:N1087,ROW()-ROW($N$1090)+1),"")</f>
        <v>0</v>
      </c>
    </row>
    <row r="1132" spans="5:14">
      <c r="E1132">
        <f>IFERROR(SMALL(E367:E1087,ROW()-ROW($E$1090)+1),"")</f>
        <v>0</v>
      </c>
      <c r="F1132">
        <f>IFERROR(SMALL(F367:F1087,ROW()-ROW($F$1090)+1),"")</f>
        <v>0</v>
      </c>
      <c r="G1132">
        <f>IFERROR(SMALL(G367:G1087,ROW()-ROW($G$1090)+1),"")</f>
        <v>0</v>
      </c>
      <c r="H1132">
        <f>IFERROR(SMALL(H367:H1087,ROW()-ROW($H$1090)+1),"")</f>
        <v>0</v>
      </c>
      <c r="K1132">
        <f>IFERROR(SMALL(K367:K1087,ROW()-ROW($K$1090)+1),"")</f>
        <v>0</v>
      </c>
      <c r="L1132">
        <f>IFERROR(SMALL(L367:L1087,ROW()-ROW($L$1090)+1),"")</f>
        <v>0</v>
      </c>
      <c r="M1132">
        <f>IFERROR(SMALL(M367:M1087,ROW()-ROW($M$1090)+1),"")</f>
        <v>0</v>
      </c>
      <c r="N1132">
        <f>IFERROR(SMALL(N367:N1087,ROW()-ROW($N$1090)+1),"")</f>
        <v>0</v>
      </c>
    </row>
    <row r="1133" spans="5:14">
      <c r="E1133">
        <f>IFERROR(SMALL(E367:E1087,ROW()-ROW($E$1090)+1),"")</f>
        <v>0</v>
      </c>
      <c r="F1133">
        <f>IFERROR(SMALL(F367:F1087,ROW()-ROW($F$1090)+1),"")</f>
        <v>0</v>
      </c>
      <c r="G1133">
        <f>IFERROR(SMALL(G367:G1087,ROW()-ROW($G$1090)+1),"")</f>
        <v>0</v>
      </c>
      <c r="H1133">
        <f>IFERROR(SMALL(H367:H1087,ROW()-ROW($H$1090)+1),"")</f>
        <v>0</v>
      </c>
      <c r="K1133">
        <f>IFERROR(SMALL(K367:K1087,ROW()-ROW($K$1090)+1),"")</f>
        <v>0</v>
      </c>
      <c r="L1133">
        <f>IFERROR(SMALL(L367:L1087,ROW()-ROW($L$1090)+1),"")</f>
        <v>0</v>
      </c>
      <c r="M1133">
        <f>IFERROR(SMALL(M367:M1087,ROW()-ROW($M$1090)+1),"")</f>
        <v>0</v>
      </c>
      <c r="N1133">
        <f>IFERROR(SMALL(N367:N1087,ROW()-ROW($N$1090)+1),"")</f>
        <v>0</v>
      </c>
    </row>
    <row r="1134" spans="5:14">
      <c r="E1134">
        <f>IFERROR(SMALL(E367:E1087,ROW()-ROW($E$1090)+1),"")</f>
        <v>0</v>
      </c>
      <c r="F1134">
        <f>IFERROR(SMALL(F367:F1087,ROW()-ROW($F$1090)+1),"")</f>
        <v>0</v>
      </c>
      <c r="G1134">
        <f>IFERROR(SMALL(G367:G1087,ROW()-ROW($G$1090)+1),"")</f>
        <v>0</v>
      </c>
      <c r="H1134">
        <f>IFERROR(SMALL(H367:H1087,ROW()-ROW($H$1090)+1),"")</f>
        <v>0</v>
      </c>
      <c r="K1134">
        <f>IFERROR(SMALL(K367:K1087,ROW()-ROW($K$1090)+1),"")</f>
        <v>0</v>
      </c>
      <c r="L1134">
        <f>IFERROR(SMALL(L367:L1087,ROW()-ROW($L$1090)+1),"")</f>
        <v>0</v>
      </c>
      <c r="M1134">
        <f>IFERROR(SMALL(M367:M1087,ROW()-ROW($M$1090)+1),"")</f>
        <v>0</v>
      </c>
      <c r="N1134">
        <f>IFERROR(SMALL(N367:N1087,ROW()-ROW($N$1090)+1),"")</f>
        <v>0</v>
      </c>
    </row>
    <row r="1135" spans="5:14">
      <c r="E1135">
        <f>IFERROR(SMALL(E367:E1087,ROW()-ROW($E$1090)+1),"")</f>
        <v>0</v>
      </c>
      <c r="F1135">
        <f>IFERROR(SMALL(F367:F1087,ROW()-ROW($F$1090)+1),"")</f>
        <v>0</v>
      </c>
      <c r="G1135">
        <f>IFERROR(SMALL(G367:G1087,ROW()-ROW($G$1090)+1),"")</f>
        <v>0</v>
      </c>
      <c r="H1135">
        <f>IFERROR(SMALL(H367:H1087,ROW()-ROW($H$1090)+1),"")</f>
        <v>0</v>
      </c>
      <c r="K1135">
        <f>IFERROR(SMALL(K367:K1087,ROW()-ROW($K$1090)+1),"")</f>
        <v>0</v>
      </c>
      <c r="L1135">
        <f>IFERROR(SMALL(L367:L1087,ROW()-ROW($L$1090)+1),"")</f>
        <v>0</v>
      </c>
      <c r="M1135">
        <f>IFERROR(SMALL(M367:M1087,ROW()-ROW($M$1090)+1),"")</f>
        <v>0</v>
      </c>
      <c r="N1135">
        <f>IFERROR(SMALL(N367:N1087,ROW()-ROW($N$1090)+1),"")</f>
        <v>0</v>
      </c>
    </row>
    <row r="1136" spans="5:14">
      <c r="E1136">
        <f>IFERROR(SMALL(E367:E1087,ROW()-ROW($E$1090)+1),"")</f>
        <v>0</v>
      </c>
      <c r="F1136">
        <f>IFERROR(SMALL(F367:F1087,ROW()-ROW($F$1090)+1),"")</f>
        <v>0</v>
      </c>
      <c r="G1136">
        <f>IFERROR(SMALL(G367:G1087,ROW()-ROW($G$1090)+1),"")</f>
        <v>0</v>
      </c>
      <c r="H1136">
        <f>IFERROR(SMALL(H367:H1087,ROW()-ROW($H$1090)+1),"")</f>
        <v>0</v>
      </c>
      <c r="K1136">
        <f>IFERROR(SMALL(K367:K1087,ROW()-ROW($K$1090)+1),"")</f>
        <v>0</v>
      </c>
      <c r="L1136">
        <f>IFERROR(SMALL(L367:L1087,ROW()-ROW($L$1090)+1),"")</f>
        <v>0</v>
      </c>
      <c r="M1136">
        <f>IFERROR(SMALL(M367:M1087,ROW()-ROW($M$1090)+1),"")</f>
        <v>0</v>
      </c>
      <c r="N1136">
        <f>IFERROR(SMALL(N367:N1087,ROW()-ROW($N$1090)+1),"")</f>
        <v>0</v>
      </c>
    </row>
    <row r="1137" spans="5:14">
      <c r="E1137">
        <f>IFERROR(SMALL(E367:E1087,ROW()-ROW($E$1090)+1),"")</f>
        <v>0</v>
      </c>
      <c r="F1137">
        <f>IFERROR(SMALL(F367:F1087,ROW()-ROW($F$1090)+1),"")</f>
        <v>0</v>
      </c>
      <c r="G1137">
        <f>IFERROR(SMALL(G367:G1087,ROW()-ROW($G$1090)+1),"")</f>
        <v>0</v>
      </c>
      <c r="H1137">
        <f>IFERROR(SMALL(H367:H1087,ROW()-ROW($H$1090)+1),"")</f>
        <v>0</v>
      </c>
      <c r="K1137">
        <f>IFERROR(SMALL(K367:K1087,ROW()-ROW($K$1090)+1),"")</f>
        <v>0</v>
      </c>
      <c r="L1137">
        <f>IFERROR(SMALL(L367:L1087,ROW()-ROW($L$1090)+1),"")</f>
        <v>0</v>
      </c>
      <c r="M1137">
        <f>IFERROR(SMALL(M367:M1087,ROW()-ROW($M$1090)+1),"")</f>
        <v>0</v>
      </c>
      <c r="N1137">
        <f>IFERROR(SMALL(N367:N1087,ROW()-ROW($N$1090)+1),"")</f>
        <v>0</v>
      </c>
    </row>
    <row r="1138" spans="5:14">
      <c r="E1138">
        <f>IFERROR(SMALL(E367:E1087,ROW()-ROW($E$1090)+1),"")</f>
        <v>0</v>
      </c>
      <c r="F1138">
        <f>IFERROR(SMALL(F367:F1087,ROW()-ROW($F$1090)+1),"")</f>
        <v>0</v>
      </c>
      <c r="G1138">
        <f>IFERROR(SMALL(G367:G1087,ROW()-ROW($G$1090)+1),"")</f>
        <v>0</v>
      </c>
      <c r="H1138">
        <f>IFERROR(SMALL(H367:H1087,ROW()-ROW($H$1090)+1),"")</f>
        <v>0</v>
      </c>
      <c r="K1138">
        <f>IFERROR(SMALL(K367:K1087,ROW()-ROW($K$1090)+1),"")</f>
        <v>0</v>
      </c>
      <c r="L1138">
        <f>IFERROR(SMALL(L367:L1087,ROW()-ROW($L$1090)+1),"")</f>
        <v>0</v>
      </c>
      <c r="M1138">
        <f>IFERROR(SMALL(M367:M1087,ROW()-ROW($M$1090)+1),"")</f>
        <v>0</v>
      </c>
      <c r="N1138">
        <f>IFERROR(SMALL(N367:N1087,ROW()-ROW($N$1090)+1),"")</f>
        <v>0</v>
      </c>
    </row>
    <row r="1139" spans="5:14">
      <c r="E1139">
        <f>IFERROR(SMALL(E367:E1087,ROW()-ROW($E$1090)+1),"")</f>
        <v>0</v>
      </c>
      <c r="F1139">
        <f>IFERROR(SMALL(F367:F1087,ROW()-ROW($F$1090)+1),"")</f>
        <v>0</v>
      </c>
      <c r="G1139">
        <f>IFERROR(SMALL(G367:G1087,ROW()-ROW($G$1090)+1),"")</f>
        <v>0</v>
      </c>
      <c r="H1139">
        <f>IFERROR(SMALL(H367:H1087,ROW()-ROW($H$1090)+1),"")</f>
        <v>0</v>
      </c>
      <c r="K1139">
        <f>IFERROR(SMALL(K367:K1087,ROW()-ROW($K$1090)+1),"")</f>
        <v>0</v>
      </c>
      <c r="L1139">
        <f>IFERROR(SMALL(L367:L1087,ROW()-ROW($L$1090)+1),"")</f>
        <v>0</v>
      </c>
      <c r="M1139">
        <f>IFERROR(SMALL(M367:M1087,ROW()-ROW($M$1090)+1),"")</f>
        <v>0</v>
      </c>
      <c r="N1139">
        <f>IFERROR(SMALL(N367:N1087,ROW()-ROW($N$1090)+1),"")</f>
        <v>0</v>
      </c>
    </row>
    <row r="1140" spans="5:14">
      <c r="E1140">
        <f>IFERROR(SMALL(E367:E1087,ROW()-ROW($E$1090)+1),"")</f>
        <v>0</v>
      </c>
      <c r="F1140">
        <f>IFERROR(SMALL(F367:F1087,ROW()-ROW($F$1090)+1),"")</f>
        <v>0</v>
      </c>
      <c r="G1140">
        <f>IFERROR(SMALL(G367:G1087,ROW()-ROW($G$1090)+1),"")</f>
        <v>0</v>
      </c>
      <c r="H1140">
        <f>IFERROR(SMALL(H367:H1087,ROW()-ROW($H$1090)+1),"")</f>
        <v>0</v>
      </c>
      <c r="K1140">
        <f>IFERROR(SMALL(K367:K1087,ROW()-ROW($K$1090)+1),"")</f>
        <v>0</v>
      </c>
      <c r="L1140">
        <f>IFERROR(SMALL(L367:L1087,ROW()-ROW($L$1090)+1),"")</f>
        <v>0</v>
      </c>
      <c r="M1140">
        <f>IFERROR(SMALL(M367:M1087,ROW()-ROW($M$1090)+1),"")</f>
        <v>0</v>
      </c>
      <c r="N1140">
        <f>IFERROR(SMALL(N367:N1087,ROW()-ROW($N$1090)+1),"")</f>
        <v>0</v>
      </c>
    </row>
    <row r="1141" spans="5:14">
      <c r="E1141">
        <f>IFERROR(SMALL(E367:E1087,ROW()-ROW($E$1090)+1),"")</f>
        <v>0</v>
      </c>
      <c r="F1141">
        <f>IFERROR(SMALL(F367:F1087,ROW()-ROW($F$1090)+1),"")</f>
        <v>0</v>
      </c>
      <c r="G1141">
        <f>IFERROR(SMALL(G367:G1087,ROW()-ROW($G$1090)+1),"")</f>
        <v>0</v>
      </c>
      <c r="H1141">
        <f>IFERROR(SMALL(H367:H1087,ROW()-ROW($H$1090)+1),"")</f>
        <v>0</v>
      </c>
      <c r="K1141">
        <f>IFERROR(SMALL(K367:K1087,ROW()-ROW($K$1090)+1),"")</f>
        <v>0</v>
      </c>
      <c r="L1141">
        <f>IFERROR(SMALL(L367:L1087,ROW()-ROW($L$1090)+1),"")</f>
        <v>0</v>
      </c>
      <c r="M1141">
        <f>IFERROR(SMALL(M367:M1087,ROW()-ROW($M$1090)+1),"")</f>
        <v>0</v>
      </c>
      <c r="N1141">
        <f>IFERROR(SMALL(N367:N1087,ROW()-ROW($N$1090)+1),"")</f>
        <v>0</v>
      </c>
    </row>
    <row r="1142" spans="5:14">
      <c r="E1142">
        <f>IFERROR(SMALL(E367:E1087,ROW()-ROW($E$1090)+1),"")</f>
        <v>0</v>
      </c>
      <c r="F1142">
        <f>IFERROR(SMALL(F367:F1087,ROW()-ROW($F$1090)+1),"")</f>
        <v>0</v>
      </c>
      <c r="G1142">
        <f>IFERROR(SMALL(G367:G1087,ROW()-ROW($G$1090)+1),"")</f>
        <v>0</v>
      </c>
      <c r="H1142">
        <f>IFERROR(SMALL(H367:H1087,ROW()-ROW($H$1090)+1),"")</f>
        <v>0</v>
      </c>
      <c r="K1142">
        <f>IFERROR(SMALL(K367:K1087,ROW()-ROW($K$1090)+1),"")</f>
        <v>0</v>
      </c>
      <c r="L1142">
        <f>IFERROR(SMALL(L367:L1087,ROW()-ROW($L$1090)+1),"")</f>
        <v>0</v>
      </c>
      <c r="M1142">
        <f>IFERROR(SMALL(M367:M1087,ROW()-ROW($M$1090)+1),"")</f>
        <v>0</v>
      </c>
      <c r="N1142">
        <f>IFERROR(SMALL(N367:N1087,ROW()-ROW($N$1090)+1),"")</f>
        <v>0</v>
      </c>
    </row>
    <row r="1143" spans="5:14">
      <c r="E1143">
        <f>IFERROR(SMALL(E367:E1087,ROW()-ROW($E$1090)+1),"")</f>
        <v>0</v>
      </c>
      <c r="F1143">
        <f>IFERROR(SMALL(F367:F1087,ROW()-ROW($F$1090)+1),"")</f>
        <v>0</v>
      </c>
      <c r="G1143">
        <f>IFERROR(SMALL(G367:G1087,ROW()-ROW($G$1090)+1),"")</f>
        <v>0</v>
      </c>
      <c r="H1143">
        <f>IFERROR(SMALL(H367:H1087,ROW()-ROW($H$1090)+1),"")</f>
        <v>0</v>
      </c>
      <c r="K1143">
        <f>IFERROR(SMALL(K367:K1087,ROW()-ROW($K$1090)+1),"")</f>
        <v>0</v>
      </c>
      <c r="L1143">
        <f>IFERROR(SMALL(L367:L1087,ROW()-ROW($L$1090)+1),"")</f>
        <v>0</v>
      </c>
      <c r="M1143">
        <f>IFERROR(SMALL(M367:M1087,ROW()-ROW($M$1090)+1),"")</f>
        <v>0</v>
      </c>
      <c r="N1143">
        <f>IFERROR(SMALL(N367:N1087,ROW()-ROW($N$1090)+1),"")</f>
        <v>0</v>
      </c>
    </row>
    <row r="1144" spans="5:14">
      <c r="E1144">
        <f>IFERROR(SMALL(E367:E1087,ROW()-ROW($E$1090)+1),"")</f>
        <v>0</v>
      </c>
      <c r="F1144">
        <f>IFERROR(SMALL(F367:F1087,ROW()-ROW($F$1090)+1),"")</f>
        <v>0</v>
      </c>
      <c r="G1144">
        <f>IFERROR(SMALL(G367:G1087,ROW()-ROW($G$1090)+1),"")</f>
        <v>0</v>
      </c>
      <c r="H1144">
        <f>IFERROR(SMALL(H367:H1087,ROW()-ROW($H$1090)+1),"")</f>
        <v>0</v>
      </c>
      <c r="K1144">
        <f>IFERROR(SMALL(K367:K1087,ROW()-ROW($K$1090)+1),"")</f>
        <v>0</v>
      </c>
      <c r="L1144">
        <f>IFERROR(SMALL(L367:L1087,ROW()-ROW($L$1090)+1),"")</f>
        <v>0</v>
      </c>
      <c r="M1144">
        <f>IFERROR(SMALL(M367:M1087,ROW()-ROW($M$1090)+1),"")</f>
        <v>0</v>
      </c>
      <c r="N1144">
        <f>IFERROR(SMALL(N367:N1087,ROW()-ROW($N$1090)+1),"")</f>
        <v>0</v>
      </c>
    </row>
    <row r="1145" spans="5:14">
      <c r="E1145">
        <f>IFERROR(SMALL(E367:E1087,ROW()-ROW($E$1090)+1),"")</f>
        <v>0</v>
      </c>
      <c r="F1145">
        <f>IFERROR(SMALL(F367:F1087,ROW()-ROW($F$1090)+1),"")</f>
        <v>0</v>
      </c>
      <c r="G1145">
        <f>IFERROR(SMALL(G367:G1087,ROW()-ROW($G$1090)+1),"")</f>
        <v>0</v>
      </c>
      <c r="H1145">
        <f>IFERROR(SMALL(H367:H1087,ROW()-ROW($H$1090)+1),"")</f>
        <v>0</v>
      </c>
      <c r="K1145">
        <f>IFERROR(SMALL(K367:K1087,ROW()-ROW($K$1090)+1),"")</f>
        <v>0</v>
      </c>
      <c r="L1145">
        <f>IFERROR(SMALL(L367:L1087,ROW()-ROW($L$1090)+1),"")</f>
        <v>0</v>
      </c>
      <c r="M1145">
        <f>IFERROR(SMALL(M367:M1087,ROW()-ROW($M$1090)+1),"")</f>
        <v>0</v>
      </c>
      <c r="N1145">
        <f>IFERROR(SMALL(N367:N1087,ROW()-ROW($N$1090)+1),"")</f>
        <v>0</v>
      </c>
    </row>
    <row r="1146" spans="5:14">
      <c r="E1146">
        <f>IFERROR(SMALL(E367:E1087,ROW()-ROW($E$1090)+1),"")</f>
        <v>0</v>
      </c>
      <c r="F1146">
        <f>IFERROR(SMALL(F367:F1087,ROW()-ROW($F$1090)+1),"")</f>
        <v>0</v>
      </c>
      <c r="G1146">
        <f>IFERROR(SMALL(G367:G1087,ROW()-ROW($G$1090)+1),"")</f>
        <v>0</v>
      </c>
      <c r="H1146">
        <f>IFERROR(SMALL(H367:H1087,ROW()-ROW($H$1090)+1),"")</f>
        <v>0</v>
      </c>
      <c r="K1146">
        <f>IFERROR(SMALL(K367:K1087,ROW()-ROW($K$1090)+1),"")</f>
        <v>0</v>
      </c>
      <c r="L1146">
        <f>IFERROR(SMALL(L367:L1087,ROW()-ROW($L$1090)+1),"")</f>
        <v>0</v>
      </c>
      <c r="M1146">
        <f>IFERROR(SMALL(M367:M1087,ROW()-ROW($M$1090)+1),"")</f>
        <v>0</v>
      </c>
      <c r="N1146">
        <f>IFERROR(SMALL(N367:N1087,ROW()-ROW($N$1090)+1),"")</f>
        <v>0</v>
      </c>
    </row>
    <row r="1147" spans="5:14">
      <c r="E1147">
        <f>IFERROR(SMALL(E367:E1087,ROW()-ROW($E$1090)+1),"")</f>
        <v>0</v>
      </c>
      <c r="F1147">
        <f>IFERROR(SMALL(F367:F1087,ROW()-ROW($F$1090)+1),"")</f>
        <v>0</v>
      </c>
      <c r="G1147">
        <f>IFERROR(SMALL(G367:G1087,ROW()-ROW($G$1090)+1),"")</f>
        <v>0</v>
      </c>
      <c r="H1147">
        <f>IFERROR(SMALL(H367:H1087,ROW()-ROW($H$1090)+1),"")</f>
        <v>0</v>
      </c>
      <c r="K1147">
        <f>IFERROR(SMALL(K367:K1087,ROW()-ROW($K$1090)+1),"")</f>
        <v>0</v>
      </c>
      <c r="L1147">
        <f>IFERROR(SMALL(L367:L1087,ROW()-ROW($L$1090)+1),"")</f>
        <v>0</v>
      </c>
      <c r="M1147">
        <f>IFERROR(SMALL(M367:M1087,ROW()-ROW($M$1090)+1),"")</f>
        <v>0</v>
      </c>
      <c r="N1147">
        <f>IFERROR(SMALL(N367:N1087,ROW()-ROW($N$1090)+1),"")</f>
        <v>0</v>
      </c>
    </row>
    <row r="1148" spans="5:14">
      <c r="E1148">
        <f>IFERROR(SMALL(E367:E1087,ROW()-ROW($E$1090)+1),"")</f>
        <v>0</v>
      </c>
      <c r="F1148">
        <f>IFERROR(SMALL(F367:F1087,ROW()-ROW($F$1090)+1),"")</f>
        <v>0</v>
      </c>
      <c r="G1148">
        <f>IFERROR(SMALL(G367:G1087,ROW()-ROW($G$1090)+1),"")</f>
        <v>0</v>
      </c>
      <c r="H1148">
        <f>IFERROR(SMALL(H367:H1087,ROW()-ROW($H$1090)+1),"")</f>
        <v>0</v>
      </c>
      <c r="K1148">
        <f>IFERROR(SMALL(K367:K1087,ROW()-ROW($K$1090)+1),"")</f>
        <v>0</v>
      </c>
      <c r="L1148">
        <f>IFERROR(SMALL(L367:L1087,ROW()-ROW($L$1090)+1),"")</f>
        <v>0</v>
      </c>
      <c r="M1148">
        <f>IFERROR(SMALL(M367:M1087,ROW()-ROW($M$1090)+1),"")</f>
        <v>0</v>
      </c>
      <c r="N1148">
        <f>IFERROR(SMALL(N367:N1087,ROW()-ROW($N$1090)+1),"")</f>
        <v>0</v>
      </c>
    </row>
    <row r="1149" spans="5:14">
      <c r="E1149">
        <f>IFERROR(SMALL(E367:E1087,ROW()-ROW($E$1090)+1),"")</f>
        <v>0</v>
      </c>
      <c r="F1149">
        <f>IFERROR(SMALL(F367:F1087,ROW()-ROW($F$1090)+1),"")</f>
        <v>0</v>
      </c>
      <c r="G1149">
        <f>IFERROR(SMALL(G367:G1087,ROW()-ROW($G$1090)+1),"")</f>
        <v>0</v>
      </c>
      <c r="H1149">
        <f>IFERROR(SMALL(H367:H1087,ROW()-ROW($H$1090)+1),"")</f>
        <v>0</v>
      </c>
      <c r="K1149">
        <f>IFERROR(SMALL(K367:K1087,ROW()-ROW($K$1090)+1),"")</f>
        <v>0</v>
      </c>
      <c r="L1149">
        <f>IFERROR(SMALL(L367:L1087,ROW()-ROW($L$1090)+1),"")</f>
        <v>0</v>
      </c>
      <c r="M1149">
        <f>IFERROR(SMALL(M367:M1087,ROW()-ROW($M$1090)+1),"")</f>
        <v>0</v>
      </c>
      <c r="N1149">
        <f>IFERROR(SMALL(N367:N1087,ROW()-ROW($N$1090)+1),"")</f>
        <v>0</v>
      </c>
    </row>
    <row r="1150" spans="5:14">
      <c r="E1150">
        <f>IFERROR(SMALL(E367:E1087,ROW()-ROW($E$1090)+1),"")</f>
        <v>0</v>
      </c>
      <c r="F1150">
        <f>IFERROR(SMALL(F367:F1087,ROW()-ROW($F$1090)+1),"")</f>
        <v>0</v>
      </c>
      <c r="G1150">
        <f>IFERROR(SMALL(G367:G1087,ROW()-ROW($G$1090)+1),"")</f>
        <v>0</v>
      </c>
      <c r="H1150">
        <f>IFERROR(SMALL(H367:H1087,ROW()-ROW($H$1090)+1),"")</f>
        <v>0</v>
      </c>
      <c r="K1150">
        <f>IFERROR(SMALL(K367:K1087,ROW()-ROW($K$1090)+1),"")</f>
        <v>0</v>
      </c>
      <c r="L1150">
        <f>IFERROR(SMALL(L367:L1087,ROW()-ROW($L$1090)+1),"")</f>
        <v>0</v>
      </c>
      <c r="M1150">
        <f>IFERROR(SMALL(M367:M1087,ROW()-ROW($M$1090)+1),"")</f>
        <v>0</v>
      </c>
      <c r="N1150">
        <f>IFERROR(SMALL(N367:N1087,ROW()-ROW($N$1090)+1),"")</f>
        <v>0</v>
      </c>
    </row>
    <row r="1151" spans="5:14">
      <c r="E1151">
        <f>IFERROR(SMALL(E367:E1087,ROW()-ROW($E$1090)+1),"")</f>
        <v>0</v>
      </c>
      <c r="F1151">
        <f>IFERROR(SMALL(F367:F1087,ROW()-ROW($F$1090)+1),"")</f>
        <v>0</v>
      </c>
      <c r="G1151">
        <f>IFERROR(SMALL(G367:G1087,ROW()-ROW($G$1090)+1),"")</f>
        <v>0</v>
      </c>
      <c r="H1151">
        <f>IFERROR(SMALL(H367:H1087,ROW()-ROW($H$1090)+1),"")</f>
        <v>0</v>
      </c>
      <c r="K1151">
        <f>IFERROR(SMALL(K367:K1087,ROW()-ROW($K$1090)+1),"")</f>
        <v>0</v>
      </c>
      <c r="L1151">
        <f>IFERROR(SMALL(L367:L1087,ROW()-ROW($L$1090)+1),"")</f>
        <v>0</v>
      </c>
      <c r="M1151">
        <f>IFERROR(SMALL(M367:M1087,ROW()-ROW($M$1090)+1),"")</f>
        <v>0</v>
      </c>
      <c r="N1151">
        <f>IFERROR(SMALL(N367:N1087,ROW()-ROW($N$1090)+1),"")</f>
        <v>0</v>
      </c>
    </row>
    <row r="1152" spans="5:14">
      <c r="E1152">
        <f>IFERROR(SMALL(E367:E1087,ROW()-ROW($E$1090)+1),"")</f>
        <v>0</v>
      </c>
      <c r="F1152">
        <f>IFERROR(SMALL(F367:F1087,ROW()-ROW($F$1090)+1),"")</f>
        <v>0</v>
      </c>
      <c r="G1152">
        <f>IFERROR(SMALL(G367:G1087,ROW()-ROW($G$1090)+1),"")</f>
        <v>0</v>
      </c>
      <c r="H1152">
        <f>IFERROR(SMALL(H367:H1087,ROW()-ROW($H$1090)+1),"")</f>
        <v>0</v>
      </c>
      <c r="K1152">
        <f>IFERROR(SMALL(K367:K1087,ROW()-ROW($K$1090)+1),"")</f>
        <v>0</v>
      </c>
      <c r="L1152">
        <f>IFERROR(SMALL(L367:L1087,ROW()-ROW($L$1090)+1),"")</f>
        <v>0</v>
      </c>
      <c r="M1152">
        <f>IFERROR(SMALL(M367:M1087,ROW()-ROW($M$1090)+1),"")</f>
        <v>0</v>
      </c>
      <c r="N1152">
        <f>IFERROR(SMALL(N367:N1087,ROW()-ROW($N$1090)+1),"")</f>
        <v>0</v>
      </c>
    </row>
    <row r="1153" spans="5:14">
      <c r="E1153">
        <f>IFERROR(SMALL(E367:E1087,ROW()-ROW($E$1090)+1),"")</f>
        <v>0</v>
      </c>
      <c r="F1153">
        <f>IFERROR(SMALL(F367:F1087,ROW()-ROW($F$1090)+1),"")</f>
        <v>0</v>
      </c>
      <c r="G1153">
        <f>IFERROR(SMALL(G367:G1087,ROW()-ROW($G$1090)+1),"")</f>
        <v>0</v>
      </c>
      <c r="H1153">
        <f>IFERROR(SMALL(H367:H1087,ROW()-ROW($H$1090)+1),"")</f>
        <v>0</v>
      </c>
      <c r="K1153">
        <f>IFERROR(SMALL(K367:K1087,ROW()-ROW($K$1090)+1),"")</f>
        <v>0</v>
      </c>
      <c r="L1153">
        <f>IFERROR(SMALL(L367:L1087,ROW()-ROW($L$1090)+1),"")</f>
        <v>0</v>
      </c>
      <c r="M1153">
        <f>IFERROR(SMALL(M367:M1087,ROW()-ROW($M$1090)+1),"")</f>
        <v>0</v>
      </c>
      <c r="N1153">
        <f>IFERROR(SMALL(N367:N1087,ROW()-ROW($N$1090)+1),"")</f>
        <v>0</v>
      </c>
    </row>
    <row r="1154" spans="5:14">
      <c r="E1154">
        <f>IFERROR(SMALL(E367:E1087,ROW()-ROW($E$1090)+1),"")</f>
        <v>0</v>
      </c>
      <c r="F1154">
        <f>IFERROR(SMALL(F367:F1087,ROW()-ROW($F$1090)+1),"")</f>
        <v>0</v>
      </c>
      <c r="G1154">
        <f>IFERROR(SMALL(G367:G1087,ROW()-ROW($G$1090)+1),"")</f>
        <v>0</v>
      </c>
      <c r="H1154">
        <f>IFERROR(SMALL(H367:H1087,ROW()-ROW($H$1090)+1),"")</f>
        <v>0</v>
      </c>
      <c r="K1154">
        <f>IFERROR(SMALL(K367:K1087,ROW()-ROW($K$1090)+1),"")</f>
        <v>0</v>
      </c>
      <c r="L1154">
        <f>IFERROR(SMALL(L367:L1087,ROW()-ROW($L$1090)+1),"")</f>
        <v>0</v>
      </c>
      <c r="M1154">
        <f>IFERROR(SMALL(M367:M1087,ROW()-ROW($M$1090)+1),"")</f>
        <v>0</v>
      </c>
      <c r="N1154">
        <f>IFERROR(SMALL(N367:N1087,ROW()-ROW($N$1090)+1),"")</f>
        <v>0</v>
      </c>
    </row>
    <row r="1155" spans="5:14">
      <c r="E1155">
        <f>IFERROR(SMALL(E367:E1087,ROW()-ROW($E$1090)+1),"")</f>
        <v>0</v>
      </c>
      <c r="F1155">
        <f>IFERROR(SMALL(F367:F1087,ROW()-ROW($F$1090)+1),"")</f>
        <v>0</v>
      </c>
      <c r="G1155">
        <f>IFERROR(SMALL(G367:G1087,ROW()-ROW($G$1090)+1),"")</f>
        <v>0</v>
      </c>
      <c r="H1155">
        <f>IFERROR(SMALL(H367:H1087,ROW()-ROW($H$1090)+1),"")</f>
        <v>0</v>
      </c>
      <c r="K1155">
        <f>IFERROR(SMALL(K367:K1087,ROW()-ROW($K$1090)+1),"")</f>
        <v>0</v>
      </c>
      <c r="L1155">
        <f>IFERROR(SMALL(L367:L1087,ROW()-ROW($L$1090)+1),"")</f>
        <v>0</v>
      </c>
      <c r="M1155">
        <f>IFERROR(SMALL(M367:M1087,ROW()-ROW($M$1090)+1),"")</f>
        <v>0</v>
      </c>
      <c r="N1155">
        <f>IFERROR(SMALL(N367:N1087,ROW()-ROW($N$1090)+1),"")</f>
        <v>0</v>
      </c>
    </row>
    <row r="1156" spans="5:14">
      <c r="E1156">
        <f>IFERROR(SMALL(E367:E1087,ROW()-ROW($E$1090)+1),"")</f>
        <v>0</v>
      </c>
      <c r="F1156">
        <f>IFERROR(SMALL(F367:F1087,ROW()-ROW($F$1090)+1),"")</f>
        <v>0</v>
      </c>
      <c r="G1156">
        <f>IFERROR(SMALL(G367:G1087,ROW()-ROW($G$1090)+1),"")</f>
        <v>0</v>
      </c>
      <c r="H1156">
        <f>IFERROR(SMALL(H367:H1087,ROW()-ROW($H$1090)+1),"")</f>
        <v>0</v>
      </c>
      <c r="K1156">
        <f>IFERROR(SMALL(K367:K1087,ROW()-ROW($K$1090)+1),"")</f>
        <v>0</v>
      </c>
      <c r="L1156">
        <f>IFERROR(SMALL(L367:L1087,ROW()-ROW($L$1090)+1),"")</f>
        <v>0</v>
      </c>
      <c r="M1156">
        <f>IFERROR(SMALL(M367:M1087,ROW()-ROW($M$1090)+1),"")</f>
        <v>0</v>
      </c>
      <c r="N1156">
        <f>IFERROR(SMALL(N367:N1087,ROW()-ROW($N$1090)+1),"")</f>
        <v>0</v>
      </c>
    </row>
    <row r="1157" spans="5:14">
      <c r="E1157">
        <f>IFERROR(SMALL(E367:E1087,ROW()-ROW($E$1090)+1),"")</f>
        <v>0</v>
      </c>
      <c r="F1157">
        <f>IFERROR(SMALL(F367:F1087,ROW()-ROW($F$1090)+1),"")</f>
        <v>0</v>
      </c>
      <c r="G1157">
        <f>IFERROR(SMALL(G367:G1087,ROW()-ROW($G$1090)+1),"")</f>
        <v>0</v>
      </c>
      <c r="H1157">
        <f>IFERROR(SMALL(H367:H1087,ROW()-ROW($H$1090)+1),"")</f>
        <v>0</v>
      </c>
      <c r="K1157">
        <f>IFERROR(SMALL(K367:K1087,ROW()-ROW($K$1090)+1),"")</f>
        <v>0</v>
      </c>
      <c r="L1157">
        <f>IFERROR(SMALL(L367:L1087,ROW()-ROW($L$1090)+1),"")</f>
        <v>0</v>
      </c>
      <c r="M1157">
        <f>IFERROR(SMALL(M367:M1087,ROW()-ROW($M$1090)+1),"")</f>
        <v>0</v>
      </c>
      <c r="N1157">
        <f>IFERROR(SMALL(N367:N1087,ROW()-ROW($N$1090)+1),"")</f>
        <v>0</v>
      </c>
    </row>
    <row r="1158" spans="5:14">
      <c r="E1158">
        <f>IFERROR(SMALL(E367:E1087,ROW()-ROW($E$1090)+1),"")</f>
        <v>0</v>
      </c>
      <c r="F1158">
        <f>IFERROR(SMALL(F367:F1087,ROW()-ROW($F$1090)+1),"")</f>
        <v>0</v>
      </c>
      <c r="G1158">
        <f>IFERROR(SMALL(G367:G1087,ROW()-ROW($G$1090)+1),"")</f>
        <v>0</v>
      </c>
      <c r="H1158">
        <f>IFERROR(SMALL(H367:H1087,ROW()-ROW($H$1090)+1),"")</f>
        <v>0</v>
      </c>
      <c r="K1158">
        <f>IFERROR(SMALL(K367:K1087,ROW()-ROW($K$1090)+1),"")</f>
        <v>0</v>
      </c>
      <c r="L1158">
        <f>IFERROR(SMALL(L367:L1087,ROW()-ROW($L$1090)+1),"")</f>
        <v>0</v>
      </c>
      <c r="M1158">
        <f>IFERROR(SMALL(M367:M1087,ROW()-ROW($M$1090)+1),"")</f>
        <v>0</v>
      </c>
      <c r="N1158">
        <f>IFERROR(SMALL(N367:N1087,ROW()-ROW($N$1090)+1),"")</f>
        <v>0</v>
      </c>
    </row>
    <row r="1159" spans="5:14">
      <c r="E1159">
        <f>IFERROR(SMALL(E367:E1087,ROW()-ROW($E$1090)+1),"")</f>
        <v>0</v>
      </c>
      <c r="F1159">
        <f>IFERROR(SMALL(F367:F1087,ROW()-ROW($F$1090)+1),"")</f>
        <v>0</v>
      </c>
      <c r="G1159">
        <f>IFERROR(SMALL(G367:G1087,ROW()-ROW($G$1090)+1),"")</f>
        <v>0</v>
      </c>
      <c r="H1159">
        <f>IFERROR(SMALL(H367:H1087,ROW()-ROW($H$1090)+1),"")</f>
        <v>0</v>
      </c>
      <c r="K1159">
        <f>IFERROR(SMALL(K367:K1087,ROW()-ROW($K$1090)+1),"")</f>
        <v>0</v>
      </c>
      <c r="L1159">
        <f>IFERROR(SMALL(L367:L1087,ROW()-ROW($L$1090)+1),"")</f>
        <v>0</v>
      </c>
      <c r="M1159">
        <f>IFERROR(SMALL(M367:M1087,ROW()-ROW($M$1090)+1),"")</f>
        <v>0</v>
      </c>
      <c r="N1159">
        <f>IFERROR(SMALL(N367:N1087,ROW()-ROW($N$1090)+1),"")</f>
        <v>0</v>
      </c>
    </row>
    <row r="1160" spans="5:14">
      <c r="E1160">
        <f>IFERROR(SMALL(E367:E1087,ROW()-ROW($E$1090)+1),"")</f>
        <v>0</v>
      </c>
      <c r="F1160">
        <f>IFERROR(SMALL(F367:F1087,ROW()-ROW($F$1090)+1),"")</f>
        <v>0</v>
      </c>
      <c r="G1160">
        <f>IFERROR(SMALL(G367:G1087,ROW()-ROW($G$1090)+1),"")</f>
        <v>0</v>
      </c>
      <c r="H1160">
        <f>IFERROR(SMALL(H367:H1087,ROW()-ROW($H$1090)+1),"")</f>
        <v>0</v>
      </c>
      <c r="K1160">
        <f>IFERROR(SMALL(K367:K1087,ROW()-ROW($K$1090)+1),"")</f>
        <v>0</v>
      </c>
      <c r="L1160">
        <f>IFERROR(SMALL(L367:L1087,ROW()-ROW($L$1090)+1),"")</f>
        <v>0</v>
      </c>
      <c r="M1160">
        <f>IFERROR(SMALL(M367:M1087,ROW()-ROW($M$1090)+1),"")</f>
        <v>0</v>
      </c>
      <c r="N1160">
        <f>IFERROR(SMALL(N367:N1087,ROW()-ROW($N$1090)+1),"")</f>
        <v>0</v>
      </c>
    </row>
    <row r="1161" spans="5:14">
      <c r="E1161">
        <f>IFERROR(SMALL(E367:E1087,ROW()-ROW($E$1090)+1),"")</f>
        <v>0</v>
      </c>
      <c r="F1161">
        <f>IFERROR(SMALL(F367:F1087,ROW()-ROW($F$1090)+1),"")</f>
        <v>0</v>
      </c>
      <c r="G1161">
        <f>IFERROR(SMALL(G367:G1087,ROW()-ROW($G$1090)+1),"")</f>
        <v>0</v>
      </c>
      <c r="H1161">
        <f>IFERROR(SMALL(H367:H1087,ROW()-ROW($H$1090)+1),"")</f>
        <v>0</v>
      </c>
      <c r="K1161">
        <f>IFERROR(SMALL(K367:K1087,ROW()-ROW($K$1090)+1),"")</f>
        <v>0</v>
      </c>
      <c r="L1161">
        <f>IFERROR(SMALL(L367:L1087,ROW()-ROW($L$1090)+1),"")</f>
        <v>0</v>
      </c>
      <c r="M1161">
        <f>IFERROR(SMALL(M367:M1087,ROW()-ROW($M$1090)+1),"")</f>
        <v>0</v>
      </c>
      <c r="N1161">
        <f>IFERROR(SMALL(N367:N1087,ROW()-ROW($N$1090)+1),"")</f>
        <v>0</v>
      </c>
    </row>
    <row r="1162" spans="5:14">
      <c r="E1162">
        <f>IFERROR(SMALL(E367:E1087,ROW()-ROW($E$1090)+1),"")</f>
        <v>0</v>
      </c>
      <c r="F1162">
        <f>IFERROR(SMALL(F367:F1087,ROW()-ROW($F$1090)+1),"")</f>
        <v>0</v>
      </c>
      <c r="G1162">
        <f>IFERROR(SMALL(G367:G1087,ROW()-ROW($G$1090)+1),"")</f>
        <v>0</v>
      </c>
      <c r="H1162">
        <f>IFERROR(SMALL(H367:H1087,ROW()-ROW($H$1090)+1),"")</f>
        <v>0</v>
      </c>
      <c r="K1162">
        <f>IFERROR(SMALL(K367:K1087,ROW()-ROW($K$1090)+1),"")</f>
        <v>0</v>
      </c>
      <c r="L1162">
        <f>IFERROR(SMALL(L367:L1087,ROW()-ROW($L$1090)+1),"")</f>
        <v>0</v>
      </c>
      <c r="M1162">
        <f>IFERROR(SMALL(M367:M1087,ROW()-ROW($M$1090)+1),"")</f>
        <v>0</v>
      </c>
      <c r="N1162">
        <f>IFERROR(SMALL(N367:N1087,ROW()-ROW($N$1090)+1),"")</f>
        <v>0</v>
      </c>
    </row>
    <row r="1163" spans="5:14">
      <c r="E1163">
        <f>IFERROR(SMALL(E367:E1087,ROW()-ROW($E$1090)+1),"")</f>
        <v>0</v>
      </c>
      <c r="F1163">
        <f>IFERROR(SMALL(F367:F1087,ROW()-ROW($F$1090)+1),"")</f>
        <v>0</v>
      </c>
      <c r="G1163">
        <f>IFERROR(SMALL(G367:G1087,ROW()-ROW($G$1090)+1),"")</f>
        <v>0</v>
      </c>
      <c r="H1163">
        <f>IFERROR(SMALL(H367:H1087,ROW()-ROW($H$1090)+1),"")</f>
        <v>0</v>
      </c>
      <c r="K1163">
        <f>IFERROR(SMALL(K367:K1087,ROW()-ROW($K$1090)+1),"")</f>
        <v>0</v>
      </c>
      <c r="L1163">
        <f>IFERROR(SMALL(L367:L1087,ROW()-ROW($L$1090)+1),"")</f>
        <v>0</v>
      </c>
      <c r="M1163">
        <f>IFERROR(SMALL(M367:M1087,ROW()-ROW($M$1090)+1),"")</f>
        <v>0</v>
      </c>
      <c r="N1163">
        <f>IFERROR(SMALL(N367:N1087,ROW()-ROW($N$1090)+1),"")</f>
        <v>0</v>
      </c>
    </row>
    <row r="1164" spans="5:14">
      <c r="E1164">
        <f>IFERROR(SMALL(E367:E1087,ROW()-ROW($E$1090)+1),"")</f>
        <v>0</v>
      </c>
      <c r="F1164">
        <f>IFERROR(SMALL(F367:F1087,ROW()-ROW($F$1090)+1),"")</f>
        <v>0</v>
      </c>
      <c r="G1164">
        <f>IFERROR(SMALL(G367:G1087,ROW()-ROW($G$1090)+1),"")</f>
        <v>0</v>
      </c>
      <c r="H1164">
        <f>IFERROR(SMALL(H367:H1087,ROW()-ROW($H$1090)+1),"")</f>
        <v>0</v>
      </c>
      <c r="K1164">
        <f>IFERROR(SMALL(K367:K1087,ROW()-ROW($K$1090)+1),"")</f>
        <v>0</v>
      </c>
      <c r="L1164">
        <f>IFERROR(SMALL(L367:L1087,ROW()-ROW($L$1090)+1),"")</f>
        <v>0</v>
      </c>
      <c r="M1164">
        <f>IFERROR(SMALL(M367:M1087,ROW()-ROW($M$1090)+1),"")</f>
        <v>0</v>
      </c>
      <c r="N1164">
        <f>IFERROR(SMALL(N367:N1087,ROW()-ROW($N$1090)+1),"")</f>
        <v>0</v>
      </c>
    </row>
    <row r="1165" spans="5:14">
      <c r="E1165">
        <f>IFERROR(SMALL(E367:E1087,ROW()-ROW($E$1090)+1),"")</f>
        <v>0</v>
      </c>
      <c r="F1165">
        <f>IFERROR(SMALL(F367:F1087,ROW()-ROW($F$1090)+1),"")</f>
        <v>0</v>
      </c>
      <c r="G1165">
        <f>IFERROR(SMALL(G367:G1087,ROW()-ROW($G$1090)+1),"")</f>
        <v>0</v>
      </c>
      <c r="H1165">
        <f>IFERROR(SMALL(H367:H1087,ROW()-ROW($H$1090)+1),"")</f>
        <v>0</v>
      </c>
      <c r="K1165">
        <f>IFERROR(SMALL(K367:K1087,ROW()-ROW($K$1090)+1),"")</f>
        <v>0</v>
      </c>
      <c r="L1165">
        <f>IFERROR(SMALL(L367:L1087,ROW()-ROW($L$1090)+1),"")</f>
        <v>0</v>
      </c>
      <c r="M1165">
        <f>IFERROR(SMALL(M367:M1087,ROW()-ROW($M$1090)+1),"")</f>
        <v>0</v>
      </c>
      <c r="N1165">
        <f>IFERROR(SMALL(N367:N1087,ROW()-ROW($N$1090)+1),"")</f>
        <v>0</v>
      </c>
    </row>
    <row r="1166" spans="5:14">
      <c r="E1166">
        <f>IFERROR(SMALL(E367:E1087,ROW()-ROW($E$1090)+1),"")</f>
        <v>0</v>
      </c>
      <c r="F1166">
        <f>IFERROR(SMALL(F367:F1087,ROW()-ROW($F$1090)+1),"")</f>
        <v>0</v>
      </c>
      <c r="G1166">
        <f>IFERROR(SMALL(G367:G1087,ROW()-ROW($G$1090)+1),"")</f>
        <v>0</v>
      </c>
      <c r="H1166">
        <f>IFERROR(SMALL(H367:H1087,ROW()-ROW($H$1090)+1),"")</f>
        <v>0</v>
      </c>
      <c r="K1166">
        <f>IFERROR(SMALL(K367:K1087,ROW()-ROW($K$1090)+1),"")</f>
        <v>0</v>
      </c>
      <c r="L1166">
        <f>IFERROR(SMALL(L367:L1087,ROW()-ROW($L$1090)+1),"")</f>
        <v>0</v>
      </c>
      <c r="M1166">
        <f>IFERROR(SMALL(M367:M1087,ROW()-ROW($M$1090)+1),"")</f>
        <v>0</v>
      </c>
      <c r="N1166">
        <f>IFERROR(SMALL(N367:N1087,ROW()-ROW($N$1090)+1),"")</f>
        <v>0</v>
      </c>
    </row>
    <row r="1167" spans="5:14">
      <c r="E1167">
        <f>IFERROR(SMALL(E367:E1087,ROW()-ROW($E$1090)+1),"")</f>
        <v>0</v>
      </c>
      <c r="F1167">
        <f>IFERROR(SMALL(F367:F1087,ROW()-ROW($F$1090)+1),"")</f>
        <v>0</v>
      </c>
      <c r="G1167">
        <f>IFERROR(SMALL(G367:G1087,ROW()-ROW($G$1090)+1),"")</f>
        <v>0</v>
      </c>
      <c r="H1167">
        <f>IFERROR(SMALL(H367:H1087,ROW()-ROW($H$1090)+1),"")</f>
        <v>0</v>
      </c>
      <c r="K1167">
        <f>IFERROR(SMALL(K367:K1087,ROW()-ROW($K$1090)+1),"")</f>
        <v>0</v>
      </c>
      <c r="L1167">
        <f>IFERROR(SMALL(L367:L1087,ROW()-ROW($L$1090)+1),"")</f>
        <v>0</v>
      </c>
      <c r="M1167">
        <f>IFERROR(SMALL(M367:M1087,ROW()-ROW($M$1090)+1),"")</f>
        <v>0</v>
      </c>
      <c r="N1167">
        <f>IFERROR(SMALL(N367:N1087,ROW()-ROW($N$1090)+1),"")</f>
        <v>0</v>
      </c>
    </row>
    <row r="1168" spans="5:14">
      <c r="E1168">
        <f>IFERROR(SMALL(E367:E1087,ROW()-ROW($E$1090)+1),"")</f>
        <v>0</v>
      </c>
      <c r="F1168">
        <f>IFERROR(SMALL(F367:F1087,ROW()-ROW($F$1090)+1),"")</f>
        <v>0</v>
      </c>
      <c r="G1168">
        <f>IFERROR(SMALL(G367:G1087,ROW()-ROW($G$1090)+1),"")</f>
        <v>0</v>
      </c>
      <c r="H1168">
        <f>IFERROR(SMALL(H367:H1087,ROW()-ROW($H$1090)+1),"")</f>
        <v>0</v>
      </c>
      <c r="K1168">
        <f>IFERROR(SMALL(K367:K1087,ROW()-ROW($K$1090)+1),"")</f>
        <v>0</v>
      </c>
      <c r="L1168">
        <f>IFERROR(SMALL(L367:L1087,ROW()-ROW($L$1090)+1),"")</f>
        <v>0</v>
      </c>
      <c r="M1168">
        <f>IFERROR(SMALL(M367:M1087,ROW()-ROW($M$1090)+1),"")</f>
        <v>0</v>
      </c>
      <c r="N1168">
        <f>IFERROR(SMALL(N367:N1087,ROW()-ROW($N$1090)+1),"")</f>
        <v>0</v>
      </c>
    </row>
    <row r="1169" spans="5:14">
      <c r="E1169">
        <f>IFERROR(SMALL(E367:E1087,ROW()-ROW($E$1090)+1),"")</f>
        <v>0</v>
      </c>
      <c r="F1169">
        <f>IFERROR(SMALL(F367:F1087,ROW()-ROW($F$1090)+1),"")</f>
        <v>0</v>
      </c>
      <c r="G1169">
        <f>IFERROR(SMALL(G367:G1087,ROW()-ROW($G$1090)+1),"")</f>
        <v>0</v>
      </c>
      <c r="H1169">
        <f>IFERROR(SMALL(H367:H1087,ROW()-ROW($H$1090)+1),"")</f>
        <v>0</v>
      </c>
      <c r="K1169">
        <f>IFERROR(SMALL(K367:K1087,ROW()-ROW($K$1090)+1),"")</f>
        <v>0</v>
      </c>
      <c r="L1169">
        <f>IFERROR(SMALL(L367:L1087,ROW()-ROW($L$1090)+1),"")</f>
        <v>0</v>
      </c>
      <c r="M1169">
        <f>IFERROR(SMALL(M367:M1087,ROW()-ROW($M$1090)+1),"")</f>
        <v>0</v>
      </c>
      <c r="N1169">
        <f>IFERROR(SMALL(N367:N1087,ROW()-ROW($N$1090)+1),"")</f>
        <v>0</v>
      </c>
    </row>
    <row r="1170" spans="5:14">
      <c r="E1170">
        <f>IFERROR(SMALL(E367:E1087,ROW()-ROW($E$1090)+1),"")</f>
        <v>0</v>
      </c>
      <c r="F1170">
        <f>IFERROR(SMALL(F367:F1087,ROW()-ROW($F$1090)+1),"")</f>
        <v>0</v>
      </c>
      <c r="G1170">
        <f>IFERROR(SMALL(G367:G1087,ROW()-ROW($G$1090)+1),"")</f>
        <v>0</v>
      </c>
      <c r="H1170">
        <f>IFERROR(SMALL(H367:H1087,ROW()-ROW($H$1090)+1),"")</f>
        <v>0</v>
      </c>
      <c r="K1170">
        <f>IFERROR(SMALL(K367:K1087,ROW()-ROW($K$1090)+1),"")</f>
        <v>0</v>
      </c>
      <c r="L1170">
        <f>IFERROR(SMALL(L367:L1087,ROW()-ROW($L$1090)+1),"")</f>
        <v>0</v>
      </c>
      <c r="M1170">
        <f>IFERROR(SMALL(M367:M1087,ROW()-ROW($M$1090)+1),"")</f>
        <v>0</v>
      </c>
      <c r="N1170">
        <f>IFERROR(SMALL(N367:N1087,ROW()-ROW($N$1090)+1),"")</f>
        <v>0</v>
      </c>
    </row>
    <row r="1171" spans="5:14">
      <c r="E1171">
        <f>IFERROR(SMALL(E367:E1087,ROW()-ROW($E$1090)+1),"")</f>
        <v>0</v>
      </c>
      <c r="F1171">
        <f>IFERROR(SMALL(F367:F1087,ROW()-ROW($F$1090)+1),"")</f>
        <v>0</v>
      </c>
      <c r="G1171">
        <f>IFERROR(SMALL(G367:G1087,ROW()-ROW($G$1090)+1),"")</f>
        <v>0</v>
      </c>
      <c r="H1171">
        <f>IFERROR(SMALL(H367:H1087,ROW()-ROW($H$1090)+1),"")</f>
        <v>0</v>
      </c>
      <c r="K1171">
        <f>IFERROR(SMALL(K367:K1087,ROW()-ROW($K$1090)+1),"")</f>
        <v>0</v>
      </c>
      <c r="L1171">
        <f>IFERROR(SMALL(L367:L1087,ROW()-ROW($L$1090)+1),"")</f>
        <v>0</v>
      </c>
      <c r="M1171">
        <f>IFERROR(SMALL(M367:M1087,ROW()-ROW($M$1090)+1),"")</f>
        <v>0</v>
      </c>
      <c r="N1171">
        <f>IFERROR(SMALL(N367:N1087,ROW()-ROW($N$1090)+1),"")</f>
        <v>0</v>
      </c>
    </row>
    <row r="1172" spans="5:14">
      <c r="E1172">
        <f>IFERROR(SMALL(E367:E1087,ROW()-ROW($E$1090)+1),"")</f>
        <v>0</v>
      </c>
      <c r="F1172">
        <f>IFERROR(SMALL(F367:F1087,ROW()-ROW($F$1090)+1),"")</f>
        <v>0</v>
      </c>
      <c r="G1172">
        <f>IFERROR(SMALL(G367:G1087,ROW()-ROW($G$1090)+1),"")</f>
        <v>0</v>
      </c>
      <c r="H1172">
        <f>IFERROR(SMALL(H367:H1087,ROW()-ROW($H$1090)+1),"")</f>
        <v>0</v>
      </c>
      <c r="K1172">
        <f>IFERROR(SMALL(K367:K1087,ROW()-ROW($K$1090)+1),"")</f>
        <v>0</v>
      </c>
      <c r="L1172">
        <f>IFERROR(SMALL(L367:L1087,ROW()-ROW($L$1090)+1),"")</f>
        <v>0</v>
      </c>
      <c r="M1172">
        <f>IFERROR(SMALL(M367:M1087,ROW()-ROW($M$1090)+1),"")</f>
        <v>0</v>
      </c>
      <c r="N1172">
        <f>IFERROR(SMALL(N367:N1087,ROW()-ROW($N$1090)+1),"")</f>
        <v>0</v>
      </c>
    </row>
    <row r="1173" spans="5:14">
      <c r="E1173">
        <f>IFERROR(SMALL(E367:E1087,ROW()-ROW($E$1090)+1),"")</f>
        <v>0</v>
      </c>
      <c r="F1173">
        <f>IFERROR(SMALL(F367:F1087,ROW()-ROW($F$1090)+1),"")</f>
        <v>0</v>
      </c>
      <c r="G1173">
        <f>IFERROR(SMALL(G367:G1087,ROW()-ROW($G$1090)+1),"")</f>
        <v>0</v>
      </c>
      <c r="H1173">
        <f>IFERROR(SMALL(H367:H1087,ROW()-ROW($H$1090)+1),"")</f>
        <v>0</v>
      </c>
      <c r="K1173">
        <f>IFERROR(SMALL(K367:K1087,ROW()-ROW($K$1090)+1),"")</f>
        <v>0</v>
      </c>
      <c r="L1173">
        <f>IFERROR(SMALL(L367:L1087,ROW()-ROW($L$1090)+1),"")</f>
        <v>0</v>
      </c>
      <c r="M1173">
        <f>IFERROR(SMALL(M367:M1087,ROW()-ROW($M$1090)+1),"")</f>
        <v>0</v>
      </c>
      <c r="N1173">
        <f>IFERROR(SMALL(N367:N1087,ROW()-ROW($N$1090)+1),"")</f>
        <v>0</v>
      </c>
    </row>
    <row r="1174" spans="5:14">
      <c r="E1174">
        <f>IFERROR(SMALL(E367:E1087,ROW()-ROW($E$1090)+1),"")</f>
        <v>0</v>
      </c>
      <c r="F1174">
        <f>IFERROR(SMALL(F367:F1087,ROW()-ROW($F$1090)+1),"")</f>
        <v>0</v>
      </c>
      <c r="G1174">
        <f>IFERROR(SMALL(G367:G1087,ROW()-ROW($G$1090)+1),"")</f>
        <v>0</v>
      </c>
      <c r="H1174">
        <f>IFERROR(SMALL(H367:H1087,ROW()-ROW($H$1090)+1),"")</f>
        <v>0</v>
      </c>
      <c r="K1174">
        <f>IFERROR(SMALL(K367:K1087,ROW()-ROW($K$1090)+1),"")</f>
        <v>0</v>
      </c>
      <c r="L1174">
        <f>IFERROR(SMALL(L367:L1087,ROW()-ROW($L$1090)+1),"")</f>
        <v>0</v>
      </c>
      <c r="M1174">
        <f>IFERROR(SMALL(M367:M1087,ROW()-ROW($M$1090)+1),"")</f>
        <v>0</v>
      </c>
      <c r="N1174">
        <f>IFERROR(SMALL(N367:N1087,ROW()-ROW($N$1090)+1),"")</f>
        <v>0</v>
      </c>
    </row>
    <row r="1175" spans="5:14">
      <c r="E1175">
        <f>IFERROR(SMALL(E367:E1087,ROW()-ROW($E$1090)+1),"")</f>
        <v>0</v>
      </c>
      <c r="F1175">
        <f>IFERROR(SMALL(F367:F1087,ROW()-ROW($F$1090)+1),"")</f>
        <v>0</v>
      </c>
      <c r="G1175">
        <f>IFERROR(SMALL(G367:G1087,ROW()-ROW($G$1090)+1),"")</f>
        <v>0</v>
      </c>
      <c r="H1175">
        <f>IFERROR(SMALL(H367:H1087,ROW()-ROW($H$1090)+1),"")</f>
        <v>0</v>
      </c>
      <c r="K1175">
        <f>IFERROR(SMALL(K367:K1087,ROW()-ROW($K$1090)+1),"")</f>
        <v>0</v>
      </c>
      <c r="L1175">
        <f>IFERROR(SMALL(L367:L1087,ROW()-ROW($L$1090)+1),"")</f>
        <v>0</v>
      </c>
      <c r="M1175">
        <f>IFERROR(SMALL(M367:M1087,ROW()-ROW($M$1090)+1),"")</f>
        <v>0</v>
      </c>
      <c r="N1175">
        <f>IFERROR(SMALL(N367:N1087,ROW()-ROW($N$1090)+1),"")</f>
        <v>0</v>
      </c>
    </row>
    <row r="1176" spans="5:14">
      <c r="E1176">
        <f>IFERROR(SMALL(E367:E1087,ROW()-ROW($E$1090)+1),"")</f>
        <v>0</v>
      </c>
      <c r="F1176">
        <f>IFERROR(SMALL(F367:F1087,ROW()-ROW($F$1090)+1),"")</f>
        <v>0</v>
      </c>
      <c r="G1176">
        <f>IFERROR(SMALL(G367:G1087,ROW()-ROW($G$1090)+1),"")</f>
        <v>0</v>
      </c>
      <c r="H1176">
        <f>IFERROR(SMALL(H367:H1087,ROW()-ROW($H$1090)+1),"")</f>
        <v>0</v>
      </c>
      <c r="K1176">
        <f>IFERROR(SMALL(K367:K1087,ROW()-ROW($K$1090)+1),"")</f>
        <v>0</v>
      </c>
      <c r="L1176">
        <f>IFERROR(SMALL(L367:L1087,ROW()-ROW($L$1090)+1),"")</f>
        <v>0</v>
      </c>
      <c r="M1176">
        <f>IFERROR(SMALL(M367:M1087,ROW()-ROW($M$1090)+1),"")</f>
        <v>0</v>
      </c>
      <c r="N1176">
        <f>IFERROR(SMALL(N367:N1087,ROW()-ROW($N$1090)+1),"")</f>
        <v>0</v>
      </c>
    </row>
    <row r="1177" spans="5:14">
      <c r="E1177">
        <f>IFERROR(SMALL(E367:E1087,ROW()-ROW($E$1090)+1),"")</f>
        <v>0</v>
      </c>
      <c r="F1177">
        <f>IFERROR(SMALL(F367:F1087,ROW()-ROW($F$1090)+1),"")</f>
        <v>0</v>
      </c>
      <c r="G1177">
        <f>IFERROR(SMALL(G367:G1087,ROW()-ROW($G$1090)+1),"")</f>
        <v>0</v>
      </c>
      <c r="H1177">
        <f>IFERROR(SMALL(H367:H1087,ROW()-ROW($H$1090)+1),"")</f>
        <v>0</v>
      </c>
      <c r="K1177">
        <f>IFERROR(SMALL(K367:K1087,ROW()-ROW($K$1090)+1),"")</f>
        <v>0</v>
      </c>
      <c r="L1177">
        <f>IFERROR(SMALL(L367:L1087,ROW()-ROW($L$1090)+1),"")</f>
        <v>0</v>
      </c>
      <c r="M1177">
        <f>IFERROR(SMALL(M367:M1087,ROW()-ROW($M$1090)+1),"")</f>
        <v>0</v>
      </c>
      <c r="N1177">
        <f>IFERROR(SMALL(N367:N1087,ROW()-ROW($N$1090)+1),"")</f>
        <v>0</v>
      </c>
    </row>
    <row r="1178" spans="5:14">
      <c r="E1178">
        <f>IFERROR(SMALL(E367:E1087,ROW()-ROW($E$1090)+1),"")</f>
        <v>0</v>
      </c>
      <c r="F1178">
        <f>IFERROR(SMALL(F367:F1087,ROW()-ROW($F$1090)+1),"")</f>
        <v>0</v>
      </c>
      <c r="G1178">
        <f>IFERROR(SMALL(G367:G1087,ROW()-ROW($G$1090)+1),"")</f>
        <v>0</v>
      </c>
      <c r="H1178">
        <f>IFERROR(SMALL(H367:H1087,ROW()-ROW($H$1090)+1),"")</f>
        <v>0</v>
      </c>
      <c r="K1178">
        <f>IFERROR(SMALL(K367:K1087,ROW()-ROW($K$1090)+1),"")</f>
        <v>0</v>
      </c>
      <c r="L1178">
        <f>IFERROR(SMALL(L367:L1087,ROW()-ROW($L$1090)+1),"")</f>
        <v>0</v>
      </c>
      <c r="M1178">
        <f>IFERROR(SMALL(M367:M1087,ROW()-ROW($M$1090)+1),"")</f>
        <v>0</v>
      </c>
      <c r="N1178">
        <f>IFERROR(SMALL(N367:N1087,ROW()-ROW($N$1090)+1),"")</f>
        <v>0</v>
      </c>
    </row>
    <row r="1179" spans="5:14">
      <c r="E1179">
        <f>IFERROR(SMALL(E367:E1087,ROW()-ROW($E$1090)+1),"")</f>
        <v>0</v>
      </c>
      <c r="F1179">
        <f>IFERROR(SMALL(F367:F1087,ROW()-ROW($F$1090)+1),"")</f>
        <v>0</v>
      </c>
      <c r="G1179">
        <f>IFERROR(SMALL(G367:G1087,ROW()-ROW($G$1090)+1),"")</f>
        <v>0</v>
      </c>
      <c r="H1179">
        <f>IFERROR(SMALL(H367:H1087,ROW()-ROW($H$1090)+1),"")</f>
        <v>0</v>
      </c>
      <c r="K1179">
        <f>IFERROR(SMALL(K367:K1087,ROW()-ROW($K$1090)+1),"")</f>
        <v>0</v>
      </c>
      <c r="L1179">
        <f>IFERROR(SMALL(L367:L1087,ROW()-ROW($L$1090)+1),"")</f>
        <v>0</v>
      </c>
      <c r="M1179">
        <f>IFERROR(SMALL(M367:M1087,ROW()-ROW($M$1090)+1),"")</f>
        <v>0</v>
      </c>
      <c r="N1179">
        <f>IFERROR(SMALL(N367:N1087,ROW()-ROW($N$1090)+1),"")</f>
        <v>0</v>
      </c>
    </row>
    <row r="1180" spans="5:14">
      <c r="E1180">
        <f>IFERROR(SMALL(E367:E1087,ROW()-ROW($E$1090)+1),"")</f>
        <v>0</v>
      </c>
      <c r="F1180">
        <f>IFERROR(SMALL(F367:F1087,ROW()-ROW($F$1090)+1),"")</f>
        <v>0</v>
      </c>
      <c r="G1180">
        <f>IFERROR(SMALL(G367:G1087,ROW()-ROW($G$1090)+1),"")</f>
        <v>0</v>
      </c>
      <c r="H1180">
        <f>IFERROR(SMALL(H367:H1087,ROW()-ROW($H$1090)+1),"")</f>
        <v>0</v>
      </c>
      <c r="K1180">
        <f>IFERROR(SMALL(K367:K1087,ROW()-ROW($K$1090)+1),"")</f>
        <v>0</v>
      </c>
      <c r="L1180">
        <f>IFERROR(SMALL(L367:L1087,ROW()-ROW($L$1090)+1),"")</f>
        <v>0</v>
      </c>
      <c r="M1180">
        <f>IFERROR(SMALL(M367:M1087,ROW()-ROW($M$1090)+1),"")</f>
        <v>0</v>
      </c>
      <c r="N1180">
        <f>IFERROR(SMALL(N367:N1087,ROW()-ROW($N$1090)+1),"")</f>
        <v>0</v>
      </c>
    </row>
    <row r="1181" spans="5:14">
      <c r="E1181">
        <f>IFERROR(SMALL(E367:E1087,ROW()-ROW($E$1090)+1),"")</f>
        <v>0</v>
      </c>
      <c r="F1181">
        <f>IFERROR(SMALL(F367:F1087,ROW()-ROW($F$1090)+1),"")</f>
        <v>0</v>
      </c>
      <c r="G1181">
        <f>IFERROR(SMALL(G367:G1087,ROW()-ROW($G$1090)+1),"")</f>
        <v>0</v>
      </c>
      <c r="H1181">
        <f>IFERROR(SMALL(H367:H1087,ROW()-ROW($H$1090)+1),"")</f>
        <v>0</v>
      </c>
      <c r="K1181">
        <f>IFERROR(SMALL(K367:K1087,ROW()-ROW($K$1090)+1),"")</f>
        <v>0</v>
      </c>
      <c r="L1181">
        <f>IFERROR(SMALL(L367:L1087,ROW()-ROW($L$1090)+1),"")</f>
        <v>0</v>
      </c>
      <c r="M1181">
        <f>IFERROR(SMALL(M367:M1087,ROW()-ROW($M$1090)+1),"")</f>
        <v>0</v>
      </c>
      <c r="N1181">
        <f>IFERROR(SMALL(N367:N1087,ROW()-ROW($N$1090)+1),"")</f>
        <v>0</v>
      </c>
    </row>
    <row r="1182" spans="5:14">
      <c r="E1182">
        <f>IFERROR(SMALL(E367:E1087,ROW()-ROW($E$1090)+1),"")</f>
        <v>0</v>
      </c>
      <c r="F1182">
        <f>IFERROR(SMALL(F367:F1087,ROW()-ROW($F$1090)+1),"")</f>
        <v>0</v>
      </c>
      <c r="G1182">
        <f>IFERROR(SMALL(G367:G1087,ROW()-ROW($G$1090)+1),"")</f>
        <v>0</v>
      </c>
      <c r="H1182">
        <f>IFERROR(SMALL(H367:H1087,ROW()-ROW($H$1090)+1),"")</f>
        <v>0</v>
      </c>
      <c r="K1182">
        <f>IFERROR(SMALL(K367:K1087,ROW()-ROW($K$1090)+1),"")</f>
        <v>0</v>
      </c>
      <c r="L1182">
        <f>IFERROR(SMALL(L367:L1087,ROW()-ROW($L$1090)+1),"")</f>
        <v>0</v>
      </c>
      <c r="M1182">
        <f>IFERROR(SMALL(M367:M1087,ROW()-ROW($M$1090)+1),"")</f>
        <v>0</v>
      </c>
      <c r="N1182">
        <f>IFERROR(SMALL(N367:N1087,ROW()-ROW($N$1090)+1),"")</f>
        <v>0</v>
      </c>
    </row>
    <row r="1183" spans="5:14">
      <c r="E1183">
        <f>IFERROR(SMALL(E367:E1087,ROW()-ROW($E$1090)+1),"")</f>
        <v>0</v>
      </c>
      <c r="F1183">
        <f>IFERROR(SMALL(F367:F1087,ROW()-ROW($F$1090)+1),"")</f>
        <v>0</v>
      </c>
      <c r="G1183">
        <f>IFERROR(SMALL(G367:G1087,ROW()-ROW($G$1090)+1),"")</f>
        <v>0</v>
      </c>
      <c r="H1183">
        <f>IFERROR(SMALL(H367:H1087,ROW()-ROW($H$1090)+1),"")</f>
        <v>0</v>
      </c>
      <c r="K1183">
        <f>IFERROR(SMALL(K367:K1087,ROW()-ROW($K$1090)+1),"")</f>
        <v>0</v>
      </c>
      <c r="L1183">
        <f>IFERROR(SMALL(L367:L1087,ROW()-ROW($L$1090)+1),"")</f>
        <v>0</v>
      </c>
      <c r="M1183">
        <f>IFERROR(SMALL(M367:M1087,ROW()-ROW($M$1090)+1),"")</f>
        <v>0</v>
      </c>
      <c r="N1183">
        <f>IFERROR(SMALL(N367:N1087,ROW()-ROW($N$1090)+1),"")</f>
        <v>0</v>
      </c>
    </row>
    <row r="1184" spans="5:14">
      <c r="E1184">
        <f>IFERROR(SMALL(E367:E1087,ROW()-ROW($E$1090)+1),"")</f>
        <v>0</v>
      </c>
      <c r="F1184">
        <f>IFERROR(SMALL(F367:F1087,ROW()-ROW($F$1090)+1),"")</f>
        <v>0</v>
      </c>
      <c r="G1184">
        <f>IFERROR(SMALL(G367:G1087,ROW()-ROW($G$1090)+1),"")</f>
        <v>0</v>
      </c>
      <c r="H1184">
        <f>IFERROR(SMALL(H367:H1087,ROW()-ROW($H$1090)+1),"")</f>
        <v>0</v>
      </c>
      <c r="K1184">
        <f>IFERROR(SMALL(K367:K1087,ROW()-ROW($K$1090)+1),"")</f>
        <v>0</v>
      </c>
      <c r="L1184">
        <f>IFERROR(SMALL(L367:L1087,ROW()-ROW($L$1090)+1),"")</f>
        <v>0</v>
      </c>
      <c r="M1184">
        <f>IFERROR(SMALL(M367:M1087,ROW()-ROW($M$1090)+1),"")</f>
        <v>0</v>
      </c>
      <c r="N1184">
        <f>IFERROR(SMALL(N367:N1087,ROW()-ROW($N$1090)+1),"")</f>
        <v>0</v>
      </c>
    </row>
    <row r="1185" spans="5:14">
      <c r="E1185">
        <f>IFERROR(SMALL(E367:E1087,ROW()-ROW($E$1090)+1),"")</f>
        <v>0</v>
      </c>
      <c r="F1185">
        <f>IFERROR(SMALL(F367:F1087,ROW()-ROW($F$1090)+1),"")</f>
        <v>0</v>
      </c>
      <c r="G1185">
        <f>IFERROR(SMALL(G367:G1087,ROW()-ROW($G$1090)+1),"")</f>
        <v>0</v>
      </c>
      <c r="H1185">
        <f>IFERROR(SMALL(H367:H1087,ROW()-ROW($H$1090)+1),"")</f>
        <v>0</v>
      </c>
      <c r="K1185">
        <f>IFERROR(SMALL(K367:K1087,ROW()-ROW($K$1090)+1),"")</f>
        <v>0</v>
      </c>
      <c r="L1185">
        <f>IFERROR(SMALL(L367:L1087,ROW()-ROW($L$1090)+1),"")</f>
        <v>0</v>
      </c>
      <c r="M1185">
        <f>IFERROR(SMALL(M367:M1087,ROW()-ROW($M$1090)+1),"")</f>
        <v>0</v>
      </c>
      <c r="N1185">
        <f>IFERROR(SMALL(N367:N1087,ROW()-ROW($N$1090)+1),"")</f>
        <v>0</v>
      </c>
    </row>
    <row r="1186" spans="5:14">
      <c r="E1186">
        <f>IFERROR(SMALL(E367:E1087,ROW()-ROW($E$1090)+1),"")</f>
        <v>0</v>
      </c>
      <c r="F1186">
        <f>IFERROR(SMALL(F367:F1087,ROW()-ROW($F$1090)+1),"")</f>
        <v>0</v>
      </c>
      <c r="G1186">
        <f>IFERROR(SMALL(G367:G1087,ROW()-ROW($G$1090)+1),"")</f>
        <v>0</v>
      </c>
      <c r="H1186">
        <f>IFERROR(SMALL(H367:H1087,ROW()-ROW($H$1090)+1),"")</f>
        <v>0</v>
      </c>
      <c r="K1186">
        <f>IFERROR(SMALL(K367:K1087,ROW()-ROW($K$1090)+1),"")</f>
        <v>0</v>
      </c>
      <c r="L1186">
        <f>IFERROR(SMALL(L367:L1087,ROW()-ROW($L$1090)+1),"")</f>
        <v>0</v>
      </c>
      <c r="M1186">
        <f>IFERROR(SMALL(M367:M1087,ROW()-ROW($M$1090)+1),"")</f>
        <v>0</v>
      </c>
      <c r="N1186">
        <f>IFERROR(SMALL(N367:N1087,ROW()-ROW($N$1090)+1),"")</f>
        <v>0</v>
      </c>
    </row>
    <row r="1187" spans="5:14">
      <c r="E1187">
        <f>IFERROR(SMALL(E367:E1087,ROW()-ROW($E$1090)+1),"")</f>
        <v>0</v>
      </c>
      <c r="F1187">
        <f>IFERROR(SMALL(F367:F1087,ROW()-ROW($F$1090)+1),"")</f>
        <v>0</v>
      </c>
      <c r="G1187">
        <f>IFERROR(SMALL(G367:G1087,ROW()-ROW($G$1090)+1),"")</f>
        <v>0</v>
      </c>
      <c r="H1187">
        <f>IFERROR(SMALL(H367:H1087,ROW()-ROW($H$1090)+1),"")</f>
        <v>0</v>
      </c>
      <c r="K1187">
        <f>IFERROR(SMALL(K367:K1087,ROW()-ROW($K$1090)+1),"")</f>
        <v>0</v>
      </c>
      <c r="L1187">
        <f>IFERROR(SMALL(L367:L1087,ROW()-ROW($L$1090)+1),"")</f>
        <v>0</v>
      </c>
      <c r="M1187">
        <f>IFERROR(SMALL(M367:M1087,ROW()-ROW($M$1090)+1),"")</f>
        <v>0</v>
      </c>
      <c r="N1187">
        <f>IFERROR(SMALL(N367:N1087,ROW()-ROW($N$1090)+1),"")</f>
        <v>0</v>
      </c>
    </row>
    <row r="1188" spans="5:14">
      <c r="E1188">
        <f>IFERROR(SMALL(E367:E1087,ROW()-ROW($E$1090)+1),"")</f>
        <v>0</v>
      </c>
      <c r="F1188">
        <f>IFERROR(SMALL(F367:F1087,ROW()-ROW($F$1090)+1),"")</f>
        <v>0</v>
      </c>
      <c r="G1188">
        <f>IFERROR(SMALL(G367:G1087,ROW()-ROW($G$1090)+1),"")</f>
        <v>0</v>
      </c>
      <c r="H1188">
        <f>IFERROR(SMALL(H367:H1087,ROW()-ROW($H$1090)+1),"")</f>
        <v>0</v>
      </c>
      <c r="K1188">
        <f>IFERROR(SMALL(K367:K1087,ROW()-ROW($K$1090)+1),"")</f>
        <v>0</v>
      </c>
      <c r="L1188">
        <f>IFERROR(SMALL(L367:L1087,ROW()-ROW($L$1090)+1),"")</f>
        <v>0</v>
      </c>
      <c r="M1188">
        <f>IFERROR(SMALL(M367:M1087,ROW()-ROW($M$1090)+1),"")</f>
        <v>0</v>
      </c>
      <c r="N1188">
        <f>IFERROR(SMALL(N367:N1087,ROW()-ROW($N$1090)+1),"")</f>
        <v>0</v>
      </c>
    </row>
    <row r="1189" spans="5:14">
      <c r="E1189">
        <f>IFERROR(SMALL(E367:E1087,ROW()-ROW($E$1090)+1),"")</f>
        <v>0</v>
      </c>
      <c r="F1189">
        <f>IFERROR(SMALL(F367:F1087,ROW()-ROW($F$1090)+1),"")</f>
        <v>0</v>
      </c>
      <c r="G1189">
        <f>IFERROR(SMALL(G367:G1087,ROW()-ROW($G$1090)+1),"")</f>
        <v>0</v>
      </c>
      <c r="H1189">
        <f>IFERROR(SMALL(H367:H1087,ROW()-ROW($H$1090)+1),"")</f>
        <v>0</v>
      </c>
      <c r="K1189">
        <f>IFERROR(SMALL(K367:K1087,ROW()-ROW($K$1090)+1),"")</f>
        <v>0</v>
      </c>
      <c r="L1189">
        <f>IFERROR(SMALL(L367:L1087,ROW()-ROW($L$1090)+1),"")</f>
        <v>0</v>
      </c>
      <c r="M1189">
        <f>IFERROR(SMALL(M367:M1087,ROW()-ROW($M$1090)+1),"")</f>
        <v>0</v>
      </c>
      <c r="N1189">
        <f>IFERROR(SMALL(N367:N1087,ROW()-ROW($N$1090)+1),"")</f>
        <v>0</v>
      </c>
    </row>
    <row r="1190" spans="5:14">
      <c r="E1190">
        <f>IFERROR(SMALL(E367:E1087,ROW()-ROW($E$1090)+1),"")</f>
        <v>0</v>
      </c>
      <c r="F1190">
        <f>IFERROR(SMALL(F367:F1087,ROW()-ROW($F$1090)+1),"")</f>
        <v>0</v>
      </c>
      <c r="G1190">
        <f>IFERROR(SMALL(G367:G1087,ROW()-ROW($G$1090)+1),"")</f>
        <v>0</v>
      </c>
      <c r="H1190">
        <f>IFERROR(SMALL(H367:H1087,ROW()-ROW($H$1090)+1),"")</f>
        <v>0</v>
      </c>
      <c r="K1190">
        <f>IFERROR(SMALL(K367:K1087,ROW()-ROW($K$1090)+1),"")</f>
        <v>0</v>
      </c>
      <c r="L1190">
        <f>IFERROR(SMALL(L367:L1087,ROW()-ROW($L$1090)+1),"")</f>
        <v>0</v>
      </c>
      <c r="M1190">
        <f>IFERROR(SMALL(M367:M1087,ROW()-ROW($M$1090)+1),"")</f>
        <v>0</v>
      </c>
      <c r="N1190">
        <f>IFERROR(SMALL(N367:N1087,ROW()-ROW($N$1090)+1),"")</f>
        <v>0</v>
      </c>
    </row>
    <row r="1191" spans="5:14">
      <c r="E1191">
        <f>IFERROR(SMALL(E367:E1087,ROW()-ROW($E$1090)+1),"")</f>
        <v>0</v>
      </c>
      <c r="F1191">
        <f>IFERROR(SMALL(F367:F1087,ROW()-ROW($F$1090)+1),"")</f>
        <v>0</v>
      </c>
      <c r="G1191">
        <f>IFERROR(SMALL(G367:G1087,ROW()-ROW($G$1090)+1),"")</f>
        <v>0</v>
      </c>
      <c r="H1191">
        <f>IFERROR(SMALL(H367:H1087,ROW()-ROW($H$1090)+1),"")</f>
        <v>0</v>
      </c>
      <c r="K1191">
        <f>IFERROR(SMALL(K367:K1087,ROW()-ROW($K$1090)+1),"")</f>
        <v>0</v>
      </c>
      <c r="L1191">
        <f>IFERROR(SMALL(L367:L1087,ROW()-ROW($L$1090)+1),"")</f>
        <v>0</v>
      </c>
      <c r="M1191">
        <f>IFERROR(SMALL(M367:M1087,ROW()-ROW($M$1090)+1),"")</f>
        <v>0</v>
      </c>
      <c r="N1191">
        <f>IFERROR(SMALL(N367:N1087,ROW()-ROW($N$1090)+1),"")</f>
        <v>0</v>
      </c>
    </row>
    <row r="1192" spans="5:14">
      <c r="E1192">
        <f>IFERROR(SMALL(E367:E1087,ROW()-ROW($E$1090)+1),"")</f>
        <v>0</v>
      </c>
      <c r="F1192">
        <f>IFERROR(SMALL(F367:F1087,ROW()-ROW($F$1090)+1),"")</f>
        <v>0</v>
      </c>
      <c r="G1192">
        <f>IFERROR(SMALL(G367:G1087,ROW()-ROW($G$1090)+1),"")</f>
        <v>0</v>
      </c>
      <c r="H1192">
        <f>IFERROR(SMALL(H367:H1087,ROW()-ROW($H$1090)+1),"")</f>
        <v>0</v>
      </c>
      <c r="K1192">
        <f>IFERROR(SMALL(K367:K1087,ROW()-ROW($K$1090)+1),"")</f>
        <v>0</v>
      </c>
      <c r="L1192">
        <f>IFERROR(SMALL(L367:L1087,ROW()-ROW($L$1090)+1),"")</f>
        <v>0</v>
      </c>
      <c r="M1192">
        <f>IFERROR(SMALL(M367:M1087,ROW()-ROW($M$1090)+1),"")</f>
        <v>0</v>
      </c>
      <c r="N1192">
        <f>IFERROR(SMALL(N367:N1087,ROW()-ROW($N$1090)+1),"")</f>
        <v>0</v>
      </c>
    </row>
    <row r="1193" spans="5:14">
      <c r="E1193">
        <f>IFERROR(SMALL(E367:E1087,ROW()-ROW($E$1090)+1),"")</f>
        <v>0</v>
      </c>
      <c r="F1193">
        <f>IFERROR(SMALL(F367:F1087,ROW()-ROW($F$1090)+1),"")</f>
        <v>0</v>
      </c>
      <c r="G1193">
        <f>IFERROR(SMALL(G367:G1087,ROW()-ROW($G$1090)+1),"")</f>
        <v>0</v>
      </c>
      <c r="H1193">
        <f>IFERROR(SMALL(H367:H1087,ROW()-ROW($H$1090)+1),"")</f>
        <v>0</v>
      </c>
      <c r="K1193">
        <f>IFERROR(SMALL(K367:K1087,ROW()-ROW($K$1090)+1),"")</f>
        <v>0</v>
      </c>
      <c r="L1193">
        <f>IFERROR(SMALL(L367:L1087,ROW()-ROW($L$1090)+1),"")</f>
        <v>0</v>
      </c>
      <c r="M1193">
        <f>IFERROR(SMALL(M367:M1087,ROW()-ROW($M$1090)+1),"")</f>
        <v>0</v>
      </c>
      <c r="N1193">
        <f>IFERROR(SMALL(N367:N1087,ROW()-ROW($N$1090)+1),"")</f>
        <v>0</v>
      </c>
    </row>
    <row r="1194" spans="5:14">
      <c r="E1194">
        <f>IFERROR(SMALL(E367:E1087,ROW()-ROW($E$1090)+1),"")</f>
        <v>0</v>
      </c>
      <c r="F1194">
        <f>IFERROR(SMALL(F367:F1087,ROW()-ROW($F$1090)+1),"")</f>
        <v>0</v>
      </c>
      <c r="G1194">
        <f>IFERROR(SMALL(G367:G1087,ROW()-ROW($G$1090)+1),"")</f>
        <v>0</v>
      </c>
      <c r="H1194">
        <f>IFERROR(SMALL(H367:H1087,ROW()-ROW($H$1090)+1),"")</f>
        <v>0</v>
      </c>
      <c r="K1194">
        <f>IFERROR(SMALL(K367:K1087,ROW()-ROW($K$1090)+1),"")</f>
        <v>0</v>
      </c>
      <c r="L1194">
        <f>IFERROR(SMALL(L367:L1087,ROW()-ROW($L$1090)+1),"")</f>
        <v>0</v>
      </c>
      <c r="M1194">
        <f>IFERROR(SMALL(M367:M1087,ROW()-ROW($M$1090)+1),"")</f>
        <v>0</v>
      </c>
      <c r="N1194">
        <f>IFERROR(SMALL(N367:N1087,ROW()-ROW($N$1090)+1),"")</f>
        <v>0</v>
      </c>
    </row>
    <row r="1195" spans="5:14">
      <c r="E1195">
        <f>IFERROR(SMALL(E367:E1087,ROW()-ROW($E$1090)+1),"")</f>
        <v>0</v>
      </c>
      <c r="F1195">
        <f>IFERROR(SMALL(F367:F1087,ROW()-ROW($F$1090)+1),"")</f>
        <v>0</v>
      </c>
      <c r="G1195">
        <f>IFERROR(SMALL(G367:G1087,ROW()-ROW($G$1090)+1),"")</f>
        <v>0</v>
      </c>
      <c r="H1195">
        <f>IFERROR(SMALL(H367:H1087,ROW()-ROW($H$1090)+1),"")</f>
        <v>0</v>
      </c>
      <c r="K1195">
        <f>IFERROR(SMALL(K367:K1087,ROW()-ROW($K$1090)+1),"")</f>
        <v>0</v>
      </c>
      <c r="L1195">
        <f>IFERROR(SMALL(L367:L1087,ROW()-ROW($L$1090)+1),"")</f>
        <v>0</v>
      </c>
      <c r="M1195">
        <f>IFERROR(SMALL(M367:M1087,ROW()-ROW($M$1090)+1),"")</f>
        <v>0</v>
      </c>
      <c r="N1195">
        <f>IFERROR(SMALL(N367:N1087,ROW()-ROW($N$1090)+1),"")</f>
        <v>0</v>
      </c>
    </row>
    <row r="1196" spans="5:14">
      <c r="E1196">
        <f>IFERROR(SMALL(E367:E1087,ROW()-ROW($E$1090)+1),"")</f>
        <v>0</v>
      </c>
      <c r="F1196">
        <f>IFERROR(SMALL(F367:F1087,ROW()-ROW($F$1090)+1),"")</f>
        <v>0</v>
      </c>
      <c r="G1196">
        <f>IFERROR(SMALL(G367:G1087,ROW()-ROW($G$1090)+1),"")</f>
        <v>0</v>
      </c>
      <c r="H1196">
        <f>IFERROR(SMALL(H367:H1087,ROW()-ROW($H$1090)+1),"")</f>
        <v>0</v>
      </c>
      <c r="K1196">
        <f>IFERROR(SMALL(K367:K1087,ROW()-ROW($K$1090)+1),"")</f>
        <v>0</v>
      </c>
      <c r="L1196">
        <f>IFERROR(SMALL(L367:L1087,ROW()-ROW($L$1090)+1),"")</f>
        <v>0</v>
      </c>
      <c r="M1196">
        <f>IFERROR(SMALL(M367:M1087,ROW()-ROW($M$1090)+1),"")</f>
        <v>0</v>
      </c>
      <c r="N1196">
        <f>IFERROR(SMALL(N367:N1087,ROW()-ROW($N$1090)+1),"")</f>
        <v>0</v>
      </c>
    </row>
    <row r="1197" spans="5:14">
      <c r="E1197">
        <f>IFERROR(SMALL(E367:E1087,ROW()-ROW($E$1090)+1),"")</f>
        <v>0</v>
      </c>
      <c r="F1197">
        <f>IFERROR(SMALL(F367:F1087,ROW()-ROW($F$1090)+1),"")</f>
        <v>0</v>
      </c>
      <c r="G1197">
        <f>IFERROR(SMALL(G367:G1087,ROW()-ROW($G$1090)+1),"")</f>
        <v>0</v>
      </c>
      <c r="H1197">
        <f>IFERROR(SMALL(H367:H1087,ROW()-ROW($H$1090)+1),"")</f>
        <v>0</v>
      </c>
      <c r="K1197">
        <f>IFERROR(SMALL(K367:K1087,ROW()-ROW($K$1090)+1),"")</f>
        <v>0</v>
      </c>
      <c r="L1197">
        <f>IFERROR(SMALL(L367:L1087,ROW()-ROW($L$1090)+1),"")</f>
        <v>0</v>
      </c>
      <c r="M1197">
        <f>IFERROR(SMALL(M367:M1087,ROW()-ROW($M$1090)+1),"")</f>
        <v>0</v>
      </c>
      <c r="N1197">
        <f>IFERROR(SMALL(N367:N1087,ROW()-ROW($N$1090)+1),"")</f>
        <v>0</v>
      </c>
    </row>
    <row r="1198" spans="5:14">
      <c r="E1198">
        <f>IFERROR(SMALL(E367:E1087,ROW()-ROW($E$1090)+1),"")</f>
        <v>0</v>
      </c>
      <c r="F1198">
        <f>IFERROR(SMALL(F367:F1087,ROW()-ROW($F$1090)+1),"")</f>
        <v>0</v>
      </c>
      <c r="G1198">
        <f>IFERROR(SMALL(G367:G1087,ROW()-ROW($G$1090)+1),"")</f>
        <v>0</v>
      </c>
      <c r="H1198">
        <f>IFERROR(SMALL(H367:H1087,ROW()-ROW($H$1090)+1),"")</f>
        <v>0</v>
      </c>
      <c r="K1198">
        <f>IFERROR(SMALL(K367:K1087,ROW()-ROW($K$1090)+1),"")</f>
        <v>0</v>
      </c>
      <c r="L1198">
        <f>IFERROR(SMALL(L367:L1087,ROW()-ROW($L$1090)+1),"")</f>
        <v>0</v>
      </c>
      <c r="M1198">
        <f>IFERROR(SMALL(M367:M1087,ROW()-ROW($M$1090)+1),"")</f>
        <v>0</v>
      </c>
      <c r="N1198">
        <f>IFERROR(SMALL(N367:N1087,ROW()-ROW($N$1090)+1),"")</f>
        <v>0</v>
      </c>
    </row>
    <row r="1199" spans="5:14">
      <c r="E1199">
        <f>IFERROR(SMALL(E367:E1087,ROW()-ROW($E$1090)+1),"")</f>
        <v>0</v>
      </c>
      <c r="F1199">
        <f>IFERROR(SMALL(F367:F1087,ROW()-ROW($F$1090)+1),"")</f>
        <v>0</v>
      </c>
      <c r="G1199">
        <f>IFERROR(SMALL(G367:G1087,ROW()-ROW($G$1090)+1),"")</f>
        <v>0</v>
      </c>
      <c r="H1199">
        <f>IFERROR(SMALL(H367:H1087,ROW()-ROW($H$1090)+1),"")</f>
        <v>0</v>
      </c>
      <c r="K1199">
        <f>IFERROR(SMALL(K367:K1087,ROW()-ROW($K$1090)+1),"")</f>
        <v>0</v>
      </c>
      <c r="L1199">
        <f>IFERROR(SMALL(L367:L1087,ROW()-ROW($L$1090)+1),"")</f>
        <v>0</v>
      </c>
      <c r="M1199">
        <f>IFERROR(SMALL(M367:M1087,ROW()-ROW($M$1090)+1),"")</f>
        <v>0</v>
      </c>
      <c r="N1199">
        <f>IFERROR(SMALL(N367:N1087,ROW()-ROW($N$1090)+1),"")</f>
        <v>0</v>
      </c>
    </row>
    <row r="1200" spans="5:14">
      <c r="E1200">
        <f>IFERROR(SMALL(E367:E1087,ROW()-ROW($E$1090)+1),"")</f>
        <v>0</v>
      </c>
      <c r="F1200">
        <f>IFERROR(SMALL(F367:F1087,ROW()-ROW($F$1090)+1),"")</f>
        <v>0</v>
      </c>
      <c r="G1200">
        <f>IFERROR(SMALL(G367:G1087,ROW()-ROW($G$1090)+1),"")</f>
        <v>0</v>
      </c>
      <c r="H1200">
        <f>IFERROR(SMALL(H367:H1087,ROW()-ROW($H$1090)+1),"")</f>
        <v>0</v>
      </c>
      <c r="K1200">
        <f>IFERROR(SMALL(K367:K1087,ROW()-ROW($K$1090)+1),"")</f>
        <v>0</v>
      </c>
      <c r="L1200">
        <f>IFERROR(SMALL(L367:L1087,ROW()-ROW($L$1090)+1),"")</f>
        <v>0</v>
      </c>
      <c r="M1200">
        <f>IFERROR(SMALL(M367:M1087,ROW()-ROW($M$1090)+1),"")</f>
        <v>0</v>
      </c>
      <c r="N1200">
        <f>IFERROR(SMALL(N367:N1087,ROW()-ROW($N$1090)+1),"")</f>
        <v>0</v>
      </c>
    </row>
    <row r="1201" spans="5:14">
      <c r="E1201">
        <f>IFERROR(SMALL(E367:E1087,ROW()-ROW($E$1090)+1),"")</f>
        <v>0</v>
      </c>
      <c r="F1201">
        <f>IFERROR(SMALL(F367:F1087,ROW()-ROW($F$1090)+1),"")</f>
        <v>0</v>
      </c>
      <c r="G1201">
        <f>IFERROR(SMALL(G367:G1087,ROW()-ROW($G$1090)+1),"")</f>
        <v>0</v>
      </c>
      <c r="H1201">
        <f>IFERROR(SMALL(H367:H1087,ROW()-ROW($H$1090)+1),"")</f>
        <v>0</v>
      </c>
      <c r="K1201">
        <f>IFERROR(SMALL(K367:K1087,ROW()-ROW($K$1090)+1),"")</f>
        <v>0</v>
      </c>
      <c r="L1201">
        <f>IFERROR(SMALL(L367:L1087,ROW()-ROW($L$1090)+1),"")</f>
        <v>0</v>
      </c>
      <c r="M1201">
        <f>IFERROR(SMALL(M367:M1087,ROW()-ROW($M$1090)+1),"")</f>
        <v>0</v>
      </c>
      <c r="N1201">
        <f>IFERROR(SMALL(N367:N1087,ROW()-ROW($N$1090)+1),"")</f>
        <v>0</v>
      </c>
    </row>
    <row r="1202" spans="5:14">
      <c r="E1202">
        <f>IFERROR(SMALL(E367:E1087,ROW()-ROW($E$1090)+1),"")</f>
        <v>0</v>
      </c>
      <c r="F1202">
        <f>IFERROR(SMALL(F367:F1087,ROW()-ROW($F$1090)+1),"")</f>
        <v>0</v>
      </c>
      <c r="G1202">
        <f>IFERROR(SMALL(G367:G1087,ROW()-ROW($G$1090)+1),"")</f>
        <v>0</v>
      </c>
      <c r="H1202">
        <f>IFERROR(SMALL(H367:H1087,ROW()-ROW($H$1090)+1),"")</f>
        <v>0</v>
      </c>
      <c r="K1202">
        <f>IFERROR(SMALL(K367:K1087,ROW()-ROW($K$1090)+1),"")</f>
        <v>0</v>
      </c>
      <c r="L1202">
        <f>IFERROR(SMALL(L367:L1087,ROW()-ROW($L$1090)+1),"")</f>
        <v>0</v>
      </c>
      <c r="M1202">
        <f>IFERROR(SMALL(M367:M1087,ROW()-ROW($M$1090)+1),"")</f>
        <v>0</v>
      </c>
      <c r="N1202">
        <f>IFERROR(SMALL(N367:N1087,ROW()-ROW($N$1090)+1),"")</f>
        <v>0</v>
      </c>
    </row>
    <row r="1203" spans="5:14">
      <c r="E1203">
        <f>IFERROR(SMALL(E367:E1087,ROW()-ROW($E$1090)+1),"")</f>
        <v>0</v>
      </c>
      <c r="F1203">
        <f>IFERROR(SMALL(F367:F1087,ROW()-ROW($F$1090)+1),"")</f>
        <v>0</v>
      </c>
      <c r="G1203">
        <f>IFERROR(SMALL(G367:G1087,ROW()-ROW($G$1090)+1),"")</f>
        <v>0</v>
      </c>
      <c r="H1203">
        <f>IFERROR(SMALL(H367:H1087,ROW()-ROW($H$1090)+1),"")</f>
        <v>0</v>
      </c>
      <c r="K1203">
        <f>IFERROR(SMALL(K367:K1087,ROW()-ROW($K$1090)+1),"")</f>
        <v>0</v>
      </c>
      <c r="L1203">
        <f>IFERROR(SMALL(L367:L1087,ROW()-ROW($L$1090)+1),"")</f>
        <v>0</v>
      </c>
      <c r="M1203">
        <f>IFERROR(SMALL(M367:M1087,ROW()-ROW($M$1090)+1),"")</f>
        <v>0</v>
      </c>
      <c r="N1203">
        <f>IFERROR(SMALL(N367:N1087,ROW()-ROW($N$1090)+1),"")</f>
        <v>0</v>
      </c>
    </row>
    <row r="1204" spans="5:14">
      <c r="E1204">
        <f>IFERROR(SMALL(E367:E1087,ROW()-ROW($E$1090)+1),"")</f>
        <v>0</v>
      </c>
      <c r="F1204">
        <f>IFERROR(SMALL(F367:F1087,ROW()-ROW($F$1090)+1),"")</f>
        <v>0</v>
      </c>
      <c r="G1204">
        <f>IFERROR(SMALL(G367:G1087,ROW()-ROW($G$1090)+1),"")</f>
        <v>0</v>
      </c>
      <c r="H1204">
        <f>IFERROR(SMALL(H367:H1087,ROW()-ROW($H$1090)+1),"")</f>
        <v>0</v>
      </c>
      <c r="K1204">
        <f>IFERROR(SMALL(K367:K1087,ROW()-ROW($K$1090)+1),"")</f>
        <v>0</v>
      </c>
      <c r="L1204">
        <f>IFERROR(SMALL(L367:L1087,ROW()-ROW($L$1090)+1),"")</f>
        <v>0</v>
      </c>
      <c r="M1204">
        <f>IFERROR(SMALL(M367:M1087,ROW()-ROW($M$1090)+1),"")</f>
        <v>0</v>
      </c>
      <c r="N1204">
        <f>IFERROR(SMALL(N367:N1087,ROW()-ROW($N$1090)+1),"")</f>
        <v>0</v>
      </c>
    </row>
    <row r="1205" spans="5:14">
      <c r="E1205">
        <f>IFERROR(SMALL(E367:E1087,ROW()-ROW($E$1090)+1),"")</f>
        <v>0</v>
      </c>
      <c r="F1205">
        <f>IFERROR(SMALL(F367:F1087,ROW()-ROW($F$1090)+1),"")</f>
        <v>0</v>
      </c>
      <c r="G1205">
        <f>IFERROR(SMALL(G367:G1087,ROW()-ROW($G$1090)+1),"")</f>
        <v>0</v>
      </c>
      <c r="H1205">
        <f>IFERROR(SMALL(H367:H1087,ROW()-ROW($H$1090)+1),"")</f>
        <v>0</v>
      </c>
      <c r="K1205">
        <f>IFERROR(SMALL(K367:K1087,ROW()-ROW($K$1090)+1),"")</f>
        <v>0</v>
      </c>
      <c r="L1205">
        <f>IFERROR(SMALL(L367:L1087,ROW()-ROW($L$1090)+1),"")</f>
        <v>0</v>
      </c>
      <c r="M1205">
        <f>IFERROR(SMALL(M367:M1087,ROW()-ROW($M$1090)+1),"")</f>
        <v>0</v>
      </c>
      <c r="N1205">
        <f>IFERROR(SMALL(N367:N1087,ROW()-ROW($N$1090)+1),"")</f>
        <v>0</v>
      </c>
    </row>
    <row r="1206" spans="5:14">
      <c r="E1206">
        <f>IFERROR(SMALL(E367:E1087,ROW()-ROW($E$1090)+1),"")</f>
        <v>0</v>
      </c>
      <c r="F1206">
        <f>IFERROR(SMALL(F367:F1087,ROW()-ROW($F$1090)+1),"")</f>
        <v>0</v>
      </c>
      <c r="G1206">
        <f>IFERROR(SMALL(G367:G1087,ROW()-ROW($G$1090)+1),"")</f>
        <v>0</v>
      </c>
      <c r="H1206">
        <f>IFERROR(SMALL(H367:H1087,ROW()-ROW($H$1090)+1),"")</f>
        <v>0</v>
      </c>
      <c r="K1206">
        <f>IFERROR(SMALL(K367:K1087,ROW()-ROW($K$1090)+1),"")</f>
        <v>0</v>
      </c>
      <c r="L1206">
        <f>IFERROR(SMALL(L367:L1087,ROW()-ROW($L$1090)+1),"")</f>
        <v>0</v>
      </c>
      <c r="M1206">
        <f>IFERROR(SMALL(M367:M1087,ROW()-ROW($M$1090)+1),"")</f>
        <v>0</v>
      </c>
      <c r="N1206">
        <f>IFERROR(SMALL(N367:N1087,ROW()-ROW($N$1090)+1),"")</f>
        <v>0</v>
      </c>
    </row>
    <row r="1207" spans="5:14">
      <c r="E1207">
        <f>IFERROR(SMALL(E367:E1087,ROW()-ROW($E$1090)+1),"")</f>
        <v>0</v>
      </c>
      <c r="F1207">
        <f>IFERROR(SMALL(F367:F1087,ROW()-ROW($F$1090)+1),"")</f>
        <v>0</v>
      </c>
      <c r="G1207">
        <f>IFERROR(SMALL(G367:G1087,ROW()-ROW($G$1090)+1),"")</f>
        <v>0</v>
      </c>
      <c r="H1207">
        <f>IFERROR(SMALL(H367:H1087,ROW()-ROW($H$1090)+1),"")</f>
        <v>0</v>
      </c>
      <c r="K1207">
        <f>IFERROR(SMALL(K367:K1087,ROW()-ROW($K$1090)+1),"")</f>
        <v>0</v>
      </c>
      <c r="L1207">
        <f>IFERROR(SMALL(L367:L1087,ROW()-ROW($L$1090)+1),"")</f>
        <v>0</v>
      </c>
      <c r="M1207">
        <f>IFERROR(SMALL(M367:M1087,ROW()-ROW($M$1090)+1),"")</f>
        <v>0</v>
      </c>
      <c r="N1207">
        <f>IFERROR(SMALL(N367:N1087,ROW()-ROW($N$1090)+1),"")</f>
        <v>0</v>
      </c>
    </row>
    <row r="1208" spans="5:14">
      <c r="E1208">
        <f>IFERROR(SMALL(E367:E1087,ROW()-ROW($E$1090)+1),"")</f>
        <v>0</v>
      </c>
      <c r="F1208">
        <f>IFERROR(SMALL(F367:F1087,ROW()-ROW($F$1090)+1),"")</f>
        <v>0</v>
      </c>
      <c r="G1208">
        <f>IFERROR(SMALL(G367:G1087,ROW()-ROW($G$1090)+1),"")</f>
        <v>0</v>
      </c>
      <c r="H1208">
        <f>IFERROR(SMALL(H367:H1087,ROW()-ROW($H$1090)+1),"")</f>
        <v>0</v>
      </c>
      <c r="K1208">
        <f>IFERROR(SMALL(K367:K1087,ROW()-ROW($K$1090)+1),"")</f>
        <v>0</v>
      </c>
      <c r="L1208">
        <f>IFERROR(SMALL(L367:L1087,ROW()-ROW($L$1090)+1),"")</f>
        <v>0</v>
      </c>
      <c r="M1208">
        <f>IFERROR(SMALL(M367:M1087,ROW()-ROW($M$1090)+1),"")</f>
        <v>0</v>
      </c>
      <c r="N1208">
        <f>IFERROR(SMALL(N367:N1087,ROW()-ROW($N$1090)+1),"")</f>
        <v>0</v>
      </c>
    </row>
    <row r="1209" spans="5:14">
      <c r="E1209">
        <f>IFERROR(SMALL(E367:E1087,ROW()-ROW($E$1090)+1),"")</f>
        <v>0</v>
      </c>
      <c r="F1209">
        <f>IFERROR(SMALL(F367:F1087,ROW()-ROW($F$1090)+1),"")</f>
        <v>0</v>
      </c>
      <c r="G1209">
        <f>IFERROR(SMALL(G367:G1087,ROW()-ROW($G$1090)+1),"")</f>
        <v>0</v>
      </c>
      <c r="H1209">
        <f>IFERROR(SMALL(H367:H1087,ROW()-ROW($H$1090)+1),"")</f>
        <v>0</v>
      </c>
      <c r="K1209">
        <f>IFERROR(SMALL(K367:K1087,ROW()-ROW($K$1090)+1),"")</f>
        <v>0</v>
      </c>
      <c r="L1209">
        <f>IFERROR(SMALL(L367:L1087,ROW()-ROW($L$1090)+1),"")</f>
        <v>0</v>
      </c>
      <c r="M1209">
        <f>IFERROR(SMALL(M367:M1087,ROW()-ROW($M$1090)+1),"")</f>
        <v>0</v>
      </c>
      <c r="N1209">
        <f>IFERROR(SMALL(N367:N1087,ROW()-ROW($N$1090)+1),"")</f>
        <v>0</v>
      </c>
    </row>
    <row r="1210" spans="5:14">
      <c r="E1210">
        <f>IFERROR(SMALL(E367:E1087,ROW()-ROW($E$1090)+1),"")</f>
        <v>0</v>
      </c>
      <c r="F1210">
        <f>IFERROR(SMALL(F367:F1087,ROW()-ROW($F$1090)+1),"")</f>
        <v>0</v>
      </c>
      <c r="G1210">
        <f>IFERROR(SMALL(G367:G1087,ROW()-ROW($G$1090)+1),"")</f>
        <v>0</v>
      </c>
      <c r="H1210">
        <f>IFERROR(SMALL(H367:H1087,ROW()-ROW($H$1090)+1),"")</f>
        <v>0</v>
      </c>
      <c r="K1210">
        <f>IFERROR(SMALL(K367:K1087,ROW()-ROW($K$1090)+1),"")</f>
        <v>0</v>
      </c>
      <c r="L1210">
        <f>IFERROR(SMALL(L367:L1087,ROW()-ROW($L$1090)+1),"")</f>
        <v>0</v>
      </c>
      <c r="M1210">
        <f>IFERROR(SMALL(M367:M1087,ROW()-ROW($M$1090)+1),"")</f>
        <v>0</v>
      </c>
      <c r="N1210">
        <f>IFERROR(SMALL(N367:N1087,ROW()-ROW($N$1090)+1),"")</f>
        <v>0</v>
      </c>
    </row>
    <row r="1211" spans="5:14">
      <c r="E1211">
        <f>IFERROR(SMALL(E367:E1087,ROW()-ROW($E$1090)+1),"")</f>
        <v>0</v>
      </c>
      <c r="F1211">
        <f>IFERROR(SMALL(F367:F1087,ROW()-ROW($F$1090)+1),"")</f>
        <v>0</v>
      </c>
      <c r="G1211">
        <f>IFERROR(SMALL(G367:G1087,ROW()-ROW($G$1090)+1),"")</f>
        <v>0</v>
      </c>
      <c r="H1211">
        <f>IFERROR(SMALL(H367:H1087,ROW()-ROW($H$1090)+1),"")</f>
        <v>0</v>
      </c>
      <c r="K1211">
        <f>IFERROR(SMALL(K367:K1087,ROW()-ROW($K$1090)+1),"")</f>
        <v>0</v>
      </c>
      <c r="L1211">
        <f>IFERROR(SMALL(L367:L1087,ROW()-ROW($L$1090)+1),"")</f>
        <v>0</v>
      </c>
      <c r="M1211">
        <f>IFERROR(SMALL(M367:M1087,ROW()-ROW($M$1090)+1),"")</f>
        <v>0</v>
      </c>
      <c r="N1211">
        <f>IFERROR(SMALL(N367:N1087,ROW()-ROW($N$1090)+1),"")</f>
        <v>0</v>
      </c>
    </row>
    <row r="1212" spans="5:14">
      <c r="E1212">
        <f>IFERROR(SMALL(E367:E1087,ROW()-ROW($E$1090)+1),"")</f>
        <v>0</v>
      </c>
      <c r="F1212">
        <f>IFERROR(SMALL(F367:F1087,ROW()-ROW($F$1090)+1),"")</f>
        <v>0</v>
      </c>
      <c r="G1212">
        <f>IFERROR(SMALL(G367:G1087,ROW()-ROW($G$1090)+1),"")</f>
        <v>0</v>
      </c>
      <c r="H1212">
        <f>IFERROR(SMALL(H367:H1087,ROW()-ROW($H$1090)+1),"")</f>
        <v>0</v>
      </c>
      <c r="K1212">
        <f>IFERROR(SMALL(K367:K1087,ROW()-ROW($K$1090)+1),"")</f>
        <v>0</v>
      </c>
      <c r="L1212">
        <f>IFERROR(SMALL(L367:L1087,ROW()-ROW($L$1090)+1),"")</f>
        <v>0</v>
      </c>
      <c r="M1212">
        <f>IFERROR(SMALL(M367:M1087,ROW()-ROW($M$1090)+1),"")</f>
        <v>0</v>
      </c>
      <c r="N1212">
        <f>IFERROR(SMALL(N367:N1087,ROW()-ROW($N$1090)+1),"")</f>
        <v>0</v>
      </c>
    </row>
    <row r="1213" spans="5:14">
      <c r="E1213">
        <f>IFERROR(SMALL(E367:E1087,ROW()-ROW($E$1090)+1),"")</f>
        <v>0</v>
      </c>
      <c r="F1213">
        <f>IFERROR(SMALL(F367:F1087,ROW()-ROW($F$1090)+1),"")</f>
        <v>0</v>
      </c>
      <c r="G1213">
        <f>IFERROR(SMALL(G367:G1087,ROW()-ROW($G$1090)+1),"")</f>
        <v>0</v>
      </c>
      <c r="H1213">
        <f>IFERROR(SMALL(H367:H1087,ROW()-ROW($H$1090)+1),"")</f>
        <v>0</v>
      </c>
      <c r="K1213">
        <f>IFERROR(SMALL(K367:K1087,ROW()-ROW($K$1090)+1),"")</f>
        <v>0</v>
      </c>
      <c r="L1213">
        <f>IFERROR(SMALL(L367:L1087,ROW()-ROW($L$1090)+1),"")</f>
        <v>0</v>
      </c>
      <c r="M1213">
        <f>IFERROR(SMALL(M367:M1087,ROW()-ROW($M$1090)+1),"")</f>
        <v>0</v>
      </c>
      <c r="N1213">
        <f>IFERROR(SMALL(N367:N1087,ROW()-ROW($N$1090)+1),"")</f>
        <v>0</v>
      </c>
    </row>
    <row r="1214" spans="5:14">
      <c r="E1214">
        <f>IFERROR(SMALL(E367:E1087,ROW()-ROW($E$1090)+1),"")</f>
        <v>0</v>
      </c>
      <c r="F1214">
        <f>IFERROR(SMALL(F367:F1087,ROW()-ROW($F$1090)+1),"")</f>
        <v>0</v>
      </c>
      <c r="G1214">
        <f>IFERROR(SMALL(G367:G1087,ROW()-ROW($G$1090)+1),"")</f>
        <v>0</v>
      </c>
      <c r="H1214">
        <f>IFERROR(SMALL(H367:H1087,ROW()-ROW($H$1090)+1),"")</f>
        <v>0</v>
      </c>
      <c r="K1214">
        <f>IFERROR(SMALL(K367:K1087,ROW()-ROW($K$1090)+1),"")</f>
        <v>0</v>
      </c>
      <c r="L1214">
        <f>IFERROR(SMALL(L367:L1087,ROW()-ROW($L$1090)+1),"")</f>
        <v>0</v>
      </c>
      <c r="M1214">
        <f>IFERROR(SMALL(M367:M1087,ROW()-ROW($M$1090)+1),"")</f>
        <v>0</v>
      </c>
      <c r="N1214">
        <f>IFERROR(SMALL(N367:N1087,ROW()-ROW($N$1090)+1),"")</f>
        <v>0</v>
      </c>
    </row>
    <row r="1215" spans="5:14">
      <c r="E1215">
        <f>IFERROR(SMALL(E367:E1087,ROW()-ROW($E$1090)+1),"")</f>
        <v>0</v>
      </c>
      <c r="F1215">
        <f>IFERROR(SMALL(F367:F1087,ROW()-ROW($F$1090)+1),"")</f>
        <v>0</v>
      </c>
      <c r="G1215">
        <f>IFERROR(SMALL(G367:G1087,ROW()-ROW($G$1090)+1),"")</f>
        <v>0</v>
      </c>
      <c r="H1215">
        <f>IFERROR(SMALL(H367:H1087,ROW()-ROW($H$1090)+1),"")</f>
        <v>0</v>
      </c>
      <c r="K1215">
        <f>IFERROR(SMALL(K367:K1087,ROW()-ROW($K$1090)+1),"")</f>
        <v>0</v>
      </c>
      <c r="L1215">
        <f>IFERROR(SMALL(L367:L1087,ROW()-ROW($L$1090)+1),"")</f>
        <v>0</v>
      </c>
      <c r="M1215">
        <f>IFERROR(SMALL(M367:M1087,ROW()-ROW($M$1090)+1),"")</f>
        <v>0</v>
      </c>
      <c r="N1215">
        <f>IFERROR(SMALL(N367:N1087,ROW()-ROW($N$1090)+1),"")</f>
        <v>0</v>
      </c>
    </row>
    <row r="1216" spans="5:14">
      <c r="E1216">
        <f>IFERROR(SMALL(E367:E1087,ROW()-ROW($E$1090)+1),"")</f>
        <v>0</v>
      </c>
      <c r="F1216">
        <f>IFERROR(SMALL(F367:F1087,ROW()-ROW($F$1090)+1),"")</f>
        <v>0</v>
      </c>
      <c r="G1216">
        <f>IFERROR(SMALL(G367:G1087,ROW()-ROW($G$1090)+1),"")</f>
        <v>0</v>
      </c>
      <c r="H1216">
        <f>IFERROR(SMALL(H367:H1087,ROW()-ROW($H$1090)+1),"")</f>
        <v>0</v>
      </c>
      <c r="K1216">
        <f>IFERROR(SMALL(K367:K1087,ROW()-ROW($K$1090)+1),"")</f>
        <v>0</v>
      </c>
      <c r="L1216">
        <f>IFERROR(SMALL(L367:L1087,ROW()-ROW($L$1090)+1),"")</f>
        <v>0</v>
      </c>
      <c r="M1216">
        <f>IFERROR(SMALL(M367:M1087,ROW()-ROW($M$1090)+1),"")</f>
        <v>0</v>
      </c>
      <c r="N1216">
        <f>IFERROR(SMALL(N367:N1087,ROW()-ROW($N$1090)+1),"")</f>
        <v>0</v>
      </c>
    </row>
    <row r="1217" spans="5:14">
      <c r="E1217">
        <f>IFERROR(SMALL(E367:E1087,ROW()-ROW($E$1090)+1),"")</f>
        <v>0</v>
      </c>
      <c r="F1217">
        <f>IFERROR(SMALL(F367:F1087,ROW()-ROW($F$1090)+1),"")</f>
        <v>0</v>
      </c>
      <c r="G1217">
        <f>IFERROR(SMALL(G367:G1087,ROW()-ROW($G$1090)+1),"")</f>
        <v>0</v>
      </c>
      <c r="H1217">
        <f>IFERROR(SMALL(H367:H1087,ROW()-ROW($H$1090)+1),"")</f>
        <v>0</v>
      </c>
      <c r="K1217">
        <f>IFERROR(SMALL(K367:K1087,ROW()-ROW($K$1090)+1),"")</f>
        <v>0</v>
      </c>
      <c r="L1217">
        <f>IFERROR(SMALL(L367:L1087,ROW()-ROW($L$1090)+1),"")</f>
        <v>0</v>
      </c>
      <c r="M1217">
        <f>IFERROR(SMALL(M367:M1087,ROW()-ROW($M$1090)+1),"")</f>
        <v>0</v>
      </c>
      <c r="N1217">
        <f>IFERROR(SMALL(N367:N1087,ROW()-ROW($N$1090)+1),"")</f>
        <v>0</v>
      </c>
    </row>
    <row r="1218" spans="5:14">
      <c r="E1218">
        <f>IFERROR(SMALL(E367:E1087,ROW()-ROW($E$1090)+1),"")</f>
        <v>0</v>
      </c>
      <c r="F1218">
        <f>IFERROR(SMALL(F367:F1087,ROW()-ROW($F$1090)+1),"")</f>
        <v>0</v>
      </c>
      <c r="G1218">
        <f>IFERROR(SMALL(G367:G1087,ROW()-ROW($G$1090)+1),"")</f>
        <v>0</v>
      </c>
      <c r="H1218">
        <f>IFERROR(SMALL(H367:H1087,ROW()-ROW($H$1090)+1),"")</f>
        <v>0</v>
      </c>
      <c r="K1218">
        <f>IFERROR(SMALL(K367:K1087,ROW()-ROW($K$1090)+1),"")</f>
        <v>0</v>
      </c>
      <c r="L1218">
        <f>IFERROR(SMALL(L367:L1087,ROW()-ROW($L$1090)+1),"")</f>
        <v>0</v>
      </c>
      <c r="M1218">
        <f>IFERROR(SMALL(M367:M1087,ROW()-ROW($M$1090)+1),"")</f>
        <v>0</v>
      </c>
      <c r="N1218">
        <f>IFERROR(SMALL(N367:N1087,ROW()-ROW($N$1090)+1),"")</f>
        <v>0</v>
      </c>
    </row>
    <row r="1219" spans="5:14">
      <c r="E1219">
        <f>IFERROR(SMALL(E367:E1087,ROW()-ROW($E$1090)+1),"")</f>
        <v>0</v>
      </c>
      <c r="F1219">
        <f>IFERROR(SMALL(F367:F1087,ROW()-ROW($F$1090)+1),"")</f>
        <v>0</v>
      </c>
      <c r="G1219">
        <f>IFERROR(SMALL(G367:G1087,ROW()-ROW($G$1090)+1),"")</f>
        <v>0</v>
      </c>
      <c r="H1219">
        <f>IFERROR(SMALL(H367:H1087,ROW()-ROW($H$1090)+1),"")</f>
        <v>0</v>
      </c>
      <c r="K1219">
        <f>IFERROR(SMALL(K367:K1087,ROW()-ROW($K$1090)+1),"")</f>
        <v>0</v>
      </c>
      <c r="L1219">
        <f>IFERROR(SMALL(L367:L1087,ROW()-ROW($L$1090)+1),"")</f>
        <v>0</v>
      </c>
      <c r="M1219">
        <f>IFERROR(SMALL(M367:M1087,ROW()-ROW($M$1090)+1),"")</f>
        <v>0</v>
      </c>
      <c r="N1219">
        <f>IFERROR(SMALL(N367:N1087,ROW()-ROW($N$1090)+1),"")</f>
        <v>0</v>
      </c>
    </row>
    <row r="1220" spans="5:14">
      <c r="E1220">
        <f>IFERROR(SMALL(E367:E1087,ROW()-ROW($E$1090)+1),"")</f>
        <v>0</v>
      </c>
      <c r="F1220">
        <f>IFERROR(SMALL(F367:F1087,ROW()-ROW($F$1090)+1),"")</f>
        <v>0</v>
      </c>
      <c r="G1220">
        <f>IFERROR(SMALL(G367:G1087,ROW()-ROW($G$1090)+1),"")</f>
        <v>0</v>
      </c>
      <c r="H1220">
        <f>IFERROR(SMALL(H367:H1087,ROW()-ROW($H$1090)+1),"")</f>
        <v>0</v>
      </c>
      <c r="K1220">
        <f>IFERROR(SMALL(K367:K1087,ROW()-ROW($K$1090)+1),"")</f>
        <v>0</v>
      </c>
      <c r="L1220">
        <f>IFERROR(SMALL(L367:L1087,ROW()-ROW($L$1090)+1),"")</f>
        <v>0</v>
      </c>
      <c r="M1220">
        <f>IFERROR(SMALL(M367:M1087,ROW()-ROW($M$1090)+1),"")</f>
        <v>0</v>
      </c>
      <c r="N1220">
        <f>IFERROR(SMALL(N367:N1087,ROW()-ROW($N$1090)+1),"")</f>
        <v>0</v>
      </c>
    </row>
    <row r="1221" spans="5:14">
      <c r="E1221">
        <f>IFERROR(SMALL(E367:E1087,ROW()-ROW($E$1090)+1),"")</f>
        <v>0</v>
      </c>
      <c r="F1221">
        <f>IFERROR(SMALL(F367:F1087,ROW()-ROW($F$1090)+1),"")</f>
        <v>0</v>
      </c>
      <c r="G1221">
        <f>IFERROR(SMALL(G367:G1087,ROW()-ROW($G$1090)+1),"")</f>
        <v>0</v>
      </c>
      <c r="H1221">
        <f>IFERROR(SMALL(H367:H1087,ROW()-ROW($H$1090)+1),"")</f>
        <v>0</v>
      </c>
      <c r="K1221">
        <f>IFERROR(SMALL(K367:K1087,ROW()-ROW($K$1090)+1),"")</f>
        <v>0</v>
      </c>
      <c r="L1221">
        <f>IFERROR(SMALL(L367:L1087,ROW()-ROW($L$1090)+1),"")</f>
        <v>0</v>
      </c>
      <c r="M1221">
        <f>IFERROR(SMALL(M367:M1087,ROW()-ROW($M$1090)+1),"")</f>
        <v>0</v>
      </c>
      <c r="N1221">
        <f>IFERROR(SMALL(N367:N1087,ROW()-ROW($N$1090)+1),"")</f>
        <v>0</v>
      </c>
    </row>
    <row r="1222" spans="5:14">
      <c r="E1222">
        <f>IFERROR(SMALL(E367:E1087,ROW()-ROW($E$1090)+1),"")</f>
        <v>0</v>
      </c>
      <c r="F1222">
        <f>IFERROR(SMALL(F367:F1087,ROW()-ROW($F$1090)+1),"")</f>
        <v>0</v>
      </c>
      <c r="G1222">
        <f>IFERROR(SMALL(G367:G1087,ROW()-ROW($G$1090)+1),"")</f>
        <v>0</v>
      </c>
      <c r="H1222">
        <f>IFERROR(SMALL(H367:H1087,ROW()-ROW($H$1090)+1),"")</f>
        <v>0</v>
      </c>
      <c r="K1222">
        <f>IFERROR(SMALL(K367:K1087,ROW()-ROW($K$1090)+1),"")</f>
        <v>0</v>
      </c>
      <c r="L1222">
        <f>IFERROR(SMALL(L367:L1087,ROW()-ROW($L$1090)+1),"")</f>
        <v>0</v>
      </c>
      <c r="M1222">
        <f>IFERROR(SMALL(M367:M1087,ROW()-ROW($M$1090)+1),"")</f>
        <v>0</v>
      </c>
      <c r="N1222">
        <f>IFERROR(SMALL(N367:N1087,ROW()-ROW($N$1090)+1),"")</f>
        <v>0</v>
      </c>
    </row>
    <row r="1223" spans="5:14">
      <c r="E1223">
        <f>IFERROR(SMALL(E367:E1087,ROW()-ROW($E$1090)+1),"")</f>
        <v>0</v>
      </c>
      <c r="F1223">
        <f>IFERROR(SMALL(F367:F1087,ROW()-ROW($F$1090)+1),"")</f>
        <v>0</v>
      </c>
      <c r="G1223">
        <f>IFERROR(SMALL(G367:G1087,ROW()-ROW($G$1090)+1),"")</f>
        <v>0</v>
      </c>
      <c r="H1223">
        <f>IFERROR(SMALL(H367:H1087,ROW()-ROW($H$1090)+1),"")</f>
        <v>0</v>
      </c>
      <c r="K1223">
        <f>IFERROR(SMALL(K367:K1087,ROW()-ROW($K$1090)+1),"")</f>
        <v>0</v>
      </c>
      <c r="L1223">
        <f>IFERROR(SMALL(L367:L1087,ROW()-ROW($L$1090)+1),"")</f>
        <v>0</v>
      </c>
      <c r="M1223">
        <f>IFERROR(SMALL(M367:M1087,ROW()-ROW($M$1090)+1),"")</f>
        <v>0</v>
      </c>
      <c r="N1223">
        <f>IFERROR(SMALL(N367:N1087,ROW()-ROW($N$1090)+1),"")</f>
        <v>0</v>
      </c>
    </row>
    <row r="1224" spans="5:14">
      <c r="E1224">
        <f>IFERROR(SMALL(E367:E1087,ROW()-ROW($E$1090)+1),"")</f>
        <v>0</v>
      </c>
      <c r="F1224">
        <f>IFERROR(SMALL(F367:F1087,ROW()-ROW($F$1090)+1),"")</f>
        <v>0</v>
      </c>
      <c r="G1224">
        <f>IFERROR(SMALL(G367:G1087,ROW()-ROW($G$1090)+1),"")</f>
        <v>0</v>
      </c>
      <c r="H1224">
        <f>IFERROR(SMALL(H367:H1087,ROW()-ROW($H$1090)+1),"")</f>
        <v>0</v>
      </c>
      <c r="K1224">
        <f>IFERROR(SMALL(K367:K1087,ROW()-ROW($K$1090)+1),"")</f>
        <v>0</v>
      </c>
      <c r="L1224">
        <f>IFERROR(SMALL(L367:L1087,ROW()-ROW($L$1090)+1),"")</f>
        <v>0</v>
      </c>
      <c r="M1224">
        <f>IFERROR(SMALL(M367:M1087,ROW()-ROW($M$1090)+1),"")</f>
        <v>0</v>
      </c>
      <c r="N1224">
        <f>IFERROR(SMALL(N367:N1087,ROW()-ROW($N$1090)+1),"")</f>
        <v>0</v>
      </c>
    </row>
    <row r="1225" spans="5:14">
      <c r="E1225">
        <f>IFERROR(SMALL(E367:E1087,ROW()-ROW($E$1090)+1),"")</f>
        <v>0</v>
      </c>
      <c r="F1225">
        <f>IFERROR(SMALL(F367:F1087,ROW()-ROW($F$1090)+1),"")</f>
        <v>0</v>
      </c>
      <c r="G1225">
        <f>IFERROR(SMALL(G367:G1087,ROW()-ROW($G$1090)+1),"")</f>
        <v>0</v>
      </c>
      <c r="H1225">
        <f>IFERROR(SMALL(H367:H1087,ROW()-ROW($H$1090)+1),"")</f>
        <v>0</v>
      </c>
      <c r="K1225">
        <f>IFERROR(SMALL(K367:K1087,ROW()-ROW($K$1090)+1),"")</f>
        <v>0</v>
      </c>
      <c r="L1225">
        <f>IFERROR(SMALL(L367:L1087,ROW()-ROW($L$1090)+1),"")</f>
        <v>0</v>
      </c>
      <c r="M1225">
        <f>IFERROR(SMALL(M367:M1087,ROW()-ROW($M$1090)+1),"")</f>
        <v>0</v>
      </c>
      <c r="N1225">
        <f>IFERROR(SMALL(N367:N1087,ROW()-ROW($N$1090)+1),"")</f>
        <v>0</v>
      </c>
    </row>
    <row r="1226" spans="5:14">
      <c r="E1226">
        <f>IFERROR(SMALL(E367:E1087,ROW()-ROW($E$1090)+1),"")</f>
        <v>0</v>
      </c>
      <c r="F1226">
        <f>IFERROR(SMALL(F367:F1087,ROW()-ROW($F$1090)+1),"")</f>
        <v>0</v>
      </c>
      <c r="G1226">
        <f>IFERROR(SMALL(G367:G1087,ROW()-ROW($G$1090)+1),"")</f>
        <v>0</v>
      </c>
      <c r="H1226">
        <f>IFERROR(SMALL(H367:H1087,ROW()-ROW($H$1090)+1),"")</f>
        <v>0</v>
      </c>
      <c r="K1226">
        <f>IFERROR(SMALL(K367:K1087,ROW()-ROW($K$1090)+1),"")</f>
        <v>0</v>
      </c>
      <c r="L1226">
        <f>IFERROR(SMALL(L367:L1087,ROW()-ROW($L$1090)+1),"")</f>
        <v>0</v>
      </c>
      <c r="M1226">
        <f>IFERROR(SMALL(M367:M1087,ROW()-ROW($M$1090)+1),"")</f>
        <v>0</v>
      </c>
      <c r="N1226">
        <f>IFERROR(SMALL(N367:N1087,ROW()-ROW($N$1090)+1),"")</f>
        <v>0</v>
      </c>
    </row>
    <row r="1227" spans="5:14">
      <c r="E1227">
        <f>IFERROR(SMALL(E367:E1087,ROW()-ROW($E$1090)+1),"")</f>
        <v>0</v>
      </c>
      <c r="F1227">
        <f>IFERROR(SMALL(F367:F1087,ROW()-ROW($F$1090)+1),"")</f>
        <v>0</v>
      </c>
      <c r="G1227">
        <f>IFERROR(SMALL(G367:G1087,ROW()-ROW($G$1090)+1),"")</f>
        <v>0</v>
      </c>
      <c r="H1227">
        <f>IFERROR(SMALL(H367:H1087,ROW()-ROW($H$1090)+1),"")</f>
        <v>0</v>
      </c>
      <c r="K1227">
        <f>IFERROR(SMALL(K367:K1087,ROW()-ROW($K$1090)+1),"")</f>
        <v>0</v>
      </c>
      <c r="L1227">
        <f>IFERROR(SMALL(L367:L1087,ROW()-ROW($L$1090)+1),"")</f>
        <v>0</v>
      </c>
      <c r="M1227">
        <f>IFERROR(SMALL(M367:M1087,ROW()-ROW($M$1090)+1),"")</f>
        <v>0</v>
      </c>
      <c r="N1227">
        <f>IFERROR(SMALL(N367:N1087,ROW()-ROW($N$1090)+1),"")</f>
        <v>0</v>
      </c>
    </row>
    <row r="1228" spans="5:14">
      <c r="E1228">
        <f>IFERROR(SMALL(E367:E1087,ROW()-ROW($E$1090)+1),"")</f>
        <v>0</v>
      </c>
      <c r="F1228">
        <f>IFERROR(SMALL(F367:F1087,ROW()-ROW($F$1090)+1),"")</f>
        <v>0</v>
      </c>
      <c r="G1228">
        <f>IFERROR(SMALL(G367:G1087,ROW()-ROW($G$1090)+1),"")</f>
        <v>0</v>
      </c>
      <c r="H1228">
        <f>IFERROR(SMALL(H367:H1087,ROW()-ROW($H$1090)+1),"")</f>
        <v>0</v>
      </c>
      <c r="K1228">
        <f>IFERROR(SMALL(K367:K1087,ROW()-ROW($K$1090)+1),"")</f>
        <v>0</v>
      </c>
      <c r="L1228">
        <f>IFERROR(SMALL(L367:L1087,ROW()-ROW($L$1090)+1),"")</f>
        <v>0</v>
      </c>
      <c r="M1228">
        <f>IFERROR(SMALL(M367:M1087,ROW()-ROW($M$1090)+1),"")</f>
        <v>0</v>
      </c>
      <c r="N1228">
        <f>IFERROR(SMALL(N367:N1087,ROW()-ROW($N$1090)+1),"")</f>
        <v>0</v>
      </c>
    </row>
    <row r="1229" spans="5:14">
      <c r="E1229">
        <f>IFERROR(SMALL(E367:E1087,ROW()-ROW($E$1090)+1),"")</f>
        <v>0</v>
      </c>
      <c r="F1229">
        <f>IFERROR(SMALL(F367:F1087,ROW()-ROW($F$1090)+1),"")</f>
        <v>0</v>
      </c>
      <c r="G1229">
        <f>IFERROR(SMALL(G367:G1087,ROW()-ROW($G$1090)+1),"")</f>
        <v>0</v>
      </c>
      <c r="H1229">
        <f>IFERROR(SMALL(H367:H1087,ROW()-ROW($H$1090)+1),"")</f>
        <v>0</v>
      </c>
      <c r="K1229">
        <f>IFERROR(SMALL(K367:K1087,ROW()-ROW($K$1090)+1),"")</f>
        <v>0</v>
      </c>
      <c r="L1229">
        <f>IFERROR(SMALL(L367:L1087,ROW()-ROW($L$1090)+1),"")</f>
        <v>0</v>
      </c>
      <c r="M1229">
        <f>IFERROR(SMALL(M367:M1087,ROW()-ROW($M$1090)+1),"")</f>
        <v>0</v>
      </c>
      <c r="N1229">
        <f>IFERROR(SMALL(N367:N1087,ROW()-ROW($N$1090)+1),"")</f>
        <v>0</v>
      </c>
    </row>
    <row r="1230" spans="5:14">
      <c r="E1230">
        <f>IFERROR(SMALL(E367:E1087,ROW()-ROW($E$1090)+1),"")</f>
        <v>0</v>
      </c>
      <c r="F1230">
        <f>IFERROR(SMALL(F367:F1087,ROW()-ROW($F$1090)+1),"")</f>
        <v>0</v>
      </c>
      <c r="G1230">
        <f>IFERROR(SMALL(G367:G1087,ROW()-ROW($G$1090)+1),"")</f>
        <v>0</v>
      </c>
      <c r="H1230">
        <f>IFERROR(SMALL(H367:H1087,ROW()-ROW($H$1090)+1),"")</f>
        <v>0</v>
      </c>
      <c r="K1230">
        <f>IFERROR(SMALL(K367:K1087,ROW()-ROW($K$1090)+1),"")</f>
        <v>0</v>
      </c>
      <c r="L1230">
        <f>IFERROR(SMALL(L367:L1087,ROW()-ROW($L$1090)+1),"")</f>
        <v>0</v>
      </c>
      <c r="M1230">
        <f>IFERROR(SMALL(M367:M1087,ROW()-ROW($M$1090)+1),"")</f>
        <v>0</v>
      </c>
      <c r="N1230">
        <f>IFERROR(SMALL(N367:N1087,ROW()-ROW($N$1090)+1),"")</f>
        <v>0</v>
      </c>
    </row>
    <row r="1231" spans="5:14">
      <c r="E1231">
        <f>IFERROR(SMALL(E367:E1087,ROW()-ROW($E$1090)+1),"")</f>
        <v>0</v>
      </c>
      <c r="F1231">
        <f>IFERROR(SMALL(F367:F1087,ROW()-ROW($F$1090)+1),"")</f>
        <v>0</v>
      </c>
      <c r="G1231">
        <f>IFERROR(SMALL(G367:G1087,ROW()-ROW($G$1090)+1),"")</f>
        <v>0</v>
      </c>
      <c r="H1231">
        <f>IFERROR(SMALL(H367:H1087,ROW()-ROW($H$1090)+1),"")</f>
        <v>0</v>
      </c>
      <c r="K1231">
        <f>IFERROR(SMALL(K367:K1087,ROW()-ROW($K$1090)+1),"")</f>
        <v>0</v>
      </c>
      <c r="L1231">
        <f>IFERROR(SMALL(L367:L1087,ROW()-ROW($L$1090)+1),"")</f>
        <v>0</v>
      </c>
      <c r="M1231">
        <f>IFERROR(SMALL(M367:M1087,ROW()-ROW($M$1090)+1),"")</f>
        <v>0</v>
      </c>
      <c r="N1231">
        <f>IFERROR(SMALL(N367:N1087,ROW()-ROW($N$1090)+1),"")</f>
        <v>0</v>
      </c>
    </row>
    <row r="1232" spans="5:14">
      <c r="E1232">
        <f>IFERROR(SMALL(E367:E1087,ROW()-ROW($E$1090)+1),"")</f>
        <v>0</v>
      </c>
      <c r="F1232">
        <f>IFERROR(SMALL(F367:F1087,ROW()-ROW($F$1090)+1),"")</f>
        <v>0</v>
      </c>
      <c r="G1232">
        <f>IFERROR(SMALL(G367:G1087,ROW()-ROW($G$1090)+1),"")</f>
        <v>0</v>
      </c>
      <c r="H1232">
        <f>IFERROR(SMALL(H367:H1087,ROW()-ROW($H$1090)+1),"")</f>
        <v>0</v>
      </c>
      <c r="K1232">
        <f>IFERROR(SMALL(K367:K1087,ROW()-ROW($K$1090)+1),"")</f>
        <v>0</v>
      </c>
      <c r="L1232">
        <f>IFERROR(SMALL(L367:L1087,ROW()-ROW($L$1090)+1),"")</f>
        <v>0</v>
      </c>
      <c r="M1232">
        <f>IFERROR(SMALL(M367:M1087,ROW()-ROW($M$1090)+1),"")</f>
        <v>0</v>
      </c>
      <c r="N1232">
        <f>IFERROR(SMALL(N367:N1087,ROW()-ROW($N$1090)+1),"")</f>
        <v>0</v>
      </c>
    </row>
    <row r="1233" spans="5:14">
      <c r="E1233">
        <f>IFERROR(SMALL(E367:E1087,ROW()-ROW($E$1090)+1),"")</f>
        <v>0</v>
      </c>
      <c r="F1233">
        <f>IFERROR(SMALL(F367:F1087,ROW()-ROW($F$1090)+1),"")</f>
        <v>0</v>
      </c>
      <c r="G1233">
        <f>IFERROR(SMALL(G367:G1087,ROW()-ROW($G$1090)+1),"")</f>
        <v>0</v>
      </c>
      <c r="H1233">
        <f>IFERROR(SMALL(H367:H1087,ROW()-ROW($H$1090)+1),"")</f>
        <v>0</v>
      </c>
      <c r="K1233">
        <f>IFERROR(SMALL(K367:K1087,ROW()-ROW($K$1090)+1),"")</f>
        <v>0</v>
      </c>
      <c r="L1233">
        <f>IFERROR(SMALL(L367:L1087,ROW()-ROW($L$1090)+1),"")</f>
        <v>0</v>
      </c>
      <c r="M1233">
        <f>IFERROR(SMALL(M367:M1087,ROW()-ROW($M$1090)+1),"")</f>
        <v>0</v>
      </c>
      <c r="N1233">
        <f>IFERROR(SMALL(N367:N1087,ROW()-ROW($N$1090)+1),"")</f>
        <v>0</v>
      </c>
    </row>
    <row r="1234" spans="5:14">
      <c r="E1234">
        <f>IFERROR(SMALL(E367:E1087,ROW()-ROW($E$1090)+1),"")</f>
        <v>0</v>
      </c>
      <c r="F1234">
        <f>IFERROR(SMALL(F367:F1087,ROW()-ROW($F$1090)+1),"")</f>
        <v>0</v>
      </c>
      <c r="G1234">
        <f>IFERROR(SMALL(G367:G1087,ROW()-ROW($G$1090)+1),"")</f>
        <v>0</v>
      </c>
      <c r="H1234">
        <f>IFERROR(SMALL(H367:H1087,ROW()-ROW($H$1090)+1),"")</f>
        <v>0</v>
      </c>
      <c r="K1234">
        <f>IFERROR(SMALL(K367:K1087,ROW()-ROW($K$1090)+1),"")</f>
        <v>0</v>
      </c>
      <c r="L1234">
        <f>IFERROR(SMALL(L367:L1087,ROW()-ROW($L$1090)+1),"")</f>
        <v>0</v>
      </c>
      <c r="M1234">
        <f>IFERROR(SMALL(M367:M1087,ROW()-ROW($M$1090)+1),"")</f>
        <v>0</v>
      </c>
      <c r="N1234">
        <f>IFERROR(SMALL(N367:N1087,ROW()-ROW($N$1090)+1),"")</f>
        <v>0</v>
      </c>
    </row>
    <row r="1235" spans="5:14">
      <c r="E1235">
        <f>IFERROR(SMALL(E367:E1087,ROW()-ROW($E$1090)+1),"")</f>
        <v>0</v>
      </c>
      <c r="F1235">
        <f>IFERROR(SMALL(F367:F1087,ROW()-ROW($F$1090)+1),"")</f>
        <v>0</v>
      </c>
      <c r="G1235">
        <f>IFERROR(SMALL(G367:G1087,ROW()-ROW($G$1090)+1),"")</f>
        <v>0</v>
      </c>
      <c r="H1235">
        <f>IFERROR(SMALL(H367:H1087,ROW()-ROW($H$1090)+1),"")</f>
        <v>0</v>
      </c>
      <c r="K1235">
        <f>IFERROR(SMALL(K367:K1087,ROW()-ROW($K$1090)+1),"")</f>
        <v>0</v>
      </c>
      <c r="L1235">
        <f>IFERROR(SMALL(L367:L1087,ROW()-ROW($L$1090)+1),"")</f>
        <v>0</v>
      </c>
      <c r="M1235">
        <f>IFERROR(SMALL(M367:M1087,ROW()-ROW($M$1090)+1),"")</f>
        <v>0</v>
      </c>
      <c r="N1235">
        <f>IFERROR(SMALL(N367:N1087,ROW()-ROW($N$1090)+1),"")</f>
        <v>0</v>
      </c>
    </row>
    <row r="1236" spans="5:14">
      <c r="E1236">
        <f>IFERROR(SMALL(E367:E1087,ROW()-ROW($E$1090)+1),"")</f>
        <v>0</v>
      </c>
      <c r="F1236">
        <f>IFERROR(SMALL(F367:F1087,ROW()-ROW($F$1090)+1),"")</f>
        <v>0</v>
      </c>
      <c r="G1236">
        <f>IFERROR(SMALL(G367:G1087,ROW()-ROW($G$1090)+1),"")</f>
        <v>0</v>
      </c>
      <c r="H1236">
        <f>IFERROR(SMALL(H367:H1087,ROW()-ROW($H$1090)+1),"")</f>
        <v>0</v>
      </c>
      <c r="K1236">
        <f>IFERROR(SMALL(K367:K1087,ROW()-ROW($K$1090)+1),"")</f>
        <v>0</v>
      </c>
      <c r="L1236">
        <f>IFERROR(SMALL(L367:L1087,ROW()-ROW($L$1090)+1),"")</f>
        <v>0</v>
      </c>
      <c r="M1236">
        <f>IFERROR(SMALL(M367:M1087,ROW()-ROW($M$1090)+1),"")</f>
        <v>0</v>
      </c>
      <c r="N1236">
        <f>IFERROR(SMALL(N367:N1087,ROW()-ROW($N$1090)+1),"")</f>
        <v>0</v>
      </c>
    </row>
    <row r="1237" spans="5:14">
      <c r="E1237">
        <f>IFERROR(SMALL(E367:E1087,ROW()-ROW($E$1090)+1),"")</f>
        <v>0</v>
      </c>
      <c r="F1237">
        <f>IFERROR(SMALL(F367:F1087,ROW()-ROW($F$1090)+1),"")</f>
        <v>0</v>
      </c>
      <c r="G1237">
        <f>IFERROR(SMALL(G367:G1087,ROW()-ROW($G$1090)+1),"")</f>
        <v>0</v>
      </c>
      <c r="H1237">
        <f>IFERROR(SMALL(H367:H1087,ROW()-ROW($H$1090)+1),"")</f>
        <v>0</v>
      </c>
      <c r="K1237">
        <f>IFERROR(SMALL(K367:K1087,ROW()-ROW($K$1090)+1),"")</f>
        <v>0</v>
      </c>
      <c r="L1237">
        <f>IFERROR(SMALL(L367:L1087,ROW()-ROW($L$1090)+1),"")</f>
        <v>0</v>
      </c>
      <c r="M1237">
        <f>IFERROR(SMALL(M367:M1087,ROW()-ROW($M$1090)+1),"")</f>
        <v>0</v>
      </c>
      <c r="N1237">
        <f>IFERROR(SMALL(N367:N1087,ROW()-ROW($N$1090)+1),"")</f>
        <v>0</v>
      </c>
    </row>
    <row r="1238" spans="5:14">
      <c r="E1238">
        <f>IFERROR(SMALL(E367:E1087,ROW()-ROW($E$1090)+1),"")</f>
        <v>0</v>
      </c>
      <c r="F1238">
        <f>IFERROR(SMALL(F367:F1087,ROW()-ROW($F$1090)+1),"")</f>
        <v>0</v>
      </c>
      <c r="G1238">
        <f>IFERROR(SMALL(G367:G1087,ROW()-ROW($G$1090)+1),"")</f>
        <v>0</v>
      </c>
      <c r="H1238">
        <f>IFERROR(SMALL(H367:H1087,ROW()-ROW($H$1090)+1),"")</f>
        <v>0</v>
      </c>
      <c r="K1238">
        <f>IFERROR(SMALL(K367:K1087,ROW()-ROW($K$1090)+1),"")</f>
        <v>0</v>
      </c>
      <c r="L1238">
        <f>IFERROR(SMALL(L367:L1087,ROW()-ROW($L$1090)+1),"")</f>
        <v>0</v>
      </c>
      <c r="M1238">
        <f>IFERROR(SMALL(M367:M1087,ROW()-ROW($M$1090)+1),"")</f>
        <v>0</v>
      </c>
      <c r="N1238">
        <f>IFERROR(SMALL(N367:N1087,ROW()-ROW($N$1090)+1),"")</f>
        <v>0</v>
      </c>
    </row>
    <row r="1239" spans="5:14">
      <c r="E1239">
        <f>IFERROR(SMALL(E367:E1087,ROW()-ROW($E$1090)+1),"")</f>
        <v>0</v>
      </c>
      <c r="F1239">
        <f>IFERROR(SMALL(F367:F1087,ROW()-ROW($F$1090)+1),"")</f>
        <v>0</v>
      </c>
      <c r="G1239">
        <f>IFERROR(SMALL(G367:G1087,ROW()-ROW($G$1090)+1),"")</f>
        <v>0</v>
      </c>
      <c r="H1239">
        <f>IFERROR(SMALL(H367:H1087,ROW()-ROW($H$1090)+1),"")</f>
        <v>0</v>
      </c>
      <c r="K1239">
        <f>IFERROR(SMALL(K367:K1087,ROW()-ROW($K$1090)+1),"")</f>
        <v>0</v>
      </c>
      <c r="L1239">
        <f>IFERROR(SMALL(L367:L1087,ROW()-ROW($L$1090)+1),"")</f>
        <v>0</v>
      </c>
      <c r="M1239">
        <f>IFERROR(SMALL(M367:M1087,ROW()-ROW($M$1090)+1),"")</f>
        <v>0</v>
      </c>
      <c r="N1239">
        <f>IFERROR(SMALL(N367:N1087,ROW()-ROW($N$1090)+1),"")</f>
        <v>0</v>
      </c>
    </row>
    <row r="1240" spans="5:14">
      <c r="E1240">
        <f>IFERROR(SMALL(E367:E1087,ROW()-ROW($E$1090)+1),"")</f>
        <v>0</v>
      </c>
      <c r="F1240">
        <f>IFERROR(SMALL(F367:F1087,ROW()-ROW($F$1090)+1),"")</f>
        <v>0</v>
      </c>
      <c r="G1240">
        <f>IFERROR(SMALL(G367:G1087,ROW()-ROW($G$1090)+1),"")</f>
        <v>0</v>
      </c>
      <c r="H1240">
        <f>IFERROR(SMALL(H367:H1087,ROW()-ROW($H$1090)+1),"")</f>
        <v>0</v>
      </c>
      <c r="K1240">
        <f>IFERROR(SMALL(K367:K1087,ROW()-ROW($K$1090)+1),"")</f>
        <v>0</v>
      </c>
      <c r="L1240">
        <f>IFERROR(SMALL(L367:L1087,ROW()-ROW($L$1090)+1),"")</f>
        <v>0</v>
      </c>
      <c r="M1240">
        <f>IFERROR(SMALL(M367:M1087,ROW()-ROW($M$1090)+1),"")</f>
        <v>0</v>
      </c>
      <c r="N1240">
        <f>IFERROR(SMALL(N367:N1087,ROW()-ROW($N$1090)+1),"")</f>
        <v>0</v>
      </c>
    </row>
    <row r="1241" spans="5:14">
      <c r="E1241">
        <f>IFERROR(SMALL(E367:E1087,ROW()-ROW($E$1090)+1),"")</f>
        <v>0</v>
      </c>
      <c r="F1241">
        <f>IFERROR(SMALL(F367:F1087,ROW()-ROW($F$1090)+1),"")</f>
        <v>0</v>
      </c>
      <c r="G1241">
        <f>IFERROR(SMALL(G367:G1087,ROW()-ROW($G$1090)+1),"")</f>
        <v>0</v>
      </c>
      <c r="H1241">
        <f>IFERROR(SMALL(H367:H1087,ROW()-ROW($H$1090)+1),"")</f>
        <v>0</v>
      </c>
      <c r="K1241">
        <f>IFERROR(SMALL(K367:K1087,ROW()-ROW($K$1090)+1),"")</f>
        <v>0</v>
      </c>
      <c r="L1241">
        <f>IFERROR(SMALL(L367:L1087,ROW()-ROW($L$1090)+1),"")</f>
        <v>0</v>
      </c>
      <c r="M1241">
        <f>IFERROR(SMALL(M367:M1087,ROW()-ROW($M$1090)+1),"")</f>
        <v>0</v>
      </c>
      <c r="N1241">
        <f>IFERROR(SMALL(N367:N1087,ROW()-ROW($N$1090)+1),"")</f>
        <v>0</v>
      </c>
    </row>
    <row r="1242" spans="5:14">
      <c r="E1242">
        <f>IFERROR(SMALL(E367:E1087,ROW()-ROW($E$1090)+1),"")</f>
        <v>0</v>
      </c>
      <c r="F1242">
        <f>IFERROR(SMALL(F367:F1087,ROW()-ROW($F$1090)+1),"")</f>
        <v>0</v>
      </c>
      <c r="G1242">
        <f>IFERROR(SMALL(G367:G1087,ROW()-ROW($G$1090)+1),"")</f>
        <v>0</v>
      </c>
      <c r="H1242">
        <f>IFERROR(SMALL(H367:H1087,ROW()-ROW($H$1090)+1),"")</f>
        <v>0</v>
      </c>
      <c r="K1242">
        <f>IFERROR(SMALL(K367:K1087,ROW()-ROW($K$1090)+1),"")</f>
        <v>0</v>
      </c>
      <c r="L1242">
        <f>IFERROR(SMALL(L367:L1087,ROW()-ROW($L$1090)+1),"")</f>
        <v>0</v>
      </c>
      <c r="M1242">
        <f>IFERROR(SMALL(M367:M1087,ROW()-ROW($M$1090)+1),"")</f>
        <v>0</v>
      </c>
      <c r="N1242">
        <f>IFERROR(SMALL(N367:N1087,ROW()-ROW($N$1090)+1),"")</f>
        <v>0</v>
      </c>
    </row>
    <row r="1243" spans="5:14">
      <c r="E1243">
        <f>IFERROR(SMALL(E367:E1087,ROW()-ROW($E$1090)+1),"")</f>
        <v>0</v>
      </c>
      <c r="F1243">
        <f>IFERROR(SMALL(F367:F1087,ROW()-ROW($F$1090)+1),"")</f>
        <v>0</v>
      </c>
      <c r="G1243">
        <f>IFERROR(SMALL(G367:G1087,ROW()-ROW($G$1090)+1),"")</f>
        <v>0</v>
      </c>
      <c r="H1243">
        <f>IFERROR(SMALL(H367:H1087,ROW()-ROW($H$1090)+1),"")</f>
        <v>0</v>
      </c>
      <c r="K1243">
        <f>IFERROR(SMALL(K367:K1087,ROW()-ROW($K$1090)+1),"")</f>
        <v>0</v>
      </c>
      <c r="L1243">
        <f>IFERROR(SMALL(L367:L1087,ROW()-ROW($L$1090)+1),"")</f>
        <v>0</v>
      </c>
      <c r="M1243">
        <f>IFERROR(SMALL(M367:M1087,ROW()-ROW($M$1090)+1),"")</f>
        <v>0</v>
      </c>
      <c r="N1243">
        <f>IFERROR(SMALL(N367:N1087,ROW()-ROW($N$1090)+1),"")</f>
        <v>0</v>
      </c>
    </row>
    <row r="1244" spans="5:14">
      <c r="E1244">
        <f>IFERROR(SMALL(E367:E1087,ROW()-ROW($E$1090)+1),"")</f>
        <v>0</v>
      </c>
      <c r="F1244">
        <f>IFERROR(SMALL(F367:F1087,ROW()-ROW($F$1090)+1),"")</f>
        <v>0</v>
      </c>
      <c r="G1244">
        <f>IFERROR(SMALL(G367:G1087,ROW()-ROW($G$1090)+1),"")</f>
        <v>0</v>
      </c>
      <c r="H1244">
        <f>IFERROR(SMALL(H367:H1087,ROW()-ROW($H$1090)+1),"")</f>
        <v>0</v>
      </c>
      <c r="K1244">
        <f>IFERROR(SMALL(K367:K1087,ROW()-ROW($K$1090)+1),"")</f>
        <v>0</v>
      </c>
      <c r="L1244">
        <f>IFERROR(SMALL(L367:L1087,ROW()-ROW($L$1090)+1),"")</f>
        <v>0</v>
      </c>
      <c r="M1244">
        <f>IFERROR(SMALL(M367:M1087,ROW()-ROW($M$1090)+1),"")</f>
        <v>0</v>
      </c>
      <c r="N1244">
        <f>IFERROR(SMALL(N367:N1087,ROW()-ROW($N$1090)+1),"")</f>
        <v>0</v>
      </c>
    </row>
    <row r="1245" spans="5:14">
      <c r="E1245">
        <f>IFERROR(SMALL(E367:E1087,ROW()-ROW($E$1090)+1),"")</f>
        <v>0</v>
      </c>
      <c r="F1245">
        <f>IFERROR(SMALL(F367:F1087,ROW()-ROW($F$1090)+1),"")</f>
        <v>0</v>
      </c>
      <c r="G1245">
        <f>IFERROR(SMALL(G367:G1087,ROW()-ROW($G$1090)+1),"")</f>
        <v>0</v>
      </c>
      <c r="H1245">
        <f>IFERROR(SMALL(H367:H1087,ROW()-ROW($H$1090)+1),"")</f>
        <v>0</v>
      </c>
      <c r="K1245">
        <f>IFERROR(SMALL(K367:K1087,ROW()-ROW($K$1090)+1),"")</f>
        <v>0</v>
      </c>
      <c r="L1245">
        <f>IFERROR(SMALL(L367:L1087,ROW()-ROW($L$1090)+1),"")</f>
        <v>0</v>
      </c>
      <c r="M1245">
        <f>IFERROR(SMALL(M367:M1087,ROW()-ROW($M$1090)+1),"")</f>
        <v>0</v>
      </c>
      <c r="N1245">
        <f>IFERROR(SMALL(N367:N1087,ROW()-ROW($N$1090)+1),"")</f>
        <v>0</v>
      </c>
    </row>
    <row r="1246" spans="5:14">
      <c r="E1246">
        <f>IFERROR(SMALL(E367:E1087,ROW()-ROW($E$1090)+1),"")</f>
        <v>0</v>
      </c>
      <c r="F1246">
        <f>IFERROR(SMALL(F367:F1087,ROW()-ROW($F$1090)+1),"")</f>
        <v>0</v>
      </c>
      <c r="G1246">
        <f>IFERROR(SMALL(G367:G1087,ROW()-ROW($G$1090)+1),"")</f>
        <v>0</v>
      </c>
      <c r="H1246">
        <f>IFERROR(SMALL(H367:H1087,ROW()-ROW($H$1090)+1),"")</f>
        <v>0</v>
      </c>
      <c r="K1246">
        <f>IFERROR(SMALL(K367:K1087,ROW()-ROW($K$1090)+1),"")</f>
        <v>0</v>
      </c>
      <c r="L1246">
        <f>IFERROR(SMALL(L367:L1087,ROW()-ROW($L$1090)+1),"")</f>
        <v>0</v>
      </c>
      <c r="M1246">
        <f>IFERROR(SMALL(M367:M1087,ROW()-ROW($M$1090)+1),"")</f>
        <v>0</v>
      </c>
      <c r="N1246">
        <f>IFERROR(SMALL(N367:N1087,ROW()-ROW($N$1090)+1),"")</f>
        <v>0</v>
      </c>
    </row>
    <row r="1247" spans="5:14">
      <c r="E1247">
        <f>IFERROR(SMALL(E367:E1087,ROW()-ROW($E$1090)+1),"")</f>
        <v>0</v>
      </c>
      <c r="F1247">
        <f>IFERROR(SMALL(F367:F1087,ROW()-ROW($F$1090)+1),"")</f>
        <v>0</v>
      </c>
      <c r="G1247">
        <f>IFERROR(SMALL(G367:G1087,ROW()-ROW($G$1090)+1),"")</f>
        <v>0</v>
      </c>
      <c r="H1247">
        <f>IFERROR(SMALL(H367:H1087,ROW()-ROW($H$1090)+1),"")</f>
        <v>0</v>
      </c>
      <c r="K1247">
        <f>IFERROR(SMALL(K367:K1087,ROW()-ROW($K$1090)+1),"")</f>
        <v>0</v>
      </c>
      <c r="L1247">
        <f>IFERROR(SMALL(L367:L1087,ROW()-ROW($L$1090)+1),"")</f>
        <v>0</v>
      </c>
      <c r="M1247">
        <f>IFERROR(SMALL(M367:M1087,ROW()-ROW($M$1090)+1),"")</f>
        <v>0</v>
      </c>
      <c r="N1247">
        <f>IFERROR(SMALL(N367:N1087,ROW()-ROW($N$1090)+1),"")</f>
        <v>0</v>
      </c>
    </row>
    <row r="1248" spans="5:14">
      <c r="E1248">
        <f>IFERROR(SMALL(E367:E1087,ROW()-ROW($E$1090)+1),"")</f>
        <v>0</v>
      </c>
      <c r="F1248">
        <f>IFERROR(SMALL(F367:F1087,ROW()-ROW($F$1090)+1),"")</f>
        <v>0</v>
      </c>
      <c r="G1248">
        <f>IFERROR(SMALL(G367:G1087,ROW()-ROW($G$1090)+1),"")</f>
        <v>0</v>
      </c>
      <c r="H1248">
        <f>IFERROR(SMALL(H367:H1087,ROW()-ROW($H$1090)+1),"")</f>
        <v>0</v>
      </c>
      <c r="K1248">
        <f>IFERROR(SMALL(K367:K1087,ROW()-ROW($K$1090)+1),"")</f>
        <v>0</v>
      </c>
      <c r="L1248">
        <f>IFERROR(SMALL(L367:L1087,ROW()-ROW($L$1090)+1),"")</f>
        <v>0</v>
      </c>
      <c r="M1248">
        <f>IFERROR(SMALL(M367:M1087,ROW()-ROW($M$1090)+1),"")</f>
        <v>0</v>
      </c>
      <c r="N1248">
        <f>IFERROR(SMALL(N367:N1087,ROW()-ROW($N$1090)+1),"")</f>
        <v>0</v>
      </c>
    </row>
    <row r="1249" spans="5:14">
      <c r="E1249">
        <f>IFERROR(SMALL(E367:E1087,ROW()-ROW($E$1090)+1),"")</f>
        <v>0</v>
      </c>
      <c r="F1249">
        <f>IFERROR(SMALL(F367:F1087,ROW()-ROW($F$1090)+1),"")</f>
        <v>0</v>
      </c>
      <c r="G1249">
        <f>IFERROR(SMALL(G367:G1087,ROW()-ROW($G$1090)+1),"")</f>
        <v>0</v>
      </c>
      <c r="H1249">
        <f>IFERROR(SMALL(H367:H1087,ROW()-ROW($H$1090)+1),"")</f>
        <v>0</v>
      </c>
      <c r="K1249">
        <f>IFERROR(SMALL(K367:K1087,ROW()-ROW($K$1090)+1),"")</f>
        <v>0</v>
      </c>
      <c r="L1249">
        <f>IFERROR(SMALL(L367:L1087,ROW()-ROW($L$1090)+1),"")</f>
        <v>0</v>
      </c>
      <c r="M1249">
        <f>IFERROR(SMALL(M367:M1087,ROW()-ROW($M$1090)+1),"")</f>
        <v>0</v>
      </c>
      <c r="N1249">
        <f>IFERROR(SMALL(N367:N1087,ROW()-ROW($N$1090)+1),"")</f>
        <v>0</v>
      </c>
    </row>
    <row r="1250" spans="5:14">
      <c r="E1250">
        <f>IFERROR(SMALL(E367:E1087,ROW()-ROW($E$1090)+1),"")</f>
        <v>0</v>
      </c>
      <c r="F1250">
        <f>IFERROR(SMALL(F367:F1087,ROW()-ROW($F$1090)+1),"")</f>
        <v>0</v>
      </c>
      <c r="G1250">
        <f>IFERROR(SMALL(G367:G1087,ROW()-ROW($G$1090)+1),"")</f>
        <v>0</v>
      </c>
      <c r="H1250">
        <f>IFERROR(SMALL(H367:H1087,ROW()-ROW($H$1090)+1),"")</f>
        <v>0</v>
      </c>
      <c r="K1250">
        <f>IFERROR(SMALL(K367:K1087,ROW()-ROW($K$1090)+1),"")</f>
        <v>0</v>
      </c>
      <c r="L1250">
        <f>IFERROR(SMALL(L367:L1087,ROW()-ROW($L$1090)+1),"")</f>
        <v>0</v>
      </c>
      <c r="M1250">
        <f>IFERROR(SMALL(M367:M1087,ROW()-ROW($M$1090)+1),"")</f>
        <v>0</v>
      </c>
      <c r="N1250">
        <f>IFERROR(SMALL(N367:N1087,ROW()-ROW($N$1090)+1),"")</f>
        <v>0</v>
      </c>
    </row>
    <row r="1251" spans="5:14">
      <c r="E1251">
        <f>IFERROR(SMALL(E367:E1087,ROW()-ROW($E$1090)+1),"")</f>
        <v>0</v>
      </c>
      <c r="F1251">
        <f>IFERROR(SMALL(F367:F1087,ROW()-ROW($F$1090)+1),"")</f>
        <v>0</v>
      </c>
      <c r="G1251">
        <f>IFERROR(SMALL(G367:G1087,ROW()-ROW($G$1090)+1),"")</f>
        <v>0</v>
      </c>
      <c r="H1251">
        <f>IFERROR(SMALL(H367:H1087,ROW()-ROW($H$1090)+1),"")</f>
        <v>0</v>
      </c>
      <c r="K1251">
        <f>IFERROR(SMALL(K367:K1087,ROW()-ROW($K$1090)+1),"")</f>
        <v>0</v>
      </c>
      <c r="L1251">
        <f>IFERROR(SMALL(L367:L1087,ROW()-ROW($L$1090)+1),"")</f>
        <v>0</v>
      </c>
      <c r="M1251">
        <f>IFERROR(SMALL(M367:M1087,ROW()-ROW($M$1090)+1),"")</f>
        <v>0</v>
      </c>
      <c r="N1251">
        <f>IFERROR(SMALL(N367:N1087,ROW()-ROW($N$1090)+1),"")</f>
        <v>0</v>
      </c>
    </row>
    <row r="1252" spans="5:14">
      <c r="E1252">
        <f>IFERROR(SMALL(E367:E1087,ROW()-ROW($E$1090)+1),"")</f>
        <v>0</v>
      </c>
      <c r="F1252">
        <f>IFERROR(SMALL(F367:F1087,ROW()-ROW($F$1090)+1),"")</f>
        <v>0</v>
      </c>
      <c r="G1252">
        <f>IFERROR(SMALL(G367:G1087,ROW()-ROW($G$1090)+1),"")</f>
        <v>0</v>
      </c>
      <c r="H1252">
        <f>IFERROR(SMALL(H367:H1087,ROW()-ROW($H$1090)+1),"")</f>
        <v>0</v>
      </c>
      <c r="K1252">
        <f>IFERROR(SMALL(K367:K1087,ROW()-ROW($K$1090)+1),"")</f>
        <v>0</v>
      </c>
      <c r="L1252">
        <f>IFERROR(SMALL(L367:L1087,ROW()-ROW($L$1090)+1),"")</f>
        <v>0</v>
      </c>
      <c r="M1252">
        <f>IFERROR(SMALL(M367:M1087,ROW()-ROW($M$1090)+1),"")</f>
        <v>0</v>
      </c>
      <c r="N1252">
        <f>IFERROR(SMALL(N367:N1087,ROW()-ROW($N$1090)+1),"")</f>
        <v>0</v>
      </c>
    </row>
    <row r="1253" spans="5:14">
      <c r="E1253">
        <f>IFERROR(SMALL(E367:E1087,ROW()-ROW($E$1090)+1),"")</f>
        <v>0</v>
      </c>
      <c r="F1253">
        <f>IFERROR(SMALL(F367:F1087,ROW()-ROW($F$1090)+1),"")</f>
        <v>0</v>
      </c>
      <c r="G1253">
        <f>IFERROR(SMALL(G367:G1087,ROW()-ROW($G$1090)+1),"")</f>
        <v>0</v>
      </c>
      <c r="H1253">
        <f>IFERROR(SMALL(H367:H1087,ROW()-ROW($H$1090)+1),"")</f>
        <v>0</v>
      </c>
      <c r="K1253">
        <f>IFERROR(SMALL(K367:K1087,ROW()-ROW($K$1090)+1),"")</f>
        <v>0</v>
      </c>
      <c r="L1253">
        <f>IFERROR(SMALL(L367:L1087,ROW()-ROW($L$1090)+1),"")</f>
        <v>0</v>
      </c>
      <c r="M1253">
        <f>IFERROR(SMALL(M367:M1087,ROW()-ROW($M$1090)+1),"")</f>
        <v>0</v>
      </c>
      <c r="N1253">
        <f>IFERROR(SMALL(N367:N1087,ROW()-ROW($N$1090)+1),"")</f>
        <v>0</v>
      </c>
    </row>
    <row r="1254" spans="5:14">
      <c r="E1254">
        <f>IFERROR(SMALL(E367:E1087,ROW()-ROW($E$1090)+1),"")</f>
        <v>0</v>
      </c>
      <c r="F1254">
        <f>IFERROR(SMALL(F367:F1087,ROW()-ROW($F$1090)+1),"")</f>
        <v>0</v>
      </c>
      <c r="G1254">
        <f>IFERROR(SMALL(G367:G1087,ROW()-ROW($G$1090)+1),"")</f>
        <v>0</v>
      </c>
      <c r="H1254">
        <f>IFERROR(SMALL(H367:H1087,ROW()-ROW($H$1090)+1),"")</f>
        <v>0</v>
      </c>
      <c r="K1254">
        <f>IFERROR(SMALL(K367:K1087,ROW()-ROW($K$1090)+1),"")</f>
        <v>0</v>
      </c>
      <c r="L1254">
        <f>IFERROR(SMALL(L367:L1087,ROW()-ROW($L$1090)+1),"")</f>
        <v>0</v>
      </c>
      <c r="M1254">
        <f>IFERROR(SMALL(M367:M1087,ROW()-ROW($M$1090)+1),"")</f>
        <v>0</v>
      </c>
      <c r="N1254">
        <f>IFERROR(SMALL(N367:N1087,ROW()-ROW($N$1090)+1),"")</f>
        <v>0</v>
      </c>
    </row>
    <row r="1255" spans="5:14">
      <c r="E1255">
        <f>IFERROR(SMALL(E367:E1087,ROW()-ROW($E$1090)+1),"")</f>
        <v>0</v>
      </c>
      <c r="F1255">
        <f>IFERROR(SMALL(F367:F1087,ROW()-ROW($F$1090)+1),"")</f>
        <v>0</v>
      </c>
      <c r="G1255">
        <f>IFERROR(SMALL(G367:G1087,ROW()-ROW($G$1090)+1),"")</f>
        <v>0</v>
      </c>
      <c r="H1255">
        <f>IFERROR(SMALL(H367:H1087,ROW()-ROW($H$1090)+1),"")</f>
        <v>0</v>
      </c>
      <c r="K1255">
        <f>IFERROR(SMALL(K367:K1087,ROW()-ROW($K$1090)+1),"")</f>
        <v>0</v>
      </c>
      <c r="L1255">
        <f>IFERROR(SMALL(L367:L1087,ROW()-ROW($L$1090)+1),"")</f>
        <v>0</v>
      </c>
      <c r="M1255">
        <f>IFERROR(SMALL(M367:M1087,ROW()-ROW($M$1090)+1),"")</f>
        <v>0</v>
      </c>
      <c r="N1255">
        <f>IFERROR(SMALL(N367:N1087,ROW()-ROW($N$1090)+1),"")</f>
        <v>0</v>
      </c>
    </row>
    <row r="1256" spans="5:14">
      <c r="E1256">
        <f>IFERROR(SMALL(E367:E1087,ROW()-ROW($E$1090)+1),"")</f>
        <v>0</v>
      </c>
      <c r="F1256">
        <f>IFERROR(SMALL(F367:F1087,ROW()-ROW($F$1090)+1),"")</f>
        <v>0</v>
      </c>
      <c r="G1256">
        <f>IFERROR(SMALL(G367:G1087,ROW()-ROW($G$1090)+1),"")</f>
        <v>0</v>
      </c>
      <c r="H1256">
        <f>IFERROR(SMALL(H367:H1087,ROW()-ROW($H$1090)+1),"")</f>
        <v>0</v>
      </c>
      <c r="K1256">
        <f>IFERROR(SMALL(K367:K1087,ROW()-ROW($K$1090)+1),"")</f>
        <v>0</v>
      </c>
      <c r="L1256">
        <f>IFERROR(SMALL(L367:L1087,ROW()-ROW($L$1090)+1),"")</f>
        <v>0</v>
      </c>
      <c r="M1256">
        <f>IFERROR(SMALL(M367:M1087,ROW()-ROW($M$1090)+1),"")</f>
        <v>0</v>
      </c>
      <c r="N1256">
        <f>IFERROR(SMALL(N367:N1087,ROW()-ROW($N$1090)+1),"")</f>
        <v>0</v>
      </c>
    </row>
    <row r="1257" spans="5:14">
      <c r="E1257">
        <f>IFERROR(SMALL(E367:E1087,ROW()-ROW($E$1090)+1),"")</f>
        <v>0</v>
      </c>
      <c r="F1257">
        <f>IFERROR(SMALL(F367:F1087,ROW()-ROW($F$1090)+1),"")</f>
        <v>0</v>
      </c>
      <c r="G1257">
        <f>IFERROR(SMALL(G367:G1087,ROW()-ROW($G$1090)+1),"")</f>
        <v>0</v>
      </c>
      <c r="H1257">
        <f>IFERROR(SMALL(H367:H1087,ROW()-ROW($H$1090)+1),"")</f>
        <v>0</v>
      </c>
      <c r="K1257">
        <f>IFERROR(SMALL(K367:K1087,ROW()-ROW($K$1090)+1),"")</f>
        <v>0</v>
      </c>
      <c r="L1257">
        <f>IFERROR(SMALL(L367:L1087,ROW()-ROW($L$1090)+1),"")</f>
        <v>0</v>
      </c>
      <c r="M1257">
        <f>IFERROR(SMALL(M367:M1087,ROW()-ROW($M$1090)+1),"")</f>
        <v>0</v>
      </c>
      <c r="N1257">
        <f>IFERROR(SMALL(N367:N1087,ROW()-ROW($N$1090)+1),"")</f>
        <v>0</v>
      </c>
    </row>
    <row r="1258" spans="5:14">
      <c r="E1258">
        <f>IFERROR(SMALL(E367:E1087,ROW()-ROW($E$1090)+1),"")</f>
        <v>0</v>
      </c>
      <c r="F1258">
        <f>IFERROR(SMALL(F367:F1087,ROW()-ROW($F$1090)+1),"")</f>
        <v>0</v>
      </c>
      <c r="G1258">
        <f>IFERROR(SMALL(G367:G1087,ROW()-ROW($G$1090)+1),"")</f>
        <v>0</v>
      </c>
      <c r="H1258">
        <f>IFERROR(SMALL(H367:H1087,ROW()-ROW($H$1090)+1),"")</f>
        <v>0</v>
      </c>
      <c r="K1258">
        <f>IFERROR(SMALL(K367:K1087,ROW()-ROW($K$1090)+1),"")</f>
        <v>0</v>
      </c>
      <c r="L1258">
        <f>IFERROR(SMALL(L367:L1087,ROW()-ROW($L$1090)+1),"")</f>
        <v>0</v>
      </c>
      <c r="M1258">
        <f>IFERROR(SMALL(M367:M1087,ROW()-ROW($M$1090)+1),"")</f>
        <v>0</v>
      </c>
      <c r="N1258">
        <f>IFERROR(SMALL(N367:N1087,ROW()-ROW($N$1090)+1),"")</f>
        <v>0</v>
      </c>
    </row>
    <row r="1259" spans="5:14">
      <c r="E1259">
        <f>IFERROR(SMALL(E367:E1087,ROW()-ROW($E$1090)+1),"")</f>
        <v>0</v>
      </c>
      <c r="F1259">
        <f>IFERROR(SMALL(F367:F1087,ROW()-ROW($F$1090)+1),"")</f>
        <v>0</v>
      </c>
      <c r="G1259">
        <f>IFERROR(SMALL(G367:G1087,ROW()-ROW($G$1090)+1),"")</f>
        <v>0</v>
      </c>
      <c r="H1259">
        <f>IFERROR(SMALL(H367:H1087,ROW()-ROW($H$1090)+1),"")</f>
        <v>0</v>
      </c>
      <c r="K1259">
        <f>IFERROR(SMALL(K367:K1087,ROW()-ROW($K$1090)+1),"")</f>
        <v>0</v>
      </c>
      <c r="L1259">
        <f>IFERROR(SMALL(L367:L1087,ROW()-ROW($L$1090)+1),"")</f>
        <v>0</v>
      </c>
      <c r="M1259">
        <f>IFERROR(SMALL(M367:M1087,ROW()-ROW($M$1090)+1),"")</f>
        <v>0</v>
      </c>
      <c r="N1259">
        <f>IFERROR(SMALL(N367:N1087,ROW()-ROW($N$1090)+1),"")</f>
        <v>0</v>
      </c>
    </row>
    <row r="1260" spans="5:14">
      <c r="E1260">
        <f>IFERROR(SMALL(E367:E1087,ROW()-ROW($E$1090)+1),"")</f>
        <v>0</v>
      </c>
      <c r="F1260">
        <f>IFERROR(SMALL(F367:F1087,ROW()-ROW($F$1090)+1),"")</f>
        <v>0</v>
      </c>
      <c r="G1260">
        <f>IFERROR(SMALL(G367:G1087,ROW()-ROW($G$1090)+1),"")</f>
        <v>0</v>
      </c>
      <c r="H1260">
        <f>IFERROR(SMALL(H367:H1087,ROW()-ROW($H$1090)+1),"")</f>
        <v>0</v>
      </c>
      <c r="K1260">
        <f>IFERROR(SMALL(K367:K1087,ROW()-ROW($K$1090)+1),"")</f>
        <v>0</v>
      </c>
      <c r="L1260">
        <f>IFERROR(SMALL(L367:L1087,ROW()-ROW($L$1090)+1),"")</f>
        <v>0</v>
      </c>
      <c r="M1260">
        <f>IFERROR(SMALL(M367:M1087,ROW()-ROW($M$1090)+1),"")</f>
        <v>0</v>
      </c>
      <c r="N1260">
        <f>IFERROR(SMALL(N367:N1087,ROW()-ROW($N$1090)+1),"")</f>
        <v>0</v>
      </c>
    </row>
    <row r="1261" spans="5:14">
      <c r="E1261">
        <f>IFERROR(SMALL(E367:E1087,ROW()-ROW($E$1090)+1),"")</f>
        <v>0</v>
      </c>
      <c r="F1261">
        <f>IFERROR(SMALL(F367:F1087,ROW()-ROW($F$1090)+1),"")</f>
        <v>0</v>
      </c>
      <c r="G1261">
        <f>IFERROR(SMALL(G367:G1087,ROW()-ROW($G$1090)+1),"")</f>
        <v>0</v>
      </c>
      <c r="H1261">
        <f>IFERROR(SMALL(H367:H1087,ROW()-ROW($H$1090)+1),"")</f>
        <v>0</v>
      </c>
      <c r="K1261">
        <f>IFERROR(SMALL(K367:K1087,ROW()-ROW($K$1090)+1),"")</f>
        <v>0</v>
      </c>
      <c r="L1261">
        <f>IFERROR(SMALL(L367:L1087,ROW()-ROW($L$1090)+1),"")</f>
        <v>0</v>
      </c>
      <c r="M1261">
        <f>IFERROR(SMALL(M367:M1087,ROW()-ROW($M$1090)+1),"")</f>
        <v>0</v>
      </c>
      <c r="N1261">
        <f>IFERROR(SMALL(N367:N1087,ROW()-ROW($N$1090)+1),"")</f>
        <v>0</v>
      </c>
    </row>
    <row r="1262" spans="5:14">
      <c r="E1262">
        <f>IFERROR(SMALL(E367:E1087,ROW()-ROW($E$1090)+1),"")</f>
        <v>0</v>
      </c>
      <c r="F1262">
        <f>IFERROR(SMALL(F367:F1087,ROW()-ROW($F$1090)+1),"")</f>
        <v>0</v>
      </c>
      <c r="G1262">
        <f>IFERROR(SMALL(G367:G1087,ROW()-ROW($G$1090)+1),"")</f>
        <v>0</v>
      </c>
      <c r="H1262">
        <f>IFERROR(SMALL(H367:H1087,ROW()-ROW($H$1090)+1),"")</f>
        <v>0</v>
      </c>
      <c r="K1262">
        <f>IFERROR(SMALL(K367:K1087,ROW()-ROW($K$1090)+1),"")</f>
        <v>0</v>
      </c>
      <c r="L1262">
        <f>IFERROR(SMALL(L367:L1087,ROW()-ROW($L$1090)+1),"")</f>
        <v>0</v>
      </c>
      <c r="M1262">
        <f>IFERROR(SMALL(M367:M1087,ROW()-ROW($M$1090)+1),"")</f>
        <v>0</v>
      </c>
      <c r="N1262">
        <f>IFERROR(SMALL(N367:N1087,ROW()-ROW($N$1090)+1),"")</f>
        <v>0</v>
      </c>
    </row>
    <row r="1263" spans="5:14">
      <c r="E1263">
        <f>IFERROR(SMALL(E367:E1087,ROW()-ROW($E$1090)+1),"")</f>
        <v>0</v>
      </c>
      <c r="F1263">
        <f>IFERROR(SMALL(F367:F1087,ROW()-ROW($F$1090)+1),"")</f>
        <v>0</v>
      </c>
      <c r="G1263">
        <f>IFERROR(SMALL(G367:G1087,ROW()-ROW($G$1090)+1),"")</f>
        <v>0</v>
      </c>
      <c r="H1263">
        <f>IFERROR(SMALL(H367:H1087,ROW()-ROW($H$1090)+1),"")</f>
        <v>0</v>
      </c>
      <c r="K1263">
        <f>IFERROR(SMALL(K367:K1087,ROW()-ROW($K$1090)+1),"")</f>
        <v>0</v>
      </c>
      <c r="L1263">
        <f>IFERROR(SMALL(L367:L1087,ROW()-ROW($L$1090)+1),"")</f>
        <v>0</v>
      </c>
      <c r="M1263">
        <f>IFERROR(SMALL(M367:M1087,ROW()-ROW($M$1090)+1),"")</f>
        <v>0</v>
      </c>
      <c r="N1263">
        <f>IFERROR(SMALL(N367:N1087,ROW()-ROW($N$1090)+1),"")</f>
        <v>0</v>
      </c>
    </row>
    <row r="1264" spans="5:14">
      <c r="E1264">
        <f>IFERROR(SMALL(E367:E1087,ROW()-ROW($E$1090)+1),"")</f>
        <v>0</v>
      </c>
      <c r="F1264">
        <f>IFERROR(SMALL(F367:F1087,ROW()-ROW($F$1090)+1),"")</f>
        <v>0</v>
      </c>
      <c r="G1264">
        <f>IFERROR(SMALL(G367:G1087,ROW()-ROW($G$1090)+1),"")</f>
        <v>0</v>
      </c>
      <c r="H1264">
        <f>IFERROR(SMALL(H367:H1087,ROW()-ROW($H$1090)+1),"")</f>
        <v>0</v>
      </c>
      <c r="K1264">
        <f>IFERROR(SMALL(K367:K1087,ROW()-ROW($K$1090)+1),"")</f>
        <v>0</v>
      </c>
      <c r="L1264">
        <f>IFERROR(SMALL(L367:L1087,ROW()-ROW($L$1090)+1),"")</f>
        <v>0</v>
      </c>
      <c r="M1264">
        <f>IFERROR(SMALL(M367:M1087,ROW()-ROW($M$1090)+1),"")</f>
        <v>0</v>
      </c>
      <c r="N1264">
        <f>IFERROR(SMALL(N367:N1087,ROW()-ROW($N$1090)+1),"")</f>
        <v>0</v>
      </c>
    </row>
    <row r="1265" spans="5:14">
      <c r="E1265">
        <f>IFERROR(SMALL(E367:E1087,ROW()-ROW($E$1090)+1),"")</f>
        <v>0</v>
      </c>
      <c r="F1265">
        <f>IFERROR(SMALL(F367:F1087,ROW()-ROW($F$1090)+1),"")</f>
        <v>0</v>
      </c>
      <c r="G1265">
        <f>IFERROR(SMALL(G367:G1087,ROW()-ROW($G$1090)+1),"")</f>
        <v>0</v>
      </c>
      <c r="H1265">
        <f>IFERROR(SMALL(H367:H1087,ROW()-ROW($H$1090)+1),"")</f>
        <v>0</v>
      </c>
      <c r="K1265">
        <f>IFERROR(SMALL(K367:K1087,ROW()-ROW($K$1090)+1),"")</f>
        <v>0</v>
      </c>
      <c r="L1265">
        <f>IFERROR(SMALL(L367:L1087,ROW()-ROW($L$1090)+1),"")</f>
        <v>0</v>
      </c>
      <c r="M1265">
        <f>IFERROR(SMALL(M367:M1087,ROW()-ROW($M$1090)+1),"")</f>
        <v>0</v>
      </c>
      <c r="N1265">
        <f>IFERROR(SMALL(N367:N1087,ROW()-ROW($N$1090)+1),"")</f>
        <v>0</v>
      </c>
    </row>
    <row r="1266" spans="5:14">
      <c r="E1266">
        <f>IFERROR(SMALL(E367:E1087,ROW()-ROW($E$1090)+1),"")</f>
        <v>0</v>
      </c>
      <c r="F1266">
        <f>IFERROR(SMALL(F367:F1087,ROW()-ROW($F$1090)+1),"")</f>
        <v>0</v>
      </c>
      <c r="G1266">
        <f>IFERROR(SMALL(G367:G1087,ROW()-ROW($G$1090)+1),"")</f>
        <v>0</v>
      </c>
      <c r="H1266">
        <f>IFERROR(SMALL(H367:H1087,ROW()-ROW($H$1090)+1),"")</f>
        <v>0</v>
      </c>
      <c r="K1266">
        <f>IFERROR(SMALL(K367:K1087,ROW()-ROW($K$1090)+1),"")</f>
        <v>0</v>
      </c>
      <c r="L1266">
        <f>IFERROR(SMALL(L367:L1087,ROW()-ROW($L$1090)+1),"")</f>
        <v>0</v>
      </c>
      <c r="M1266">
        <f>IFERROR(SMALL(M367:M1087,ROW()-ROW($M$1090)+1),"")</f>
        <v>0</v>
      </c>
      <c r="N1266">
        <f>IFERROR(SMALL(N367:N1087,ROW()-ROW($N$1090)+1),"")</f>
        <v>0</v>
      </c>
    </row>
    <row r="1267" spans="5:14">
      <c r="E1267">
        <f>IFERROR(SMALL(E367:E1087,ROW()-ROW($E$1090)+1),"")</f>
        <v>0</v>
      </c>
      <c r="F1267">
        <f>IFERROR(SMALL(F367:F1087,ROW()-ROW($F$1090)+1),"")</f>
        <v>0</v>
      </c>
      <c r="G1267">
        <f>IFERROR(SMALL(G367:G1087,ROW()-ROW($G$1090)+1),"")</f>
        <v>0</v>
      </c>
      <c r="H1267">
        <f>IFERROR(SMALL(H367:H1087,ROW()-ROW($H$1090)+1),"")</f>
        <v>0</v>
      </c>
      <c r="K1267">
        <f>IFERROR(SMALL(K367:K1087,ROW()-ROW($K$1090)+1),"")</f>
        <v>0</v>
      </c>
      <c r="L1267">
        <f>IFERROR(SMALL(L367:L1087,ROW()-ROW($L$1090)+1),"")</f>
        <v>0</v>
      </c>
      <c r="M1267">
        <f>IFERROR(SMALL(M367:M1087,ROW()-ROW($M$1090)+1),"")</f>
        <v>0</v>
      </c>
      <c r="N1267">
        <f>IFERROR(SMALL(N367:N1087,ROW()-ROW($N$1090)+1),"")</f>
        <v>0</v>
      </c>
    </row>
    <row r="1268" spans="5:14">
      <c r="E1268">
        <f>IFERROR(SMALL(E367:E1087,ROW()-ROW($E$1090)+1),"")</f>
        <v>0</v>
      </c>
      <c r="F1268">
        <f>IFERROR(SMALL(F367:F1087,ROW()-ROW($F$1090)+1),"")</f>
        <v>0</v>
      </c>
      <c r="G1268">
        <f>IFERROR(SMALL(G367:G1087,ROW()-ROW($G$1090)+1),"")</f>
        <v>0</v>
      </c>
      <c r="H1268">
        <f>IFERROR(SMALL(H367:H1087,ROW()-ROW($H$1090)+1),"")</f>
        <v>0</v>
      </c>
      <c r="K1268">
        <f>IFERROR(SMALL(K367:K1087,ROW()-ROW($K$1090)+1),"")</f>
        <v>0</v>
      </c>
      <c r="L1268">
        <f>IFERROR(SMALL(L367:L1087,ROW()-ROW($L$1090)+1),"")</f>
        <v>0</v>
      </c>
      <c r="M1268">
        <f>IFERROR(SMALL(M367:M1087,ROW()-ROW($M$1090)+1),"")</f>
        <v>0</v>
      </c>
      <c r="N1268">
        <f>IFERROR(SMALL(N367:N1087,ROW()-ROW($N$1090)+1),"")</f>
        <v>0</v>
      </c>
    </row>
    <row r="1269" spans="5:14">
      <c r="E1269">
        <f>IFERROR(SMALL(E367:E1087,ROW()-ROW($E$1090)+1),"")</f>
        <v>0</v>
      </c>
      <c r="F1269">
        <f>IFERROR(SMALL(F367:F1087,ROW()-ROW($F$1090)+1),"")</f>
        <v>0</v>
      </c>
      <c r="G1269">
        <f>IFERROR(SMALL(G367:G1087,ROW()-ROW($G$1090)+1),"")</f>
        <v>0</v>
      </c>
      <c r="H1269">
        <f>IFERROR(SMALL(H367:H1087,ROW()-ROW($H$1090)+1),"")</f>
        <v>0</v>
      </c>
      <c r="K1269">
        <f>IFERROR(SMALL(K367:K1087,ROW()-ROW($K$1090)+1),"")</f>
        <v>0</v>
      </c>
      <c r="L1269">
        <f>IFERROR(SMALL(L367:L1087,ROW()-ROW($L$1090)+1),"")</f>
        <v>0</v>
      </c>
      <c r="M1269">
        <f>IFERROR(SMALL(M367:M1087,ROW()-ROW($M$1090)+1),"")</f>
        <v>0</v>
      </c>
      <c r="N1269">
        <f>IFERROR(SMALL(N367:N1087,ROW()-ROW($N$1090)+1),"")</f>
        <v>0</v>
      </c>
    </row>
    <row r="1270" spans="5:14">
      <c r="E1270">
        <f>IFERROR(SMALL(E367:E1087,ROW()-ROW($E$1090)+1),"")</f>
        <v>0</v>
      </c>
      <c r="F1270">
        <f>IFERROR(SMALL(F367:F1087,ROW()-ROW($F$1090)+1),"")</f>
        <v>0</v>
      </c>
      <c r="G1270">
        <f>IFERROR(SMALL(G367:G1087,ROW()-ROW($G$1090)+1),"")</f>
        <v>0</v>
      </c>
      <c r="H1270">
        <f>IFERROR(SMALL(H367:H1087,ROW()-ROW($H$1090)+1),"")</f>
        <v>0</v>
      </c>
      <c r="K1270">
        <f>IFERROR(SMALL(K367:K1087,ROW()-ROW($K$1090)+1),"")</f>
        <v>0</v>
      </c>
      <c r="L1270">
        <f>IFERROR(SMALL(L367:L1087,ROW()-ROW($L$1090)+1),"")</f>
        <v>0</v>
      </c>
      <c r="M1270">
        <f>IFERROR(SMALL(M367:M1087,ROW()-ROW($M$1090)+1),"")</f>
        <v>0</v>
      </c>
      <c r="N1270">
        <f>IFERROR(SMALL(N367:N1087,ROW()-ROW($N$1090)+1),"")</f>
        <v>0</v>
      </c>
    </row>
    <row r="1271" spans="5:14">
      <c r="E1271">
        <f>IFERROR(SMALL(E367:E1087,ROW()-ROW($E$1090)+1),"")</f>
        <v>0</v>
      </c>
      <c r="F1271">
        <f>IFERROR(SMALL(F367:F1087,ROW()-ROW($F$1090)+1),"")</f>
        <v>0</v>
      </c>
      <c r="G1271">
        <f>IFERROR(SMALL(G367:G1087,ROW()-ROW($G$1090)+1),"")</f>
        <v>0</v>
      </c>
      <c r="H1271">
        <f>IFERROR(SMALL(H367:H1087,ROW()-ROW($H$1090)+1),"")</f>
        <v>0</v>
      </c>
      <c r="K1271">
        <f>IFERROR(SMALL(K367:K1087,ROW()-ROW($K$1090)+1),"")</f>
        <v>0</v>
      </c>
      <c r="L1271">
        <f>IFERROR(SMALL(L367:L1087,ROW()-ROW($L$1090)+1),"")</f>
        <v>0</v>
      </c>
      <c r="M1271">
        <f>IFERROR(SMALL(M367:M1087,ROW()-ROW($M$1090)+1),"")</f>
        <v>0</v>
      </c>
      <c r="N1271">
        <f>IFERROR(SMALL(N367:N1087,ROW()-ROW($N$1090)+1),"")</f>
        <v>0</v>
      </c>
    </row>
    <row r="1272" spans="5:14">
      <c r="E1272">
        <f>IFERROR(SMALL(E367:E1087,ROW()-ROW($E$1090)+1),"")</f>
        <v>0</v>
      </c>
      <c r="F1272">
        <f>IFERROR(SMALL(F367:F1087,ROW()-ROW($F$1090)+1),"")</f>
        <v>0</v>
      </c>
      <c r="G1272">
        <f>IFERROR(SMALL(G367:G1087,ROW()-ROW($G$1090)+1),"")</f>
        <v>0</v>
      </c>
      <c r="H1272">
        <f>IFERROR(SMALL(H367:H1087,ROW()-ROW($H$1090)+1),"")</f>
        <v>0</v>
      </c>
      <c r="K1272">
        <f>IFERROR(SMALL(K367:K1087,ROW()-ROW($K$1090)+1),"")</f>
        <v>0</v>
      </c>
      <c r="L1272">
        <f>IFERROR(SMALL(L367:L1087,ROW()-ROW($L$1090)+1),"")</f>
        <v>0</v>
      </c>
      <c r="M1272">
        <f>IFERROR(SMALL(M367:M1087,ROW()-ROW($M$1090)+1),"")</f>
        <v>0</v>
      </c>
      <c r="N1272">
        <f>IFERROR(SMALL(N367:N1087,ROW()-ROW($N$1090)+1),"")</f>
        <v>0</v>
      </c>
    </row>
    <row r="1273" spans="5:14">
      <c r="E1273">
        <f>IFERROR(SMALL(E367:E1087,ROW()-ROW($E$1090)+1),"")</f>
        <v>0</v>
      </c>
      <c r="F1273">
        <f>IFERROR(SMALL(F367:F1087,ROW()-ROW($F$1090)+1),"")</f>
        <v>0</v>
      </c>
      <c r="G1273">
        <f>IFERROR(SMALL(G367:G1087,ROW()-ROW($G$1090)+1),"")</f>
        <v>0</v>
      </c>
      <c r="H1273">
        <f>IFERROR(SMALL(H367:H1087,ROW()-ROW($H$1090)+1),"")</f>
        <v>0</v>
      </c>
      <c r="K1273">
        <f>IFERROR(SMALL(K367:K1087,ROW()-ROW($K$1090)+1),"")</f>
        <v>0</v>
      </c>
      <c r="L1273">
        <f>IFERROR(SMALL(L367:L1087,ROW()-ROW($L$1090)+1),"")</f>
        <v>0</v>
      </c>
      <c r="M1273">
        <f>IFERROR(SMALL(M367:M1087,ROW()-ROW($M$1090)+1),"")</f>
        <v>0</v>
      </c>
      <c r="N1273">
        <f>IFERROR(SMALL(N367:N1087,ROW()-ROW($N$1090)+1),"")</f>
        <v>0</v>
      </c>
    </row>
    <row r="1274" spans="5:14">
      <c r="E1274">
        <f>IFERROR(SMALL(E367:E1087,ROW()-ROW($E$1090)+1),"")</f>
        <v>0</v>
      </c>
      <c r="F1274">
        <f>IFERROR(SMALL(F367:F1087,ROW()-ROW($F$1090)+1),"")</f>
        <v>0</v>
      </c>
      <c r="G1274">
        <f>IFERROR(SMALL(G367:G1087,ROW()-ROW($G$1090)+1),"")</f>
        <v>0</v>
      </c>
      <c r="H1274">
        <f>IFERROR(SMALL(H367:H1087,ROW()-ROW($H$1090)+1),"")</f>
        <v>0</v>
      </c>
      <c r="K1274">
        <f>IFERROR(SMALL(K367:K1087,ROW()-ROW($K$1090)+1),"")</f>
        <v>0</v>
      </c>
      <c r="L1274">
        <f>IFERROR(SMALL(L367:L1087,ROW()-ROW($L$1090)+1),"")</f>
        <v>0</v>
      </c>
      <c r="M1274">
        <f>IFERROR(SMALL(M367:M1087,ROW()-ROW($M$1090)+1),"")</f>
        <v>0</v>
      </c>
      <c r="N1274">
        <f>IFERROR(SMALL(N367:N1087,ROW()-ROW($N$1090)+1),"")</f>
        <v>0</v>
      </c>
    </row>
    <row r="1275" spans="5:14">
      <c r="E1275">
        <f>IFERROR(SMALL(E367:E1087,ROW()-ROW($E$1090)+1),"")</f>
        <v>0</v>
      </c>
      <c r="F1275">
        <f>IFERROR(SMALL(F367:F1087,ROW()-ROW($F$1090)+1),"")</f>
        <v>0</v>
      </c>
      <c r="G1275">
        <f>IFERROR(SMALL(G367:G1087,ROW()-ROW($G$1090)+1),"")</f>
        <v>0</v>
      </c>
      <c r="H1275">
        <f>IFERROR(SMALL(H367:H1087,ROW()-ROW($H$1090)+1),"")</f>
        <v>0</v>
      </c>
      <c r="K1275">
        <f>IFERROR(SMALL(K367:K1087,ROW()-ROW($K$1090)+1),"")</f>
        <v>0</v>
      </c>
      <c r="L1275">
        <f>IFERROR(SMALL(L367:L1087,ROW()-ROW($L$1090)+1),"")</f>
        <v>0</v>
      </c>
      <c r="M1275">
        <f>IFERROR(SMALL(M367:M1087,ROW()-ROW($M$1090)+1),"")</f>
        <v>0</v>
      </c>
      <c r="N1275">
        <f>IFERROR(SMALL(N367:N1087,ROW()-ROW($N$1090)+1),"")</f>
        <v>0</v>
      </c>
    </row>
    <row r="1276" spans="5:14">
      <c r="E1276">
        <f>IFERROR(SMALL(E367:E1087,ROW()-ROW($E$1090)+1),"")</f>
        <v>0</v>
      </c>
      <c r="F1276">
        <f>IFERROR(SMALL(F367:F1087,ROW()-ROW($F$1090)+1),"")</f>
        <v>0</v>
      </c>
      <c r="G1276">
        <f>IFERROR(SMALL(G367:G1087,ROW()-ROW($G$1090)+1),"")</f>
        <v>0</v>
      </c>
      <c r="H1276">
        <f>IFERROR(SMALL(H367:H1087,ROW()-ROW($H$1090)+1),"")</f>
        <v>0</v>
      </c>
      <c r="K1276">
        <f>IFERROR(SMALL(K367:K1087,ROW()-ROW($K$1090)+1),"")</f>
        <v>0</v>
      </c>
      <c r="L1276">
        <f>IFERROR(SMALL(L367:L1087,ROW()-ROW($L$1090)+1),"")</f>
        <v>0</v>
      </c>
      <c r="M1276">
        <f>IFERROR(SMALL(M367:M1087,ROW()-ROW($M$1090)+1),"")</f>
        <v>0</v>
      </c>
      <c r="N1276">
        <f>IFERROR(SMALL(N367:N1087,ROW()-ROW($N$1090)+1),"")</f>
        <v>0</v>
      </c>
    </row>
    <row r="1277" spans="5:14">
      <c r="E1277">
        <f>IFERROR(SMALL(E367:E1087,ROW()-ROW($E$1090)+1),"")</f>
        <v>0</v>
      </c>
      <c r="F1277">
        <f>IFERROR(SMALL(F367:F1087,ROW()-ROW($F$1090)+1),"")</f>
        <v>0</v>
      </c>
      <c r="G1277">
        <f>IFERROR(SMALL(G367:G1087,ROW()-ROW($G$1090)+1),"")</f>
        <v>0</v>
      </c>
      <c r="H1277">
        <f>IFERROR(SMALL(H367:H1087,ROW()-ROW($H$1090)+1),"")</f>
        <v>0</v>
      </c>
      <c r="K1277">
        <f>IFERROR(SMALL(K367:K1087,ROW()-ROW($K$1090)+1),"")</f>
        <v>0</v>
      </c>
      <c r="L1277">
        <f>IFERROR(SMALL(L367:L1087,ROW()-ROW($L$1090)+1),"")</f>
        <v>0</v>
      </c>
      <c r="M1277">
        <f>IFERROR(SMALL(M367:M1087,ROW()-ROW($M$1090)+1),"")</f>
        <v>0</v>
      </c>
      <c r="N1277">
        <f>IFERROR(SMALL(N367:N1087,ROW()-ROW($N$1090)+1),"")</f>
        <v>0</v>
      </c>
    </row>
    <row r="1278" spans="5:14">
      <c r="E1278">
        <f>IFERROR(SMALL(E367:E1087,ROW()-ROW($E$1090)+1),"")</f>
        <v>0</v>
      </c>
      <c r="F1278">
        <f>IFERROR(SMALL(F367:F1087,ROW()-ROW($F$1090)+1),"")</f>
        <v>0</v>
      </c>
      <c r="G1278">
        <f>IFERROR(SMALL(G367:G1087,ROW()-ROW($G$1090)+1),"")</f>
        <v>0</v>
      </c>
      <c r="H1278">
        <f>IFERROR(SMALL(H367:H1087,ROW()-ROW($H$1090)+1),"")</f>
        <v>0</v>
      </c>
      <c r="K1278">
        <f>IFERROR(SMALL(K367:K1087,ROW()-ROW($K$1090)+1),"")</f>
        <v>0</v>
      </c>
      <c r="L1278">
        <f>IFERROR(SMALL(L367:L1087,ROW()-ROW($L$1090)+1),"")</f>
        <v>0</v>
      </c>
      <c r="M1278">
        <f>IFERROR(SMALL(M367:M1087,ROW()-ROW($M$1090)+1),"")</f>
        <v>0</v>
      </c>
      <c r="N1278">
        <f>IFERROR(SMALL(N367:N1087,ROW()-ROW($N$1090)+1),"")</f>
        <v>0</v>
      </c>
    </row>
    <row r="1279" spans="5:14">
      <c r="E1279">
        <f>IFERROR(SMALL(E367:E1087,ROW()-ROW($E$1090)+1),"")</f>
        <v>0</v>
      </c>
      <c r="F1279">
        <f>IFERROR(SMALL(F367:F1087,ROW()-ROW($F$1090)+1),"")</f>
        <v>0</v>
      </c>
      <c r="G1279">
        <f>IFERROR(SMALL(G367:G1087,ROW()-ROW($G$1090)+1),"")</f>
        <v>0</v>
      </c>
      <c r="H1279">
        <f>IFERROR(SMALL(H367:H1087,ROW()-ROW($H$1090)+1),"")</f>
        <v>0</v>
      </c>
      <c r="K1279">
        <f>IFERROR(SMALL(K367:K1087,ROW()-ROW($K$1090)+1),"")</f>
        <v>0</v>
      </c>
      <c r="L1279">
        <f>IFERROR(SMALL(L367:L1087,ROW()-ROW($L$1090)+1),"")</f>
        <v>0</v>
      </c>
      <c r="M1279">
        <f>IFERROR(SMALL(M367:M1087,ROW()-ROW($M$1090)+1),"")</f>
        <v>0</v>
      </c>
      <c r="N1279">
        <f>IFERROR(SMALL(N367:N1087,ROW()-ROW($N$1090)+1),"")</f>
        <v>0</v>
      </c>
    </row>
    <row r="1280" spans="5:14">
      <c r="E1280">
        <f>IFERROR(SMALL(E367:E1087,ROW()-ROW($E$1090)+1),"")</f>
        <v>0</v>
      </c>
      <c r="F1280">
        <f>IFERROR(SMALL(F367:F1087,ROW()-ROW($F$1090)+1),"")</f>
        <v>0</v>
      </c>
      <c r="G1280">
        <f>IFERROR(SMALL(G367:G1087,ROW()-ROW($G$1090)+1),"")</f>
        <v>0</v>
      </c>
      <c r="H1280">
        <f>IFERROR(SMALL(H367:H1087,ROW()-ROW($H$1090)+1),"")</f>
        <v>0</v>
      </c>
      <c r="K1280">
        <f>IFERROR(SMALL(K367:K1087,ROW()-ROW($K$1090)+1),"")</f>
        <v>0</v>
      </c>
      <c r="L1280">
        <f>IFERROR(SMALL(L367:L1087,ROW()-ROW($L$1090)+1),"")</f>
        <v>0</v>
      </c>
      <c r="M1280">
        <f>IFERROR(SMALL(M367:M1087,ROW()-ROW($M$1090)+1),"")</f>
        <v>0</v>
      </c>
      <c r="N1280">
        <f>IFERROR(SMALL(N367:N1087,ROW()-ROW($N$1090)+1),"")</f>
        <v>0</v>
      </c>
    </row>
    <row r="1281" spans="5:14">
      <c r="E1281">
        <f>IFERROR(SMALL(E367:E1087,ROW()-ROW($E$1090)+1),"")</f>
        <v>0</v>
      </c>
      <c r="F1281">
        <f>IFERROR(SMALL(F367:F1087,ROW()-ROW($F$1090)+1),"")</f>
        <v>0</v>
      </c>
      <c r="G1281">
        <f>IFERROR(SMALL(G367:G1087,ROW()-ROW($G$1090)+1),"")</f>
        <v>0</v>
      </c>
      <c r="H1281">
        <f>IFERROR(SMALL(H367:H1087,ROW()-ROW($H$1090)+1),"")</f>
        <v>0</v>
      </c>
      <c r="K1281">
        <f>IFERROR(SMALL(K367:K1087,ROW()-ROW($K$1090)+1),"")</f>
        <v>0</v>
      </c>
      <c r="L1281">
        <f>IFERROR(SMALL(L367:L1087,ROW()-ROW($L$1090)+1),"")</f>
        <v>0</v>
      </c>
      <c r="M1281">
        <f>IFERROR(SMALL(M367:M1087,ROW()-ROW($M$1090)+1),"")</f>
        <v>0</v>
      </c>
      <c r="N1281">
        <f>IFERROR(SMALL(N367:N1087,ROW()-ROW($N$1090)+1),"")</f>
        <v>0</v>
      </c>
    </row>
    <row r="1282" spans="5:14">
      <c r="E1282">
        <f>IFERROR(SMALL(E367:E1087,ROW()-ROW($E$1090)+1),"")</f>
        <v>0</v>
      </c>
      <c r="F1282">
        <f>IFERROR(SMALL(F367:F1087,ROW()-ROW($F$1090)+1),"")</f>
        <v>0</v>
      </c>
      <c r="G1282">
        <f>IFERROR(SMALL(G367:G1087,ROW()-ROW($G$1090)+1),"")</f>
        <v>0</v>
      </c>
      <c r="H1282">
        <f>IFERROR(SMALL(H367:H1087,ROW()-ROW($H$1090)+1),"")</f>
        <v>0</v>
      </c>
      <c r="K1282">
        <f>IFERROR(SMALL(K367:K1087,ROW()-ROW($K$1090)+1),"")</f>
        <v>0</v>
      </c>
      <c r="L1282">
        <f>IFERROR(SMALL(L367:L1087,ROW()-ROW($L$1090)+1),"")</f>
        <v>0</v>
      </c>
      <c r="M1282">
        <f>IFERROR(SMALL(M367:M1087,ROW()-ROW($M$1090)+1),"")</f>
        <v>0</v>
      </c>
      <c r="N1282">
        <f>IFERROR(SMALL(N367:N1087,ROW()-ROW($N$1090)+1),"")</f>
        <v>0</v>
      </c>
    </row>
    <row r="1283" spans="5:14">
      <c r="E1283">
        <f>IFERROR(SMALL(E367:E1087,ROW()-ROW($E$1090)+1),"")</f>
        <v>0</v>
      </c>
      <c r="F1283">
        <f>IFERROR(SMALL(F367:F1087,ROW()-ROW($F$1090)+1),"")</f>
        <v>0</v>
      </c>
      <c r="G1283">
        <f>IFERROR(SMALL(G367:G1087,ROW()-ROW($G$1090)+1),"")</f>
        <v>0</v>
      </c>
      <c r="H1283">
        <f>IFERROR(SMALL(H367:H1087,ROW()-ROW($H$1090)+1),"")</f>
        <v>0</v>
      </c>
      <c r="K1283">
        <f>IFERROR(SMALL(K367:K1087,ROW()-ROW($K$1090)+1),"")</f>
        <v>0</v>
      </c>
      <c r="L1283">
        <f>IFERROR(SMALL(L367:L1087,ROW()-ROW($L$1090)+1),"")</f>
        <v>0</v>
      </c>
      <c r="M1283">
        <f>IFERROR(SMALL(M367:M1087,ROW()-ROW($M$1090)+1),"")</f>
        <v>0</v>
      </c>
      <c r="N1283">
        <f>IFERROR(SMALL(N367:N1087,ROW()-ROW($N$1090)+1),"")</f>
        <v>0</v>
      </c>
    </row>
    <row r="1284" spans="5:14">
      <c r="E1284">
        <f>IFERROR(SMALL(E367:E1087,ROW()-ROW($E$1090)+1),"")</f>
        <v>0</v>
      </c>
      <c r="F1284">
        <f>IFERROR(SMALL(F367:F1087,ROW()-ROW($F$1090)+1),"")</f>
        <v>0</v>
      </c>
      <c r="G1284">
        <f>IFERROR(SMALL(G367:G1087,ROW()-ROW($G$1090)+1),"")</f>
        <v>0</v>
      </c>
      <c r="H1284">
        <f>IFERROR(SMALL(H367:H1087,ROW()-ROW($H$1090)+1),"")</f>
        <v>0</v>
      </c>
      <c r="K1284">
        <f>IFERROR(SMALL(K367:K1087,ROW()-ROW($K$1090)+1),"")</f>
        <v>0</v>
      </c>
      <c r="L1284">
        <f>IFERROR(SMALL(L367:L1087,ROW()-ROW($L$1090)+1),"")</f>
        <v>0</v>
      </c>
      <c r="M1284">
        <f>IFERROR(SMALL(M367:M1087,ROW()-ROW($M$1090)+1),"")</f>
        <v>0</v>
      </c>
      <c r="N1284">
        <f>IFERROR(SMALL(N367:N1087,ROW()-ROW($N$1090)+1),"")</f>
        <v>0</v>
      </c>
    </row>
    <row r="1285" spans="5:14">
      <c r="E1285">
        <f>IFERROR(SMALL(E367:E1087,ROW()-ROW($E$1090)+1),"")</f>
        <v>0</v>
      </c>
      <c r="F1285">
        <f>IFERROR(SMALL(F367:F1087,ROW()-ROW($F$1090)+1),"")</f>
        <v>0</v>
      </c>
      <c r="G1285">
        <f>IFERROR(SMALL(G367:G1087,ROW()-ROW($G$1090)+1),"")</f>
        <v>0</v>
      </c>
      <c r="H1285">
        <f>IFERROR(SMALL(H367:H1087,ROW()-ROW($H$1090)+1),"")</f>
        <v>0</v>
      </c>
      <c r="K1285">
        <f>IFERROR(SMALL(K367:K1087,ROW()-ROW($K$1090)+1),"")</f>
        <v>0</v>
      </c>
      <c r="L1285">
        <f>IFERROR(SMALL(L367:L1087,ROW()-ROW($L$1090)+1),"")</f>
        <v>0</v>
      </c>
      <c r="M1285">
        <f>IFERROR(SMALL(M367:M1087,ROW()-ROW($M$1090)+1),"")</f>
        <v>0</v>
      </c>
      <c r="N1285">
        <f>IFERROR(SMALL(N367:N1087,ROW()-ROW($N$1090)+1),"")</f>
        <v>0</v>
      </c>
    </row>
    <row r="1286" spans="5:14">
      <c r="E1286">
        <f>IFERROR(SMALL(E367:E1087,ROW()-ROW($E$1090)+1),"")</f>
        <v>0</v>
      </c>
      <c r="F1286">
        <f>IFERROR(SMALL(F367:F1087,ROW()-ROW($F$1090)+1),"")</f>
        <v>0</v>
      </c>
      <c r="G1286">
        <f>IFERROR(SMALL(G367:G1087,ROW()-ROW($G$1090)+1),"")</f>
        <v>0</v>
      </c>
      <c r="H1286">
        <f>IFERROR(SMALL(H367:H1087,ROW()-ROW($H$1090)+1),"")</f>
        <v>0</v>
      </c>
      <c r="K1286">
        <f>IFERROR(SMALL(K367:K1087,ROW()-ROW($K$1090)+1),"")</f>
        <v>0</v>
      </c>
      <c r="L1286">
        <f>IFERROR(SMALL(L367:L1087,ROW()-ROW($L$1090)+1),"")</f>
        <v>0</v>
      </c>
      <c r="M1286">
        <f>IFERROR(SMALL(M367:M1087,ROW()-ROW($M$1090)+1),"")</f>
        <v>0</v>
      </c>
      <c r="N1286">
        <f>IFERROR(SMALL(N367:N1087,ROW()-ROW($N$1090)+1),"")</f>
        <v>0</v>
      </c>
    </row>
    <row r="1287" spans="5:14">
      <c r="E1287">
        <f>IFERROR(SMALL(E367:E1087,ROW()-ROW($E$1090)+1),"")</f>
        <v>0</v>
      </c>
      <c r="F1287">
        <f>IFERROR(SMALL(F367:F1087,ROW()-ROW($F$1090)+1),"")</f>
        <v>0</v>
      </c>
      <c r="G1287">
        <f>IFERROR(SMALL(G367:G1087,ROW()-ROW($G$1090)+1),"")</f>
        <v>0</v>
      </c>
      <c r="H1287">
        <f>IFERROR(SMALL(H367:H1087,ROW()-ROW($H$1090)+1),"")</f>
        <v>0</v>
      </c>
      <c r="K1287">
        <f>IFERROR(SMALL(K367:K1087,ROW()-ROW($K$1090)+1),"")</f>
        <v>0</v>
      </c>
      <c r="L1287">
        <f>IFERROR(SMALL(L367:L1087,ROW()-ROW($L$1090)+1),"")</f>
        <v>0</v>
      </c>
      <c r="M1287">
        <f>IFERROR(SMALL(M367:M1087,ROW()-ROW($M$1090)+1),"")</f>
        <v>0</v>
      </c>
      <c r="N1287">
        <f>IFERROR(SMALL(N367:N1087,ROW()-ROW($N$1090)+1),"")</f>
        <v>0</v>
      </c>
    </row>
    <row r="1288" spans="5:14">
      <c r="E1288">
        <f>IFERROR(SMALL(E367:E1087,ROW()-ROW($E$1090)+1),"")</f>
        <v>0</v>
      </c>
      <c r="F1288">
        <f>IFERROR(SMALL(F367:F1087,ROW()-ROW($F$1090)+1),"")</f>
        <v>0</v>
      </c>
      <c r="G1288">
        <f>IFERROR(SMALL(G367:G1087,ROW()-ROW($G$1090)+1),"")</f>
        <v>0</v>
      </c>
      <c r="H1288">
        <f>IFERROR(SMALL(H367:H1087,ROW()-ROW($H$1090)+1),"")</f>
        <v>0</v>
      </c>
      <c r="K1288">
        <f>IFERROR(SMALL(K367:K1087,ROW()-ROW($K$1090)+1),"")</f>
        <v>0</v>
      </c>
      <c r="L1288">
        <f>IFERROR(SMALL(L367:L1087,ROW()-ROW($L$1090)+1),"")</f>
        <v>0</v>
      </c>
      <c r="M1288">
        <f>IFERROR(SMALL(M367:M1087,ROW()-ROW($M$1090)+1),"")</f>
        <v>0</v>
      </c>
      <c r="N1288">
        <f>IFERROR(SMALL(N367:N1087,ROW()-ROW($N$1090)+1),"")</f>
        <v>0</v>
      </c>
    </row>
    <row r="1289" spans="5:14">
      <c r="E1289">
        <f>IFERROR(SMALL(E367:E1087,ROW()-ROW($E$1090)+1),"")</f>
        <v>0</v>
      </c>
      <c r="F1289">
        <f>IFERROR(SMALL(F367:F1087,ROW()-ROW($F$1090)+1),"")</f>
        <v>0</v>
      </c>
      <c r="G1289">
        <f>IFERROR(SMALL(G367:G1087,ROW()-ROW($G$1090)+1),"")</f>
        <v>0</v>
      </c>
      <c r="H1289">
        <f>IFERROR(SMALL(H367:H1087,ROW()-ROW($H$1090)+1),"")</f>
        <v>0</v>
      </c>
      <c r="K1289">
        <f>IFERROR(SMALL(K367:K1087,ROW()-ROW($K$1090)+1),"")</f>
        <v>0</v>
      </c>
      <c r="L1289">
        <f>IFERROR(SMALL(L367:L1087,ROW()-ROW($L$1090)+1),"")</f>
        <v>0</v>
      </c>
      <c r="M1289">
        <f>IFERROR(SMALL(M367:M1087,ROW()-ROW($M$1090)+1),"")</f>
        <v>0</v>
      </c>
      <c r="N1289">
        <f>IFERROR(SMALL(N367:N1087,ROW()-ROW($N$1090)+1),"")</f>
        <v>0</v>
      </c>
    </row>
    <row r="1290" spans="5:14">
      <c r="E1290">
        <f>IFERROR(SMALL(E367:E1087,ROW()-ROW($E$1090)+1),"")</f>
        <v>0</v>
      </c>
      <c r="F1290">
        <f>IFERROR(SMALL(F367:F1087,ROW()-ROW($F$1090)+1),"")</f>
        <v>0</v>
      </c>
      <c r="G1290">
        <f>IFERROR(SMALL(G367:G1087,ROW()-ROW($G$1090)+1),"")</f>
        <v>0</v>
      </c>
      <c r="H1290">
        <f>IFERROR(SMALL(H367:H1087,ROW()-ROW($H$1090)+1),"")</f>
        <v>0</v>
      </c>
      <c r="K1290">
        <f>IFERROR(SMALL(K367:K1087,ROW()-ROW($K$1090)+1),"")</f>
        <v>0</v>
      </c>
      <c r="L1290">
        <f>IFERROR(SMALL(L367:L1087,ROW()-ROW($L$1090)+1),"")</f>
        <v>0</v>
      </c>
      <c r="M1290">
        <f>IFERROR(SMALL(M367:M1087,ROW()-ROW($M$1090)+1),"")</f>
        <v>0</v>
      </c>
      <c r="N1290">
        <f>IFERROR(SMALL(N367:N1087,ROW()-ROW($N$1090)+1),"")</f>
        <v>0</v>
      </c>
    </row>
    <row r="1291" spans="5:14">
      <c r="E1291">
        <f>IFERROR(SMALL(E367:E1087,ROW()-ROW($E$1090)+1),"")</f>
        <v>0</v>
      </c>
      <c r="F1291">
        <f>IFERROR(SMALL(F367:F1087,ROW()-ROW($F$1090)+1),"")</f>
        <v>0</v>
      </c>
      <c r="G1291">
        <f>IFERROR(SMALL(G367:G1087,ROW()-ROW($G$1090)+1),"")</f>
        <v>0</v>
      </c>
      <c r="H1291">
        <f>IFERROR(SMALL(H367:H1087,ROW()-ROW($H$1090)+1),"")</f>
        <v>0</v>
      </c>
      <c r="K1291">
        <f>IFERROR(SMALL(K367:K1087,ROW()-ROW($K$1090)+1),"")</f>
        <v>0</v>
      </c>
      <c r="L1291">
        <f>IFERROR(SMALL(L367:L1087,ROW()-ROW($L$1090)+1),"")</f>
        <v>0</v>
      </c>
      <c r="M1291">
        <f>IFERROR(SMALL(M367:M1087,ROW()-ROW($M$1090)+1),"")</f>
        <v>0</v>
      </c>
      <c r="N1291">
        <f>IFERROR(SMALL(N367:N1087,ROW()-ROW($N$1090)+1),"")</f>
        <v>0</v>
      </c>
    </row>
    <row r="1292" spans="5:14">
      <c r="E1292">
        <f>IFERROR(SMALL(E367:E1087,ROW()-ROW($E$1090)+1),"")</f>
        <v>0</v>
      </c>
      <c r="F1292">
        <f>IFERROR(SMALL(F367:F1087,ROW()-ROW($F$1090)+1),"")</f>
        <v>0</v>
      </c>
      <c r="G1292">
        <f>IFERROR(SMALL(G367:G1087,ROW()-ROW($G$1090)+1),"")</f>
        <v>0</v>
      </c>
      <c r="H1292">
        <f>IFERROR(SMALL(H367:H1087,ROW()-ROW($H$1090)+1),"")</f>
        <v>0</v>
      </c>
      <c r="K1292">
        <f>IFERROR(SMALL(K367:K1087,ROW()-ROW($K$1090)+1),"")</f>
        <v>0</v>
      </c>
      <c r="L1292">
        <f>IFERROR(SMALL(L367:L1087,ROW()-ROW($L$1090)+1),"")</f>
        <v>0</v>
      </c>
      <c r="M1292">
        <f>IFERROR(SMALL(M367:M1087,ROW()-ROW($M$1090)+1),"")</f>
        <v>0</v>
      </c>
      <c r="N1292">
        <f>IFERROR(SMALL(N367:N1087,ROW()-ROW($N$1090)+1),"")</f>
        <v>0</v>
      </c>
    </row>
    <row r="1293" spans="5:14">
      <c r="E1293">
        <f>IFERROR(SMALL(E367:E1087,ROW()-ROW($E$1090)+1),"")</f>
        <v>0</v>
      </c>
      <c r="F1293">
        <f>IFERROR(SMALL(F367:F1087,ROW()-ROW($F$1090)+1),"")</f>
        <v>0</v>
      </c>
      <c r="G1293">
        <f>IFERROR(SMALL(G367:G1087,ROW()-ROW($G$1090)+1),"")</f>
        <v>0</v>
      </c>
      <c r="H1293">
        <f>IFERROR(SMALL(H367:H1087,ROW()-ROW($H$1090)+1),"")</f>
        <v>0</v>
      </c>
      <c r="K1293">
        <f>IFERROR(SMALL(K367:K1087,ROW()-ROW($K$1090)+1),"")</f>
        <v>0</v>
      </c>
      <c r="L1293">
        <f>IFERROR(SMALL(L367:L1087,ROW()-ROW($L$1090)+1),"")</f>
        <v>0</v>
      </c>
      <c r="M1293">
        <f>IFERROR(SMALL(M367:M1087,ROW()-ROW($M$1090)+1),"")</f>
        <v>0</v>
      </c>
      <c r="N1293">
        <f>IFERROR(SMALL(N367:N1087,ROW()-ROW($N$1090)+1),"")</f>
        <v>0</v>
      </c>
    </row>
    <row r="1294" spans="5:14">
      <c r="E1294">
        <f>IFERROR(SMALL(E367:E1087,ROW()-ROW($E$1090)+1),"")</f>
        <v>0</v>
      </c>
      <c r="F1294">
        <f>IFERROR(SMALL(F367:F1087,ROW()-ROW($F$1090)+1),"")</f>
        <v>0</v>
      </c>
      <c r="G1294">
        <f>IFERROR(SMALL(G367:G1087,ROW()-ROW($G$1090)+1),"")</f>
        <v>0</v>
      </c>
      <c r="H1294">
        <f>IFERROR(SMALL(H367:H1087,ROW()-ROW($H$1090)+1),"")</f>
        <v>0</v>
      </c>
      <c r="K1294">
        <f>IFERROR(SMALL(K367:K1087,ROW()-ROW($K$1090)+1),"")</f>
        <v>0</v>
      </c>
      <c r="L1294">
        <f>IFERROR(SMALL(L367:L1087,ROW()-ROW($L$1090)+1),"")</f>
        <v>0</v>
      </c>
      <c r="M1294">
        <f>IFERROR(SMALL(M367:M1087,ROW()-ROW($M$1090)+1),"")</f>
        <v>0</v>
      </c>
      <c r="N1294">
        <f>IFERROR(SMALL(N367:N1087,ROW()-ROW($N$1090)+1),"")</f>
        <v>0</v>
      </c>
    </row>
    <row r="1295" spans="5:14">
      <c r="E1295">
        <f>IFERROR(SMALL(E367:E1087,ROW()-ROW($E$1090)+1),"")</f>
        <v>0</v>
      </c>
      <c r="F1295">
        <f>IFERROR(SMALL(F367:F1087,ROW()-ROW($F$1090)+1),"")</f>
        <v>0</v>
      </c>
      <c r="G1295">
        <f>IFERROR(SMALL(G367:G1087,ROW()-ROW($G$1090)+1),"")</f>
        <v>0</v>
      </c>
      <c r="H1295">
        <f>IFERROR(SMALL(H367:H1087,ROW()-ROW($H$1090)+1),"")</f>
        <v>0</v>
      </c>
      <c r="K1295">
        <f>IFERROR(SMALL(K367:K1087,ROW()-ROW($K$1090)+1),"")</f>
        <v>0</v>
      </c>
      <c r="L1295">
        <f>IFERROR(SMALL(L367:L1087,ROW()-ROW($L$1090)+1),"")</f>
        <v>0</v>
      </c>
      <c r="M1295">
        <f>IFERROR(SMALL(M367:M1087,ROW()-ROW($M$1090)+1),"")</f>
        <v>0</v>
      </c>
      <c r="N1295">
        <f>IFERROR(SMALL(N367:N1087,ROW()-ROW($N$1090)+1),"")</f>
        <v>0</v>
      </c>
    </row>
    <row r="1296" spans="5:14">
      <c r="E1296">
        <f>IFERROR(SMALL(E367:E1087,ROW()-ROW($E$1090)+1),"")</f>
        <v>0</v>
      </c>
      <c r="F1296">
        <f>IFERROR(SMALL(F367:F1087,ROW()-ROW($F$1090)+1),"")</f>
        <v>0</v>
      </c>
      <c r="G1296">
        <f>IFERROR(SMALL(G367:G1087,ROW()-ROW($G$1090)+1),"")</f>
        <v>0</v>
      </c>
      <c r="H1296">
        <f>IFERROR(SMALL(H367:H1087,ROW()-ROW($H$1090)+1),"")</f>
        <v>0</v>
      </c>
      <c r="K1296">
        <f>IFERROR(SMALL(K367:K1087,ROW()-ROW($K$1090)+1),"")</f>
        <v>0</v>
      </c>
      <c r="L1296">
        <f>IFERROR(SMALL(L367:L1087,ROW()-ROW($L$1090)+1),"")</f>
        <v>0</v>
      </c>
      <c r="M1296">
        <f>IFERROR(SMALL(M367:M1087,ROW()-ROW($M$1090)+1),"")</f>
        <v>0</v>
      </c>
      <c r="N1296">
        <f>IFERROR(SMALL(N367:N1087,ROW()-ROW($N$1090)+1),"")</f>
        <v>0</v>
      </c>
    </row>
    <row r="1297" spans="5:14">
      <c r="E1297">
        <f>IFERROR(SMALL(E367:E1087,ROW()-ROW($E$1090)+1),"")</f>
        <v>0</v>
      </c>
      <c r="F1297">
        <f>IFERROR(SMALL(F367:F1087,ROW()-ROW($F$1090)+1),"")</f>
        <v>0</v>
      </c>
      <c r="G1297">
        <f>IFERROR(SMALL(G367:G1087,ROW()-ROW($G$1090)+1),"")</f>
        <v>0</v>
      </c>
      <c r="H1297">
        <f>IFERROR(SMALL(H367:H1087,ROW()-ROW($H$1090)+1),"")</f>
        <v>0</v>
      </c>
      <c r="K1297">
        <f>IFERROR(SMALL(K367:K1087,ROW()-ROW($K$1090)+1),"")</f>
        <v>0</v>
      </c>
      <c r="L1297">
        <f>IFERROR(SMALL(L367:L1087,ROW()-ROW($L$1090)+1),"")</f>
        <v>0</v>
      </c>
      <c r="M1297">
        <f>IFERROR(SMALL(M367:M1087,ROW()-ROW($M$1090)+1),"")</f>
        <v>0</v>
      </c>
      <c r="N1297">
        <f>IFERROR(SMALL(N367:N1087,ROW()-ROW($N$1090)+1),"")</f>
        <v>0</v>
      </c>
    </row>
    <row r="1298" spans="5:14">
      <c r="E1298">
        <f>IFERROR(SMALL(E367:E1087,ROW()-ROW($E$1090)+1),"")</f>
        <v>0</v>
      </c>
      <c r="F1298">
        <f>IFERROR(SMALL(F367:F1087,ROW()-ROW($F$1090)+1),"")</f>
        <v>0</v>
      </c>
      <c r="G1298">
        <f>IFERROR(SMALL(G367:G1087,ROW()-ROW($G$1090)+1),"")</f>
        <v>0</v>
      </c>
      <c r="H1298">
        <f>IFERROR(SMALL(H367:H1087,ROW()-ROW($H$1090)+1),"")</f>
        <v>0</v>
      </c>
      <c r="K1298">
        <f>IFERROR(SMALL(K367:K1087,ROW()-ROW($K$1090)+1),"")</f>
        <v>0</v>
      </c>
      <c r="L1298">
        <f>IFERROR(SMALL(L367:L1087,ROW()-ROW($L$1090)+1),"")</f>
        <v>0</v>
      </c>
      <c r="M1298">
        <f>IFERROR(SMALL(M367:M1087,ROW()-ROW($M$1090)+1),"")</f>
        <v>0</v>
      </c>
      <c r="N1298">
        <f>IFERROR(SMALL(N367:N1087,ROW()-ROW($N$1090)+1),"")</f>
        <v>0</v>
      </c>
    </row>
    <row r="1299" spans="5:14">
      <c r="E1299">
        <f>IFERROR(SMALL(E367:E1087,ROW()-ROW($E$1090)+1),"")</f>
        <v>0</v>
      </c>
      <c r="F1299">
        <f>IFERROR(SMALL(F367:F1087,ROW()-ROW($F$1090)+1),"")</f>
        <v>0</v>
      </c>
      <c r="G1299">
        <f>IFERROR(SMALL(G367:G1087,ROW()-ROW($G$1090)+1),"")</f>
        <v>0</v>
      </c>
      <c r="H1299">
        <f>IFERROR(SMALL(H367:H1087,ROW()-ROW($H$1090)+1),"")</f>
        <v>0</v>
      </c>
      <c r="K1299">
        <f>IFERROR(SMALL(K367:K1087,ROW()-ROW($K$1090)+1),"")</f>
        <v>0</v>
      </c>
      <c r="L1299">
        <f>IFERROR(SMALL(L367:L1087,ROW()-ROW($L$1090)+1),"")</f>
        <v>0</v>
      </c>
      <c r="M1299">
        <f>IFERROR(SMALL(M367:M1087,ROW()-ROW($M$1090)+1),"")</f>
        <v>0</v>
      </c>
      <c r="N1299">
        <f>IFERROR(SMALL(N367:N1087,ROW()-ROW($N$1090)+1),"")</f>
        <v>0</v>
      </c>
    </row>
    <row r="1300" spans="5:14">
      <c r="E1300">
        <f>IFERROR(SMALL(E367:E1087,ROW()-ROW($E$1090)+1),"")</f>
        <v>0</v>
      </c>
      <c r="F1300">
        <f>IFERROR(SMALL(F367:F1087,ROW()-ROW($F$1090)+1),"")</f>
        <v>0</v>
      </c>
      <c r="G1300">
        <f>IFERROR(SMALL(G367:G1087,ROW()-ROW($G$1090)+1),"")</f>
        <v>0</v>
      </c>
      <c r="H1300">
        <f>IFERROR(SMALL(H367:H1087,ROW()-ROW($H$1090)+1),"")</f>
        <v>0</v>
      </c>
      <c r="K1300">
        <f>IFERROR(SMALL(K367:K1087,ROW()-ROW($K$1090)+1),"")</f>
        <v>0</v>
      </c>
      <c r="L1300">
        <f>IFERROR(SMALL(L367:L1087,ROW()-ROW($L$1090)+1),"")</f>
        <v>0</v>
      </c>
      <c r="M1300">
        <f>IFERROR(SMALL(M367:M1087,ROW()-ROW($M$1090)+1),"")</f>
        <v>0</v>
      </c>
      <c r="N1300">
        <f>IFERROR(SMALL(N367:N1087,ROW()-ROW($N$1090)+1),"")</f>
        <v>0</v>
      </c>
    </row>
    <row r="1301" spans="5:14">
      <c r="E1301">
        <f>IFERROR(SMALL(E367:E1087,ROW()-ROW($E$1090)+1),"")</f>
        <v>0</v>
      </c>
      <c r="F1301">
        <f>IFERROR(SMALL(F367:F1087,ROW()-ROW($F$1090)+1),"")</f>
        <v>0</v>
      </c>
      <c r="G1301">
        <f>IFERROR(SMALL(G367:G1087,ROW()-ROW($G$1090)+1),"")</f>
        <v>0</v>
      </c>
      <c r="H1301">
        <f>IFERROR(SMALL(H367:H1087,ROW()-ROW($H$1090)+1),"")</f>
        <v>0</v>
      </c>
      <c r="K1301">
        <f>IFERROR(SMALL(K367:K1087,ROW()-ROW($K$1090)+1),"")</f>
        <v>0</v>
      </c>
      <c r="L1301">
        <f>IFERROR(SMALL(L367:L1087,ROW()-ROW($L$1090)+1),"")</f>
        <v>0</v>
      </c>
      <c r="M1301">
        <f>IFERROR(SMALL(M367:M1087,ROW()-ROW($M$1090)+1),"")</f>
        <v>0</v>
      </c>
      <c r="N1301">
        <f>IFERROR(SMALL(N367:N1087,ROW()-ROW($N$1090)+1),"")</f>
        <v>0</v>
      </c>
    </row>
    <row r="1302" spans="5:14">
      <c r="E1302">
        <f>IFERROR(SMALL(E367:E1087,ROW()-ROW($E$1090)+1),"")</f>
        <v>0</v>
      </c>
      <c r="F1302">
        <f>IFERROR(SMALL(F367:F1087,ROW()-ROW($F$1090)+1),"")</f>
        <v>0</v>
      </c>
      <c r="G1302">
        <f>IFERROR(SMALL(G367:G1087,ROW()-ROW($G$1090)+1),"")</f>
        <v>0</v>
      </c>
      <c r="H1302">
        <f>IFERROR(SMALL(H367:H1087,ROW()-ROW($H$1090)+1),"")</f>
        <v>0</v>
      </c>
      <c r="K1302">
        <f>IFERROR(SMALL(K367:K1087,ROW()-ROW($K$1090)+1),"")</f>
        <v>0</v>
      </c>
      <c r="L1302">
        <f>IFERROR(SMALL(L367:L1087,ROW()-ROW($L$1090)+1),"")</f>
        <v>0</v>
      </c>
      <c r="M1302">
        <f>IFERROR(SMALL(M367:M1087,ROW()-ROW($M$1090)+1),"")</f>
        <v>0</v>
      </c>
      <c r="N1302">
        <f>IFERROR(SMALL(N367:N1087,ROW()-ROW($N$1090)+1),"")</f>
        <v>0</v>
      </c>
    </row>
    <row r="1303" spans="5:14">
      <c r="E1303">
        <f>IFERROR(SMALL(E367:E1087,ROW()-ROW($E$1090)+1),"")</f>
        <v>0</v>
      </c>
      <c r="F1303">
        <f>IFERROR(SMALL(F367:F1087,ROW()-ROW($F$1090)+1),"")</f>
        <v>0</v>
      </c>
      <c r="G1303">
        <f>IFERROR(SMALL(G367:G1087,ROW()-ROW($G$1090)+1),"")</f>
        <v>0</v>
      </c>
      <c r="H1303">
        <f>IFERROR(SMALL(H367:H1087,ROW()-ROW($H$1090)+1),"")</f>
        <v>0</v>
      </c>
      <c r="K1303">
        <f>IFERROR(SMALL(K367:K1087,ROW()-ROW($K$1090)+1),"")</f>
        <v>0</v>
      </c>
      <c r="L1303">
        <f>IFERROR(SMALL(L367:L1087,ROW()-ROW($L$1090)+1),"")</f>
        <v>0</v>
      </c>
      <c r="M1303">
        <f>IFERROR(SMALL(M367:M1087,ROW()-ROW($M$1090)+1),"")</f>
        <v>0</v>
      </c>
      <c r="N1303">
        <f>IFERROR(SMALL(N367:N1087,ROW()-ROW($N$1090)+1),"")</f>
        <v>0</v>
      </c>
    </row>
    <row r="1304" spans="5:14">
      <c r="E1304">
        <f>IFERROR(SMALL(E367:E1087,ROW()-ROW($E$1090)+1),"")</f>
        <v>0</v>
      </c>
      <c r="F1304">
        <f>IFERROR(SMALL(F367:F1087,ROW()-ROW($F$1090)+1),"")</f>
        <v>0</v>
      </c>
      <c r="G1304">
        <f>IFERROR(SMALL(G367:G1087,ROW()-ROW($G$1090)+1),"")</f>
        <v>0</v>
      </c>
      <c r="H1304">
        <f>IFERROR(SMALL(H367:H1087,ROW()-ROW($H$1090)+1),"")</f>
        <v>0</v>
      </c>
      <c r="K1304">
        <f>IFERROR(SMALL(K367:K1087,ROW()-ROW($K$1090)+1),"")</f>
        <v>0</v>
      </c>
      <c r="L1304">
        <f>IFERROR(SMALL(L367:L1087,ROW()-ROW($L$1090)+1),"")</f>
        <v>0</v>
      </c>
      <c r="M1304">
        <f>IFERROR(SMALL(M367:M1087,ROW()-ROW($M$1090)+1),"")</f>
        <v>0</v>
      </c>
      <c r="N1304">
        <f>IFERROR(SMALL(N367:N1087,ROW()-ROW($N$1090)+1),"")</f>
        <v>0</v>
      </c>
    </row>
    <row r="1305" spans="5:14">
      <c r="E1305">
        <f>IFERROR(SMALL(E367:E1087,ROW()-ROW($E$1090)+1),"")</f>
        <v>0</v>
      </c>
      <c r="F1305">
        <f>IFERROR(SMALL(F367:F1087,ROW()-ROW($F$1090)+1),"")</f>
        <v>0</v>
      </c>
      <c r="G1305">
        <f>IFERROR(SMALL(G367:G1087,ROW()-ROW($G$1090)+1),"")</f>
        <v>0</v>
      </c>
      <c r="H1305">
        <f>IFERROR(SMALL(H367:H1087,ROW()-ROW($H$1090)+1),"")</f>
        <v>0</v>
      </c>
      <c r="K1305">
        <f>IFERROR(SMALL(K367:K1087,ROW()-ROW($K$1090)+1),"")</f>
        <v>0</v>
      </c>
      <c r="L1305">
        <f>IFERROR(SMALL(L367:L1087,ROW()-ROW($L$1090)+1),"")</f>
        <v>0</v>
      </c>
      <c r="M1305">
        <f>IFERROR(SMALL(M367:M1087,ROW()-ROW($M$1090)+1),"")</f>
        <v>0</v>
      </c>
      <c r="N1305">
        <f>IFERROR(SMALL(N367:N1087,ROW()-ROW($N$1090)+1),"")</f>
        <v>0</v>
      </c>
    </row>
    <row r="1306" spans="5:14">
      <c r="E1306">
        <f>IFERROR(SMALL(E367:E1087,ROW()-ROW($E$1090)+1),"")</f>
        <v>0</v>
      </c>
      <c r="F1306">
        <f>IFERROR(SMALL(F367:F1087,ROW()-ROW($F$1090)+1),"")</f>
        <v>0</v>
      </c>
      <c r="G1306">
        <f>IFERROR(SMALL(G367:G1087,ROW()-ROW($G$1090)+1),"")</f>
        <v>0</v>
      </c>
      <c r="H1306">
        <f>IFERROR(SMALL(H367:H1087,ROW()-ROW($H$1090)+1),"")</f>
        <v>0</v>
      </c>
      <c r="K1306">
        <f>IFERROR(SMALL(K367:K1087,ROW()-ROW($K$1090)+1),"")</f>
        <v>0</v>
      </c>
      <c r="L1306">
        <f>IFERROR(SMALL(L367:L1087,ROW()-ROW($L$1090)+1),"")</f>
        <v>0</v>
      </c>
      <c r="M1306">
        <f>IFERROR(SMALL(M367:M1087,ROW()-ROW($M$1090)+1),"")</f>
        <v>0</v>
      </c>
      <c r="N1306">
        <f>IFERROR(SMALL(N367:N1087,ROW()-ROW($N$1090)+1),"")</f>
        <v>0</v>
      </c>
    </row>
    <row r="1307" spans="5:14">
      <c r="E1307">
        <f>IFERROR(SMALL(E367:E1087,ROW()-ROW($E$1090)+1),"")</f>
        <v>0</v>
      </c>
      <c r="F1307">
        <f>IFERROR(SMALL(F367:F1087,ROW()-ROW($F$1090)+1),"")</f>
        <v>0</v>
      </c>
      <c r="G1307">
        <f>IFERROR(SMALL(G367:G1087,ROW()-ROW($G$1090)+1),"")</f>
        <v>0</v>
      </c>
      <c r="H1307">
        <f>IFERROR(SMALL(H367:H1087,ROW()-ROW($H$1090)+1),"")</f>
        <v>0</v>
      </c>
      <c r="K1307">
        <f>IFERROR(SMALL(K367:K1087,ROW()-ROW($K$1090)+1),"")</f>
        <v>0</v>
      </c>
      <c r="L1307">
        <f>IFERROR(SMALL(L367:L1087,ROW()-ROW($L$1090)+1),"")</f>
        <v>0</v>
      </c>
      <c r="M1307">
        <f>IFERROR(SMALL(M367:M1087,ROW()-ROW($M$1090)+1),"")</f>
        <v>0</v>
      </c>
      <c r="N1307">
        <f>IFERROR(SMALL(N367:N1087,ROW()-ROW($N$1090)+1),"")</f>
        <v>0</v>
      </c>
    </row>
    <row r="1308" spans="5:14">
      <c r="E1308">
        <f>IFERROR(SMALL(E367:E1087,ROW()-ROW($E$1090)+1),"")</f>
        <v>0</v>
      </c>
      <c r="F1308">
        <f>IFERROR(SMALL(F367:F1087,ROW()-ROW($F$1090)+1),"")</f>
        <v>0</v>
      </c>
      <c r="G1308">
        <f>IFERROR(SMALL(G367:G1087,ROW()-ROW($G$1090)+1),"")</f>
        <v>0</v>
      </c>
      <c r="H1308">
        <f>IFERROR(SMALL(H367:H1087,ROW()-ROW($H$1090)+1),"")</f>
        <v>0</v>
      </c>
      <c r="K1308">
        <f>IFERROR(SMALL(K367:K1087,ROW()-ROW($K$1090)+1),"")</f>
        <v>0</v>
      </c>
      <c r="L1308">
        <f>IFERROR(SMALL(L367:L1087,ROW()-ROW($L$1090)+1),"")</f>
        <v>0</v>
      </c>
      <c r="M1308">
        <f>IFERROR(SMALL(M367:M1087,ROW()-ROW($M$1090)+1),"")</f>
        <v>0</v>
      </c>
      <c r="N1308">
        <f>IFERROR(SMALL(N367:N1087,ROW()-ROW($N$1090)+1),"")</f>
        <v>0</v>
      </c>
    </row>
    <row r="1309" spans="5:14">
      <c r="E1309">
        <f>IFERROR(SMALL(E367:E1087,ROW()-ROW($E$1090)+1),"")</f>
        <v>0</v>
      </c>
      <c r="F1309">
        <f>IFERROR(SMALL(F367:F1087,ROW()-ROW($F$1090)+1),"")</f>
        <v>0</v>
      </c>
      <c r="G1309">
        <f>IFERROR(SMALL(G367:G1087,ROW()-ROW($G$1090)+1),"")</f>
        <v>0</v>
      </c>
      <c r="H1309">
        <f>IFERROR(SMALL(H367:H1087,ROW()-ROW($H$1090)+1),"")</f>
        <v>0</v>
      </c>
      <c r="K1309">
        <f>IFERROR(SMALL(K367:K1087,ROW()-ROW($K$1090)+1),"")</f>
        <v>0</v>
      </c>
      <c r="L1309">
        <f>IFERROR(SMALL(L367:L1087,ROW()-ROW($L$1090)+1),"")</f>
        <v>0</v>
      </c>
      <c r="M1309">
        <f>IFERROR(SMALL(M367:M1087,ROW()-ROW($M$1090)+1),"")</f>
        <v>0</v>
      </c>
      <c r="N1309">
        <f>IFERROR(SMALL(N367:N1087,ROW()-ROW($N$1090)+1),"")</f>
        <v>0</v>
      </c>
    </row>
    <row r="1310" spans="5:14">
      <c r="E1310">
        <f>IFERROR(SMALL(E367:E1087,ROW()-ROW($E$1090)+1),"")</f>
        <v>0</v>
      </c>
      <c r="F1310">
        <f>IFERROR(SMALL(F367:F1087,ROW()-ROW($F$1090)+1),"")</f>
        <v>0</v>
      </c>
      <c r="G1310">
        <f>IFERROR(SMALL(G367:G1087,ROW()-ROW($G$1090)+1),"")</f>
        <v>0</v>
      </c>
      <c r="H1310">
        <f>IFERROR(SMALL(H367:H1087,ROW()-ROW($H$1090)+1),"")</f>
        <v>0</v>
      </c>
      <c r="K1310">
        <f>IFERROR(SMALL(K367:K1087,ROW()-ROW($K$1090)+1),"")</f>
        <v>0</v>
      </c>
      <c r="L1310">
        <f>IFERROR(SMALL(L367:L1087,ROW()-ROW($L$1090)+1),"")</f>
        <v>0</v>
      </c>
      <c r="M1310">
        <f>IFERROR(SMALL(M367:M1087,ROW()-ROW($M$1090)+1),"")</f>
        <v>0</v>
      </c>
      <c r="N1310">
        <f>IFERROR(SMALL(N367:N1087,ROW()-ROW($N$1090)+1),"")</f>
        <v>0</v>
      </c>
    </row>
    <row r="1311" spans="5:14">
      <c r="E1311">
        <f>IFERROR(SMALL(E367:E1087,ROW()-ROW($E$1090)+1),"")</f>
        <v>0</v>
      </c>
      <c r="F1311">
        <f>IFERROR(SMALL(F367:F1087,ROW()-ROW($F$1090)+1),"")</f>
        <v>0</v>
      </c>
      <c r="G1311">
        <f>IFERROR(SMALL(G367:G1087,ROW()-ROW($G$1090)+1),"")</f>
        <v>0</v>
      </c>
      <c r="H1311">
        <f>IFERROR(SMALL(H367:H1087,ROW()-ROW($H$1090)+1),"")</f>
        <v>0</v>
      </c>
      <c r="K1311">
        <f>IFERROR(SMALL(K367:K1087,ROW()-ROW($K$1090)+1),"")</f>
        <v>0</v>
      </c>
      <c r="L1311">
        <f>IFERROR(SMALL(L367:L1087,ROW()-ROW($L$1090)+1),"")</f>
        <v>0</v>
      </c>
      <c r="M1311">
        <f>IFERROR(SMALL(M367:M1087,ROW()-ROW($M$1090)+1),"")</f>
        <v>0</v>
      </c>
      <c r="N1311">
        <f>IFERROR(SMALL(N367:N1087,ROW()-ROW($N$1090)+1),"")</f>
        <v>0</v>
      </c>
    </row>
    <row r="1312" spans="5:14">
      <c r="E1312">
        <f>IFERROR(SMALL(E367:E1087,ROW()-ROW($E$1090)+1),"")</f>
        <v>0</v>
      </c>
      <c r="F1312">
        <f>IFERROR(SMALL(F367:F1087,ROW()-ROW($F$1090)+1),"")</f>
        <v>0</v>
      </c>
      <c r="G1312">
        <f>IFERROR(SMALL(G367:G1087,ROW()-ROW($G$1090)+1),"")</f>
        <v>0</v>
      </c>
      <c r="H1312">
        <f>IFERROR(SMALL(H367:H1087,ROW()-ROW($H$1090)+1),"")</f>
        <v>0</v>
      </c>
      <c r="K1312">
        <f>IFERROR(SMALL(K367:K1087,ROW()-ROW($K$1090)+1),"")</f>
        <v>0</v>
      </c>
      <c r="L1312">
        <f>IFERROR(SMALL(L367:L1087,ROW()-ROW($L$1090)+1),"")</f>
        <v>0</v>
      </c>
      <c r="M1312">
        <f>IFERROR(SMALL(M367:M1087,ROW()-ROW($M$1090)+1),"")</f>
        <v>0</v>
      </c>
      <c r="N1312">
        <f>IFERROR(SMALL(N367:N1087,ROW()-ROW($N$1090)+1),"")</f>
        <v>0</v>
      </c>
    </row>
    <row r="1313" spans="5:14">
      <c r="E1313">
        <f>IFERROR(SMALL(E367:E1087,ROW()-ROW($E$1090)+1),"")</f>
        <v>0</v>
      </c>
      <c r="F1313">
        <f>IFERROR(SMALL(F367:F1087,ROW()-ROW($F$1090)+1),"")</f>
        <v>0</v>
      </c>
      <c r="G1313">
        <f>IFERROR(SMALL(G367:G1087,ROW()-ROW($G$1090)+1),"")</f>
        <v>0</v>
      </c>
      <c r="H1313">
        <f>IFERROR(SMALL(H367:H1087,ROW()-ROW($H$1090)+1),"")</f>
        <v>0</v>
      </c>
      <c r="K1313">
        <f>IFERROR(SMALL(K367:K1087,ROW()-ROW($K$1090)+1),"")</f>
        <v>0</v>
      </c>
      <c r="L1313">
        <f>IFERROR(SMALL(L367:L1087,ROW()-ROW($L$1090)+1),"")</f>
        <v>0</v>
      </c>
      <c r="M1313">
        <f>IFERROR(SMALL(M367:M1087,ROW()-ROW($M$1090)+1),"")</f>
        <v>0</v>
      </c>
      <c r="N1313">
        <f>IFERROR(SMALL(N367:N1087,ROW()-ROW($N$1090)+1),"")</f>
        <v>0</v>
      </c>
    </row>
    <row r="1314" spans="5:14">
      <c r="E1314">
        <f>IFERROR(SMALL(E367:E1087,ROW()-ROW($E$1090)+1),"")</f>
        <v>0</v>
      </c>
      <c r="F1314">
        <f>IFERROR(SMALL(F367:F1087,ROW()-ROW($F$1090)+1),"")</f>
        <v>0</v>
      </c>
      <c r="G1314">
        <f>IFERROR(SMALL(G367:G1087,ROW()-ROW($G$1090)+1),"")</f>
        <v>0</v>
      </c>
      <c r="H1314">
        <f>IFERROR(SMALL(H367:H1087,ROW()-ROW($H$1090)+1),"")</f>
        <v>0</v>
      </c>
      <c r="K1314">
        <f>IFERROR(SMALL(K367:K1087,ROW()-ROW($K$1090)+1),"")</f>
        <v>0</v>
      </c>
      <c r="L1314">
        <f>IFERROR(SMALL(L367:L1087,ROW()-ROW($L$1090)+1),"")</f>
        <v>0</v>
      </c>
      <c r="M1314">
        <f>IFERROR(SMALL(M367:M1087,ROW()-ROW($M$1090)+1),"")</f>
        <v>0</v>
      </c>
      <c r="N1314">
        <f>IFERROR(SMALL(N367:N1087,ROW()-ROW($N$1090)+1),"")</f>
        <v>0</v>
      </c>
    </row>
    <row r="1315" spans="5:14">
      <c r="E1315">
        <f>IFERROR(SMALL(E367:E1087,ROW()-ROW($E$1090)+1),"")</f>
        <v>0</v>
      </c>
      <c r="F1315">
        <f>IFERROR(SMALL(F367:F1087,ROW()-ROW($F$1090)+1),"")</f>
        <v>0</v>
      </c>
      <c r="G1315">
        <f>IFERROR(SMALL(G367:G1087,ROW()-ROW($G$1090)+1),"")</f>
        <v>0</v>
      </c>
      <c r="H1315">
        <f>IFERROR(SMALL(H367:H1087,ROW()-ROW($H$1090)+1),"")</f>
        <v>0</v>
      </c>
      <c r="K1315">
        <f>IFERROR(SMALL(K367:K1087,ROW()-ROW($K$1090)+1),"")</f>
        <v>0</v>
      </c>
      <c r="L1315">
        <f>IFERROR(SMALL(L367:L1087,ROW()-ROW($L$1090)+1),"")</f>
        <v>0</v>
      </c>
      <c r="M1315">
        <f>IFERROR(SMALL(M367:M1087,ROW()-ROW($M$1090)+1),"")</f>
        <v>0</v>
      </c>
      <c r="N1315">
        <f>IFERROR(SMALL(N367:N1087,ROW()-ROW($N$1090)+1),"")</f>
        <v>0</v>
      </c>
    </row>
    <row r="1316" spans="5:14">
      <c r="E1316">
        <f>IFERROR(SMALL(E367:E1087,ROW()-ROW($E$1090)+1),"")</f>
        <v>0</v>
      </c>
      <c r="F1316">
        <f>IFERROR(SMALL(F367:F1087,ROW()-ROW($F$1090)+1),"")</f>
        <v>0</v>
      </c>
      <c r="G1316">
        <f>IFERROR(SMALL(G367:G1087,ROW()-ROW($G$1090)+1),"")</f>
        <v>0</v>
      </c>
      <c r="H1316">
        <f>IFERROR(SMALL(H367:H1087,ROW()-ROW($H$1090)+1),"")</f>
        <v>0</v>
      </c>
      <c r="K1316">
        <f>IFERROR(SMALL(K367:K1087,ROW()-ROW($K$1090)+1),"")</f>
        <v>0</v>
      </c>
      <c r="L1316">
        <f>IFERROR(SMALL(L367:L1087,ROW()-ROW($L$1090)+1),"")</f>
        <v>0</v>
      </c>
      <c r="M1316">
        <f>IFERROR(SMALL(M367:M1087,ROW()-ROW($M$1090)+1),"")</f>
        <v>0</v>
      </c>
      <c r="N1316">
        <f>IFERROR(SMALL(N367:N1087,ROW()-ROW($N$1090)+1),"")</f>
        <v>0</v>
      </c>
    </row>
    <row r="1317" spans="5:14">
      <c r="E1317">
        <f>IFERROR(SMALL(E367:E1087,ROW()-ROW($E$1090)+1),"")</f>
        <v>0</v>
      </c>
      <c r="F1317">
        <f>IFERROR(SMALL(F367:F1087,ROW()-ROW($F$1090)+1),"")</f>
        <v>0</v>
      </c>
      <c r="G1317">
        <f>IFERROR(SMALL(G367:G1087,ROW()-ROW($G$1090)+1),"")</f>
        <v>0</v>
      </c>
      <c r="H1317">
        <f>IFERROR(SMALL(H367:H1087,ROW()-ROW($H$1090)+1),"")</f>
        <v>0</v>
      </c>
      <c r="K1317">
        <f>IFERROR(SMALL(K367:K1087,ROW()-ROW($K$1090)+1),"")</f>
        <v>0</v>
      </c>
      <c r="L1317">
        <f>IFERROR(SMALL(L367:L1087,ROW()-ROW($L$1090)+1),"")</f>
        <v>0</v>
      </c>
      <c r="M1317">
        <f>IFERROR(SMALL(M367:M1087,ROW()-ROW($M$1090)+1),"")</f>
        <v>0</v>
      </c>
      <c r="N1317">
        <f>IFERROR(SMALL(N367:N1087,ROW()-ROW($N$1090)+1),"")</f>
        <v>0</v>
      </c>
    </row>
    <row r="1318" spans="5:14">
      <c r="E1318">
        <f>IFERROR(SMALL(E367:E1087,ROW()-ROW($E$1090)+1),"")</f>
        <v>0</v>
      </c>
      <c r="F1318">
        <f>IFERROR(SMALL(F367:F1087,ROW()-ROW($F$1090)+1),"")</f>
        <v>0</v>
      </c>
      <c r="G1318">
        <f>IFERROR(SMALL(G367:G1087,ROW()-ROW($G$1090)+1),"")</f>
        <v>0</v>
      </c>
      <c r="H1318">
        <f>IFERROR(SMALL(H367:H1087,ROW()-ROW($H$1090)+1),"")</f>
        <v>0</v>
      </c>
      <c r="K1318">
        <f>IFERROR(SMALL(K367:K1087,ROW()-ROW($K$1090)+1),"")</f>
        <v>0</v>
      </c>
      <c r="L1318">
        <f>IFERROR(SMALL(L367:L1087,ROW()-ROW($L$1090)+1),"")</f>
        <v>0</v>
      </c>
      <c r="M1318">
        <f>IFERROR(SMALL(M367:M1087,ROW()-ROW($M$1090)+1),"")</f>
        <v>0</v>
      </c>
      <c r="N1318">
        <f>IFERROR(SMALL(N367:N1087,ROW()-ROW($N$1090)+1),"")</f>
        <v>0</v>
      </c>
    </row>
    <row r="1319" spans="5:14">
      <c r="E1319">
        <f>IFERROR(SMALL(E367:E1087,ROW()-ROW($E$1090)+1),"")</f>
        <v>0</v>
      </c>
      <c r="F1319">
        <f>IFERROR(SMALL(F367:F1087,ROW()-ROW($F$1090)+1),"")</f>
        <v>0</v>
      </c>
      <c r="G1319">
        <f>IFERROR(SMALL(G367:G1087,ROW()-ROW($G$1090)+1),"")</f>
        <v>0</v>
      </c>
      <c r="H1319">
        <f>IFERROR(SMALL(H367:H1087,ROW()-ROW($H$1090)+1),"")</f>
        <v>0</v>
      </c>
      <c r="K1319">
        <f>IFERROR(SMALL(K367:K1087,ROW()-ROW($K$1090)+1),"")</f>
        <v>0</v>
      </c>
      <c r="L1319">
        <f>IFERROR(SMALL(L367:L1087,ROW()-ROW($L$1090)+1),"")</f>
        <v>0</v>
      </c>
      <c r="M1319">
        <f>IFERROR(SMALL(M367:M1087,ROW()-ROW($M$1090)+1),"")</f>
        <v>0</v>
      </c>
      <c r="N1319">
        <f>IFERROR(SMALL(N367:N1087,ROW()-ROW($N$1090)+1),"")</f>
        <v>0</v>
      </c>
    </row>
    <row r="1320" spans="5:14">
      <c r="E1320">
        <f>IFERROR(SMALL(E367:E1087,ROW()-ROW($E$1090)+1),"")</f>
        <v>0</v>
      </c>
      <c r="F1320">
        <f>IFERROR(SMALL(F367:F1087,ROW()-ROW($F$1090)+1),"")</f>
        <v>0</v>
      </c>
      <c r="G1320">
        <f>IFERROR(SMALL(G367:G1087,ROW()-ROW($G$1090)+1),"")</f>
        <v>0</v>
      </c>
      <c r="H1320">
        <f>IFERROR(SMALL(H367:H1087,ROW()-ROW($H$1090)+1),"")</f>
        <v>0</v>
      </c>
      <c r="K1320">
        <f>IFERROR(SMALL(K367:K1087,ROW()-ROW($K$1090)+1),"")</f>
        <v>0</v>
      </c>
      <c r="L1320">
        <f>IFERROR(SMALL(L367:L1087,ROW()-ROW($L$1090)+1),"")</f>
        <v>0</v>
      </c>
      <c r="M1320">
        <f>IFERROR(SMALL(M367:M1087,ROW()-ROW($M$1090)+1),"")</f>
        <v>0</v>
      </c>
      <c r="N1320">
        <f>IFERROR(SMALL(N367:N1087,ROW()-ROW($N$1090)+1),"")</f>
        <v>0</v>
      </c>
    </row>
    <row r="1321" spans="5:14">
      <c r="E1321">
        <f>IFERROR(SMALL(E367:E1087,ROW()-ROW($E$1090)+1),"")</f>
        <v>0</v>
      </c>
      <c r="F1321">
        <f>IFERROR(SMALL(F367:F1087,ROW()-ROW($F$1090)+1),"")</f>
        <v>0</v>
      </c>
      <c r="G1321">
        <f>IFERROR(SMALL(G367:G1087,ROW()-ROW($G$1090)+1),"")</f>
        <v>0</v>
      </c>
      <c r="H1321">
        <f>IFERROR(SMALL(H367:H1087,ROW()-ROW($H$1090)+1),"")</f>
        <v>0</v>
      </c>
      <c r="K1321">
        <f>IFERROR(SMALL(K367:K1087,ROW()-ROW($K$1090)+1),"")</f>
        <v>0</v>
      </c>
      <c r="L1321">
        <f>IFERROR(SMALL(L367:L1087,ROW()-ROW($L$1090)+1),"")</f>
        <v>0</v>
      </c>
      <c r="M1321">
        <f>IFERROR(SMALL(M367:M1087,ROW()-ROW($M$1090)+1),"")</f>
        <v>0</v>
      </c>
      <c r="N1321">
        <f>IFERROR(SMALL(N367:N1087,ROW()-ROW($N$1090)+1),"")</f>
        <v>0</v>
      </c>
    </row>
    <row r="1322" spans="5:14">
      <c r="E1322">
        <f>IFERROR(SMALL(E367:E1087,ROW()-ROW($E$1090)+1),"")</f>
        <v>0</v>
      </c>
      <c r="F1322">
        <f>IFERROR(SMALL(F367:F1087,ROW()-ROW($F$1090)+1),"")</f>
        <v>0</v>
      </c>
      <c r="G1322">
        <f>IFERROR(SMALL(G367:G1087,ROW()-ROW($G$1090)+1),"")</f>
        <v>0</v>
      </c>
      <c r="H1322">
        <f>IFERROR(SMALL(H367:H1087,ROW()-ROW($H$1090)+1),"")</f>
        <v>0</v>
      </c>
      <c r="K1322">
        <f>IFERROR(SMALL(K367:K1087,ROW()-ROW($K$1090)+1),"")</f>
        <v>0</v>
      </c>
      <c r="L1322">
        <f>IFERROR(SMALL(L367:L1087,ROW()-ROW($L$1090)+1),"")</f>
        <v>0</v>
      </c>
      <c r="M1322">
        <f>IFERROR(SMALL(M367:M1087,ROW()-ROW($M$1090)+1),"")</f>
        <v>0</v>
      </c>
      <c r="N1322">
        <f>IFERROR(SMALL(N367:N1087,ROW()-ROW($N$1090)+1),"")</f>
        <v>0</v>
      </c>
    </row>
    <row r="1323" spans="5:14">
      <c r="E1323">
        <f>IFERROR(SMALL(E367:E1087,ROW()-ROW($E$1090)+1),"")</f>
        <v>0</v>
      </c>
      <c r="F1323">
        <f>IFERROR(SMALL(F367:F1087,ROW()-ROW($F$1090)+1),"")</f>
        <v>0</v>
      </c>
      <c r="G1323">
        <f>IFERROR(SMALL(G367:G1087,ROW()-ROW($G$1090)+1),"")</f>
        <v>0</v>
      </c>
      <c r="H1323">
        <f>IFERROR(SMALL(H367:H1087,ROW()-ROW($H$1090)+1),"")</f>
        <v>0</v>
      </c>
      <c r="K1323">
        <f>IFERROR(SMALL(K367:K1087,ROW()-ROW($K$1090)+1),"")</f>
        <v>0</v>
      </c>
      <c r="L1323">
        <f>IFERROR(SMALL(L367:L1087,ROW()-ROW($L$1090)+1),"")</f>
        <v>0</v>
      </c>
      <c r="M1323">
        <f>IFERROR(SMALL(M367:M1087,ROW()-ROW($M$1090)+1),"")</f>
        <v>0</v>
      </c>
      <c r="N1323">
        <f>IFERROR(SMALL(N367:N1087,ROW()-ROW($N$1090)+1),"")</f>
        <v>0</v>
      </c>
    </row>
    <row r="1324" spans="5:14">
      <c r="E1324">
        <f>IFERROR(SMALL(E367:E1087,ROW()-ROW($E$1090)+1),"")</f>
        <v>0</v>
      </c>
      <c r="F1324">
        <f>IFERROR(SMALL(F367:F1087,ROW()-ROW($F$1090)+1),"")</f>
        <v>0</v>
      </c>
      <c r="G1324">
        <f>IFERROR(SMALL(G367:G1087,ROW()-ROW($G$1090)+1),"")</f>
        <v>0</v>
      </c>
      <c r="H1324">
        <f>IFERROR(SMALL(H367:H1087,ROW()-ROW($H$1090)+1),"")</f>
        <v>0</v>
      </c>
      <c r="K1324">
        <f>IFERROR(SMALL(K367:K1087,ROW()-ROW($K$1090)+1),"")</f>
        <v>0</v>
      </c>
      <c r="L1324">
        <f>IFERROR(SMALL(L367:L1087,ROW()-ROW($L$1090)+1),"")</f>
        <v>0</v>
      </c>
      <c r="M1324">
        <f>IFERROR(SMALL(M367:M1087,ROW()-ROW($M$1090)+1),"")</f>
        <v>0</v>
      </c>
      <c r="N1324">
        <f>IFERROR(SMALL(N367:N1087,ROW()-ROW($N$1090)+1),"")</f>
        <v>0</v>
      </c>
    </row>
    <row r="1325" spans="5:14">
      <c r="E1325">
        <f>IFERROR(SMALL(E367:E1087,ROW()-ROW($E$1090)+1),"")</f>
        <v>0</v>
      </c>
      <c r="F1325">
        <f>IFERROR(SMALL(F367:F1087,ROW()-ROW($F$1090)+1),"")</f>
        <v>0</v>
      </c>
      <c r="G1325">
        <f>IFERROR(SMALL(G367:G1087,ROW()-ROW($G$1090)+1),"")</f>
        <v>0</v>
      </c>
      <c r="H1325">
        <f>IFERROR(SMALL(H367:H1087,ROW()-ROW($H$1090)+1),"")</f>
        <v>0</v>
      </c>
      <c r="K1325">
        <f>IFERROR(SMALL(K367:K1087,ROW()-ROW($K$1090)+1),"")</f>
        <v>0</v>
      </c>
      <c r="L1325">
        <f>IFERROR(SMALL(L367:L1087,ROW()-ROW($L$1090)+1),"")</f>
        <v>0</v>
      </c>
      <c r="M1325">
        <f>IFERROR(SMALL(M367:M1087,ROW()-ROW($M$1090)+1),"")</f>
        <v>0</v>
      </c>
      <c r="N1325">
        <f>IFERROR(SMALL(N367:N1087,ROW()-ROW($N$1090)+1),"")</f>
        <v>0</v>
      </c>
    </row>
    <row r="1326" spans="5:14">
      <c r="E1326">
        <f>IFERROR(SMALL(E367:E1087,ROW()-ROW($E$1090)+1),"")</f>
        <v>0</v>
      </c>
      <c r="F1326">
        <f>IFERROR(SMALL(F367:F1087,ROW()-ROW($F$1090)+1),"")</f>
        <v>0</v>
      </c>
      <c r="G1326">
        <f>IFERROR(SMALL(G367:G1087,ROW()-ROW($G$1090)+1),"")</f>
        <v>0</v>
      </c>
      <c r="H1326">
        <f>IFERROR(SMALL(H367:H1087,ROW()-ROW($H$1090)+1),"")</f>
        <v>0</v>
      </c>
      <c r="K1326">
        <f>IFERROR(SMALL(K367:K1087,ROW()-ROW($K$1090)+1),"")</f>
        <v>0</v>
      </c>
      <c r="L1326">
        <f>IFERROR(SMALL(L367:L1087,ROW()-ROW($L$1090)+1),"")</f>
        <v>0</v>
      </c>
      <c r="M1326">
        <f>IFERROR(SMALL(M367:M1087,ROW()-ROW($M$1090)+1),"")</f>
        <v>0</v>
      </c>
      <c r="N1326">
        <f>IFERROR(SMALL(N367:N1087,ROW()-ROW($N$1090)+1),"")</f>
        <v>0</v>
      </c>
    </row>
    <row r="1327" spans="5:14">
      <c r="E1327">
        <f>IFERROR(SMALL(E367:E1087,ROW()-ROW($E$1090)+1),"")</f>
        <v>0</v>
      </c>
      <c r="F1327">
        <f>IFERROR(SMALL(F367:F1087,ROW()-ROW($F$1090)+1),"")</f>
        <v>0</v>
      </c>
      <c r="G1327">
        <f>IFERROR(SMALL(G367:G1087,ROW()-ROW($G$1090)+1),"")</f>
        <v>0</v>
      </c>
      <c r="H1327">
        <f>IFERROR(SMALL(H367:H1087,ROW()-ROW($H$1090)+1),"")</f>
        <v>0</v>
      </c>
      <c r="K1327">
        <f>IFERROR(SMALL(K367:K1087,ROW()-ROW($K$1090)+1),"")</f>
        <v>0</v>
      </c>
      <c r="L1327">
        <f>IFERROR(SMALL(L367:L1087,ROW()-ROW($L$1090)+1),"")</f>
        <v>0</v>
      </c>
      <c r="M1327">
        <f>IFERROR(SMALL(M367:M1087,ROW()-ROW($M$1090)+1),"")</f>
        <v>0</v>
      </c>
      <c r="N1327">
        <f>IFERROR(SMALL(N367:N1087,ROW()-ROW($N$1090)+1),"")</f>
        <v>0</v>
      </c>
    </row>
    <row r="1328" spans="5:14">
      <c r="E1328">
        <f>IFERROR(SMALL(E367:E1087,ROW()-ROW($E$1090)+1),"")</f>
        <v>0</v>
      </c>
      <c r="F1328">
        <f>IFERROR(SMALL(F367:F1087,ROW()-ROW($F$1090)+1),"")</f>
        <v>0</v>
      </c>
      <c r="G1328">
        <f>IFERROR(SMALL(G367:G1087,ROW()-ROW($G$1090)+1),"")</f>
        <v>0</v>
      </c>
      <c r="H1328">
        <f>IFERROR(SMALL(H367:H1087,ROW()-ROW($H$1090)+1),"")</f>
        <v>0</v>
      </c>
      <c r="K1328">
        <f>IFERROR(SMALL(K367:K1087,ROW()-ROW($K$1090)+1),"")</f>
        <v>0</v>
      </c>
      <c r="L1328">
        <f>IFERROR(SMALL(L367:L1087,ROW()-ROW($L$1090)+1),"")</f>
        <v>0</v>
      </c>
      <c r="M1328">
        <f>IFERROR(SMALL(M367:M1087,ROW()-ROW($M$1090)+1),"")</f>
        <v>0</v>
      </c>
      <c r="N1328">
        <f>IFERROR(SMALL(N367:N1087,ROW()-ROW($N$1090)+1),"")</f>
        <v>0</v>
      </c>
    </row>
    <row r="1329" spans="5:14">
      <c r="E1329">
        <f>IFERROR(SMALL(E367:E1087,ROW()-ROW($E$1090)+1),"")</f>
        <v>0</v>
      </c>
      <c r="F1329">
        <f>IFERROR(SMALL(F367:F1087,ROW()-ROW($F$1090)+1),"")</f>
        <v>0</v>
      </c>
      <c r="G1329">
        <f>IFERROR(SMALL(G367:G1087,ROW()-ROW($G$1090)+1),"")</f>
        <v>0</v>
      </c>
      <c r="H1329">
        <f>IFERROR(SMALL(H367:H1087,ROW()-ROW($H$1090)+1),"")</f>
        <v>0</v>
      </c>
      <c r="K1329">
        <f>IFERROR(SMALL(K367:K1087,ROW()-ROW($K$1090)+1),"")</f>
        <v>0</v>
      </c>
      <c r="L1329">
        <f>IFERROR(SMALL(L367:L1087,ROW()-ROW($L$1090)+1),"")</f>
        <v>0</v>
      </c>
      <c r="M1329">
        <f>IFERROR(SMALL(M367:M1087,ROW()-ROW($M$1090)+1),"")</f>
        <v>0</v>
      </c>
      <c r="N1329">
        <f>IFERROR(SMALL(N367:N1087,ROW()-ROW($N$1090)+1),"")</f>
        <v>0</v>
      </c>
    </row>
    <row r="1330" spans="5:14">
      <c r="E1330">
        <f>IFERROR(SMALL(E367:E1087,ROW()-ROW($E$1090)+1),"")</f>
        <v>0</v>
      </c>
      <c r="F1330">
        <f>IFERROR(SMALL(F367:F1087,ROW()-ROW($F$1090)+1),"")</f>
        <v>0</v>
      </c>
      <c r="G1330">
        <f>IFERROR(SMALL(G367:G1087,ROW()-ROW($G$1090)+1),"")</f>
        <v>0</v>
      </c>
      <c r="H1330">
        <f>IFERROR(SMALL(H367:H1087,ROW()-ROW($H$1090)+1),"")</f>
        <v>0</v>
      </c>
      <c r="K1330">
        <f>IFERROR(SMALL(K367:K1087,ROW()-ROW($K$1090)+1),"")</f>
        <v>0</v>
      </c>
      <c r="L1330">
        <f>IFERROR(SMALL(L367:L1087,ROW()-ROW($L$1090)+1),"")</f>
        <v>0</v>
      </c>
      <c r="M1330">
        <f>IFERROR(SMALL(M367:M1087,ROW()-ROW($M$1090)+1),"")</f>
        <v>0</v>
      </c>
      <c r="N1330">
        <f>IFERROR(SMALL(N367:N1087,ROW()-ROW($N$1090)+1),"")</f>
        <v>0</v>
      </c>
    </row>
    <row r="1331" spans="5:14">
      <c r="E1331">
        <f>IFERROR(SMALL(E367:E1087,ROW()-ROW($E$1090)+1),"")</f>
        <v>0</v>
      </c>
      <c r="F1331">
        <f>IFERROR(SMALL(F367:F1087,ROW()-ROW($F$1090)+1),"")</f>
        <v>0</v>
      </c>
      <c r="G1331">
        <f>IFERROR(SMALL(G367:G1087,ROW()-ROW($G$1090)+1),"")</f>
        <v>0</v>
      </c>
      <c r="H1331">
        <f>IFERROR(SMALL(H367:H1087,ROW()-ROW($H$1090)+1),"")</f>
        <v>0</v>
      </c>
      <c r="K1331">
        <f>IFERROR(SMALL(K367:K1087,ROW()-ROW($K$1090)+1),"")</f>
        <v>0</v>
      </c>
      <c r="L1331">
        <f>IFERROR(SMALL(L367:L1087,ROW()-ROW($L$1090)+1),"")</f>
        <v>0</v>
      </c>
      <c r="M1331">
        <f>IFERROR(SMALL(M367:M1087,ROW()-ROW($M$1090)+1),"")</f>
        <v>0</v>
      </c>
      <c r="N1331">
        <f>IFERROR(SMALL(N367:N1087,ROW()-ROW($N$1090)+1),"")</f>
        <v>0</v>
      </c>
    </row>
    <row r="1332" spans="5:14">
      <c r="E1332">
        <f>IFERROR(SMALL(E367:E1087,ROW()-ROW($E$1090)+1),"")</f>
        <v>0</v>
      </c>
      <c r="F1332">
        <f>IFERROR(SMALL(F367:F1087,ROW()-ROW($F$1090)+1),"")</f>
        <v>0</v>
      </c>
      <c r="G1332">
        <f>IFERROR(SMALL(G367:G1087,ROW()-ROW($G$1090)+1),"")</f>
        <v>0</v>
      </c>
      <c r="H1332">
        <f>IFERROR(SMALL(H367:H1087,ROW()-ROW($H$1090)+1),"")</f>
        <v>0</v>
      </c>
      <c r="K1332">
        <f>IFERROR(SMALL(K367:K1087,ROW()-ROW($K$1090)+1),"")</f>
        <v>0</v>
      </c>
      <c r="L1332">
        <f>IFERROR(SMALL(L367:L1087,ROW()-ROW($L$1090)+1),"")</f>
        <v>0</v>
      </c>
      <c r="M1332">
        <f>IFERROR(SMALL(M367:M1087,ROW()-ROW($M$1090)+1),"")</f>
        <v>0</v>
      </c>
      <c r="N1332">
        <f>IFERROR(SMALL(N367:N1087,ROW()-ROW($N$1090)+1),"")</f>
        <v>0</v>
      </c>
    </row>
    <row r="1333" spans="5:14">
      <c r="E1333">
        <f>IFERROR(SMALL(E367:E1087,ROW()-ROW($E$1090)+1),"")</f>
        <v>0</v>
      </c>
      <c r="F1333">
        <f>IFERROR(SMALL(F367:F1087,ROW()-ROW($F$1090)+1),"")</f>
        <v>0</v>
      </c>
      <c r="G1333">
        <f>IFERROR(SMALL(G367:G1087,ROW()-ROW($G$1090)+1),"")</f>
        <v>0</v>
      </c>
      <c r="H1333">
        <f>IFERROR(SMALL(H367:H1087,ROW()-ROW($H$1090)+1),"")</f>
        <v>0</v>
      </c>
      <c r="K1333">
        <f>IFERROR(SMALL(K367:K1087,ROW()-ROW($K$1090)+1),"")</f>
        <v>0</v>
      </c>
      <c r="L1333">
        <f>IFERROR(SMALL(L367:L1087,ROW()-ROW($L$1090)+1),"")</f>
        <v>0</v>
      </c>
      <c r="M1333">
        <f>IFERROR(SMALL(M367:M1087,ROW()-ROW($M$1090)+1),"")</f>
        <v>0</v>
      </c>
      <c r="N1333">
        <f>IFERROR(SMALL(N367:N1087,ROW()-ROW($N$1090)+1),"")</f>
        <v>0</v>
      </c>
    </row>
    <row r="1334" spans="5:14">
      <c r="E1334">
        <f>IFERROR(SMALL(E367:E1087,ROW()-ROW($E$1090)+1),"")</f>
        <v>0</v>
      </c>
      <c r="F1334">
        <f>IFERROR(SMALL(F367:F1087,ROW()-ROW($F$1090)+1),"")</f>
        <v>0</v>
      </c>
      <c r="G1334">
        <f>IFERROR(SMALL(G367:G1087,ROW()-ROW($G$1090)+1),"")</f>
        <v>0</v>
      </c>
      <c r="H1334">
        <f>IFERROR(SMALL(H367:H1087,ROW()-ROW($H$1090)+1),"")</f>
        <v>0</v>
      </c>
      <c r="K1334">
        <f>IFERROR(SMALL(K367:K1087,ROW()-ROW($K$1090)+1),"")</f>
        <v>0</v>
      </c>
      <c r="L1334">
        <f>IFERROR(SMALL(L367:L1087,ROW()-ROW($L$1090)+1),"")</f>
        <v>0</v>
      </c>
      <c r="M1334">
        <f>IFERROR(SMALL(M367:M1087,ROW()-ROW($M$1090)+1),"")</f>
        <v>0</v>
      </c>
      <c r="N1334">
        <f>IFERROR(SMALL(N367:N1087,ROW()-ROW($N$1090)+1),"")</f>
        <v>0</v>
      </c>
    </row>
    <row r="1335" spans="5:14">
      <c r="E1335">
        <f>IFERROR(SMALL(E367:E1087,ROW()-ROW($E$1090)+1),"")</f>
        <v>0</v>
      </c>
      <c r="F1335">
        <f>IFERROR(SMALL(F367:F1087,ROW()-ROW($F$1090)+1),"")</f>
        <v>0</v>
      </c>
      <c r="G1335">
        <f>IFERROR(SMALL(G367:G1087,ROW()-ROW($G$1090)+1),"")</f>
        <v>0</v>
      </c>
      <c r="H1335">
        <f>IFERROR(SMALL(H367:H1087,ROW()-ROW($H$1090)+1),"")</f>
        <v>0</v>
      </c>
      <c r="K1335">
        <f>IFERROR(SMALL(K367:K1087,ROW()-ROW($K$1090)+1),"")</f>
        <v>0</v>
      </c>
      <c r="L1335">
        <f>IFERROR(SMALL(L367:L1087,ROW()-ROW($L$1090)+1),"")</f>
        <v>0</v>
      </c>
      <c r="M1335">
        <f>IFERROR(SMALL(M367:M1087,ROW()-ROW($M$1090)+1),"")</f>
        <v>0</v>
      </c>
      <c r="N1335">
        <f>IFERROR(SMALL(N367:N1087,ROW()-ROW($N$1090)+1),"")</f>
        <v>0</v>
      </c>
    </row>
    <row r="1336" spans="5:14">
      <c r="E1336">
        <f>IFERROR(SMALL(E367:E1087,ROW()-ROW($E$1090)+1),"")</f>
        <v>0</v>
      </c>
      <c r="F1336">
        <f>IFERROR(SMALL(F367:F1087,ROW()-ROW($F$1090)+1),"")</f>
        <v>0</v>
      </c>
      <c r="G1336">
        <f>IFERROR(SMALL(G367:G1087,ROW()-ROW($G$1090)+1),"")</f>
        <v>0</v>
      </c>
      <c r="H1336">
        <f>IFERROR(SMALL(H367:H1087,ROW()-ROW($H$1090)+1),"")</f>
        <v>0</v>
      </c>
      <c r="K1336">
        <f>IFERROR(SMALL(K367:K1087,ROW()-ROW($K$1090)+1),"")</f>
        <v>0</v>
      </c>
      <c r="L1336">
        <f>IFERROR(SMALL(L367:L1087,ROW()-ROW($L$1090)+1),"")</f>
        <v>0</v>
      </c>
      <c r="M1336">
        <f>IFERROR(SMALL(M367:M1087,ROW()-ROW($M$1090)+1),"")</f>
        <v>0</v>
      </c>
      <c r="N1336">
        <f>IFERROR(SMALL(N367:N1087,ROW()-ROW($N$1090)+1),"")</f>
        <v>0</v>
      </c>
    </row>
    <row r="1337" spans="5:14">
      <c r="E1337">
        <f>IFERROR(SMALL(E367:E1087,ROW()-ROW($E$1090)+1),"")</f>
        <v>0</v>
      </c>
      <c r="F1337">
        <f>IFERROR(SMALL(F367:F1087,ROW()-ROW($F$1090)+1),"")</f>
        <v>0</v>
      </c>
      <c r="G1337">
        <f>IFERROR(SMALL(G367:G1087,ROW()-ROW($G$1090)+1),"")</f>
        <v>0</v>
      </c>
      <c r="H1337">
        <f>IFERROR(SMALL(H367:H1087,ROW()-ROW($H$1090)+1),"")</f>
        <v>0</v>
      </c>
      <c r="K1337">
        <f>IFERROR(SMALL(K367:K1087,ROW()-ROW($K$1090)+1),"")</f>
        <v>0</v>
      </c>
      <c r="L1337">
        <f>IFERROR(SMALL(L367:L1087,ROW()-ROW($L$1090)+1),"")</f>
        <v>0</v>
      </c>
      <c r="M1337">
        <f>IFERROR(SMALL(M367:M1087,ROW()-ROW($M$1090)+1),"")</f>
        <v>0</v>
      </c>
      <c r="N1337">
        <f>IFERROR(SMALL(N367:N1087,ROW()-ROW($N$1090)+1),"")</f>
        <v>0</v>
      </c>
    </row>
    <row r="1338" spans="5:14">
      <c r="E1338">
        <f>IFERROR(SMALL(E367:E1087,ROW()-ROW($E$1090)+1),"")</f>
        <v>0</v>
      </c>
      <c r="F1338">
        <f>IFERROR(SMALL(F367:F1087,ROW()-ROW($F$1090)+1),"")</f>
        <v>0</v>
      </c>
      <c r="G1338">
        <f>IFERROR(SMALL(G367:G1087,ROW()-ROW($G$1090)+1),"")</f>
        <v>0</v>
      </c>
      <c r="H1338">
        <f>IFERROR(SMALL(H367:H1087,ROW()-ROW($H$1090)+1),"")</f>
        <v>0</v>
      </c>
      <c r="K1338">
        <f>IFERROR(SMALL(K367:K1087,ROW()-ROW($K$1090)+1),"")</f>
        <v>0</v>
      </c>
      <c r="L1338">
        <f>IFERROR(SMALL(L367:L1087,ROW()-ROW($L$1090)+1),"")</f>
        <v>0</v>
      </c>
      <c r="M1338">
        <f>IFERROR(SMALL(M367:M1087,ROW()-ROW($M$1090)+1),"")</f>
        <v>0</v>
      </c>
      <c r="N1338">
        <f>IFERROR(SMALL(N367:N1087,ROW()-ROW($N$1090)+1),"")</f>
        <v>0</v>
      </c>
    </row>
    <row r="1339" spans="5:14">
      <c r="E1339">
        <f>IFERROR(SMALL(E367:E1087,ROW()-ROW($E$1090)+1),"")</f>
        <v>0</v>
      </c>
      <c r="F1339">
        <f>IFERROR(SMALL(F367:F1087,ROW()-ROW($F$1090)+1),"")</f>
        <v>0</v>
      </c>
      <c r="G1339">
        <f>IFERROR(SMALL(G367:G1087,ROW()-ROW($G$1090)+1),"")</f>
        <v>0</v>
      </c>
      <c r="H1339">
        <f>IFERROR(SMALL(H367:H1087,ROW()-ROW($H$1090)+1),"")</f>
        <v>0</v>
      </c>
      <c r="K1339">
        <f>IFERROR(SMALL(K367:K1087,ROW()-ROW($K$1090)+1),"")</f>
        <v>0</v>
      </c>
      <c r="L1339">
        <f>IFERROR(SMALL(L367:L1087,ROW()-ROW($L$1090)+1),"")</f>
        <v>0</v>
      </c>
      <c r="M1339">
        <f>IFERROR(SMALL(M367:M1087,ROW()-ROW($M$1090)+1),"")</f>
        <v>0</v>
      </c>
      <c r="N1339">
        <f>IFERROR(SMALL(N367:N1087,ROW()-ROW($N$1090)+1),"")</f>
        <v>0</v>
      </c>
    </row>
    <row r="1340" spans="5:14">
      <c r="E1340">
        <f>IFERROR(SMALL(E367:E1087,ROW()-ROW($E$1090)+1),"")</f>
        <v>0</v>
      </c>
      <c r="F1340">
        <f>IFERROR(SMALL(F367:F1087,ROW()-ROW($F$1090)+1),"")</f>
        <v>0</v>
      </c>
      <c r="G1340">
        <f>IFERROR(SMALL(G367:G1087,ROW()-ROW($G$1090)+1),"")</f>
        <v>0</v>
      </c>
      <c r="H1340">
        <f>IFERROR(SMALL(H367:H1087,ROW()-ROW($H$1090)+1),"")</f>
        <v>0</v>
      </c>
      <c r="K1340">
        <f>IFERROR(SMALL(K367:K1087,ROW()-ROW($K$1090)+1),"")</f>
        <v>0</v>
      </c>
      <c r="L1340">
        <f>IFERROR(SMALL(L367:L1087,ROW()-ROW($L$1090)+1),"")</f>
        <v>0</v>
      </c>
      <c r="M1340">
        <f>IFERROR(SMALL(M367:M1087,ROW()-ROW($M$1090)+1),"")</f>
        <v>0</v>
      </c>
      <c r="N1340">
        <f>IFERROR(SMALL(N367:N1087,ROW()-ROW($N$1090)+1),"")</f>
        <v>0</v>
      </c>
    </row>
    <row r="1341" spans="5:14">
      <c r="E1341">
        <f>IFERROR(SMALL(E367:E1087,ROW()-ROW($E$1090)+1),"")</f>
        <v>0</v>
      </c>
      <c r="F1341">
        <f>IFERROR(SMALL(F367:F1087,ROW()-ROW($F$1090)+1),"")</f>
        <v>0</v>
      </c>
      <c r="G1341">
        <f>IFERROR(SMALL(G367:G1087,ROW()-ROW($G$1090)+1),"")</f>
        <v>0</v>
      </c>
      <c r="H1341">
        <f>IFERROR(SMALL(H367:H1087,ROW()-ROW($H$1090)+1),"")</f>
        <v>0</v>
      </c>
      <c r="K1341">
        <f>IFERROR(SMALL(K367:K1087,ROW()-ROW($K$1090)+1),"")</f>
        <v>0</v>
      </c>
      <c r="L1341">
        <f>IFERROR(SMALL(L367:L1087,ROW()-ROW($L$1090)+1),"")</f>
        <v>0</v>
      </c>
      <c r="M1341">
        <f>IFERROR(SMALL(M367:M1087,ROW()-ROW($M$1090)+1),"")</f>
        <v>0</v>
      </c>
      <c r="N1341">
        <f>IFERROR(SMALL(N367:N1087,ROW()-ROW($N$1090)+1),"")</f>
        <v>0</v>
      </c>
    </row>
    <row r="1342" spans="5:14">
      <c r="E1342">
        <f>IFERROR(SMALL(E367:E1087,ROW()-ROW($E$1090)+1),"")</f>
        <v>0</v>
      </c>
      <c r="F1342">
        <f>IFERROR(SMALL(F367:F1087,ROW()-ROW($F$1090)+1),"")</f>
        <v>0</v>
      </c>
      <c r="G1342">
        <f>IFERROR(SMALL(G367:G1087,ROW()-ROW($G$1090)+1),"")</f>
        <v>0</v>
      </c>
      <c r="H1342">
        <f>IFERROR(SMALL(H367:H1087,ROW()-ROW($H$1090)+1),"")</f>
        <v>0</v>
      </c>
      <c r="K1342">
        <f>IFERROR(SMALL(K367:K1087,ROW()-ROW($K$1090)+1),"")</f>
        <v>0</v>
      </c>
      <c r="L1342">
        <f>IFERROR(SMALL(L367:L1087,ROW()-ROW($L$1090)+1),"")</f>
        <v>0</v>
      </c>
      <c r="M1342">
        <f>IFERROR(SMALL(M367:M1087,ROW()-ROW($M$1090)+1),"")</f>
        <v>0</v>
      </c>
      <c r="N1342">
        <f>IFERROR(SMALL(N367:N1087,ROW()-ROW($N$1090)+1),"")</f>
        <v>0</v>
      </c>
    </row>
    <row r="1343" spans="5:14">
      <c r="E1343">
        <f>IFERROR(SMALL(E367:E1087,ROW()-ROW($E$1090)+1),"")</f>
        <v>0</v>
      </c>
      <c r="F1343">
        <f>IFERROR(SMALL(F367:F1087,ROW()-ROW($F$1090)+1),"")</f>
        <v>0</v>
      </c>
      <c r="G1343">
        <f>IFERROR(SMALL(G367:G1087,ROW()-ROW($G$1090)+1),"")</f>
        <v>0</v>
      </c>
      <c r="H1343">
        <f>IFERROR(SMALL(H367:H1087,ROW()-ROW($H$1090)+1),"")</f>
        <v>0</v>
      </c>
      <c r="K1343">
        <f>IFERROR(SMALL(K367:K1087,ROW()-ROW($K$1090)+1),"")</f>
        <v>0</v>
      </c>
      <c r="L1343">
        <f>IFERROR(SMALL(L367:L1087,ROW()-ROW($L$1090)+1),"")</f>
        <v>0</v>
      </c>
      <c r="M1343">
        <f>IFERROR(SMALL(M367:M1087,ROW()-ROW($M$1090)+1),"")</f>
        <v>0</v>
      </c>
      <c r="N1343">
        <f>IFERROR(SMALL(N367:N1087,ROW()-ROW($N$1090)+1),"")</f>
        <v>0</v>
      </c>
    </row>
    <row r="1344" spans="5:14">
      <c r="E1344">
        <f>IFERROR(SMALL(E367:E1087,ROW()-ROW($E$1090)+1),"")</f>
        <v>0</v>
      </c>
      <c r="F1344">
        <f>IFERROR(SMALL(F367:F1087,ROW()-ROW($F$1090)+1),"")</f>
        <v>0</v>
      </c>
      <c r="G1344">
        <f>IFERROR(SMALL(G367:G1087,ROW()-ROW($G$1090)+1),"")</f>
        <v>0</v>
      </c>
      <c r="H1344">
        <f>IFERROR(SMALL(H367:H1087,ROW()-ROW($H$1090)+1),"")</f>
        <v>0</v>
      </c>
      <c r="K1344">
        <f>IFERROR(SMALL(K367:K1087,ROW()-ROW($K$1090)+1),"")</f>
        <v>0</v>
      </c>
      <c r="L1344">
        <f>IFERROR(SMALL(L367:L1087,ROW()-ROW($L$1090)+1),"")</f>
        <v>0</v>
      </c>
      <c r="M1344">
        <f>IFERROR(SMALL(M367:M1087,ROW()-ROW($M$1090)+1),"")</f>
        <v>0</v>
      </c>
      <c r="N1344">
        <f>IFERROR(SMALL(N367:N1087,ROW()-ROW($N$1090)+1),"")</f>
        <v>0</v>
      </c>
    </row>
    <row r="1345" spans="5:14">
      <c r="E1345">
        <f>IFERROR(SMALL(E367:E1087,ROW()-ROW($E$1090)+1),"")</f>
        <v>0</v>
      </c>
      <c r="F1345">
        <f>IFERROR(SMALL(F367:F1087,ROW()-ROW($F$1090)+1),"")</f>
        <v>0</v>
      </c>
      <c r="G1345">
        <f>IFERROR(SMALL(G367:G1087,ROW()-ROW($G$1090)+1),"")</f>
        <v>0</v>
      </c>
      <c r="H1345">
        <f>IFERROR(SMALL(H367:H1087,ROW()-ROW($H$1090)+1),"")</f>
        <v>0</v>
      </c>
      <c r="K1345">
        <f>IFERROR(SMALL(K367:K1087,ROW()-ROW($K$1090)+1),"")</f>
        <v>0</v>
      </c>
      <c r="L1345">
        <f>IFERROR(SMALL(L367:L1087,ROW()-ROW($L$1090)+1),"")</f>
        <v>0</v>
      </c>
      <c r="M1345">
        <f>IFERROR(SMALL(M367:M1087,ROW()-ROW($M$1090)+1),"")</f>
        <v>0</v>
      </c>
      <c r="N1345">
        <f>IFERROR(SMALL(N367:N1087,ROW()-ROW($N$1090)+1),"")</f>
        <v>0</v>
      </c>
    </row>
    <row r="1346" spans="5:14">
      <c r="E1346">
        <f>IFERROR(SMALL(E367:E1087,ROW()-ROW($E$1090)+1),"")</f>
        <v>0</v>
      </c>
      <c r="F1346">
        <f>IFERROR(SMALL(F367:F1087,ROW()-ROW($F$1090)+1),"")</f>
        <v>0</v>
      </c>
      <c r="G1346">
        <f>IFERROR(SMALL(G367:G1087,ROW()-ROW($G$1090)+1),"")</f>
        <v>0</v>
      </c>
      <c r="H1346">
        <f>IFERROR(SMALL(H367:H1087,ROW()-ROW($H$1090)+1),"")</f>
        <v>0</v>
      </c>
      <c r="K1346">
        <f>IFERROR(SMALL(K367:K1087,ROW()-ROW($K$1090)+1),"")</f>
        <v>0</v>
      </c>
      <c r="L1346">
        <f>IFERROR(SMALL(L367:L1087,ROW()-ROW($L$1090)+1),"")</f>
        <v>0</v>
      </c>
      <c r="M1346">
        <f>IFERROR(SMALL(M367:M1087,ROW()-ROW($M$1090)+1),"")</f>
        <v>0</v>
      </c>
      <c r="N1346">
        <f>IFERROR(SMALL(N367:N1087,ROW()-ROW($N$1090)+1),"")</f>
        <v>0</v>
      </c>
    </row>
    <row r="1347" spans="5:14">
      <c r="E1347">
        <f>IFERROR(SMALL(E367:E1087,ROW()-ROW($E$1090)+1),"")</f>
        <v>0</v>
      </c>
      <c r="F1347">
        <f>IFERROR(SMALL(F367:F1087,ROW()-ROW($F$1090)+1),"")</f>
        <v>0</v>
      </c>
      <c r="G1347">
        <f>IFERROR(SMALL(G367:G1087,ROW()-ROW($G$1090)+1),"")</f>
        <v>0</v>
      </c>
      <c r="H1347">
        <f>IFERROR(SMALL(H367:H1087,ROW()-ROW($H$1090)+1),"")</f>
        <v>0</v>
      </c>
      <c r="K1347">
        <f>IFERROR(SMALL(K367:K1087,ROW()-ROW($K$1090)+1),"")</f>
        <v>0</v>
      </c>
      <c r="L1347">
        <f>IFERROR(SMALL(L367:L1087,ROW()-ROW($L$1090)+1),"")</f>
        <v>0</v>
      </c>
      <c r="M1347">
        <f>IFERROR(SMALL(M367:M1087,ROW()-ROW($M$1090)+1),"")</f>
        <v>0</v>
      </c>
      <c r="N1347">
        <f>IFERROR(SMALL(N367:N1087,ROW()-ROW($N$1090)+1),"")</f>
        <v>0</v>
      </c>
    </row>
    <row r="1348" spans="5:14">
      <c r="E1348">
        <f>IFERROR(SMALL(E367:E1087,ROW()-ROW($E$1090)+1),"")</f>
        <v>0</v>
      </c>
      <c r="F1348">
        <f>IFERROR(SMALL(F367:F1087,ROW()-ROW($F$1090)+1),"")</f>
        <v>0</v>
      </c>
      <c r="G1348">
        <f>IFERROR(SMALL(G367:G1087,ROW()-ROW($G$1090)+1),"")</f>
        <v>0</v>
      </c>
      <c r="H1348">
        <f>IFERROR(SMALL(H367:H1087,ROW()-ROW($H$1090)+1),"")</f>
        <v>0</v>
      </c>
      <c r="K1348">
        <f>IFERROR(SMALL(K367:K1087,ROW()-ROW($K$1090)+1),"")</f>
        <v>0</v>
      </c>
      <c r="L1348">
        <f>IFERROR(SMALL(L367:L1087,ROW()-ROW($L$1090)+1),"")</f>
        <v>0</v>
      </c>
      <c r="M1348">
        <f>IFERROR(SMALL(M367:M1087,ROW()-ROW($M$1090)+1),"")</f>
        <v>0</v>
      </c>
      <c r="N1348">
        <f>IFERROR(SMALL(N367:N1087,ROW()-ROW($N$1090)+1),"")</f>
        <v>0</v>
      </c>
    </row>
    <row r="1349" spans="5:14">
      <c r="E1349">
        <f>IFERROR(SMALL(E367:E1087,ROW()-ROW($E$1090)+1),"")</f>
        <v>0</v>
      </c>
      <c r="F1349">
        <f>IFERROR(SMALL(F367:F1087,ROW()-ROW($F$1090)+1),"")</f>
        <v>0</v>
      </c>
      <c r="G1349">
        <f>IFERROR(SMALL(G367:G1087,ROW()-ROW($G$1090)+1),"")</f>
        <v>0</v>
      </c>
      <c r="H1349">
        <f>IFERROR(SMALL(H367:H1087,ROW()-ROW($H$1090)+1),"")</f>
        <v>0</v>
      </c>
      <c r="K1349">
        <f>IFERROR(SMALL(K367:K1087,ROW()-ROW($K$1090)+1),"")</f>
        <v>0</v>
      </c>
      <c r="L1349">
        <f>IFERROR(SMALL(L367:L1087,ROW()-ROW($L$1090)+1),"")</f>
        <v>0</v>
      </c>
      <c r="M1349">
        <f>IFERROR(SMALL(M367:M1087,ROW()-ROW($M$1090)+1),"")</f>
        <v>0</v>
      </c>
      <c r="N1349">
        <f>IFERROR(SMALL(N367:N1087,ROW()-ROW($N$1090)+1),"")</f>
        <v>0</v>
      </c>
    </row>
    <row r="1350" spans="5:14">
      <c r="E1350">
        <f>IFERROR(SMALL(E367:E1087,ROW()-ROW($E$1090)+1),"")</f>
        <v>0</v>
      </c>
      <c r="F1350">
        <f>IFERROR(SMALL(F367:F1087,ROW()-ROW($F$1090)+1),"")</f>
        <v>0</v>
      </c>
      <c r="G1350">
        <f>IFERROR(SMALL(G367:G1087,ROW()-ROW($G$1090)+1),"")</f>
        <v>0</v>
      </c>
      <c r="H1350">
        <f>IFERROR(SMALL(H367:H1087,ROW()-ROW($H$1090)+1),"")</f>
        <v>0</v>
      </c>
      <c r="K1350">
        <f>IFERROR(SMALL(K367:K1087,ROW()-ROW($K$1090)+1),"")</f>
        <v>0</v>
      </c>
      <c r="L1350">
        <f>IFERROR(SMALL(L367:L1087,ROW()-ROW($L$1090)+1),"")</f>
        <v>0</v>
      </c>
      <c r="M1350">
        <f>IFERROR(SMALL(M367:M1087,ROW()-ROW($M$1090)+1),"")</f>
        <v>0</v>
      </c>
      <c r="N1350">
        <f>IFERROR(SMALL(N367:N1087,ROW()-ROW($N$1090)+1),"")</f>
        <v>0</v>
      </c>
    </row>
    <row r="1351" spans="5:14">
      <c r="E1351">
        <f>IFERROR(SMALL(E367:E1087,ROW()-ROW($E$1090)+1),"")</f>
        <v>0</v>
      </c>
      <c r="F1351">
        <f>IFERROR(SMALL(F367:F1087,ROW()-ROW($F$1090)+1),"")</f>
        <v>0</v>
      </c>
      <c r="G1351">
        <f>IFERROR(SMALL(G367:G1087,ROW()-ROW($G$1090)+1),"")</f>
        <v>0</v>
      </c>
      <c r="H1351">
        <f>IFERROR(SMALL(H367:H1087,ROW()-ROW($H$1090)+1),"")</f>
        <v>0</v>
      </c>
      <c r="K1351">
        <f>IFERROR(SMALL(K367:K1087,ROW()-ROW($K$1090)+1),"")</f>
        <v>0</v>
      </c>
      <c r="L1351">
        <f>IFERROR(SMALL(L367:L1087,ROW()-ROW($L$1090)+1),"")</f>
        <v>0</v>
      </c>
      <c r="M1351">
        <f>IFERROR(SMALL(M367:M1087,ROW()-ROW($M$1090)+1),"")</f>
        <v>0</v>
      </c>
      <c r="N1351">
        <f>IFERROR(SMALL(N367:N1087,ROW()-ROW($N$1090)+1),"")</f>
        <v>0</v>
      </c>
    </row>
    <row r="1352" spans="5:14">
      <c r="E1352">
        <f>IFERROR(SMALL(E367:E1087,ROW()-ROW($E$1090)+1),"")</f>
        <v>0</v>
      </c>
      <c r="F1352">
        <f>IFERROR(SMALL(F367:F1087,ROW()-ROW($F$1090)+1),"")</f>
        <v>0</v>
      </c>
      <c r="G1352">
        <f>IFERROR(SMALL(G367:G1087,ROW()-ROW($G$1090)+1),"")</f>
        <v>0</v>
      </c>
      <c r="H1352">
        <f>IFERROR(SMALL(H367:H1087,ROW()-ROW($H$1090)+1),"")</f>
        <v>0</v>
      </c>
      <c r="K1352">
        <f>IFERROR(SMALL(K367:K1087,ROW()-ROW($K$1090)+1),"")</f>
        <v>0</v>
      </c>
      <c r="L1352">
        <f>IFERROR(SMALL(L367:L1087,ROW()-ROW($L$1090)+1),"")</f>
        <v>0</v>
      </c>
      <c r="M1352">
        <f>IFERROR(SMALL(M367:M1087,ROW()-ROW($M$1090)+1),"")</f>
        <v>0</v>
      </c>
      <c r="N1352">
        <f>IFERROR(SMALL(N367:N1087,ROW()-ROW($N$1090)+1),"")</f>
        <v>0</v>
      </c>
    </row>
    <row r="1353" spans="5:14">
      <c r="E1353">
        <f>IFERROR(SMALL(E367:E1087,ROW()-ROW($E$1090)+1),"")</f>
        <v>0</v>
      </c>
      <c r="F1353">
        <f>IFERROR(SMALL(F367:F1087,ROW()-ROW($F$1090)+1),"")</f>
        <v>0</v>
      </c>
      <c r="G1353">
        <f>IFERROR(SMALL(G367:G1087,ROW()-ROW($G$1090)+1),"")</f>
        <v>0</v>
      </c>
      <c r="H1353">
        <f>IFERROR(SMALL(H367:H1087,ROW()-ROW($H$1090)+1),"")</f>
        <v>0</v>
      </c>
      <c r="K1353">
        <f>IFERROR(SMALL(K367:K1087,ROW()-ROW($K$1090)+1),"")</f>
        <v>0</v>
      </c>
      <c r="L1353">
        <f>IFERROR(SMALL(L367:L1087,ROW()-ROW($L$1090)+1),"")</f>
        <v>0</v>
      </c>
      <c r="M1353">
        <f>IFERROR(SMALL(M367:M1087,ROW()-ROW($M$1090)+1),"")</f>
        <v>0</v>
      </c>
      <c r="N1353">
        <f>IFERROR(SMALL(N367:N1087,ROW()-ROW($N$1090)+1),"")</f>
        <v>0</v>
      </c>
    </row>
    <row r="1354" spans="5:14">
      <c r="E1354">
        <f>IFERROR(SMALL(E367:E1087,ROW()-ROW($E$1090)+1),"")</f>
        <v>0</v>
      </c>
      <c r="F1354">
        <f>IFERROR(SMALL(F367:F1087,ROW()-ROW($F$1090)+1),"")</f>
        <v>0</v>
      </c>
      <c r="G1354">
        <f>IFERROR(SMALL(G367:G1087,ROW()-ROW($G$1090)+1),"")</f>
        <v>0</v>
      </c>
      <c r="H1354">
        <f>IFERROR(SMALL(H367:H1087,ROW()-ROW($H$1090)+1),"")</f>
        <v>0</v>
      </c>
      <c r="K1354">
        <f>IFERROR(SMALL(K367:K1087,ROW()-ROW($K$1090)+1),"")</f>
        <v>0</v>
      </c>
      <c r="L1354">
        <f>IFERROR(SMALL(L367:L1087,ROW()-ROW($L$1090)+1),"")</f>
        <v>0</v>
      </c>
      <c r="M1354">
        <f>IFERROR(SMALL(M367:M1087,ROW()-ROW($M$1090)+1),"")</f>
        <v>0</v>
      </c>
      <c r="N1354">
        <f>IFERROR(SMALL(N367:N1087,ROW()-ROW($N$1090)+1),"")</f>
        <v>0</v>
      </c>
    </row>
    <row r="1355" spans="5:14">
      <c r="E1355">
        <f>IFERROR(SMALL(E367:E1087,ROW()-ROW($E$1090)+1),"")</f>
        <v>0</v>
      </c>
      <c r="F1355">
        <f>IFERROR(SMALL(F367:F1087,ROW()-ROW($F$1090)+1),"")</f>
        <v>0</v>
      </c>
      <c r="G1355">
        <f>IFERROR(SMALL(G367:G1087,ROW()-ROW($G$1090)+1),"")</f>
        <v>0</v>
      </c>
      <c r="H1355">
        <f>IFERROR(SMALL(H367:H1087,ROW()-ROW($H$1090)+1),"")</f>
        <v>0</v>
      </c>
      <c r="K1355">
        <f>IFERROR(SMALL(K367:K1087,ROW()-ROW($K$1090)+1),"")</f>
        <v>0</v>
      </c>
      <c r="L1355">
        <f>IFERROR(SMALL(L367:L1087,ROW()-ROW($L$1090)+1),"")</f>
        <v>0</v>
      </c>
      <c r="M1355">
        <f>IFERROR(SMALL(M367:M1087,ROW()-ROW($M$1090)+1),"")</f>
        <v>0</v>
      </c>
      <c r="N1355">
        <f>IFERROR(SMALL(N367:N1087,ROW()-ROW($N$1090)+1),"")</f>
        <v>0</v>
      </c>
    </row>
    <row r="1356" spans="5:14">
      <c r="E1356">
        <f>IFERROR(SMALL(E367:E1087,ROW()-ROW($E$1090)+1),"")</f>
        <v>0</v>
      </c>
      <c r="F1356">
        <f>IFERROR(SMALL(F367:F1087,ROW()-ROW($F$1090)+1),"")</f>
        <v>0</v>
      </c>
      <c r="G1356">
        <f>IFERROR(SMALL(G367:G1087,ROW()-ROW($G$1090)+1),"")</f>
        <v>0</v>
      </c>
      <c r="H1356">
        <f>IFERROR(SMALL(H367:H1087,ROW()-ROW($H$1090)+1),"")</f>
        <v>0</v>
      </c>
      <c r="K1356">
        <f>IFERROR(SMALL(K367:K1087,ROW()-ROW($K$1090)+1),"")</f>
        <v>0</v>
      </c>
      <c r="L1356">
        <f>IFERROR(SMALL(L367:L1087,ROW()-ROW($L$1090)+1),"")</f>
        <v>0</v>
      </c>
      <c r="M1356">
        <f>IFERROR(SMALL(M367:M1087,ROW()-ROW($M$1090)+1),"")</f>
        <v>0</v>
      </c>
      <c r="N1356">
        <f>IFERROR(SMALL(N367:N1087,ROW()-ROW($N$1090)+1),"")</f>
        <v>0</v>
      </c>
    </row>
    <row r="1357" spans="5:14">
      <c r="E1357">
        <f>IFERROR(SMALL(E367:E1087,ROW()-ROW($E$1090)+1),"")</f>
        <v>0</v>
      </c>
      <c r="F1357">
        <f>IFERROR(SMALL(F367:F1087,ROW()-ROW($F$1090)+1),"")</f>
        <v>0</v>
      </c>
      <c r="G1357">
        <f>IFERROR(SMALL(G367:G1087,ROW()-ROW($G$1090)+1),"")</f>
        <v>0</v>
      </c>
      <c r="H1357">
        <f>IFERROR(SMALL(H367:H1087,ROW()-ROW($H$1090)+1),"")</f>
        <v>0</v>
      </c>
      <c r="K1357">
        <f>IFERROR(SMALL(K367:K1087,ROW()-ROW($K$1090)+1),"")</f>
        <v>0</v>
      </c>
      <c r="L1357">
        <f>IFERROR(SMALL(L367:L1087,ROW()-ROW($L$1090)+1),"")</f>
        <v>0</v>
      </c>
      <c r="M1357">
        <f>IFERROR(SMALL(M367:M1087,ROW()-ROW($M$1090)+1),"")</f>
        <v>0</v>
      </c>
      <c r="N1357">
        <f>IFERROR(SMALL(N367:N1087,ROW()-ROW($N$1090)+1),"")</f>
        <v>0</v>
      </c>
    </row>
    <row r="1358" spans="5:14">
      <c r="E1358">
        <f>IFERROR(SMALL(E367:E1087,ROW()-ROW($E$1090)+1),"")</f>
        <v>0</v>
      </c>
      <c r="F1358">
        <f>IFERROR(SMALL(F367:F1087,ROW()-ROW($F$1090)+1),"")</f>
        <v>0</v>
      </c>
      <c r="G1358">
        <f>IFERROR(SMALL(G367:G1087,ROW()-ROW($G$1090)+1),"")</f>
        <v>0</v>
      </c>
      <c r="H1358">
        <f>IFERROR(SMALL(H367:H1087,ROW()-ROW($H$1090)+1),"")</f>
        <v>0</v>
      </c>
      <c r="K1358">
        <f>IFERROR(SMALL(K367:K1087,ROW()-ROW($K$1090)+1),"")</f>
        <v>0</v>
      </c>
      <c r="L1358">
        <f>IFERROR(SMALL(L367:L1087,ROW()-ROW($L$1090)+1),"")</f>
        <v>0</v>
      </c>
      <c r="M1358">
        <f>IFERROR(SMALL(M367:M1087,ROW()-ROW($M$1090)+1),"")</f>
        <v>0</v>
      </c>
      <c r="N1358">
        <f>IFERROR(SMALL(N367:N1087,ROW()-ROW($N$1090)+1),"")</f>
        <v>0</v>
      </c>
    </row>
    <row r="1359" spans="5:14">
      <c r="E1359">
        <f>IFERROR(SMALL(E367:E1087,ROW()-ROW($E$1090)+1),"")</f>
        <v>0</v>
      </c>
      <c r="F1359">
        <f>IFERROR(SMALL(F367:F1087,ROW()-ROW($F$1090)+1),"")</f>
        <v>0</v>
      </c>
      <c r="G1359">
        <f>IFERROR(SMALL(G367:G1087,ROW()-ROW($G$1090)+1),"")</f>
        <v>0</v>
      </c>
      <c r="H1359">
        <f>IFERROR(SMALL(H367:H1087,ROW()-ROW($H$1090)+1),"")</f>
        <v>0</v>
      </c>
      <c r="K1359">
        <f>IFERROR(SMALL(K367:K1087,ROW()-ROW($K$1090)+1),"")</f>
        <v>0</v>
      </c>
      <c r="L1359">
        <f>IFERROR(SMALL(L367:L1087,ROW()-ROW($L$1090)+1),"")</f>
        <v>0</v>
      </c>
      <c r="M1359">
        <f>IFERROR(SMALL(M367:M1087,ROW()-ROW($M$1090)+1),"")</f>
        <v>0</v>
      </c>
      <c r="N1359">
        <f>IFERROR(SMALL(N367:N1087,ROW()-ROW($N$1090)+1),"")</f>
        <v>0</v>
      </c>
    </row>
    <row r="1360" spans="5:14">
      <c r="E1360">
        <f>IFERROR(SMALL(E367:E1087,ROW()-ROW($E$1090)+1),"")</f>
        <v>0</v>
      </c>
      <c r="F1360">
        <f>IFERROR(SMALL(F367:F1087,ROW()-ROW($F$1090)+1),"")</f>
        <v>0</v>
      </c>
      <c r="G1360">
        <f>IFERROR(SMALL(G367:G1087,ROW()-ROW($G$1090)+1),"")</f>
        <v>0</v>
      </c>
      <c r="H1360">
        <f>IFERROR(SMALL(H367:H1087,ROW()-ROW($H$1090)+1),"")</f>
        <v>0</v>
      </c>
      <c r="K1360">
        <f>IFERROR(SMALL(K367:K1087,ROW()-ROW($K$1090)+1),"")</f>
        <v>0</v>
      </c>
      <c r="L1360">
        <f>IFERROR(SMALL(L367:L1087,ROW()-ROW($L$1090)+1),"")</f>
        <v>0</v>
      </c>
      <c r="M1360">
        <f>IFERROR(SMALL(M367:M1087,ROW()-ROW($M$1090)+1),"")</f>
        <v>0</v>
      </c>
      <c r="N1360">
        <f>IFERROR(SMALL(N367:N1087,ROW()-ROW($N$1090)+1),"")</f>
        <v>0</v>
      </c>
    </row>
    <row r="1361" spans="5:14">
      <c r="E1361">
        <f>IFERROR(SMALL(E367:E1087,ROW()-ROW($E$1090)+1),"")</f>
        <v>0</v>
      </c>
      <c r="F1361">
        <f>IFERROR(SMALL(F367:F1087,ROW()-ROW($F$1090)+1),"")</f>
        <v>0</v>
      </c>
      <c r="G1361">
        <f>IFERROR(SMALL(G367:G1087,ROW()-ROW($G$1090)+1),"")</f>
        <v>0</v>
      </c>
      <c r="H1361">
        <f>IFERROR(SMALL(H367:H1087,ROW()-ROW($H$1090)+1),"")</f>
        <v>0</v>
      </c>
      <c r="K1361">
        <f>IFERROR(SMALL(K367:K1087,ROW()-ROW($K$1090)+1),"")</f>
        <v>0</v>
      </c>
      <c r="L1361">
        <f>IFERROR(SMALL(L367:L1087,ROW()-ROW($L$1090)+1),"")</f>
        <v>0</v>
      </c>
      <c r="M1361">
        <f>IFERROR(SMALL(M367:M1087,ROW()-ROW($M$1090)+1),"")</f>
        <v>0</v>
      </c>
      <c r="N1361">
        <f>IFERROR(SMALL(N367:N1087,ROW()-ROW($N$1090)+1),"")</f>
        <v>0</v>
      </c>
    </row>
    <row r="1362" spans="5:14">
      <c r="E1362">
        <f>IFERROR(SMALL(E367:E1087,ROW()-ROW($E$1090)+1),"")</f>
        <v>0</v>
      </c>
      <c r="F1362">
        <f>IFERROR(SMALL(F367:F1087,ROW()-ROW($F$1090)+1),"")</f>
        <v>0</v>
      </c>
      <c r="G1362">
        <f>IFERROR(SMALL(G367:G1087,ROW()-ROW($G$1090)+1),"")</f>
        <v>0</v>
      </c>
      <c r="H1362">
        <f>IFERROR(SMALL(H367:H1087,ROW()-ROW($H$1090)+1),"")</f>
        <v>0</v>
      </c>
      <c r="K1362">
        <f>IFERROR(SMALL(K367:K1087,ROW()-ROW($K$1090)+1),"")</f>
        <v>0</v>
      </c>
      <c r="L1362">
        <f>IFERROR(SMALL(L367:L1087,ROW()-ROW($L$1090)+1),"")</f>
        <v>0</v>
      </c>
      <c r="M1362">
        <f>IFERROR(SMALL(M367:M1087,ROW()-ROW($M$1090)+1),"")</f>
        <v>0</v>
      </c>
      <c r="N1362">
        <f>IFERROR(SMALL(N367:N1087,ROW()-ROW($N$1090)+1),"")</f>
        <v>0</v>
      </c>
    </row>
    <row r="1363" spans="5:14">
      <c r="E1363">
        <f>IFERROR(SMALL(E367:E1087,ROW()-ROW($E$1090)+1),"")</f>
        <v>0</v>
      </c>
      <c r="F1363">
        <f>IFERROR(SMALL(F367:F1087,ROW()-ROW($F$1090)+1),"")</f>
        <v>0</v>
      </c>
      <c r="G1363">
        <f>IFERROR(SMALL(G367:G1087,ROW()-ROW($G$1090)+1),"")</f>
        <v>0</v>
      </c>
      <c r="H1363">
        <f>IFERROR(SMALL(H367:H1087,ROW()-ROW($H$1090)+1),"")</f>
        <v>0</v>
      </c>
      <c r="K1363">
        <f>IFERROR(SMALL(K367:K1087,ROW()-ROW($K$1090)+1),"")</f>
        <v>0</v>
      </c>
      <c r="L1363">
        <f>IFERROR(SMALL(L367:L1087,ROW()-ROW($L$1090)+1),"")</f>
        <v>0</v>
      </c>
      <c r="M1363">
        <f>IFERROR(SMALL(M367:M1087,ROW()-ROW($M$1090)+1),"")</f>
        <v>0</v>
      </c>
      <c r="N1363">
        <f>IFERROR(SMALL(N367:N1087,ROW()-ROW($N$1090)+1),"")</f>
        <v>0</v>
      </c>
    </row>
    <row r="1364" spans="5:14">
      <c r="E1364">
        <f>IFERROR(SMALL(E367:E1087,ROW()-ROW($E$1090)+1),"")</f>
        <v>0</v>
      </c>
      <c r="F1364">
        <f>IFERROR(SMALL(F367:F1087,ROW()-ROW($F$1090)+1),"")</f>
        <v>0</v>
      </c>
      <c r="G1364">
        <f>IFERROR(SMALL(G367:G1087,ROW()-ROW($G$1090)+1),"")</f>
        <v>0</v>
      </c>
      <c r="H1364">
        <f>IFERROR(SMALL(H367:H1087,ROW()-ROW($H$1090)+1),"")</f>
        <v>0</v>
      </c>
      <c r="K1364">
        <f>IFERROR(SMALL(K367:K1087,ROW()-ROW($K$1090)+1),"")</f>
        <v>0</v>
      </c>
      <c r="L1364">
        <f>IFERROR(SMALL(L367:L1087,ROW()-ROW($L$1090)+1),"")</f>
        <v>0</v>
      </c>
      <c r="M1364">
        <f>IFERROR(SMALL(M367:M1087,ROW()-ROW($M$1090)+1),"")</f>
        <v>0</v>
      </c>
      <c r="N1364">
        <f>IFERROR(SMALL(N367:N1087,ROW()-ROW($N$1090)+1),"")</f>
        <v>0</v>
      </c>
    </row>
    <row r="1365" spans="5:14">
      <c r="E1365">
        <f>IFERROR(SMALL(E367:E1087,ROW()-ROW($E$1090)+1),"")</f>
        <v>0</v>
      </c>
      <c r="F1365">
        <f>IFERROR(SMALL(F367:F1087,ROW()-ROW($F$1090)+1),"")</f>
        <v>0</v>
      </c>
      <c r="G1365">
        <f>IFERROR(SMALL(G367:G1087,ROW()-ROW($G$1090)+1),"")</f>
        <v>0</v>
      </c>
      <c r="H1365">
        <f>IFERROR(SMALL(H367:H1087,ROW()-ROW($H$1090)+1),"")</f>
        <v>0</v>
      </c>
      <c r="K1365">
        <f>IFERROR(SMALL(K367:K1087,ROW()-ROW($K$1090)+1),"")</f>
        <v>0</v>
      </c>
      <c r="L1365">
        <f>IFERROR(SMALL(L367:L1087,ROW()-ROW($L$1090)+1),"")</f>
        <v>0</v>
      </c>
      <c r="M1365">
        <f>IFERROR(SMALL(M367:M1087,ROW()-ROW($M$1090)+1),"")</f>
        <v>0</v>
      </c>
      <c r="N1365">
        <f>IFERROR(SMALL(N367:N1087,ROW()-ROW($N$1090)+1),"")</f>
        <v>0</v>
      </c>
    </row>
    <row r="1366" spans="5:14">
      <c r="E1366">
        <f>IFERROR(SMALL(E367:E1087,ROW()-ROW($E$1090)+1),"")</f>
        <v>0</v>
      </c>
      <c r="F1366">
        <f>IFERROR(SMALL(F367:F1087,ROW()-ROW($F$1090)+1),"")</f>
        <v>0</v>
      </c>
      <c r="G1366">
        <f>IFERROR(SMALL(G367:G1087,ROW()-ROW($G$1090)+1),"")</f>
        <v>0</v>
      </c>
      <c r="H1366">
        <f>IFERROR(SMALL(H367:H1087,ROW()-ROW($H$1090)+1),"")</f>
        <v>0</v>
      </c>
      <c r="K1366">
        <f>IFERROR(SMALL(K367:K1087,ROW()-ROW($K$1090)+1),"")</f>
        <v>0</v>
      </c>
      <c r="L1366">
        <f>IFERROR(SMALL(L367:L1087,ROW()-ROW($L$1090)+1),"")</f>
        <v>0</v>
      </c>
      <c r="M1366">
        <f>IFERROR(SMALL(M367:M1087,ROW()-ROW($M$1090)+1),"")</f>
        <v>0</v>
      </c>
      <c r="N1366">
        <f>IFERROR(SMALL(N367:N1087,ROW()-ROW($N$1090)+1),"")</f>
        <v>0</v>
      </c>
    </row>
    <row r="1367" spans="5:14">
      <c r="E1367">
        <f>IFERROR(SMALL(E367:E1087,ROW()-ROW($E$1090)+1),"")</f>
        <v>0</v>
      </c>
      <c r="F1367">
        <f>IFERROR(SMALL(F367:F1087,ROW()-ROW($F$1090)+1),"")</f>
        <v>0</v>
      </c>
      <c r="G1367">
        <f>IFERROR(SMALL(G367:G1087,ROW()-ROW($G$1090)+1),"")</f>
        <v>0</v>
      </c>
      <c r="H1367">
        <f>IFERROR(SMALL(H367:H1087,ROW()-ROW($H$1090)+1),"")</f>
        <v>0</v>
      </c>
      <c r="K1367">
        <f>IFERROR(SMALL(K367:K1087,ROW()-ROW($K$1090)+1),"")</f>
        <v>0</v>
      </c>
      <c r="L1367">
        <f>IFERROR(SMALL(L367:L1087,ROW()-ROW($L$1090)+1),"")</f>
        <v>0</v>
      </c>
      <c r="M1367">
        <f>IFERROR(SMALL(M367:M1087,ROW()-ROW($M$1090)+1),"")</f>
        <v>0</v>
      </c>
      <c r="N1367">
        <f>IFERROR(SMALL(N367:N1087,ROW()-ROW($N$1090)+1),"")</f>
        <v>0</v>
      </c>
    </row>
    <row r="1368" spans="5:14">
      <c r="E1368">
        <f>IFERROR(SMALL(E367:E1087,ROW()-ROW($E$1090)+1),"")</f>
        <v>0</v>
      </c>
      <c r="F1368">
        <f>IFERROR(SMALL(F367:F1087,ROW()-ROW($F$1090)+1),"")</f>
        <v>0</v>
      </c>
      <c r="G1368">
        <f>IFERROR(SMALL(G367:G1087,ROW()-ROW($G$1090)+1),"")</f>
        <v>0</v>
      </c>
      <c r="H1368">
        <f>IFERROR(SMALL(H367:H1087,ROW()-ROW($H$1090)+1),"")</f>
        <v>0</v>
      </c>
      <c r="K1368">
        <f>IFERROR(SMALL(K367:K1087,ROW()-ROW($K$1090)+1),"")</f>
        <v>0</v>
      </c>
      <c r="L1368">
        <f>IFERROR(SMALL(L367:L1087,ROW()-ROW($L$1090)+1),"")</f>
        <v>0</v>
      </c>
      <c r="M1368">
        <f>IFERROR(SMALL(M367:M1087,ROW()-ROW($M$1090)+1),"")</f>
        <v>0</v>
      </c>
      <c r="N1368">
        <f>IFERROR(SMALL(N367:N1087,ROW()-ROW($N$1090)+1),"")</f>
        <v>0</v>
      </c>
    </row>
    <row r="1369" spans="5:14">
      <c r="E1369">
        <f>IFERROR(SMALL(E367:E1087,ROW()-ROW($E$1090)+1),"")</f>
        <v>0</v>
      </c>
      <c r="F1369">
        <f>IFERROR(SMALL(F367:F1087,ROW()-ROW($F$1090)+1),"")</f>
        <v>0</v>
      </c>
      <c r="G1369">
        <f>IFERROR(SMALL(G367:G1087,ROW()-ROW($G$1090)+1),"")</f>
        <v>0</v>
      </c>
      <c r="H1369">
        <f>IFERROR(SMALL(H367:H1087,ROW()-ROW($H$1090)+1),"")</f>
        <v>0</v>
      </c>
      <c r="K1369">
        <f>IFERROR(SMALL(K367:K1087,ROW()-ROW($K$1090)+1),"")</f>
        <v>0</v>
      </c>
      <c r="L1369">
        <f>IFERROR(SMALL(L367:L1087,ROW()-ROW($L$1090)+1),"")</f>
        <v>0</v>
      </c>
      <c r="M1369">
        <f>IFERROR(SMALL(M367:M1087,ROW()-ROW($M$1090)+1),"")</f>
        <v>0</v>
      </c>
      <c r="N1369">
        <f>IFERROR(SMALL(N367:N1087,ROW()-ROW($N$1090)+1),"")</f>
        <v>0</v>
      </c>
    </row>
    <row r="1370" spans="5:14">
      <c r="E1370">
        <f>IFERROR(SMALL(E367:E1087,ROW()-ROW($E$1090)+1),"")</f>
        <v>0</v>
      </c>
      <c r="F1370">
        <f>IFERROR(SMALL(F367:F1087,ROW()-ROW($F$1090)+1),"")</f>
        <v>0</v>
      </c>
      <c r="G1370">
        <f>IFERROR(SMALL(G367:G1087,ROW()-ROW($G$1090)+1),"")</f>
        <v>0</v>
      </c>
      <c r="H1370">
        <f>IFERROR(SMALL(H367:H1087,ROW()-ROW($H$1090)+1),"")</f>
        <v>0</v>
      </c>
      <c r="K1370">
        <f>IFERROR(SMALL(K367:K1087,ROW()-ROW($K$1090)+1),"")</f>
        <v>0</v>
      </c>
      <c r="L1370">
        <f>IFERROR(SMALL(L367:L1087,ROW()-ROW($L$1090)+1),"")</f>
        <v>0</v>
      </c>
      <c r="M1370">
        <f>IFERROR(SMALL(M367:M1087,ROW()-ROW($M$1090)+1),"")</f>
        <v>0</v>
      </c>
      <c r="N1370">
        <f>IFERROR(SMALL(N367:N1087,ROW()-ROW($N$1090)+1),"")</f>
        <v>0</v>
      </c>
    </row>
    <row r="1371" spans="5:14">
      <c r="E1371">
        <f>IFERROR(SMALL(E367:E1087,ROW()-ROW($E$1090)+1),"")</f>
        <v>0</v>
      </c>
      <c r="F1371">
        <f>IFERROR(SMALL(F367:F1087,ROW()-ROW($F$1090)+1),"")</f>
        <v>0</v>
      </c>
      <c r="G1371">
        <f>IFERROR(SMALL(G367:G1087,ROW()-ROW($G$1090)+1),"")</f>
        <v>0</v>
      </c>
      <c r="H1371">
        <f>IFERROR(SMALL(H367:H1087,ROW()-ROW($H$1090)+1),"")</f>
        <v>0</v>
      </c>
      <c r="K1371">
        <f>IFERROR(SMALL(K367:K1087,ROW()-ROW($K$1090)+1),"")</f>
        <v>0</v>
      </c>
      <c r="L1371">
        <f>IFERROR(SMALL(L367:L1087,ROW()-ROW($L$1090)+1),"")</f>
        <v>0</v>
      </c>
      <c r="M1371">
        <f>IFERROR(SMALL(M367:M1087,ROW()-ROW($M$1090)+1),"")</f>
        <v>0</v>
      </c>
      <c r="N1371">
        <f>IFERROR(SMALL(N367:N1087,ROW()-ROW($N$1090)+1),"")</f>
        <v>0</v>
      </c>
    </row>
    <row r="1372" spans="5:14">
      <c r="E1372">
        <f>IFERROR(SMALL(E367:E1087,ROW()-ROW($E$1090)+1),"")</f>
        <v>0</v>
      </c>
      <c r="F1372">
        <f>IFERROR(SMALL(F367:F1087,ROW()-ROW($F$1090)+1),"")</f>
        <v>0</v>
      </c>
      <c r="G1372">
        <f>IFERROR(SMALL(G367:G1087,ROW()-ROW($G$1090)+1),"")</f>
        <v>0</v>
      </c>
      <c r="H1372">
        <f>IFERROR(SMALL(H367:H1087,ROW()-ROW($H$1090)+1),"")</f>
        <v>0</v>
      </c>
      <c r="K1372">
        <f>IFERROR(SMALL(K367:K1087,ROW()-ROW($K$1090)+1),"")</f>
        <v>0</v>
      </c>
      <c r="L1372">
        <f>IFERROR(SMALL(L367:L1087,ROW()-ROW($L$1090)+1),"")</f>
        <v>0</v>
      </c>
      <c r="M1372">
        <f>IFERROR(SMALL(M367:M1087,ROW()-ROW($M$1090)+1),"")</f>
        <v>0</v>
      </c>
      <c r="N1372">
        <f>IFERROR(SMALL(N367:N1087,ROW()-ROW($N$1090)+1),"")</f>
        <v>0</v>
      </c>
    </row>
    <row r="1373" spans="5:14">
      <c r="E1373">
        <f>IFERROR(SMALL(E367:E1087,ROW()-ROW($E$1090)+1),"")</f>
        <v>0</v>
      </c>
      <c r="F1373">
        <f>IFERROR(SMALL(F367:F1087,ROW()-ROW($F$1090)+1),"")</f>
        <v>0</v>
      </c>
      <c r="G1373">
        <f>IFERROR(SMALL(G367:G1087,ROW()-ROW($G$1090)+1),"")</f>
        <v>0</v>
      </c>
      <c r="H1373">
        <f>IFERROR(SMALL(H367:H1087,ROW()-ROW($H$1090)+1),"")</f>
        <v>0</v>
      </c>
      <c r="K1373">
        <f>IFERROR(SMALL(K367:K1087,ROW()-ROW($K$1090)+1),"")</f>
        <v>0</v>
      </c>
      <c r="L1373">
        <f>IFERROR(SMALL(L367:L1087,ROW()-ROW($L$1090)+1),"")</f>
        <v>0</v>
      </c>
      <c r="M1373">
        <f>IFERROR(SMALL(M367:M1087,ROW()-ROW($M$1090)+1),"")</f>
        <v>0</v>
      </c>
      <c r="N1373">
        <f>IFERROR(SMALL(N367:N1087,ROW()-ROW($N$1090)+1),"")</f>
        <v>0</v>
      </c>
    </row>
    <row r="1374" spans="5:14">
      <c r="E1374">
        <f>IFERROR(SMALL(E367:E1087,ROW()-ROW($E$1090)+1),"")</f>
        <v>0</v>
      </c>
      <c r="F1374">
        <f>IFERROR(SMALL(F367:F1087,ROW()-ROW($F$1090)+1),"")</f>
        <v>0</v>
      </c>
      <c r="G1374">
        <f>IFERROR(SMALL(G367:G1087,ROW()-ROW($G$1090)+1),"")</f>
        <v>0</v>
      </c>
      <c r="H1374">
        <f>IFERROR(SMALL(H367:H1087,ROW()-ROW($H$1090)+1),"")</f>
        <v>0</v>
      </c>
      <c r="K1374">
        <f>IFERROR(SMALL(K367:K1087,ROW()-ROW($K$1090)+1),"")</f>
        <v>0</v>
      </c>
      <c r="L1374">
        <f>IFERROR(SMALL(L367:L1087,ROW()-ROW($L$1090)+1),"")</f>
        <v>0</v>
      </c>
      <c r="M1374">
        <f>IFERROR(SMALL(M367:M1087,ROW()-ROW($M$1090)+1),"")</f>
        <v>0</v>
      </c>
      <c r="N1374">
        <f>IFERROR(SMALL(N367:N1087,ROW()-ROW($N$1090)+1),"")</f>
        <v>0</v>
      </c>
    </row>
    <row r="1375" spans="5:14">
      <c r="E1375">
        <f>IFERROR(SMALL(E367:E1087,ROW()-ROW($E$1090)+1),"")</f>
        <v>0</v>
      </c>
      <c r="F1375">
        <f>IFERROR(SMALL(F367:F1087,ROW()-ROW($F$1090)+1),"")</f>
        <v>0</v>
      </c>
      <c r="G1375">
        <f>IFERROR(SMALL(G367:G1087,ROW()-ROW($G$1090)+1),"")</f>
        <v>0</v>
      </c>
      <c r="H1375">
        <f>IFERROR(SMALL(H367:H1087,ROW()-ROW($H$1090)+1),"")</f>
        <v>0</v>
      </c>
      <c r="K1375">
        <f>IFERROR(SMALL(K367:K1087,ROW()-ROW($K$1090)+1),"")</f>
        <v>0</v>
      </c>
      <c r="L1375">
        <f>IFERROR(SMALL(L367:L1087,ROW()-ROW($L$1090)+1),"")</f>
        <v>0</v>
      </c>
      <c r="M1375">
        <f>IFERROR(SMALL(M367:M1087,ROW()-ROW($M$1090)+1),"")</f>
        <v>0</v>
      </c>
      <c r="N1375">
        <f>IFERROR(SMALL(N367:N1087,ROW()-ROW($N$1090)+1),"")</f>
        <v>0</v>
      </c>
    </row>
    <row r="1376" spans="5:14">
      <c r="E1376">
        <f>IFERROR(SMALL(E367:E1087,ROW()-ROW($E$1090)+1),"")</f>
        <v>0</v>
      </c>
      <c r="F1376">
        <f>IFERROR(SMALL(F367:F1087,ROW()-ROW($F$1090)+1),"")</f>
        <v>0</v>
      </c>
      <c r="G1376">
        <f>IFERROR(SMALL(G367:G1087,ROW()-ROW($G$1090)+1),"")</f>
        <v>0</v>
      </c>
      <c r="H1376">
        <f>IFERROR(SMALL(H367:H1087,ROW()-ROW($H$1090)+1),"")</f>
        <v>0</v>
      </c>
      <c r="K1376">
        <f>IFERROR(SMALL(K367:K1087,ROW()-ROW($K$1090)+1),"")</f>
        <v>0</v>
      </c>
      <c r="L1376">
        <f>IFERROR(SMALL(L367:L1087,ROW()-ROW($L$1090)+1),"")</f>
        <v>0</v>
      </c>
      <c r="M1376">
        <f>IFERROR(SMALL(M367:M1087,ROW()-ROW($M$1090)+1),"")</f>
        <v>0</v>
      </c>
      <c r="N1376">
        <f>IFERROR(SMALL(N367:N1087,ROW()-ROW($N$1090)+1),"")</f>
        <v>0</v>
      </c>
    </row>
    <row r="1377" spans="5:14">
      <c r="E1377">
        <f>IFERROR(SMALL(E367:E1087,ROW()-ROW($E$1090)+1),"")</f>
        <v>0</v>
      </c>
      <c r="F1377">
        <f>IFERROR(SMALL(F367:F1087,ROW()-ROW($F$1090)+1),"")</f>
        <v>0</v>
      </c>
      <c r="G1377">
        <f>IFERROR(SMALL(G367:G1087,ROW()-ROW($G$1090)+1),"")</f>
        <v>0</v>
      </c>
      <c r="H1377">
        <f>IFERROR(SMALL(H367:H1087,ROW()-ROW($H$1090)+1),"")</f>
        <v>0</v>
      </c>
      <c r="K1377">
        <f>IFERROR(SMALL(K367:K1087,ROW()-ROW($K$1090)+1),"")</f>
        <v>0</v>
      </c>
      <c r="L1377">
        <f>IFERROR(SMALL(L367:L1087,ROW()-ROW($L$1090)+1),"")</f>
        <v>0</v>
      </c>
      <c r="M1377">
        <f>IFERROR(SMALL(M367:M1087,ROW()-ROW($M$1090)+1),"")</f>
        <v>0</v>
      </c>
      <c r="N1377">
        <f>IFERROR(SMALL(N367:N1087,ROW()-ROW($N$1090)+1),"")</f>
        <v>0</v>
      </c>
    </row>
    <row r="1378" spans="5:14">
      <c r="E1378">
        <f>IFERROR(SMALL(E367:E1087,ROW()-ROW($E$1090)+1),"")</f>
        <v>0</v>
      </c>
      <c r="F1378">
        <f>IFERROR(SMALL(F367:F1087,ROW()-ROW($F$1090)+1),"")</f>
        <v>0</v>
      </c>
      <c r="G1378">
        <f>IFERROR(SMALL(G367:G1087,ROW()-ROW($G$1090)+1),"")</f>
        <v>0</v>
      </c>
      <c r="H1378">
        <f>IFERROR(SMALL(H367:H1087,ROW()-ROW($H$1090)+1),"")</f>
        <v>0</v>
      </c>
      <c r="K1378">
        <f>IFERROR(SMALL(K367:K1087,ROW()-ROW($K$1090)+1),"")</f>
        <v>0</v>
      </c>
      <c r="L1378">
        <f>IFERROR(SMALL(L367:L1087,ROW()-ROW($L$1090)+1),"")</f>
        <v>0</v>
      </c>
      <c r="M1378">
        <f>IFERROR(SMALL(M367:M1087,ROW()-ROW($M$1090)+1),"")</f>
        <v>0</v>
      </c>
      <c r="N1378">
        <f>IFERROR(SMALL(N367:N1087,ROW()-ROW($N$1090)+1),"")</f>
        <v>0</v>
      </c>
    </row>
    <row r="1379" spans="5:14">
      <c r="E1379">
        <f>IFERROR(SMALL(E367:E1087,ROW()-ROW($E$1090)+1),"")</f>
        <v>0</v>
      </c>
      <c r="F1379">
        <f>IFERROR(SMALL(F367:F1087,ROW()-ROW($F$1090)+1),"")</f>
        <v>0</v>
      </c>
      <c r="G1379">
        <f>IFERROR(SMALL(G367:G1087,ROW()-ROW($G$1090)+1),"")</f>
        <v>0</v>
      </c>
      <c r="H1379">
        <f>IFERROR(SMALL(H367:H1087,ROW()-ROW($H$1090)+1),"")</f>
        <v>0</v>
      </c>
      <c r="K1379">
        <f>IFERROR(SMALL(K367:K1087,ROW()-ROW($K$1090)+1),"")</f>
        <v>0</v>
      </c>
      <c r="L1379">
        <f>IFERROR(SMALL(L367:L1087,ROW()-ROW($L$1090)+1),"")</f>
        <v>0</v>
      </c>
      <c r="M1379">
        <f>IFERROR(SMALL(M367:M1087,ROW()-ROW($M$1090)+1),"")</f>
        <v>0</v>
      </c>
      <c r="N1379">
        <f>IFERROR(SMALL(N367:N1087,ROW()-ROW($N$1090)+1),"")</f>
        <v>0</v>
      </c>
    </row>
    <row r="1380" spans="5:14">
      <c r="E1380">
        <f>IFERROR(SMALL(E367:E1087,ROW()-ROW($E$1090)+1),"")</f>
        <v>0</v>
      </c>
      <c r="F1380">
        <f>IFERROR(SMALL(F367:F1087,ROW()-ROW($F$1090)+1),"")</f>
        <v>0</v>
      </c>
      <c r="G1380">
        <f>IFERROR(SMALL(G367:G1087,ROW()-ROW($G$1090)+1),"")</f>
        <v>0</v>
      </c>
      <c r="H1380">
        <f>IFERROR(SMALL(H367:H1087,ROW()-ROW($H$1090)+1),"")</f>
        <v>0</v>
      </c>
      <c r="K1380">
        <f>IFERROR(SMALL(K367:K1087,ROW()-ROW($K$1090)+1),"")</f>
        <v>0</v>
      </c>
      <c r="L1380">
        <f>IFERROR(SMALL(L367:L1087,ROW()-ROW($L$1090)+1),"")</f>
        <v>0</v>
      </c>
      <c r="M1380">
        <f>IFERROR(SMALL(M367:M1087,ROW()-ROW($M$1090)+1),"")</f>
        <v>0</v>
      </c>
      <c r="N1380">
        <f>IFERROR(SMALL(N367:N1087,ROW()-ROW($N$1090)+1),"")</f>
        <v>0</v>
      </c>
    </row>
    <row r="1381" spans="5:14">
      <c r="E1381">
        <f>IFERROR(SMALL(E367:E1087,ROW()-ROW($E$1090)+1),"")</f>
        <v>0</v>
      </c>
      <c r="F1381">
        <f>IFERROR(SMALL(F367:F1087,ROW()-ROW($F$1090)+1),"")</f>
        <v>0</v>
      </c>
      <c r="G1381">
        <f>IFERROR(SMALL(G367:G1087,ROW()-ROW($G$1090)+1),"")</f>
        <v>0</v>
      </c>
      <c r="H1381">
        <f>IFERROR(SMALL(H367:H1087,ROW()-ROW($H$1090)+1),"")</f>
        <v>0</v>
      </c>
      <c r="K1381">
        <f>IFERROR(SMALL(K367:K1087,ROW()-ROW($K$1090)+1),"")</f>
        <v>0</v>
      </c>
      <c r="L1381">
        <f>IFERROR(SMALL(L367:L1087,ROW()-ROW($L$1090)+1),"")</f>
        <v>0</v>
      </c>
      <c r="M1381">
        <f>IFERROR(SMALL(M367:M1087,ROW()-ROW($M$1090)+1),"")</f>
        <v>0</v>
      </c>
      <c r="N1381">
        <f>IFERROR(SMALL(N367:N1087,ROW()-ROW($N$1090)+1),"")</f>
        <v>0</v>
      </c>
    </row>
    <row r="1382" spans="5:14">
      <c r="E1382">
        <f>IFERROR(SMALL(E367:E1087,ROW()-ROW($E$1090)+1),"")</f>
        <v>0</v>
      </c>
      <c r="F1382">
        <f>IFERROR(SMALL(F367:F1087,ROW()-ROW($F$1090)+1),"")</f>
        <v>0</v>
      </c>
      <c r="G1382">
        <f>IFERROR(SMALL(G367:G1087,ROW()-ROW($G$1090)+1),"")</f>
        <v>0</v>
      </c>
      <c r="H1382">
        <f>IFERROR(SMALL(H367:H1087,ROW()-ROW($H$1090)+1),"")</f>
        <v>0</v>
      </c>
      <c r="K1382">
        <f>IFERROR(SMALL(K367:K1087,ROW()-ROW($K$1090)+1),"")</f>
        <v>0</v>
      </c>
      <c r="L1382">
        <f>IFERROR(SMALL(L367:L1087,ROW()-ROW($L$1090)+1),"")</f>
        <v>0</v>
      </c>
      <c r="M1382">
        <f>IFERROR(SMALL(M367:M1087,ROW()-ROW($M$1090)+1),"")</f>
        <v>0</v>
      </c>
      <c r="N1382">
        <f>IFERROR(SMALL(N367:N1087,ROW()-ROW($N$1090)+1),"")</f>
        <v>0</v>
      </c>
    </row>
    <row r="1383" spans="5:14">
      <c r="E1383">
        <f>IFERROR(SMALL(E367:E1087,ROW()-ROW($E$1090)+1),"")</f>
        <v>0</v>
      </c>
      <c r="F1383">
        <f>IFERROR(SMALL(F367:F1087,ROW()-ROW($F$1090)+1),"")</f>
        <v>0</v>
      </c>
      <c r="G1383">
        <f>IFERROR(SMALL(G367:G1087,ROW()-ROW($G$1090)+1),"")</f>
        <v>0</v>
      </c>
      <c r="H1383">
        <f>IFERROR(SMALL(H367:H1087,ROW()-ROW($H$1090)+1),"")</f>
        <v>0</v>
      </c>
      <c r="K1383">
        <f>IFERROR(SMALL(K367:K1087,ROW()-ROW($K$1090)+1),"")</f>
        <v>0</v>
      </c>
      <c r="L1383">
        <f>IFERROR(SMALL(L367:L1087,ROW()-ROW($L$1090)+1),"")</f>
        <v>0</v>
      </c>
      <c r="M1383">
        <f>IFERROR(SMALL(M367:M1087,ROW()-ROW($M$1090)+1),"")</f>
        <v>0</v>
      </c>
      <c r="N1383">
        <f>IFERROR(SMALL(N367:N1087,ROW()-ROW($N$1090)+1),"")</f>
        <v>0</v>
      </c>
    </row>
    <row r="1384" spans="5:14">
      <c r="E1384">
        <f>IFERROR(SMALL(E367:E1087,ROW()-ROW($E$1090)+1),"")</f>
        <v>0</v>
      </c>
      <c r="F1384">
        <f>IFERROR(SMALL(F367:F1087,ROW()-ROW($F$1090)+1),"")</f>
        <v>0</v>
      </c>
      <c r="G1384">
        <f>IFERROR(SMALL(G367:G1087,ROW()-ROW($G$1090)+1),"")</f>
        <v>0</v>
      </c>
      <c r="H1384">
        <f>IFERROR(SMALL(H367:H1087,ROW()-ROW($H$1090)+1),"")</f>
        <v>0</v>
      </c>
      <c r="K1384">
        <f>IFERROR(SMALL(K367:K1087,ROW()-ROW($K$1090)+1),"")</f>
        <v>0</v>
      </c>
      <c r="L1384">
        <f>IFERROR(SMALL(L367:L1087,ROW()-ROW($L$1090)+1),"")</f>
        <v>0</v>
      </c>
      <c r="M1384">
        <f>IFERROR(SMALL(M367:M1087,ROW()-ROW($M$1090)+1),"")</f>
        <v>0</v>
      </c>
      <c r="N1384">
        <f>IFERROR(SMALL(N367:N1087,ROW()-ROW($N$1090)+1),"")</f>
        <v>0</v>
      </c>
    </row>
    <row r="1385" spans="5:14">
      <c r="E1385">
        <f>IFERROR(SMALL(E367:E1087,ROW()-ROW($E$1090)+1),"")</f>
        <v>0</v>
      </c>
      <c r="F1385">
        <f>IFERROR(SMALL(F367:F1087,ROW()-ROW($F$1090)+1),"")</f>
        <v>0</v>
      </c>
      <c r="G1385">
        <f>IFERROR(SMALL(G367:G1087,ROW()-ROW($G$1090)+1),"")</f>
        <v>0</v>
      </c>
      <c r="H1385">
        <f>IFERROR(SMALL(H367:H1087,ROW()-ROW($H$1090)+1),"")</f>
        <v>0</v>
      </c>
      <c r="K1385">
        <f>IFERROR(SMALL(K367:K1087,ROW()-ROW($K$1090)+1),"")</f>
        <v>0</v>
      </c>
      <c r="L1385">
        <f>IFERROR(SMALL(L367:L1087,ROW()-ROW($L$1090)+1),"")</f>
        <v>0</v>
      </c>
      <c r="M1385">
        <f>IFERROR(SMALL(M367:M1087,ROW()-ROW($M$1090)+1),"")</f>
        <v>0</v>
      </c>
      <c r="N1385">
        <f>IFERROR(SMALL(N367:N1087,ROW()-ROW($N$1090)+1),"")</f>
        <v>0</v>
      </c>
    </row>
    <row r="1386" spans="5:14">
      <c r="E1386">
        <f>IFERROR(SMALL(E367:E1087,ROW()-ROW($E$1090)+1),"")</f>
        <v>0</v>
      </c>
      <c r="F1386">
        <f>IFERROR(SMALL(F367:F1087,ROW()-ROW($F$1090)+1),"")</f>
        <v>0</v>
      </c>
      <c r="G1386">
        <f>IFERROR(SMALL(G367:G1087,ROW()-ROW($G$1090)+1),"")</f>
        <v>0</v>
      </c>
      <c r="H1386">
        <f>IFERROR(SMALL(H367:H1087,ROW()-ROW($H$1090)+1),"")</f>
        <v>0</v>
      </c>
      <c r="K1386">
        <f>IFERROR(SMALL(K367:K1087,ROW()-ROW($K$1090)+1),"")</f>
        <v>0</v>
      </c>
      <c r="L1386">
        <f>IFERROR(SMALL(L367:L1087,ROW()-ROW($L$1090)+1),"")</f>
        <v>0</v>
      </c>
      <c r="M1386">
        <f>IFERROR(SMALL(M367:M1087,ROW()-ROW($M$1090)+1),"")</f>
        <v>0</v>
      </c>
      <c r="N1386">
        <f>IFERROR(SMALL(N367:N1087,ROW()-ROW($N$1090)+1),"")</f>
        <v>0</v>
      </c>
    </row>
    <row r="1387" spans="5:14">
      <c r="E1387">
        <f>IFERROR(SMALL(E367:E1087,ROW()-ROW($E$1090)+1),"")</f>
        <v>0</v>
      </c>
      <c r="F1387">
        <f>IFERROR(SMALL(F367:F1087,ROW()-ROW($F$1090)+1),"")</f>
        <v>0</v>
      </c>
      <c r="G1387">
        <f>IFERROR(SMALL(G367:G1087,ROW()-ROW($G$1090)+1),"")</f>
        <v>0</v>
      </c>
      <c r="H1387">
        <f>IFERROR(SMALL(H367:H1087,ROW()-ROW($H$1090)+1),"")</f>
        <v>0</v>
      </c>
      <c r="K1387">
        <f>IFERROR(SMALL(K367:K1087,ROW()-ROW($K$1090)+1),"")</f>
        <v>0</v>
      </c>
      <c r="L1387">
        <f>IFERROR(SMALL(L367:L1087,ROW()-ROW($L$1090)+1),"")</f>
        <v>0</v>
      </c>
      <c r="M1387">
        <f>IFERROR(SMALL(M367:M1087,ROW()-ROW($M$1090)+1),"")</f>
        <v>0</v>
      </c>
      <c r="N1387">
        <f>IFERROR(SMALL(N367:N1087,ROW()-ROW($N$1090)+1),"")</f>
        <v>0</v>
      </c>
    </row>
    <row r="1388" spans="5:14">
      <c r="E1388">
        <f>IFERROR(SMALL(E367:E1087,ROW()-ROW($E$1090)+1),"")</f>
        <v>0</v>
      </c>
      <c r="F1388">
        <f>IFERROR(SMALL(F367:F1087,ROW()-ROW($F$1090)+1),"")</f>
        <v>0</v>
      </c>
      <c r="G1388">
        <f>IFERROR(SMALL(G367:G1087,ROW()-ROW($G$1090)+1),"")</f>
        <v>0</v>
      </c>
      <c r="H1388">
        <f>IFERROR(SMALL(H367:H1087,ROW()-ROW($H$1090)+1),"")</f>
        <v>0</v>
      </c>
      <c r="K1388">
        <f>IFERROR(SMALL(K367:K1087,ROW()-ROW($K$1090)+1),"")</f>
        <v>0</v>
      </c>
      <c r="L1388">
        <f>IFERROR(SMALL(L367:L1087,ROW()-ROW($L$1090)+1),"")</f>
        <v>0</v>
      </c>
      <c r="M1388">
        <f>IFERROR(SMALL(M367:M1087,ROW()-ROW($M$1090)+1),"")</f>
        <v>0</v>
      </c>
      <c r="N1388">
        <f>IFERROR(SMALL(N367:N1087,ROW()-ROW($N$1090)+1),"")</f>
        <v>0</v>
      </c>
    </row>
    <row r="1389" spans="5:14">
      <c r="E1389">
        <f>IFERROR(SMALL(E367:E1087,ROW()-ROW($E$1090)+1),"")</f>
        <v>0</v>
      </c>
      <c r="F1389">
        <f>IFERROR(SMALL(F367:F1087,ROW()-ROW($F$1090)+1),"")</f>
        <v>0</v>
      </c>
      <c r="G1389">
        <f>IFERROR(SMALL(G367:G1087,ROW()-ROW($G$1090)+1),"")</f>
        <v>0</v>
      </c>
      <c r="H1389">
        <f>IFERROR(SMALL(H367:H1087,ROW()-ROW($H$1090)+1),"")</f>
        <v>0</v>
      </c>
      <c r="K1389">
        <f>IFERROR(SMALL(K367:K1087,ROW()-ROW($K$1090)+1),"")</f>
        <v>0</v>
      </c>
      <c r="L1389">
        <f>IFERROR(SMALL(L367:L1087,ROW()-ROW($L$1090)+1),"")</f>
        <v>0</v>
      </c>
      <c r="M1389">
        <f>IFERROR(SMALL(M367:M1087,ROW()-ROW($M$1090)+1),"")</f>
        <v>0</v>
      </c>
      <c r="N1389">
        <f>IFERROR(SMALL(N367:N1087,ROW()-ROW($N$1090)+1),"")</f>
        <v>0</v>
      </c>
    </row>
    <row r="1390" spans="5:14">
      <c r="E1390">
        <f>IFERROR(SMALL(E367:E1087,ROW()-ROW($E$1090)+1),"")</f>
        <v>0</v>
      </c>
      <c r="F1390">
        <f>IFERROR(SMALL(F367:F1087,ROW()-ROW($F$1090)+1),"")</f>
        <v>0</v>
      </c>
      <c r="G1390">
        <f>IFERROR(SMALL(G367:G1087,ROW()-ROW($G$1090)+1),"")</f>
        <v>0</v>
      </c>
      <c r="H1390">
        <f>IFERROR(SMALL(H367:H1087,ROW()-ROW($H$1090)+1),"")</f>
        <v>0</v>
      </c>
      <c r="K1390">
        <f>IFERROR(SMALL(K367:K1087,ROW()-ROW($K$1090)+1),"")</f>
        <v>0</v>
      </c>
      <c r="L1390">
        <f>IFERROR(SMALL(L367:L1087,ROW()-ROW($L$1090)+1),"")</f>
        <v>0</v>
      </c>
      <c r="M1390">
        <f>IFERROR(SMALL(M367:M1087,ROW()-ROW($M$1090)+1),"")</f>
        <v>0</v>
      </c>
      <c r="N1390">
        <f>IFERROR(SMALL(N367:N1087,ROW()-ROW($N$1090)+1),"")</f>
        <v>0</v>
      </c>
    </row>
    <row r="1391" spans="5:14">
      <c r="E1391">
        <f>IFERROR(SMALL(E367:E1087,ROW()-ROW($E$1090)+1),"")</f>
        <v>0</v>
      </c>
      <c r="F1391">
        <f>IFERROR(SMALL(F367:F1087,ROW()-ROW($F$1090)+1),"")</f>
        <v>0</v>
      </c>
      <c r="G1391">
        <f>IFERROR(SMALL(G367:G1087,ROW()-ROW($G$1090)+1),"")</f>
        <v>0</v>
      </c>
      <c r="H1391">
        <f>IFERROR(SMALL(H367:H1087,ROW()-ROW($H$1090)+1),"")</f>
        <v>0</v>
      </c>
      <c r="K1391">
        <f>IFERROR(SMALL(K367:K1087,ROW()-ROW($K$1090)+1),"")</f>
        <v>0</v>
      </c>
      <c r="L1391">
        <f>IFERROR(SMALL(L367:L1087,ROW()-ROW($L$1090)+1),"")</f>
        <v>0</v>
      </c>
      <c r="M1391">
        <f>IFERROR(SMALL(M367:M1087,ROW()-ROW($M$1090)+1),"")</f>
        <v>0</v>
      </c>
      <c r="N1391">
        <f>IFERROR(SMALL(N367:N1087,ROW()-ROW($N$1090)+1),"")</f>
        <v>0</v>
      </c>
    </row>
    <row r="1392" spans="5:14">
      <c r="E1392">
        <f>IFERROR(SMALL(E367:E1087,ROW()-ROW($E$1090)+1),"")</f>
        <v>0</v>
      </c>
      <c r="F1392">
        <f>IFERROR(SMALL(F367:F1087,ROW()-ROW($F$1090)+1),"")</f>
        <v>0</v>
      </c>
      <c r="G1392">
        <f>IFERROR(SMALL(G367:G1087,ROW()-ROW($G$1090)+1),"")</f>
        <v>0</v>
      </c>
      <c r="H1392">
        <f>IFERROR(SMALL(H367:H1087,ROW()-ROW($H$1090)+1),"")</f>
        <v>0</v>
      </c>
      <c r="K1392">
        <f>IFERROR(SMALL(K367:K1087,ROW()-ROW($K$1090)+1),"")</f>
        <v>0</v>
      </c>
      <c r="L1392">
        <f>IFERROR(SMALL(L367:L1087,ROW()-ROW($L$1090)+1),"")</f>
        <v>0</v>
      </c>
      <c r="M1392">
        <f>IFERROR(SMALL(M367:M1087,ROW()-ROW($M$1090)+1),"")</f>
        <v>0</v>
      </c>
      <c r="N1392">
        <f>IFERROR(SMALL(N367:N1087,ROW()-ROW($N$1090)+1),"")</f>
        <v>0</v>
      </c>
    </row>
    <row r="1393" spans="5:14">
      <c r="E1393">
        <f>IFERROR(SMALL(E367:E1087,ROW()-ROW($E$1090)+1),"")</f>
        <v>0</v>
      </c>
      <c r="F1393">
        <f>IFERROR(SMALL(F367:F1087,ROW()-ROW($F$1090)+1),"")</f>
        <v>0</v>
      </c>
      <c r="G1393">
        <f>IFERROR(SMALL(G367:G1087,ROW()-ROW($G$1090)+1),"")</f>
        <v>0</v>
      </c>
      <c r="H1393">
        <f>IFERROR(SMALL(H367:H1087,ROW()-ROW($H$1090)+1),"")</f>
        <v>0</v>
      </c>
      <c r="K1393">
        <f>IFERROR(SMALL(K367:K1087,ROW()-ROW($K$1090)+1),"")</f>
        <v>0</v>
      </c>
      <c r="L1393">
        <f>IFERROR(SMALL(L367:L1087,ROW()-ROW($L$1090)+1),"")</f>
        <v>0</v>
      </c>
      <c r="M1393">
        <f>IFERROR(SMALL(M367:M1087,ROW()-ROW($M$1090)+1),"")</f>
        <v>0</v>
      </c>
      <c r="N1393">
        <f>IFERROR(SMALL(N367:N1087,ROW()-ROW($N$1090)+1),"")</f>
        <v>0</v>
      </c>
    </row>
    <row r="1394" spans="5:14">
      <c r="E1394">
        <f>IFERROR(SMALL(E367:E1087,ROW()-ROW($E$1090)+1),"")</f>
        <v>0</v>
      </c>
      <c r="F1394">
        <f>IFERROR(SMALL(F367:F1087,ROW()-ROW($F$1090)+1),"")</f>
        <v>0</v>
      </c>
      <c r="G1394">
        <f>IFERROR(SMALL(G367:G1087,ROW()-ROW($G$1090)+1),"")</f>
        <v>0</v>
      </c>
      <c r="H1394">
        <f>IFERROR(SMALL(H367:H1087,ROW()-ROW($H$1090)+1),"")</f>
        <v>0</v>
      </c>
      <c r="K1394">
        <f>IFERROR(SMALL(K367:K1087,ROW()-ROW($K$1090)+1),"")</f>
        <v>0</v>
      </c>
      <c r="L1394">
        <f>IFERROR(SMALL(L367:L1087,ROW()-ROW($L$1090)+1),"")</f>
        <v>0</v>
      </c>
      <c r="M1394">
        <f>IFERROR(SMALL(M367:M1087,ROW()-ROW($M$1090)+1),"")</f>
        <v>0</v>
      </c>
      <c r="N1394">
        <f>IFERROR(SMALL(N367:N1087,ROW()-ROW($N$1090)+1),"")</f>
        <v>0</v>
      </c>
    </row>
    <row r="1395" spans="5:14">
      <c r="E1395">
        <f>IFERROR(SMALL(E367:E1087,ROW()-ROW($E$1090)+1),"")</f>
        <v>0</v>
      </c>
      <c r="F1395">
        <f>IFERROR(SMALL(F367:F1087,ROW()-ROW($F$1090)+1),"")</f>
        <v>0</v>
      </c>
      <c r="G1395">
        <f>IFERROR(SMALL(G367:G1087,ROW()-ROW($G$1090)+1),"")</f>
        <v>0</v>
      </c>
      <c r="H1395">
        <f>IFERROR(SMALL(H367:H1087,ROW()-ROW($H$1090)+1),"")</f>
        <v>0</v>
      </c>
      <c r="K1395">
        <f>IFERROR(SMALL(K367:K1087,ROW()-ROW($K$1090)+1),"")</f>
        <v>0</v>
      </c>
      <c r="L1395">
        <f>IFERROR(SMALL(L367:L1087,ROW()-ROW($L$1090)+1),"")</f>
        <v>0</v>
      </c>
      <c r="M1395">
        <f>IFERROR(SMALL(M367:M1087,ROW()-ROW($M$1090)+1),"")</f>
        <v>0</v>
      </c>
      <c r="N1395">
        <f>IFERROR(SMALL(N367:N1087,ROW()-ROW($N$1090)+1),"")</f>
        <v>0</v>
      </c>
    </row>
    <row r="1396" spans="5:14">
      <c r="E1396">
        <f>IFERROR(SMALL(E367:E1087,ROW()-ROW($E$1090)+1),"")</f>
        <v>0</v>
      </c>
      <c r="F1396">
        <f>IFERROR(SMALL(F367:F1087,ROW()-ROW($F$1090)+1),"")</f>
        <v>0</v>
      </c>
      <c r="G1396">
        <f>IFERROR(SMALL(G367:G1087,ROW()-ROW($G$1090)+1),"")</f>
        <v>0</v>
      </c>
      <c r="H1396">
        <f>IFERROR(SMALL(H367:H1087,ROW()-ROW($H$1090)+1),"")</f>
        <v>0</v>
      </c>
      <c r="K1396">
        <f>IFERROR(SMALL(K367:K1087,ROW()-ROW($K$1090)+1),"")</f>
        <v>0</v>
      </c>
      <c r="L1396">
        <f>IFERROR(SMALL(L367:L1087,ROW()-ROW($L$1090)+1),"")</f>
        <v>0</v>
      </c>
      <c r="M1396">
        <f>IFERROR(SMALL(M367:M1087,ROW()-ROW($M$1090)+1),"")</f>
        <v>0</v>
      </c>
      <c r="N1396">
        <f>IFERROR(SMALL(N367:N1087,ROW()-ROW($N$1090)+1),"")</f>
        <v>0</v>
      </c>
    </row>
    <row r="1397" spans="5:14">
      <c r="E1397">
        <f>IFERROR(SMALL(E367:E1087,ROW()-ROW($E$1090)+1),"")</f>
        <v>0</v>
      </c>
      <c r="F1397">
        <f>IFERROR(SMALL(F367:F1087,ROW()-ROW($F$1090)+1),"")</f>
        <v>0</v>
      </c>
      <c r="G1397">
        <f>IFERROR(SMALL(G367:G1087,ROW()-ROW($G$1090)+1),"")</f>
        <v>0</v>
      </c>
      <c r="H1397">
        <f>IFERROR(SMALL(H367:H1087,ROW()-ROW($H$1090)+1),"")</f>
        <v>0</v>
      </c>
      <c r="K1397">
        <f>IFERROR(SMALL(K367:K1087,ROW()-ROW($K$1090)+1),"")</f>
        <v>0</v>
      </c>
      <c r="L1397">
        <f>IFERROR(SMALL(L367:L1087,ROW()-ROW($L$1090)+1),"")</f>
        <v>0</v>
      </c>
      <c r="M1397">
        <f>IFERROR(SMALL(M367:M1087,ROW()-ROW($M$1090)+1),"")</f>
        <v>0</v>
      </c>
      <c r="N1397">
        <f>IFERROR(SMALL(N367:N1087,ROW()-ROW($N$1090)+1),"")</f>
        <v>0</v>
      </c>
    </row>
    <row r="1398" spans="5:14">
      <c r="E1398">
        <f>IFERROR(SMALL(E367:E1087,ROW()-ROW($E$1090)+1),"")</f>
        <v>0</v>
      </c>
      <c r="F1398">
        <f>IFERROR(SMALL(F367:F1087,ROW()-ROW($F$1090)+1),"")</f>
        <v>0</v>
      </c>
      <c r="G1398">
        <f>IFERROR(SMALL(G367:G1087,ROW()-ROW($G$1090)+1),"")</f>
        <v>0</v>
      </c>
      <c r="H1398">
        <f>IFERROR(SMALL(H367:H1087,ROW()-ROW($H$1090)+1),"")</f>
        <v>0</v>
      </c>
      <c r="K1398">
        <f>IFERROR(SMALL(K367:K1087,ROW()-ROW($K$1090)+1),"")</f>
        <v>0</v>
      </c>
      <c r="L1398">
        <f>IFERROR(SMALL(L367:L1087,ROW()-ROW($L$1090)+1),"")</f>
        <v>0</v>
      </c>
      <c r="M1398">
        <f>IFERROR(SMALL(M367:M1087,ROW()-ROW($M$1090)+1),"")</f>
        <v>0</v>
      </c>
      <c r="N1398">
        <f>IFERROR(SMALL(N367:N1087,ROW()-ROW($N$1090)+1),"")</f>
        <v>0</v>
      </c>
    </row>
    <row r="1399" spans="5:14">
      <c r="E1399">
        <f>IFERROR(SMALL(E367:E1087,ROW()-ROW($E$1090)+1),"")</f>
        <v>0</v>
      </c>
      <c r="F1399">
        <f>IFERROR(SMALL(F367:F1087,ROW()-ROW($F$1090)+1),"")</f>
        <v>0</v>
      </c>
      <c r="G1399">
        <f>IFERROR(SMALL(G367:G1087,ROW()-ROW($G$1090)+1),"")</f>
        <v>0</v>
      </c>
      <c r="H1399">
        <f>IFERROR(SMALL(H367:H1087,ROW()-ROW($H$1090)+1),"")</f>
        <v>0</v>
      </c>
      <c r="K1399">
        <f>IFERROR(SMALL(K367:K1087,ROW()-ROW($K$1090)+1),"")</f>
        <v>0</v>
      </c>
      <c r="L1399">
        <f>IFERROR(SMALL(L367:L1087,ROW()-ROW($L$1090)+1),"")</f>
        <v>0</v>
      </c>
      <c r="M1399">
        <f>IFERROR(SMALL(M367:M1087,ROW()-ROW($M$1090)+1),"")</f>
        <v>0</v>
      </c>
      <c r="N1399">
        <f>IFERROR(SMALL(N367:N1087,ROW()-ROW($N$1090)+1),"")</f>
        <v>0</v>
      </c>
    </row>
    <row r="1400" spans="5:14">
      <c r="E1400">
        <f>IFERROR(SMALL(E367:E1087,ROW()-ROW($E$1090)+1),"")</f>
        <v>0</v>
      </c>
      <c r="F1400">
        <f>IFERROR(SMALL(F367:F1087,ROW()-ROW($F$1090)+1),"")</f>
        <v>0</v>
      </c>
      <c r="G1400">
        <f>IFERROR(SMALL(G367:G1087,ROW()-ROW($G$1090)+1),"")</f>
        <v>0</v>
      </c>
      <c r="H1400">
        <f>IFERROR(SMALL(H367:H1087,ROW()-ROW($H$1090)+1),"")</f>
        <v>0</v>
      </c>
      <c r="K1400">
        <f>IFERROR(SMALL(K367:K1087,ROW()-ROW($K$1090)+1),"")</f>
        <v>0</v>
      </c>
      <c r="L1400">
        <f>IFERROR(SMALL(L367:L1087,ROW()-ROW($L$1090)+1),"")</f>
        <v>0</v>
      </c>
      <c r="M1400">
        <f>IFERROR(SMALL(M367:M1087,ROW()-ROW($M$1090)+1),"")</f>
        <v>0</v>
      </c>
      <c r="N1400">
        <f>IFERROR(SMALL(N367:N1087,ROW()-ROW($N$1090)+1),"")</f>
        <v>0</v>
      </c>
    </row>
    <row r="1401" spans="5:14">
      <c r="E1401">
        <f>IFERROR(SMALL(E367:E1087,ROW()-ROW($E$1090)+1),"")</f>
        <v>0</v>
      </c>
      <c r="F1401">
        <f>IFERROR(SMALL(F367:F1087,ROW()-ROW($F$1090)+1),"")</f>
        <v>0</v>
      </c>
      <c r="G1401">
        <f>IFERROR(SMALL(G367:G1087,ROW()-ROW($G$1090)+1),"")</f>
        <v>0</v>
      </c>
      <c r="H1401">
        <f>IFERROR(SMALL(H367:H1087,ROW()-ROW($H$1090)+1),"")</f>
        <v>0</v>
      </c>
      <c r="K1401">
        <f>IFERROR(SMALL(K367:K1087,ROW()-ROW($K$1090)+1),"")</f>
        <v>0</v>
      </c>
      <c r="L1401">
        <f>IFERROR(SMALL(L367:L1087,ROW()-ROW($L$1090)+1),"")</f>
        <v>0</v>
      </c>
      <c r="M1401">
        <f>IFERROR(SMALL(M367:M1087,ROW()-ROW($M$1090)+1),"")</f>
        <v>0</v>
      </c>
      <c r="N1401">
        <f>IFERROR(SMALL(N367:N1087,ROW()-ROW($N$1090)+1),"")</f>
        <v>0</v>
      </c>
    </row>
    <row r="1402" spans="5:14">
      <c r="E1402">
        <f>IFERROR(SMALL(E367:E1087,ROW()-ROW($E$1090)+1),"")</f>
        <v>0</v>
      </c>
      <c r="F1402">
        <f>IFERROR(SMALL(F367:F1087,ROW()-ROW($F$1090)+1),"")</f>
        <v>0</v>
      </c>
      <c r="G1402">
        <f>IFERROR(SMALL(G367:G1087,ROW()-ROW($G$1090)+1),"")</f>
        <v>0</v>
      </c>
      <c r="H1402">
        <f>IFERROR(SMALL(H367:H1087,ROW()-ROW($H$1090)+1),"")</f>
        <v>0</v>
      </c>
      <c r="K1402">
        <f>IFERROR(SMALL(K367:K1087,ROW()-ROW($K$1090)+1),"")</f>
        <v>0</v>
      </c>
      <c r="L1402">
        <f>IFERROR(SMALL(L367:L1087,ROW()-ROW($L$1090)+1),"")</f>
        <v>0</v>
      </c>
      <c r="M1402">
        <f>IFERROR(SMALL(M367:M1087,ROW()-ROW($M$1090)+1),"")</f>
        <v>0</v>
      </c>
      <c r="N1402">
        <f>IFERROR(SMALL(N367:N1087,ROW()-ROW($N$1090)+1),"")</f>
        <v>0</v>
      </c>
    </row>
    <row r="1403" spans="5:14">
      <c r="E1403">
        <f>IFERROR(SMALL(E367:E1087,ROW()-ROW($E$1090)+1),"")</f>
        <v>0</v>
      </c>
      <c r="F1403">
        <f>IFERROR(SMALL(F367:F1087,ROW()-ROW($F$1090)+1),"")</f>
        <v>0</v>
      </c>
      <c r="G1403">
        <f>IFERROR(SMALL(G367:G1087,ROW()-ROW($G$1090)+1),"")</f>
        <v>0</v>
      </c>
      <c r="H1403">
        <f>IFERROR(SMALL(H367:H1087,ROW()-ROW($H$1090)+1),"")</f>
        <v>0</v>
      </c>
      <c r="K1403">
        <f>IFERROR(SMALL(K367:K1087,ROW()-ROW($K$1090)+1),"")</f>
        <v>0</v>
      </c>
      <c r="L1403">
        <f>IFERROR(SMALL(L367:L1087,ROW()-ROW($L$1090)+1),"")</f>
        <v>0</v>
      </c>
      <c r="M1403">
        <f>IFERROR(SMALL(M367:M1087,ROW()-ROW($M$1090)+1),"")</f>
        <v>0</v>
      </c>
      <c r="N1403">
        <f>IFERROR(SMALL(N367:N1087,ROW()-ROW($N$1090)+1),"")</f>
        <v>0</v>
      </c>
    </row>
    <row r="1404" spans="5:14">
      <c r="E1404">
        <f>IFERROR(SMALL(E367:E1087,ROW()-ROW($E$1090)+1),"")</f>
        <v>0</v>
      </c>
      <c r="F1404">
        <f>IFERROR(SMALL(F367:F1087,ROW()-ROW($F$1090)+1),"")</f>
        <v>0</v>
      </c>
      <c r="G1404">
        <f>IFERROR(SMALL(G367:G1087,ROW()-ROW($G$1090)+1),"")</f>
        <v>0</v>
      </c>
      <c r="H1404">
        <f>IFERROR(SMALL(H367:H1087,ROW()-ROW($H$1090)+1),"")</f>
        <v>0</v>
      </c>
      <c r="K1404">
        <f>IFERROR(SMALL(K367:K1087,ROW()-ROW($K$1090)+1),"")</f>
        <v>0</v>
      </c>
      <c r="L1404">
        <f>IFERROR(SMALL(L367:L1087,ROW()-ROW($L$1090)+1),"")</f>
        <v>0</v>
      </c>
      <c r="M1404">
        <f>IFERROR(SMALL(M367:M1087,ROW()-ROW($M$1090)+1),"")</f>
        <v>0</v>
      </c>
      <c r="N1404">
        <f>IFERROR(SMALL(N367:N1087,ROW()-ROW($N$1090)+1),"")</f>
        <v>0</v>
      </c>
    </row>
    <row r="1405" spans="5:14">
      <c r="E1405">
        <f>IFERROR(SMALL(E367:E1087,ROW()-ROW($E$1090)+1),"")</f>
        <v>0</v>
      </c>
      <c r="F1405">
        <f>IFERROR(SMALL(F367:F1087,ROW()-ROW($F$1090)+1),"")</f>
        <v>0</v>
      </c>
      <c r="G1405">
        <f>IFERROR(SMALL(G367:G1087,ROW()-ROW($G$1090)+1),"")</f>
        <v>0</v>
      </c>
      <c r="H1405">
        <f>IFERROR(SMALL(H367:H1087,ROW()-ROW($H$1090)+1),"")</f>
        <v>0</v>
      </c>
      <c r="K1405">
        <f>IFERROR(SMALL(K367:K1087,ROW()-ROW($K$1090)+1),"")</f>
        <v>0</v>
      </c>
      <c r="L1405">
        <f>IFERROR(SMALL(L367:L1087,ROW()-ROW($L$1090)+1),"")</f>
        <v>0</v>
      </c>
      <c r="M1405">
        <f>IFERROR(SMALL(M367:M1087,ROW()-ROW($M$1090)+1),"")</f>
        <v>0</v>
      </c>
      <c r="N1405">
        <f>IFERROR(SMALL(N367:N1087,ROW()-ROW($N$1090)+1),"")</f>
        <v>0</v>
      </c>
    </row>
    <row r="1406" spans="5:14">
      <c r="E1406">
        <f>IFERROR(SMALL(E367:E1087,ROW()-ROW($E$1090)+1),"")</f>
        <v>0</v>
      </c>
      <c r="F1406">
        <f>IFERROR(SMALL(F367:F1087,ROW()-ROW($F$1090)+1),"")</f>
        <v>0</v>
      </c>
      <c r="G1406">
        <f>IFERROR(SMALL(G367:G1087,ROW()-ROW($G$1090)+1),"")</f>
        <v>0</v>
      </c>
      <c r="H1406">
        <f>IFERROR(SMALL(H367:H1087,ROW()-ROW($H$1090)+1),"")</f>
        <v>0</v>
      </c>
      <c r="K1406">
        <f>IFERROR(SMALL(K367:K1087,ROW()-ROW($K$1090)+1),"")</f>
        <v>0</v>
      </c>
      <c r="L1406">
        <f>IFERROR(SMALL(L367:L1087,ROW()-ROW($L$1090)+1),"")</f>
        <v>0</v>
      </c>
      <c r="M1406">
        <f>IFERROR(SMALL(M367:M1087,ROW()-ROW($M$1090)+1),"")</f>
        <v>0</v>
      </c>
      <c r="N1406">
        <f>IFERROR(SMALL(N367:N1087,ROW()-ROW($N$1090)+1),"")</f>
        <v>0</v>
      </c>
    </row>
    <row r="1407" spans="5:14">
      <c r="E1407">
        <f>IFERROR(SMALL(E367:E1087,ROW()-ROW($E$1090)+1),"")</f>
        <v>0</v>
      </c>
      <c r="F1407">
        <f>IFERROR(SMALL(F367:F1087,ROW()-ROW($F$1090)+1),"")</f>
        <v>0</v>
      </c>
      <c r="G1407">
        <f>IFERROR(SMALL(G367:G1087,ROW()-ROW($G$1090)+1),"")</f>
        <v>0</v>
      </c>
      <c r="H1407">
        <f>IFERROR(SMALL(H367:H1087,ROW()-ROW($H$1090)+1),"")</f>
        <v>0</v>
      </c>
      <c r="K1407">
        <f>IFERROR(SMALL(K367:K1087,ROW()-ROW($K$1090)+1),"")</f>
        <v>0</v>
      </c>
      <c r="L1407">
        <f>IFERROR(SMALL(L367:L1087,ROW()-ROW($L$1090)+1),"")</f>
        <v>0</v>
      </c>
      <c r="M1407">
        <f>IFERROR(SMALL(M367:M1087,ROW()-ROW($M$1090)+1),"")</f>
        <v>0</v>
      </c>
      <c r="N1407">
        <f>IFERROR(SMALL(N367:N1087,ROW()-ROW($N$1090)+1),"")</f>
        <v>0</v>
      </c>
    </row>
    <row r="1408" spans="5:14">
      <c r="E1408">
        <f>IFERROR(SMALL(E367:E1087,ROW()-ROW($E$1090)+1),"")</f>
        <v>0</v>
      </c>
      <c r="F1408">
        <f>IFERROR(SMALL(F367:F1087,ROW()-ROW($F$1090)+1),"")</f>
        <v>0</v>
      </c>
      <c r="G1408">
        <f>IFERROR(SMALL(G367:G1087,ROW()-ROW($G$1090)+1),"")</f>
        <v>0</v>
      </c>
      <c r="H1408">
        <f>IFERROR(SMALL(H367:H1087,ROW()-ROW($H$1090)+1),"")</f>
        <v>0</v>
      </c>
      <c r="K1408">
        <f>IFERROR(SMALL(K367:K1087,ROW()-ROW($K$1090)+1),"")</f>
        <v>0</v>
      </c>
      <c r="L1408">
        <f>IFERROR(SMALL(L367:L1087,ROW()-ROW($L$1090)+1),"")</f>
        <v>0</v>
      </c>
      <c r="M1408">
        <f>IFERROR(SMALL(M367:M1087,ROW()-ROW($M$1090)+1),"")</f>
        <v>0</v>
      </c>
      <c r="N1408">
        <f>IFERROR(SMALL(N367:N1087,ROW()-ROW($N$1090)+1),"")</f>
        <v>0</v>
      </c>
    </row>
    <row r="1409" spans="5:14">
      <c r="E1409">
        <f>IFERROR(SMALL(E367:E1087,ROW()-ROW($E$1090)+1),"")</f>
        <v>0</v>
      </c>
      <c r="F1409">
        <f>IFERROR(SMALL(F367:F1087,ROW()-ROW($F$1090)+1),"")</f>
        <v>0</v>
      </c>
      <c r="G1409">
        <f>IFERROR(SMALL(G367:G1087,ROW()-ROW($G$1090)+1),"")</f>
        <v>0</v>
      </c>
      <c r="H1409">
        <f>IFERROR(SMALL(H367:H1087,ROW()-ROW($H$1090)+1),"")</f>
        <v>0</v>
      </c>
      <c r="K1409">
        <f>IFERROR(SMALL(K367:K1087,ROW()-ROW($K$1090)+1),"")</f>
        <v>0</v>
      </c>
      <c r="L1409">
        <f>IFERROR(SMALL(L367:L1087,ROW()-ROW($L$1090)+1),"")</f>
        <v>0</v>
      </c>
      <c r="M1409">
        <f>IFERROR(SMALL(M367:M1087,ROW()-ROW($M$1090)+1),"")</f>
        <v>0</v>
      </c>
      <c r="N1409">
        <f>IFERROR(SMALL(N367:N1087,ROW()-ROW($N$1090)+1),"")</f>
        <v>0</v>
      </c>
    </row>
    <row r="1410" spans="5:14">
      <c r="E1410">
        <f>IFERROR(SMALL(E367:E1087,ROW()-ROW($E$1090)+1),"")</f>
        <v>0</v>
      </c>
      <c r="F1410">
        <f>IFERROR(SMALL(F367:F1087,ROW()-ROW($F$1090)+1),"")</f>
        <v>0</v>
      </c>
      <c r="G1410">
        <f>IFERROR(SMALL(G367:G1087,ROW()-ROW($G$1090)+1),"")</f>
        <v>0</v>
      </c>
      <c r="H1410">
        <f>IFERROR(SMALL(H367:H1087,ROW()-ROW($H$1090)+1),"")</f>
        <v>0</v>
      </c>
      <c r="K1410">
        <f>IFERROR(SMALL(K367:K1087,ROW()-ROW($K$1090)+1),"")</f>
        <v>0</v>
      </c>
      <c r="L1410">
        <f>IFERROR(SMALL(L367:L1087,ROW()-ROW($L$1090)+1),"")</f>
        <v>0</v>
      </c>
      <c r="M1410">
        <f>IFERROR(SMALL(M367:M1087,ROW()-ROW($M$1090)+1),"")</f>
        <v>0</v>
      </c>
      <c r="N1410">
        <f>IFERROR(SMALL(N367:N1087,ROW()-ROW($N$1090)+1),"")</f>
        <v>0</v>
      </c>
    </row>
    <row r="1411" spans="5:14">
      <c r="E1411">
        <f>IFERROR(SMALL(E367:E1087,ROW()-ROW($E$1090)+1),"")</f>
        <v>0</v>
      </c>
      <c r="F1411">
        <f>IFERROR(SMALL(F367:F1087,ROW()-ROW($F$1090)+1),"")</f>
        <v>0</v>
      </c>
      <c r="G1411">
        <f>IFERROR(SMALL(G367:G1087,ROW()-ROW($G$1090)+1),"")</f>
        <v>0</v>
      </c>
      <c r="H1411">
        <f>IFERROR(SMALL(H367:H1087,ROW()-ROW($H$1090)+1),"")</f>
        <v>0</v>
      </c>
      <c r="K1411">
        <f>IFERROR(SMALL(K367:K1087,ROW()-ROW($K$1090)+1),"")</f>
        <v>0</v>
      </c>
      <c r="L1411">
        <f>IFERROR(SMALL(L367:L1087,ROW()-ROW($L$1090)+1),"")</f>
        <v>0</v>
      </c>
      <c r="M1411">
        <f>IFERROR(SMALL(M367:M1087,ROW()-ROW($M$1090)+1),"")</f>
        <v>0</v>
      </c>
      <c r="N1411">
        <f>IFERROR(SMALL(N367:N1087,ROW()-ROW($N$1090)+1),"")</f>
        <v>0</v>
      </c>
    </row>
    <row r="1412" spans="5:14">
      <c r="E1412">
        <f>IFERROR(SMALL(E367:E1087,ROW()-ROW($E$1090)+1),"")</f>
        <v>0</v>
      </c>
      <c r="F1412">
        <f>IFERROR(SMALL(F367:F1087,ROW()-ROW($F$1090)+1),"")</f>
        <v>0</v>
      </c>
      <c r="G1412">
        <f>IFERROR(SMALL(G367:G1087,ROW()-ROW($G$1090)+1),"")</f>
        <v>0</v>
      </c>
      <c r="H1412">
        <f>IFERROR(SMALL(H367:H1087,ROW()-ROW($H$1090)+1),"")</f>
        <v>0</v>
      </c>
      <c r="K1412">
        <f>IFERROR(SMALL(K367:K1087,ROW()-ROW($K$1090)+1),"")</f>
        <v>0</v>
      </c>
      <c r="L1412">
        <f>IFERROR(SMALL(L367:L1087,ROW()-ROW($L$1090)+1),"")</f>
        <v>0</v>
      </c>
      <c r="M1412">
        <f>IFERROR(SMALL(M367:M1087,ROW()-ROW($M$1090)+1),"")</f>
        <v>0</v>
      </c>
      <c r="N1412">
        <f>IFERROR(SMALL(N367:N1087,ROW()-ROW($N$1090)+1),"")</f>
        <v>0</v>
      </c>
    </row>
    <row r="1413" spans="5:14">
      <c r="E1413">
        <f>IFERROR(SMALL(E367:E1087,ROW()-ROW($E$1090)+1),"")</f>
        <v>0</v>
      </c>
      <c r="F1413">
        <f>IFERROR(SMALL(F367:F1087,ROW()-ROW($F$1090)+1),"")</f>
        <v>0</v>
      </c>
      <c r="G1413">
        <f>IFERROR(SMALL(G367:G1087,ROW()-ROW($G$1090)+1),"")</f>
        <v>0</v>
      </c>
      <c r="H1413">
        <f>IFERROR(SMALL(H367:H1087,ROW()-ROW($H$1090)+1),"")</f>
        <v>0</v>
      </c>
      <c r="K1413">
        <f>IFERROR(SMALL(K367:K1087,ROW()-ROW($K$1090)+1),"")</f>
        <v>0</v>
      </c>
      <c r="L1413">
        <f>IFERROR(SMALL(L367:L1087,ROW()-ROW($L$1090)+1),"")</f>
        <v>0</v>
      </c>
      <c r="M1413">
        <f>IFERROR(SMALL(M367:M1087,ROW()-ROW($M$1090)+1),"")</f>
        <v>0</v>
      </c>
      <c r="N1413">
        <f>IFERROR(SMALL(N367:N1087,ROW()-ROW($N$1090)+1),"")</f>
        <v>0</v>
      </c>
    </row>
    <row r="1414" spans="5:14">
      <c r="E1414">
        <f>IFERROR(SMALL(E367:E1087,ROW()-ROW($E$1090)+1),"")</f>
        <v>0</v>
      </c>
      <c r="F1414">
        <f>IFERROR(SMALL(F367:F1087,ROW()-ROW($F$1090)+1),"")</f>
        <v>0</v>
      </c>
      <c r="G1414">
        <f>IFERROR(SMALL(G367:G1087,ROW()-ROW($G$1090)+1),"")</f>
        <v>0</v>
      </c>
      <c r="H1414">
        <f>IFERROR(SMALL(H367:H1087,ROW()-ROW($H$1090)+1),"")</f>
        <v>0</v>
      </c>
      <c r="K1414">
        <f>IFERROR(SMALL(K367:K1087,ROW()-ROW($K$1090)+1),"")</f>
        <v>0</v>
      </c>
      <c r="L1414">
        <f>IFERROR(SMALL(L367:L1087,ROW()-ROW($L$1090)+1),"")</f>
        <v>0</v>
      </c>
      <c r="M1414">
        <f>IFERROR(SMALL(M367:M1087,ROW()-ROW($M$1090)+1),"")</f>
        <v>0</v>
      </c>
      <c r="N1414">
        <f>IFERROR(SMALL(N367:N1087,ROW()-ROW($N$1090)+1),"")</f>
        <v>0</v>
      </c>
    </row>
    <row r="1415" spans="5:14">
      <c r="E1415">
        <f>IFERROR(SMALL(E367:E1087,ROW()-ROW($E$1090)+1),"")</f>
        <v>0</v>
      </c>
      <c r="F1415">
        <f>IFERROR(SMALL(F367:F1087,ROW()-ROW($F$1090)+1),"")</f>
        <v>0</v>
      </c>
      <c r="G1415">
        <f>IFERROR(SMALL(G367:G1087,ROW()-ROW($G$1090)+1),"")</f>
        <v>0</v>
      </c>
      <c r="H1415">
        <f>IFERROR(SMALL(H367:H1087,ROW()-ROW($H$1090)+1),"")</f>
        <v>0</v>
      </c>
      <c r="K1415">
        <f>IFERROR(SMALL(K367:K1087,ROW()-ROW($K$1090)+1),"")</f>
        <v>0</v>
      </c>
      <c r="L1415">
        <f>IFERROR(SMALL(L367:L1087,ROW()-ROW($L$1090)+1),"")</f>
        <v>0</v>
      </c>
      <c r="M1415">
        <f>IFERROR(SMALL(M367:M1087,ROW()-ROW($M$1090)+1),"")</f>
        <v>0</v>
      </c>
      <c r="N1415">
        <f>IFERROR(SMALL(N367:N1087,ROW()-ROW($N$1090)+1),"")</f>
        <v>0</v>
      </c>
    </row>
    <row r="1416" spans="5:14">
      <c r="E1416">
        <f>IFERROR(SMALL(E367:E1087,ROW()-ROW($E$1090)+1),"")</f>
        <v>0</v>
      </c>
      <c r="F1416">
        <f>IFERROR(SMALL(F367:F1087,ROW()-ROW($F$1090)+1),"")</f>
        <v>0</v>
      </c>
      <c r="G1416">
        <f>IFERROR(SMALL(G367:G1087,ROW()-ROW($G$1090)+1),"")</f>
        <v>0</v>
      </c>
      <c r="H1416">
        <f>IFERROR(SMALL(H367:H1087,ROW()-ROW($H$1090)+1),"")</f>
        <v>0</v>
      </c>
      <c r="K1416">
        <f>IFERROR(SMALL(K367:K1087,ROW()-ROW($K$1090)+1),"")</f>
        <v>0</v>
      </c>
      <c r="L1416">
        <f>IFERROR(SMALL(L367:L1087,ROW()-ROW($L$1090)+1),"")</f>
        <v>0</v>
      </c>
      <c r="M1416">
        <f>IFERROR(SMALL(M367:M1087,ROW()-ROW($M$1090)+1),"")</f>
        <v>0</v>
      </c>
      <c r="N1416">
        <f>IFERROR(SMALL(N367:N1087,ROW()-ROW($N$1090)+1),"")</f>
        <v>0</v>
      </c>
    </row>
    <row r="1417" spans="5:14">
      <c r="E1417">
        <f>IFERROR(SMALL(E367:E1087,ROW()-ROW($E$1090)+1),"")</f>
        <v>0</v>
      </c>
      <c r="F1417">
        <f>IFERROR(SMALL(F367:F1087,ROW()-ROW($F$1090)+1),"")</f>
        <v>0</v>
      </c>
      <c r="G1417">
        <f>IFERROR(SMALL(G367:G1087,ROW()-ROW($G$1090)+1),"")</f>
        <v>0</v>
      </c>
      <c r="H1417">
        <f>IFERROR(SMALL(H367:H1087,ROW()-ROW($H$1090)+1),"")</f>
        <v>0</v>
      </c>
      <c r="K1417">
        <f>IFERROR(SMALL(K367:K1087,ROW()-ROW($K$1090)+1),"")</f>
        <v>0</v>
      </c>
      <c r="L1417">
        <f>IFERROR(SMALL(L367:L1087,ROW()-ROW($L$1090)+1),"")</f>
        <v>0</v>
      </c>
      <c r="M1417">
        <f>IFERROR(SMALL(M367:M1087,ROW()-ROW($M$1090)+1),"")</f>
        <v>0</v>
      </c>
      <c r="N1417">
        <f>IFERROR(SMALL(N367:N1087,ROW()-ROW($N$1090)+1),"")</f>
        <v>0</v>
      </c>
    </row>
    <row r="1418" spans="5:14">
      <c r="E1418">
        <f>IFERROR(SMALL(E367:E1087,ROW()-ROW($E$1090)+1),"")</f>
        <v>0</v>
      </c>
      <c r="F1418">
        <f>IFERROR(SMALL(F367:F1087,ROW()-ROW($F$1090)+1),"")</f>
        <v>0</v>
      </c>
      <c r="G1418">
        <f>IFERROR(SMALL(G367:G1087,ROW()-ROW($G$1090)+1),"")</f>
        <v>0</v>
      </c>
      <c r="H1418">
        <f>IFERROR(SMALL(H367:H1087,ROW()-ROW($H$1090)+1),"")</f>
        <v>0</v>
      </c>
      <c r="K1418">
        <f>IFERROR(SMALL(K367:K1087,ROW()-ROW($K$1090)+1),"")</f>
        <v>0</v>
      </c>
      <c r="L1418">
        <f>IFERROR(SMALL(L367:L1087,ROW()-ROW($L$1090)+1),"")</f>
        <v>0</v>
      </c>
      <c r="M1418">
        <f>IFERROR(SMALL(M367:M1087,ROW()-ROW($M$1090)+1),"")</f>
        <v>0</v>
      </c>
      <c r="N1418">
        <f>IFERROR(SMALL(N367:N1087,ROW()-ROW($N$1090)+1),"")</f>
        <v>0</v>
      </c>
    </row>
    <row r="1419" spans="5:14">
      <c r="E1419">
        <f>IFERROR(SMALL(E367:E1087,ROW()-ROW($E$1090)+1),"")</f>
        <v>0</v>
      </c>
      <c r="F1419">
        <f>IFERROR(SMALL(F367:F1087,ROW()-ROW($F$1090)+1),"")</f>
        <v>0</v>
      </c>
      <c r="G1419">
        <f>IFERROR(SMALL(G367:G1087,ROW()-ROW($G$1090)+1),"")</f>
        <v>0</v>
      </c>
      <c r="H1419">
        <f>IFERROR(SMALL(H367:H1087,ROW()-ROW($H$1090)+1),"")</f>
        <v>0</v>
      </c>
      <c r="K1419">
        <f>IFERROR(SMALL(K367:K1087,ROW()-ROW($K$1090)+1),"")</f>
        <v>0</v>
      </c>
      <c r="L1419">
        <f>IFERROR(SMALL(L367:L1087,ROW()-ROW($L$1090)+1),"")</f>
        <v>0</v>
      </c>
      <c r="M1419">
        <f>IFERROR(SMALL(M367:M1087,ROW()-ROW($M$1090)+1),"")</f>
        <v>0</v>
      </c>
      <c r="N1419">
        <f>IFERROR(SMALL(N367:N1087,ROW()-ROW($N$1090)+1),"")</f>
        <v>0</v>
      </c>
    </row>
    <row r="1420" spans="5:14">
      <c r="E1420">
        <f>IFERROR(SMALL(E367:E1087,ROW()-ROW($E$1090)+1),"")</f>
        <v>0</v>
      </c>
      <c r="F1420">
        <f>IFERROR(SMALL(F367:F1087,ROW()-ROW($F$1090)+1),"")</f>
        <v>0</v>
      </c>
      <c r="G1420">
        <f>IFERROR(SMALL(G367:G1087,ROW()-ROW($G$1090)+1),"")</f>
        <v>0</v>
      </c>
      <c r="H1420">
        <f>IFERROR(SMALL(H367:H1087,ROW()-ROW($H$1090)+1),"")</f>
        <v>0</v>
      </c>
      <c r="K1420">
        <f>IFERROR(SMALL(K367:K1087,ROW()-ROW($K$1090)+1),"")</f>
        <v>0</v>
      </c>
      <c r="L1420">
        <f>IFERROR(SMALL(L367:L1087,ROW()-ROW($L$1090)+1),"")</f>
        <v>0</v>
      </c>
      <c r="M1420">
        <f>IFERROR(SMALL(M367:M1087,ROW()-ROW($M$1090)+1),"")</f>
        <v>0</v>
      </c>
      <c r="N1420">
        <f>IFERROR(SMALL(N367:N1087,ROW()-ROW($N$1090)+1),"")</f>
        <v>0</v>
      </c>
    </row>
    <row r="1421" spans="5:14">
      <c r="E1421">
        <f>IFERROR(SMALL(E367:E1087,ROW()-ROW($E$1090)+1),"")</f>
        <v>0</v>
      </c>
      <c r="F1421">
        <f>IFERROR(SMALL(F367:F1087,ROW()-ROW($F$1090)+1),"")</f>
        <v>0</v>
      </c>
      <c r="G1421">
        <f>IFERROR(SMALL(G367:G1087,ROW()-ROW($G$1090)+1),"")</f>
        <v>0</v>
      </c>
      <c r="H1421">
        <f>IFERROR(SMALL(H367:H1087,ROW()-ROW($H$1090)+1),"")</f>
        <v>0</v>
      </c>
      <c r="K1421">
        <f>IFERROR(SMALL(K367:K1087,ROW()-ROW($K$1090)+1),"")</f>
        <v>0</v>
      </c>
      <c r="L1421">
        <f>IFERROR(SMALL(L367:L1087,ROW()-ROW($L$1090)+1),"")</f>
        <v>0</v>
      </c>
      <c r="M1421">
        <f>IFERROR(SMALL(M367:M1087,ROW()-ROW($M$1090)+1),"")</f>
        <v>0</v>
      </c>
      <c r="N1421">
        <f>IFERROR(SMALL(N367:N1087,ROW()-ROW($N$1090)+1),"")</f>
        <v>0</v>
      </c>
    </row>
    <row r="1422" spans="5:14">
      <c r="E1422">
        <f>IFERROR(SMALL(E367:E1087,ROW()-ROW($E$1090)+1),"")</f>
        <v>0</v>
      </c>
      <c r="F1422">
        <f>IFERROR(SMALL(F367:F1087,ROW()-ROW($F$1090)+1),"")</f>
        <v>0</v>
      </c>
      <c r="G1422">
        <f>IFERROR(SMALL(G367:G1087,ROW()-ROW($G$1090)+1),"")</f>
        <v>0</v>
      </c>
      <c r="H1422">
        <f>IFERROR(SMALL(H367:H1087,ROW()-ROW($H$1090)+1),"")</f>
        <v>0</v>
      </c>
      <c r="K1422">
        <f>IFERROR(SMALL(K367:K1087,ROW()-ROW($K$1090)+1),"")</f>
        <v>0</v>
      </c>
      <c r="L1422">
        <f>IFERROR(SMALL(L367:L1087,ROW()-ROW($L$1090)+1),"")</f>
        <v>0</v>
      </c>
      <c r="M1422">
        <f>IFERROR(SMALL(M367:M1087,ROW()-ROW($M$1090)+1),"")</f>
        <v>0</v>
      </c>
      <c r="N1422">
        <f>IFERROR(SMALL(N367:N1087,ROW()-ROW($N$1090)+1),"")</f>
        <v>0</v>
      </c>
    </row>
    <row r="1423" spans="5:14">
      <c r="E1423">
        <f>IFERROR(SMALL(E367:E1087,ROW()-ROW($E$1090)+1),"")</f>
        <v>0</v>
      </c>
      <c r="F1423">
        <f>IFERROR(SMALL(F367:F1087,ROW()-ROW($F$1090)+1),"")</f>
        <v>0</v>
      </c>
      <c r="G1423">
        <f>IFERROR(SMALL(G367:G1087,ROW()-ROW($G$1090)+1),"")</f>
        <v>0</v>
      </c>
      <c r="H1423">
        <f>IFERROR(SMALL(H367:H1087,ROW()-ROW($H$1090)+1),"")</f>
        <v>0</v>
      </c>
      <c r="K1423">
        <f>IFERROR(SMALL(K367:K1087,ROW()-ROW($K$1090)+1),"")</f>
        <v>0</v>
      </c>
      <c r="L1423">
        <f>IFERROR(SMALL(L367:L1087,ROW()-ROW($L$1090)+1),"")</f>
        <v>0</v>
      </c>
      <c r="M1423">
        <f>IFERROR(SMALL(M367:M1087,ROW()-ROW($M$1090)+1),"")</f>
        <v>0</v>
      </c>
      <c r="N1423">
        <f>IFERROR(SMALL(N367:N1087,ROW()-ROW($N$1090)+1),"")</f>
        <v>0</v>
      </c>
    </row>
    <row r="1424" spans="5:14">
      <c r="E1424">
        <f>IFERROR(SMALL(E367:E1087,ROW()-ROW($E$1090)+1),"")</f>
        <v>0</v>
      </c>
      <c r="F1424">
        <f>IFERROR(SMALL(F367:F1087,ROW()-ROW($F$1090)+1),"")</f>
        <v>0</v>
      </c>
      <c r="G1424">
        <f>IFERROR(SMALL(G367:G1087,ROW()-ROW($G$1090)+1),"")</f>
        <v>0</v>
      </c>
      <c r="H1424">
        <f>IFERROR(SMALL(H367:H1087,ROW()-ROW($H$1090)+1),"")</f>
        <v>0</v>
      </c>
      <c r="K1424">
        <f>IFERROR(SMALL(K367:K1087,ROW()-ROW($K$1090)+1),"")</f>
        <v>0</v>
      </c>
      <c r="L1424">
        <f>IFERROR(SMALL(L367:L1087,ROW()-ROW($L$1090)+1),"")</f>
        <v>0</v>
      </c>
      <c r="M1424">
        <f>IFERROR(SMALL(M367:M1087,ROW()-ROW($M$1090)+1),"")</f>
        <v>0</v>
      </c>
      <c r="N1424">
        <f>IFERROR(SMALL(N367:N1087,ROW()-ROW($N$1090)+1),"")</f>
        <v>0</v>
      </c>
    </row>
    <row r="1425" spans="5:14">
      <c r="E1425">
        <f>IFERROR(SMALL(E367:E1087,ROW()-ROW($E$1090)+1),"")</f>
        <v>0</v>
      </c>
      <c r="F1425">
        <f>IFERROR(SMALL(F367:F1087,ROW()-ROW($F$1090)+1),"")</f>
        <v>0</v>
      </c>
      <c r="G1425">
        <f>IFERROR(SMALL(G367:G1087,ROW()-ROW($G$1090)+1),"")</f>
        <v>0</v>
      </c>
      <c r="H1425">
        <f>IFERROR(SMALL(H367:H1087,ROW()-ROW($H$1090)+1),"")</f>
        <v>0</v>
      </c>
      <c r="K1425">
        <f>IFERROR(SMALL(K367:K1087,ROW()-ROW($K$1090)+1),"")</f>
        <v>0</v>
      </c>
      <c r="L1425">
        <f>IFERROR(SMALL(L367:L1087,ROW()-ROW($L$1090)+1),"")</f>
        <v>0</v>
      </c>
      <c r="M1425">
        <f>IFERROR(SMALL(M367:M1087,ROW()-ROW($M$1090)+1),"")</f>
        <v>0</v>
      </c>
      <c r="N1425">
        <f>IFERROR(SMALL(N367:N1087,ROW()-ROW($N$1090)+1),"")</f>
        <v>0</v>
      </c>
    </row>
    <row r="1426" spans="5:14">
      <c r="E1426">
        <f>IFERROR(SMALL(E367:E1087,ROW()-ROW($E$1090)+1),"")</f>
        <v>0</v>
      </c>
      <c r="F1426">
        <f>IFERROR(SMALL(F367:F1087,ROW()-ROW($F$1090)+1),"")</f>
        <v>0</v>
      </c>
      <c r="G1426">
        <f>IFERROR(SMALL(G367:G1087,ROW()-ROW($G$1090)+1),"")</f>
        <v>0</v>
      </c>
      <c r="H1426">
        <f>IFERROR(SMALL(H367:H1087,ROW()-ROW($H$1090)+1),"")</f>
        <v>0</v>
      </c>
      <c r="K1426">
        <f>IFERROR(SMALL(K367:K1087,ROW()-ROW($K$1090)+1),"")</f>
        <v>0</v>
      </c>
      <c r="L1426">
        <f>IFERROR(SMALL(L367:L1087,ROW()-ROW($L$1090)+1),"")</f>
        <v>0</v>
      </c>
      <c r="M1426">
        <f>IFERROR(SMALL(M367:M1087,ROW()-ROW($M$1090)+1),"")</f>
        <v>0</v>
      </c>
      <c r="N1426">
        <f>IFERROR(SMALL(N367:N1087,ROW()-ROW($N$1090)+1),"")</f>
        <v>0</v>
      </c>
    </row>
    <row r="1427" spans="5:14">
      <c r="E1427">
        <f>IFERROR(SMALL(E367:E1087,ROW()-ROW($E$1090)+1),"")</f>
        <v>0</v>
      </c>
      <c r="F1427">
        <f>IFERROR(SMALL(F367:F1087,ROW()-ROW($F$1090)+1),"")</f>
        <v>0</v>
      </c>
      <c r="G1427">
        <f>IFERROR(SMALL(G367:G1087,ROW()-ROW($G$1090)+1),"")</f>
        <v>0</v>
      </c>
      <c r="H1427">
        <f>IFERROR(SMALL(H367:H1087,ROW()-ROW($H$1090)+1),"")</f>
        <v>0</v>
      </c>
      <c r="K1427">
        <f>IFERROR(SMALL(K367:K1087,ROW()-ROW($K$1090)+1),"")</f>
        <v>0</v>
      </c>
      <c r="L1427">
        <f>IFERROR(SMALL(L367:L1087,ROW()-ROW($L$1090)+1),"")</f>
        <v>0</v>
      </c>
      <c r="M1427">
        <f>IFERROR(SMALL(M367:M1087,ROW()-ROW($M$1090)+1),"")</f>
        <v>0</v>
      </c>
      <c r="N1427">
        <f>IFERROR(SMALL(N367:N1087,ROW()-ROW($N$1090)+1),"")</f>
        <v>0</v>
      </c>
    </row>
    <row r="1428" spans="5:14">
      <c r="E1428">
        <f>IFERROR(SMALL(E367:E1087,ROW()-ROW($E$1090)+1),"")</f>
        <v>0</v>
      </c>
      <c r="F1428">
        <f>IFERROR(SMALL(F367:F1087,ROW()-ROW($F$1090)+1),"")</f>
        <v>0</v>
      </c>
      <c r="G1428">
        <f>IFERROR(SMALL(G367:G1087,ROW()-ROW($G$1090)+1),"")</f>
        <v>0</v>
      </c>
      <c r="H1428">
        <f>IFERROR(SMALL(H367:H1087,ROW()-ROW($H$1090)+1),"")</f>
        <v>0</v>
      </c>
      <c r="K1428">
        <f>IFERROR(SMALL(K367:K1087,ROW()-ROW($K$1090)+1),"")</f>
        <v>0</v>
      </c>
      <c r="L1428">
        <f>IFERROR(SMALL(L367:L1087,ROW()-ROW($L$1090)+1),"")</f>
        <v>0</v>
      </c>
      <c r="M1428">
        <f>IFERROR(SMALL(M367:M1087,ROW()-ROW($M$1090)+1),"")</f>
        <v>0</v>
      </c>
      <c r="N1428">
        <f>IFERROR(SMALL(N367:N1087,ROW()-ROW($N$1090)+1),"")</f>
        <v>0</v>
      </c>
    </row>
    <row r="1429" spans="5:14">
      <c r="E1429">
        <f>IFERROR(SMALL(E367:E1087,ROW()-ROW($E$1090)+1),"")</f>
        <v>0</v>
      </c>
      <c r="F1429">
        <f>IFERROR(SMALL(F367:F1087,ROW()-ROW($F$1090)+1),"")</f>
        <v>0</v>
      </c>
      <c r="G1429">
        <f>IFERROR(SMALL(G367:G1087,ROW()-ROW($G$1090)+1),"")</f>
        <v>0</v>
      </c>
      <c r="H1429">
        <f>IFERROR(SMALL(H367:H1087,ROW()-ROW($H$1090)+1),"")</f>
        <v>0</v>
      </c>
      <c r="K1429">
        <f>IFERROR(SMALL(K367:K1087,ROW()-ROW($K$1090)+1),"")</f>
        <v>0</v>
      </c>
      <c r="L1429">
        <f>IFERROR(SMALL(L367:L1087,ROW()-ROW($L$1090)+1),"")</f>
        <v>0</v>
      </c>
      <c r="M1429">
        <f>IFERROR(SMALL(M367:M1087,ROW()-ROW($M$1090)+1),"")</f>
        <v>0</v>
      </c>
      <c r="N1429">
        <f>IFERROR(SMALL(N367:N1087,ROW()-ROW($N$1090)+1),"")</f>
        <v>0</v>
      </c>
    </row>
    <row r="1430" spans="5:14">
      <c r="E1430">
        <f>IFERROR(SMALL(E367:E1087,ROW()-ROW($E$1090)+1),"")</f>
        <v>0</v>
      </c>
      <c r="F1430">
        <f>IFERROR(SMALL(F367:F1087,ROW()-ROW($F$1090)+1),"")</f>
        <v>0</v>
      </c>
      <c r="G1430">
        <f>IFERROR(SMALL(G367:G1087,ROW()-ROW($G$1090)+1),"")</f>
        <v>0</v>
      </c>
      <c r="H1430">
        <f>IFERROR(SMALL(H367:H1087,ROW()-ROW($H$1090)+1),"")</f>
        <v>0</v>
      </c>
      <c r="K1430">
        <f>IFERROR(SMALL(K367:K1087,ROW()-ROW($K$1090)+1),"")</f>
        <v>0</v>
      </c>
      <c r="L1430">
        <f>IFERROR(SMALL(L367:L1087,ROW()-ROW($L$1090)+1),"")</f>
        <v>0</v>
      </c>
      <c r="M1430">
        <f>IFERROR(SMALL(M367:M1087,ROW()-ROW($M$1090)+1),"")</f>
        <v>0</v>
      </c>
      <c r="N1430">
        <f>IFERROR(SMALL(N367:N1087,ROW()-ROW($N$1090)+1),"")</f>
        <v>0</v>
      </c>
    </row>
    <row r="1431" spans="5:14">
      <c r="E1431">
        <f>IFERROR(SMALL(E367:E1087,ROW()-ROW($E$1090)+1),"")</f>
        <v>0</v>
      </c>
      <c r="F1431">
        <f>IFERROR(SMALL(F367:F1087,ROW()-ROW($F$1090)+1),"")</f>
        <v>0</v>
      </c>
      <c r="G1431">
        <f>IFERROR(SMALL(G367:G1087,ROW()-ROW($G$1090)+1),"")</f>
        <v>0</v>
      </c>
      <c r="H1431">
        <f>IFERROR(SMALL(H367:H1087,ROW()-ROW($H$1090)+1),"")</f>
        <v>0</v>
      </c>
      <c r="K1431">
        <f>IFERROR(SMALL(K367:K1087,ROW()-ROW($K$1090)+1),"")</f>
        <v>0</v>
      </c>
      <c r="L1431">
        <f>IFERROR(SMALL(L367:L1087,ROW()-ROW($L$1090)+1),"")</f>
        <v>0</v>
      </c>
      <c r="M1431">
        <f>IFERROR(SMALL(M367:M1087,ROW()-ROW($M$1090)+1),"")</f>
        <v>0</v>
      </c>
      <c r="N1431">
        <f>IFERROR(SMALL(N367:N1087,ROW()-ROW($N$1090)+1),"")</f>
        <v>0</v>
      </c>
    </row>
    <row r="1432" spans="5:14">
      <c r="E1432">
        <f>IFERROR(SMALL(E367:E1087,ROW()-ROW($E$1090)+1),"")</f>
        <v>0</v>
      </c>
      <c r="F1432">
        <f>IFERROR(SMALL(F367:F1087,ROW()-ROW($F$1090)+1),"")</f>
        <v>0</v>
      </c>
      <c r="G1432">
        <f>IFERROR(SMALL(G367:G1087,ROW()-ROW($G$1090)+1),"")</f>
        <v>0</v>
      </c>
      <c r="H1432">
        <f>IFERROR(SMALL(H367:H1087,ROW()-ROW($H$1090)+1),"")</f>
        <v>0</v>
      </c>
      <c r="K1432">
        <f>IFERROR(SMALL(K367:K1087,ROW()-ROW($K$1090)+1),"")</f>
        <v>0</v>
      </c>
      <c r="L1432">
        <f>IFERROR(SMALL(L367:L1087,ROW()-ROW($L$1090)+1),"")</f>
        <v>0</v>
      </c>
      <c r="M1432">
        <f>IFERROR(SMALL(M367:M1087,ROW()-ROW($M$1090)+1),"")</f>
        <v>0</v>
      </c>
      <c r="N1432">
        <f>IFERROR(SMALL(N367:N1087,ROW()-ROW($N$1090)+1),"")</f>
        <v>0</v>
      </c>
    </row>
    <row r="1433" spans="5:14">
      <c r="E1433">
        <f>IFERROR(SMALL(E367:E1087,ROW()-ROW($E$1090)+1),"")</f>
        <v>0</v>
      </c>
      <c r="F1433">
        <f>IFERROR(SMALL(F367:F1087,ROW()-ROW($F$1090)+1),"")</f>
        <v>0</v>
      </c>
      <c r="G1433">
        <f>IFERROR(SMALL(G367:G1087,ROW()-ROW($G$1090)+1),"")</f>
        <v>0</v>
      </c>
      <c r="H1433">
        <f>IFERROR(SMALL(H367:H1087,ROW()-ROW($H$1090)+1),"")</f>
        <v>0</v>
      </c>
      <c r="K1433">
        <f>IFERROR(SMALL(K367:K1087,ROW()-ROW($K$1090)+1),"")</f>
        <v>0</v>
      </c>
      <c r="L1433">
        <f>IFERROR(SMALL(L367:L1087,ROW()-ROW($L$1090)+1),"")</f>
        <v>0</v>
      </c>
      <c r="M1433">
        <f>IFERROR(SMALL(M367:M1087,ROW()-ROW($M$1090)+1),"")</f>
        <v>0</v>
      </c>
      <c r="N1433">
        <f>IFERROR(SMALL(N367:N1087,ROW()-ROW($N$1090)+1),"")</f>
        <v>0</v>
      </c>
    </row>
    <row r="1434" spans="5:14">
      <c r="E1434">
        <f>IFERROR(SMALL(E367:E1087,ROW()-ROW($E$1090)+1),"")</f>
        <v>0</v>
      </c>
      <c r="F1434">
        <f>IFERROR(SMALL(F367:F1087,ROW()-ROW($F$1090)+1),"")</f>
        <v>0</v>
      </c>
      <c r="G1434">
        <f>IFERROR(SMALL(G367:G1087,ROW()-ROW($G$1090)+1),"")</f>
        <v>0</v>
      </c>
      <c r="H1434">
        <f>IFERROR(SMALL(H367:H1087,ROW()-ROW($H$1090)+1),"")</f>
        <v>0</v>
      </c>
      <c r="K1434">
        <f>IFERROR(SMALL(K367:K1087,ROW()-ROW($K$1090)+1),"")</f>
        <v>0</v>
      </c>
      <c r="L1434">
        <f>IFERROR(SMALL(L367:L1087,ROW()-ROW($L$1090)+1),"")</f>
        <v>0</v>
      </c>
      <c r="M1434">
        <f>IFERROR(SMALL(M367:M1087,ROW()-ROW($M$1090)+1),"")</f>
        <v>0</v>
      </c>
      <c r="N1434">
        <f>IFERROR(SMALL(N367:N1087,ROW()-ROW($N$1090)+1),"")</f>
        <v>0</v>
      </c>
    </row>
    <row r="1435" spans="5:14">
      <c r="E1435">
        <f>IFERROR(SMALL(E367:E1087,ROW()-ROW($E$1090)+1),"")</f>
        <v>0</v>
      </c>
      <c r="F1435">
        <f>IFERROR(SMALL(F367:F1087,ROW()-ROW($F$1090)+1),"")</f>
        <v>0</v>
      </c>
      <c r="G1435">
        <f>IFERROR(SMALL(G367:G1087,ROW()-ROW($G$1090)+1),"")</f>
        <v>0</v>
      </c>
      <c r="H1435">
        <f>IFERROR(SMALL(H367:H1087,ROW()-ROW($H$1090)+1),"")</f>
        <v>0</v>
      </c>
      <c r="K1435">
        <f>IFERROR(SMALL(K367:K1087,ROW()-ROW($K$1090)+1),"")</f>
        <v>0</v>
      </c>
      <c r="L1435">
        <f>IFERROR(SMALL(L367:L1087,ROW()-ROW($L$1090)+1),"")</f>
        <v>0</v>
      </c>
      <c r="M1435">
        <f>IFERROR(SMALL(M367:M1087,ROW()-ROW($M$1090)+1),"")</f>
        <v>0</v>
      </c>
      <c r="N1435">
        <f>IFERROR(SMALL(N367:N1087,ROW()-ROW($N$1090)+1),"")</f>
        <v>0</v>
      </c>
    </row>
    <row r="1436" spans="5:14">
      <c r="E1436">
        <f>IFERROR(SMALL(E367:E1087,ROW()-ROW($E$1090)+1),"")</f>
        <v>0</v>
      </c>
      <c r="F1436">
        <f>IFERROR(SMALL(F367:F1087,ROW()-ROW($F$1090)+1),"")</f>
        <v>0</v>
      </c>
      <c r="G1436">
        <f>IFERROR(SMALL(G367:G1087,ROW()-ROW($G$1090)+1),"")</f>
        <v>0</v>
      </c>
      <c r="H1436">
        <f>IFERROR(SMALL(H367:H1087,ROW()-ROW($H$1090)+1),"")</f>
        <v>0</v>
      </c>
      <c r="K1436">
        <f>IFERROR(SMALL(K367:K1087,ROW()-ROW($K$1090)+1),"")</f>
        <v>0</v>
      </c>
      <c r="L1436">
        <f>IFERROR(SMALL(L367:L1087,ROW()-ROW($L$1090)+1),"")</f>
        <v>0</v>
      </c>
      <c r="M1436">
        <f>IFERROR(SMALL(M367:M1087,ROW()-ROW($M$1090)+1),"")</f>
        <v>0</v>
      </c>
      <c r="N1436">
        <f>IFERROR(SMALL(N367:N1087,ROW()-ROW($N$1090)+1),"")</f>
        <v>0</v>
      </c>
    </row>
    <row r="1437" spans="5:14">
      <c r="E1437">
        <f>IFERROR(SMALL(E367:E1087,ROW()-ROW($E$1090)+1),"")</f>
        <v>0</v>
      </c>
      <c r="F1437">
        <f>IFERROR(SMALL(F367:F1087,ROW()-ROW($F$1090)+1),"")</f>
        <v>0</v>
      </c>
      <c r="G1437">
        <f>IFERROR(SMALL(G367:G1087,ROW()-ROW($G$1090)+1),"")</f>
        <v>0</v>
      </c>
      <c r="H1437">
        <f>IFERROR(SMALL(H367:H1087,ROW()-ROW($H$1090)+1),"")</f>
        <v>0</v>
      </c>
      <c r="K1437">
        <f>IFERROR(SMALL(K367:K1087,ROW()-ROW($K$1090)+1),"")</f>
        <v>0</v>
      </c>
      <c r="L1437">
        <f>IFERROR(SMALL(L367:L1087,ROW()-ROW($L$1090)+1),"")</f>
        <v>0</v>
      </c>
      <c r="M1437">
        <f>IFERROR(SMALL(M367:M1087,ROW()-ROW($M$1090)+1),"")</f>
        <v>0</v>
      </c>
      <c r="N1437">
        <f>IFERROR(SMALL(N367:N1087,ROW()-ROW($N$1090)+1),"")</f>
        <v>0</v>
      </c>
    </row>
    <row r="1438" spans="5:14">
      <c r="E1438">
        <f>IFERROR(SMALL(E367:E1087,ROW()-ROW($E$1090)+1),"")</f>
        <v>0</v>
      </c>
      <c r="F1438">
        <f>IFERROR(SMALL(F367:F1087,ROW()-ROW($F$1090)+1),"")</f>
        <v>0</v>
      </c>
      <c r="G1438">
        <f>IFERROR(SMALL(G367:G1087,ROW()-ROW($G$1090)+1),"")</f>
        <v>0</v>
      </c>
      <c r="H1438">
        <f>IFERROR(SMALL(H367:H1087,ROW()-ROW($H$1090)+1),"")</f>
        <v>0</v>
      </c>
      <c r="K1438">
        <f>IFERROR(SMALL(K367:K1087,ROW()-ROW($K$1090)+1),"")</f>
        <v>0</v>
      </c>
      <c r="L1438">
        <f>IFERROR(SMALL(L367:L1087,ROW()-ROW($L$1090)+1),"")</f>
        <v>0</v>
      </c>
      <c r="M1438">
        <f>IFERROR(SMALL(M367:M1087,ROW()-ROW($M$1090)+1),"")</f>
        <v>0</v>
      </c>
      <c r="N1438">
        <f>IFERROR(SMALL(N367:N1087,ROW()-ROW($N$1090)+1),"")</f>
        <v>0</v>
      </c>
    </row>
    <row r="1439" spans="5:14">
      <c r="E1439">
        <f>IFERROR(SMALL(E367:E1087,ROW()-ROW($E$1090)+1),"")</f>
        <v>0</v>
      </c>
      <c r="F1439">
        <f>IFERROR(SMALL(F367:F1087,ROW()-ROW($F$1090)+1),"")</f>
        <v>0</v>
      </c>
      <c r="G1439">
        <f>IFERROR(SMALL(G367:G1087,ROW()-ROW($G$1090)+1),"")</f>
        <v>0</v>
      </c>
      <c r="H1439">
        <f>IFERROR(SMALL(H367:H1087,ROW()-ROW($H$1090)+1),"")</f>
        <v>0</v>
      </c>
      <c r="K1439">
        <f>IFERROR(SMALL(K367:K1087,ROW()-ROW($K$1090)+1),"")</f>
        <v>0</v>
      </c>
      <c r="L1439">
        <f>IFERROR(SMALL(L367:L1087,ROW()-ROW($L$1090)+1),"")</f>
        <v>0</v>
      </c>
      <c r="M1439">
        <f>IFERROR(SMALL(M367:M1087,ROW()-ROW($M$1090)+1),"")</f>
        <v>0</v>
      </c>
      <c r="N1439">
        <f>IFERROR(SMALL(N367:N1087,ROW()-ROW($N$1090)+1),"")</f>
        <v>0</v>
      </c>
    </row>
    <row r="1440" spans="5:14">
      <c r="E1440">
        <f>IFERROR(SMALL(E367:E1087,ROW()-ROW($E$1090)+1),"")</f>
        <v>0</v>
      </c>
      <c r="F1440">
        <f>IFERROR(SMALL(F367:F1087,ROW()-ROW($F$1090)+1),"")</f>
        <v>0</v>
      </c>
      <c r="G1440">
        <f>IFERROR(SMALL(G367:G1087,ROW()-ROW($G$1090)+1),"")</f>
        <v>0</v>
      </c>
      <c r="H1440">
        <f>IFERROR(SMALL(H367:H1087,ROW()-ROW($H$1090)+1),"")</f>
        <v>0</v>
      </c>
      <c r="K1440">
        <f>IFERROR(SMALL(K367:K1087,ROW()-ROW($K$1090)+1),"")</f>
        <v>0</v>
      </c>
      <c r="L1440">
        <f>IFERROR(SMALL(L367:L1087,ROW()-ROW($L$1090)+1),"")</f>
        <v>0</v>
      </c>
      <c r="M1440">
        <f>IFERROR(SMALL(M367:M1087,ROW()-ROW($M$1090)+1),"")</f>
        <v>0</v>
      </c>
      <c r="N1440">
        <f>IFERROR(SMALL(N367:N1087,ROW()-ROW($N$1090)+1),"")</f>
        <v>0</v>
      </c>
    </row>
    <row r="1441" spans="5:14">
      <c r="E1441">
        <f>IFERROR(SMALL(E367:E1087,ROW()-ROW($E$1090)+1),"")</f>
        <v>0</v>
      </c>
      <c r="F1441">
        <f>IFERROR(SMALL(F367:F1087,ROW()-ROW($F$1090)+1),"")</f>
        <v>0</v>
      </c>
      <c r="G1441">
        <f>IFERROR(SMALL(G367:G1087,ROW()-ROW($G$1090)+1),"")</f>
        <v>0</v>
      </c>
      <c r="H1441">
        <f>IFERROR(SMALL(H367:H1087,ROW()-ROW($H$1090)+1),"")</f>
        <v>0</v>
      </c>
      <c r="K1441">
        <f>IFERROR(SMALL(K367:K1087,ROW()-ROW($K$1090)+1),"")</f>
        <v>0</v>
      </c>
      <c r="L1441">
        <f>IFERROR(SMALL(L367:L1087,ROW()-ROW($L$1090)+1),"")</f>
        <v>0</v>
      </c>
      <c r="M1441">
        <f>IFERROR(SMALL(M367:M1087,ROW()-ROW($M$1090)+1),"")</f>
        <v>0</v>
      </c>
      <c r="N1441">
        <f>IFERROR(SMALL(N367:N1087,ROW()-ROW($N$1090)+1),"")</f>
        <v>0</v>
      </c>
    </row>
    <row r="1442" spans="5:14">
      <c r="E1442">
        <f>IFERROR(SMALL(E367:E1087,ROW()-ROW($E$1090)+1),"")</f>
        <v>0</v>
      </c>
      <c r="F1442">
        <f>IFERROR(SMALL(F367:F1087,ROW()-ROW($F$1090)+1),"")</f>
        <v>0</v>
      </c>
      <c r="G1442">
        <f>IFERROR(SMALL(G367:G1087,ROW()-ROW($G$1090)+1),"")</f>
        <v>0</v>
      </c>
      <c r="H1442">
        <f>IFERROR(SMALL(H367:H1087,ROW()-ROW($H$1090)+1),"")</f>
        <v>0</v>
      </c>
      <c r="K1442">
        <f>IFERROR(SMALL(K367:K1087,ROW()-ROW($K$1090)+1),"")</f>
        <v>0</v>
      </c>
      <c r="L1442">
        <f>IFERROR(SMALL(L367:L1087,ROW()-ROW($L$1090)+1),"")</f>
        <v>0</v>
      </c>
      <c r="M1442">
        <f>IFERROR(SMALL(M367:M1087,ROW()-ROW($M$1090)+1),"")</f>
        <v>0</v>
      </c>
      <c r="N1442">
        <f>IFERROR(SMALL(N367:N1087,ROW()-ROW($N$1090)+1),"")</f>
        <v>0</v>
      </c>
    </row>
    <row r="1443" spans="5:14">
      <c r="E1443">
        <f>IFERROR(SMALL(E367:E1087,ROW()-ROW($E$1090)+1),"")</f>
        <v>0</v>
      </c>
      <c r="F1443">
        <f>IFERROR(SMALL(F367:F1087,ROW()-ROW($F$1090)+1),"")</f>
        <v>0</v>
      </c>
      <c r="G1443">
        <f>IFERROR(SMALL(G367:G1087,ROW()-ROW($G$1090)+1),"")</f>
        <v>0</v>
      </c>
      <c r="H1443">
        <f>IFERROR(SMALL(H367:H1087,ROW()-ROW($H$1090)+1),"")</f>
        <v>0</v>
      </c>
      <c r="K1443">
        <f>IFERROR(SMALL(K367:K1087,ROW()-ROW($K$1090)+1),"")</f>
        <v>0</v>
      </c>
      <c r="L1443">
        <f>IFERROR(SMALL(L367:L1087,ROW()-ROW($L$1090)+1),"")</f>
        <v>0</v>
      </c>
      <c r="M1443">
        <f>IFERROR(SMALL(M367:M1087,ROW()-ROW($M$1090)+1),"")</f>
        <v>0</v>
      </c>
      <c r="N1443">
        <f>IFERROR(SMALL(N367:N1087,ROW()-ROW($N$1090)+1),"")</f>
        <v>0</v>
      </c>
    </row>
    <row r="1444" spans="5:14">
      <c r="E1444">
        <f>IFERROR(SMALL(E367:E1087,ROW()-ROW($E$1090)+1),"")</f>
        <v>0</v>
      </c>
      <c r="F1444">
        <f>IFERROR(SMALL(F367:F1087,ROW()-ROW($F$1090)+1),"")</f>
        <v>0</v>
      </c>
      <c r="G1444">
        <f>IFERROR(SMALL(G367:G1087,ROW()-ROW($G$1090)+1),"")</f>
        <v>0</v>
      </c>
      <c r="H1444">
        <f>IFERROR(SMALL(H367:H1087,ROW()-ROW($H$1090)+1),"")</f>
        <v>0</v>
      </c>
      <c r="K1444">
        <f>IFERROR(SMALL(K367:K1087,ROW()-ROW($K$1090)+1),"")</f>
        <v>0</v>
      </c>
      <c r="L1444">
        <f>IFERROR(SMALL(L367:L1087,ROW()-ROW($L$1090)+1),"")</f>
        <v>0</v>
      </c>
      <c r="M1444">
        <f>IFERROR(SMALL(M367:M1087,ROW()-ROW($M$1090)+1),"")</f>
        <v>0</v>
      </c>
      <c r="N1444">
        <f>IFERROR(SMALL(N367:N1087,ROW()-ROW($N$1090)+1),"")</f>
        <v>0</v>
      </c>
    </row>
    <row r="1445" spans="5:14">
      <c r="E1445">
        <f>IFERROR(SMALL(E367:E1087,ROW()-ROW($E$1090)+1),"")</f>
        <v>0</v>
      </c>
      <c r="F1445">
        <f>IFERROR(SMALL(F367:F1087,ROW()-ROW($F$1090)+1),"")</f>
        <v>0</v>
      </c>
      <c r="G1445">
        <f>IFERROR(SMALL(G367:G1087,ROW()-ROW($G$1090)+1),"")</f>
        <v>0</v>
      </c>
      <c r="H1445">
        <f>IFERROR(SMALL(H367:H1087,ROW()-ROW($H$1090)+1),"")</f>
        <v>0</v>
      </c>
      <c r="K1445">
        <f>IFERROR(SMALL(K367:K1087,ROW()-ROW($K$1090)+1),"")</f>
        <v>0</v>
      </c>
      <c r="L1445">
        <f>IFERROR(SMALL(L367:L1087,ROW()-ROW($L$1090)+1),"")</f>
        <v>0</v>
      </c>
      <c r="M1445">
        <f>IFERROR(SMALL(M367:M1087,ROW()-ROW($M$1090)+1),"")</f>
        <v>0</v>
      </c>
      <c r="N1445">
        <f>IFERROR(SMALL(N367:N1087,ROW()-ROW($N$1090)+1),"")</f>
        <v>0</v>
      </c>
    </row>
    <row r="1446" spans="5:14">
      <c r="E1446">
        <f>IFERROR(SMALL(E367:E1087,ROW()-ROW($E$1090)+1),"")</f>
        <v>0</v>
      </c>
      <c r="F1446">
        <f>IFERROR(SMALL(F367:F1087,ROW()-ROW($F$1090)+1),"")</f>
        <v>0</v>
      </c>
      <c r="G1446">
        <f>IFERROR(SMALL(G367:G1087,ROW()-ROW($G$1090)+1),"")</f>
        <v>0</v>
      </c>
      <c r="H1446">
        <f>IFERROR(SMALL(H367:H1087,ROW()-ROW($H$1090)+1),"")</f>
        <v>0</v>
      </c>
      <c r="K1446">
        <f>IFERROR(SMALL(K367:K1087,ROW()-ROW($K$1090)+1),"")</f>
        <v>0</v>
      </c>
      <c r="L1446">
        <f>IFERROR(SMALL(L367:L1087,ROW()-ROW($L$1090)+1),"")</f>
        <v>0</v>
      </c>
      <c r="M1446">
        <f>IFERROR(SMALL(M367:M1087,ROW()-ROW($M$1090)+1),"")</f>
        <v>0</v>
      </c>
      <c r="N1446">
        <f>IFERROR(SMALL(N367:N1087,ROW()-ROW($N$1090)+1),"")</f>
        <v>0</v>
      </c>
    </row>
    <row r="1447" spans="5:14">
      <c r="E1447">
        <f>IFERROR(SMALL(E367:E1087,ROW()-ROW($E$1090)+1),"")</f>
        <v>0</v>
      </c>
      <c r="F1447">
        <f>IFERROR(SMALL(F367:F1087,ROW()-ROW($F$1090)+1),"")</f>
        <v>0</v>
      </c>
      <c r="G1447">
        <f>IFERROR(SMALL(G367:G1087,ROW()-ROW($G$1090)+1),"")</f>
        <v>0</v>
      </c>
      <c r="H1447">
        <f>IFERROR(SMALL(H367:H1087,ROW()-ROW($H$1090)+1),"")</f>
        <v>0</v>
      </c>
      <c r="K1447">
        <f>IFERROR(SMALL(K367:K1087,ROW()-ROW($K$1090)+1),"")</f>
        <v>0</v>
      </c>
      <c r="L1447">
        <f>IFERROR(SMALL(L367:L1087,ROW()-ROW($L$1090)+1),"")</f>
        <v>0</v>
      </c>
      <c r="M1447">
        <f>IFERROR(SMALL(M367:M1087,ROW()-ROW($M$1090)+1),"")</f>
        <v>0</v>
      </c>
      <c r="N1447">
        <f>IFERROR(SMALL(N367:N1087,ROW()-ROW($N$1090)+1),"")</f>
        <v>0</v>
      </c>
    </row>
    <row r="1448" spans="5:14">
      <c r="E1448">
        <f>IFERROR(SMALL(E367:E1087,ROW()-ROW($E$1090)+1),"")</f>
        <v>0</v>
      </c>
      <c r="F1448">
        <f>IFERROR(SMALL(F367:F1087,ROW()-ROW($F$1090)+1),"")</f>
        <v>0</v>
      </c>
      <c r="G1448">
        <f>IFERROR(SMALL(G367:G1087,ROW()-ROW($G$1090)+1),"")</f>
        <v>0</v>
      </c>
      <c r="H1448">
        <f>IFERROR(SMALL(H367:H1087,ROW()-ROW($H$1090)+1),"")</f>
        <v>0</v>
      </c>
      <c r="K1448">
        <f>IFERROR(SMALL(K367:K1087,ROW()-ROW($K$1090)+1),"")</f>
        <v>0</v>
      </c>
      <c r="L1448">
        <f>IFERROR(SMALL(L367:L1087,ROW()-ROW($L$1090)+1),"")</f>
        <v>0</v>
      </c>
      <c r="M1448">
        <f>IFERROR(SMALL(M367:M1087,ROW()-ROW($M$1090)+1),"")</f>
        <v>0</v>
      </c>
      <c r="N1448">
        <f>IFERROR(SMALL(N367:N1087,ROW()-ROW($N$1090)+1),"")</f>
        <v>0</v>
      </c>
    </row>
    <row r="1449" spans="5:14">
      <c r="E1449">
        <f>IFERROR(SMALL(E367:E1087,ROW()-ROW($E$1090)+1),"")</f>
        <v>0</v>
      </c>
      <c r="F1449">
        <f>IFERROR(SMALL(F367:F1087,ROW()-ROW($F$1090)+1),"")</f>
        <v>0</v>
      </c>
      <c r="G1449">
        <f>IFERROR(SMALL(G367:G1087,ROW()-ROW($G$1090)+1),"")</f>
        <v>0</v>
      </c>
      <c r="H1449">
        <f>IFERROR(SMALL(H367:H1087,ROW()-ROW($H$1090)+1),"")</f>
        <v>0</v>
      </c>
      <c r="K1449">
        <f>IFERROR(SMALL(K367:K1087,ROW()-ROW($K$1090)+1),"")</f>
        <v>0</v>
      </c>
      <c r="L1449">
        <f>IFERROR(SMALL(L367:L1087,ROW()-ROW($L$1090)+1),"")</f>
        <v>0</v>
      </c>
      <c r="M1449">
        <f>IFERROR(SMALL(M367:M1087,ROW()-ROW($M$1090)+1),"")</f>
        <v>0</v>
      </c>
      <c r="N1449">
        <f>IFERROR(SMALL(N367:N1087,ROW()-ROW($N$1090)+1),"")</f>
        <v>0</v>
      </c>
    </row>
    <row r="1450" spans="5:14">
      <c r="E1450">
        <f>IFERROR(SMALL(E367:E1087,ROW()-ROW($E$1090)+1),"")</f>
        <v>0</v>
      </c>
      <c r="F1450">
        <f>IFERROR(SMALL(F367:F1087,ROW()-ROW($F$1090)+1),"")</f>
        <v>0</v>
      </c>
      <c r="G1450">
        <f>IFERROR(SMALL(G367:G1087,ROW()-ROW($G$1090)+1),"")</f>
        <v>0</v>
      </c>
      <c r="H1450">
        <f>IFERROR(SMALL(H367:H1087,ROW()-ROW($H$1090)+1),"")</f>
        <v>0</v>
      </c>
      <c r="K1450">
        <f>IFERROR(SMALL(K367:K1087,ROW()-ROW($K$1090)+1),"")</f>
        <v>0</v>
      </c>
      <c r="L1450">
        <f>IFERROR(SMALL(L367:L1087,ROW()-ROW($L$1090)+1),"")</f>
        <v>0</v>
      </c>
      <c r="M1450">
        <f>IFERROR(SMALL(M367:M1087,ROW()-ROW($M$1090)+1),"")</f>
        <v>0</v>
      </c>
      <c r="N1450">
        <f>IFERROR(SMALL(N367:N1087,ROW()-ROW($N$1090)+1),"")</f>
        <v>0</v>
      </c>
    </row>
    <row r="1451" spans="5:14">
      <c r="E1451">
        <f>IFERROR(SMALL(E367:E1087,ROW()-ROW($E$1090)+1),"")</f>
        <v>0</v>
      </c>
      <c r="F1451">
        <f>IFERROR(SMALL(F367:F1087,ROW()-ROW($F$1090)+1),"")</f>
        <v>0</v>
      </c>
      <c r="G1451">
        <f>IFERROR(SMALL(G367:G1087,ROW()-ROW($G$1090)+1),"")</f>
        <v>0</v>
      </c>
      <c r="H1451">
        <f>IFERROR(SMALL(H367:H1087,ROW()-ROW($H$1090)+1),"")</f>
        <v>0</v>
      </c>
      <c r="K1451">
        <f>IFERROR(SMALL(K367:K1087,ROW()-ROW($K$1090)+1),"")</f>
        <v>0</v>
      </c>
      <c r="L1451">
        <f>IFERROR(SMALL(L367:L1087,ROW()-ROW($L$1090)+1),"")</f>
        <v>0</v>
      </c>
      <c r="M1451">
        <f>IFERROR(SMALL(M367:M1087,ROW()-ROW($M$1090)+1),"")</f>
        <v>0</v>
      </c>
      <c r="N1451">
        <f>IFERROR(SMALL(N367:N1087,ROW()-ROW($N$1090)+1),"")</f>
        <v>0</v>
      </c>
    </row>
    <row r="1452" spans="5:14">
      <c r="E1452">
        <f>IFERROR(SMALL(E367:E1087,ROW()-ROW($E$1090)+1),"")</f>
        <v>0</v>
      </c>
      <c r="F1452">
        <f>IFERROR(SMALL(F367:F1087,ROW()-ROW($F$1090)+1),"")</f>
        <v>0</v>
      </c>
      <c r="G1452">
        <f>IFERROR(SMALL(G367:G1087,ROW()-ROW($G$1090)+1),"")</f>
        <v>0</v>
      </c>
      <c r="H1452">
        <f>IFERROR(SMALL(H367:H1087,ROW()-ROW($H$1090)+1),"")</f>
        <v>0</v>
      </c>
      <c r="K1452">
        <f>IFERROR(SMALL(K367:K1087,ROW()-ROW($K$1090)+1),"")</f>
        <v>0</v>
      </c>
      <c r="L1452">
        <f>IFERROR(SMALL(L367:L1087,ROW()-ROW($L$1090)+1),"")</f>
        <v>0</v>
      </c>
      <c r="M1452">
        <f>IFERROR(SMALL(M367:M1087,ROW()-ROW($M$1090)+1),"")</f>
        <v>0</v>
      </c>
      <c r="N1452">
        <f>IFERROR(SMALL(N367:N1087,ROW()-ROW($N$1090)+1),"")</f>
        <v>0</v>
      </c>
    </row>
    <row r="1453" spans="5:14">
      <c r="E1453">
        <f>IFERROR(SMALL(E367:E1087,ROW()-ROW($E$1090)+1),"")</f>
        <v>0</v>
      </c>
      <c r="F1453">
        <f>IFERROR(SMALL(F367:F1087,ROW()-ROW($F$1090)+1),"")</f>
        <v>0</v>
      </c>
      <c r="G1453">
        <f>IFERROR(SMALL(G367:G1087,ROW()-ROW($G$1090)+1),"")</f>
        <v>0</v>
      </c>
      <c r="H1453">
        <f>IFERROR(SMALL(H367:H1087,ROW()-ROW($H$1090)+1),"")</f>
        <v>0</v>
      </c>
      <c r="K1453">
        <f>IFERROR(SMALL(K367:K1087,ROW()-ROW($K$1090)+1),"")</f>
        <v>0</v>
      </c>
      <c r="L1453">
        <f>IFERROR(SMALL(L367:L1087,ROW()-ROW($L$1090)+1),"")</f>
        <v>0</v>
      </c>
      <c r="M1453">
        <f>IFERROR(SMALL(M367:M1087,ROW()-ROW($M$1090)+1),"")</f>
        <v>0</v>
      </c>
      <c r="N1453">
        <f>IFERROR(SMALL(N367:N1087,ROW()-ROW($N$1090)+1),"")</f>
        <v>0</v>
      </c>
    </row>
    <row r="1454" spans="5:14">
      <c r="E1454">
        <f>IFERROR(SMALL(E367:E1087,ROW()-ROW($E$1090)+1),"")</f>
        <v>0</v>
      </c>
      <c r="F1454">
        <f>IFERROR(SMALL(F367:F1087,ROW()-ROW($F$1090)+1),"")</f>
        <v>0</v>
      </c>
      <c r="G1454">
        <f>IFERROR(SMALL(G367:G1087,ROW()-ROW($G$1090)+1),"")</f>
        <v>0</v>
      </c>
      <c r="H1454">
        <f>IFERROR(SMALL(H367:H1087,ROW()-ROW($H$1090)+1),"")</f>
        <v>0</v>
      </c>
      <c r="K1454">
        <f>IFERROR(SMALL(K367:K1087,ROW()-ROW($K$1090)+1),"")</f>
        <v>0</v>
      </c>
      <c r="L1454">
        <f>IFERROR(SMALL(L367:L1087,ROW()-ROW($L$1090)+1),"")</f>
        <v>0</v>
      </c>
      <c r="M1454">
        <f>IFERROR(SMALL(M367:M1087,ROW()-ROW($M$1090)+1),"")</f>
        <v>0</v>
      </c>
      <c r="N1454">
        <f>IFERROR(SMALL(N367:N1087,ROW()-ROW($N$1090)+1),"")</f>
        <v>0</v>
      </c>
    </row>
    <row r="1455" spans="5:14">
      <c r="E1455">
        <f>IFERROR(SMALL(E367:E1087,ROW()-ROW($E$1090)+1),"")</f>
        <v>0</v>
      </c>
      <c r="F1455">
        <f>IFERROR(SMALL(F367:F1087,ROW()-ROW($F$1090)+1),"")</f>
        <v>0</v>
      </c>
      <c r="G1455">
        <f>IFERROR(SMALL(G367:G1087,ROW()-ROW($G$1090)+1),"")</f>
        <v>0</v>
      </c>
      <c r="H1455">
        <f>IFERROR(SMALL(H367:H1087,ROW()-ROW($H$1090)+1),"")</f>
        <v>0</v>
      </c>
      <c r="K1455">
        <f>IFERROR(SMALL(K367:K1087,ROW()-ROW($K$1090)+1),"")</f>
        <v>0</v>
      </c>
      <c r="L1455">
        <f>IFERROR(SMALL(L367:L1087,ROW()-ROW($L$1090)+1),"")</f>
        <v>0</v>
      </c>
      <c r="M1455">
        <f>IFERROR(SMALL(M367:M1087,ROW()-ROW($M$1090)+1),"")</f>
        <v>0</v>
      </c>
      <c r="N1455">
        <f>IFERROR(SMALL(N367:N1087,ROW()-ROW($N$1090)+1),"")</f>
        <v>0</v>
      </c>
    </row>
    <row r="1456" spans="5:14">
      <c r="E1456">
        <f>IFERROR(SMALL(E367:E1087,ROW()-ROW($E$1090)+1),"")</f>
        <v>0</v>
      </c>
      <c r="F1456">
        <f>IFERROR(SMALL(F367:F1087,ROW()-ROW($F$1090)+1),"")</f>
        <v>0</v>
      </c>
      <c r="G1456">
        <f>IFERROR(SMALL(G367:G1087,ROW()-ROW($G$1090)+1),"")</f>
        <v>0</v>
      </c>
      <c r="H1456">
        <f>IFERROR(SMALL(H367:H1087,ROW()-ROW($H$1090)+1),"")</f>
        <v>0</v>
      </c>
      <c r="K1456">
        <f>IFERROR(SMALL(K367:K1087,ROW()-ROW($K$1090)+1),"")</f>
        <v>0</v>
      </c>
      <c r="L1456">
        <f>IFERROR(SMALL(L367:L1087,ROW()-ROW($L$1090)+1),"")</f>
        <v>0</v>
      </c>
      <c r="M1456">
        <f>IFERROR(SMALL(M367:M1087,ROW()-ROW($M$1090)+1),"")</f>
        <v>0</v>
      </c>
      <c r="N1456">
        <f>IFERROR(SMALL(N367:N1087,ROW()-ROW($N$1090)+1),"")</f>
        <v>0</v>
      </c>
    </row>
    <row r="1457" spans="5:14">
      <c r="E1457">
        <f>IFERROR(SMALL(E367:E1087,ROW()-ROW($E$1090)+1),"")</f>
        <v>0</v>
      </c>
      <c r="F1457">
        <f>IFERROR(SMALL(F367:F1087,ROW()-ROW($F$1090)+1),"")</f>
        <v>0</v>
      </c>
      <c r="G1457">
        <f>IFERROR(SMALL(G367:G1087,ROW()-ROW($G$1090)+1),"")</f>
        <v>0</v>
      </c>
      <c r="H1457">
        <f>IFERROR(SMALL(H367:H1087,ROW()-ROW($H$1090)+1),"")</f>
        <v>0</v>
      </c>
      <c r="K1457">
        <f>IFERROR(SMALL(K367:K1087,ROW()-ROW($K$1090)+1),"")</f>
        <v>0</v>
      </c>
      <c r="L1457">
        <f>IFERROR(SMALL(L367:L1087,ROW()-ROW($L$1090)+1),"")</f>
        <v>0</v>
      </c>
      <c r="M1457">
        <f>IFERROR(SMALL(M367:M1087,ROW()-ROW($M$1090)+1),"")</f>
        <v>0</v>
      </c>
      <c r="N1457">
        <f>IFERROR(SMALL(N367:N1087,ROW()-ROW($N$1090)+1),"")</f>
        <v>0</v>
      </c>
    </row>
    <row r="1458" spans="5:14">
      <c r="E1458">
        <f>IFERROR(SMALL(E367:E1087,ROW()-ROW($E$1090)+1),"")</f>
        <v>0</v>
      </c>
      <c r="F1458">
        <f>IFERROR(SMALL(F367:F1087,ROW()-ROW($F$1090)+1),"")</f>
        <v>0</v>
      </c>
      <c r="G1458">
        <f>IFERROR(SMALL(G367:G1087,ROW()-ROW($G$1090)+1),"")</f>
        <v>0</v>
      </c>
      <c r="H1458">
        <f>IFERROR(SMALL(H367:H1087,ROW()-ROW($H$1090)+1),"")</f>
        <v>0</v>
      </c>
      <c r="K1458">
        <f>IFERROR(SMALL(K367:K1087,ROW()-ROW($K$1090)+1),"")</f>
        <v>0</v>
      </c>
      <c r="L1458">
        <f>IFERROR(SMALL(L367:L1087,ROW()-ROW($L$1090)+1),"")</f>
        <v>0</v>
      </c>
      <c r="M1458">
        <f>IFERROR(SMALL(M367:M1087,ROW()-ROW($M$1090)+1),"")</f>
        <v>0</v>
      </c>
      <c r="N1458">
        <f>IFERROR(SMALL(N367:N1087,ROW()-ROW($N$1090)+1),"")</f>
        <v>0</v>
      </c>
    </row>
    <row r="1459" spans="5:14">
      <c r="E1459">
        <f>IFERROR(SMALL(E367:E1087,ROW()-ROW($E$1090)+1),"")</f>
        <v>0</v>
      </c>
      <c r="F1459">
        <f>IFERROR(SMALL(F367:F1087,ROW()-ROW($F$1090)+1),"")</f>
        <v>0</v>
      </c>
      <c r="G1459">
        <f>IFERROR(SMALL(G367:G1087,ROW()-ROW($G$1090)+1),"")</f>
        <v>0</v>
      </c>
      <c r="H1459">
        <f>IFERROR(SMALL(H367:H1087,ROW()-ROW($H$1090)+1),"")</f>
        <v>0</v>
      </c>
      <c r="K1459">
        <f>IFERROR(SMALL(K367:K1087,ROW()-ROW($K$1090)+1),"")</f>
        <v>0</v>
      </c>
      <c r="L1459">
        <f>IFERROR(SMALL(L367:L1087,ROW()-ROW($L$1090)+1),"")</f>
        <v>0</v>
      </c>
      <c r="M1459">
        <f>IFERROR(SMALL(M367:M1087,ROW()-ROW($M$1090)+1),"")</f>
        <v>0</v>
      </c>
      <c r="N1459">
        <f>IFERROR(SMALL(N367:N1087,ROW()-ROW($N$1090)+1),"")</f>
        <v>0</v>
      </c>
    </row>
    <row r="1460" spans="5:14">
      <c r="E1460">
        <f>IFERROR(SMALL(E367:E1087,ROW()-ROW($E$1090)+1),"")</f>
        <v>0</v>
      </c>
      <c r="F1460">
        <f>IFERROR(SMALL(F367:F1087,ROW()-ROW($F$1090)+1),"")</f>
        <v>0</v>
      </c>
      <c r="G1460">
        <f>IFERROR(SMALL(G367:G1087,ROW()-ROW($G$1090)+1),"")</f>
        <v>0</v>
      </c>
      <c r="H1460">
        <f>IFERROR(SMALL(H367:H1087,ROW()-ROW($H$1090)+1),"")</f>
        <v>0</v>
      </c>
      <c r="K1460">
        <f>IFERROR(SMALL(K367:K1087,ROW()-ROW($K$1090)+1),"")</f>
        <v>0</v>
      </c>
      <c r="L1460">
        <f>IFERROR(SMALL(L367:L1087,ROW()-ROW($L$1090)+1),"")</f>
        <v>0</v>
      </c>
      <c r="M1460">
        <f>IFERROR(SMALL(M367:M1087,ROW()-ROW($M$1090)+1),"")</f>
        <v>0</v>
      </c>
      <c r="N1460">
        <f>IFERROR(SMALL(N367:N1087,ROW()-ROW($N$1090)+1),"")</f>
        <v>0</v>
      </c>
    </row>
    <row r="1461" spans="5:14">
      <c r="E1461">
        <f>IFERROR(SMALL(E367:E1087,ROW()-ROW($E$1090)+1),"")</f>
        <v>0</v>
      </c>
      <c r="F1461">
        <f>IFERROR(SMALL(F367:F1087,ROW()-ROW($F$1090)+1),"")</f>
        <v>0</v>
      </c>
      <c r="G1461">
        <f>IFERROR(SMALL(G367:G1087,ROW()-ROW($G$1090)+1),"")</f>
        <v>0</v>
      </c>
      <c r="H1461">
        <f>IFERROR(SMALL(H367:H1087,ROW()-ROW($H$1090)+1),"")</f>
        <v>0</v>
      </c>
      <c r="K1461">
        <f>IFERROR(SMALL(K367:K1087,ROW()-ROW($K$1090)+1),"")</f>
        <v>0</v>
      </c>
      <c r="L1461">
        <f>IFERROR(SMALL(L367:L1087,ROW()-ROW($L$1090)+1),"")</f>
        <v>0</v>
      </c>
      <c r="M1461">
        <f>IFERROR(SMALL(M367:M1087,ROW()-ROW($M$1090)+1),"")</f>
        <v>0</v>
      </c>
      <c r="N1461">
        <f>IFERROR(SMALL(N367:N1087,ROW()-ROW($N$1090)+1),"")</f>
        <v>0</v>
      </c>
    </row>
    <row r="1462" spans="5:14">
      <c r="E1462">
        <f>IFERROR(SMALL(E367:E1087,ROW()-ROW($E$1090)+1),"")</f>
        <v>0</v>
      </c>
      <c r="F1462">
        <f>IFERROR(SMALL(F367:F1087,ROW()-ROW($F$1090)+1),"")</f>
        <v>0</v>
      </c>
      <c r="G1462">
        <f>IFERROR(SMALL(G367:G1087,ROW()-ROW($G$1090)+1),"")</f>
        <v>0</v>
      </c>
      <c r="H1462">
        <f>IFERROR(SMALL(H367:H1087,ROW()-ROW($H$1090)+1),"")</f>
        <v>0</v>
      </c>
      <c r="K1462">
        <f>IFERROR(SMALL(K367:K1087,ROW()-ROW($K$1090)+1),"")</f>
        <v>0</v>
      </c>
      <c r="L1462">
        <f>IFERROR(SMALL(L367:L1087,ROW()-ROW($L$1090)+1),"")</f>
        <v>0</v>
      </c>
      <c r="M1462">
        <f>IFERROR(SMALL(M367:M1087,ROW()-ROW($M$1090)+1),"")</f>
        <v>0</v>
      </c>
      <c r="N1462">
        <f>IFERROR(SMALL(N367:N1087,ROW()-ROW($N$1090)+1),"")</f>
        <v>0</v>
      </c>
    </row>
    <row r="1463" spans="5:14">
      <c r="E1463">
        <f>IFERROR(SMALL(E367:E1087,ROW()-ROW($E$1090)+1),"")</f>
        <v>0</v>
      </c>
      <c r="F1463">
        <f>IFERROR(SMALL(F367:F1087,ROW()-ROW($F$1090)+1),"")</f>
        <v>0</v>
      </c>
      <c r="G1463">
        <f>IFERROR(SMALL(G367:G1087,ROW()-ROW($G$1090)+1),"")</f>
        <v>0</v>
      </c>
      <c r="H1463">
        <f>IFERROR(SMALL(H367:H1087,ROW()-ROW($H$1090)+1),"")</f>
        <v>0</v>
      </c>
      <c r="K1463">
        <f>IFERROR(SMALL(K367:K1087,ROW()-ROW($K$1090)+1),"")</f>
        <v>0</v>
      </c>
      <c r="L1463">
        <f>IFERROR(SMALL(L367:L1087,ROW()-ROW($L$1090)+1),"")</f>
        <v>0</v>
      </c>
      <c r="M1463">
        <f>IFERROR(SMALL(M367:M1087,ROW()-ROW($M$1090)+1),"")</f>
        <v>0</v>
      </c>
      <c r="N1463">
        <f>IFERROR(SMALL(N367:N1087,ROW()-ROW($N$1090)+1),"")</f>
        <v>0</v>
      </c>
    </row>
    <row r="1464" spans="5:14">
      <c r="E1464">
        <f>IFERROR(SMALL(E367:E1087,ROW()-ROW($E$1090)+1),"")</f>
        <v>0</v>
      </c>
      <c r="F1464">
        <f>IFERROR(SMALL(F367:F1087,ROW()-ROW($F$1090)+1),"")</f>
        <v>0</v>
      </c>
      <c r="G1464">
        <f>IFERROR(SMALL(G367:G1087,ROW()-ROW($G$1090)+1),"")</f>
        <v>0</v>
      </c>
      <c r="H1464">
        <f>IFERROR(SMALL(H367:H1087,ROW()-ROW($H$1090)+1),"")</f>
        <v>0</v>
      </c>
      <c r="K1464">
        <f>IFERROR(SMALL(K367:K1087,ROW()-ROW($K$1090)+1),"")</f>
        <v>0</v>
      </c>
      <c r="L1464">
        <f>IFERROR(SMALL(L367:L1087,ROW()-ROW($L$1090)+1),"")</f>
        <v>0</v>
      </c>
      <c r="M1464">
        <f>IFERROR(SMALL(M367:M1087,ROW()-ROW($M$1090)+1),"")</f>
        <v>0</v>
      </c>
      <c r="N1464">
        <f>IFERROR(SMALL(N367:N1087,ROW()-ROW($N$1090)+1),"")</f>
        <v>0</v>
      </c>
    </row>
    <row r="1465" spans="5:14">
      <c r="E1465">
        <f>IFERROR(SMALL(E367:E1087,ROW()-ROW($E$1090)+1),"")</f>
        <v>0</v>
      </c>
      <c r="F1465">
        <f>IFERROR(SMALL(F367:F1087,ROW()-ROW($F$1090)+1),"")</f>
        <v>0</v>
      </c>
      <c r="G1465">
        <f>IFERROR(SMALL(G367:G1087,ROW()-ROW($G$1090)+1),"")</f>
        <v>0</v>
      </c>
      <c r="H1465">
        <f>IFERROR(SMALL(H367:H1087,ROW()-ROW($H$1090)+1),"")</f>
        <v>0</v>
      </c>
      <c r="K1465">
        <f>IFERROR(SMALL(K367:K1087,ROW()-ROW($K$1090)+1),"")</f>
        <v>0</v>
      </c>
      <c r="L1465">
        <f>IFERROR(SMALL(L367:L1087,ROW()-ROW($L$1090)+1),"")</f>
        <v>0</v>
      </c>
      <c r="M1465">
        <f>IFERROR(SMALL(M367:M1087,ROW()-ROW($M$1090)+1),"")</f>
        <v>0</v>
      </c>
      <c r="N1465">
        <f>IFERROR(SMALL(N367:N1087,ROW()-ROW($N$1090)+1),"")</f>
        <v>0</v>
      </c>
    </row>
    <row r="1466" spans="5:14">
      <c r="E1466">
        <f>IFERROR(SMALL(E367:E1087,ROW()-ROW($E$1090)+1),"")</f>
        <v>0</v>
      </c>
      <c r="F1466">
        <f>IFERROR(SMALL(F367:F1087,ROW()-ROW($F$1090)+1),"")</f>
        <v>0</v>
      </c>
      <c r="G1466">
        <f>IFERROR(SMALL(G367:G1087,ROW()-ROW($G$1090)+1),"")</f>
        <v>0</v>
      </c>
      <c r="H1466">
        <f>IFERROR(SMALL(H367:H1087,ROW()-ROW($H$1090)+1),"")</f>
        <v>0</v>
      </c>
      <c r="K1466">
        <f>IFERROR(SMALL(K367:K1087,ROW()-ROW($K$1090)+1),"")</f>
        <v>0</v>
      </c>
      <c r="L1466">
        <f>IFERROR(SMALL(L367:L1087,ROW()-ROW($L$1090)+1),"")</f>
        <v>0</v>
      </c>
      <c r="M1466">
        <f>IFERROR(SMALL(M367:M1087,ROW()-ROW($M$1090)+1),"")</f>
        <v>0</v>
      </c>
      <c r="N1466">
        <f>IFERROR(SMALL(N367:N1087,ROW()-ROW($N$1090)+1),"")</f>
        <v>0</v>
      </c>
    </row>
    <row r="1467" spans="5:14">
      <c r="E1467">
        <f>IFERROR(SMALL(E367:E1087,ROW()-ROW($E$1090)+1),"")</f>
        <v>0</v>
      </c>
      <c r="F1467">
        <f>IFERROR(SMALL(F367:F1087,ROW()-ROW($F$1090)+1),"")</f>
        <v>0</v>
      </c>
      <c r="G1467">
        <f>IFERROR(SMALL(G367:G1087,ROW()-ROW($G$1090)+1),"")</f>
        <v>0</v>
      </c>
      <c r="H1467">
        <f>IFERROR(SMALL(H367:H1087,ROW()-ROW($H$1090)+1),"")</f>
        <v>0</v>
      </c>
      <c r="K1467">
        <f>IFERROR(SMALL(K367:K1087,ROW()-ROW($K$1090)+1),"")</f>
        <v>0</v>
      </c>
      <c r="L1467">
        <f>IFERROR(SMALL(L367:L1087,ROW()-ROW($L$1090)+1),"")</f>
        <v>0</v>
      </c>
      <c r="M1467">
        <f>IFERROR(SMALL(M367:M1087,ROW()-ROW($M$1090)+1),"")</f>
        <v>0</v>
      </c>
      <c r="N1467">
        <f>IFERROR(SMALL(N367:N1087,ROW()-ROW($N$1090)+1),"")</f>
        <v>0</v>
      </c>
    </row>
    <row r="1468" spans="5:14">
      <c r="E1468">
        <f>IFERROR(SMALL(E367:E1087,ROW()-ROW($E$1090)+1),"")</f>
        <v>0</v>
      </c>
      <c r="F1468">
        <f>IFERROR(SMALL(F367:F1087,ROW()-ROW($F$1090)+1),"")</f>
        <v>0</v>
      </c>
      <c r="G1468">
        <f>IFERROR(SMALL(G367:G1087,ROW()-ROW($G$1090)+1),"")</f>
        <v>0</v>
      </c>
      <c r="H1468">
        <f>IFERROR(SMALL(H367:H1087,ROW()-ROW($H$1090)+1),"")</f>
        <v>0</v>
      </c>
      <c r="K1468">
        <f>IFERROR(SMALL(K367:K1087,ROW()-ROW($K$1090)+1),"")</f>
        <v>0</v>
      </c>
      <c r="L1468">
        <f>IFERROR(SMALL(L367:L1087,ROW()-ROW($L$1090)+1),"")</f>
        <v>0</v>
      </c>
      <c r="M1468">
        <f>IFERROR(SMALL(M367:M1087,ROW()-ROW($M$1090)+1),"")</f>
        <v>0</v>
      </c>
      <c r="N1468">
        <f>IFERROR(SMALL(N367:N1087,ROW()-ROW($N$1090)+1),"")</f>
        <v>0</v>
      </c>
    </row>
    <row r="1469" spans="5:14">
      <c r="E1469">
        <f>IFERROR(SMALL(E367:E1087,ROW()-ROW($E$1090)+1),"")</f>
        <v>0</v>
      </c>
      <c r="F1469">
        <f>IFERROR(SMALL(F367:F1087,ROW()-ROW($F$1090)+1),"")</f>
        <v>0</v>
      </c>
      <c r="G1469">
        <f>IFERROR(SMALL(G367:G1087,ROW()-ROW($G$1090)+1),"")</f>
        <v>0</v>
      </c>
      <c r="H1469">
        <f>IFERROR(SMALL(H367:H1087,ROW()-ROW($H$1090)+1),"")</f>
        <v>0</v>
      </c>
      <c r="K1469">
        <f>IFERROR(SMALL(K367:K1087,ROW()-ROW($K$1090)+1),"")</f>
        <v>0</v>
      </c>
      <c r="L1469">
        <f>IFERROR(SMALL(L367:L1087,ROW()-ROW($L$1090)+1),"")</f>
        <v>0</v>
      </c>
      <c r="M1469">
        <f>IFERROR(SMALL(M367:M1087,ROW()-ROW($M$1090)+1),"")</f>
        <v>0</v>
      </c>
      <c r="N1469">
        <f>IFERROR(SMALL(N367:N1087,ROW()-ROW($N$1090)+1),"")</f>
        <v>0</v>
      </c>
    </row>
    <row r="1470" spans="5:14">
      <c r="E1470">
        <f>IFERROR(SMALL(E367:E1087,ROW()-ROW($E$1090)+1),"")</f>
        <v>0</v>
      </c>
      <c r="F1470">
        <f>IFERROR(SMALL(F367:F1087,ROW()-ROW($F$1090)+1),"")</f>
        <v>0</v>
      </c>
      <c r="G1470">
        <f>IFERROR(SMALL(G367:G1087,ROW()-ROW($G$1090)+1),"")</f>
        <v>0</v>
      </c>
      <c r="H1470">
        <f>IFERROR(SMALL(H367:H1087,ROW()-ROW($H$1090)+1),"")</f>
        <v>0</v>
      </c>
      <c r="K1470">
        <f>IFERROR(SMALL(K367:K1087,ROW()-ROW($K$1090)+1),"")</f>
        <v>0</v>
      </c>
      <c r="L1470">
        <f>IFERROR(SMALL(L367:L1087,ROW()-ROW($L$1090)+1),"")</f>
        <v>0</v>
      </c>
      <c r="M1470">
        <f>IFERROR(SMALL(M367:M1087,ROW()-ROW($M$1090)+1),"")</f>
        <v>0</v>
      </c>
      <c r="N1470">
        <f>IFERROR(SMALL(N367:N1087,ROW()-ROW($N$1090)+1),"")</f>
        <v>0</v>
      </c>
    </row>
    <row r="1471" spans="5:14">
      <c r="E1471">
        <f>IFERROR(SMALL(E367:E1087,ROW()-ROW($E$1090)+1),"")</f>
        <v>0</v>
      </c>
      <c r="F1471">
        <f>IFERROR(SMALL(F367:F1087,ROW()-ROW($F$1090)+1),"")</f>
        <v>0</v>
      </c>
      <c r="G1471">
        <f>IFERROR(SMALL(G367:G1087,ROW()-ROW($G$1090)+1),"")</f>
        <v>0</v>
      </c>
      <c r="H1471">
        <f>IFERROR(SMALL(H367:H1087,ROW()-ROW($H$1090)+1),"")</f>
        <v>0</v>
      </c>
      <c r="K1471">
        <f>IFERROR(SMALL(K367:K1087,ROW()-ROW($K$1090)+1),"")</f>
        <v>0</v>
      </c>
      <c r="L1471">
        <f>IFERROR(SMALL(L367:L1087,ROW()-ROW($L$1090)+1),"")</f>
        <v>0</v>
      </c>
      <c r="M1471">
        <f>IFERROR(SMALL(M367:M1087,ROW()-ROW($M$1090)+1),"")</f>
        <v>0</v>
      </c>
      <c r="N1471">
        <f>IFERROR(SMALL(N367:N1087,ROW()-ROW($N$1090)+1),"")</f>
        <v>0</v>
      </c>
    </row>
    <row r="1472" spans="5:14">
      <c r="E1472">
        <f>IFERROR(SMALL(E367:E1087,ROW()-ROW($E$1090)+1),"")</f>
        <v>0</v>
      </c>
      <c r="F1472">
        <f>IFERROR(SMALL(F367:F1087,ROW()-ROW($F$1090)+1),"")</f>
        <v>0</v>
      </c>
      <c r="G1472">
        <f>IFERROR(SMALL(G367:G1087,ROW()-ROW($G$1090)+1),"")</f>
        <v>0</v>
      </c>
      <c r="H1472">
        <f>IFERROR(SMALL(H367:H1087,ROW()-ROW($H$1090)+1),"")</f>
        <v>0</v>
      </c>
      <c r="K1472">
        <f>IFERROR(SMALL(K367:K1087,ROW()-ROW($K$1090)+1),"")</f>
        <v>0</v>
      </c>
      <c r="L1472">
        <f>IFERROR(SMALL(L367:L1087,ROW()-ROW($L$1090)+1),"")</f>
        <v>0</v>
      </c>
      <c r="M1472">
        <f>IFERROR(SMALL(M367:M1087,ROW()-ROW($M$1090)+1),"")</f>
        <v>0</v>
      </c>
      <c r="N1472">
        <f>IFERROR(SMALL(N367:N1087,ROW()-ROW($N$1090)+1),"")</f>
        <v>0</v>
      </c>
    </row>
    <row r="1473" spans="5:14">
      <c r="E1473">
        <f>IFERROR(SMALL(E367:E1087,ROW()-ROW($E$1090)+1),"")</f>
        <v>0</v>
      </c>
      <c r="F1473">
        <f>IFERROR(SMALL(F367:F1087,ROW()-ROW($F$1090)+1),"")</f>
        <v>0</v>
      </c>
      <c r="G1473">
        <f>IFERROR(SMALL(G367:G1087,ROW()-ROW($G$1090)+1),"")</f>
        <v>0</v>
      </c>
      <c r="H1473">
        <f>IFERROR(SMALL(H367:H1087,ROW()-ROW($H$1090)+1),"")</f>
        <v>0</v>
      </c>
      <c r="K1473">
        <f>IFERROR(SMALL(K367:K1087,ROW()-ROW($K$1090)+1),"")</f>
        <v>0</v>
      </c>
      <c r="L1473">
        <f>IFERROR(SMALL(L367:L1087,ROW()-ROW($L$1090)+1),"")</f>
        <v>0</v>
      </c>
      <c r="M1473">
        <f>IFERROR(SMALL(M367:M1087,ROW()-ROW($M$1090)+1),"")</f>
        <v>0</v>
      </c>
      <c r="N1473">
        <f>IFERROR(SMALL(N367:N1087,ROW()-ROW($N$1090)+1),"")</f>
        <v>0</v>
      </c>
    </row>
    <row r="1474" spans="5:14">
      <c r="E1474">
        <f>IFERROR(SMALL(E367:E1087,ROW()-ROW($E$1090)+1),"")</f>
        <v>0</v>
      </c>
      <c r="F1474">
        <f>IFERROR(SMALL(F367:F1087,ROW()-ROW($F$1090)+1),"")</f>
        <v>0</v>
      </c>
      <c r="G1474">
        <f>IFERROR(SMALL(G367:G1087,ROW()-ROW($G$1090)+1),"")</f>
        <v>0</v>
      </c>
      <c r="H1474">
        <f>IFERROR(SMALL(H367:H1087,ROW()-ROW($H$1090)+1),"")</f>
        <v>0</v>
      </c>
      <c r="K1474">
        <f>IFERROR(SMALL(K367:K1087,ROW()-ROW($K$1090)+1),"")</f>
        <v>0</v>
      </c>
      <c r="L1474">
        <f>IFERROR(SMALL(L367:L1087,ROW()-ROW($L$1090)+1),"")</f>
        <v>0</v>
      </c>
      <c r="M1474">
        <f>IFERROR(SMALL(M367:M1087,ROW()-ROW($M$1090)+1),"")</f>
        <v>0</v>
      </c>
      <c r="N1474">
        <f>IFERROR(SMALL(N367:N1087,ROW()-ROW($N$1090)+1),"")</f>
        <v>0</v>
      </c>
    </row>
    <row r="1475" spans="5:14">
      <c r="E1475">
        <f>IFERROR(SMALL(E367:E1087,ROW()-ROW($E$1090)+1),"")</f>
        <v>0</v>
      </c>
      <c r="F1475">
        <f>IFERROR(SMALL(F367:F1087,ROW()-ROW($F$1090)+1),"")</f>
        <v>0</v>
      </c>
      <c r="G1475">
        <f>IFERROR(SMALL(G367:G1087,ROW()-ROW($G$1090)+1),"")</f>
        <v>0</v>
      </c>
      <c r="H1475">
        <f>IFERROR(SMALL(H367:H1087,ROW()-ROW($H$1090)+1),"")</f>
        <v>0</v>
      </c>
      <c r="K1475">
        <f>IFERROR(SMALL(K367:K1087,ROW()-ROW($K$1090)+1),"")</f>
        <v>0</v>
      </c>
      <c r="L1475">
        <f>IFERROR(SMALL(L367:L1087,ROW()-ROW($L$1090)+1),"")</f>
        <v>0</v>
      </c>
      <c r="M1475">
        <f>IFERROR(SMALL(M367:M1087,ROW()-ROW($M$1090)+1),"")</f>
        <v>0</v>
      </c>
      <c r="N1475">
        <f>IFERROR(SMALL(N367:N1087,ROW()-ROW($N$1090)+1),"")</f>
        <v>0</v>
      </c>
    </row>
    <row r="1476" spans="5:14">
      <c r="E1476">
        <f>IFERROR(SMALL(E367:E1087,ROW()-ROW($E$1090)+1),"")</f>
        <v>0</v>
      </c>
      <c r="F1476">
        <f>IFERROR(SMALL(F367:F1087,ROW()-ROW($F$1090)+1),"")</f>
        <v>0</v>
      </c>
      <c r="G1476">
        <f>IFERROR(SMALL(G367:G1087,ROW()-ROW($G$1090)+1),"")</f>
        <v>0</v>
      </c>
      <c r="H1476">
        <f>IFERROR(SMALL(H367:H1087,ROW()-ROW($H$1090)+1),"")</f>
        <v>0</v>
      </c>
      <c r="K1476">
        <f>IFERROR(SMALL(K367:K1087,ROW()-ROW($K$1090)+1),"")</f>
        <v>0</v>
      </c>
      <c r="L1476">
        <f>IFERROR(SMALL(L367:L1087,ROW()-ROW($L$1090)+1),"")</f>
        <v>0</v>
      </c>
      <c r="M1476">
        <f>IFERROR(SMALL(M367:M1087,ROW()-ROW($M$1090)+1),"")</f>
        <v>0</v>
      </c>
      <c r="N1476">
        <f>IFERROR(SMALL(N367:N1087,ROW()-ROW($N$1090)+1),"")</f>
        <v>0</v>
      </c>
    </row>
    <row r="1477" spans="5:14">
      <c r="E1477">
        <f>IFERROR(SMALL(E367:E1087,ROW()-ROW($E$1090)+1),"")</f>
        <v>0</v>
      </c>
      <c r="F1477">
        <f>IFERROR(SMALL(F367:F1087,ROW()-ROW($F$1090)+1),"")</f>
        <v>0</v>
      </c>
      <c r="G1477">
        <f>IFERROR(SMALL(G367:G1087,ROW()-ROW($G$1090)+1),"")</f>
        <v>0</v>
      </c>
      <c r="H1477">
        <f>IFERROR(SMALL(H367:H1087,ROW()-ROW($H$1090)+1),"")</f>
        <v>0</v>
      </c>
      <c r="K1477">
        <f>IFERROR(SMALL(K367:K1087,ROW()-ROW($K$1090)+1),"")</f>
        <v>0</v>
      </c>
      <c r="L1477">
        <f>IFERROR(SMALL(L367:L1087,ROW()-ROW($L$1090)+1),"")</f>
        <v>0</v>
      </c>
      <c r="M1477">
        <f>IFERROR(SMALL(M367:M1087,ROW()-ROW($M$1090)+1),"")</f>
        <v>0</v>
      </c>
      <c r="N1477">
        <f>IFERROR(SMALL(N367:N1087,ROW()-ROW($N$1090)+1),"")</f>
        <v>0</v>
      </c>
    </row>
    <row r="1478" spans="5:14">
      <c r="E1478">
        <f>IFERROR(SMALL(E367:E1087,ROW()-ROW($E$1090)+1),"")</f>
        <v>0</v>
      </c>
      <c r="F1478">
        <f>IFERROR(SMALL(F367:F1087,ROW()-ROW($F$1090)+1),"")</f>
        <v>0</v>
      </c>
      <c r="G1478">
        <f>IFERROR(SMALL(G367:G1087,ROW()-ROW($G$1090)+1),"")</f>
        <v>0</v>
      </c>
      <c r="H1478">
        <f>IFERROR(SMALL(H367:H1087,ROW()-ROW($H$1090)+1),"")</f>
        <v>0</v>
      </c>
      <c r="K1478">
        <f>IFERROR(SMALL(K367:K1087,ROW()-ROW($K$1090)+1),"")</f>
        <v>0</v>
      </c>
      <c r="L1478">
        <f>IFERROR(SMALL(L367:L1087,ROW()-ROW($L$1090)+1),"")</f>
        <v>0</v>
      </c>
      <c r="M1478">
        <f>IFERROR(SMALL(M367:M1087,ROW()-ROW($M$1090)+1),"")</f>
        <v>0</v>
      </c>
      <c r="N1478">
        <f>IFERROR(SMALL(N367:N1087,ROW()-ROW($N$1090)+1),"")</f>
        <v>0</v>
      </c>
    </row>
    <row r="1479" spans="5:14">
      <c r="E1479">
        <f>IFERROR(SMALL(E367:E1087,ROW()-ROW($E$1090)+1),"")</f>
        <v>0</v>
      </c>
      <c r="F1479">
        <f>IFERROR(SMALL(F367:F1087,ROW()-ROW($F$1090)+1),"")</f>
        <v>0</v>
      </c>
      <c r="G1479">
        <f>IFERROR(SMALL(G367:G1087,ROW()-ROW($G$1090)+1),"")</f>
        <v>0</v>
      </c>
      <c r="H1479">
        <f>IFERROR(SMALL(H367:H1087,ROW()-ROW($H$1090)+1),"")</f>
        <v>0</v>
      </c>
      <c r="K1479">
        <f>IFERROR(SMALL(K367:K1087,ROW()-ROW($K$1090)+1),"")</f>
        <v>0</v>
      </c>
      <c r="L1479">
        <f>IFERROR(SMALL(L367:L1087,ROW()-ROW($L$1090)+1),"")</f>
        <v>0</v>
      </c>
      <c r="M1479">
        <f>IFERROR(SMALL(M367:M1087,ROW()-ROW($M$1090)+1),"")</f>
        <v>0</v>
      </c>
      <c r="N1479">
        <f>IFERROR(SMALL(N367:N1087,ROW()-ROW($N$1090)+1),"")</f>
        <v>0</v>
      </c>
    </row>
    <row r="1480" spans="5:14">
      <c r="E1480">
        <f>IFERROR(SMALL(E367:E1087,ROW()-ROW($E$1090)+1),"")</f>
        <v>0</v>
      </c>
      <c r="F1480">
        <f>IFERROR(SMALL(F367:F1087,ROW()-ROW($F$1090)+1),"")</f>
        <v>0</v>
      </c>
      <c r="G1480">
        <f>IFERROR(SMALL(G367:G1087,ROW()-ROW($G$1090)+1),"")</f>
        <v>0</v>
      </c>
      <c r="H1480">
        <f>IFERROR(SMALL(H367:H1087,ROW()-ROW($H$1090)+1),"")</f>
        <v>0</v>
      </c>
      <c r="K1480">
        <f>IFERROR(SMALL(K367:K1087,ROW()-ROW($K$1090)+1),"")</f>
        <v>0</v>
      </c>
      <c r="L1480">
        <f>IFERROR(SMALL(L367:L1087,ROW()-ROW($L$1090)+1),"")</f>
        <v>0</v>
      </c>
      <c r="M1480">
        <f>IFERROR(SMALL(M367:M1087,ROW()-ROW($M$1090)+1),"")</f>
        <v>0</v>
      </c>
      <c r="N1480">
        <f>IFERROR(SMALL(N367:N1087,ROW()-ROW($N$1090)+1),"")</f>
        <v>0</v>
      </c>
    </row>
    <row r="1481" spans="5:14">
      <c r="E1481">
        <f>IFERROR(SMALL(E367:E1087,ROW()-ROW($E$1090)+1),"")</f>
        <v>0</v>
      </c>
      <c r="F1481">
        <f>IFERROR(SMALL(F367:F1087,ROW()-ROW($F$1090)+1),"")</f>
        <v>0</v>
      </c>
      <c r="G1481">
        <f>IFERROR(SMALL(G367:G1087,ROW()-ROW($G$1090)+1),"")</f>
        <v>0</v>
      </c>
      <c r="H1481">
        <f>IFERROR(SMALL(H367:H1087,ROW()-ROW($H$1090)+1),"")</f>
        <v>0</v>
      </c>
      <c r="K1481">
        <f>IFERROR(SMALL(K367:K1087,ROW()-ROW($K$1090)+1),"")</f>
        <v>0</v>
      </c>
      <c r="L1481">
        <f>IFERROR(SMALL(L367:L1087,ROW()-ROW($L$1090)+1),"")</f>
        <v>0</v>
      </c>
      <c r="M1481">
        <f>IFERROR(SMALL(M367:M1087,ROW()-ROW($M$1090)+1),"")</f>
        <v>0</v>
      </c>
      <c r="N1481">
        <f>IFERROR(SMALL(N367:N1087,ROW()-ROW($N$1090)+1),"")</f>
        <v>0</v>
      </c>
    </row>
    <row r="1482" spans="5:14">
      <c r="E1482">
        <f>IFERROR(SMALL(E367:E1087,ROW()-ROW($E$1090)+1),"")</f>
        <v>0</v>
      </c>
      <c r="F1482">
        <f>IFERROR(SMALL(F367:F1087,ROW()-ROW($F$1090)+1),"")</f>
        <v>0</v>
      </c>
      <c r="G1482">
        <f>IFERROR(SMALL(G367:G1087,ROW()-ROW($G$1090)+1),"")</f>
        <v>0</v>
      </c>
      <c r="H1482">
        <f>IFERROR(SMALL(H367:H1087,ROW()-ROW($H$1090)+1),"")</f>
        <v>0</v>
      </c>
      <c r="K1482">
        <f>IFERROR(SMALL(K367:K1087,ROW()-ROW($K$1090)+1),"")</f>
        <v>0</v>
      </c>
      <c r="L1482">
        <f>IFERROR(SMALL(L367:L1087,ROW()-ROW($L$1090)+1),"")</f>
        <v>0</v>
      </c>
      <c r="M1482">
        <f>IFERROR(SMALL(M367:M1087,ROW()-ROW($M$1090)+1),"")</f>
        <v>0</v>
      </c>
      <c r="N1482">
        <f>IFERROR(SMALL(N367:N1087,ROW()-ROW($N$1090)+1),"")</f>
        <v>0</v>
      </c>
    </row>
    <row r="1483" spans="5:14">
      <c r="E1483">
        <f>IFERROR(SMALL(E367:E1087,ROW()-ROW($E$1090)+1),"")</f>
        <v>0</v>
      </c>
      <c r="F1483">
        <f>IFERROR(SMALL(F367:F1087,ROW()-ROW($F$1090)+1),"")</f>
        <v>0</v>
      </c>
      <c r="G1483">
        <f>IFERROR(SMALL(G367:G1087,ROW()-ROW($G$1090)+1),"")</f>
        <v>0</v>
      </c>
      <c r="H1483">
        <f>IFERROR(SMALL(H367:H1087,ROW()-ROW($H$1090)+1),"")</f>
        <v>0</v>
      </c>
      <c r="K1483">
        <f>IFERROR(SMALL(K367:K1087,ROW()-ROW($K$1090)+1),"")</f>
        <v>0</v>
      </c>
      <c r="L1483">
        <f>IFERROR(SMALL(L367:L1087,ROW()-ROW($L$1090)+1),"")</f>
        <v>0</v>
      </c>
      <c r="M1483">
        <f>IFERROR(SMALL(M367:M1087,ROW()-ROW($M$1090)+1),"")</f>
        <v>0</v>
      </c>
      <c r="N1483">
        <f>IFERROR(SMALL(N367:N1087,ROW()-ROW($N$1090)+1),"")</f>
        <v>0</v>
      </c>
    </row>
    <row r="1484" spans="5:14">
      <c r="E1484">
        <f>IFERROR(SMALL(E367:E1087,ROW()-ROW($E$1090)+1),"")</f>
        <v>0</v>
      </c>
      <c r="F1484">
        <f>IFERROR(SMALL(F367:F1087,ROW()-ROW($F$1090)+1),"")</f>
        <v>0</v>
      </c>
      <c r="G1484">
        <f>IFERROR(SMALL(G367:G1087,ROW()-ROW($G$1090)+1),"")</f>
        <v>0</v>
      </c>
      <c r="H1484">
        <f>IFERROR(SMALL(H367:H1087,ROW()-ROW($H$1090)+1),"")</f>
        <v>0</v>
      </c>
      <c r="K1484">
        <f>IFERROR(SMALL(K367:K1087,ROW()-ROW($K$1090)+1),"")</f>
        <v>0</v>
      </c>
      <c r="L1484">
        <f>IFERROR(SMALL(L367:L1087,ROW()-ROW($L$1090)+1),"")</f>
        <v>0</v>
      </c>
      <c r="M1484">
        <f>IFERROR(SMALL(M367:M1087,ROW()-ROW($M$1090)+1),"")</f>
        <v>0</v>
      </c>
      <c r="N1484">
        <f>IFERROR(SMALL(N367:N1087,ROW()-ROW($N$1090)+1),"")</f>
        <v>0</v>
      </c>
    </row>
    <row r="1485" spans="5:14">
      <c r="E1485">
        <f>IFERROR(SMALL(E367:E1087,ROW()-ROW($E$1090)+1),"")</f>
        <v>0</v>
      </c>
      <c r="F1485">
        <f>IFERROR(SMALL(F367:F1087,ROW()-ROW($F$1090)+1),"")</f>
        <v>0</v>
      </c>
      <c r="G1485">
        <f>IFERROR(SMALL(G367:G1087,ROW()-ROW($G$1090)+1),"")</f>
        <v>0</v>
      </c>
      <c r="H1485">
        <f>IFERROR(SMALL(H367:H1087,ROW()-ROW($H$1090)+1),"")</f>
        <v>0</v>
      </c>
      <c r="K1485">
        <f>IFERROR(SMALL(K367:K1087,ROW()-ROW($K$1090)+1),"")</f>
        <v>0</v>
      </c>
      <c r="L1485">
        <f>IFERROR(SMALL(L367:L1087,ROW()-ROW($L$1090)+1),"")</f>
        <v>0</v>
      </c>
      <c r="M1485">
        <f>IFERROR(SMALL(M367:M1087,ROW()-ROW($M$1090)+1),"")</f>
        <v>0</v>
      </c>
      <c r="N1485">
        <f>IFERROR(SMALL(N367:N1087,ROW()-ROW($N$1090)+1),"")</f>
        <v>0</v>
      </c>
    </row>
    <row r="1486" spans="5:14">
      <c r="E1486">
        <f>IFERROR(SMALL(E367:E1087,ROW()-ROW($E$1090)+1),"")</f>
        <v>0</v>
      </c>
      <c r="F1486">
        <f>IFERROR(SMALL(F367:F1087,ROW()-ROW($F$1090)+1),"")</f>
        <v>0</v>
      </c>
      <c r="G1486">
        <f>IFERROR(SMALL(G367:G1087,ROW()-ROW($G$1090)+1),"")</f>
        <v>0</v>
      </c>
      <c r="H1486">
        <f>IFERROR(SMALL(H367:H1087,ROW()-ROW($H$1090)+1),"")</f>
        <v>0</v>
      </c>
      <c r="K1486">
        <f>IFERROR(SMALL(K367:K1087,ROW()-ROW($K$1090)+1),"")</f>
        <v>0</v>
      </c>
      <c r="L1486">
        <f>IFERROR(SMALL(L367:L1087,ROW()-ROW($L$1090)+1),"")</f>
        <v>0</v>
      </c>
      <c r="M1486">
        <f>IFERROR(SMALL(M367:M1087,ROW()-ROW($M$1090)+1),"")</f>
        <v>0</v>
      </c>
      <c r="N1486">
        <f>IFERROR(SMALL(N367:N1087,ROW()-ROW($N$1090)+1),"")</f>
        <v>0</v>
      </c>
    </row>
    <row r="1487" spans="5:14">
      <c r="E1487">
        <f>IFERROR(SMALL(E367:E1087,ROW()-ROW($E$1090)+1),"")</f>
        <v>0</v>
      </c>
      <c r="F1487">
        <f>IFERROR(SMALL(F367:F1087,ROW()-ROW($F$1090)+1),"")</f>
        <v>0</v>
      </c>
      <c r="G1487">
        <f>IFERROR(SMALL(G367:G1087,ROW()-ROW($G$1090)+1),"")</f>
        <v>0</v>
      </c>
      <c r="H1487">
        <f>IFERROR(SMALL(H367:H1087,ROW()-ROW($H$1090)+1),"")</f>
        <v>0</v>
      </c>
      <c r="K1487">
        <f>IFERROR(SMALL(K367:K1087,ROW()-ROW($K$1090)+1),"")</f>
        <v>0</v>
      </c>
      <c r="L1487">
        <f>IFERROR(SMALL(L367:L1087,ROW()-ROW($L$1090)+1),"")</f>
        <v>0</v>
      </c>
      <c r="M1487">
        <f>IFERROR(SMALL(M367:M1087,ROW()-ROW($M$1090)+1),"")</f>
        <v>0</v>
      </c>
      <c r="N1487">
        <f>IFERROR(SMALL(N367:N1087,ROW()-ROW($N$1090)+1),"")</f>
        <v>0</v>
      </c>
    </row>
    <row r="1488" spans="5:14">
      <c r="E1488">
        <f>IFERROR(SMALL(E367:E1087,ROW()-ROW($E$1090)+1),"")</f>
        <v>0</v>
      </c>
      <c r="F1488">
        <f>IFERROR(SMALL(F367:F1087,ROW()-ROW($F$1090)+1),"")</f>
        <v>0</v>
      </c>
      <c r="G1488">
        <f>IFERROR(SMALL(G367:G1087,ROW()-ROW($G$1090)+1),"")</f>
        <v>0</v>
      </c>
      <c r="H1488">
        <f>IFERROR(SMALL(H367:H1087,ROW()-ROW($H$1090)+1),"")</f>
        <v>0</v>
      </c>
      <c r="K1488">
        <f>IFERROR(SMALL(K367:K1087,ROW()-ROW($K$1090)+1),"")</f>
        <v>0</v>
      </c>
      <c r="L1488">
        <f>IFERROR(SMALL(L367:L1087,ROW()-ROW($L$1090)+1),"")</f>
        <v>0</v>
      </c>
      <c r="M1488">
        <f>IFERROR(SMALL(M367:M1087,ROW()-ROW($M$1090)+1),"")</f>
        <v>0</v>
      </c>
      <c r="N1488">
        <f>IFERROR(SMALL(N367:N1087,ROW()-ROW($N$1090)+1),"")</f>
        <v>0</v>
      </c>
    </row>
    <row r="1489" spans="5:14">
      <c r="E1489">
        <f>IFERROR(SMALL(E367:E1087,ROW()-ROW($E$1090)+1),"")</f>
        <v>0</v>
      </c>
      <c r="F1489">
        <f>IFERROR(SMALL(F367:F1087,ROW()-ROW($F$1090)+1),"")</f>
        <v>0</v>
      </c>
      <c r="G1489">
        <f>IFERROR(SMALL(G367:G1087,ROW()-ROW($G$1090)+1),"")</f>
        <v>0</v>
      </c>
      <c r="H1489">
        <f>IFERROR(SMALL(H367:H1087,ROW()-ROW($H$1090)+1),"")</f>
        <v>0</v>
      </c>
      <c r="K1489">
        <f>IFERROR(SMALL(K367:K1087,ROW()-ROW($K$1090)+1),"")</f>
        <v>0</v>
      </c>
      <c r="L1489">
        <f>IFERROR(SMALL(L367:L1087,ROW()-ROW($L$1090)+1),"")</f>
        <v>0</v>
      </c>
      <c r="M1489">
        <f>IFERROR(SMALL(M367:M1087,ROW()-ROW($M$1090)+1),"")</f>
        <v>0</v>
      </c>
      <c r="N1489">
        <f>IFERROR(SMALL(N367:N1087,ROW()-ROW($N$1090)+1),"")</f>
        <v>0</v>
      </c>
    </row>
    <row r="1490" spans="5:14">
      <c r="E1490">
        <f>IFERROR(SMALL(E367:E1087,ROW()-ROW($E$1090)+1),"")</f>
        <v>0</v>
      </c>
      <c r="F1490">
        <f>IFERROR(SMALL(F367:F1087,ROW()-ROW($F$1090)+1),"")</f>
        <v>0</v>
      </c>
      <c r="G1490">
        <f>IFERROR(SMALL(G367:G1087,ROW()-ROW($G$1090)+1),"")</f>
        <v>0</v>
      </c>
      <c r="H1490">
        <f>IFERROR(SMALL(H367:H1087,ROW()-ROW($H$1090)+1),"")</f>
        <v>0</v>
      </c>
      <c r="K1490">
        <f>IFERROR(SMALL(K367:K1087,ROW()-ROW($K$1090)+1),"")</f>
        <v>0</v>
      </c>
      <c r="L1490">
        <f>IFERROR(SMALL(L367:L1087,ROW()-ROW($L$1090)+1),"")</f>
        <v>0</v>
      </c>
      <c r="M1490">
        <f>IFERROR(SMALL(M367:M1087,ROW()-ROW($M$1090)+1),"")</f>
        <v>0</v>
      </c>
      <c r="N1490">
        <f>IFERROR(SMALL(N367:N1087,ROW()-ROW($N$1090)+1),"")</f>
        <v>0</v>
      </c>
    </row>
    <row r="1491" spans="5:14">
      <c r="E1491">
        <f>IFERROR(SMALL(E367:E1087,ROW()-ROW($E$1090)+1),"")</f>
        <v>0</v>
      </c>
      <c r="F1491">
        <f>IFERROR(SMALL(F367:F1087,ROW()-ROW($F$1090)+1),"")</f>
        <v>0</v>
      </c>
      <c r="G1491">
        <f>IFERROR(SMALL(G367:G1087,ROW()-ROW($G$1090)+1),"")</f>
        <v>0</v>
      </c>
      <c r="H1491">
        <f>IFERROR(SMALL(H367:H1087,ROW()-ROW($H$1090)+1),"")</f>
        <v>0</v>
      </c>
      <c r="K1491">
        <f>IFERROR(SMALL(K367:K1087,ROW()-ROW($K$1090)+1),"")</f>
        <v>0</v>
      </c>
      <c r="L1491">
        <f>IFERROR(SMALL(L367:L1087,ROW()-ROW($L$1090)+1),"")</f>
        <v>0</v>
      </c>
      <c r="M1491">
        <f>IFERROR(SMALL(M367:M1087,ROW()-ROW($M$1090)+1),"")</f>
        <v>0</v>
      </c>
      <c r="N1491">
        <f>IFERROR(SMALL(N367:N1087,ROW()-ROW($N$1090)+1),"")</f>
        <v>0</v>
      </c>
    </row>
    <row r="1492" spans="5:14">
      <c r="E1492">
        <f>IFERROR(SMALL(E367:E1087,ROW()-ROW($E$1090)+1),"")</f>
        <v>0</v>
      </c>
      <c r="F1492">
        <f>IFERROR(SMALL(F367:F1087,ROW()-ROW($F$1090)+1),"")</f>
        <v>0</v>
      </c>
      <c r="G1492">
        <f>IFERROR(SMALL(G367:G1087,ROW()-ROW($G$1090)+1),"")</f>
        <v>0</v>
      </c>
      <c r="H1492">
        <f>IFERROR(SMALL(H367:H1087,ROW()-ROW($H$1090)+1),"")</f>
        <v>0</v>
      </c>
      <c r="K1492">
        <f>IFERROR(SMALL(K367:K1087,ROW()-ROW($K$1090)+1),"")</f>
        <v>0</v>
      </c>
      <c r="L1492">
        <f>IFERROR(SMALL(L367:L1087,ROW()-ROW($L$1090)+1),"")</f>
        <v>0</v>
      </c>
      <c r="M1492">
        <f>IFERROR(SMALL(M367:M1087,ROW()-ROW($M$1090)+1),"")</f>
        <v>0</v>
      </c>
      <c r="N1492">
        <f>IFERROR(SMALL(N367:N1087,ROW()-ROW($N$1090)+1),"")</f>
        <v>0</v>
      </c>
    </row>
    <row r="1493" spans="5:14">
      <c r="E1493">
        <f>IFERROR(SMALL(E367:E1087,ROW()-ROW($E$1090)+1),"")</f>
        <v>0</v>
      </c>
      <c r="F1493">
        <f>IFERROR(SMALL(F367:F1087,ROW()-ROW($F$1090)+1),"")</f>
        <v>0</v>
      </c>
      <c r="G1493">
        <f>IFERROR(SMALL(G367:G1087,ROW()-ROW($G$1090)+1),"")</f>
        <v>0</v>
      </c>
      <c r="H1493">
        <f>IFERROR(SMALL(H367:H1087,ROW()-ROW($H$1090)+1),"")</f>
        <v>0</v>
      </c>
      <c r="K1493">
        <f>IFERROR(SMALL(K367:K1087,ROW()-ROW($K$1090)+1),"")</f>
        <v>0</v>
      </c>
      <c r="L1493">
        <f>IFERROR(SMALL(L367:L1087,ROW()-ROW($L$1090)+1),"")</f>
        <v>0</v>
      </c>
      <c r="M1493">
        <f>IFERROR(SMALL(M367:M1087,ROW()-ROW($M$1090)+1),"")</f>
        <v>0</v>
      </c>
      <c r="N1493">
        <f>IFERROR(SMALL(N367:N1087,ROW()-ROW($N$1090)+1),"")</f>
        <v>0</v>
      </c>
    </row>
    <row r="1494" spans="5:14">
      <c r="E1494">
        <f>IFERROR(SMALL(E367:E1087,ROW()-ROW($E$1090)+1),"")</f>
        <v>0</v>
      </c>
      <c r="F1494">
        <f>IFERROR(SMALL(F367:F1087,ROW()-ROW($F$1090)+1),"")</f>
        <v>0</v>
      </c>
      <c r="G1494">
        <f>IFERROR(SMALL(G367:G1087,ROW()-ROW($G$1090)+1),"")</f>
        <v>0</v>
      </c>
      <c r="H1494">
        <f>IFERROR(SMALL(H367:H1087,ROW()-ROW($H$1090)+1),"")</f>
        <v>0</v>
      </c>
      <c r="K1494">
        <f>IFERROR(SMALL(K367:K1087,ROW()-ROW($K$1090)+1),"")</f>
        <v>0</v>
      </c>
      <c r="L1494">
        <f>IFERROR(SMALL(L367:L1087,ROW()-ROW($L$1090)+1),"")</f>
        <v>0</v>
      </c>
      <c r="M1494">
        <f>IFERROR(SMALL(M367:M1087,ROW()-ROW($M$1090)+1),"")</f>
        <v>0</v>
      </c>
      <c r="N1494">
        <f>IFERROR(SMALL(N367:N1087,ROW()-ROW($N$1090)+1),"")</f>
        <v>0</v>
      </c>
    </row>
    <row r="1495" spans="5:14">
      <c r="E1495">
        <f>IFERROR(SMALL(E367:E1087,ROW()-ROW($E$1090)+1),"")</f>
        <v>0</v>
      </c>
      <c r="F1495">
        <f>IFERROR(SMALL(F367:F1087,ROW()-ROW($F$1090)+1),"")</f>
        <v>0</v>
      </c>
      <c r="G1495">
        <f>IFERROR(SMALL(G367:G1087,ROW()-ROW($G$1090)+1),"")</f>
        <v>0</v>
      </c>
      <c r="H1495">
        <f>IFERROR(SMALL(H367:H1087,ROW()-ROW($H$1090)+1),"")</f>
        <v>0</v>
      </c>
      <c r="K1495">
        <f>IFERROR(SMALL(K367:K1087,ROW()-ROW($K$1090)+1),"")</f>
        <v>0</v>
      </c>
      <c r="L1495">
        <f>IFERROR(SMALL(L367:L1087,ROW()-ROW($L$1090)+1),"")</f>
        <v>0</v>
      </c>
      <c r="M1495">
        <f>IFERROR(SMALL(M367:M1087,ROW()-ROW($M$1090)+1),"")</f>
        <v>0</v>
      </c>
      <c r="N1495">
        <f>IFERROR(SMALL(N367:N1087,ROW()-ROW($N$1090)+1),"")</f>
        <v>0</v>
      </c>
    </row>
    <row r="1496" spans="5:14">
      <c r="E1496">
        <f>IFERROR(SMALL(E367:E1087,ROW()-ROW($E$1090)+1),"")</f>
        <v>0</v>
      </c>
      <c r="F1496">
        <f>IFERROR(SMALL(F367:F1087,ROW()-ROW($F$1090)+1),"")</f>
        <v>0</v>
      </c>
      <c r="G1496">
        <f>IFERROR(SMALL(G367:G1087,ROW()-ROW($G$1090)+1),"")</f>
        <v>0</v>
      </c>
      <c r="H1496">
        <f>IFERROR(SMALL(H367:H1087,ROW()-ROW($H$1090)+1),"")</f>
        <v>0</v>
      </c>
      <c r="K1496">
        <f>IFERROR(SMALL(K367:K1087,ROW()-ROW($K$1090)+1),"")</f>
        <v>0</v>
      </c>
      <c r="L1496">
        <f>IFERROR(SMALL(L367:L1087,ROW()-ROW($L$1090)+1),"")</f>
        <v>0</v>
      </c>
      <c r="M1496">
        <f>IFERROR(SMALL(M367:M1087,ROW()-ROW($M$1090)+1),"")</f>
        <v>0</v>
      </c>
      <c r="N1496">
        <f>IFERROR(SMALL(N367:N1087,ROW()-ROW($N$1090)+1),"")</f>
        <v>0</v>
      </c>
    </row>
    <row r="1497" spans="5:14">
      <c r="E1497">
        <f>IFERROR(SMALL(E367:E1087,ROW()-ROW($E$1090)+1),"")</f>
        <v>0</v>
      </c>
      <c r="F1497">
        <f>IFERROR(SMALL(F367:F1087,ROW()-ROW($F$1090)+1),"")</f>
        <v>0</v>
      </c>
      <c r="G1497">
        <f>IFERROR(SMALL(G367:G1087,ROW()-ROW($G$1090)+1),"")</f>
        <v>0</v>
      </c>
      <c r="H1497">
        <f>IFERROR(SMALL(H367:H1087,ROW()-ROW($H$1090)+1),"")</f>
        <v>0</v>
      </c>
      <c r="K1497">
        <f>IFERROR(SMALL(K367:K1087,ROW()-ROW($K$1090)+1),"")</f>
        <v>0</v>
      </c>
      <c r="L1497">
        <f>IFERROR(SMALL(L367:L1087,ROW()-ROW($L$1090)+1),"")</f>
        <v>0</v>
      </c>
      <c r="M1497">
        <f>IFERROR(SMALL(M367:M1087,ROW()-ROW($M$1090)+1),"")</f>
        <v>0</v>
      </c>
      <c r="N1497">
        <f>IFERROR(SMALL(N367:N1087,ROW()-ROW($N$1090)+1),"")</f>
        <v>0</v>
      </c>
    </row>
    <row r="1498" spans="5:14">
      <c r="E1498">
        <f>IFERROR(SMALL(E367:E1087,ROW()-ROW($E$1090)+1),"")</f>
        <v>0</v>
      </c>
      <c r="F1498">
        <f>IFERROR(SMALL(F367:F1087,ROW()-ROW($F$1090)+1),"")</f>
        <v>0</v>
      </c>
      <c r="G1498">
        <f>IFERROR(SMALL(G367:G1087,ROW()-ROW($G$1090)+1),"")</f>
        <v>0</v>
      </c>
      <c r="H1498">
        <f>IFERROR(SMALL(H367:H1087,ROW()-ROW($H$1090)+1),"")</f>
        <v>0</v>
      </c>
      <c r="K1498">
        <f>IFERROR(SMALL(K367:K1087,ROW()-ROW($K$1090)+1),"")</f>
        <v>0</v>
      </c>
      <c r="L1498">
        <f>IFERROR(SMALL(L367:L1087,ROW()-ROW($L$1090)+1),"")</f>
        <v>0</v>
      </c>
      <c r="M1498">
        <f>IFERROR(SMALL(M367:M1087,ROW()-ROW($M$1090)+1),"")</f>
        <v>0</v>
      </c>
      <c r="N1498">
        <f>IFERROR(SMALL(N367:N1087,ROW()-ROW($N$1090)+1),"")</f>
        <v>0</v>
      </c>
    </row>
    <row r="1499" spans="5:14">
      <c r="E1499">
        <f>IFERROR(SMALL(E367:E1087,ROW()-ROW($E$1090)+1),"")</f>
        <v>0</v>
      </c>
      <c r="F1499">
        <f>IFERROR(SMALL(F367:F1087,ROW()-ROW($F$1090)+1),"")</f>
        <v>0</v>
      </c>
      <c r="G1499">
        <f>IFERROR(SMALL(G367:G1087,ROW()-ROW($G$1090)+1),"")</f>
        <v>0</v>
      </c>
      <c r="H1499">
        <f>IFERROR(SMALL(H367:H1087,ROW()-ROW($H$1090)+1),"")</f>
        <v>0</v>
      </c>
      <c r="K1499">
        <f>IFERROR(SMALL(K367:K1087,ROW()-ROW($K$1090)+1),"")</f>
        <v>0</v>
      </c>
      <c r="L1499">
        <f>IFERROR(SMALL(L367:L1087,ROW()-ROW($L$1090)+1),"")</f>
        <v>0</v>
      </c>
      <c r="M1499">
        <f>IFERROR(SMALL(M367:M1087,ROW()-ROW($M$1090)+1),"")</f>
        <v>0</v>
      </c>
      <c r="N1499">
        <f>IFERROR(SMALL(N367:N1087,ROW()-ROW($N$1090)+1),"")</f>
        <v>0</v>
      </c>
    </row>
    <row r="1500" spans="5:14">
      <c r="E1500">
        <f>IFERROR(SMALL(E367:E1087,ROW()-ROW($E$1090)+1),"")</f>
        <v>0</v>
      </c>
      <c r="F1500">
        <f>IFERROR(SMALL(F367:F1087,ROW()-ROW($F$1090)+1),"")</f>
        <v>0</v>
      </c>
      <c r="G1500">
        <f>IFERROR(SMALL(G367:G1087,ROW()-ROW($G$1090)+1),"")</f>
        <v>0</v>
      </c>
      <c r="H1500">
        <f>IFERROR(SMALL(H367:H1087,ROW()-ROW($H$1090)+1),"")</f>
        <v>0</v>
      </c>
      <c r="K1500">
        <f>IFERROR(SMALL(K367:K1087,ROW()-ROW($K$1090)+1),"")</f>
        <v>0</v>
      </c>
      <c r="L1500">
        <f>IFERROR(SMALL(L367:L1087,ROW()-ROW($L$1090)+1),"")</f>
        <v>0</v>
      </c>
      <c r="M1500">
        <f>IFERROR(SMALL(M367:M1087,ROW()-ROW($M$1090)+1),"")</f>
        <v>0</v>
      </c>
      <c r="N1500">
        <f>IFERROR(SMALL(N367:N1087,ROW()-ROW($N$1090)+1),"")</f>
        <v>0</v>
      </c>
    </row>
    <row r="1501" spans="5:14">
      <c r="E1501">
        <f>IFERROR(SMALL(E367:E1087,ROW()-ROW($E$1090)+1),"")</f>
        <v>0</v>
      </c>
      <c r="F1501">
        <f>IFERROR(SMALL(F367:F1087,ROW()-ROW($F$1090)+1),"")</f>
        <v>0</v>
      </c>
      <c r="G1501">
        <f>IFERROR(SMALL(G367:G1087,ROW()-ROW($G$1090)+1),"")</f>
        <v>0</v>
      </c>
      <c r="H1501">
        <f>IFERROR(SMALL(H367:H1087,ROW()-ROW($H$1090)+1),"")</f>
        <v>0</v>
      </c>
      <c r="K1501">
        <f>IFERROR(SMALL(K367:K1087,ROW()-ROW($K$1090)+1),"")</f>
        <v>0</v>
      </c>
      <c r="L1501">
        <f>IFERROR(SMALL(L367:L1087,ROW()-ROW($L$1090)+1),"")</f>
        <v>0</v>
      </c>
      <c r="M1501">
        <f>IFERROR(SMALL(M367:M1087,ROW()-ROW($M$1090)+1),"")</f>
        <v>0</v>
      </c>
      <c r="N1501">
        <f>IFERROR(SMALL(N367:N1087,ROW()-ROW($N$1090)+1),"")</f>
        <v>0</v>
      </c>
    </row>
    <row r="1502" spans="5:14">
      <c r="E1502">
        <f>IFERROR(SMALL(E367:E1087,ROW()-ROW($E$1090)+1),"")</f>
        <v>0</v>
      </c>
      <c r="F1502">
        <f>IFERROR(SMALL(F367:F1087,ROW()-ROW($F$1090)+1),"")</f>
        <v>0</v>
      </c>
      <c r="G1502">
        <f>IFERROR(SMALL(G367:G1087,ROW()-ROW($G$1090)+1),"")</f>
        <v>0</v>
      </c>
      <c r="H1502">
        <f>IFERROR(SMALL(H367:H1087,ROW()-ROW($H$1090)+1),"")</f>
        <v>0</v>
      </c>
      <c r="K1502">
        <f>IFERROR(SMALL(K367:K1087,ROW()-ROW($K$1090)+1),"")</f>
        <v>0</v>
      </c>
      <c r="L1502">
        <f>IFERROR(SMALL(L367:L1087,ROW()-ROW($L$1090)+1),"")</f>
        <v>0</v>
      </c>
      <c r="M1502">
        <f>IFERROR(SMALL(M367:M1087,ROW()-ROW($M$1090)+1),"")</f>
        <v>0</v>
      </c>
      <c r="N1502">
        <f>IFERROR(SMALL(N367:N1087,ROW()-ROW($N$1090)+1),"")</f>
        <v>0</v>
      </c>
    </row>
    <row r="1503" spans="5:14">
      <c r="E1503">
        <f>IFERROR(SMALL(E367:E1087,ROW()-ROW($E$1090)+1),"")</f>
        <v>0</v>
      </c>
      <c r="F1503">
        <f>IFERROR(SMALL(F367:F1087,ROW()-ROW($F$1090)+1),"")</f>
        <v>0</v>
      </c>
      <c r="G1503">
        <f>IFERROR(SMALL(G367:G1087,ROW()-ROW($G$1090)+1),"")</f>
        <v>0</v>
      </c>
      <c r="H1503">
        <f>IFERROR(SMALL(H367:H1087,ROW()-ROW($H$1090)+1),"")</f>
        <v>0</v>
      </c>
      <c r="K1503">
        <f>IFERROR(SMALL(K367:K1087,ROW()-ROW($K$1090)+1),"")</f>
        <v>0</v>
      </c>
      <c r="L1503">
        <f>IFERROR(SMALL(L367:L1087,ROW()-ROW($L$1090)+1),"")</f>
        <v>0</v>
      </c>
      <c r="M1503">
        <f>IFERROR(SMALL(M367:M1087,ROW()-ROW($M$1090)+1),"")</f>
        <v>0</v>
      </c>
      <c r="N1503">
        <f>IFERROR(SMALL(N367:N1087,ROW()-ROW($N$1090)+1),"")</f>
        <v>0</v>
      </c>
    </row>
    <row r="1504" spans="5:14">
      <c r="E1504">
        <f>IFERROR(SMALL(E367:E1087,ROW()-ROW($E$1090)+1),"")</f>
        <v>0</v>
      </c>
      <c r="F1504">
        <f>IFERROR(SMALL(F367:F1087,ROW()-ROW($F$1090)+1),"")</f>
        <v>0</v>
      </c>
      <c r="G1504">
        <f>IFERROR(SMALL(G367:G1087,ROW()-ROW($G$1090)+1),"")</f>
        <v>0</v>
      </c>
      <c r="H1504">
        <f>IFERROR(SMALL(H367:H1087,ROW()-ROW($H$1090)+1),"")</f>
        <v>0</v>
      </c>
      <c r="K1504">
        <f>IFERROR(SMALL(K367:K1087,ROW()-ROW($K$1090)+1),"")</f>
        <v>0</v>
      </c>
      <c r="L1504">
        <f>IFERROR(SMALL(L367:L1087,ROW()-ROW($L$1090)+1),"")</f>
        <v>0</v>
      </c>
      <c r="M1504">
        <f>IFERROR(SMALL(M367:M1087,ROW()-ROW($M$1090)+1),"")</f>
        <v>0</v>
      </c>
      <c r="N1504">
        <f>IFERROR(SMALL(N367:N1087,ROW()-ROW($N$1090)+1),"")</f>
        <v>0</v>
      </c>
    </row>
    <row r="1505" spans="5:14">
      <c r="E1505">
        <f>IFERROR(SMALL(E367:E1087,ROW()-ROW($E$1090)+1),"")</f>
        <v>0</v>
      </c>
      <c r="F1505">
        <f>IFERROR(SMALL(F367:F1087,ROW()-ROW($F$1090)+1),"")</f>
        <v>0</v>
      </c>
      <c r="G1505">
        <f>IFERROR(SMALL(G367:G1087,ROW()-ROW($G$1090)+1),"")</f>
        <v>0</v>
      </c>
      <c r="H1505">
        <f>IFERROR(SMALL(H367:H1087,ROW()-ROW($H$1090)+1),"")</f>
        <v>0</v>
      </c>
      <c r="K1505">
        <f>IFERROR(SMALL(K367:K1087,ROW()-ROW($K$1090)+1),"")</f>
        <v>0</v>
      </c>
      <c r="L1505">
        <f>IFERROR(SMALL(L367:L1087,ROW()-ROW($L$1090)+1),"")</f>
        <v>0</v>
      </c>
      <c r="M1505">
        <f>IFERROR(SMALL(M367:M1087,ROW()-ROW($M$1090)+1),"")</f>
        <v>0</v>
      </c>
      <c r="N1505">
        <f>IFERROR(SMALL(N367:N1087,ROW()-ROW($N$1090)+1),"")</f>
        <v>0</v>
      </c>
    </row>
    <row r="1506" spans="5:14">
      <c r="E1506">
        <f>IFERROR(SMALL(E367:E1087,ROW()-ROW($E$1090)+1),"")</f>
        <v>0</v>
      </c>
      <c r="F1506">
        <f>IFERROR(SMALL(F367:F1087,ROW()-ROW($F$1090)+1),"")</f>
        <v>0</v>
      </c>
      <c r="G1506">
        <f>IFERROR(SMALL(G367:G1087,ROW()-ROW($G$1090)+1),"")</f>
        <v>0</v>
      </c>
      <c r="H1506">
        <f>IFERROR(SMALL(H367:H1087,ROW()-ROW($H$1090)+1),"")</f>
        <v>0</v>
      </c>
      <c r="K1506">
        <f>IFERROR(SMALL(K367:K1087,ROW()-ROW($K$1090)+1),"")</f>
        <v>0</v>
      </c>
      <c r="L1506">
        <f>IFERROR(SMALL(L367:L1087,ROW()-ROW($L$1090)+1),"")</f>
        <v>0</v>
      </c>
      <c r="M1506">
        <f>IFERROR(SMALL(M367:M1087,ROW()-ROW($M$1090)+1),"")</f>
        <v>0</v>
      </c>
      <c r="N1506">
        <f>IFERROR(SMALL(N367:N1087,ROW()-ROW($N$1090)+1),"")</f>
        <v>0</v>
      </c>
    </row>
    <row r="1507" spans="5:14">
      <c r="E1507">
        <f>IFERROR(SMALL(E367:E1087,ROW()-ROW($E$1090)+1),"")</f>
        <v>0</v>
      </c>
      <c r="F1507">
        <f>IFERROR(SMALL(F367:F1087,ROW()-ROW($F$1090)+1),"")</f>
        <v>0</v>
      </c>
      <c r="G1507">
        <f>IFERROR(SMALL(G367:G1087,ROW()-ROW($G$1090)+1),"")</f>
        <v>0</v>
      </c>
      <c r="H1507">
        <f>IFERROR(SMALL(H367:H1087,ROW()-ROW($H$1090)+1),"")</f>
        <v>0</v>
      </c>
      <c r="K1507">
        <f>IFERROR(SMALL(K367:K1087,ROW()-ROW($K$1090)+1),"")</f>
        <v>0</v>
      </c>
      <c r="L1507">
        <f>IFERROR(SMALL(L367:L1087,ROW()-ROW($L$1090)+1),"")</f>
        <v>0</v>
      </c>
      <c r="M1507">
        <f>IFERROR(SMALL(M367:M1087,ROW()-ROW($M$1090)+1),"")</f>
        <v>0</v>
      </c>
      <c r="N1507">
        <f>IFERROR(SMALL(N367:N1087,ROW()-ROW($N$1090)+1),"")</f>
        <v>0</v>
      </c>
    </row>
    <row r="1508" spans="5:14">
      <c r="E1508">
        <f>IFERROR(SMALL(E367:E1087,ROW()-ROW($E$1090)+1),"")</f>
        <v>0</v>
      </c>
      <c r="F1508">
        <f>IFERROR(SMALL(F367:F1087,ROW()-ROW($F$1090)+1),"")</f>
        <v>0</v>
      </c>
      <c r="G1508">
        <f>IFERROR(SMALL(G367:G1087,ROW()-ROW($G$1090)+1),"")</f>
        <v>0</v>
      </c>
      <c r="H1508">
        <f>IFERROR(SMALL(H367:H1087,ROW()-ROW($H$1090)+1),"")</f>
        <v>0</v>
      </c>
      <c r="K1508">
        <f>IFERROR(SMALL(K367:K1087,ROW()-ROW($K$1090)+1),"")</f>
        <v>0</v>
      </c>
      <c r="L1508">
        <f>IFERROR(SMALL(L367:L1087,ROW()-ROW($L$1090)+1),"")</f>
        <v>0</v>
      </c>
      <c r="M1508">
        <f>IFERROR(SMALL(M367:M1087,ROW()-ROW($M$1090)+1),"")</f>
        <v>0</v>
      </c>
      <c r="N1508">
        <f>IFERROR(SMALL(N367:N1087,ROW()-ROW($N$1090)+1),"")</f>
        <v>0</v>
      </c>
    </row>
    <row r="1509" spans="5:14">
      <c r="E1509">
        <f>IFERROR(SMALL(E367:E1087,ROW()-ROW($E$1090)+1),"")</f>
        <v>0</v>
      </c>
      <c r="F1509">
        <f>IFERROR(SMALL(F367:F1087,ROW()-ROW($F$1090)+1),"")</f>
        <v>0</v>
      </c>
      <c r="G1509">
        <f>IFERROR(SMALL(G367:G1087,ROW()-ROW($G$1090)+1),"")</f>
        <v>0</v>
      </c>
      <c r="H1509">
        <f>IFERROR(SMALL(H367:H1087,ROW()-ROW($H$1090)+1),"")</f>
        <v>0</v>
      </c>
      <c r="K1509">
        <f>IFERROR(SMALL(K367:K1087,ROW()-ROW($K$1090)+1),"")</f>
        <v>0</v>
      </c>
      <c r="L1509">
        <f>IFERROR(SMALL(L367:L1087,ROW()-ROW($L$1090)+1),"")</f>
        <v>0</v>
      </c>
      <c r="M1509">
        <f>IFERROR(SMALL(M367:M1087,ROW()-ROW($M$1090)+1),"")</f>
        <v>0</v>
      </c>
      <c r="N1509">
        <f>IFERROR(SMALL(N367:N1087,ROW()-ROW($N$1090)+1),"")</f>
        <v>0</v>
      </c>
    </row>
    <row r="1510" spans="5:14">
      <c r="E1510">
        <f>IFERROR(SMALL(E367:E1087,ROW()-ROW($E$1090)+1),"")</f>
        <v>0</v>
      </c>
      <c r="F1510">
        <f>IFERROR(SMALL(F367:F1087,ROW()-ROW($F$1090)+1),"")</f>
        <v>0</v>
      </c>
      <c r="G1510">
        <f>IFERROR(SMALL(G367:G1087,ROW()-ROW($G$1090)+1),"")</f>
        <v>0</v>
      </c>
      <c r="H1510">
        <f>IFERROR(SMALL(H367:H1087,ROW()-ROW($H$1090)+1),"")</f>
        <v>0</v>
      </c>
      <c r="K1510">
        <f>IFERROR(SMALL(K367:K1087,ROW()-ROW($K$1090)+1),"")</f>
        <v>0</v>
      </c>
      <c r="L1510">
        <f>IFERROR(SMALL(L367:L1087,ROW()-ROW($L$1090)+1),"")</f>
        <v>0</v>
      </c>
      <c r="M1510">
        <f>IFERROR(SMALL(M367:M1087,ROW()-ROW($M$1090)+1),"")</f>
        <v>0</v>
      </c>
      <c r="N1510">
        <f>IFERROR(SMALL(N367:N1087,ROW()-ROW($N$1090)+1),"")</f>
        <v>0</v>
      </c>
    </row>
    <row r="1511" spans="5:14">
      <c r="E1511">
        <f>IFERROR(SMALL(E367:E1087,ROW()-ROW($E$1090)+1),"")</f>
        <v>0</v>
      </c>
      <c r="F1511">
        <f>IFERROR(SMALL(F367:F1087,ROW()-ROW($F$1090)+1),"")</f>
        <v>0</v>
      </c>
      <c r="G1511">
        <f>IFERROR(SMALL(G367:G1087,ROW()-ROW($G$1090)+1),"")</f>
        <v>0</v>
      </c>
      <c r="H1511">
        <f>IFERROR(SMALL(H367:H1087,ROW()-ROW($H$1090)+1),"")</f>
        <v>0</v>
      </c>
      <c r="K1511">
        <f>IFERROR(SMALL(K367:K1087,ROW()-ROW($K$1090)+1),"")</f>
        <v>0</v>
      </c>
      <c r="L1511">
        <f>IFERROR(SMALL(L367:L1087,ROW()-ROW($L$1090)+1),"")</f>
        <v>0</v>
      </c>
      <c r="M1511">
        <f>IFERROR(SMALL(M367:M1087,ROW()-ROW($M$1090)+1),"")</f>
        <v>0</v>
      </c>
      <c r="N1511">
        <f>IFERROR(SMALL(N367:N1087,ROW()-ROW($N$1090)+1),"")</f>
        <v>0</v>
      </c>
    </row>
    <row r="1512" spans="5:14">
      <c r="E1512">
        <f>IFERROR(SMALL(E367:E1087,ROW()-ROW($E$1090)+1),"")</f>
        <v>0</v>
      </c>
      <c r="F1512">
        <f>IFERROR(SMALL(F367:F1087,ROW()-ROW($F$1090)+1),"")</f>
        <v>0</v>
      </c>
      <c r="G1512">
        <f>IFERROR(SMALL(G367:G1087,ROW()-ROW($G$1090)+1),"")</f>
        <v>0</v>
      </c>
      <c r="H1512">
        <f>IFERROR(SMALL(H367:H1087,ROW()-ROW($H$1090)+1),"")</f>
        <v>0</v>
      </c>
      <c r="K1512">
        <f>IFERROR(SMALL(K367:K1087,ROW()-ROW($K$1090)+1),"")</f>
        <v>0</v>
      </c>
      <c r="L1512">
        <f>IFERROR(SMALL(L367:L1087,ROW()-ROW($L$1090)+1),"")</f>
        <v>0</v>
      </c>
      <c r="M1512">
        <f>IFERROR(SMALL(M367:M1087,ROW()-ROW($M$1090)+1),"")</f>
        <v>0</v>
      </c>
      <c r="N1512">
        <f>IFERROR(SMALL(N367:N1087,ROW()-ROW($N$1090)+1),"")</f>
        <v>0</v>
      </c>
    </row>
    <row r="1513" spans="5:14">
      <c r="E1513">
        <f>IFERROR(SMALL(E367:E1087,ROW()-ROW($E$1090)+1),"")</f>
        <v>0</v>
      </c>
      <c r="F1513">
        <f>IFERROR(SMALL(F367:F1087,ROW()-ROW($F$1090)+1),"")</f>
        <v>0</v>
      </c>
      <c r="G1513">
        <f>IFERROR(SMALL(G367:G1087,ROW()-ROW($G$1090)+1),"")</f>
        <v>0</v>
      </c>
      <c r="H1513">
        <f>IFERROR(SMALL(H367:H1087,ROW()-ROW($H$1090)+1),"")</f>
        <v>0</v>
      </c>
      <c r="K1513">
        <f>IFERROR(SMALL(K367:K1087,ROW()-ROW($K$1090)+1),"")</f>
        <v>0</v>
      </c>
      <c r="L1513">
        <f>IFERROR(SMALL(L367:L1087,ROW()-ROW($L$1090)+1),"")</f>
        <v>0</v>
      </c>
      <c r="M1513">
        <f>IFERROR(SMALL(M367:M1087,ROW()-ROW($M$1090)+1),"")</f>
        <v>0</v>
      </c>
      <c r="N1513">
        <f>IFERROR(SMALL(N367:N1087,ROW()-ROW($N$1090)+1),"")</f>
        <v>0</v>
      </c>
    </row>
    <row r="1514" spans="5:14">
      <c r="E1514">
        <f>IFERROR(SMALL(E367:E1087,ROW()-ROW($E$1090)+1),"")</f>
        <v>0</v>
      </c>
      <c r="F1514">
        <f>IFERROR(SMALL(F367:F1087,ROW()-ROW($F$1090)+1),"")</f>
        <v>0</v>
      </c>
      <c r="G1514">
        <f>IFERROR(SMALL(G367:G1087,ROW()-ROW($G$1090)+1),"")</f>
        <v>0</v>
      </c>
      <c r="H1514">
        <f>IFERROR(SMALL(H367:H1087,ROW()-ROW($H$1090)+1),"")</f>
        <v>0</v>
      </c>
      <c r="K1514">
        <f>IFERROR(SMALL(K367:K1087,ROW()-ROW($K$1090)+1),"")</f>
        <v>0</v>
      </c>
      <c r="L1514">
        <f>IFERROR(SMALL(L367:L1087,ROW()-ROW($L$1090)+1),"")</f>
        <v>0</v>
      </c>
      <c r="M1514">
        <f>IFERROR(SMALL(M367:M1087,ROW()-ROW($M$1090)+1),"")</f>
        <v>0</v>
      </c>
      <c r="N1514">
        <f>IFERROR(SMALL(N367:N1087,ROW()-ROW($N$1090)+1),"")</f>
        <v>0</v>
      </c>
    </row>
    <row r="1515" spans="5:14">
      <c r="E1515">
        <f>IFERROR(SMALL(E367:E1087,ROW()-ROW($E$1090)+1),"")</f>
        <v>0</v>
      </c>
      <c r="F1515">
        <f>IFERROR(SMALL(F367:F1087,ROW()-ROW($F$1090)+1),"")</f>
        <v>0</v>
      </c>
      <c r="G1515">
        <f>IFERROR(SMALL(G367:G1087,ROW()-ROW($G$1090)+1),"")</f>
        <v>0</v>
      </c>
      <c r="H1515">
        <f>IFERROR(SMALL(H367:H1087,ROW()-ROW($H$1090)+1),"")</f>
        <v>0</v>
      </c>
      <c r="K1515">
        <f>IFERROR(SMALL(K367:K1087,ROW()-ROW($K$1090)+1),"")</f>
        <v>0</v>
      </c>
      <c r="L1515">
        <f>IFERROR(SMALL(L367:L1087,ROW()-ROW($L$1090)+1),"")</f>
        <v>0</v>
      </c>
      <c r="M1515">
        <f>IFERROR(SMALL(M367:M1087,ROW()-ROW($M$1090)+1),"")</f>
        <v>0</v>
      </c>
      <c r="N1515">
        <f>IFERROR(SMALL(N367:N1087,ROW()-ROW($N$1090)+1),"")</f>
        <v>0</v>
      </c>
    </row>
    <row r="1516" spans="5:14">
      <c r="E1516">
        <f>IFERROR(SMALL(E367:E1087,ROW()-ROW($E$1090)+1),"")</f>
        <v>0</v>
      </c>
      <c r="F1516">
        <f>IFERROR(SMALL(F367:F1087,ROW()-ROW($F$1090)+1),"")</f>
        <v>0</v>
      </c>
      <c r="G1516">
        <f>IFERROR(SMALL(G367:G1087,ROW()-ROW($G$1090)+1),"")</f>
        <v>0</v>
      </c>
      <c r="H1516">
        <f>IFERROR(SMALL(H367:H1087,ROW()-ROW($H$1090)+1),"")</f>
        <v>0</v>
      </c>
      <c r="K1516">
        <f>IFERROR(SMALL(K367:K1087,ROW()-ROW($K$1090)+1),"")</f>
        <v>0</v>
      </c>
      <c r="L1516">
        <f>IFERROR(SMALL(L367:L1087,ROW()-ROW($L$1090)+1),"")</f>
        <v>0</v>
      </c>
      <c r="M1516">
        <f>IFERROR(SMALL(M367:M1087,ROW()-ROW($M$1090)+1),"")</f>
        <v>0</v>
      </c>
      <c r="N1516">
        <f>IFERROR(SMALL(N367:N1087,ROW()-ROW($N$1090)+1),"")</f>
        <v>0</v>
      </c>
    </row>
    <row r="1517" spans="5:14">
      <c r="E1517">
        <f>IFERROR(SMALL(E367:E1087,ROW()-ROW($E$1090)+1),"")</f>
        <v>0</v>
      </c>
      <c r="F1517">
        <f>IFERROR(SMALL(F367:F1087,ROW()-ROW($F$1090)+1),"")</f>
        <v>0</v>
      </c>
      <c r="G1517">
        <f>IFERROR(SMALL(G367:G1087,ROW()-ROW($G$1090)+1),"")</f>
        <v>0</v>
      </c>
      <c r="H1517">
        <f>IFERROR(SMALL(H367:H1087,ROW()-ROW($H$1090)+1),"")</f>
        <v>0</v>
      </c>
      <c r="K1517">
        <f>IFERROR(SMALL(K367:K1087,ROW()-ROW($K$1090)+1),"")</f>
        <v>0</v>
      </c>
      <c r="L1517">
        <f>IFERROR(SMALL(L367:L1087,ROW()-ROW($L$1090)+1),"")</f>
        <v>0</v>
      </c>
      <c r="M1517">
        <f>IFERROR(SMALL(M367:M1087,ROW()-ROW($M$1090)+1),"")</f>
        <v>0</v>
      </c>
      <c r="N1517">
        <f>IFERROR(SMALL(N367:N1087,ROW()-ROW($N$1090)+1),"")</f>
        <v>0</v>
      </c>
    </row>
    <row r="1518" spans="5:14">
      <c r="E1518">
        <f>IFERROR(SMALL(E367:E1087,ROW()-ROW($E$1090)+1),"")</f>
        <v>0</v>
      </c>
      <c r="F1518">
        <f>IFERROR(SMALL(F367:F1087,ROW()-ROW($F$1090)+1),"")</f>
        <v>0</v>
      </c>
      <c r="G1518">
        <f>IFERROR(SMALL(G367:G1087,ROW()-ROW($G$1090)+1),"")</f>
        <v>0</v>
      </c>
      <c r="H1518">
        <f>IFERROR(SMALL(H367:H1087,ROW()-ROW($H$1090)+1),"")</f>
        <v>0</v>
      </c>
      <c r="K1518">
        <f>IFERROR(SMALL(K367:K1087,ROW()-ROW($K$1090)+1),"")</f>
        <v>0</v>
      </c>
      <c r="L1518">
        <f>IFERROR(SMALL(L367:L1087,ROW()-ROW($L$1090)+1),"")</f>
        <v>0</v>
      </c>
      <c r="M1518">
        <f>IFERROR(SMALL(M367:M1087,ROW()-ROW($M$1090)+1),"")</f>
        <v>0</v>
      </c>
      <c r="N1518">
        <f>IFERROR(SMALL(N367:N1087,ROW()-ROW($N$1090)+1),"")</f>
        <v>0</v>
      </c>
    </row>
    <row r="1519" spans="5:14">
      <c r="E1519">
        <f>IFERROR(SMALL(E367:E1087,ROW()-ROW($E$1090)+1),"")</f>
        <v>0</v>
      </c>
      <c r="F1519">
        <f>IFERROR(SMALL(F367:F1087,ROW()-ROW($F$1090)+1),"")</f>
        <v>0</v>
      </c>
      <c r="G1519">
        <f>IFERROR(SMALL(G367:G1087,ROW()-ROW($G$1090)+1),"")</f>
        <v>0</v>
      </c>
      <c r="H1519">
        <f>IFERROR(SMALL(H367:H1087,ROW()-ROW($H$1090)+1),"")</f>
        <v>0</v>
      </c>
      <c r="K1519">
        <f>IFERROR(SMALL(K367:K1087,ROW()-ROW($K$1090)+1),"")</f>
        <v>0</v>
      </c>
      <c r="L1519">
        <f>IFERROR(SMALL(L367:L1087,ROW()-ROW($L$1090)+1),"")</f>
        <v>0</v>
      </c>
      <c r="M1519">
        <f>IFERROR(SMALL(M367:M1087,ROW()-ROW($M$1090)+1),"")</f>
        <v>0</v>
      </c>
      <c r="N1519">
        <f>IFERROR(SMALL(N367:N1087,ROW()-ROW($N$1090)+1),"")</f>
        <v>0</v>
      </c>
    </row>
    <row r="1520" spans="5:14">
      <c r="E1520">
        <f>IFERROR(SMALL(E367:E1087,ROW()-ROW($E$1090)+1),"")</f>
        <v>0</v>
      </c>
      <c r="F1520">
        <f>IFERROR(SMALL(F367:F1087,ROW()-ROW($F$1090)+1),"")</f>
        <v>0</v>
      </c>
      <c r="G1520">
        <f>IFERROR(SMALL(G367:G1087,ROW()-ROW($G$1090)+1),"")</f>
        <v>0</v>
      </c>
      <c r="H1520">
        <f>IFERROR(SMALL(H367:H1087,ROW()-ROW($H$1090)+1),"")</f>
        <v>0</v>
      </c>
      <c r="K1520">
        <f>IFERROR(SMALL(K367:K1087,ROW()-ROW($K$1090)+1),"")</f>
        <v>0</v>
      </c>
      <c r="L1520">
        <f>IFERROR(SMALL(L367:L1087,ROW()-ROW($L$1090)+1),"")</f>
        <v>0</v>
      </c>
      <c r="M1520">
        <f>IFERROR(SMALL(M367:M1087,ROW()-ROW($M$1090)+1),"")</f>
        <v>0</v>
      </c>
      <c r="N1520">
        <f>IFERROR(SMALL(N367:N1087,ROW()-ROW($N$1090)+1),"")</f>
        <v>0</v>
      </c>
    </row>
    <row r="1521" spans="5:14">
      <c r="E1521">
        <f>IFERROR(SMALL(E367:E1087,ROW()-ROW($E$1090)+1),"")</f>
        <v>0</v>
      </c>
      <c r="F1521">
        <f>IFERROR(SMALL(F367:F1087,ROW()-ROW($F$1090)+1),"")</f>
        <v>0</v>
      </c>
      <c r="G1521">
        <f>IFERROR(SMALL(G367:G1087,ROW()-ROW($G$1090)+1),"")</f>
        <v>0</v>
      </c>
      <c r="H1521">
        <f>IFERROR(SMALL(H367:H1087,ROW()-ROW($H$1090)+1),"")</f>
        <v>0</v>
      </c>
      <c r="K1521">
        <f>IFERROR(SMALL(K367:K1087,ROW()-ROW($K$1090)+1),"")</f>
        <v>0</v>
      </c>
      <c r="L1521">
        <f>IFERROR(SMALL(L367:L1087,ROW()-ROW($L$1090)+1),"")</f>
        <v>0</v>
      </c>
      <c r="M1521">
        <f>IFERROR(SMALL(M367:M1087,ROW()-ROW($M$1090)+1),"")</f>
        <v>0</v>
      </c>
      <c r="N1521">
        <f>IFERROR(SMALL(N367:N1087,ROW()-ROW($N$1090)+1),"")</f>
        <v>0</v>
      </c>
    </row>
    <row r="1522" spans="5:14">
      <c r="E1522">
        <f>IFERROR(SMALL(E367:E1087,ROW()-ROW($E$1090)+1),"")</f>
        <v>0</v>
      </c>
      <c r="F1522">
        <f>IFERROR(SMALL(F367:F1087,ROW()-ROW($F$1090)+1),"")</f>
        <v>0</v>
      </c>
      <c r="G1522">
        <f>IFERROR(SMALL(G367:G1087,ROW()-ROW($G$1090)+1),"")</f>
        <v>0</v>
      </c>
      <c r="H1522">
        <f>IFERROR(SMALL(H367:H1087,ROW()-ROW($H$1090)+1),"")</f>
        <v>0</v>
      </c>
      <c r="K1522">
        <f>IFERROR(SMALL(K367:K1087,ROW()-ROW($K$1090)+1),"")</f>
        <v>0</v>
      </c>
      <c r="L1522">
        <f>IFERROR(SMALL(L367:L1087,ROW()-ROW($L$1090)+1),"")</f>
        <v>0</v>
      </c>
      <c r="M1522">
        <f>IFERROR(SMALL(M367:M1087,ROW()-ROW($M$1090)+1),"")</f>
        <v>0</v>
      </c>
      <c r="N1522">
        <f>IFERROR(SMALL(N367:N1087,ROW()-ROW($N$1090)+1),"")</f>
        <v>0</v>
      </c>
    </row>
    <row r="1523" spans="5:14">
      <c r="E1523">
        <f>IFERROR(SMALL(E367:E1087,ROW()-ROW($E$1090)+1),"")</f>
        <v>0</v>
      </c>
      <c r="F1523">
        <f>IFERROR(SMALL(F367:F1087,ROW()-ROW($F$1090)+1),"")</f>
        <v>0</v>
      </c>
      <c r="G1523">
        <f>IFERROR(SMALL(G367:G1087,ROW()-ROW($G$1090)+1),"")</f>
        <v>0</v>
      </c>
      <c r="H1523">
        <f>IFERROR(SMALL(H367:H1087,ROW()-ROW($H$1090)+1),"")</f>
        <v>0</v>
      </c>
      <c r="K1523">
        <f>IFERROR(SMALL(K367:K1087,ROW()-ROW($K$1090)+1),"")</f>
        <v>0</v>
      </c>
      <c r="L1523">
        <f>IFERROR(SMALL(L367:L1087,ROW()-ROW($L$1090)+1),"")</f>
        <v>0</v>
      </c>
      <c r="M1523">
        <f>IFERROR(SMALL(M367:M1087,ROW()-ROW($M$1090)+1),"")</f>
        <v>0</v>
      </c>
      <c r="N1523">
        <f>IFERROR(SMALL(N367:N1087,ROW()-ROW($N$1090)+1),"")</f>
        <v>0</v>
      </c>
    </row>
    <row r="1524" spans="5:14">
      <c r="E1524">
        <f>IFERROR(SMALL(E367:E1087,ROW()-ROW($E$1090)+1),"")</f>
        <v>0</v>
      </c>
      <c r="F1524">
        <f>IFERROR(SMALL(F367:F1087,ROW()-ROW($F$1090)+1),"")</f>
        <v>0</v>
      </c>
      <c r="G1524">
        <f>IFERROR(SMALL(G367:G1087,ROW()-ROW($G$1090)+1),"")</f>
        <v>0</v>
      </c>
      <c r="H1524">
        <f>IFERROR(SMALL(H367:H1087,ROW()-ROW($H$1090)+1),"")</f>
        <v>0</v>
      </c>
      <c r="K1524">
        <f>IFERROR(SMALL(K367:K1087,ROW()-ROW($K$1090)+1),"")</f>
        <v>0</v>
      </c>
      <c r="L1524">
        <f>IFERROR(SMALL(L367:L1087,ROW()-ROW($L$1090)+1),"")</f>
        <v>0</v>
      </c>
      <c r="M1524">
        <f>IFERROR(SMALL(M367:M1087,ROW()-ROW($M$1090)+1),"")</f>
        <v>0</v>
      </c>
      <c r="N1524">
        <f>IFERROR(SMALL(N367:N1087,ROW()-ROW($N$1090)+1),"")</f>
        <v>0</v>
      </c>
    </row>
    <row r="1525" spans="5:14">
      <c r="E1525">
        <f>IFERROR(SMALL(E367:E1087,ROW()-ROW($E$1090)+1),"")</f>
        <v>0</v>
      </c>
      <c r="F1525">
        <f>IFERROR(SMALL(F367:F1087,ROW()-ROW($F$1090)+1),"")</f>
        <v>0</v>
      </c>
      <c r="G1525">
        <f>IFERROR(SMALL(G367:G1087,ROW()-ROW($G$1090)+1),"")</f>
        <v>0</v>
      </c>
      <c r="H1525">
        <f>IFERROR(SMALL(H367:H1087,ROW()-ROW($H$1090)+1),"")</f>
        <v>0</v>
      </c>
      <c r="K1525">
        <f>IFERROR(SMALL(K367:K1087,ROW()-ROW($K$1090)+1),"")</f>
        <v>0</v>
      </c>
      <c r="L1525">
        <f>IFERROR(SMALL(L367:L1087,ROW()-ROW($L$1090)+1),"")</f>
        <v>0</v>
      </c>
      <c r="M1525">
        <f>IFERROR(SMALL(M367:M1087,ROW()-ROW($M$1090)+1),"")</f>
        <v>0</v>
      </c>
      <c r="N1525">
        <f>IFERROR(SMALL(N367:N1087,ROW()-ROW($N$1090)+1),"")</f>
        <v>0</v>
      </c>
    </row>
    <row r="1526" spans="5:14">
      <c r="E1526">
        <f>IFERROR(SMALL(E367:E1087,ROW()-ROW($E$1090)+1),"")</f>
        <v>0</v>
      </c>
      <c r="F1526">
        <f>IFERROR(SMALL(F367:F1087,ROW()-ROW($F$1090)+1),"")</f>
        <v>0</v>
      </c>
      <c r="G1526">
        <f>IFERROR(SMALL(G367:G1087,ROW()-ROW($G$1090)+1),"")</f>
        <v>0</v>
      </c>
      <c r="H1526">
        <f>IFERROR(SMALL(H367:H1087,ROW()-ROW($H$1090)+1),"")</f>
        <v>0</v>
      </c>
      <c r="K1526">
        <f>IFERROR(SMALL(K367:K1087,ROW()-ROW($K$1090)+1),"")</f>
        <v>0</v>
      </c>
      <c r="L1526">
        <f>IFERROR(SMALL(L367:L1087,ROW()-ROW($L$1090)+1),"")</f>
        <v>0</v>
      </c>
      <c r="M1526">
        <f>IFERROR(SMALL(M367:M1087,ROW()-ROW($M$1090)+1),"")</f>
        <v>0</v>
      </c>
      <c r="N1526">
        <f>IFERROR(SMALL(N367:N1087,ROW()-ROW($N$1090)+1),"")</f>
        <v>0</v>
      </c>
    </row>
    <row r="1527" spans="5:14">
      <c r="E1527">
        <f>IFERROR(SMALL(E367:E1087,ROW()-ROW($E$1090)+1),"")</f>
        <v>0</v>
      </c>
      <c r="F1527">
        <f>IFERROR(SMALL(F367:F1087,ROW()-ROW($F$1090)+1),"")</f>
        <v>0</v>
      </c>
      <c r="G1527">
        <f>IFERROR(SMALL(G367:G1087,ROW()-ROW($G$1090)+1),"")</f>
        <v>0</v>
      </c>
      <c r="H1527">
        <f>IFERROR(SMALL(H367:H1087,ROW()-ROW($H$1090)+1),"")</f>
        <v>0</v>
      </c>
      <c r="K1527">
        <f>IFERROR(SMALL(K367:K1087,ROW()-ROW($K$1090)+1),"")</f>
        <v>0</v>
      </c>
      <c r="L1527">
        <f>IFERROR(SMALL(L367:L1087,ROW()-ROW($L$1090)+1),"")</f>
        <v>0</v>
      </c>
      <c r="M1527">
        <f>IFERROR(SMALL(M367:M1087,ROW()-ROW($M$1090)+1),"")</f>
        <v>0</v>
      </c>
      <c r="N1527">
        <f>IFERROR(SMALL(N367:N1087,ROW()-ROW($N$1090)+1),"")</f>
        <v>0</v>
      </c>
    </row>
    <row r="1528" spans="5:14">
      <c r="E1528">
        <f>IFERROR(SMALL(E367:E1087,ROW()-ROW($E$1090)+1),"")</f>
        <v>0</v>
      </c>
      <c r="F1528">
        <f>IFERROR(SMALL(F367:F1087,ROW()-ROW($F$1090)+1),"")</f>
        <v>0</v>
      </c>
      <c r="G1528">
        <f>IFERROR(SMALL(G367:G1087,ROW()-ROW($G$1090)+1),"")</f>
        <v>0</v>
      </c>
      <c r="H1528">
        <f>IFERROR(SMALL(H367:H1087,ROW()-ROW($H$1090)+1),"")</f>
        <v>0</v>
      </c>
      <c r="K1528">
        <f>IFERROR(SMALL(K367:K1087,ROW()-ROW($K$1090)+1),"")</f>
        <v>0</v>
      </c>
      <c r="L1528">
        <f>IFERROR(SMALL(L367:L1087,ROW()-ROW($L$1090)+1),"")</f>
        <v>0</v>
      </c>
      <c r="M1528">
        <f>IFERROR(SMALL(M367:M1087,ROW()-ROW($M$1090)+1),"")</f>
        <v>0</v>
      </c>
      <c r="N1528">
        <f>IFERROR(SMALL(N367:N1087,ROW()-ROW($N$1090)+1),"")</f>
        <v>0</v>
      </c>
    </row>
    <row r="1529" spans="5:14">
      <c r="E1529">
        <f>IFERROR(SMALL(E367:E1087,ROW()-ROW($E$1090)+1),"")</f>
        <v>0</v>
      </c>
      <c r="F1529">
        <f>IFERROR(SMALL(F367:F1087,ROW()-ROW($F$1090)+1),"")</f>
        <v>0</v>
      </c>
      <c r="G1529">
        <f>IFERROR(SMALL(G367:G1087,ROW()-ROW($G$1090)+1),"")</f>
        <v>0</v>
      </c>
      <c r="H1529">
        <f>IFERROR(SMALL(H367:H1087,ROW()-ROW($H$1090)+1),"")</f>
        <v>0</v>
      </c>
      <c r="K1529">
        <f>IFERROR(SMALL(K367:K1087,ROW()-ROW($K$1090)+1),"")</f>
        <v>0</v>
      </c>
      <c r="L1529">
        <f>IFERROR(SMALL(L367:L1087,ROW()-ROW($L$1090)+1),"")</f>
        <v>0</v>
      </c>
      <c r="M1529">
        <f>IFERROR(SMALL(M367:M1087,ROW()-ROW($M$1090)+1),"")</f>
        <v>0</v>
      </c>
      <c r="N1529">
        <f>IFERROR(SMALL(N367:N1087,ROW()-ROW($N$1090)+1),"")</f>
        <v>0</v>
      </c>
    </row>
    <row r="1530" spans="5:14">
      <c r="E1530">
        <f>IFERROR(SMALL(E367:E1087,ROW()-ROW($E$1090)+1),"")</f>
        <v>0</v>
      </c>
      <c r="F1530">
        <f>IFERROR(SMALL(F367:F1087,ROW()-ROW($F$1090)+1),"")</f>
        <v>0</v>
      </c>
      <c r="G1530">
        <f>IFERROR(SMALL(G367:G1087,ROW()-ROW($G$1090)+1),"")</f>
        <v>0</v>
      </c>
      <c r="H1530">
        <f>IFERROR(SMALL(H367:H1087,ROW()-ROW($H$1090)+1),"")</f>
        <v>0</v>
      </c>
      <c r="K1530">
        <f>IFERROR(SMALL(K367:K1087,ROW()-ROW($K$1090)+1),"")</f>
        <v>0</v>
      </c>
      <c r="L1530">
        <f>IFERROR(SMALL(L367:L1087,ROW()-ROW($L$1090)+1),"")</f>
        <v>0</v>
      </c>
      <c r="M1530">
        <f>IFERROR(SMALL(M367:M1087,ROW()-ROW($M$1090)+1),"")</f>
        <v>0</v>
      </c>
      <c r="N1530">
        <f>IFERROR(SMALL(N367:N1087,ROW()-ROW($N$1090)+1),"")</f>
        <v>0</v>
      </c>
    </row>
    <row r="1531" spans="5:14">
      <c r="E1531">
        <f>IFERROR(SMALL(E367:E1087,ROW()-ROW($E$1090)+1),"")</f>
        <v>0</v>
      </c>
      <c r="F1531">
        <f>IFERROR(SMALL(F367:F1087,ROW()-ROW($F$1090)+1),"")</f>
        <v>0</v>
      </c>
      <c r="G1531">
        <f>IFERROR(SMALL(G367:G1087,ROW()-ROW($G$1090)+1),"")</f>
        <v>0</v>
      </c>
      <c r="H1531">
        <f>IFERROR(SMALL(H367:H1087,ROW()-ROW($H$1090)+1),"")</f>
        <v>0</v>
      </c>
      <c r="K1531">
        <f>IFERROR(SMALL(K367:K1087,ROW()-ROW($K$1090)+1),"")</f>
        <v>0</v>
      </c>
      <c r="L1531">
        <f>IFERROR(SMALL(L367:L1087,ROW()-ROW($L$1090)+1),"")</f>
        <v>0</v>
      </c>
      <c r="M1531">
        <f>IFERROR(SMALL(M367:M1087,ROW()-ROW($M$1090)+1),"")</f>
        <v>0</v>
      </c>
      <c r="N1531">
        <f>IFERROR(SMALL(N367:N1087,ROW()-ROW($N$1090)+1),"")</f>
        <v>0</v>
      </c>
    </row>
    <row r="1532" spans="5:14">
      <c r="E1532">
        <f>IFERROR(SMALL(E367:E1087,ROW()-ROW($E$1090)+1),"")</f>
        <v>0</v>
      </c>
      <c r="F1532">
        <f>IFERROR(SMALL(F367:F1087,ROW()-ROW($F$1090)+1),"")</f>
        <v>0</v>
      </c>
      <c r="G1532">
        <f>IFERROR(SMALL(G367:G1087,ROW()-ROW($G$1090)+1),"")</f>
        <v>0</v>
      </c>
      <c r="H1532">
        <f>IFERROR(SMALL(H367:H1087,ROW()-ROW($H$1090)+1),"")</f>
        <v>0</v>
      </c>
      <c r="K1532">
        <f>IFERROR(SMALL(K367:K1087,ROW()-ROW($K$1090)+1),"")</f>
        <v>0</v>
      </c>
      <c r="L1532">
        <f>IFERROR(SMALL(L367:L1087,ROW()-ROW($L$1090)+1),"")</f>
        <v>0</v>
      </c>
      <c r="M1532">
        <f>IFERROR(SMALL(M367:M1087,ROW()-ROW($M$1090)+1),"")</f>
        <v>0</v>
      </c>
      <c r="N1532">
        <f>IFERROR(SMALL(N367:N1087,ROW()-ROW($N$1090)+1),"")</f>
        <v>0</v>
      </c>
    </row>
    <row r="1533" spans="5:14">
      <c r="E1533">
        <f>IFERROR(SMALL(E367:E1087,ROW()-ROW($E$1090)+1),"")</f>
        <v>0</v>
      </c>
      <c r="F1533">
        <f>IFERROR(SMALL(F367:F1087,ROW()-ROW($F$1090)+1),"")</f>
        <v>0</v>
      </c>
      <c r="G1533">
        <f>IFERROR(SMALL(G367:G1087,ROW()-ROW($G$1090)+1),"")</f>
        <v>0</v>
      </c>
      <c r="H1533">
        <f>IFERROR(SMALL(H367:H1087,ROW()-ROW($H$1090)+1),"")</f>
        <v>0</v>
      </c>
      <c r="K1533">
        <f>IFERROR(SMALL(K367:K1087,ROW()-ROW($K$1090)+1),"")</f>
        <v>0</v>
      </c>
      <c r="L1533">
        <f>IFERROR(SMALL(L367:L1087,ROW()-ROW($L$1090)+1),"")</f>
        <v>0</v>
      </c>
      <c r="M1533">
        <f>IFERROR(SMALL(M367:M1087,ROW()-ROW($M$1090)+1),"")</f>
        <v>0</v>
      </c>
      <c r="N1533">
        <f>IFERROR(SMALL(N367:N1087,ROW()-ROW($N$1090)+1),"")</f>
        <v>0</v>
      </c>
    </row>
    <row r="1534" spans="5:14">
      <c r="E1534">
        <f>IFERROR(SMALL(E367:E1087,ROW()-ROW($E$1090)+1),"")</f>
        <v>0</v>
      </c>
      <c r="F1534">
        <f>IFERROR(SMALL(F367:F1087,ROW()-ROW($F$1090)+1),"")</f>
        <v>0</v>
      </c>
      <c r="G1534">
        <f>IFERROR(SMALL(G367:G1087,ROW()-ROW($G$1090)+1),"")</f>
        <v>0</v>
      </c>
      <c r="H1534">
        <f>IFERROR(SMALL(H367:H1087,ROW()-ROW($H$1090)+1),"")</f>
        <v>0</v>
      </c>
      <c r="K1534">
        <f>IFERROR(SMALL(K367:K1087,ROW()-ROW($K$1090)+1),"")</f>
        <v>0</v>
      </c>
      <c r="L1534">
        <f>IFERROR(SMALL(L367:L1087,ROW()-ROW($L$1090)+1),"")</f>
        <v>0</v>
      </c>
      <c r="M1534">
        <f>IFERROR(SMALL(M367:M1087,ROW()-ROW($M$1090)+1),"")</f>
        <v>0</v>
      </c>
      <c r="N1534">
        <f>IFERROR(SMALL(N367:N1087,ROW()-ROW($N$1090)+1),"")</f>
        <v>0</v>
      </c>
    </row>
    <row r="1535" spans="5:14">
      <c r="E1535">
        <f>IFERROR(SMALL(E367:E1087,ROW()-ROW($E$1090)+1),"")</f>
        <v>0</v>
      </c>
      <c r="F1535">
        <f>IFERROR(SMALL(F367:F1087,ROW()-ROW($F$1090)+1),"")</f>
        <v>0</v>
      </c>
      <c r="G1535">
        <f>IFERROR(SMALL(G367:G1087,ROW()-ROW($G$1090)+1),"")</f>
        <v>0</v>
      </c>
      <c r="H1535">
        <f>IFERROR(SMALL(H367:H1087,ROW()-ROW($H$1090)+1),"")</f>
        <v>0</v>
      </c>
      <c r="K1535">
        <f>IFERROR(SMALL(K367:K1087,ROW()-ROW($K$1090)+1),"")</f>
        <v>0</v>
      </c>
      <c r="L1535">
        <f>IFERROR(SMALL(L367:L1087,ROW()-ROW($L$1090)+1),"")</f>
        <v>0</v>
      </c>
      <c r="M1535">
        <f>IFERROR(SMALL(M367:M1087,ROW()-ROW($M$1090)+1),"")</f>
        <v>0</v>
      </c>
      <c r="N1535">
        <f>IFERROR(SMALL(N367:N1087,ROW()-ROW($N$1090)+1),"")</f>
        <v>0</v>
      </c>
    </row>
    <row r="1536" spans="5:14">
      <c r="E1536">
        <f>IFERROR(SMALL(E367:E1087,ROW()-ROW($E$1090)+1),"")</f>
        <v>0</v>
      </c>
      <c r="F1536">
        <f>IFERROR(SMALL(F367:F1087,ROW()-ROW($F$1090)+1),"")</f>
        <v>0</v>
      </c>
      <c r="G1536">
        <f>IFERROR(SMALL(G367:G1087,ROW()-ROW($G$1090)+1),"")</f>
        <v>0</v>
      </c>
      <c r="H1536">
        <f>IFERROR(SMALL(H367:H1087,ROW()-ROW($H$1090)+1),"")</f>
        <v>0</v>
      </c>
      <c r="K1536">
        <f>IFERROR(SMALL(K367:K1087,ROW()-ROW($K$1090)+1),"")</f>
        <v>0</v>
      </c>
      <c r="L1536">
        <f>IFERROR(SMALL(L367:L1087,ROW()-ROW($L$1090)+1),"")</f>
        <v>0</v>
      </c>
      <c r="M1536">
        <f>IFERROR(SMALL(M367:M1087,ROW()-ROW($M$1090)+1),"")</f>
        <v>0</v>
      </c>
      <c r="N1536">
        <f>IFERROR(SMALL(N367:N1087,ROW()-ROW($N$1090)+1),"")</f>
        <v>0</v>
      </c>
    </row>
    <row r="1537" spans="5:14">
      <c r="E1537">
        <f>IFERROR(SMALL(E367:E1087,ROW()-ROW($E$1090)+1),"")</f>
        <v>0</v>
      </c>
      <c r="F1537">
        <f>IFERROR(SMALL(F367:F1087,ROW()-ROW($F$1090)+1),"")</f>
        <v>0</v>
      </c>
      <c r="G1537">
        <f>IFERROR(SMALL(G367:G1087,ROW()-ROW($G$1090)+1),"")</f>
        <v>0</v>
      </c>
      <c r="H1537">
        <f>IFERROR(SMALL(H367:H1087,ROW()-ROW($H$1090)+1),"")</f>
        <v>0</v>
      </c>
      <c r="K1537">
        <f>IFERROR(SMALL(K367:K1087,ROW()-ROW($K$1090)+1),"")</f>
        <v>0</v>
      </c>
      <c r="L1537">
        <f>IFERROR(SMALL(L367:L1087,ROW()-ROW($L$1090)+1),"")</f>
        <v>0</v>
      </c>
      <c r="M1537">
        <f>IFERROR(SMALL(M367:M1087,ROW()-ROW($M$1090)+1),"")</f>
        <v>0</v>
      </c>
      <c r="N1537">
        <f>IFERROR(SMALL(N367:N1087,ROW()-ROW($N$1090)+1),"")</f>
        <v>0</v>
      </c>
    </row>
    <row r="1538" spans="5:14">
      <c r="E1538">
        <f>IFERROR(SMALL(E367:E1087,ROW()-ROW($E$1090)+1),"")</f>
        <v>0</v>
      </c>
      <c r="F1538">
        <f>IFERROR(SMALL(F367:F1087,ROW()-ROW($F$1090)+1),"")</f>
        <v>0</v>
      </c>
      <c r="G1538">
        <f>IFERROR(SMALL(G367:G1087,ROW()-ROW($G$1090)+1),"")</f>
        <v>0</v>
      </c>
      <c r="H1538">
        <f>IFERROR(SMALL(H367:H1087,ROW()-ROW($H$1090)+1),"")</f>
        <v>0</v>
      </c>
      <c r="K1538">
        <f>IFERROR(SMALL(K367:K1087,ROW()-ROW($K$1090)+1),"")</f>
        <v>0</v>
      </c>
      <c r="L1538">
        <f>IFERROR(SMALL(L367:L1087,ROW()-ROW($L$1090)+1),"")</f>
        <v>0</v>
      </c>
      <c r="M1538">
        <f>IFERROR(SMALL(M367:M1087,ROW()-ROW($M$1090)+1),"")</f>
        <v>0</v>
      </c>
      <c r="N1538">
        <f>IFERROR(SMALL(N367:N1087,ROW()-ROW($N$1090)+1),"")</f>
        <v>0</v>
      </c>
    </row>
    <row r="1539" spans="5:14">
      <c r="E1539">
        <f>IFERROR(SMALL(E367:E1087,ROW()-ROW($E$1090)+1),"")</f>
        <v>0</v>
      </c>
      <c r="F1539">
        <f>IFERROR(SMALL(F367:F1087,ROW()-ROW($F$1090)+1),"")</f>
        <v>0</v>
      </c>
      <c r="G1539">
        <f>IFERROR(SMALL(G367:G1087,ROW()-ROW($G$1090)+1),"")</f>
        <v>0</v>
      </c>
      <c r="H1539">
        <f>IFERROR(SMALL(H367:H1087,ROW()-ROW($H$1090)+1),"")</f>
        <v>0</v>
      </c>
      <c r="K1539">
        <f>IFERROR(SMALL(K367:K1087,ROW()-ROW($K$1090)+1),"")</f>
        <v>0</v>
      </c>
      <c r="L1539">
        <f>IFERROR(SMALL(L367:L1087,ROW()-ROW($L$1090)+1),"")</f>
        <v>0</v>
      </c>
      <c r="M1539">
        <f>IFERROR(SMALL(M367:M1087,ROW()-ROW($M$1090)+1),"")</f>
        <v>0</v>
      </c>
      <c r="N1539">
        <f>IFERROR(SMALL(N367:N1087,ROW()-ROW($N$1090)+1),"")</f>
        <v>0</v>
      </c>
    </row>
    <row r="1540" spans="5:14">
      <c r="E1540">
        <f>IFERROR(SMALL(E367:E1087,ROW()-ROW($E$1090)+1),"")</f>
        <v>0</v>
      </c>
      <c r="F1540">
        <f>IFERROR(SMALL(F367:F1087,ROW()-ROW($F$1090)+1),"")</f>
        <v>0</v>
      </c>
      <c r="G1540">
        <f>IFERROR(SMALL(G367:G1087,ROW()-ROW($G$1090)+1),"")</f>
        <v>0</v>
      </c>
      <c r="H1540">
        <f>IFERROR(SMALL(H367:H1087,ROW()-ROW($H$1090)+1),"")</f>
        <v>0</v>
      </c>
      <c r="K1540">
        <f>IFERROR(SMALL(K367:K1087,ROW()-ROW($K$1090)+1),"")</f>
        <v>0</v>
      </c>
      <c r="L1540">
        <f>IFERROR(SMALL(L367:L1087,ROW()-ROW($L$1090)+1),"")</f>
        <v>0</v>
      </c>
      <c r="M1540">
        <f>IFERROR(SMALL(M367:M1087,ROW()-ROW($M$1090)+1),"")</f>
        <v>0</v>
      </c>
      <c r="N1540">
        <f>IFERROR(SMALL(N367:N1087,ROW()-ROW($N$1090)+1),"")</f>
        <v>0</v>
      </c>
    </row>
    <row r="1541" spans="5:14">
      <c r="E1541">
        <f>IFERROR(SMALL(E367:E1087,ROW()-ROW($E$1090)+1),"")</f>
        <v>0</v>
      </c>
      <c r="F1541">
        <f>IFERROR(SMALL(F367:F1087,ROW()-ROW($F$1090)+1),"")</f>
        <v>0</v>
      </c>
      <c r="G1541">
        <f>IFERROR(SMALL(G367:G1087,ROW()-ROW($G$1090)+1),"")</f>
        <v>0</v>
      </c>
      <c r="H1541">
        <f>IFERROR(SMALL(H367:H1087,ROW()-ROW($H$1090)+1),"")</f>
        <v>0</v>
      </c>
      <c r="K1541">
        <f>IFERROR(SMALL(K367:K1087,ROW()-ROW($K$1090)+1),"")</f>
        <v>0</v>
      </c>
      <c r="L1541">
        <f>IFERROR(SMALL(L367:L1087,ROW()-ROW($L$1090)+1),"")</f>
        <v>0</v>
      </c>
      <c r="M1541">
        <f>IFERROR(SMALL(M367:M1087,ROW()-ROW($M$1090)+1),"")</f>
        <v>0</v>
      </c>
      <c r="N1541">
        <f>IFERROR(SMALL(N367:N1087,ROW()-ROW($N$1090)+1),"")</f>
        <v>0</v>
      </c>
    </row>
    <row r="1542" spans="5:14">
      <c r="E1542">
        <f>IFERROR(SMALL(E367:E1087,ROW()-ROW($E$1090)+1),"")</f>
        <v>0</v>
      </c>
      <c r="F1542">
        <f>IFERROR(SMALL(F367:F1087,ROW()-ROW($F$1090)+1),"")</f>
        <v>0</v>
      </c>
      <c r="G1542">
        <f>IFERROR(SMALL(G367:G1087,ROW()-ROW($G$1090)+1),"")</f>
        <v>0</v>
      </c>
      <c r="H1542">
        <f>IFERROR(SMALL(H367:H1087,ROW()-ROW($H$1090)+1),"")</f>
        <v>0</v>
      </c>
      <c r="K1542">
        <f>IFERROR(SMALL(K367:K1087,ROW()-ROW($K$1090)+1),"")</f>
        <v>0</v>
      </c>
      <c r="L1542">
        <f>IFERROR(SMALL(L367:L1087,ROW()-ROW($L$1090)+1),"")</f>
        <v>0</v>
      </c>
      <c r="M1542">
        <f>IFERROR(SMALL(M367:M1087,ROW()-ROW($M$1090)+1),"")</f>
        <v>0</v>
      </c>
      <c r="N1542">
        <f>IFERROR(SMALL(N367:N1087,ROW()-ROW($N$1090)+1),"")</f>
        <v>0</v>
      </c>
    </row>
    <row r="1543" spans="5:14">
      <c r="E1543">
        <f>IFERROR(SMALL(E367:E1087,ROW()-ROW($E$1090)+1),"")</f>
        <v>0</v>
      </c>
      <c r="F1543">
        <f>IFERROR(SMALL(F367:F1087,ROW()-ROW($F$1090)+1),"")</f>
        <v>0</v>
      </c>
      <c r="G1543">
        <f>IFERROR(SMALL(G367:G1087,ROW()-ROW($G$1090)+1),"")</f>
        <v>0</v>
      </c>
      <c r="H1543">
        <f>IFERROR(SMALL(H367:H1087,ROW()-ROW($H$1090)+1),"")</f>
        <v>0</v>
      </c>
      <c r="K1543">
        <f>IFERROR(SMALL(K367:K1087,ROW()-ROW($K$1090)+1),"")</f>
        <v>0</v>
      </c>
      <c r="L1543">
        <f>IFERROR(SMALL(L367:L1087,ROW()-ROW($L$1090)+1),"")</f>
        <v>0</v>
      </c>
      <c r="M1543">
        <f>IFERROR(SMALL(M367:M1087,ROW()-ROW($M$1090)+1),"")</f>
        <v>0</v>
      </c>
      <c r="N1543">
        <f>IFERROR(SMALL(N367:N1087,ROW()-ROW($N$1090)+1),"")</f>
        <v>0</v>
      </c>
    </row>
    <row r="1544" spans="5:14">
      <c r="E1544">
        <f>IFERROR(SMALL(E367:E1087,ROW()-ROW($E$1090)+1),"")</f>
        <v>0</v>
      </c>
      <c r="F1544">
        <f>IFERROR(SMALL(F367:F1087,ROW()-ROW($F$1090)+1),"")</f>
        <v>0</v>
      </c>
      <c r="G1544">
        <f>IFERROR(SMALL(G367:G1087,ROW()-ROW($G$1090)+1),"")</f>
        <v>0</v>
      </c>
      <c r="H1544">
        <f>IFERROR(SMALL(H367:H1087,ROW()-ROW($H$1090)+1),"")</f>
        <v>0</v>
      </c>
      <c r="K1544">
        <f>IFERROR(SMALL(K367:K1087,ROW()-ROW($K$1090)+1),"")</f>
        <v>0</v>
      </c>
      <c r="L1544">
        <f>IFERROR(SMALL(L367:L1087,ROW()-ROW($L$1090)+1),"")</f>
        <v>0</v>
      </c>
      <c r="M1544">
        <f>IFERROR(SMALL(M367:M1087,ROW()-ROW($M$1090)+1),"")</f>
        <v>0</v>
      </c>
      <c r="N1544">
        <f>IFERROR(SMALL(N367:N1087,ROW()-ROW($N$1090)+1),"")</f>
        <v>0</v>
      </c>
    </row>
    <row r="1545" spans="5:14">
      <c r="E1545">
        <f>IFERROR(SMALL(E367:E1087,ROW()-ROW($E$1090)+1),"")</f>
        <v>0</v>
      </c>
      <c r="F1545">
        <f>IFERROR(SMALL(F367:F1087,ROW()-ROW($F$1090)+1),"")</f>
        <v>0</v>
      </c>
      <c r="G1545">
        <f>IFERROR(SMALL(G367:G1087,ROW()-ROW($G$1090)+1),"")</f>
        <v>0</v>
      </c>
      <c r="H1545">
        <f>IFERROR(SMALL(H367:H1087,ROW()-ROW($H$1090)+1),"")</f>
        <v>0</v>
      </c>
      <c r="K1545">
        <f>IFERROR(SMALL(K367:K1087,ROW()-ROW($K$1090)+1),"")</f>
        <v>0</v>
      </c>
      <c r="L1545">
        <f>IFERROR(SMALL(L367:L1087,ROW()-ROW($L$1090)+1),"")</f>
        <v>0</v>
      </c>
      <c r="M1545">
        <f>IFERROR(SMALL(M367:M1087,ROW()-ROW($M$1090)+1),"")</f>
        <v>0</v>
      </c>
      <c r="N1545">
        <f>IFERROR(SMALL(N367:N1087,ROW()-ROW($N$1090)+1),"")</f>
        <v>0</v>
      </c>
    </row>
    <row r="1546" spans="5:14">
      <c r="E1546">
        <f>IFERROR(SMALL(E367:E1087,ROW()-ROW($E$1090)+1),"")</f>
        <v>0</v>
      </c>
      <c r="F1546">
        <f>IFERROR(SMALL(F367:F1087,ROW()-ROW($F$1090)+1),"")</f>
        <v>0</v>
      </c>
      <c r="G1546">
        <f>IFERROR(SMALL(G367:G1087,ROW()-ROW($G$1090)+1),"")</f>
        <v>0</v>
      </c>
      <c r="H1546">
        <f>IFERROR(SMALL(H367:H1087,ROW()-ROW($H$1090)+1),"")</f>
        <v>0</v>
      </c>
      <c r="K1546">
        <f>IFERROR(SMALL(K367:K1087,ROW()-ROW($K$1090)+1),"")</f>
        <v>0</v>
      </c>
      <c r="L1546">
        <f>IFERROR(SMALL(L367:L1087,ROW()-ROW($L$1090)+1),"")</f>
        <v>0</v>
      </c>
      <c r="M1546">
        <f>IFERROR(SMALL(M367:M1087,ROW()-ROW($M$1090)+1),"")</f>
        <v>0</v>
      </c>
      <c r="N1546">
        <f>IFERROR(SMALL(N367:N1087,ROW()-ROW($N$1090)+1),"")</f>
        <v>0</v>
      </c>
    </row>
    <row r="1547" spans="5:14">
      <c r="E1547">
        <f>IFERROR(SMALL(E367:E1087,ROW()-ROW($E$1090)+1),"")</f>
        <v>0</v>
      </c>
      <c r="F1547">
        <f>IFERROR(SMALL(F367:F1087,ROW()-ROW($F$1090)+1),"")</f>
        <v>0</v>
      </c>
      <c r="G1547">
        <f>IFERROR(SMALL(G367:G1087,ROW()-ROW($G$1090)+1),"")</f>
        <v>0</v>
      </c>
      <c r="H1547">
        <f>IFERROR(SMALL(H367:H1087,ROW()-ROW($H$1090)+1),"")</f>
        <v>0</v>
      </c>
      <c r="K1547">
        <f>IFERROR(SMALL(K367:K1087,ROW()-ROW($K$1090)+1),"")</f>
        <v>0</v>
      </c>
      <c r="L1547">
        <f>IFERROR(SMALL(L367:L1087,ROW()-ROW($L$1090)+1),"")</f>
        <v>0</v>
      </c>
      <c r="M1547">
        <f>IFERROR(SMALL(M367:M1087,ROW()-ROW($M$1090)+1),"")</f>
        <v>0</v>
      </c>
      <c r="N1547">
        <f>IFERROR(SMALL(N367:N1087,ROW()-ROW($N$1090)+1),"")</f>
        <v>0</v>
      </c>
    </row>
    <row r="1548" spans="5:14">
      <c r="E1548">
        <f>IFERROR(SMALL(E367:E1087,ROW()-ROW($E$1090)+1),"")</f>
        <v>0</v>
      </c>
      <c r="F1548">
        <f>IFERROR(SMALL(F367:F1087,ROW()-ROW($F$1090)+1),"")</f>
        <v>0</v>
      </c>
      <c r="G1548">
        <f>IFERROR(SMALL(G367:G1087,ROW()-ROW($G$1090)+1),"")</f>
        <v>0</v>
      </c>
      <c r="H1548">
        <f>IFERROR(SMALL(H367:H1087,ROW()-ROW($H$1090)+1),"")</f>
        <v>0</v>
      </c>
      <c r="K1548">
        <f>IFERROR(SMALL(K367:K1087,ROW()-ROW($K$1090)+1),"")</f>
        <v>0</v>
      </c>
      <c r="L1548">
        <f>IFERROR(SMALL(L367:L1087,ROW()-ROW($L$1090)+1),"")</f>
        <v>0</v>
      </c>
      <c r="M1548">
        <f>IFERROR(SMALL(M367:M1087,ROW()-ROW($M$1090)+1),"")</f>
        <v>0</v>
      </c>
      <c r="N1548">
        <f>IFERROR(SMALL(N367:N1087,ROW()-ROW($N$1090)+1),"")</f>
        <v>0</v>
      </c>
    </row>
    <row r="1549" spans="5:14">
      <c r="E1549">
        <f>IFERROR(SMALL(E367:E1087,ROW()-ROW($E$1090)+1),"")</f>
        <v>0</v>
      </c>
      <c r="F1549">
        <f>IFERROR(SMALL(F367:F1087,ROW()-ROW($F$1090)+1),"")</f>
        <v>0</v>
      </c>
      <c r="G1549">
        <f>IFERROR(SMALL(G367:G1087,ROW()-ROW($G$1090)+1),"")</f>
        <v>0</v>
      </c>
      <c r="H1549">
        <f>IFERROR(SMALL(H367:H1087,ROW()-ROW($H$1090)+1),"")</f>
        <v>0</v>
      </c>
      <c r="K1549">
        <f>IFERROR(SMALL(K367:K1087,ROW()-ROW($K$1090)+1),"")</f>
        <v>0</v>
      </c>
      <c r="L1549">
        <f>IFERROR(SMALL(L367:L1087,ROW()-ROW($L$1090)+1),"")</f>
        <v>0</v>
      </c>
      <c r="M1549">
        <f>IFERROR(SMALL(M367:M1087,ROW()-ROW($M$1090)+1),"")</f>
        <v>0</v>
      </c>
      <c r="N1549">
        <f>IFERROR(SMALL(N367:N1087,ROW()-ROW($N$1090)+1),"")</f>
        <v>0</v>
      </c>
    </row>
    <row r="1550" spans="5:14">
      <c r="E1550">
        <f>IFERROR(SMALL(E367:E1087,ROW()-ROW($E$1090)+1),"")</f>
        <v>0</v>
      </c>
      <c r="F1550">
        <f>IFERROR(SMALL(F367:F1087,ROW()-ROW($F$1090)+1),"")</f>
        <v>0</v>
      </c>
      <c r="G1550">
        <f>IFERROR(SMALL(G367:G1087,ROW()-ROW($G$1090)+1),"")</f>
        <v>0</v>
      </c>
      <c r="H1550">
        <f>IFERROR(SMALL(H367:H1087,ROW()-ROW($H$1090)+1),"")</f>
        <v>0</v>
      </c>
      <c r="K1550">
        <f>IFERROR(SMALL(K367:K1087,ROW()-ROW($K$1090)+1),"")</f>
        <v>0</v>
      </c>
      <c r="L1550">
        <f>IFERROR(SMALL(L367:L1087,ROW()-ROW($L$1090)+1),"")</f>
        <v>0</v>
      </c>
      <c r="M1550">
        <f>IFERROR(SMALL(M367:M1087,ROW()-ROW($M$1090)+1),"")</f>
        <v>0</v>
      </c>
      <c r="N1550">
        <f>IFERROR(SMALL(N367:N1087,ROW()-ROW($N$1090)+1),"")</f>
        <v>0</v>
      </c>
    </row>
    <row r="1551" spans="5:14">
      <c r="E1551">
        <f>IFERROR(SMALL(E367:E1087,ROW()-ROW($E$1090)+1),"")</f>
        <v>0</v>
      </c>
      <c r="F1551">
        <f>IFERROR(SMALL(F367:F1087,ROW()-ROW($F$1090)+1),"")</f>
        <v>0</v>
      </c>
      <c r="G1551">
        <f>IFERROR(SMALL(G367:G1087,ROW()-ROW($G$1090)+1),"")</f>
        <v>0</v>
      </c>
      <c r="H1551">
        <f>IFERROR(SMALL(H367:H1087,ROW()-ROW($H$1090)+1),"")</f>
        <v>0</v>
      </c>
      <c r="K1551">
        <f>IFERROR(SMALL(K367:K1087,ROW()-ROW($K$1090)+1),"")</f>
        <v>0</v>
      </c>
      <c r="L1551">
        <f>IFERROR(SMALL(L367:L1087,ROW()-ROW($L$1090)+1),"")</f>
        <v>0</v>
      </c>
      <c r="M1551">
        <f>IFERROR(SMALL(M367:M1087,ROW()-ROW($M$1090)+1),"")</f>
        <v>0</v>
      </c>
      <c r="N1551">
        <f>IFERROR(SMALL(N367:N1087,ROW()-ROW($N$1090)+1),"")</f>
        <v>0</v>
      </c>
    </row>
    <row r="1552" spans="5:14">
      <c r="E1552">
        <f>IFERROR(SMALL(E367:E1087,ROW()-ROW($E$1090)+1),"")</f>
        <v>0</v>
      </c>
      <c r="F1552">
        <f>IFERROR(SMALL(F367:F1087,ROW()-ROW($F$1090)+1),"")</f>
        <v>0</v>
      </c>
      <c r="G1552">
        <f>IFERROR(SMALL(G367:G1087,ROW()-ROW($G$1090)+1),"")</f>
        <v>0</v>
      </c>
      <c r="H1552">
        <f>IFERROR(SMALL(H367:H1087,ROW()-ROW($H$1090)+1),"")</f>
        <v>0</v>
      </c>
      <c r="K1552">
        <f>IFERROR(SMALL(K367:K1087,ROW()-ROW($K$1090)+1),"")</f>
        <v>0</v>
      </c>
      <c r="L1552">
        <f>IFERROR(SMALL(L367:L1087,ROW()-ROW($L$1090)+1),"")</f>
        <v>0</v>
      </c>
      <c r="M1552">
        <f>IFERROR(SMALL(M367:M1087,ROW()-ROW($M$1090)+1),"")</f>
        <v>0</v>
      </c>
      <c r="N1552">
        <f>IFERROR(SMALL(N367:N1087,ROW()-ROW($N$1090)+1),"")</f>
        <v>0</v>
      </c>
    </row>
    <row r="1553" spans="5:14">
      <c r="E1553">
        <f>IFERROR(SMALL(E367:E1087,ROW()-ROW($E$1090)+1),"")</f>
        <v>0</v>
      </c>
      <c r="F1553">
        <f>IFERROR(SMALL(F367:F1087,ROW()-ROW($F$1090)+1),"")</f>
        <v>0</v>
      </c>
      <c r="G1553">
        <f>IFERROR(SMALL(G367:G1087,ROW()-ROW($G$1090)+1),"")</f>
        <v>0</v>
      </c>
      <c r="H1553">
        <f>IFERROR(SMALL(H367:H1087,ROW()-ROW($H$1090)+1),"")</f>
        <v>0</v>
      </c>
      <c r="K1553">
        <f>IFERROR(SMALL(K367:K1087,ROW()-ROW($K$1090)+1),"")</f>
        <v>0</v>
      </c>
      <c r="L1553">
        <f>IFERROR(SMALL(L367:L1087,ROW()-ROW($L$1090)+1),"")</f>
        <v>0</v>
      </c>
      <c r="M1553">
        <f>IFERROR(SMALL(M367:M1087,ROW()-ROW($M$1090)+1),"")</f>
        <v>0</v>
      </c>
      <c r="N1553">
        <f>IFERROR(SMALL(N367:N1087,ROW()-ROW($N$1090)+1),"")</f>
        <v>0</v>
      </c>
    </row>
    <row r="1554" spans="5:14">
      <c r="E1554">
        <f>IFERROR(SMALL(E367:E1087,ROW()-ROW($E$1090)+1),"")</f>
        <v>0</v>
      </c>
      <c r="F1554">
        <f>IFERROR(SMALL(F367:F1087,ROW()-ROW($F$1090)+1),"")</f>
        <v>0</v>
      </c>
      <c r="G1554">
        <f>IFERROR(SMALL(G367:G1087,ROW()-ROW($G$1090)+1),"")</f>
        <v>0</v>
      </c>
      <c r="H1554">
        <f>IFERROR(SMALL(H367:H1087,ROW()-ROW($H$1090)+1),"")</f>
        <v>0</v>
      </c>
      <c r="K1554">
        <f>IFERROR(SMALL(K367:K1087,ROW()-ROW($K$1090)+1),"")</f>
        <v>0</v>
      </c>
      <c r="L1554">
        <f>IFERROR(SMALL(L367:L1087,ROW()-ROW($L$1090)+1),"")</f>
        <v>0</v>
      </c>
      <c r="M1554">
        <f>IFERROR(SMALL(M367:M1087,ROW()-ROW($M$1090)+1),"")</f>
        <v>0</v>
      </c>
      <c r="N1554">
        <f>IFERROR(SMALL(N367:N1087,ROW()-ROW($N$1090)+1),"")</f>
        <v>0</v>
      </c>
    </row>
    <row r="1555" spans="5:14">
      <c r="E1555">
        <f>IFERROR(SMALL(E367:E1087,ROW()-ROW($E$1090)+1),"")</f>
        <v>0</v>
      </c>
      <c r="F1555">
        <f>IFERROR(SMALL(F367:F1087,ROW()-ROW($F$1090)+1),"")</f>
        <v>0</v>
      </c>
      <c r="G1555">
        <f>IFERROR(SMALL(G367:G1087,ROW()-ROW($G$1090)+1),"")</f>
        <v>0</v>
      </c>
      <c r="H1555">
        <f>IFERROR(SMALL(H367:H1087,ROW()-ROW($H$1090)+1),"")</f>
        <v>0</v>
      </c>
      <c r="K1555">
        <f>IFERROR(SMALL(K367:K1087,ROW()-ROW($K$1090)+1),"")</f>
        <v>0</v>
      </c>
      <c r="L1555">
        <f>IFERROR(SMALL(L367:L1087,ROW()-ROW($L$1090)+1),"")</f>
        <v>0</v>
      </c>
      <c r="M1555">
        <f>IFERROR(SMALL(M367:M1087,ROW()-ROW($M$1090)+1),"")</f>
        <v>0</v>
      </c>
      <c r="N1555">
        <f>IFERROR(SMALL(N367:N1087,ROW()-ROW($N$1090)+1),"")</f>
        <v>0</v>
      </c>
    </row>
    <row r="1556" spans="5:14">
      <c r="E1556">
        <f>IFERROR(SMALL(E367:E1087,ROW()-ROW($E$1090)+1),"")</f>
        <v>0</v>
      </c>
      <c r="F1556">
        <f>IFERROR(SMALL(F367:F1087,ROW()-ROW($F$1090)+1),"")</f>
        <v>0</v>
      </c>
      <c r="G1556">
        <f>IFERROR(SMALL(G367:G1087,ROW()-ROW($G$1090)+1),"")</f>
        <v>0</v>
      </c>
      <c r="H1556">
        <f>IFERROR(SMALL(H367:H1087,ROW()-ROW($H$1090)+1),"")</f>
        <v>0</v>
      </c>
      <c r="K1556">
        <f>IFERROR(SMALL(K367:K1087,ROW()-ROW($K$1090)+1),"")</f>
        <v>0</v>
      </c>
      <c r="L1556">
        <f>IFERROR(SMALL(L367:L1087,ROW()-ROW($L$1090)+1),"")</f>
        <v>0</v>
      </c>
      <c r="M1556">
        <f>IFERROR(SMALL(M367:M1087,ROW()-ROW($M$1090)+1),"")</f>
        <v>0</v>
      </c>
      <c r="N1556">
        <f>IFERROR(SMALL(N367:N1087,ROW()-ROW($N$1090)+1),"")</f>
        <v>0</v>
      </c>
    </row>
    <row r="1557" spans="5:14">
      <c r="E1557">
        <f>IFERROR(SMALL(E367:E1087,ROW()-ROW($E$1090)+1),"")</f>
        <v>0</v>
      </c>
      <c r="F1557">
        <f>IFERROR(SMALL(F367:F1087,ROW()-ROW($F$1090)+1),"")</f>
        <v>0</v>
      </c>
      <c r="G1557">
        <f>IFERROR(SMALL(G367:G1087,ROW()-ROW($G$1090)+1),"")</f>
        <v>0</v>
      </c>
      <c r="H1557">
        <f>IFERROR(SMALL(H367:H1087,ROW()-ROW($H$1090)+1),"")</f>
        <v>0</v>
      </c>
      <c r="K1557">
        <f>IFERROR(SMALL(K367:K1087,ROW()-ROW($K$1090)+1),"")</f>
        <v>0</v>
      </c>
      <c r="L1557">
        <f>IFERROR(SMALL(L367:L1087,ROW()-ROW($L$1090)+1),"")</f>
        <v>0</v>
      </c>
      <c r="M1557">
        <f>IFERROR(SMALL(M367:M1087,ROW()-ROW($M$1090)+1),"")</f>
        <v>0</v>
      </c>
      <c r="N1557">
        <f>IFERROR(SMALL(N367:N1087,ROW()-ROW($N$1090)+1),"")</f>
        <v>0</v>
      </c>
    </row>
    <row r="1558" spans="5:14">
      <c r="E1558">
        <f>IFERROR(SMALL(E367:E1087,ROW()-ROW($E$1090)+1),"")</f>
        <v>0</v>
      </c>
      <c r="F1558">
        <f>IFERROR(SMALL(F367:F1087,ROW()-ROW($F$1090)+1),"")</f>
        <v>0</v>
      </c>
      <c r="G1558">
        <f>IFERROR(SMALL(G367:G1087,ROW()-ROW($G$1090)+1),"")</f>
        <v>0</v>
      </c>
      <c r="H1558">
        <f>IFERROR(SMALL(H367:H1087,ROW()-ROW($H$1090)+1),"")</f>
        <v>0</v>
      </c>
      <c r="K1558">
        <f>IFERROR(SMALL(K367:K1087,ROW()-ROW($K$1090)+1),"")</f>
        <v>0</v>
      </c>
      <c r="L1558">
        <f>IFERROR(SMALL(L367:L1087,ROW()-ROW($L$1090)+1),"")</f>
        <v>0</v>
      </c>
      <c r="M1558">
        <f>IFERROR(SMALL(M367:M1087,ROW()-ROW($M$1090)+1),"")</f>
        <v>0</v>
      </c>
      <c r="N1558">
        <f>IFERROR(SMALL(N367:N1087,ROW()-ROW($N$1090)+1),"")</f>
        <v>0</v>
      </c>
    </row>
    <row r="1559" spans="5:14">
      <c r="E1559">
        <f>IFERROR(SMALL(E367:E1087,ROW()-ROW($E$1090)+1),"")</f>
        <v>0</v>
      </c>
      <c r="F1559">
        <f>IFERROR(SMALL(F367:F1087,ROW()-ROW($F$1090)+1),"")</f>
        <v>0</v>
      </c>
      <c r="G1559">
        <f>IFERROR(SMALL(G367:G1087,ROW()-ROW($G$1090)+1),"")</f>
        <v>0</v>
      </c>
      <c r="H1559">
        <f>IFERROR(SMALL(H367:H1087,ROW()-ROW($H$1090)+1),"")</f>
        <v>0</v>
      </c>
      <c r="K1559">
        <f>IFERROR(SMALL(K367:K1087,ROW()-ROW($K$1090)+1),"")</f>
        <v>0</v>
      </c>
      <c r="L1559">
        <f>IFERROR(SMALL(L367:L1087,ROW()-ROW($L$1090)+1),"")</f>
        <v>0</v>
      </c>
      <c r="M1559">
        <f>IFERROR(SMALL(M367:M1087,ROW()-ROW($M$1090)+1),"")</f>
        <v>0</v>
      </c>
      <c r="N1559">
        <f>IFERROR(SMALL(N367:N1087,ROW()-ROW($N$1090)+1),"")</f>
        <v>0</v>
      </c>
    </row>
    <row r="1560" spans="5:14">
      <c r="E1560">
        <f>IFERROR(SMALL(E367:E1087,ROW()-ROW($E$1090)+1),"")</f>
        <v>0</v>
      </c>
      <c r="F1560">
        <f>IFERROR(SMALL(F367:F1087,ROW()-ROW($F$1090)+1),"")</f>
        <v>0</v>
      </c>
      <c r="G1560">
        <f>IFERROR(SMALL(G367:G1087,ROW()-ROW($G$1090)+1),"")</f>
        <v>0</v>
      </c>
      <c r="H1560">
        <f>IFERROR(SMALL(H367:H1087,ROW()-ROW($H$1090)+1),"")</f>
        <v>0</v>
      </c>
      <c r="K1560">
        <f>IFERROR(SMALL(K367:K1087,ROW()-ROW($K$1090)+1),"")</f>
        <v>0</v>
      </c>
      <c r="L1560">
        <f>IFERROR(SMALL(L367:L1087,ROW()-ROW($L$1090)+1),"")</f>
        <v>0</v>
      </c>
      <c r="M1560">
        <f>IFERROR(SMALL(M367:M1087,ROW()-ROW($M$1090)+1),"")</f>
        <v>0</v>
      </c>
      <c r="N1560">
        <f>IFERROR(SMALL(N367:N1087,ROW()-ROW($N$1090)+1),"")</f>
        <v>0</v>
      </c>
    </row>
    <row r="1561" spans="5:14">
      <c r="E1561">
        <f>IFERROR(SMALL(E367:E1087,ROW()-ROW($E$1090)+1),"")</f>
        <v>0</v>
      </c>
      <c r="F1561">
        <f>IFERROR(SMALL(F367:F1087,ROW()-ROW($F$1090)+1),"")</f>
        <v>0</v>
      </c>
      <c r="G1561">
        <f>IFERROR(SMALL(G367:G1087,ROW()-ROW($G$1090)+1),"")</f>
        <v>0</v>
      </c>
      <c r="H1561">
        <f>IFERROR(SMALL(H367:H1087,ROW()-ROW($H$1090)+1),"")</f>
        <v>0</v>
      </c>
      <c r="K1561">
        <f>IFERROR(SMALL(K367:K1087,ROW()-ROW($K$1090)+1),"")</f>
        <v>0</v>
      </c>
      <c r="L1561">
        <f>IFERROR(SMALL(L367:L1087,ROW()-ROW($L$1090)+1),"")</f>
        <v>0</v>
      </c>
      <c r="M1561">
        <f>IFERROR(SMALL(M367:M1087,ROW()-ROW($M$1090)+1),"")</f>
        <v>0</v>
      </c>
      <c r="N1561">
        <f>IFERROR(SMALL(N367:N1087,ROW()-ROW($N$1090)+1),"")</f>
        <v>0</v>
      </c>
    </row>
    <row r="1562" spans="5:14">
      <c r="E1562">
        <f>IFERROR(SMALL(E367:E1087,ROW()-ROW($E$1090)+1),"")</f>
        <v>0</v>
      </c>
      <c r="F1562">
        <f>IFERROR(SMALL(F367:F1087,ROW()-ROW($F$1090)+1),"")</f>
        <v>0</v>
      </c>
      <c r="G1562">
        <f>IFERROR(SMALL(G367:G1087,ROW()-ROW($G$1090)+1),"")</f>
        <v>0</v>
      </c>
      <c r="H1562">
        <f>IFERROR(SMALL(H367:H1087,ROW()-ROW($H$1090)+1),"")</f>
        <v>0</v>
      </c>
      <c r="K1562">
        <f>IFERROR(SMALL(K367:K1087,ROW()-ROW($K$1090)+1),"")</f>
        <v>0</v>
      </c>
      <c r="L1562">
        <f>IFERROR(SMALL(L367:L1087,ROW()-ROW($L$1090)+1),"")</f>
        <v>0</v>
      </c>
      <c r="M1562">
        <f>IFERROR(SMALL(M367:M1087,ROW()-ROW($M$1090)+1),"")</f>
        <v>0</v>
      </c>
      <c r="N1562">
        <f>IFERROR(SMALL(N367:N1087,ROW()-ROW($N$1090)+1),"")</f>
        <v>0</v>
      </c>
    </row>
    <row r="1563" spans="5:14">
      <c r="E1563">
        <f>IFERROR(SMALL(E367:E1087,ROW()-ROW($E$1090)+1),"")</f>
        <v>0</v>
      </c>
      <c r="F1563">
        <f>IFERROR(SMALL(F367:F1087,ROW()-ROW($F$1090)+1),"")</f>
        <v>0</v>
      </c>
      <c r="G1563">
        <f>IFERROR(SMALL(G367:G1087,ROW()-ROW($G$1090)+1),"")</f>
        <v>0</v>
      </c>
      <c r="H1563">
        <f>IFERROR(SMALL(H367:H1087,ROW()-ROW($H$1090)+1),"")</f>
        <v>0</v>
      </c>
      <c r="K1563">
        <f>IFERROR(SMALL(K367:K1087,ROW()-ROW($K$1090)+1),"")</f>
        <v>0</v>
      </c>
      <c r="L1563">
        <f>IFERROR(SMALL(L367:L1087,ROW()-ROW($L$1090)+1),"")</f>
        <v>0</v>
      </c>
      <c r="M1563">
        <f>IFERROR(SMALL(M367:M1087,ROW()-ROW($M$1090)+1),"")</f>
        <v>0</v>
      </c>
      <c r="N1563">
        <f>IFERROR(SMALL(N367:N1087,ROW()-ROW($N$1090)+1),"")</f>
        <v>0</v>
      </c>
    </row>
    <row r="1564" spans="5:14">
      <c r="E1564">
        <f>IFERROR(SMALL(E367:E1087,ROW()-ROW($E$1090)+1),"")</f>
        <v>0</v>
      </c>
      <c r="F1564">
        <f>IFERROR(SMALL(F367:F1087,ROW()-ROW($F$1090)+1),"")</f>
        <v>0</v>
      </c>
      <c r="G1564">
        <f>IFERROR(SMALL(G367:G1087,ROW()-ROW($G$1090)+1),"")</f>
        <v>0</v>
      </c>
      <c r="H1564">
        <f>IFERROR(SMALL(H367:H1087,ROW()-ROW($H$1090)+1),"")</f>
        <v>0</v>
      </c>
      <c r="K1564">
        <f>IFERROR(SMALL(K367:K1087,ROW()-ROW($K$1090)+1),"")</f>
        <v>0</v>
      </c>
      <c r="L1564">
        <f>IFERROR(SMALL(L367:L1087,ROW()-ROW($L$1090)+1),"")</f>
        <v>0</v>
      </c>
      <c r="M1564">
        <f>IFERROR(SMALL(M367:M1087,ROW()-ROW($M$1090)+1),"")</f>
        <v>0</v>
      </c>
      <c r="N1564">
        <f>IFERROR(SMALL(N367:N1087,ROW()-ROW($N$1090)+1),"")</f>
        <v>0</v>
      </c>
    </row>
    <row r="1565" spans="5:14">
      <c r="E1565">
        <f>IFERROR(SMALL(E367:E1087,ROW()-ROW($E$1090)+1),"")</f>
        <v>0</v>
      </c>
      <c r="F1565">
        <f>IFERROR(SMALL(F367:F1087,ROW()-ROW($F$1090)+1),"")</f>
        <v>0</v>
      </c>
      <c r="G1565">
        <f>IFERROR(SMALL(G367:G1087,ROW()-ROW($G$1090)+1),"")</f>
        <v>0</v>
      </c>
      <c r="H1565">
        <f>IFERROR(SMALL(H367:H1087,ROW()-ROW($H$1090)+1),"")</f>
        <v>0</v>
      </c>
      <c r="K1565">
        <f>IFERROR(SMALL(K367:K1087,ROW()-ROW($K$1090)+1),"")</f>
        <v>0</v>
      </c>
      <c r="L1565">
        <f>IFERROR(SMALL(L367:L1087,ROW()-ROW($L$1090)+1),"")</f>
        <v>0</v>
      </c>
      <c r="M1565">
        <f>IFERROR(SMALL(M367:M1087,ROW()-ROW($M$1090)+1),"")</f>
        <v>0</v>
      </c>
      <c r="N1565">
        <f>IFERROR(SMALL(N367:N1087,ROW()-ROW($N$1090)+1),"")</f>
        <v>0</v>
      </c>
    </row>
    <row r="1566" spans="5:14">
      <c r="E1566">
        <f>IFERROR(SMALL(E367:E1087,ROW()-ROW($E$1090)+1),"")</f>
        <v>0</v>
      </c>
      <c r="F1566">
        <f>IFERROR(SMALL(F367:F1087,ROW()-ROW($F$1090)+1),"")</f>
        <v>0</v>
      </c>
      <c r="G1566">
        <f>IFERROR(SMALL(G367:G1087,ROW()-ROW($G$1090)+1),"")</f>
        <v>0</v>
      </c>
      <c r="H1566">
        <f>IFERROR(SMALL(H367:H1087,ROW()-ROW($H$1090)+1),"")</f>
        <v>0</v>
      </c>
      <c r="K1566">
        <f>IFERROR(SMALL(K367:K1087,ROW()-ROW($K$1090)+1),"")</f>
        <v>0</v>
      </c>
      <c r="L1566">
        <f>IFERROR(SMALL(L367:L1087,ROW()-ROW($L$1090)+1),"")</f>
        <v>0</v>
      </c>
      <c r="M1566">
        <f>IFERROR(SMALL(M367:M1087,ROW()-ROW($M$1090)+1),"")</f>
        <v>0</v>
      </c>
      <c r="N1566">
        <f>IFERROR(SMALL(N367:N1087,ROW()-ROW($N$1090)+1),"")</f>
        <v>0</v>
      </c>
    </row>
    <row r="1567" spans="5:14">
      <c r="E1567">
        <f>IFERROR(SMALL(E367:E1087,ROW()-ROW($E$1090)+1),"")</f>
        <v>0</v>
      </c>
      <c r="F1567">
        <f>IFERROR(SMALL(F367:F1087,ROW()-ROW($F$1090)+1),"")</f>
        <v>0</v>
      </c>
      <c r="G1567">
        <f>IFERROR(SMALL(G367:G1087,ROW()-ROW($G$1090)+1),"")</f>
        <v>0</v>
      </c>
      <c r="H1567">
        <f>IFERROR(SMALL(H367:H1087,ROW()-ROW($H$1090)+1),"")</f>
        <v>0</v>
      </c>
      <c r="K1567">
        <f>IFERROR(SMALL(K367:K1087,ROW()-ROW($K$1090)+1),"")</f>
        <v>0</v>
      </c>
      <c r="L1567">
        <f>IFERROR(SMALL(L367:L1087,ROW()-ROW($L$1090)+1),"")</f>
        <v>0</v>
      </c>
      <c r="M1567">
        <f>IFERROR(SMALL(M367:M1087,ROW()-ROW($M$1090)+1),"")</f>
        <v>0</v>
      </c>
      <c r="N1567">
        <f>IFERROR(SMALL(N367:N1087,ROW()-ROW($N$1090)+1),"")</f>
        <v>0</v>
      </c>
    </row>
    <row r="1568" spans="5:14">
      <c r="E1568">
        <f>IFERROR(SMALL(E367:E1087,ROW()-ROW($E$1090)+1),"")</f>
        <v>0</v>
      </c>
      <c r="F1568">
        <f>IFERROR(SMALL(F367:F1087,ROW()-ROW($F$1090)+1),"")</f>
        <v>0</v>
      </c>
      <c r="G1568">
        <f>IFERROR(SMALL(G367:G1087,ROW()-ROW($G$1090)+1),"")</f>
        <v>0</v>
      </c>
      <c r="H1568">
        <f>IFERROR(SMALL(H367:H1087,ROW()-ROW($H$1090)+1),"")</f>
        <v>0</v>
      </c>
      <c r="K1568">
        <f>IFERROR(SMALL(K367:K1087,ROW()-ROW($K$1090)+1),"")</f>
        <v>0</v>
      </c>
      <c r="L1568">
        <f>IFERROR(SMALL(L367:L1087,ROW()-ROW($L$1090)+1),"")</f>
        <v>0</v>
      </c>
      <c r="M1568">
        <f>IFERROR(SMALL(M367:M1087,ROW()-ROW($M$1090)+1),"")</f>
        <v>0</v>
      </c>
      <c r="N1568">
        <f>IFERROR(SMALL(N367:N1087,ROW()-ROW($N$1090)+1),"")</f>
        <v>0</v>
      </c>
    </row>
    <row r="1569" spans="5:14">
      <c r="E1569">
        <f>IFERROR(SMALL(E367:E1087,ROW()-ROW($E$1090)+1),"")</f>
        <v>0</v>
      </c>
      <c r="F1569">
        <f>IFERROR(SMALL(F367:F1087,ROW()-ROW($F$1090)+1),"")</f>
        <v>0</v>
      </c>
      <c r="G1569">
        <f>IFERROR(SMALL(G367:G1087,ROW()-ROW($G$1090)+1),"")</f>
        <v>0</v>
      </c>
      <c r="H1569">
        <f>IFERROR(SMALL(H367:H1087,ROW()-ROW($H$1090)+1),"")</f>
        <v>0</v>
      </c>
      <c r="K1569">
        <f>IFERROR(SMALL(K367:K1087,ROW()-ROW($K$1090)+1),"")</f>
        <v>0</v>
      </c>
      <c r="L1569">
        <f>IFERROR(SMALL(L367:L1087,ROW()-ROW($L$1090)+1),"")</f>
        <v>0</v>
      </c>
      <c r="M1569">
        <f>IFERROR(SMALL(M367:M1087,ROW()-ROW($M$1090)+1),"")</f>
        <v>0</v>
      </c>
      <c r="N1569">
        <f>IFERROR(SMALL(N367:N1087,ROW()-ROW($N$1090)+1),"")</f>
        <v>0</v>
      </c>
    </row>
    <row r="1570" spans="5:14">
      <c r="E1570">
        <f>IFERROR(SMALL(E367:E1087,ROW()-ROW($E$1090)+1),"")</f>
        <v>0</v>
      </c>
      <c r="F1570">
        <f>IFERROR(SMALL(F367:F1087,ROW()-ROW($F$1090)+1),"")</f>
        <v>0</v>
      </c>
      <c r="G1570">
        <f>IFERROR(SMALL(G367:G1087,ROW()-ROW($G$1090)+1),"")</f>
        <v>0</v>
      </c>
      <c r="H1570">
        <f>IFERROR(SMALL(H367:H1087,ROW()-ROW($H$1090)+1),"")</f>
        <v>0</v>
      </c>
      <c r="K1570">
        <f>IFERROR(SMALL(K367:K1087,ROW()-ROW($K$1090)+1),"")</f>
        <v>0</v>
      </c>
      <c r="L1570">
        <f>IFERROR(SMALL(L367:L1087,ROW()-ROW($L$1090)+1),"")</f>
        <v>0</v>
      </c>
      <c r="M1570">
        <f>IFERROR(SMALL(M367:M1087,ROW()-ROW($M$1090)+1),"")</f>
        <v>0</v>
      </c>
      <c r="N1570">
        <f>IFERROR(SMALL(N367:N1087,ROW()-ROW($N$1090)+1),"")</f>
        <v>0</v>
      </c>
    </row>
    <row r="1571" spans="5:14">
      <c r="E1571">
        <f>IFERROR(SMALL(E367:E1087,ROW()-ROW($E$1090)+1),"")</f>
        <v>0</v>
      </c>
      <c r="F1571">
        <f>IFERROR(SMALL(F367:F1087,ROW()-ROW($F$1090)+1),"")</f>
        <v>0</v>
      </c>
      <c r="G1571">
        <f>IFERROR(SMALL(G367:G1087,ROW()-ROW($G$1090)+1),"")</f>
        <v>0</v>
      </c>
      <c r="H1571">
        <f>IFERROR(SMALL(H367:H1087,ROW()-ROW($H$1090)+1),"")</f>
        <v>0</v>
      </c>
      <c r="K1571">
        <f>IFERROR(SMALL(K367:K1087,ROW()-ROW($K$1090)+1),"")</f>
        <v>0</v>
      </c>
      <c r="L1571">
        <f>IFERROR(SMALL(L367:L1087,ROW()-ROW($L$1090)+1),"")</f>
        <v>0</v>
      </c>
      <c r="M1571">
        <f>IFERROR(SMALL(M367:M1087,ROW()-ROW($M$1090)+1),"")</f>
        <v>0</v>
      </c>
      <c r="N1571">
        <f>IFERROR(SMALL(N367:N1087,ROW()-ROW($N$1090)+1),"")</f>
        <v>0</v>
      </c>
    </row>
    <row r="1572" spans="5:14">
      <c r="E1572">
        <f>IFERROR(SMALL(E367:E1087,ROW()-ROW($E$1090)+1),"")</f>
        <v>0</v>
      </c>
      <c r="F1572">
        <f>IFERROR(SMALL(F367:F1087,ROW()-ROW($F$1090)+1),"")</f>
        <v>0</v>
      </c>
      <c r="G1572">
        <f>IFERROR(SMALL(G367:G1087,ROW()-ROW($G$1090)+1),"")</f>
        <v>0</v>
      </c>
      <c r="H1572">
        <f>IFERROR(SMALL(H367:H1087,ROW()-ROW($H$1090)+1),"")</f>
        <v>0</v>
      </c>
      <c r="K1572">
        <f>IFERROR(SMALL(K367:K1087,ROW()-ROW($K$1090)+1),"")</f>
        <v>0</v>
      </c>
      <c r="L1572">
        <f>IFERROR(SMALL(L367:L1087,ROW()-ROW($L$1090)+1),"")</f>
        <v>0</v>
      </c>
      <c r="M1572">
        <f>IFERROR(SMALL(M367:M1087,ROW()-ROW($M$1090)+1),"")</f>
        <v>0</v>
      </c>
      <c r="N1572">
        <f>IFERROR(SMALL(N367:N1087,ROW()-ROW($N$1090)+1),"")</f>
        <v>0</v>
      </c>
    </row>
    <row r="1573" spans="5:14">
      <c r="E1573">
        <f>IFERROR(SMALL(E367:E1087,ROW()-ROW($E$1090)+1),"")</f>
        <v>0</v>
      </c>
      <c r="F1573">
        <f>IFERROR(SMALL(F367:F1087,ROW()-ROW($F$1090)+1),"")</f>
        <v>0</v>
      </c>
      <c r="G1573">
        <f>IFERROR(SMALL(G367:G1087,ROW()-ROW($G$1090)+1),"")</f>
        <v>0</v>
      </c>
      <c r="H1573">
        <f>IFERROR(SMALL(H367:H1087,ROW()-ROW($H$1090)+1),"")</f>
        <v>0</v>
      </c>
      <c r="K1573">
        <f>IFERROR(SMALL(K367:K1087,ROW()-ROW($K$1090)+1),"")</f>
        <v>0</v>
      </c>
      <c r="L1573">
        <f>IFERROR(SMALL(L367:L1087,ROW()-ROW($L$1090)+1),"")</f>
        <v>0</v>
      </c>
      <c r="M1573">
        <f>IFERROR(SMALL(M367:M1087,ROW()-ROW($M$1090)+1),"")</f>
        <v>0</v>
      </c>
      <c r="N1573">
        <f>IFERROR(SMALL(N367:N1087,ROW()-ROW($N$1090)+1),"")</f>
        <v>0</v>
      </c>
    </row>
    <row r="1574" spans="5:14">
      <c r="E1574">
        <f>IFERROR(SMALL(E367:E1087,ROW()-ROW($E$1090)+1),"")</f>
        <v>0</v>
      </c>
      <c r="F1574">
        <f>IFERROR(SMALL(F367:F1087,ROW()-ROW($F$1090)+1),"")</f>
        <v>0</v>
      </c>
      <c r="G1574">
        <f>IFERROR(SMALL(G367:G1087,ROW()-ROW($G$1090)+1),"")</f>
        <v>0</v>
      </c>
      <c r="H1574">
        <f>IFERROR(SMALL(H367:H1087,ROW()-ROW($H$1090)+1),"")</f>
        <v>0</v>
      </c>
      <c r="K1574">
        <f>IFERROR(SMALL(K367:K1087,ROW()-ROW($K$1090)+1),"")</f>
        <v>0</v>
      </c>
      <c r="L1574">
        <f>IFERROR(SMALL(L367:L1087,ROW()-ROW($L$1090)+1),"")</f>
        <v>0</v>
      </c>
      <c r="M1574">
        <f>IFERROR(SMALL(M367:M1087,ROW()-ROW($M$1090)+1),"")</f>
        <v>0</v>
      </c>
      <c r="N1574">
        <f>IFERROR(SMALL(N367:N1087,ROW()-ROW($N$1090)+1),"")</f>
        <v>0</v>
      </c>
    </row>
    <row r="1575" spans="5:14">
      <c r="E1575">
        <f>IFERROR(SMALL(E367:E1087,ROW()-ROW($E$1090)+1),"")</f>
        <v>0</v>
      </c>
      <c r="F1575">
        <f>IFERROR(SMALL(F367:F1087,ROW()-ROW($F$1090)+1),"")</f>
        <v>0</v>
      </c>
      <c r="G1575">
        <f>IFERROR(SMALL(G367:G1087,ROW()-ROW($G$1090)+1),"")</f>
        <v>0</v>
      </c>
      <c r="H1575">
        <f>IFERROR(SMALL(H367:H1087,ROW()-ROW($H$1090)+1),"")</f>
        <v>0</v>
      </c>
      <c r="K1575">
        <f>IFERROR(SMALL(K367:K1087,ROW()-ROW($K$1090)+1),"")</f>
        <v>0</v>
      </c>
      <c r="L1575">
        <f>IFERROR(SMALL(L367:L1087,ROW()-ROW($L$1090)+1),"")</f>
        <v>0</v>
      </c>
      <c r="M1575">
        <f>IFERROR(SMALL(M367:M1087,ROW()-ROW($M$1090)+1),"")</f>
        <v>0</v>
      </c>
      <c r="N1575">
        <f>IFERROR(SMALL(N367:N1087,ROW()-ROW($N$1090)+1),"")</f>
        <v>0</v>
      </c>
    </row>
    <row r="1576" spans="5:14">
      <c r="E1576">
        <f>IFERROR(SMALL(E367:E1087,ROW()-ROW($E$1090)+1),"")</f>
        <v>0</v>
      </c>
      <c r="F1576">
        <f>IFERROR(SMALL(F367:F1087,ROW()-ROW($F$1090)+1),"")</f>
        <v>0</v>
      </c>
      <c r="G1576">
        <f>IFERROR(SMALL(G367:G1087,ROW()-ROW($G$1090)+1),"")</f>
        <v>0</v>
      </c>
      <c r="H1576">
        <f>IFERROR(SMALL(H367:H1087,ROW()-ROW($H$1090)+1),"")</f>
        <v>0</v>
      </c>
      <c r="K1576">
        <f>IFERROR(SMALL(K367:K1087,ROW()-ROW($K$1090)+1),"")</f>
        <v>0</v>
      </c>
      <c r="L1576">
        <f>IFERROR(SMALL(L367:L1087,ROW()-ROW($L$1090)+1),"")</f>
        <v>0</v>
      </c>
      <c r="M1576">
        <f>IFERROR(SMALL(M367:M1087,ROW()-ROW($M$1090)+1),"")</f>
        <v>0</v>
      </c>
      <c r="N1576">
        <f>IFERROR(SMALL(N367:N1087,ROW()-ROW($N$1090)+1),"")</f>
        <v>0</v>
      </c>
    </row>
    <row r="1577" spans="5:14">
      <c r="E1577">
        <f>IFERROR(SMALL(E367:E1087,ROW()-ROW($E$1090)+1),"")</f>
        <v>0</v>
      </c>
      <c r="F1577">
        <f>IFERROR(SMALL(F367:F1087,ROW()-ROW($F$1090)+1),"")</f>
        <v>0</v>
      </c>
      <c r="G1577">
        <f>IFERROR(SMALL(G367:G1087,ROW()-ROW($G$1090)+1),"")</f>
        <v>0</v>
      </c>
      <c r="H1577">
        <f>IFERROR(SMALL(H367:H1087,ROW()-ROW($H$1090)+1),"")</f>
        <v>0</v>
      </c>
      <c r="K1577">
        <f>IFERROR(SMALL(K367:K1087,ROW()-ROW($K$1090)+1),"")</f>
        <v>0</v>
      </c>
      <c r="L1577">
        <f>IFERROR(SMALL(L367:L1087,ROW()-ROW($L$1090)+1),"")</f>
        <v>0</v>
      </c>
      <c r="M1577">
        <f>IFERROR(SMALL(M367:M1087,ROW()-ROW($M$1090)+1),"")</f>
        <v>0</v>
      </c>
      <c r="N1577">
        <f>IFERROR(SMALL(N367:N1087,ROW()-ROW($N$1090)+1),"")</f>
        <v>0</v>
      </c>
    </row>
    <row r="1578" spans="5:14">
      <c r="E1578">
        <f>IFERROR(SMALL(E367:E1087,ROW()-ROW($E$1090)+1),"")</f>
        <v>0</v>
      </c>
      <c r="F1578">
        <f>IFERROR(SMALL(F367:F1087,ROW()-ROW($F$1090)+1),"")</f>
        <v>0</v>
      </c>
      <c r="G1578">
        <f>IFERROR(SMALL(G367:G1087,ROW()-ROW($G$1090)+1),"")</f>
        <v>0</v>
      </c>
      <c r="H1578">
        <f>IFERROR(SMALL(H367:H1087,ROW()-ROW($H$1090)+1),"")</f>
        <v>0</v>
      </c>
      <c r="K1578">
        <f>IFERROR(SMALL(K367:K1087,ROW()-ROW($K$1090)+1),"")</f>
        <v>0</v>
      </c>
      <c r="L1578">
        <f>IFERROR(SMALL(L367:L1087,ROW()-ROW($L$1090)+1),"")</f>
        <v>0</v>
      </c>
      <c r="M1578">
        <f>IFERROR(SMALL(M367:M1087,ROW()-ROW($M$1090)+1),"")</f>
        <v>0</v>
      </c>
      <c r="N1578">
        <f>IFERROR(SMALL(N367:N1087,ROW()-ROW($N$1090)+1),"")</f>
        <v>0</v>
      </c>
    </row>
    <row r="1579" spans="5:14">
      <c r="E1579">
        <f>IFERROR(SMALL(E367:E1087,ROW()-ROW($E$1090)+1),"")</f>
        <v>0</v>
      </c>
      <c r="F1579">
        <f>IFERROR(SMALL(F367:F1087,ROW()-ROW($F$1090)+1),"")</f>
        <v>0</v>
      </c>
      <c r="G1579">
        <f>IFERROR(SMALL(G367:G1087,ROW()-ROW($G$1090)+1),"")</f>
        <v>0</v>
      </c>
      <c r="H1579">
        <f>IFERROR(SMALL(H367:H1087,ROW()-ROW($H$1090)+1),"")</f>
        <v>0</v>
      </c>
      <c r="K1579">
        <f>IFERROR(SMALL(K367:K1087,ROW()-ROW($K$1090)+1),"")</f>
        <v>0</v>
      </c>
      <c r="L1579">
        <f>IFERROR(SMALL(L367:L1087,ROW()-ROW($L$1090)+1),"")</f>
        <v>0</v>
      </c>
      <c r="M1579">
        <f>IFERROR(SMALL(M367:M1087,ROW()-ROW($M$1090)+1),"")</f>
        <v>0</v>
      </c>
      <c r="N1579">
        <f>IFERROR(SMALL(N367:N1087,ROW()-ROW($N$1090)+1),"")</f>
        <v>0</v>
      </c>
    </row>
    <row r="1580" spans="5:14">
      <c r="E1580">
        <f>IFERROR(SMALL(E367:E1087,ROW()-ROW($E$1090)+1),"")</f>
        <v>0</v>
      </c>
      <c r="F1580">
        <f>IFERROR(SMALL(F367:F1087,ROW()-ROW($F$1090)+1),"")</f>
        <v>0</v>
      </c>
      <c r="G1580">
        <f>IFERROR(SMALL(G367:G1087,ROW()-ROW($G$1090)+1),"")</f>
        <v>0</v>
      </c>
      <c r="H1580">
        <f>IFERROR(SMALL(H367:H1087,ROW()-ROW($H$1090)+1),"")</f>
        <v>0</v>
      </c>
      <c r="K1580">
        <f>IFERROR(SMALL(K367:K1087,ROW()-ROW($K$1090)+1),"")</f>
        <v>0</v>
      </c>
      <c r="L1580">
        <f>IFERROR(SMALL(L367:L1087,ROW()-ROW($L$1090)+1),"")</f>
        <v>0</v>
      </c>
      <c r="M1580">
        <f>IFERROR(SMALL(M367:M1087,ROW()-ROW($M$1090)+1),"")</f>
        <v>0</v>
      </c>
      <c r="N1580">
        <f>IFERROR(SMALL(N367:N1087,ROW()-ROW($N$1090)+1),"")</f>
        <v>0</v>
      </c>
    </row>
    <row r="1581" spans="5:14">
      <c r="E1581">
        <f>IFERROR(SMALL(E367:E1087,ROW()-ROW($E$1090)+1),"")</f>
        <v>0</v>
      </c>
      <c r="F1581">
        <f>IFERROR(SMALL(F367:F1087,ROW()-ROW($F$1090)+1),"")</f>
        <v>0</v>
      </c>
      <c r="G1581">
        <f>IFERROR(SMALL(G367:G1087,ROW()-ROW($G$1090)+1),"")</f>
        <v>0</v>
      </c>
      <c r="H1581">
        <f>IFERROR(SMALL(H367:H1087,ROW()-ROW($H$1090)+1),"")</f>
        <v>0</v>
      </c>
      <c r="K1581">
        <f>IFERROR(SMALL(K367:K1087,ROW()-ROW($K$1090)+1),"")</f>
        <v>0</v>
      </c>
      <c r="L1581">
        <f>IFERROR(SMALL(L367:L1087,ROW()-ROW($L$1090)+1),"")</f>
        <v>0</v>
      </c>
      <c r="M1581">
        <f>IFERROR(SMALL(M367:M1087,ROW()-ROW($M$1090)+1),"")</f>
        <v>0</v>
      </c>
      <c r="N1581">
        <f>IFERROR(SMALL(N367:N1087,ROW()-ROW($N$1090)+1),"")</f>
        <v>0</v>
      </c>
    </row>
    <row r="1582" spans="5:14">
      <c r="E1582">
        <f>IFERROR(SMALL(E367:E1087,ROW()-ROW($E$1090)+1),"")</f>
        <v>0</v>
      </c>
      <c r="F1582">
        <f>IFERROR(SMALL(F367:F1087,ROW()-ROW($F$1090)+1),"")</f>
        <v>0</v>
      </c>
      <c r="G1582">
        <f>IFERROR(SMALL(G367:G1087,ROW()-ROW($G$1090)+1),"")</f>
        <v>0</v>
      </c>
      <c r="H1582">
        <f>IFERROR(SMALL(H367:H1087,ROW()-ROW($H$1090)+1),"")</f>
        <v>0</v>
      </c>
      <c r="K1582">
        <f>IFERROR(SMALL(K367:K1087,ROW()-ROW($K$1090)+1),"")</f>
        <v>0</v>
      </c>
      <c r="L1582">
        <f>IFERROR(SMALL(L367:L1087,ROW()-ROW($L$1090)+1),"")</f>
        <v>0</v>
      </c>
      <c r="M1582">
        <f>IFERROR(SMALL(M367:M1087,ROW()-ROW($M$1090)+1),"")</f>
        <v>0</v>
      </c>
      <c r="N1582">
        <f>IFERROR(SMALL(N367:N1087,ROW()-ROW($N$1090)+1),"")</f>
        <v>0</v>
      </c>
    </row>
    <row r="1583" spans="5:14">
      <c r="E1583">
        <f>IFERROR(SMALL(E367:E1087,ROW()-ROW($E$1090)+1),"")</f>
        <v>0</v>
      </c>
      <c r="F1583">
        <f>IFERROR(SMALL(F367:F1087,ROW()-ROW($F$1090)+1),"")</f>
        <v>0</v>
      </c>
      <c r="G1583">
        <f>IFERROR(SMALL(G367:G1087,ROW()-ROW($G$1090)+1),"")</f>
        <v>0</v>
      </c>
      <c r="H1583">
        <f>IFERROR(SMALL(H367:H1087,ROW()-ROW($H$1090)+1),"")</f>
        <v>0</v>
      </c>
      <c r="K1583">
        <f>IFERROR(SMALL(K367:K1087,ROW()-ROW($K$1090)+1),"")</f>
        <v>0</v>
      </c>
      <c r="L1583">
        <f>IFERROR(SMALL(L367:L1087,ROW()-ROW($L$1090)+1),"")</f>
        <v>0</v>
      </c>
      <c r="M1583">
        <f>IFERROR(SMALL(M367:M1087,ROW()-ROW($M$1090)+1),"")</f>
        <v>0</v>
      </c>
      <c r="N1583">
        <f>IFERROR(SMALL(N367:N1087,ROW()-ROW($N$1090)+1),"")</f>
        <v>0</v>
      </c>
    </row>
    <row r="1584" spans="5:14">
      <c r="E1584">
        <f>IFERROR(SMALL(E367:E1087,ROW()-ROW($E$1090)+1),"")</f>
        <v>0</v>
      </c>
      <c r="F1584">
        <f>IFERROR(SMALL(F367:F1087,ROW()-ROW($F$1090)+1),"")</f>
        <v>0</v>
      </c>
      <c r="G1584">
        <f>IFERROR(SMALL(G367:G1087,ROW()-ROW($G$1090)+1),"")</f>
        <v>0</v>
      </c>
      <c r="H1584">
        <f>IFERROR(SMALL(H367:H1087,ROW()-ROW($H$1090)+1),"")</f>
        <v>0</v>
      </c>
      <c r="K1584">
        <f>IFERROR(SMALL(K367:K1087,ROW()-ROW($K$1090)+1),"")</f>
        <v>0</v>
      </c>
      <c r="L1584">
        <f>IFERROR(SMALL(L367:L1087,ROW()-ROW($L$1090)+1),"")</f>
        <v>0</v>
      </c>
      <c r="M1584">
        <f>IFERROR(SMALL(M367:M1087,ROW()-ROW($M$1090)+1),"")</f>
        <v>0</v>
      </c>
      <c r="N1584">
        <f>IFERROR(SMALL(N367:N1087,ROW()-ROW($N$1090)+1),"")</f>
        <v>0</v>
      </c>
    </row>
    <row r="1585" spans="5:14">
      <c r="E1585">
        <f>IFERROR(SMALL(E367:E1087,ROW()-ROW($E$1090)+1),"")</f>
        <v>0</v>
      </c>
      <c r="F1585">
        <f>IFERROR(SMALL(F367:F1087,ROW()-ROW($F$1090)+1),"")</f>
        <v>0</v>
      </c>
      <c r="G1585">
        <f>IFERROR(SMALL(G367:G1087,ROW()-ROW($G$1090)+1),"")</f>
        <v>0</v>
      </c>
      <c r="H1585">
        <f>IFERROR(SMALL(H367:H1087,ROW()-ROW($H$1090)+1),"")</f>
        <v>0</v>
      </c>
      <c r="K1585">
        <f>IFERROR(SMALL(K367:K1087,ROW()-ROW($K$1090)+1),"")</f>
        <v>0</v>
      </c>
      <c r="L1585">
        <f>IFERROR(SMALL(L367:L1087,ROW()-ROW($L$1090)+1),"")</f>
        <v>0</v>
      </c>
      <c r="M1585">
        <f>IFERROR(SMALL(M367:M1087,ROW()-ROW($M$1090)+1),"")</f>
        <v>0</v>
      </c>
      <c r="N1585">
        <f>IFERROR(SMALL(N367:N1087,ROW()-ROW($N$1090)+1),"")</f>
        <v>0</v>
      </c>
    </row>
    <row r="1586" spans="5:14">
      <c r="E1586">
        <f>IFERROR(SMALL(E367:E1087,ROW()-ROW($E$1090)+1),"")</f>
        <v>0</v>
      </c>
      <c r="F1586">
        <f>IFERROR(SMALL(F367:F1087,ROW()-ROW($F$1090)+1),"")</f>
        <v>0</v>
      </c>
      <c r="G1586">
        <f>IFERROR(SMALL(G367:G1087,ROW()-ROW($G$1090)+1),"")</f>
        <v>0</v>
      </c>
      <c r="H1586">
        <f>IFERROR(SMALL(H367:H1087,ROW()-ROW($H$1090)+1),"")</f>
        <v>0</v>
      </c>
      <c r="K1586">
        <f>IFERROR(SMALL(K367:K1087,ROW()-ROW($K$1090)+1),"")</f>
        <v>0</v>
      </c>
      <c r="L1586">
        <f>IFERROR(SMALL(L367:L1087,ROW()-ROW($L$1090)+1),"")</f>
        <v>0</v>
      </c>
      <c r="M1586">
        <f>IFERROR(SMALL(M367:M1087,ROW()-ROW($M$1090)+1),"")</f>
        <v>0</v>
      </c>
      <c r="N1586">
        <f>IFERROR(SMALL(N367:N1087,ROW()-ROW($N$1090)+1),"")</f>
        <v>0</v>
      </c>
    </row>
    <row r="1587" spans="5:14">
      <c r="E1587">
        <f>IFERROR(SMALL(E367:E1087,ROW()-ROW($E$1090)+1),"")</f>
        <v>0</v>
      </c>
      <c r="F1587">
        <f>IFERROR(SMALL(F367:F1087,ROW()-ROW($F$1090)+1),"")</f>
        <v>0</v>
      </c>
      <c r="G1587">
        <f>IFERROR(SMALL(G367:G1087,ROW()-ROW($G$1090)+1),"")</f>
        <v>0</v>
      </c>
      <c r="H1587">
        <f>IFERROR(SMALL(H367:H1087,ROW()-ROW($H$1090)+1),"")</f>
        <v>0</v>
      </c>
      <c r="K1587">
        <f>IFERROR(SMALL(K367:K1087,ROW()-ROW($K$1090)+1),"")</f>
        <v>0</v>
      </c>
      <c r="L1587">
        <f>IFERROR(SMALL(L367:L1087,ROW()-ROW($L$1090)+1),"")</f>
        <v>0</v>
      </c>
      <c r="M1587">
        <f>IFERROR(SMALL(M367:M1087,ROW()-ROW($M$1090)+1),"")</f>
        <v>0</v>
      </c>
      <c r="N1587">
        <f>IFERROR(SMALL(N367:N1087,ROW()-ROW($N$1090)+1),"")</f>
        <v>0</v>
      </c>
    </row>
    <row r="1588" spans="5:14">
      <c r="E1588">
        <f>IFERROR(SMALL(E367:E1087,ROW()-ROW($E$1090)+1),"")</f>
        <v>0</v>
      </c>
      <c r="F1588">
        <f>IFERROR(SMALL(F367:F1087,ROW()-ROW($F$1090)+1),"")</f>
        <v>0</v>
      </c>
      <c r="G1588">
        <f>IFERROR(SMALL(G367:G1087,ROW()-ROW($G$1090)+1),"")</f>
        <v>0</v>
      </c>
      <c r="H1588">
        <f>IFERROR(SMALL(H367:H1087,ROW()-ROW($H$1090)+1),"")</f>
        <v>0</v>
      </c>
      <c r="K1588">
        <f>IFERROR(SMALL(K367:K1087,ROW()-ROW($K$1090)+1),"")</f>
        <v>0</v>
      </c>
      <c r="L1588">
        <f>IFERROR(SMALL(L367:L1087,ROW()-ROW($L$1090)+1),"")</f>
        <v>0</v>
      </c>
      <c r="M1588">
        <f>IFERROR(SMALL(M367:M1087,ROW()-ROW($M$1090)+1),"")</f>
        <v>0</v>
      </c>
      <c r="N1588">
        <f>IFERROR(SMALL(N367:N1087,ROW()-ROW($N$1090)+1),"")</f>
        <v>0</v>
      </c>
    </row>
    <row r="1589" spans="5:14">
      <c r="E1589">
        <f>IFERROR(SMALL(E367:E1087,ROW()-ROW($E$1090)+1),"")</f>
        <v>0</v>
      </c>
      <c r="F1589">
        <f>IFERROR(SMALL(F367:F1087,ROW()-ROW($F$1090)+1),"")</f>
        <v>0</v>
      </c>
      <c r="G1589">
        <f>IFERROR(SMALL(G367:G1087,ROW()-ROW($G$1090)+1),"")</f>
        <v>0</v>
      </c>
      <c r="H1589">
        <f>IFERROR(SMALL(H367:H1087,ROW()-ROW($H$1090)+1),"")</f>
        <v>0</v>
      </c>
      <c r="K1589">
        <f>IFERROR(SMALL(K367:K1087,ROW()-ROW($K$1090)+1),"")</f>
        <v>0</v>
      </c>
      <c r="L1589">
        <f>IFERROR(SMALL(L367:L1087,ROW()-ROW($L$1090)+1),"")</f>
        <v>0</v>
      </c>
      <c r="M1589">
        <f>IFERROR(SMALL(M367:M1087,ROW()-ROW($M$1090)+1),"")</f>
        <v>0</v>
      </c>
      <c r="N1589">
        <f>IFERROR(SMALL(N367:N1087,ROW()-ROW($N$1090)+1),"")</f>
        <v>0</v>
      </c>
    </row>
    <row r="1590" spans="5:14">
      <c r="E1590">
        <f>IFERROR(SMALL(E367:E1087,ROW()-ROW($E$1090)+1),"")</f>
        <v>0</v>
      </c>
      <c r="F1590">
        <f>IFERROR(SMALL(F367:F1087,ROW()-ROW($F$1090)+1),"")</f>
        <v>0</v>
      </c>
      <c r="G1590">
        <f>IFERROR(SMALL(G367:G1087,ROW()-ROW($G$1090)+1),"")</f>
        <v>0</v>
      </c>
      <c r="H1590">
        <f>IFERROR(SMALL(H367:H1087,ROW()-ROW($H$1090)+1),"")</f>
        <v>0</v>
      </c>
      <c r="K1590">
        <f>IFERROR(SMALL(K367:K1087,ROW()-ROW($K$1090)+1),"")</f>
        <v>0</v>
      </c>
      <c r="L1590">
        <f>IFERROR(SMALL(L367:L1087,ROW()-ROW($L$1090)+1),"")</f>
        <v>0</v>
      </c>
      <c r="M1590">
        <f>IFERROR(SMALL(M367:M1087,ROW()-ROW($M$1090)+1),"")</f>
        <v>0</v>
      </c>
      <c r="N1590">
        <f>IFERROR(SMALL(N367:N1087,ROW()-ROW($N$1090)+1),"")</f>
        <v>0</v>
      </c>
    </row>
    <row r="1591" spans="5:14">
      <c r="E1591">
        <f>IFERROR(SMALL(E367:E1087,ROW()-ROW($E$1090)+1),"")</f>
        <v>0</v>
      </c>
      <c r="F1591">
        <f>IFERROR(SMALL(F367:F1087,ROW()-ROW($F$1090)+1),"")</f>
        <v>0</v>
      </c>
      <c r="G1591">
        <f>IFERROR(SMALL(G367:G1087,ROW()-ROW($G$1090)+1),"")</f>
        <v>0</v>
      </c>
      <c r="H1591">
        <f>IFERROR(SMALL(H367:H1087,ROW()-ROW($H$1090)+1),"")</f>
        <v>0</v>
      </c>
      <c r="K1591">
        <f>IFERROR(SMALL(K367:K1087,ROW()-ROW($K$1090)+1),"")</f>
        <v>0</v>
      </c>
      <c r="L1591">
        <f>IFERROR(SMALL(L367:L1087,ROW()-ROW($L$1090)+1),"")</f>
        <v>0</v>
      </c>
      <c r="M1591">
        <f>IFERROR(SMALL(M367:M1087,ROW()-ROW($M$1090)+1),"")</f>
        <v>0</v>
      </c>
      <c r="N1591">
        <f>IFERROR(SMALL(N367:N1087,ROW()-ROW($N$1090)+1),"")</f>
        <v>0</v>
      </c>
    </row>
    <row r="1592" spans="5:14">
      <c r="E1592">
        <f>IFERROR(SMALL(E367:E1087,ROW()-ROW($E$1090)+1),"")</f>
        <v>0</v>
      </c>
      <c r="F1592">
        <f>IFERROR(SMALL(F367:F1087,ROW()-ROW($F$1090)+1),"")</f>
        <v>0</v>
      </c>
      <c r="G1592">
        <f>IFERROR(SMALL(G367:G1087,ROW()-ROW($G$1090)+1),"")</f>
        <v>0</v>
      </c>
      <c r="H1592">
        <f>IFERROR(SMALL(H367:H1087,ROW()-ROW($H$1090)+1),"")</f>
        <v>0</v>
      </c>
      <c r="K1592">
        <f>IFERROR(SMALL(K367:K1087,ROW()-ROW($K$1090)+1),"")</f>
        <v>0</v>
      </c>
      <c r="L1592">
        <f>IFERROR(SMALL(L367:L1087,ROW()-ROW($L$1090)+1),"")</f>
        <v>0</v>
      </c>
      <c r="M1592">
        <f>IFERROR(SMALL(M367:M1087,ROW()-ROW($M$1090)+1),"")</f>
        <v>0</v>
      </c>
      <c r="N1592">
        <f>IFERROR(SMALL(N367:N1087,ROW()-ROW($N$1090)+1),"")</f>
        <v>0</v>
      </c>
    </row>
    <row r="1593" spans="5:14">
      <c r="E1593">
        <f>IFERROR(SMALL(E367:E1087,ROW()-ROW($E$1090)+1),"")</f>
        <v>0</v>
      </c>
      <c r="F1593">
        <f>IFERROR(SMALL(F367:F1087,ROW()-ROW($F$1090)+1),"")</f>
        <v>0</v>
      </c>
      <c r="G1593">
        <f>IFERROR(SMALL(G367:G1087,ROW()-ROW($G$1090)+1),"")</f>
        <v>0</v>
      </c>
      <c r="H1593">
        <f>IFERROR(SMALL(H367:H1087,ROW()-ROW($H$1090)+1),"")</f>
        <v>0</v>
      </c>
      <c r="K1593">
        <f>IFERROR(SMALL(K367:K1087,ROW()-ROW($K$1090)+1),"")</f>
        <v>0</v>
      </c>
      <c r="L1593">
        <f>IFERROR(SMALL(L367:L1087,ROW()-ROW($L$1090)+1),"")</f>
        <v>0</v>
      </c>
      <c r="M1593">
        <f>IFERROR(SMALL(M367:M1087,ROW()-ROW($M$1090)+1),"")</f>
        <v>0</v>
      </c>
      <c r="N1593">
        <f>IFERROR(SMALL(N367:N1087,ROW()-ROW($N$1090)+1),"")</f>
        <v>0</v>
      </c>
    </row>
    <row r="1594" spans="5:14">
      <c r="E1594">
        <f>IFERROR(SMALL(E367:E1087,ROW()-ROW($E$1090)+1),"")</f>
        <v>0</v>
      </c>
      <c r="F1594">
        <f>IFERROR(SMALL(F367:F1087,ROW()-ROW($F$1090)+1),"")</f>
        <v>0</v>
      </c>
      <c r="G1594">
        <f>IFERROR(SMALL(G367:G1087,ROW()-ROW($G$1090)+1),"")</f>
        <v>0</v>
      </c>
      <c r="H1594">
        <f>IFERROR(SMALL(H367:H1087,ROW()-ROW($H$1090)+1),"")</f>
        <v>0</v>
      </c>
      <c r="K1594">
        <f>IFERROR(SMALL(K367:K1087,ROW()-ROW($K$1090)+1),"")</f>
        <v>0</v>
      </c>
      <c r="L1594">
        <f>IFERROR(SMALL(L367:L1087,ROW()-ROW($L$1090)+1),"")</f>
        <v>0</v>
      </c>
      <c r="M1594">
        <f>IFERROR(SMALL(M367:M1087,ROW()-ROW($M$1090)+1),"")</f>
        <v>0</v>
      </c>
      <c r="N1594">
        <f>IFERROR(SMALL(N367:N1087,ROW()-ROW($N$1090)+1),"")</f>
        <v>0</v>
      </c>
    </row>
    <row r="1595" spans="5:14">
      <c r="E1595">
        <f>IFERROR(SMALL(E367:E1087,ROW()-ROW($E$1090)+1),"")</f>
        <v>0</v>
      </c>
      <c r="F1595">
        <f>IFERROR(SMALL(F367:F1087,ROW()-ROW($F$1090)+1),"")</f>
        <v>0</v>
      </c>
      <c r="G1595">
        <f>IFERROR(SMALL(G367:G1087,ROW()-ROW($G$1090)+1),"")</f>
        <v>0</v>
      </c>
      <c r="H1595">
        <f>IFERROR(SMALL(H367:H1087,ROW()-ROW($H$1090)+1),"")</f>
        <v>0</v>
      </c>
      <c r="K1595">
        <f>IFERROR(SMALL(K367:K1087,ROW()-ROW($K$1090)+1),"")</f>
        <v>0</v>
      </c>
      <c r="L1595">
        <f>IFERROR(SMALL(L367:L1087,ROW()-ROW($L$1090)+1),"")</f>
        <v>0</v>
      </c>
      <c r="M1595">
        <f>IFERROR(SMALL(M367:M1087,ROW()-ROW($M$1090)+1),"")</f>
        <v>0</v>
      </c>
      <c r="N1595">
        <f>IFERROR(SMALL(N367:N1087,ROW()-ROW($N$1090)+1),"")</f>
        <v>0</v>
      </c>
    </row>
    <row r="1596" spans="5:14">
      <c r="E1596">
        <f>IFERROR(SMALL(E367:E1087,ROW()-ROW($E$1090)+1),"")</f>
        <v>0</v>
      </c>
      <c r="F1596">
        <f>IFERROR(SMALL(F367:F1087,ROW()-ROW($F$1090)+1),"")</f>
        <v>0</v>
      </c>
      <c r="G1596">
        <f>IFERROR(SMALL(G367:G1087,ROW()-ROW($G$1090)+1),"")</f>
        <v>0</v>
      </c>
      <c r="H1596">
        <f>IFERROR(SMALL(H367:H1087,ROW()-ROW($H$1090)+1),"")</f>
        <v>0</v>
      </c>
      <c r="K1596">
        <f>IFERROR(SMALL(K367:K1087,ROW()-ROW($K$1090)+1),"")</f>
        <v>0</v>
      </c>
      <c r="L1596">
        <f>IFERROR(SMALL(L367:L1087,ROW()-ROW($L$1090)+1),"")</f>
        <v>0</v>
      </c>
      <c r="M1596">
        <f>IFERROR(SMALL(M367:M1087,ROW()-ROW($M$1090)+1),"")</f>
        <v>0</v>
      </c>
      <c r="N1596">
        <f>IFERROR(SMALL(N367:N1087,ROW()-ROW($N$1090)+1),"")</f>
        <v>0</v>
      </c>
    </row>
    <row r="1597" spans="5:14">
      <c r="E1597">
        <f>IFERROR(SMALL(E367:E1087,ROW()-ROW($E$1090)+1),"")</f>
        <v>0</v>
      </c>
      <c r="F1597">
        <f>IFERROR(SMALL(F367:F1087,ROW()-ROW($F$1090)+1),"")</f>
        <v>0</v>
      </c>
      <c r="G1597">
        <f>IFERROR(SMALL(G367:G1087,ROW()-ROW($G$1090)+1),"")</f>
        <v>0</v>
      </c>
      <c r="H1597">
        <f>IFERROR(SMALL(H367:H1087,ROW()-ROW($H$1090)+1),"")</f>
        <v>0</v>
      </c>
      <c r="K1597">
        <f>IFERROR(SMALL(K367:K1087,ROW()-ROW($K$1090)+1),"")</f>
        <v>0</v>
      </c>
      <c r="L1597">
        <f>IFERROR(SMALL(L367:L1087,ROW()-ROW($L$1090)+1),"")</f>
        <v>0</v>
      </c>
      <c r="M1597">
        <f>IFERROR(SMALL(M367:M1087,ROW()-ROW($M$1090)+1),"")</f>
        <v>0</v>
      </c>
      <c r="N1597">
        <f>IFERROR(SMALL(N367:N1087,ROW()-ROW($N$1090)+1),"")</f>
        <v>0</v>
      </c>
    </row>
    <row r="1598" spans="5:14">
      <c r="E1598">
        <f>IFERROR(SMALL(E367:E1087,ROW()-ROW($E$1090)+1),"")</f>
        <v>0</v>
      </c>
      <c r="F1598">
        <f>IFERROR(SMALL(F367:F1087,ROW()-ROW($F$1090)+1),"")</f>
        <v>0</v>
      </c>
      <c r="G1598">
        <f>IFERROR(SMALL(G367:G1087,ROW()-ROW($G$1090)+1),"")</f>
        <v>0</v>
      </c>
      <c r="H1598">
        <f>IFERROR(SMALL(H367:H1087,ROW()-ROW($H$1090)+1),"")</f>
        <v>0</v>
      </c>
      <c r="K1598">
        <f>IFERROR(SMALL(K367:K1087,ROW()-ROW($K$1090)+1),"")</f>
        <v>0</v>
      </c>
      <c r="L1598">
        <f>IFERROR(SMALL(L367:L1087,ROW()-ROW($L$1090)+1),"")</f>
        <v>0</v>
      </c>
      <c r="M1598">
        <f>IFERROR(SMALL(M367:M1087,ROW()-ROW($M$1090)+1),"")</f>
        <v>0</v>
      </c>
      <c r="N1598">
        <f>IFERROR(SMALL(N367:N1087,ROW()-ROW($N$1090)+1),"")</f>
        <v>0</v>
      </c>
    </row>
    <row r="1599" spans="5:14">
      <c r="E1599">
        <f>IFERROR(SMALL(E367:E1087,ROW()-ROW($E$1090)+1),"")</f>
        <v>0</v>
      </c>
      <c r="F1599">
        <f>IFERROR(SMALL(F367:F1087,ROW()-ROW($F$1090)+1),"")</f>
        <v>0</v>
      </c>
      <c r="G1599">
        <f>IFERROR(SMALL(G367:G1087,ROW()-ROW($G$1090)+1),"")</f>
        <v>0</v>
      </c>
      <c r="H1599">
        <f>IFERROR(SMALL(H367:H1087,ROW()-ROW($H$1090)+1),"")</f>
        <v>0</v>
      </c>
      <c r="K1599">
        <f>IFERROR(SMALL(K367:K1087,ROW()-ROW($K$1090)+1),"")</f>
        <v>0</v>
      </c>
      <c r="L1599">
        <f>IFERROR(SMALL(L367:L1087,ROW()-ROW($L$1090)+1),"")</f>
        <v>0</v>
      </c>
      <c r="M1599">
        <f>IFERROR(SMALL(M367:M1087,ROW()-ROW($M$1090)+1),"")</f>
        <v>0</v>
      </c>
      <c r="N1599">
        <f>IFERROR(SMALL(N367:N1087,ROW()-ROW($N$1090)+1),"")</f>
        <v>0</v>
      </c>
    </row>
    <row r="1600" spans="5:14">
      <c r="E1600">
        <f>IFERROR(SMALL(E367:E1087,ROW()-ROW($E$1090)+1),"")</f>
        <v>0</v>
      </c>
      <c r="F1600">
        <f>IFERROR(SMALL(F367:F1087,ROW()-ROW($F$1090)+1),"")</f>
        <v>0</v>
      </c>
      <c r="G1600">
        <f>IFERROR(SMALL(G367:G1087,ROW()-ROW($G$1090)+1),"")</f>
        <v>0</v>
      </c>
      <c r="H1600">
        <f>IFERROR(SMALL(H367:H1087,ROW()-ROW($H$1090)+1),"")</f>
        <v>0</v>
      </c>
      <c r="K1600">
        <f>IFERROR(SMALL(K367:K1087,ROW()-ROW($K$1090)+1),"")</f>
        <v>0</v>
      </c>
      <c r="L1600">
        <f>IFERROR(SMALL(L367:L1087,ROW()-ROW($L$1090)+1),"")</f>
        <v>0</v>
      </c>
      <c r="M1600">
        <f>IFERROR(SMALL(M367:M1087,ROW()-ROW($M$1090)+1),"")</f>
        <v>0</v>
      </c>
      <c r="N1600">
        <f>IFERROR(SMALL(N367:N1087,ROW()-ROW($N$1090)+1),"")</f>
        <v>0</v>
      </c>
    </row>
    <row r="1601" spans="5:14">
      <c r="E1601">
        <f>IFERROR(SMALL(E367:E1087,ROW()-ROW($E$1090)+1),"")</f>
        <v>0</v>
      </c>
      <c r="F1601">
        <f>IFERROR(SMALL(F367:F1087,ROW()-ROW($F$1090)+1),"")</f>
        <v>0</v>
      </c>
      <c r="G1601">
        <f>IFERROR(SMALL(G367:G1087,ROW()-ROW($G$1090)+1),"")</f>
        <v>0</v>
      </c>
      <c r="H1601">
        <f>IFERROR(SMALL(H367:H1087,ROW()-ROW($H$1090)+1),"")</f>
        <v>0</v>
      </c>
      <c r="K1601">
        <f>IFERROR(SMALL(K367:K1087,ROW()-ROW($K$1090)+1),"")</f>
        <v>0</v>
      </c>
      <c r="L1601">
        <f>IFERROR(SMALL(L367:L1087,ROW()-ROW($L$1090)+1),"")</f>
        <v>0</v>
      </c>
      <c r="M1601">
        <f>IFERROR(SMALL(M367:M1087,ROW()-ROW($M$1090)+1),"")</f>
        <v>0</v>
      </c>
      <c r="N1601">
        <f>IFERROR(SMALL(N367:N1087,ROW()-ROW($N$1090)+1),"")</f>
        <v>0</v>
      </c>
    </row>
    <row r="1602" spans="5:14">
      <c r="E1602">
        <f>IFERROR(SMALL(E367:E1087,ROW()-ROW($E$1090)+1),"")</f>
        <v>0</v>
      </c>
      <c r="F1602">
        <f>IFERROR(SMALL(F367:F1087,ROW()-ROW($F$1090)+1),"")</f>
        <v>0</v>
      </c>
      <c r="G1602">
        <f>IFERROR(SMALL(G367:G1087,ROW()-ROW($G$1090)+1),"")</f>
        <v>0</v>
      </c>
      <c r="H1602">
        <f>IFERROR(SMALL(H367:H1087,ROW()-ROW($H$1090)+1),"")</f>
        <v>0</v>
      </c>
      <c r="K1602">
        <f>IFERROR(SMALL(K367:K1087,ROW()-ROW($K$1090)+1),"")</f>
        <v>0</v>
      </c>
      <c r="L1602">
        <f>IFERROR(SMALL(L367:L1087,ROW()-ROW($L$1090)+1),"")</f>
        <v>0</v>
      </c>
      <c r="M1602">
        <f>IFERROR(SMALL(M367:M1087,ROW()-ROW($M$1090)+1),"")</f>
        <v>0</v>
      </c>
      <c r="N1602">
        <f>IFERROR(SMALL(N367:N1087,ROW()-ROW($N$1090)+1),"")</f>
        <v>0</v>
      </c>
    </row>
    <row r="1603" spans="5:14">
      <c r="E1603">
        <f>IFERROR(SMALL(E367:E1087,ROW()-ROW($E$1090)+1),"")</f>
        <v>0</v>
      </c>
      <c r="F1603">
        <f>IFERROR(SMALL(F367:F1087,ROW()-ROW($F$1090)+1),"")</f>
        <v>0</v>
      </c>
      <c r="G1603">
        <f>IFERROR(SMALL(G367:G1087,ROW()-ROW($G$1090)+1),"")</f>
        <v>0</v>
      </c>
      <c r="H1603">
        <f>IFERROR(SMALL(H367:H1087,ROW()-ROW($H$1090)+1),"")</f>
        <v>0</v>
      </c>
      <c r="K1603">
        <f>IFERROR(SMALL(K367:K1087,ROW()-ROW($K$1090)+1),"")</f>
        <v>0</v>
      </c>
      <c r="L1603">
        <f>IFERROR(SMALL(L367:L1087,ROW()-ROW($L$1090)+1),"")</f>
        <v>0</v>
      </c>
      <c r="M1603">
        <f>IFERROR(SMALL(M367:M1087,ROW()-ROW($M$1090)+1),"")</f>
        <v>0</v>
      </c>
      <c r="N1603">
        <f>IFERROR(SMALL(N367:N1087,ROW()-ROW($N$1090)+1),"")</f>
        <v>0</v>
      </c>
    </row>
    <row r="1604" spans="5:14">
      <c r="E1604">
        <f>IFERROR(SMALL(E367:E1087,ROW()-ROW($E$1090)+1),"")</f>
        <v>0</v>
      </c>
      <c r="F1604">
        <f>IFERROR(SMALL(F367:F1087,ROW()-ROW($F$1090)+1),"")</f>
        <v>0</v>
      </c>
      <c r="G1604">
        <f>IFERROR(SMALL(G367:G1087,ROW()-ROW($G$1090)+1),"")</f>
        <v>0</v>
      </c>
      <c r="H1604">
        <f>IFERROR(SMALL(H367:H1087,ROW()-ROW($H$1090)+1),"")</f>
        <v>0</v>
      </c>
      <c r="K1604">
        <f>IFERROR(SMALL(K367:K1087,ROW()-ROW($K$1090)+1),"")</f>
        <v>0</v>
      </c>
      <c r="L1604">
        <f>IFERROR(SMALL(L367:L1087,ROW()-ROW($L$1090)+1),"")</f>
        <v>0</v>
      </c>
      <c r="M1604">
        <f>IFERROR(SMALL(M367:M1087,ROW()-ROW($M$1090)+1),"")</f>
        <v>0</v>
      </c>
      <c r="N1604">
        <f>IFERROR(SMALL(N367:N1087,ROW()-ROW($N$1090)+1),"")</f>
        <v>0</v>
      </c>
    </row>
    <row r="1605" spans="5:14">
      <c r="E1605">
        <f>IFERROR(SMALL(E367:E1087,ROW()-ROW($E$1090)+1),"")</f>
        <v>0</v>
      </c>
      <c r="F1605">
        <f>IFERROR(SMALL(F367:F1087,ROW()-ROW($F$1090)+1),"")</f>
        <v>0</v>
      </c>
      <c r="G1605">
        <f>IFERROR(SMALL(G367:G1087,ROW()-ROW($G$1090)+1),"")</f>
        <v>0</v>
      </c>
      <c r="H1605">
        <f>IFERROR(SMALL(H367:H1087,ROW()-ROW($H$1090)+1),"")</f>
        <v>0</v>
      </c>
      <c r="K1605">
        <f>IFERROR(SMALL(K367:K1087,ROW()-ROW($K$1090)+1),"")</f>
        <v>0</v>
      </c>
      <c r="L1605">
        <f>IFERROR(SMALL(L367:L1087,ROW()-ROW($L$1090)+1),"")</f>
        <v>0</v>
      </c>
      <c r="M1605">
        <f>IFERROR(SMALL(M367:M1087,ROW()-ROW($M$1090)+1),"")</f>
        <v>0</v>
      </c>
      <c r="N1605">
        <f>IFERROR(SMALL(N367:N1087,ROW()-ROW($N$1090)+1),"")</f>
        <v>0</v>
      </c>
    </row>
    <row r="1606" spans="5:14">
      <c r="E1606">
        <f>IFERROR(SMALL(E367:E1087,ROW()-ROW($E$1090)+1),"")</f>
        <v>0</v>
      </c>
      <c r="F1606">
        <f>IFERROR(SMALL(F367:F1087,ROW()-ROW($F$1090)+1),"")</f>
        <v>0</v>
      </c>
      <c r="G1606">
        <f>IFERROR(SMALL(G367:G1087,ROW()-ROW($G$1090)+1),"")</f>
        <v>0</v>
      </c>
      <c r="H1606">
        <f>IFERROR(SMALL(H367:H1087,ROW()-ROW($H$1090)+1),"")</f>
        <v>0</v>
      </c>
      <c r="K1606">
        <f>IFERROR(SMALL(K367:K1087,ROW()-ROW($K$1090)+1),"")</f>
        <v>0</v>
      </c>
      <c r="L1606">
        <f>IFERROR(SMALL(L367:L1087,ROW()-ROW($L$1090)+1),"")</f>
        <v>0</v>
      </c>
      <c r="M1606">
        <f>IFERROR(SMALL(M367:M1087,ROW()-ROW($M$1090)+1),"")</f>
        <v>0</v>
      </c>
      <c r="N1606">
        <f>IFERROR(SMALL(N367:N1087,ROW()-ROW($N$1090)+1),"")</f>
        <v>0</v>
      </c>
    </row>
    <row r="1607" spans="5:14">
      <c r="E1607">
        <f>IFERROR(SMALL(E367:E1087,ROW()-ROW($E$1090)+1),"")</f>
        <v>0</v>
      </c>
      <c r="F1607">
        <f>IFERROR(SMALL(F367:F1087,ROW()-ROW($F$1090)+1),"")</f>
        <v>0</v>
      </c>
      <c r="G1607">
        <f>IFERROR(SMALL(G367:G1087,ROW()-ROW($G$1090)+1),"")</f>
        <v>0</v>
      </c>
      <c r="H1607">
        <f>IFERROR(SMALL(H367:H1087,ROW()-ROW($H$1090)+1),"")</f>
        <v>0</v>
      </c>
      <c r="K1607">
        <f>IFERROR(SMALL(K367:K1087,ROW()-ROW($K$1090)+1),"")</f>
        <v>0</v>
      </c>
      <c r="L1607">
        <f>IFERROR(SMALL(L367:L1087,ROW()-ROW($L$1090)+1),"")</f>
        <v>0</v>
      </c>
      <c r="M1607">
        <f>IFERROR(SMALL(M367:M1087,ROW()-ROW($M$1090)+1),"")</f>
        <v>0</v>
      </c>
      <c r="N1607">
        <f>IFERROR(SMALL(N367:N1087,ROW()-ROW($N$1090)+1),"")</f>
        <v>0</v>
      </c>
    </row>
    <row r="1608" spans="5:14">
      <c r="E1608">
        <f>IFERROR(SMALL(E367:E1087,ROW()-ROW($E$1090)+1),"")</f>
        <v>0</v>
      </c>
      <c r="F1608">
        <f>IFERROR(SMALL(F367:F1087,ROW()-ROW($F$1090)+1),"")</f>
        <v>0</v>
      </c>
      <c r="G1608">
        <f>IFERROR(SMALL(G367:G1087,ROW()-ROW($G$1090)+1),"")</f>
        <v>0</v>
      </c>
      <c r="H1608">
        <f>IFERROR(SMALL(H367:H1087,ROW()-ROW($H$1090)+1),"")</f>
        <v>0</v>
      </c>
      <c r="K1608">
        <f>IFERROR(SMALL(K367:K1087,ROW()-ROW($K$1090)+1),"")</f>
        <v>0</v>
      </c>
      <c r="L1608">
        <f>IFERROR(SMALL(L367:L1087,ROW()-ROW($L$1090)+1),"")</f>
        <v>0</v>
      </c>
      <c r="M1608">
        <f>IFERROR(SMALL(M367:M1087,ROW()-ROW($M$1090)+1),"")</f>
        <v>0</v>
      </c>
      <c r="N1608">
        <f>IFERROR(SMALL(N367:N1087,ROW()-ROW($N$1090)+1),"")</f>
        <v>0</v>
      </c>
    </row>
    <row r="1609" spans="5:14">
      <c r="E1609">
        <f>IFERROR(SMALL(E367:E1087,ROW()-ROW($E$1090)+1),"")</f>
        <v>0</v>
      </c>
      <c r="F1609">
        <f>IFERROR(SMALL(F367:F1087,ROW()-ROW($F$1090)+1),"")</f>
        <v>0</v>
      </c>
      <c r="G1609">
        <f>IFERROR(SMALL(G367:G1087,ROW()-ROW($G$1090)+1),"")</f>
        <v>0</v>
      </c>
      <c r="H1609">
        <f>IFERROR(SMALL(H367:H1087,ROW()-ROW($H$1090)+1),"")</f>
        <v>0</v>
      </c>
      <c r="K1609">
        <f>IFERROR(SMALL(K367:K1087,ROW()-ROW($K$1090)+1),"")</f>
        <v>0</v>
      </c>
      <c r="L1609">
        <f>IFERROR(SMALL(L367:L1087,ROW()-ROW($L$1090)+1),"")</f>
        <v>0</v>
      </c>
      <c r="M1609">
        <f>IFERROR(SMALL(M367:M1087,ROW()-ROW($M$1090)+1),"")</f>
        <v>0</v>
      </c>
      <c r="N1609">
        <f>IFERROR(SMALL(N367:N1087,ROW()-ROW($N$1090)+1),"")</f>
        <v>0</v>
      </c>
    </row>
    <row r="1610" spans="5:14">
      <c r="E1610">
        <f>IFERROR(SMALL(E367:E1087,ROW()-ROW($E$1090)+1),"")</f>
        <v>0</v>
      </c>
      <c r="F1610">
        <f>IFERROR(SMALL(F367:F1087,ROW()-ROW($F$1090)+1),"")</f>
        <v>0</v>
      </c>
      <c r="G1610">
        <f>IFERROR(SMALL(G367:G1087,ROW()-ROW($G$1090)+1),"")</f>
        <v>0</v>
      </c>
      <c r="H1610">
        <f>IFERROR(SMALL(H367:H1087,ROW()-ROW($H$1090)+1),"")</f>
        <v>0</v>
      </c>
      <c r="K1610">
        <f>IFERROR(SMALL(K367:K1087,ROW()-ROW($K$1090)+1),"")</f>
        <v>0</v>
      </c>
      <c r="L1610">
        <f>IFERROR(SMALL(L367:L1087,ROW()-ROW($L$1090)+1),"")</f>
        <v>0</v>
      </c>
      <c r="M1610">
        <f>IFERROR(SMALL(M367:M1087,ROW()-ROW($M$1090)+1),"")</f>
        <v>0</v>
      </c>
      <c r="N1610">
        <f>IFERROR(SMALL(N367:N1087,ROW()-ROW($N$1090)+1),"")</f>
        <v>0</v>
      </c>
    </row>
    <row r="1611" spans="5:14">
      <c r="E1611">
        <f>IFERROR(SMALL(E367:E1087,ROW()-ROW($E$1090)+1),"")</f>
        <v>0</v>
      </c>
      <c r="F1611">
        <f>IFERROR(SMALL(F367:F1087,ROW()-ROW($F$1090)+1),"")</f>
        <v>0</v>
      </c>
      <c r="G1611">
        <f>IFERROR(SMALL(G367:G1087,ROW()-ROW($G$1090)+1),"")</f>
        <v>0</v>
      </c>
      <c r="H1611">
        <f>IFERROR(SMALL(H367:H1087,ROW()-ROW($H$1090)+1),"")</f>
        <v>0</v>
      </c>
      <c r="K1611">
        <f>IFERROR(SMALL(K367:K1087,ROW()-ROW($K$1090)+1),"")</f>
        <v>0</v>
      </c>
      <c r="L1611">
        <f>IFERROR(SMALL(L367:L1087,ROW()-ROW($L$1090)+1),"")</f>
        <v>0</v>
      </c>
      <c r="M1611">
        <f>IFERROR(SMALL(M367:M1087,ROW()-ROW($M$1090)+1),"")</f>
        <v>0</v>
      </c>
      <c r="N1611">
        <f>IFERROR(SMALL(N367:N1087,ROW()-ROW($N$1090)+1),"")</f>
        <v>0</v>
      </c>
    </row>
    <row r="1612" spans="5:14">
      <c r="E1612">
        <f>IFERROR(SMALL(E367:E1087,ROW()-ROW($E$1090)+1),"")</f>
        <v>0</v>
      </c>
      <c r="F1612">
        <f>IFERROR(SMALL(F367:F1087,ROW()-ROW($F$1090)+1),"")</f>
        <v>0</v>
      </c>
      <c r="G1612">
        <f>IFERROR(SMALL(G367:G1087,ROW()-ROW($G$1090)+1),"")</f>
        <v>0</v>
      </c>
      <c r="H1612">
        <f>IFERROR(SMALL(H367:H1087,ROW()-ROW($H$1090)+1),"")</f>
        <v>0</v>
      </c>
      <c r="K1612">
        <f>IFERROR(SMALL(K367:K1087,ROW()-ROW($K$1090)+1),"")</f>
        <v>0</v>
      </c>
      <c r="L1612">
        <f>IFERROR(SMALL(L367:L1087,ROW()-ROW($L$1090)+1),"")</f>
        <v>0</v>
      </c>
      <c r="M1612">
        <f>IFERROR(SMALL(M367:M1087,ROW()-ROW($M$1090)+1),"")</f>
        <v>0</v>
      </c>
      <c r="N1612">
        <f>IFERROR(SMALL(N367:N1087,ROW()-ROW($N$1090)+1),"")</f>
        <v>0</v>
      </c>
    </row>
    <row r="1613" spans="5:14">
      <c r="E1613">
        <f>IFERROR(SMALL(E367:E1087,ROW()-ROW($E$1090)+1),"")</f>
        <v>0</v>
      </c>
      <c r="F1613">
        <f>IFERROR(SMALL(F367:F1087,ROW()-ROW($F$1090)+1),"")</f>
        <v>0</v>
      </c>
      <c r="G1613">
        <f>IFERROR(SMALL(G367:G1087,ROW()-ROW($G$1090)+1),"")</f>
        <v>0</v>
      </c>
      <c r="H1613">
        <f>IFERROR(SMALL(H367:H1087,ROW()-ROW($H$1090)+1),"")</f>
        <v>0</v>
      </c>
      <c r="K1613">
        <f>IFERROR(SMALL(K367:K1087,ROW()-ROW($K$1090)+1),"")</f>
        <v>0</v>
      </c>
      <c r="L1613">
        <f>IFERROR(SMALL(L367:L1087,ROW()-ROW($L$1090)+1),"")</f>
        <v>0</v>
      </c>
      <c r="M1613">
        <f>IFERROR(SMALL(M367:M1087,ROW()-ROW($M$1090)+1),"")</f>
        <v>0</v>
      </c>
      <c r="N1613">
        <f>IFERROR(SMALL(N367:N1087,ROW()-ROW($N$1090)+1),"")</f>
        <v>0</v>
      </c>
    </row>
    <row r="1614" spans="5:14">
      <c r="E1614">
        <f>IFERROR(SMALL(E367:E1087,ROW()-ROW($E$1090)+1),"")</f>
        <v>0</v>
      </c>
      <c r="F1614">
        <f>IFERROR(SMALL(F367:F1087,ROW()-ROW($F$1090)+1),"")</f>
        <v>0</v>
      </c>
      <c r="G1614">
        <f>IFERROR(SMALL(G367:G1087,ROW()-ROW($G$1090)+1),"")</f>
        <v>0</v>
      </c>
      <c r="H1614">
        <f>IFERROR(SMALL(H367:H1087,ROW()-ROW($H$1090)+1),"")</f>
        <v>0</v>
      </c>
      <c r="K1614">
        <f>IFERROR(SMALL(K367:K1087,ROW()-ROW($K$1090)+1),"")</f>
        <v>0</v>
      </c>
      <c r="L1614">
        <f>IFERROR(SMALL(L367:L1087,ROW()-ROW($L$1090)+1),"")</f>
        <v>0</v>
      </c>
      <c r="M1614">
        <f>IFERROR(SMALL(M367:M1087,ROW()-ROW($M$1090)+1),"")</f>
        <v>0</v>
      </c>
      <c r="N1614">
        <f>IFERROR(SMALL(N367:N1087,ROW()-ROW($N$1090)+1),"")</f>
        <v>0</v>
      </c>
    </row>
    <row r="1615" spans="5:14">
      <c r="E1615">
        <f>IFERROR(SMALL(E367:E1087,ROW()-ROW($E$1090)+1),"")</f>
        <v>0</v>
      </c>
      <c r="F1615">
        <f>IFERROR(SMALL(F367:F1087,ROW()-ROW($F$1090)+1),"")</f>
        <v>0</v>
      </c>
      <c r="G1615">
        <f>IFERROR(SMALL(G367:G1087,ROW()-ROW($G$1090)+1),"")</f>
        <v>0</v>
      </c>
      <c r="H1615">
        <f>IFERROR(SMALL(H367:H1087,ROW()-ROW($H$1090)+1),"")</f>
        <v>0</v>
      </c>
      <c r="K1615">
        <f>IFERROR(SMALL(K367:K1087,ROW()-ROW($K$1090)+1),"")</f>
        <v>0</v>
      </c>
      <c r="L1615">
        <f>IFERROR(SMALL(L367:L1087,ROW()-ROW($L$1090)+1),"")</f>
        <v>0</v>
      </c>
      <c r="M1615">
        <f>IFERROR(SMALL(M367:M1087,ROW()-ROW($M$1090)+1),"")</f>
        <v>0</v>
      </c>
      <c r="N1615">
        <f>IFERROR(SMALL(N367:N1087,ROW()-ROW($N$1090)+1),"")</f>
        <v>0</v>
      </c>
    </row>
    <row r="1616" spans="5:14">
      <c r="E1616">
        <f>IFERROR(SMALL(E367:E1087,ROW()-ROW($E$1090)+1),"")</f>
        <v>0</v>
      </c>
      <c r="F1616">
        <f>IFERROR(SMALL(F367:F1087,ROW()-ROW($F$1090)+1),"")</f>
        <v>0</v>
      </c>
      <c r="G1616">
        <f>IFERROR(SMALL(G367:G1087,ROW()-ROW($G$1090)+1),"")</f>
        <v>0</v>
      </c>
      <c r="H1616">
        <f>IFERROR(SMALL(H367:H1087,ROW()-ROW($H$1090)+1),"")</f>
        <v>0</v>
      </c>
      <c r="K1616">
        <f>IFERROR(SMALL(K367:K1087,ROW()-ROW($K$1090)+1),"")</f>
        <v>0</v>
      </c>
      <c r="L1616">
        <f>IFERROR(SMALL(L367:L1087,ROW()-ROW($L$1090)+1),"")</f>
        <v>0</v>
      </c>
      <c r="M1616">
        <f>IFERROR(SMALL(M367:M1087,ROW()-ROW($M$1090)+1),"")</f>
        <v>0</v>
      </c>
      <c r="N1616">
        <f>IFERROR(SMALL(N367:N1087,ROW()-ROW($N$1090)+1),"")</f>
        <v>0</v>
      </c>
    </row>
    <row r="1617" spans="5:14">
      <c r="E1617">
        <f>IFERROR(SMALL(E367:E1087,ROW()-ROW($E$1090)+1),"")</f>
        <v>0</v>
      </c>
      <c r="F1617">
        <f>IFERROR(SMALL(F367:F1087,ROW()-ROW($F$1090)+1),"")</f>
        <v>0</v>
      </c>
      <c r="G1617">
        <f>IFERROR(SMALL(G367:G1087,ROW()-ROW($G$1090)+1),"")</f>
        <v>0</v>
      </c>
      <c r="H1617">
        <f>IFERROR(SMALL(H367:H1087,ROW()-ROW($H$1090)+1),"")</f>
        <v>0</v>
      </c>
      <c r="K1617">
        <f>IFERROR(SMALL(K367:K1087,ROW()-ROW($K$1090)+1),"")</f>
        <v>0</v>
      </c>
      <c r="L1617">
        <f>IFERROR(SMALL(L367:L1087,ROW()-ROW($L$1090)+1),"")</f>
        <v>0</v>
      </c>
      <c r="M1617">
        <f>IFERROR(SMALL(M367:M1087,ROW()-ROW($M$1090)+1),"")</f>
        <v>0</v>
      </c>
      <c r="N1617">
        <f>IFERROR(SMALL(N367:N1087,ROW()-ROW($N$1090)+1),"")</f>
        <v>0</v>
      </c>
    </row>
    <row r="1618" spans="5:14">
      <c r="E1618">
        <f>IFERROR(SMALL(E367:E1087,ROW()-ROW($E$1090)+1),"")</f>
        <v>0</v>
      </c>
      <c r="F1618">
        <f>IFERROR(SMALL(F367:F1087,ROW()-ROW($F$1090)+1),"")</f>
        <v>0</v>
      </c>
      <c r="G1618">
        <f>IFERROR(SMALL(G367:G1087,ROW()-ROW($G$1090)+1),"")</f>
        <v>0</v>
      </c>
      <c r="H1618">
        <f>IFERROR(SMALL(H367:H1087,ROW()-ROW($H$1090)+1),"")</f>
        <v>0</v>
      </c>
      <c r="K1618">
        <f>IFERROR(SMALL(K367:K1087,ROW()-ROW($K$1090)+1),"")</f>
        <v>0</v>
      </c>
      <c r="L1618">
        <f>IFERROR(SMALL(L367:L1087,ROW()-ROW($L$1090)+1),"")</f>
        <v>0</v>
      </c>
      <c r="M1618">
        <f>IFERROR(SMALL(M367:M1087,ROW()-ROW($M$1090)+1),"")</f>
        <v>0</v>
      </c>
      <c r="N1618">
        <f>IFERROR(SMALL(N367:N1087,ROW()-ROW($N$1090)+1),"")</f>
        <v>0</v>
      </c>
    </row>
    <row r="1619" spans="5:14">
      <c r="E1619">
        <f>IFERROR(SMALL(E367:E1087,ROW()-ROW($E$1090)+1),"")</f>
        <v>0</v>
      </c>
      <c r="F1619">
        <f>IFERROR(SMALL(F367:F1087,ROW()-ROW($F$1090)+1),"")</f>
        <v>0</v>
      </c>
      <c r="G1619">
        <f>IFERROR(SMALL(G367:G1087,ROW()-ROW($G$1090)+1),"")</f>
        <v>0</v>
      </c>
      <c r="H1619">
        <f>IFERROR(SMALL(H367:H1087,ROW()-ROW($H$1090)+1),"")</f>
        <v>0</v>
      </c>
      <c r="K1619">
        <f>IFERROR(SMALL(K367:K1087,ROW()-ROW($K$1090)+1),"")</f>
        <v>0</v>
      </c>
      <c r="L1619">
        <f>IFERROR(SMALL(L367:L1087,ROW()-ROW($L$1090)+1),"")</f>
        <v>0</v>
      </c>
      <c r="M1619">
        <f>IFERROR(SMALL(M367:M1087,ROW()-ROW($M$1090)+1),"")</f>
        <v>0</v>
      </c>
      <c r="N1619">
        <f>IFERROR(SMALL(N367:N1087,ROW()-ROW($N$1090)+1),"")</f>
        <v>0</v>
      </c>
    </row>
    <row r="1620" spans="5:14">
      <c r="E1620">
        <f>IFERROR(SMALL(E367:E1087,ROW()-ROW($E$1090)+1),"")</f>
        <v>0</v>
      </c>
      <c r="F1620">
        <f>IFERROR(SMALL(F367:F1087,ROW()-ROW($F$1090)+1),"")</f>
        <v>0</v>
      </c>
      <c r="G1620">
        <f>IFERROR(SMALL(G367:G1087,ROW()-ROW($G$1090)+1),"")</f>
        <v>0</v>
      </c>
      <c r="H1620">
        <f>IFERROR(SMALL(H367:H1087,ROW()-ROW($H$1090)+1),"")</f>
        <v>0</v>
      </c>
      <c r="K1620">
        <f>IFERROR(SMALL(K367:K1087,ROW()-ROW($K$1090)+1),"")</f>
        <v>0</v>
      </c>
      <c r="L1620">
        <f>IFERROR(SMALL(L367:L1087,ROW()-ROW($L$1090)+1),"")</f>
        <v>0</v>
      </c>
      <c r="M1620">
        <f>IFERROR(SMALL(M367:M1087,ROW()-ROW($M$1090)+1),"")</f>
        <v>0</v>
      </c>
      <c r="N1620">
        <f>IFERROR(SMALL(N367:N1087,ROW()-ROW($N$1090)+1),"")</f>
        <v>0</v>
      </c>
    </row>
    <row r="1621" spans="5:14">
      <c r="E1621">
        <f>IFERROR(SMALL(E367:E1087,ROW()-ROW($E$1090)+1),"")</f>
        <v>0</v>
      </c>
      <c r="F1621">
        <f>IFERROR(SMALL(F367:F1087,ROW()-ROW($F$1090)+1),"")</f>
        <v>0</v>
      </c>
      <c r="G1621">
        <f>IFERROR(SMALL(G367:G1087,ROW()-ROW($G$1090)+1),"")</f>
        <v>0</v>
      </c>
      <c r="H1621">
        <f>IFERROR(SMALL(H367:H1087,ROW()-ROW($H$1090)+1),"")</f>
        <v>0</v>
      </c>
      <c r="K1621">
        <f>IFERROR(SMALL(K367:K1087,ROW()-ROW($K$1090)+1),"")</f>
        <v>0</v>
      </c>
      <c r="L1621">
        <f>IFERROR(SMALL(L367:L1087,ROW()-ROW($L$1090)+1),"")</f>
        <v>0</v>
      </c>
      <c r="M1621">
        <f>IFERROR(SMALL(M367:M1087,ROW()-ROW($M$1090)+1),"")</f>
        <v>0</v>
      </c>
      <c r="N1621">
        <f>IFERROR(SMALL(N367:N1087,ROW()-ROW($N$1090)+1),"")</f>
        <v>0</v>
      </c>
    </row>
    <row r="1622" spans="5:14">
      <c r="E1622">
        <f>IFERROR(SMALL(E367:E1087,ROW()-ROW($E$1090)+1),"")</f>
        <v>0</v>
      </c>
      <c r="F1622">
        <f>IFERROR(SMALL(F367:F1087,ROW()-ROW($F$1090)+1),"")</f>
        <v>0</v>
      </c>
      <c r="G1622">
        <f>IFERROR(SMALL(G367:G1087,ROW()-ROW($G$1090)+1),"")</f>
        <v>0</v>
      </c>
      <c r="H1622">
        <f>IFERROR(SMALL(H367:H1087,ROW()-ROW($H$1090)+1),"")</f>
        <v>0</v>
      </c>
      <c r="K1622">
        <f>IFERROR(SMALL(K367:K1087,ROW()-ROW($K$1090)+1),"")</f>
        <v>0</v>
      </c>
      <c r="L1622">
        <f>IFERROR(SMALL(L367:L1087,ROW()-ROW($L$1090)+1),"")</f>
        <v>0</v>
      </c>
      <c r="M1622">
        <f>IFERROR(SMALL(M367:M1087,ROW()-ROW($M$1090)+1),"")</f>
        <v>0</v>
      </c>
      <c r="N1622">
        <f>IFERROR(SMALL(N367:N1087,ROW()-ROW($N$1090)+1),"")</f>
        <v>0</v>
      </c>
    </row>
    <row r="1623" spans="5:14">
      <c r="E1623">
        <f>IFERROR(SMALL(E367:E1087,ROW()-ROW($E$1090)+1),"")</f>
        <v>0</v>
      </c>
      <c r="F1623">
        <f>IFERROR(SMALL(F367:F1087,ROW()-ROW($F$1090)+1),"")</f>
        <v>0</v>
      </c>
      <c r="G1623">
        <f>IFERROR(SMALL(G367:G1087,ROW()-ROW($G$1090)+1),"")</f>
        <v>0</v>
      </c>
      <c r="H1623">
        <f>IFERROR(SMALL(H367:H1087,ROW()-ROW($H$1090)+1),"")</f>
        <v>0</v>
      </c>
      <c r="K1623">
        <f>IFERROR(SMALL(K367:K1087,ROW()-ROW($K$1090)+1),"")</f>
        <v>0</v>
      </c>
      <c r="L1623">
        <f>IFERROR(SMALL(L367:L1087,ROW()-ROW($L$1090)+1),"")</f>
        <v>0</v>
      </c>
      <c r="M1623">
        <f>IFERROR(SMALL(M367:M1087,ROW()-ROW($M$1090)+1),"")</f>
        <v>0</v>
      </c>
      <c r="N1623">
        <f>IFERROR(SMALL(N367:N1087,ROW()-ROW($N$1090)+1),"")</f>
        <v>0</v>
      </c>
    </row>
    <row r="1624" spans="5:14">
      <c r="E1624">
        <f>IFERROR(SMALL(E367:E1087,ROW()-ROW($E$1090)+1),"")</f>
        <v>0</v>
      </c>
      <c r="F1624">
        <f>IFERROR(SMALL(F367:F1087,ROW()-ROW($F$1090)+1),"")</f>
        <v>0</v>
      </c>
      <c r="G1624">
        <f>IFERROR(SMALL(G367:G1087,ROW()-ROW($G$1090)+1),"")</f>
        <v>0</v>
      </c>
      <c r="H1624">
        <f>IFERROR(SMALL(H367:H1087,ROW()-ROW($H$1090)+1),"")</f>
        <v>0</v>
      </c>
      <c r="K1624">
        <f>IFERROR(SMALL(K367:K1087,ROW()-ROW($K$1090)+1),"")</f>
        <v>0</v>
      </c>
      <c r="L1624">
        <f>IFERROR(SMALL(L367:L1087,ROW()-ROW($L$1090)+1),"")</f>
        <v>0</v>
      </c>
      <c r="M1624">
        <f>IFERROR(SMALL(M367:M1087,ROW()-ROW($M$1090)+1),"")</f>
        <v>0</v>
      </c>
      <c r="N1624">
        <f>IFERROR(SMALL(N367:N1087,ROW()-ROW($N$1090)+1),"")</f>
        <v>0</v>
      </c>
    </row>
    <row r="1625" spans="5:14">
      <c r="E1625">
        <f>IFERROR(SMALL(E367:E1087,ROW()-ROW($E$1090)+1),"")</f>
        <v>0</v>
      </c>
      <c r="F1625">
        <f>IFERROR(SMALL(F367:F1087,ROW()-ROW($F$1090)+1),"")</f>
        <v>0</v>
      </c>
      <c r="G1625">
        <f>IFERROR(SMALL(G367:G1087,ROW()-ROW($G$1090)+1),"")</f>
        <v>0</v>
      </c>
      <c r="H1625">
        <f>IFERROR(SMALL(H367:H1087,ROW()-ROW($H$1090)+1),"")</f>
        <v>0</v>
      </c>
      <c r="K1625">
        <f>IFERROR(SMALL(K367:K1087,ROW()-ROW($K$1090)+1),"")</f>
        <v>0</v>
      </c>
      <c r="L1625">
        <f>IFERROR(SMALL(L367:L1087,ROW()-ROW($L$1090)+1),"")</f>
        <v>0</v>
      </c>
      <c r="M1625">
        <f>IFERROR(SMALL(M367:M1087,ROW()-ROW($M$1090)+1),"")</f>
        <v>0</v>
      </c>
      <c r="N1625">
        <f>IFERROR(SMALL(N367:N1087,ROW()-ROW($N$1090)+1),"")</f>
        <v>0</v>
      </c>
    </row>
    <row r="1626" spans="5:14">
      <c r="E1626">
        <f>IFERROR(SMALL(E367:E1087,ROW()-ROW($E$1090)+1),"")</f>
        <v>0</v>
      </c>
      <c r="F1626">
        <f>IFERROR(SMALL(F367:F1087,ROW()-ROW($F$1090)+1),"")</f>
        <v>0</v>
      </c>
      <c r="G1626">
        <f>IFERROR(SMALL(G367:G1087,ROW()-ROW($G$1090)+1),"")</f>
        <v>0</v>
      </c>
      <c r="H1626">
        <f>IFERROR(SMALL(H367:H1087,ROW()-ROW($H$1090)+1),"")</f>
        <v>0</v>
      </c>
      <c r="K1626">
        <f>IFERROR(SMALL(K367:K1087,ROW()-ROW($K$1090)+1),"")</f>
        <v>0</v>
      </c>
      <c r="L1626">
        <f>IFERROR(SMALL(L367:L1087,ROW()-ROW($L$1090)+1),"")</f>
        <v>0</v>
      </c>
      <c r="M1626">
        <f>IFERROR(SMALL(M367:M1087,ROW()-ROW($M$1090)+1),"")</f>
        <v>0</v>
      </c>
      <c r="N1626">
        <f>IFERROR(SMALL(N367:N1087,ROW()-ROW($N$1090)+1),"")</f>
        <v>0</v>
      </c>
    </row>
    <row r="1627" spans="5:14">
      <c r="E1627">
        <f>IFERROR(SMALL(E367:E1087,ROW()-ROW($E$1090)+1),"")</f>
        <v>0</v>
      </c>
      <c r="F1627">
        <f>IFERROR(SMALL(F367:F1087,ROW()-ROW($F$1090)+1),"")</f>
        <v>0</v>
      </c>
      <c r="G1627">
        <f>IFERROR(SMALL(G367:G1087,ROW()-ROW($G$1090)+1),"")</f>
        <v>0</v>
      </c>
      <c r="H1627">
        <f>IFERROR(SMALL(H367:H1087,ROW()-ROW($H$1090)+1),"")</f>
        <v>0</v>
      </c>
      <c r="K1627">
        <f>IFERROR(SMALL(K367:K1087,ROW()-ROW($K$1090)+1),"")</f>
        <v>0</v>
      </c>
      <c r="L1627">
        <f>IFERROR(SMALL(L367:L1087,ROW()-ROW($L$1090)+1),"")</f>
        <v>0</v>
      </c>
      <c r="M1627">
        <f>IFERROR(SMALL(M367:M1087,ROW()-ROW($M$1090)+1),"")</f>
        <v>0</v>
      </c>
      <c r="N1627">
        <f>IFERROR(SMALL(N367:N1087,ROW()-ROW($N$1090)+1),"")</f>
        <v>0</v>
      </c>
    </row>
    <row r="1628" spans="5:14">
      <c r="E1628">
        <f>IFERROR(SMALL(E367:E1087,ROW()-ROW($E$1090)+1),"")</f>
        <v>0</v>
      </c>
      <c r="F1628">
        <f>IFERROR(SMALL(F367:F1087,ROW()-ROW($F$1090)+1),"")</f>
        <v>0</v>
      </c>
      <c r="G1628">
        <f>IFERROR(SMALL(G367:G1087,ROW()-ROW($G$1090)+1),"")</f>
        <v>0</v>
      </c>
      <c r="H1628">
        <f>IFERROR(SMALL(H367:H1087,ROW()-ROW($H$1090)+1),"")</f>
        <v>0</v>
      </c>
      <c r="K1628">
        <f>IFERROR(SMALL(K367:K1087,ROW()-ROW($K$1090)+1),"")</f>
        <v>0</v>
      </c>
      <c r="L1628">
        <f>IFERROR(SMALL(L367:L1087,ROW()-ROW($L$1090)+1),"")</f>
        <v>0</v>
      </c>
      <c r="M1628">
        <f>IFERROR(SMALL(M367:M1087,ROW()-ROW($M$1090)+1),"")</f>
        <v>0</v>
      </c>
      <c r="N1628">
        <f>IFERROR(SMALL(N367:N1087,ROW()-ROW($N$1090)+1),"")</f>
        <v>0</v>
      </c>
    </row>
    <row r="1629" spans="5:14">
      <c r="E1629">
        <f>IFERROR(SMALL(E367:E1087,ROW()-ROW($E$1090)+1),"")</f>
        <v>0</v>
      </c>
      <c r="F1629">
        <f>IFERROR(SMALL(F367:F1087,ROW()-ROW($F$1090)+1),"")</f>
        <v>0</v>
      </c>
      <c r="G1629">
        <f>IFERROR(SMALL(G367:G1087,ROW()-ROW($G$1090)+1),"")</f>
        <v>0</v>
      </c>
      <c r="H1629">
        <f>IFERROR(SMALL(H367:H1087,ROW()-ROW($H$1090)+1),"")</f>
        <v>0</v>
      </c>
      <c r="K1629">
        <f>IFERROR(SMALL(K367:K1087,ROW()-ROW($K$1090)+1),"")</f>
        <v>0</v>
      </c>
      <c r="L1629">
        <f>IFERROR(SMALL(L367:L1087,ROW()-ROW($L$1090)+1),"")</f>
        <v>0</v>
      </c>
      <c r="M1629">
        <f>IFERROR(SMALL(M367:M1087,ROW()-ROW($M$1090)+1),"")</f>
        <v>0</v>
      </c>
      <c r="N1629">
        <f>IFERROR(SMALL(N367:N1087,ROW()-ROW($N$1090)+1),"")</f>
        <v>0</v>
      </c>
    </row>
    <row r="1630" spans="5:14">
      <c r="E1630">
        <f>IFERROR(SMALL(E367:E1087,ROW()-ROW($E$1090)+1),"")</f>
        <v>0</v>
      </c>
      <c r="F1630">
        <f>IFERROR(SMALL(F367:F1087,ROW()-ROW($F$1090)+1),"")</f>
        <v>0</v>
      </c>
      <c r="G1630">
        <f>IFERROR(SMALL(G367:G1087,ROW()-ROW($G$1090)+1),"")</f>
        <v>0</v>
      </c>
      <c r="H1630">
        <f>IFERROR(SMALL(H367:H1087,ROW()-ROW($H$1090)+1),"")</f>
        <v>0</v>
      </c>
      <c r="K1630">
        <f>IFERROR(SMALL(K367:K1087,ROW()-ROW($K$1090)+1),"")</f>
        <v>0</v>
      </c>
      <c r="L1630">
        <f>IFERROR(SMALL(L367:L1087,ROW()-ROW($L$1090)+1),"")</f>
        <v>0</v>
      </c>
      <c r="M1630">
        <f>IFERROR(SMALL(M367:M1087,ROW()-ROW($M$1090)+1),"")</f>
        <v>0</v>
      </c>
      <c r="N1630">
        <f>IFERROR(SMALL(N367:N1087,ROW()-ROW($N$1090)+1),"")</f>
        <v>0</v>
      </c>
    </row>
    <row r="1631" spans="5:14">
      <c r="E1631">
        <f>IFERROR(SMALL(E367:E1087,ROW()-ROW($E$1090)+1),"")</f>
        <v>0</v>
      </c>
      <c r="F1631">
        <f>IFERROR(SMALL(F367:F1087,ROW()-ROW($F$1090)+1),"")</f>
        <v>0</v>
      </c>
      <c r="G1631">
        <f>IFERROR(SMALL(G367:G1087,ROW()-ROW($G$1090)+1),"")</f>
        <v>0</v>
      </c>
      <c r="H1631">
        <f>IFERROR(SMALL(H367:H1087,ROW()-ROW($H$1090)+1),"")</f>
        <v>0</v>
      </c>
      <c r="K1631">
        <f>IFERROR(SMALL(K367:K1087,ROW()-ROW($K$1090)+1),"")</f>
        <v>0</v>
      </c>
      <c r="L1631">
        <f>IFERROR(SMALL(L367:L1087,ROW()-ROW($L$1090)+1),"")</f>
        <v>0</v>
      </c>
      <c r="M1631">
        <f>IFERROR(SMALL(M367:M1087,ROW()-ROW($M$1090)+1),"")</f>
        <v>0</v>
      </c>
      <c r="N1631">
        <f>IFERROR(SMALL(N367:N1087,ROW()-ROW($N$1090)+1),"")</f>
        <v>0</v>
      </c>
    </row>
    <row r="1632" spans="5:14">
      <c r="E1632">
        <f>IFERROR(SMALL(E367:E1087,ROW()-ROW($E$1090)+1),"")</f>
        <v>0</v>
      </c>
      <c r="F1632">
        <f>IFERROR(SMALL(F367:F1087,ROW()-ROW($F$1090)+1),"")</f>
        <v>0</v>
      </c>
      <c r="G1632">
        <f>IFERROR(SMALL(G367:G1087,ROW()-ROW($G$1090)+1),"")</f>
        <v>0</v>
      </c>
      <c r="H1632">
        <f>IFERROR(SMALL(H367:H1087,ROW()-ROW($H$1090)+1),"")</f>
        <v>0</v>
      </c>
      <c r="K1632">
        <f>IFERROR(SMALL(K367:K1087,ROW()-ROW($K$1090)+1),"")</f>
        <v>0</v>
      </c>
      <c r="L1632">
        <f>IFERROR(SMALL(L367:L1087,ROW()-ROW($L$1090)+1),"")</f>
        <v>0</v>
      </c>
      <c r="M1632">
        <f>IFERROR(SMALL(M367:M1087,ROW()-ROW($M$1090)+1),"")</f>
        <v>0</v>
      </c>
      <c r="N1632">
        <f>IFERROR(SMALL(N367:N1087,ROW()-ROW($N$1090)+1),"")</f>
        <v>0</v>
      </c>
    </row>
    <row r="1633" spans="5:14">
      <c r="E1633">
        <f>IFERROR(SMALL(E367:E1087,ROW()-ROW($E$1090)+1),"")</f>
        <v>0</v>
      </c>
      <c r="F1633">
        <f>IFERROR(SMALL(F367:F1087,ROW()-ROW($F$1090)+1),"")</f>
        <v>0</v>
      </c>
      <c r="G1633">
        <f>IFERROR(SMALL(G367:G1087,ROW()-ROW($G$1090)+1),"")</f>
        <v>0</v>
      </c>
      <c r="H1633">
        <f>IFERROR(SMALL(H367:H1087,ROW()-ROW($H$1090)+1),"")</f>
        <v>0</v>
      </c>
      <c r="K1633">
        <f>IFERROR(SMALL(K367:K1087,ROW()-ROW($K$1090)+1),"")</f>
        <v>0</v>
      </c>
      <c r="L1633">
        <f>IFERROR(SMALL(L367:L1087,ROW()-ROW($L$1090)+1),"")</f>
        <v>0</v>
      </c>
      <c r="M1633">
        <f>IFERROR(SMALL(M367:M1087,ROW()-ROW($M$1090)+1),"")</f>
        <v>0</v>
      </c>
      <c r="N1633">
        <f>IFERROR(SMALL(N367:N1087,ROW()-ROW($N$1090)+1),"")</f>
        <v>0</v>
      </c>
    </row>
    <row r="1634" spans="5:14">
      <c r="E1634">
        <f>IFERROR(SMALL(E367:E1087,ROW()-ROW($E$1090)+1),"")</f>
        <v>0</v>
      </c>
      <c r="F1634">
        <f>IFERROR(SMALL(F367:F1087,ROW()-ROW($F$1090)+1),"")</f>
        <v>0</v>
      </c>
      <c r="G1634">
        <f>IFERROR(SMALL(G367:G1087,ROW()-ROW($G$1090)+1),"")</f>
        <v>0</v>
      </c>
      <c r="H1634">
        <f>IFERROR(SMALL(H367:H1087,ROW()-ROW($H$1090)+1),"")</f>
        <v>0</v>
      </c>
      <c r="K1634">
        <f>IFERROR(SMALL(K367:K1087,ROW()-ROW($K$1090)+1),"")</f>
        <v>0</v>
      </c>
      <c r="L1634">
        <f>IFERROR(SMALL(L367:L1087,ROW()-ROW($L$1090)+1),"")</f>
        <v>0</v>
      </c>
      <c r="M1634">
        <f>IFERROR(SMALL(M367:M1087,ROW()-ROW($M$1090)+1),"")</f>
        <v>0</v>
      </c>
      <c r="N1634">
        <f>IFERROR(SMALL(N367:N1087,ROW()-ROW($N$1090)+1),"")</f>
        <v>0</v>
      </c>
    </row>
    <row r="1635" spans="5:14">
      <c r="E1635">
        <f>IFERROR(SMALL(E367:E1087,ROW()-ROW($E$1090)+1),"")</f>
        <v>0</v>
      </c>
      <c r="F1635">
        <f>IFERROR(SMALL(F367:F1087,ROW()-ROW($F$1090)+1),"")</f>
        <v>0</v>
      </c>
      <c r="G1635">
        <f>IFERROR(SMALL(G367:G1087,ROW()-ROW($G$1090)+1),"")</f>
        <v>0</v>
      </c>
      <c r="H1635">
        <f>IFERROR(SMALL(H367:H1087,ROW()-ROW($H$1090)+1),"")</f>
        <v>0</v>
      </c>
      <c r="K1635">
        <f>IFERROR(SMALL(K367:K1087,ROW()-ROW($K$1090)+1),"")</f>
        <v>0</v>
      </c>
      <c r="L1635">
        <f>IFERROR(SMALL(L367:L1087,ROW()-ROW($L$1090)+1),"")</f>
        <v>0</v>
      </c>
      <c r="M1635">
        <f>IFERROR(SMALL(M367:M1087,ROW()-ROW($M$1090)+1),"")</f>
        <v>0</v>
      </c>
      <c r="N1635">
        <f>IFERROR(SMALL(N367:N1087,ROW()-ROW($N$1090)+1),"")</f>
        <v>0</v>
      </c>
    </row>
    <row r="1636" spans="5:14">
      <c r="E1636">
        <f>IFERROR(SMALL(E367:E1087,ROW()-ROW($E$1090)+1),"")</f>
        <v>0</v>
      </c>
      <c r="F1636">
        <f>IFERROR(SMALL(F367:F1087,ROW()-ROW($F$1090)+1),"")</f>
        <v>0</v>
      </c>
      <c r="G1636">
        <f>IFERROR(SMALL(G367:G1087,ROW()-ROW($G$1090)+1),"")</f>
        <v>0</v>
      </c>
      <c r="H1636">
        <f>IFERROR(SMALL(H367:H1087,ROW()-ROW($H$1090)+1),"")</f>
        <v>0</v>
      </c>
      <c r="K1636">
        <f>IFERROR(SMALL(K367:K1087,ROW()-ROW($K$1090)+1),"")</f>
        <v>0</v>
      </c>
      <c r="L1636">
        <f>IFERROR(SMALL(L367:L1087,ROW()-ROW($L$1090)+1),"")</f>
        <v>0</v>
      </c>
      <c r="M1636">
        <f>IFERROR(SMALL(M367:M1087,ROW()-ROW($M$1090)+1),"")</f>
        <v>0</v>
      </c>
      <c r="N1636">
        <f>IFERROR(SMALL(N367:N1087,ROW()-ROW($N$1090)+1),"")</f>
        <v>0</v>
      </c>
    </row>
    <row r="1637" spans="5:14">
      <c r="E1637">
        <f>IFERROR(SMALL(E367:E1087,ROW()-ROW($E$1090)+1),"")</f>
        <v>0</v>
      </c>
      <c r="F1637">
        <f>IFERROR(SMALL(F367:F1087,ROW()-ROW($F$1090)+1),"")</f>
        <v>0</v>
      </c>
      <c r="G1637">
        <f>IFERROR(SMALL(G367:G1087,ROW()-ROW($G$1090)+1),"")</f>
        <v>0</v>
      </c>
      <c r="H1637">
        <f>IFERROR(SMALL(H367:H1087,ROW()-ROW($H$1090)+1),"")</f>
        <v>0</v>
      </c>
      <c r="K1637">
        <f>IFERROR(SMALL(K367:K1087,ROW()-ROW($K$1090)+1),"")</f>
        <v>0</v>
      </c>
      <c r="L1637">
        <f>IFERROR(SMALL(L367:L1087,ROW()-ROW($L$1090)+1),"")</f>
        <v>0</v>
      </c>
      <c r="M1637">
        <f>IFERROR(SMALL(M367:M1087,ROW()-ROW($M$1090)+1),"")</f>
        <v>0</v>
      </c>
      <c r="N1637">
        <f>IFERROR(SMALL(N367:N1087,ROW()-ROW($N$1090)+1),"")</f>
        <v>0</v>
      </c>
    </row>
    <row r="1638" spans="5:14">
      <c r="E1638">
        <f>IFERROR(SMALL(E367:E1087,ROW()-ROW($E$1090)+1),"")</f>
        <v>0</v>
      </c>
      <c r="F1638">
        <f>IFERROR(SMALL(F367:F1087,ROW()-ROW($F$1090)+1),"")</f>
        <v>0</v>
      </c>
      <c r="G1638">
        <f>IFERROR(SMALL(G367:G1087,ROW()-ROW($G$1090)+1),"")</f>
        <v>0</v>
      </c>
      <c r="H1638">
        <f>IFERROR(SMALL(H367:H1087,ROW()-ROW($H$1090)+1),"")</f>
        <v>0</v>
      </c>
      <c r="K1638">
        <f>IFERROR(SMALL(K367:K1087,ROW()-ROW($K$1090)+1),"")</f>
        <v>0</v>
      </c>
      <c r="L1638">
        <f>IFERROR(SMALL(L367:L1087,ROW()-ROW($L$1090)+1),"")</f>
        <v>0</v>
      </c>
      <c r="M1638">
        <f>IFERROR(SMALL(M367:M1087,ROW()-ROW($M$1090)+1),"")</f>
        <v>0</v>
      </c>
      <c r="N1638">
        <f>IFERROR(SMALL(N367:N1087,ROW()-ROW($N$1090)+1),"")</f>
        <v>0</v>
      </c>
    </row>
    <row r="1639" spans="5:14">
      <c r="E1639">
        <f>IFERROR(SMALL(E367:E1087,ROW()-ROW($E$1090)+1),"")</f>
        <v>0</v>
      </c>
      <c r="F1639">
        <f>IFERROR(SMALL(F367:F1087,ROW()-ROW($F$1090)+1),"")</f>
        <v>0</v>
      </c>
      <c r="G1639">
        <f>IFERROR(SMALL(G367:G1087,ROW()-ROW($G$1090)+1),"")</f>
        <v>0</v>
      </c>
      <c r="H1639">
        <f>IFERROR(SMALL(H367:H1087,ROW()-ROW($H$1090)+1),"")</f>
        <v>0</v>
      </c>
      <c r="K1639">
        <f>IFERROR(SMALL(K367:K1087,ROW()-ROW($K$1090)+1),"")</f>
        <v>0</v>
      </c>
      <c r="L1639">
        <f>IFERROR(SMALL(L367:L1087,ROW()-ROW($L$1090)+1),"")</f>
        <v>0</v>
      </c>
      <c r="M1639">
        <f>IFERROR(SMALL(M367:M1087,ROW()-ROW($M$1090)+1),"")</f>
        <v>0</v>
      </c>
      <c r="N1639">
        <f>IFERROR(SMALL(N367:N1087,ROW()-ROW($N$1090)+1),"")</f>
        <v>0</v>
      </c>
    </row>
    <row r="1640" spans="5:14">
      <c r="E1640">
        <f>IFERROR(SMALL(E367:E1087,ROW()-ROW($E$1090)+1),"")</f>
        <v>0</v>
      </c>
      <c r="F1640">
        <f>IFERROR(SMALL(F367:F1087,ROW()-ROW($F$1090)+1),"")</f>
        <v>0</v>
      </c>
      <c r="G1640">
        <f>IFERROR(SMALL(G367:G1087,ROW()-ROW($G$1090)+1),"")</f>
        <v>0</v>
      </c>
      <c r="H1640">
        <f>IFERROR(SMALL(H367:H1087,ROW()-ROW($H$1090)+1),"")</f>
        <v>0</v>
      </c>
      <c r="K1640">
        <f>IFERROR(SMALL(K367:K1087,ROW()-ROW($K$1090)+1),"")</f>
        <v>0</v>
      </c>
      <c r="L1640">
        <f>IFERROR(SMALL(L367:L1087,ROW()-ROW($L$1090)+1),"")</f>
        <v>0</v>
      </c>
      <c r="M1640">
        <f>IFERROR(SMALL(M367:M1087,ROW()-ROW($M$1090)+1),"")</f>
        <v>0</v>
      </c>
      <c r="N1640">
        <f>IFERROR(SMALL(N367:N1087,ROW()-ROW($N$1090)+1),"")</f>
        <v>0</v>
      </c>
    </row>
    <row r="1641" spans="5:14">
      <c r="E1641">
        <f>IFERROR(SMALL(E367:E1087,ROW()-ROW($E$1090)+1),"")</f>
        <v>0</v>
      </c>
      <c r="F1641">
        <f>IFERROR(SMALL(F367:F1087,ROW()-ROW($F$1090)+1),"")</f>
        <v>0</v>
      </c>
      <c r="G1641">
        <f>IFERROR(SMALL(G367:G1087,ROW()-ROW($G$1090)+1),"")</f>
        <v>0</v>
      </c>
      <c r="H1641">
        <f>IFERROR(SMALL(H367:H1087,ROW()-ROW($H$1090)+1),"")</f>
        <v>0</v>
      </c>
      <c r="K1641">
        <f>IFERROR(SMALL(K367:K1087,ROW()-ROW($K$1090)+1),"")</f>
        <v>0</v>
      </c>
      <c r="L1641">
        <f>IFERROR(SMALL(L367:L1087,ROW()-ROW($L$1090)+1),"")</f>
        <v>0</v>
      </c>
      <c r="M1641">
        <f>IFERROR(SMALL(M367:M1087,ROW()-ROW($M$1090)+1),"")</f>
        <v>0</v>
      </c>
      <c r="N1641">
        <f>IFERROR(SMALL(N367:N1087,ROW()-ROW($N$1090)+1),"")</f>
        <v>0</v>
      </c>
    </row>
    <row r="1642" spans="5:14">
      <c r="E1642">
        <f>IFERROR(SMALL(E367:E1087,ROW()-ROW($E$1090)+1),"")</f>
        <v>0</v>
      </c>
      <c r="F1642">
        <f>IFERROR(SMALL(F367:F1087,ROW()-ROW($F$1090)+1),"")</f>
        <v>0</v>
      </c>
      <c r="G1642">
        <f>IFERROR(SMALL(G367:G1087,ROW()-ROW($G$1090)+1),"")</f>
        <v>0</v>
      </c>
      <c r="H1642">
        <f>IFERROR(SMALL(H367:H1087,ROW()-ROW($H$1090)+1),"")</f>
        <v>0</v>
      </c>
      <c r="K1642">
        <f>IFERROR(SMALL(K367:K1087,ROW()-ROW($K$1090)+1),"")</f>
        <v>0</v>
      </c>
      <c r="L1642">
        <f>IFERROR(SMALL(L367:L1087,ROW()-ROW($L$1090)+1),"")</f>
        <v>0</v>
      </c>
      <c r="M1642">
        <f>IFERROR(SMALL(M367:M1087,ROW()-ROW($M$1090)+1),"")</f>
        <v>0</v>
      </c>
      <c r="N1642">
        <f>IFERROR(SMALL(N367:N1087,ROW()-ROW($N$1090)+1),"")</f>
        <v>0</v>
      </c>
    </row>
    <row r="1643" spans="5:14">
      <c r="E1643">
        <f>IFERROR(SMALL(E367:E1087,ROW()-ROW($E$1090)+1),"")</f>
        <v>0</v>
      </c>
      <c r="F1643">
        <f>IFERROR(SMALL(F367:F1087,ROW()-ROW($F$1090)+1),"")</f>
        <v>0</v>
      </c>
      <c r="G1643">
        <f>IFERROR(SMALL(G367:G1087,ROW()-ROW($G$1090)+1),"")</f>
        <v>0</v>
      </c>
      <c r="H1643">
        <f>IFERROR(SMALL(H367:H1087,ROW()-ROW($H$1090)+1),"")</f>
        <v>0</v>
      </c>
      <c r="K1643">
        <f>IFERROR(SMALL(K367:K1087,ROW()-ROW($K$1090)+1),"")</f>
        <v>0</v>
      </c>
      <c r="L1643">
        <f>IFERROR(SMALL(L367:L1087,ROW()-ROW($L$1090)+1),"")</f>
        <v>0</v>
      </c>
      <c r="M1643">
        <f>IFERROR(SMALL(M367:M1087,ROW()-ROW($M$1090)+1),"")</f>
        <v>0</v>
      </c>
      <c r="N1643">
        <f>IFERROR(SMALL(N367:N1087,ROW()-ROW($N$1090)+1),"")</f>
        <v>0</v>
      </c>
    </row>
    <row r="1644" spans="5:14">
      <c r="E1644">
        <f>IFERROR(SMALL(E367:E1087,ROW()-ROW($E$1090)+1),"")</f>
        <v>0</v>
      </c>
      <c r="F1644">
        <f>IFERROR(SMALL(F367:F1087,ROW()-ROW($F$1090)+1),"")</f>
        <v>0</v>
      </c>
      <c r="G1644">
        <f>IFERROR(SMALL(G367:G1087,ROW()-ROW($G$1090)+1),"")</f>
        <v>0</v>
      </c>
      <c r="H1644">
        <f>IFERROR(SMALL(H367:H1087,ROW()-ROW($H$1090)+1),"")</f>
        <v>0</v>
      </c>
      <c r="K1644">
        <f>IFERROR(SMALL(K367:K1087,ROW()-ROW($K$1090)+1),"")</f>
        <v>0</v>
      </c>
      <c r="L1644">
        <f>IFERROR(SMALL(L367:L1087,ROW()-ROW($L$1090)+1),"")</f>
        <v>0</v>
      </c>
      <c r="M1644">
        <f>IFERROR(SMALL(M367:M1087,ROW()-ROW($M$1090)+1),"")</f>
        <v>0</v>
      </c>
      <c r="N1644">
        <f>IFERROR(SMALL(N367:N1087,ROW()-ROW($N$1090)+1),"")</f>
        <v>0</v>
      </c>
    </row>
    <row r="1645" spans="5:14">
      <c r="E1645">
        <f>IFERROR(SMALL(E367:E1087,ROW()-ROW($E$1090)+1),"")</f>
        <v>0</v>
      </c>
      <c r="F1645">
        <f>IFERROR(SMALL(F367:F1087,ROW()-ROW($F$1090)+1),"")</f>
        <v>0</v>
      </c>
      <c r="G1645">
        <f>IFERROR(SMALL(G367:G1087,ROW()-ROW($G$1090)+1),"")</f>
        <v>0</v>
      </c>
      <c r="H1645">
        <f>IFERROR(SMALL(H367:H1087,ROW()-ROW($H$1090)+1),"")</f>
        <v>0</v>
      </c>
      <c r="K1645">
        <f>IFERROR(SMALL(K367:K1087,ROW()-ROW($K$1090)+1),"")</f>
        <v>0</v>
      </c>
      <c r="L1645">
        <f>IFERROR(SMALL(L367:L1087,ROW()-ROW($L$1090)+1),"")</f>
        <v>0</v>
      </c>
      <c r="M1645">
        <f>IFERROR(SMALL(M367:M1087,ROW()-ROW($M$1090)+1),"")</f>
        <v>0</v>
      </c>
      <c r="N1645">
        <f>IFERROR(SMALL(N367:N1087,ROW()-ROW($N$1090)+1),"")</f>
        <v>0</v>
      </c>
    </row>
    <row r="1646" spans="5:14">
      <c r="E1646">
        <f>IFERROR(SMALL(E367:E1087,ROW()-ROW($E$1090)+1),"")</f>
        <v>0</v>
      </c>
      <c r="F1646">
        <f>IFERROR(SMALL(F367:F1087,ROW()-ROW($F$1090)+1),"")</f>
        <v>0</v>
      </c>
      <c r="G1646">
        <f>IFERROR(SMALL(G367:G1087,ROW()-ROW($G$1090)+1),"")</f>
        <v>0</v>
      </c>
      <c r="H1646">
        <f>IFERROR(SMALL(H367:H1087,ROW()-ROW($H$1090)+1),"")</f>
        <v>0</v>
      </c>
      <c r="K1646">
        <f>IFERROR(SMALL(K367:K1087,ROW()-ROW($K$1090)+1),"")</f>
        <v>0</v>
      </c>
      <c r="L1646">
        <f>IFERROR(SMALL(L367:L1087,ROW()-ROW($L$1090)+1),"")</f>
        <v>0</v>
      </c>
      <c r="M1646">
        <f>IFERROR(SMALL(M367:M1087,ROW()-ROW($M$1090)+1),"")</f>
        <v>0</v>
      </c>
      <c r="N1646">
        <f>IFERROR(SMALL(N367:N1087,ROW()-ROW($N$1090)+1),"")</f>
        <v>0</v>
      </c>
    </row>
    <row r="1647" spans="5:14">
      <c r="E1647">
        <f>IFERROR(SMALL(E367:E1087,ROW()-ROW($E$1090)+1),"")</f>
        <v>0</v>
      </c>
      <c r="F1647">
        <f>IFERROR(SMALL(F367:F1087,ROW()-ROW($F$1090)+1),"")</f>
        <v>0</v>
      </c>
      <c r="G1647">
        <f>IFERROR(SMALL(G367:G1087,ROW()-ROW($G$1090)+1),"")</f>
        <v>0</v>
      </c>
      <c r="H1647">
        <f>IFERROR(SMALL(H367:H1087,ROW()-ROW($H$1090)+1),"")</f>
        <v>0</v>
      </c>
      <c r="K1647">
        <f>IFERROR(SMALL(K367:K1087,ROW()-ROW($K$1090)+1),"")</f>
        <v>0</v>
      </c>
      <c r="L1647">
        <f>IFERROR(SMALL(L367:L1087,ROW()-ROW($L$1090)+1),"")</f>
        <v>0</v>
      </c>
      <c r="M1647">
        <f>IFERROR(SMALL(M367:M1087,ROW()-ROW($M$1090)+1),"")</f>
        <v>0</v>
      </c>
      <c r="N1647">
        <f>IFERROR(SMALL(N367:N1087,ROW()-ROW($N$1090)+1),"")</f>
        <v>0</v>
      </c>
    </row>
    <row r="1648" spans="5:14">
      <c r="E1648">
        <f>IFERROR(SMALL(E367:E1087,ROW()-ROW($E$1090)+1),"")</f>
        <v>0</v>
      </c>
      <c r="F1648">
        <f>IFERROR(SMALL(F367:F1087,ROW()-ROW($F$1090)+1),"")</f>
        <v>0</v>
      </c>
      <c r="G1648">
        <f>IFERROR(SMALL(G367:G1087,ROW()-ROW($G$1090)+1),"")</f>
        <v>0</v>
      </c>
      <c r="H1648">
        <f>IFERROR(SMALL(H367:H1087,ROW()-ROW($H$1090)+1),"")</f>
        <v>0</v>
      </c>
      <c r="K1648">
        <f>IFERROR(SMALL(K367:K1087,ROW()-ROW($K$1090)+1),"")</f>
        <v>0</v>
      </c>
      <c r="L1648">
        <f>IFERROR(SMALL(L367:L1087,ROW()-ROW($L$1090)+1),"")</f>
        <v>0</v>
      </c>
      <c r="M1648">
        <f>IFERROR(SMALL(M367:M1087,ROW()-ROW($M$1090)+1),"")</f>
        <v>0</v>
      </c>
      <c r="N1648">
        <f>IFERROR(SMALL(N367:N1087,ROW()-ROW($N$1090)+1),"")</f>
        <v>0</v>
      </c>
    </row>
    <row r="1649" spans="5:14">
      <c r="E1649">
        <f>IFERROR(SMALL(E367:E1087,ROW()-ROW($E$1090)+1),"")</f>
        <v>0</v>
      </c>
      <c r="F1649">
        <f>IFERROR(SMALL(F367:F1087,ROW()-ROW($F$1090)+1),"")</f>
        <v>0</v>
      </c>
      <c r="G1649">
        <f>IFERROR(SMALL(G367:G1087,ROW()-ROW($G$1090)+1),"")</f>
        <v>0</v>
      </c>
      <c r="H1649">
        <f>IFERROR(SMALL(H367:H1087,ROW()-ROW($H$1090)+1),"")</f>
        <v>0</v>
      </c>
      <c r="K1649">
        <f>IFERROR(SMALL(K367:K1087,ROW()-ROW($K$1090)+1),"")</f>
        <v>0</v>
      </c>
      <c r="L1649">
        <f>IFERROR(SMALL(L367:L1087,ROW()-ROW($L$1090)+1),"")</f>
        <v>0</v>
      </c>
      <c r="M1649">
        <f>IFERROR(SMALL(M367:M1087,ROW()-ROW($M$1090)+1),"")</f>
        <v>0</v>
      </c>
      <c r="N1649">
        <f>IFERROR(SMALL(N367:N1087,ROW()-ROW($N$1090)+1),"")</f>
        <v>0</v>
      </c>
    </row>
    <row r="1650" spans="5:14">
      <c r="E1650">
        <f>IFERROR(SMALL(E367:E1087,ROW()-ROW($E$1090)+1),"")</f>
        <v>0</v>
      </c>
      <c r="F1650">
        <f>IFERROR(SMALL(F367:F1087,ROW()-ROW($F$1090)+1),"")</f>
        <v>0</v>
      </c>
      <c r="G1650">
        <f>IFERROR(SMALL(G367:G1087,ROW()-ROW($G$1090)+1),"")</f>
        <v>0</v>
      </c>
      <c r="H1650">
        <f>IFERROR(SMALL(H367:H1087,ROW()-ROW($H$1090)+1),"")</f>
        <v>0</v>
      </c>
      <c r="K1650">
        <f>IFERROR(SMALL(K367:K1087,ROW()-ROW($K$1090)+1),"")</f>
        <v>0</v>
      </c>
      <c r="L1650">
        <f>IFERROR(SMALL(L367:L1087,ROW()-ROW($L$1090)+1),"")</f>
        <v>0</v>
      </c>
      <c r="M1650">
        <f>IFERROR(SMALL(M367:M1087,ROW()-ROW($M$1090)+1),"")</f>
        <v>0</v>
      </c>
      <c r="N1650">
        <f>IFERROR(SMALL(N367:N1087,ROW()-ROW($N$1090)+1),"")</f>
        <v>0</v>
      </c>
    </row>
    <row r="1651" spans="5:14">
      <c r="E1651">
        <f>IFERROR(SMALL(E367:E1087,ROW()-ROW($E$1090)+1),"")</f>
        <v>0</v>
      </c>
      <c r="F1651">
        <f>IFERROR(SMALL(F367:F1087,ROW()-ROW($F$1090)+1),"")</f>
        <v>0</v>
      </c>
      <c r="G1651">
        <f>IFERROR(SMALL(G367:G1087,ROW()-ROW($G$1090)+1),"")</f>
        <v>0</v>
      </c>
      <c r="H1651">
        <f>IFERROR(SMALL(H367:H1087,ROW()-ROW($H$1090)+1),"")</f>
        <v>0</v>
      </c>
      <c r="K1651">
        <f>IFERROR(SMALL(K367:K1087,ROW()-ROW($K$1090)+1),"")</f>
        <v>0</v>
      </c>
      <c r="L1651">
        <f>IFERROR(SMALL(L367:L1087,ROW()-ROW($L$1090)+1),"")</f>
        <v>0</v>
      </c>
      <c r="M1651">
        <f>IFERROR(SMALL(M367:M1087,ROW()-ROW($M$1090)+1),"")</f>
        <v>0</v>
      </c>
      <c r="N1651">
        <f>IFERROR(SMALL(N367:N1087,ROW()-ROW($N$1090)+1),"")</f>
        <v>0</v>
      </c>
    </row>
    <row r="1652" spans="5:14">
      <c r="E1652">
        <f>IFERROR(SMALL(E367:E1087,ROW()-ROW($E$1090)+1),"")</f>
        <v>0</v>
      </c>
      <c r="F1652">
        <f>IFERROR(SMALL(F367:F1087,ROW()-ROW($F$1090)+1),"")</f>
        <v>0</v>
      </c>
      <c r="G1652">
        <f>IFERROR(SMALL(G367:G1087,ROW()-ROW($G$1090)+1),"")</f>
        <v>0</v>
      </c>
      <c r="H1652">
        <f>IFERROR(SMALL(H367:H1087,ROW()-ROW($H$1090)+1),"")</f>
        <v>0</v>
      </c>
      <c r="K1652">
        <f>IFERROR(SMALL(K367:K1087,ROW()-ROW($K$1090)+1),"")</f>
        <v>0</v>
      </c>
      <c r="L1652">
        <f>IFERROR(SMALL(L367:L1087,ROW()-ROW($L$1090)+1),"")</f>
        <v>0</v>
      </c>
      <c r="M1652">
        <f>IFERROR(SMALL(M367:M1087,ROW()-ROW($M$1090)+1),"")</f>
        <v>0</v>
      </c>
      <c r="N1652">
        <f>IFERROR(SMALL(N367:N1087,ROW()-ROW($N$1090)+1),"")</f>
        <v>0</v>
      </c>
    </row>
    <row r="1653" spans="5:14">
      <c r="E1653">
        <f>IFERROR(SMALL(E367:E1087,ROW()-ROW($E$1090)+1),"")</f>
        <v>0</v>
      </c>
      <c r="F1653">
        <f>IFERROR(SMALL(F367:F1087,ROW()-ROW($F$1090)+1),"")</f>
        <v>0</v>
      </c>
      <c r="G1653">
        <f>IFERROR(SMALL(G367:G1087,ROW()-ROW($G$1090)+1),"")</f>
        <v>0</v>
      </c>
      <c r="H1653">
        <f>IFERROR(SMALL(H367:H1087,ROW()-ROW($H$1090)+1),"")</f>
        <v>0</v>
      </c>
      <c r="K1653">
        <f>IFERROR(SMALL(K367:K1087,ROW()-ROW($K$1090)+1),"")</f>
        <v>0</v>
      </c>
      <c r="L1653">
        <f>IFERROR(SMALL(L367:L1087,ROW()-ROW($L$1090)+1),"")</f>
        <v>0</v>
      </c>
      <c r="M1653">
        <f>IFERROR(SMALL(M367:M1087,ROW()-ROW($M$1090)+1),"")</f>
        <v>0</v>
      </c>
      <c r="N1653">
        <f>IFERROR(SMALL(N367:N1087,ROW()-ROW($N$1090)+1),"")</f>
        <v>0</v>
      </c>
    </row>
    <row r="1654" spans="5:14">
      <c r="E1654">
        <f>IFERROR(SMALL(E367:E1087,ROW()-ROW($E$1090)+1),"")</f>
        <v>0</v>
      </c>
      <c r="F1654">
        <f>IFERROR(SMALL(F367:F1087,ROW()-ROW($F$1090)+1),"")</f>
        <v>0</v>
      </c>
      <c r="G1654">
        <f>IFERROR(SMALL(G367:G1087,ROW()-ROW($G$1090)+1),"")</f>
        <v>0</v>
      </c>
      <c r="H1654">
        <f>IFERROR(SMALL(H367:H1087,ROW()-ROW($H$1090)+1),"")</f>
        <v>0</v>
      </c>
      <c r="K1654">
        <f>IFERROR(SMALL(K367:K1087,ROW()-ROW($K$1090)+1),"")</f>
        <v>0</v>
      </c>
      <c r="L1654">
        <f>IFERROR(SMALL(L367:L1087,ROW()-ROW($L$1090)+1),"")</f>
        <v>0</v>
      </c>
      <c r="M1654">
        <f>IFERROR(SMALL(M367:M1087,ROW()-ROW($M$1090)+1),"")</f>
        <v>0</v>
      </c>
      <c r="N1654">
        <f>IFERROR(SMALL(N367:N1087,ROW()-ROW($N$1090)+1),"")</f>
        <v>0</v>
      </c>
    </row>
    <row r="1655" spans="5:14">
      <c r="E1655">
        <f>IFERROR(SMALL(E367:E1087,ROW()-ROW($E$1090)+1),"")</f>
        <v>0</v>
      </c>
      <c r="F1655">
        <f>IFERROR(SMALL(F367:F1087,ROW()-ROW($F$1090)+1),"")</f>
        <v>0</v>
      </c>
      <c r="G1655">
        <f>IFERROR(SMALL(G367:G1087,ROW()-ROW($G$1090)+1),"")</f>
        <v>0</v>
      </c>
      <c r="H1655">
        <f>IFERROR(SMALL(H367:H1087,ROW()-ROW($H$1090)+1),"")</f>
        <v>0</v>
      </c>
      <c r="K1655">
        <f>IFERROR(SMALL(K367:K1087,ROW()-ROW($K$1090)+1),"")</f>
        <v>0</v>
      </c>
      <c r="L1655">
        <f>IFERROR(SMALL(L367:L1087,ROW()-ROW($L$1090)+1),"")</f>
        <v>0</v>
      </c>
      <c r="M1655">
        <f>IFERROR(SMALL(M367:M1087,ROW()-ROW($M$1090)+1),"")</f>
        <v>0</v>
      </c>
      <c r="N1655">
        <f>IFERROR(SMALL(N367:N1087,ROW()-ROW($N$1090)+1),"")</f>
        <v>0</v>
      </c>
    </row>
    <row r="1656" spans="5:14">
      <c r="E1656">
        <f>IFERROR(SMALL(E367:E1087,ROW()-ROW($E$1090)+1),"")</f>
        <v>0</v>
      </c>
      <c r="F1656">
        <f>IFERROR(SMALL(F367:F1087,ROW()-ROW($F$1090)+1),"")</f>
        <v>0</v>
      </c>
      <c r="G1656">
        <f>IFERROR(SMALL(G367:G1087,ROW()-ROW($G$1090)+1),"")</f>
        <v>0</v>
      </c>
      <c r="H1656">
        <f>IFERROR(SMALL(H367:H1087,ROW()-ROW($H$1090)+1),"")</f>
        <v>0</v>
      </c>
      <c r="K1656">
        <f>IFERROR(SMALL(K367:K1087,ROW()-ROW($K$1090)+1),"")</f>
        <v>0</v>
      </c>
      <c r="L1656">
        <f>IFERROR(SMALL(L367:L1087,ROW()-ROW($L$1090)+1),"")</f>
        <v>0</v>
      </c>
      <c r="M1656">
        <f>IFERROR(SMALL(M367:M1087,ROW()-ROW($M$1090)+1),"")</f>
        <v>0</v>
      </c>
      <c r="N1656">
        <f>IFERROR(SMALL(N367:N1087,ROW()-ROW($N$1090)+1),"")</f>
        <v>0</v>
      </c>
    </row>
    <row r="1657" spans="5:14">
      <c r="E1657">
        <f>IFERROR(SMALL(E367:E1087,ROW()-ROW($E$1090)+1),"")</f>
        <v>0</v>
      </c>
      <c r="F1657">
        <f>IFERROR(SMALL(F367:F1087,ROW()-ROW($F$1090)+1),"")</f>
        <v>0</v>
      </c>
      <c r="G1657">
        <f>IFERROR(SMALL(G367:G1087,ROW()-ROW($G$1090)+1),"")</f>
        <v>0</v>
      </c>
      <c r="H1657">
        <f>IFERROR(SMALL(H367:H1087,ROW()-ROW($H$1090)+1),"")</f>
        <v>0</v>
      </c>
      <c r="K1657">
        <f>IFERROR(SMALL(K367:K1087,ROW()-ROW($K$1090)+1),"")</f>
        <v>0</v>
      </c>
      <c r="L1657">
        <f>IFERROR(SMALL(L367:L1087,ROW()-ROW($L$1090)+1),"")</f>
        <v>0</v>
      </c>
      <c r="M1657">
        <f>IFERROR(SMALL(M367:M1087,ROW()-ROW($M$1090)+1),"")</f>
        <v>0</v>
      </c>
      <c r="N1657">
        <f>IFERROR(SMALL(N367:N1087,ROW()-ROW($N$1090)+1),"")</f>
        <v>0</v>
      </c>
    </row>
    <row r="1658" spans="5:14">
      <c r="E1658">
        <f>IFERROR(SMALL(E367:E1087,ROW()-ROW($E$1090)+1),"")</f>
        <v>0</v>
      </c>
      <c r="F1658">
        <f>IFERROR(SMALL(F367:F1087,ROW()-ROW($F$1090)+1),"")</f>
        <v>0</v>
      </c>
      <c r="G1658">
        <f>IFERROR(SMALL(G367:G1087,ROW()-ROW($G$1090)+1),"")</f>
        <v>0</v>
      </c>
      <c r="H1658">
        <f>IFERROR(SMALL(H367:H1087,ROW()-ROW($H$1090)+1),"")</f>
        <v>0</v>
      </c>
      <c r="K1658">
        <f>IFERROR(SMALL(K367:K1087,ROW()-ROW($K$1090)+1),"")</f>
        <v>0</v>
      </c>
      <c r="L1658">
        <f>IFERROR(SMALL(L367:L1087,ROW()-ROW($L$1090)+1),"")</f>
        <v>0</v>
      </c>
      <c r="M1658">
        <f>IFERROR(SMALL(M367:M1087,ROW()-ROW($M$1090)+1),"")</f>
        <v>0</v>
      </c>
      <c r="N1658">
        <f>IFERROR(SMALL(N367:N1087,ROW()-ROW($N$1090)+1),"")</f>
        <v>0</v>
      </c>
    </row>
    <row r="1659" spans="5:14">
      <c r="E1659">
        <f>IFERROR(SMALL(E367:E1087,ROW()-ROW($E$1090)+1),"")</f>
        <v>0</v>
      </c>
      <c r="F1659">
        <f>IFERROR(SMALL(F367:F1087,ROW()-ROW($F$1090)+1),"")</f>
        <v>0</v>
      </c>
      <c r="G1659">
        <f>IFERROR(SMALL(G367:G1087,ROW()-ROW($G$1090)+1),"")</f>
        <v>0</v>
      </c>
      <c r="H1659">
        <f>IFERROR(SMALL(H367:H1087,ROW()-ROW($H$1090)+1),"")</f>
        <v>0</v>
      </c>
      <c r="K1659">
        <f>IFERROR(SMALL(K367:K1087,ROW()-ROW($K$1090)+1),"")</f>
        <v>0</v>
      </c>
      <c r="L1659">
        <f>IFERROR(SMALL(L367:L1087,ROW()-ROW($L$1090)+1),"")</f>
        <v>0</v>
      </c>
      <c r="M1659">
        <f>IFERROR(SMALL(M367:M1087,ROW()-ROW($M$1090)+1),"")</f>
        <v>0</v>
      </c>
      <c r="N1659">
        <f>IFERROR(SMALL(N367:N1087,ROW()-ROW($N$1090)+1),"")</f>
        <v>0</v>
      </c>
    </row>
    <row r="1660" spans="5:14">
      <c r="E1660">
        <f>IFERROR(SMALL(E367:E1087,ROW()-ROW($E$1090)+1),"")</f>
        <v>0</v>
      </c>
      <c r="F1660">
        <f>IFERROR(SMALL(F367:F1087,ROW()-ROW($F$1090)+1),"")</f>
        <v>0</v>
      </c>
      <c r="G1660">
        <f>IFERROR(SMALL(G367:G1087,ROW()-ROW($G$1090)+1),"")</f>
        <v>0</v>
      </c>
      <c r="H1660">
        <f>IFERROR(SMALL(H367:H1087,ROW()-ROW($H$1090)+1),"")</f>
        <v>0</v>
      </c>
      <c r="K1660">
        <f>IFERROR(SMALL(K367:K1087,ROW()-ROW($K$1090)+1),"")</f>
        <v>0</v>
      </c>
      <c r="L1660">
        <f>IFERROR(SMALL(L367:L1087,ROW()-ROW($L$1090)+1),"")</f>
        <v>0</v>
      </c>
      <c r="M1660">
        <f>IFERROR(SMALL(M367:M1087,ROW()-ROW($M$1090)+1),"")</f>
        <v>0</v>
      </c>
      <c r="N1660">
        <f>IFERROR(SMALL(N367:N1087,ROW()-ROW($N$1090)+1),"")</f>
        <v>0</v>
      </c>
    </row>
    <row r="1661" spans="5:14">
      <c r="E1661">
        <f>IFERROR(SMALL(E367:E1087,ROW()-ROW($E$1090)+1),"")</f>
        <v>0</v>
      </c>
      <c r="F1661">
        <f>IFERROR(SMALL(F367:F1087,ROW()-ROW($F$1090)+1),"")</f>
        <v>0</v>
      </c>
      <c r="G1661">
        <f>IFERROR(SMALL(G367:G1087,ROW()-ROW($G$1090)+1),"")</f>
        <v>0</v>
      </c>
      <c r="H1661">
        <f>IFERROR(SMALL(H367:H1087,ROW()-ROW($H$1090)+1),"")</f>
        <v>0</v>
      </c>
      <c r="K1661">
        <f>IFERROR(SMALL(K367:K1087,ROW()-ROW($K$1090)+1),"")</f>
        <v>0</v>
      </c>
      <c r="L1661">
        <f>IFERROR(SMALL(L367:L1087,ROW()-ROW($L$1090)+1),"")</f>
        <v>0</v>
      </c>
      <c r="M1661">
        <f>IFERROR(SMALL(M367:M1087,ROW()-ROW($M$1090)+1),"")</f>
        <v>0</v>
      </c>
      <c r="N1661">
        <f>IFERROR(SMALL(N367:N1087,ROW()-ROW($N$1090)+1),"")</f>
        <v>0</v>
      </c>
    </row>
    <row r="1662" spans="5:14">
      <c r="E1662">
        <f>IFERROR(SMALL(E367:E1087,ROW()-ROW($E$1090)+1),"")</f>
        <v>0</v>
      </c>
      <c r="F1662">
        <f>IFERROR(SMALL(F367:F1087,ROW()-ROW($F$1090)+1),"")</f>
        <v>0</v>
      </c>
      <c r="G1662">
        <f>IFERROR(SMALL(G367:G1087,ROW()-ROW($G$1090)+1),"")</f>
        <v>0</v>
      </c>
      <c r="H1662">
        <f>IFERROR(SMALL(H367:H1087,ROW()-ROW($H$1090)+1),"")</f>
        <v>0</v>
      </c>
      <c r="K1662">
        <f>IFERROR(SMALL(K367:K1087,ROW()-ROW($K$1090)+1),"")</f>
        <v>0</v>
      </c>
      <c r="L1662">
        <f>IFERROR(SMALL(L367:L1087,ROW()-ROW($L$1090)+1),"")</f>
        <v>0</v>
      </c>
      <c r="M1662">
        <f>IFERROR(SMALL(M367:M1087,ROW()-ROW($M$1090)+1),"")</f>
        <v>0</v>
      </c>
      <c r="N1662">
        <f>IFERROR(SMALL(N367:N1087,ROW()-ROW($N$1090)+1),"")</f>
        <v>0</v>
      </c>
    </row>
    <row r="1663" spans="5:14">
      <c r="E1663">
        <f>IFERROR(SMALL(E367:E1087,ROW()-ROW($E$1090)+1),"")</f>
        <v>0</v>
      </c>
      <c r="F1663">
        <f>IFERROR(SMALL(F367:F1087,ROW()-ROW($F$1090)+1),"")</f>
        <v>0</v>
      </c>
      <c r="G1663">
        <f>IFERROR(SMALL(G367:G1087,ROW()-ROW($G$1090)+1),"")</f>
        <v>0</v>
      </c>
      <c r="H1663">
        <f>IFERROR(SMALL(H367:H1087,ROW()-ROW($H$1090)+1),"")</f>
        <v>0</v>
      </c>
      <c r="K1663">
        <f>IFERROR(SMALL(K367:K1087,ROW()-ROW($K$1090)+1),"")</f>
        <v>0</v>
      </c>
      <c r="L1663">
        <f>IFERROR(SMALL(L367:L1087,ROW()-ROW($L$1090)+1),"")</f>
        <v>0</v>
      </c>
      <c r="M1663">
        <f>IFERROR(SMALL(M367:M1087,ROW()-ROW($M$1090)+1),"")</f>
        <v>0</v>
      </c>
      <c r="N1663">
        <f>IFERROR(SMALL(N367:N1087,ROW()-ROW($N$1090)+1),"")</f>
        <v>0</v>
      </c>
    </row>
    <row r="1664" spans="5:14">
      <c r="E1664">
        <f>IFERROR(SMALL(E367:E1087,ROW()-ROW($E$1090)+1),"")</f>
        <v>0</v>
      </c>
      <c r="F1664">
        <f>IFERROR(SMALL(F367:F1087,ROW()-ROW($F$1090)+1),"")</f>
        <v>0</v>
      </c>
      <c r="G1664">
        <f>IFERROR(SMALL(G367:G1087,ROW()-ROW($G$1090)+1),"")</f>
        <v>0</v>
      </c>
      <c r="H1664">
        <f>IFERROR(SMALL(H367:H1087,ROW()-ROW($H$1090)+1),"")</f>
        <v>0</v>
      </c>
      <c r="K1664">
        <f>IFERROR(SMALL(K367:K1087,ROW()-ROW($K$1090)+1),"")</f>
        <v>0</v>
      </c>
      <c r="L1664">
        <f>IFERROR(SMALL(L367:L1087,ROW()-ROW($L$1090)+1),"")</f>
        <v>0</v>
      </c>
      <c r="M1664">
        <f>IFERROR(SMALL(M367:M1087,ROW()-ROW($M$1090)+1),"")</f>
        <v>0</v>
      </c>
      <c r="N1664">
        <f>IFERROR(SMALL(N367:N1087,ROW()-ROW($N$1090)+1),"")</f>
        <v>0</v>
      </c>
    </row>
    <row r="1665" spans="5:14">
      <c r="E1665">
        <f>IFERROR(SMALL(E367:E1087,ROW()-ROW($E$1090)+1),"")</f>
        <v>0</v>
      </c>
      <c r="F1665">
        <f>IFERROR(SMALL(F367:F1087,ROW()-ROW($F$1090)+1),"")</f>
        <v>0</v>
      </c>
      <c r="G1665">
        <f>IFERROR(SMALL(G367:G1087,ROW()-ROW($G$1090)+1),"")</f>
        <v>0</v>
      </c>
      <c r="H1665">
        <f>IFERROR(SMALL(H367:H1087,ROW()-ROW($H$1090)+1),"")</f>
        <v>0</v>
      </c>
      <c r="K1665">
        <f>IFERROR(SMALL(K367:K1087,ROW()-ROW($K$1090)+1),"")</f>
        <v>0</v>
      </c>
      <c r="L1665">
        <f>IFERROR(SMALL(L367:L1087,ROW()-ROW($L$1090)+1),"")</f>
        <v>0</v>
      </c>
      <c r="M1665">
        <f>IFERROR(SMALL(M367:M1087,ROW()-ROW($M$1090)+1),"")</f>
        <v>0</v>
      </c>
      <c r="N1665">
        <f>IFERROR(SMALL(N367:N1087,ROW()-ROW($N$1090)+1),"")</f>
        <v>0</v>
      </c>
    </row>
    <row r="1666" spans="5:14">
      <c r="E1666">
        <f>IFERROR(SMALL(E367:E1087,ROW()-ROW($E$1090)+1),"")</f>
        <v>0</v>
      </c>
      <c r="F1666">
        <f>IFERROR(SMALL(F367:F1087,ROW()-ROW($F$1090)+1),"")</f>
        <v>0</v>
      </c>
      <c r="G1666">
        <f>IFERROR(SMALL(G367:G1087,ROW()-ROW($G$1090)+1),"")</f>
        <v>0</v>
      </c>
      <c r="H1666">
        <f>IFERROR(SMALL(H367:H1087,ROW()-ROW($H$1090)+1),"")</f>
        <v>0</v>
      </c>
      <c r="K1666">
        <f>IFERROR(SMALL(K367:K1087,ROW()-ROW($K$1090)+1),"")</f>
        <v>0</v>
      </c>
      <c r="L1666">
        <f>IFERROR(SMALL(L367:L1087,ROW()-ROW($L$1090)+1),"")</f>
        <v>0</v>
      </c>
      <c r="M1666">
        <f>IFERROR(SMALL(M367:M1087,ROW()-ROW($M$1090)+1),"")</f>
        <v>0</v>
      </c>
      <c r="N1666">
        <f>IFERROR(SMALL(N367:N1087,ROW()-ROW($N$1090)+1),"")</f>
        <v>0</v>
      </c>
    </row>
    <row r="1667" spans="5:14">
      <c r="E1667">
        <f>IFERROR(SMALL(E367:E1087,ROW()-ROW($E$1090)+1),"")</f>
        <v>0</v>
      </c>
      <c r="F1667">
        <f>IFERROR(SMALL(F367:F1087,ROW()-ROW($F$1090)+1),"")</f>
        <v>0</v>
      </c>
      <c r="G1667">
        <f>IFERROR(SMALL(G367:G1087,ROW()-ROW($G$1090)+1),"")</f>
        <v>0</v>
      </c>
      <c r="H1667">
        <f>IFERROR(SMALL(H367:H1087,ROW()-ROW($H$1090)+1),"")</f>
        <v>0</v>
      </c>
      <c r="K1667">
        <f>IFERROR(SMALL(K367:K1087,ROW()-ROW($K$1090)+1),"")</f>
        <v>0</v>
      </c>
      <c r="L1667">
        <f>IFERROR(SMALL(L367:L1087,ROW()-ROW($L$1090)+1),"")</f>
        <v>0</v>
      </c>
      <c r="M1667">
        <f>IFERROR(SMALL(M367:M1087,ROW()-ROW($M$1090)+1),"")</f>
        <v>0</v>
      </c>
      <c r="N1667">
        <f>IFERROR(SMALL(N367:N1087,ROW()-ROW($N$1090)+1),"")</f>
        <v>0</v>
      </c>
    </row>
    <row r="1668" spans="5:14">
      <c r="E1668">
        <f>IFERROR(SMALL(E367:E1087,ROW()-ROW($E$1090)+1),"")</f>
        <v>0</v>
      </c>
      <c r="F1668">
        <f>IFERROR(SMALL(F367:F1087,ROW()-ROW($F$1090)+1),"")</f>
        <v>0</v>
      </c>
      <c r="G1668">
        <f>IFERROR(SMALL(G367:G1087,ROW()-ROW($G$1090)+1),"")</f>
        <v>0</v>
      </c>
      <c r="H1668">
        <f>IFERROR(SMALL(H367:H1087,ROW()-ROW($H$1090)+1),"")</f>
        <v>0</v>
      </c>
      <c r="K1668">
        <f>IFERROR(SMALL(K367:K1087,ROW()-ROW($K$1090)+1),"")</f>
        <v>0</v>
      </c>
      <c r="L1668">
        <f>IFERROR(SMALL(L367:L1087,ROW()-ROW($L$1090)+1),"")</f>
        <v>0</v>
      </c>
      <c r="M1668">
        <f>IFERROR(SMALL(M367:M1087,ROW()-ROW($M$1090)+1),"")</f>
        <v>0</v>
      </c>
      <c r="N1668">
        <f>IFERROR(SMALL(N367:N1087,ROW()-ROW($N$1090)+1),"")</f>
        <v>0</v>
      </c>
    </row>
    <row r="1669" spans="5:14">
      <c r="E1669">
        <f>IFERROR(SMALL(E367:E1087,ROW()-ROW($E$1090)+1),"")</f>
        <v>0</v>
      </c>
      <c r="F1669">
        <f>IFERROR(SMALL(F367:F1087,ROW()-ROW($F$1090)+1),"")</f>
        <v>0</v>
      </c>
      <c r="G1669">
        <f>IFERROR(SMALL(G367:G1087,ROW()-ROW($G$1090)+1),"")</f>
        <v>0</v>
      </c>
      <c r="H1669">
        <f>IFERROR(SMALL(H367:H1087,ROW()-ROW($H$1090)+1),"")</f>
        <v>0</v>
      </c>
      <c r="K1669">
        <f>IFERROR(SMALL(K367:K1087,ROW()-ROW($K$1090)+1),"")</f>
        <v>0</v>
      </c>
      <c r="L1669">
        <f>IFERROR(SMALL(L367:L1087,ROW()-ROW($L$1090)+1),"")</f>
        <v>0</v>
      </c>
      <c r="M1669">
        <f>IFERROR(SMALL(M367:M1087,ROW()-ROW($M$1090)+1),"")</f>
        <v>0</v>
      </c>
      <c r="N1669">
        <f>IFERROR(SMALL(N367:N1087,ROW()-ROW($N$1090)+1),"")</f>
        <v>0</v>
      </c>
    </row>
    <row r="1670" spans="5:14">
      <c r="E1670">
        <f>IFERROR(SMALL(E367:E1087,ROW()-ROW($E$1090)+1),"")</f>
        <v>0</v>
      </c>
      <c r="F1670">
        <f>IFERROR(SMALL(F367:F1087,ROW()-ROW($F$1090)+1),"")</f>
        <v>0</v>
      </c>
      <c r="G1670">
        <f>IFERROR(SMALL(G367:G1087,ROW()-ROW($G$1090)+1),"")</f>
        <v>0</v>
      </c>
      <c r="H1670">
        <f>IFERROR(SMALL(H367:H1087,ROW()-ROW($H$1090)+1),"")</f>
        <v>0</v>
      </c>
      <c r="K1670">
        <f>IFERROR(SMALL(K367:K1087,ROW()-ROW($K$1090)+1),"")</f>
        <v>0</v>
      </c>
      <c r="L1670">
        <f>IFERROR(SMALL(L367:L1087,ROW()-ROW($L$1090)+1),"")</f>
        <v>0</v>
      </c>
      <c r="M1670">
        <f>IFERROR(SMALL(M367:M1087,ROW()-ROW($M$1090)+1),"")</f>
        <v>0</v>
      </c>
      <c r="N1670">
        <f>IFERROR(SMALL(N367:N1087,ROW()-ROW($N$1090)+1),"")</f>
        <v>0</v>
      </c>
    </row>
    <row r="1671" spans="5:14">
      <c r="E1671">
        <f>IFERROR(SMALL(E367:E1087,ROW()-ROW($E$1090)+1),"")</f>
        <v>0</v>
      </c>
      <c r="F1671">
        <f>IFERROR(SMALL(F367:F1087,ROW()-ROW($F$1090)+1),"")</f>
        <v>0</v>
      </c>
      <c r="G1671">
        <f>IFERROR(SMALL(G367:G1087,ROW()-ROW($G$1090)+1),"")</f>
        <v>0</v>
      </c>
      <c r="H1671">
        <f>IFERROR(SMALL(H367:H1087,ROW()-ROW($H$1090)+1),"")</f>
        <v>0</v>
      </c>
      <c r="K1671">
        <f>IFERROR(SMALL(K367:K1087,ROW()-ROW($K$1090)+1),"")</f>
        <v>0</v>
      </c>
      <c r="L1671">
        <f>IFERROR(SMALL(L367:L1087,ROW()-ROW($L$1090)+1),"")</f>
        <v>0</v>
      </c>
      <c r="M1671">
        <f>IFERROR(SMALL(M367:M1087,ROW()-ROW($M$1090)+1),"")</f>
        <v>0</v>
      </c>
      <c r="N1671">
        <f>IFERROR(SMALL(N367:N1087,ROW()-ROW($N$1090)+1),"")</f>
        <v>0</v>
      </c>
    </row>
    <row r="1672" spans="5:14">
      <c r="E1672">
        <f>IFERROR(SMALL(E367:E1087,ROW()-ROW($E$1090)+1),"")</f>
        <v>0</v>
      </c>
      <c r="F1672">
        <f>IFERROR(SMALL(F367:F1087,ROW()-ROW($F$1090)+1),"")</f>
        <v>0</v>
      </c>
      <c r="G1672">
        <f>IFERROR(SMALL(G367:G1087,ROW()-ROW($G$1090)+1),"")</f>
        <v>0</v>
      </c>
      <c r="H1672">
        <f>IFERROR(SMALL(H367:H1087,ROW()-ROW($H$1090)+1),"")</f>
        <v>0</v>
      </c>
      <c r="K1672">
        <f>IFERROR(SMALL(K367:K1087,ROW()-ROW($K$1090)+1),"")</f>
        <v>0</v>
      </c>
      <c r="L1672">
        <f>IFERROR(SMALL(L367:L1087,ROW()-ROW($L$1090)+1),"")</f>
        <v>0</v>
      </c>
      <c r="M1672">
        <f>IFERROR(SMALL(M367:M1087,ROW()-ROW($M$1090)+1),"")</f>
        <v>0</v>
      </c>
      <c r="N1672">
        <f>IFERROR(SMALL(N367:N1087,ROW()-ROW($N$1090)+1),"")</f>
        <v>0</v>
      </c>
    </row>
    <row r="1673" spans="5:14">
      <c r="E1673">
        <f>IFERROR(SMALL(E367:E1087,ROW()-ROW($E$1090)+1),"")</f>
        <v>0</v>
      </c>
      <c r="F1673">
        <f>IFERROR(SMALL(F367:F1087,ROW()-ROW($F$1090)+1),"")</f>
        <v>0</v>
      </c>
      <c r="G1673">
        <f>IFERROR(SMALL(G367:G1087,ROW()-ROW($G$1090)+1),"")</f>
        <v>0</v>
      </c>
      <c r="H1673">
        <f>IFERROR(SMALL(H367:H1087,ROW()-ROW($H$1090)+1),"")</f>
        <v>0</v>
      </c>
      <c r="K1673">
        <f>IFERROR(SMALL(K367:K1087,ROW()-ROW($K$1090)+1),"")</f>
        <v>0</v>
      </c>
      <c r="L1673">
        <f>IFERROR(SMALL(L367:L1087,ROW()-ROW($L$1090)+1),"")</f>
        <v>0</v>
      </c>
      <c r="M1673">
        <f>IFERROR(SMALL(M367:M1087,ROW()-ROW($M$1090)+1),"")</f>
        <v>0</v>
      </c>
      <c r="N1673">
        <f>IFERROR(SMALL(N367:N1087,ROW()-ROW($N$1090)+1),"")</f>
        <v>0</v>
      </c>
    </row>
    <row r="1674" spans="5:14">
      <c r="E1674">
        <f>IFERROR(SMALL(E367:E1087,ROW()-ROW($E$1090)+1),"")</f>
        <v>0</v>
      </c>
      <c r="F1674">
        <f>IFERROR(SMALL(F367:F1087,ROW()-ROW($F$1090)+1),"")</f>
        <v>0</v>
      </c>
      <c r="G1674">
        <f>IFERROR(SMALL(G367:G1087,ROW()-ROW($G$1090)+1),"")</f>
        <v>0</v>
      </c>
      <c r="H1674">
        <f>IFERROR(SMALL(H367:H1087,ROW()-ROW($H$1090)+1),"")</f>
        <v>0</v>
      </c>
      <c r="K1674">
        <f>IFERROR(SMALL(K367:K1087,ROW()-ROW($K$1090)+1),"")</f>
        <v>0</v>
      </c>
      <c r="L1674">
        <f>IFERROR(SMALL(L367:L1087,ROW()-ROW($L$1090)+1),"")</f>
        <v>0</v>
      </c>
      <c r="M1674">
        <f>IFERROR(SMALL(M367:M1087,ROW()-ROW($M$1090)+1),"")</f>
        <v>0</v>
      </c>
      <c r="N1674">
        <f>IFERROR(SMALL(N367:N1087,ROW()-ROW($N$1090)+1),"")</f>
        <v>0</v>
      </c>
    </row>
    <row r="1675" spans="5:14">
      <c r="E1675">
        <f>IFERROR(SMALL(E367:E1087,ROW()-ROW($E$1090)+1),"")</f>
        <v>0</v>
      </c>
      <c r="F1675">
        <f>IFERROR(SMALL(F367:F1087,ROW()-ROW($F$1090)+1),"")</f>
        <v>0</v>
      </c>
      <c r="G1675">
        <f>IFERROR(SMALL(G367:G1087,ROW()-ROW($G$1090)+1),"")</f>
        <v>0</v>
      </c>
      <c r="H1675">
        <f>IFERROR(SMALL(H367:H1087,ROW()-ROW($H$1090)+1),"")</f>
        <v>0</v>
      </c>
      <c r="K1675">
        <f>IFERROR(SMALL(K367:K1087,ROW()-ROW($K$1090)+1),"")</f>
        <v>0</v>
      </c>
      <c r="L1675">
        <f>IFERROR(SMALL(L367:L1087,ROW()-ROW($L$1090)+1),"")</f>
        <v>0</v>
      </c>
      <c r="M1675">
        <f>IFERROR(SMALL(M367:M1087,ROW()-ROW($M$1090)+1),"")</f>
        <v>0</v>
      </c>
      <c r="N1675">
        <f>IFERROR(SMALL(N367:N1087,ROW()-ROW($N$1090)+1),"")</f>
        <v>0</v>
      </c>
    </row>
    <row r="1676" spans="5:14">
      <c r="E1676">
        <f>IFERROR(SMALL(E367:E1087,ROW()-ROW($E$1090)+1),"")</f>
        <v>0</v>
      </c>
      <c r="F1676">
        <f>IFERROR(SMALL(F367:F1087,ROW()-ROW($F$1090)+1),"")</f>
        <v>0</v>
      </c>
      <c r="G1676">
        <f>IFERROR(SMALL(G367:G1087,ROW()-ROW($G$1090)+1),"")</f>
        <v>0</v>
      </c>
      <c r="H1676">
        <f>IFERROR(SMALL(H367:H1087,ROW()-ROW($H$1090)+1),"")</f>
        <v>0</v>
      </c>
      <c r="K1676">
        <f>IFERROR(SMALL(K367:K1087,ROW()-ROW($K$1090)+1),"")</f>
        <v>0</v>
      </c>
      <c r="L1676">
        <f>IFERROR(SMALL(L367:L1087,ROW()-ROW($L$1090)+1),"")</f>
        <v>0</v>
      </c>
      <c r="M1676">
        <f>IFERROR(SMALL(M367:M1087,ROW()-ROW($M$1090)+1),"")</f>
        <v>0</v>
      </c>
      <c r="N1676">
        <f>IFERROR(SMALL(N367:N1087,ROW()-ROW($N$1090)+1),"")</f>
        <v>0</v>
      </c>
    </row>
    <row r="1677" spans="5:14">
      <c r="E1677">
        <f>IFERROR(SMALL(E367:E1087,ROW()-ROW($E$1090)+1),"")</f>
        <v>0</v>
      </c>
      <c r="F1677">
        <f>IFERROR(SMALL(F367:F1087,ROW()-ROW($F$1090)+1),"")</f>
        <v>0</v>
      </c>
      <c r="G1677">
        <f>IFERROR(SMALL(G367:G1087,ROW()-ROW($G$1090)+1),"")</f>
        <v>0</v>
      </c>
      <c r="H1677">
        <f>IFERROR(SMALL(H367:H1087,ROW()-ROW($H$1090)+1),"")</f>
        <v>0</v>
      </c>
      <c r="K1677">
        <f>IFERROR(SMALL(K367:K1087,ROW()-ROW($K$1090)+1),"")</f>
        <v>0</v>
      </c>
      <c r="L1677">
        <f>IFERROR(SMALL(L367:L1087,ROW()-ROW($L$1090)+1),"")</f>
        <v>0</v>
      </c>
      <c r="M1677">
        <f>IFERROR(SMALL(M367:M1087,ROW()-ROW($M$1090)+1),"")</f>
        <v>0</v>
      </c>
      <c r="N1677">
        <f>IFERROR(SMALL(N367:N1087,ROW()-ROW($N$1090)+1),"")</f>
        <v>0</v>
      </c>
    </row>
    <row r="1678" spans="5:14">
      <c r="E1678">
        <f>IFERROR(SMALL(E367:E1087,ROW()-ROW($E$1090)+1),"")</f>
        <v>0</v>
      </c>
      <c r="F1678">
        <f>IFERROR(SMALL(F367:F1087,ROW()-ROW($F$1090)+1),"")</f>
        <v>0</v>
      </c>
      <c r="G1678">
        <f>IFERROR(SMALL(G367:G1087,ROW()-ROW($G$1090)+1),"")</f>
        <v>0</v>
      </c>
      <c r="H1678">
        <f>IFERROR(SMALL(H367:H1087,ROW()-ROW($H$1090)+1),"")</f>
        <v>0</v>
      </c>
      <c r="K1678">
        <f>IFERROR(SMALL(K367:K1087,ROW()-ROW($K$1090)+1),"")</f>
        <v>0</v>
      </c>
      <c r="L1678">
        <f>IFERROR(SMALL(L367:L1087,ROW()-ROW($L$1090)+1),"")</f>
        <v>0</v>
      </c>
      <c r="M1678">
        <f>IFERROR(SMALL(M367:M1087,ROW()-ROW($M$1090)+1),"")</f>
        <v>0</v>
      </c>
      <c r="N1678">
        <f>IFERROR(SMALL(N367:N1087,ROW()-ROW($N$1090)+1),"")</f>
        <v>0</v>
      </c>
    </row>
    <row r="1679" spans="5:14">
      <c r="E1679">
        <f>IFERROR(SMALL(E367:E1087,ROW()-ROW($E$1090)+1),"")</f>
        <v>0</v>
      </c>
      <c r="F1679">
        <f>IFERROR(SMALL(F367:F1087,ROW()-ROW($F$1090)+1),"")</f>
        <v>0</v>
      </c>
      <c r="G1679">
        <f>IFERROR(SMALL(G367:G1087,ROW()-ROW($G$1090)+1),"")</f>
        <v>0</v>
      </c>
      <c r="H1679">
        <f>IFERROR(SMALL(H367:H1087,ROW()-ROW($H$1090)+1),"")</f>
        <v>0</v>
      </c>
      <c r="K1679">
        <f>IFERROR(SMALL(K367:K1087,ROW()-ROW($K$1090)+1),"")</f>
        <v>0</v>
      </c>
      <c r="L1679">
        <f>IFERROR(SMALL(L367:L1087,ROW()-ROW($L$1090)+1),"")</f>
        <v>0</v>
      </c>
      <c r="M1679">
        <f>IFERROR(SMALL(M367:M1087,ROW()-ROW($M$1090)+1),"")</f>
        <v>0</v>
      </c>
      <c r="N1679">
        <f>IFERROR(SMALL(N367:N1087,ROW()-ROW($N$1090)+1),"")</f>
        <v>0</v>
      </c>
    </row>
    <row r="1680" spans="5:14">
      <c r="E1680">
        <f>IFERROR(SMALL(E367:E1087,ROW()-ROW($E$1090)+1),"")</f>
        <v>0</v>
      </c>
      <c r="F1680">
        <f>IFERROR(SMALL(F367:F1087,ROW()-ROW($F$1090)+1),"")</f>
        <v>0</v>
      </c>
      <c r="G1680">
        <f>IFERROR(SMALL(G367:G1087,ROW()-ROW($G$1090)+1),"")</f>
        <v>0</v>
      </c>
      <c r="H1680">
        <f>IFERROR(SMALL(H367:H1087,ROW()-ROW($H$1090)+1),"")</f>
        <v>0</v>
      </c>
      <c r="K1680">
        <f>IFERROR(SMALL(K367:K1087,ROW()-ROW($K$1090)+1),"")</f>
        <v>0</v>
      </c>
      <c r="L1680">
        <f>IFERROR(SMALL(L367:L1087,ROW()-ROW($L$1090)+1),"")</f>
        <v>0</v>
      </c>
      <c r="M1680">
        <f>IFERROR(SMALL(M367:M1087,ROW()-ROW($M$1090)+1),"")</f>
        <v>0</v>
      </c>
      <c r="N1680">
        <f>IFERROR(SMALL(N367:N1087,ROW()-ROW($N$1090)+1),"")</f>
        <v>0</v>
      </c>
    </row>
    <row r="1681" spans="5:14">
      <c r="E1681">
        <f>IFERROR(SMALL(E367:E1087,ROW()-ROW($E$1090)+1),"")</f>
        <v>0</v>
      </c>
      <c r="F1681">
        <f>IFERROR(SMALL(F367:F1087,ROW()-ROW($F$1090)+1),"")</f>
        <v>0</v>
      </c>
      <c r="G1681">
        <f>IFERROR(SMALL(G367:G1087,ROW()-ROW($G$1090)+1),"")</f>
        <v>0</v>
      </c>
      <c r="H1681">
        <f>IFERROR(SMALL(H367:H1087,ROW()-ROW($H$1090)+1),"")</f>
        <v>0</v>
      </c>
      <c r="K1681">
        <f>IFERROR(SMALL(K367:K1087,ROW()-ROW($K$1090)+1),"")</f>
        <v>0</v>
      </c>
      <c r="L1681">
        <f>IFERROR(SMALL(L367:L1087,ROW()-ROW($L$1090)+1),"")</f>
        <v>0</v>
      </c>
      <c r="M1681">
        <f>IFERROR(SMALL(M367:M1087,ROW()-ROW($M$1090)+1),"")</f>
        <v>0</v>
      </c>
      <c r="N1681">
        <f>IFERROR(SMALL(N367:N1087,ROW()-ROW($N$1090)+1),"")</f>
        <v>0</v>
      </c>
    </row>
    <row r="1682" spans="5:14">
      <c r="E1682">
        <f>IFERROR(SMALL(E367:E1087,ROW()-ROW($E$1090)+1),"")</f>
        <v>0</v>
      </c>
      <c r="F1682">
        <f>IFERROR(SMALL(F367:F1087,ROW()-ROW($F$1090)+1),"")</f>
        <v>0</v>
      </c>
      <c r="G1682">
        <f>IFERROR(SMALL(G367:G1087,ROW()-ROW($G$1090)+1),"")</f>
        <v>0</v>
      </c>
      <c r="H1682">
        <f>IFERROR(SMALL(H367:H1087,ROW()-ROW($H$1090)+1),"")</f>
        <v>0</v>
      </c>
      <c r="K1682">
        <f>IFERROR(SMALL(K367:K1087,ROW()-ROW($K$1090)+1),"")</f>
        <v>0</v>
      </c>
      <c r="L1682">
        <f>IFERROR(SMALL(L367:L1087,ROW()-ROW($L$1090)+1),"")</f>
        <v>0</v>
      </c>
      <c r="M1682">
        <f>IFERROR(SMALL(M367:M1087,ROW()-ROW($M$1090)+1),"")</f>
        <v>0</v>
      </c>
      <c r="N1682">
        <f>IFERROR(SMALL(N367:N1087,ROW()-ROW($N$1090)+1),"")</f>
        <v>0</v>
      </c>
    </row>
    <row r="1683" spans="5:14">
      <c r="E1683">
        <f>IFERROR(SMALL(E367:E1087,ROW()-ROW($E$1090)+1),"")</f>
        <v>0</v>
      </c>
      <c r="F1683">
        <f>IFERROR(SMALL(F367:F1087,ROW()-ROW($F$1090)+1),"")</f>
        <v>0</v>
      </c>
      <c r="G1683">
        <f>IFERROR(SMALL(G367:G1087,ROW()-ROW($G$1090)+1),"")</f>
        <v>0</v>
      </c>
      <c r="H1683">
        <f>IFERROR(SMALL(H367:H1087,ROW()-ROW($H$1090)+1),"")</f>
        <v>0</v>
      </c>
      <c r="K1683">
        <f>IFERROR(SMALL(K367:K1087,ROW()-ROW($K$1090)+1),"")</f>
        <v>0</v>
      </c>
      <c r="L1683">
        <f>IFERROR(SMALL(L367:L1087,ROW()-ROW($L$1090)+1),"")</f>
        <v>0</v>
      </c>
      <c r="M1683">
        <f>IFERROR(SMALL(M367:M1087,ROW()-ROW($M$1090)+1),"")</f>
        <v>0</v>
      </c>
      <c r="N1683">
        <f>IFERROR(SMALL(N367:N1087,ROW()-ROW($N$1090)+1),"")</f>
        <v>0</v>
      </c>
    </row>
    <row r="1684" spans="5:14">
      <c r="E1684">
        <f>IFERROR(SMALL(E367:E1087,ROW()-ROW($E$1090)+1),"")</f>
        <v>0</v>
      </c>
      <c r="F1684">
        <f>IFERROR(SMALL(F367:F1087,ROW()-ROW($F$1090)+1),"")</f>
        <v>0</v>
      </c>
      <c r="G1684">
        <f>IFERROR(SMALL(G367:G1087,ROW()-ROW($G$1090)+1),"")</f>
        <v>0</v>
      </c>
      <c r="H1684">
        <f>IFERROR(SMALL(H367:H1087,ROW()-ROW($H$1090)+1),"")</f>
        <v>0</v>
      </c>
      <c r="K1684">
        <f>IFERROR(SMALL(K367:K1087,ROW()-ROW($K$1090)+1),"")</f>
        <v>0</v>
      </c>
      <c r="L1684">
        <f>IFERROR(SMALL(L367:L1087,ROW()-ROW($L$1090)+1),"")</f>
        <v>0</v>
      </c>
      <c r="M1684">
        <f>IFERROR(SMALL(M367:M1087,ROW()-ROW($M$1090)+1),"")</f>
        <v>0</v>
      </c>
      <c r="N1684">
        <f>IFERROR(SMALL(N367:N1087,ROW()-ROW($N$1090)+1),"")</f>
        <v>0</v>
      </c>
    </row>
    <row r="1685" spans="5:14">
      <c r="E1685">
        <f>IFERROR(SMALL(E367:E1087,ROW()-ROW($E$1090)+1),"")</f>
        <v>0</v>
      </c>
      <c r="F1685">
        <f>IFERROR(SMALL(F367:F1087,ROW()-ROW($F$1090)+1),"")</f>
        <v>0</v>
      </c>
      <c r="G1685">
        <f>IFERROR(SMALL(G367:G1087,ROW()-ROW($G$1090)+1),"")</f>
        <v>0</v>
      </c>
      <c r="H1685">
        <f>IFERROR(SMALL(H367:H1087,ROW()-ROW($H$1090)+1),"")</f>
        <v>0</v>
      </c>
      <c r="K1685">
        <f>IFERROR(SMALL(K367:K1087,ROW()-ROW($K$1090)+1),"")</f>
        <v>0</v>
      </c>
      <c r="L1685">
        <f>IFERROR(SMALL(L367:L1087,ROW()-ROW($L$1090)+1),"")</f>
        <v>0</v>
      </c>
      <c r="M1685">
        <f>IFERROR(SMALL(M367:M1087,ROW()-ROW($M$1090)+1),"")</f>
        <v>0</v>
      </c>
      <c r="N1685">
        <f>IFERROR(SMALL(N367:N1087,ROW()-ROW($N$1090)+1),"")</f>
        <v>0</v>
      </c>
    </row>
    <row r="1686" spans="5:14">
      <c r="E1686">
        <f>IFERROR(SMALL(E367:E1087,ROW()-ROW($E$1090)+1),"")</f>
        <v>0</v>
      </c>
      <c r="F1686">
        <f>IFERROR(SMALL(F367:F1087,ROW()-ROW($F$1090)+1),"")</f>
        <v>0</v>
      </c>
      <c r="G1686">
        <f>IFERROR(SMALL(G367:G1087,ROW()-ROW($G$1090)+1),"")</f>
        <v>0</v>
      </c>
      <c r="H1686">
        <f>IFERROR(SMALL(H367:H1087,ROW()-ROW($H$1090)+1),"")</f>
        <v>0</v>
      </c>
      <c r="K1686">
        <f>IFERROR(SMALL(K367:K1087,ROW()-ROW($K$1090)+1),"")</f>
        <v>0</v>
      </c>
      <c r="L1686">
        <f>IFERROR(SMALL(L367:L1087,ROW()-ROW($L$1090)+1),"")</f>
        <v>0</v>
      </c>
      <c r="M1686">
        <f>IFERROR(SMALL(M367:M1087,ROW()-ROW($M$1090)+1),"")</f>
        <v>0</v>
      </c>
      <c r="N1686">
        <f>IFERROR(SMALL(N367:N1087,ROW()-ROW($N$1090)+1),"")</f>
        <v>0</v>
      </c>
    </row>
    <row r="1687" spans="5:14">
      <c r="E1687">
        <f>IFERROR(SMALL(E367:E1087,ROW()-ROW($E$1090)+1),"")</f>
        <v>0</v>
      </c>
      <c r="F1687">
        <f>IFERROR(SMALL(F367:F1087,ROW()-ROW($F$1090)+1),"")</f>
        <v>0</v>
      </c>
      <c r="G1687">
        <f>IFERROR(SMALL(G367:G1087,ROW()-ROW($G$1090)+1),"")</f>
        <v>0</v>
      </c>
      <c r="H1687">
        <f>IFERROR(SMALL(H367:H1087,ROW()-ROW($H$1090)+1),"")</f>
        <v>0</v>
      </c>
      <c r="K1687">
        <f>IFERROR(SMALL(K367:K1087,ROW()-ROW($K$1090)+1),"")</f>
        <v>0</v>
      </c>
      <c r="L1687">
        <f>IFERROR(SMALL(L367:L1087,ROW()-ROW($L$1090)+1),"")</f>
        <v>0</v>
      </c>
      <c r="M1687">
        <f>IFERROR(SMALL(M367:M1087,ROW()-ROW($M$1090)+1),"")</f>
        <v>0</v>
      </c>
      <c r="N1687">
        <f>IFERROR(SMALL(N367:N1087,ROW()-ROW($N$1090)+1),"")</f>
        <v>0</v>
      </c>
    </row>
    <row r="1688" spans="5:14">
      <c r="E1688">
        <f>IFERROR(SMALL(E367:E1087,ROW()-ROW($E$1090)+1),"")</f>
        <v>0</v>
      </c>
      <c r="F1688">
        <f>IFERROR(SMALL(F367:F1087,ROW()-ROW($F$1090)+1),"")</f>
        <v>0</v>
      </c>
      <c r="G1688">
        <f>IFERROR(SMALL(G367:G1087,ROW()-ROW($G$1090)+1),"")</f>
        <v>0</v>
      </c>
      <c r="H1688">
        <f>IFERROR(SMALL(H367:H1087,ROW()-ROW($H$1090)+1),"")</f>
        <v>0</v>
      </c>
      <c r="K1688">
        <f>IFERROR(SMALL(K367:K1087,ROW()-ROW($K$1090)+1),"")</f>
        <v>0</v>
      </c>
      <c r="L1688">
        <f>IFERROR(SMALL(L367:L1087,ROW()-ROW($L$1090)+1),"")</f>
        <v>0</v>
      </c>
      <c r="M1688">
        <f>IFERROR(SMALL(M367:M1087,ROW()-ROW($M$1090)+1),"")</f>
        <v>0</v>
      </c>
      <c r="N1688">
        <f>IFERROR(SMALL(N367:N1087,ROW()-ROW($N$1090)+1),"")</f>
        <v>0</v>
      </c>
    </row>
    <row r="1689" spans="5:14">
      <c r="E1689">
        <f>IFERROR(SMALL(E367:E1087,ROW()-ROW($E$1090)+1),"")</f>
        <v>0</v>
      </c>
      <c r="F1689">
        <f>IFERROR(SMALL(F367:F1087,ROW()-ROW($F$1090)+1),"")</f>
        <v>0</v>
      </c>
      <c r="G1689">
        <f>IFERROR(SMALL(G367:G1087,ROW()-ROW($G$1090)+1),"")</f>
        <v>0</v>
      </c>
      <c r="H1689">
        <f>IFERROR(SMALL(H367:H1087,ROW()-ROW($H$1090)+1),"")</f>
        <v>0</v>
      </c>
      <c r="K1689">
        <f>IFERROR(SMALL(K367:K1087,ROW()-ROW($K$1090)+1),"")</f>
        <v>0</v>
      </c>
      <c r="L1689">
        <f>IFERROR(SMALL(L367:L1087,ROW()-ROW($L$1090)+1),"")</f>
        <v>0</v>
      </c>
      <c r="M1689">
        <f>IFERROR(SMALL(M367:M1087,ROW()-ROW($M$1090)+1),"")</f>
        <v>0</v>
      </c>
      <c r="N1689">
        <f>IFERROR(SMALL(N367:N1087,ROW()-ROW($N$1090)+1),"")</f>
        <v>0</v>
      </c>
    </row>
    <row r="1690" spans="5:14">
      <c r="E1690">
        <f>IFERROR(SMALL(E367:E1087,ROW()-ROW($E$1090)+1),"")</f>
        <v>0</v>
      </c>
      <c r="F1690">
        <f>IFERROR(SMALL(F367:F1087,ROW()-ROW($F$1090)+1),"")</f>
        <v>0</v>
      </c>
      <c r="G1690">
        <f>IFERROR(SMALL(G367:G1087,ROW()-ROW($G$1090)+1),"")</f>
        <v>0</v>
      </c>
      <c r="H1690">
        <f>IFERROR(SMALL(H367:H1087,ROW()-ROW($H$1090)+1),"")</f>
        <v>0</v>
      </c>
      <c r="K1690">
        <f>IFERROR(SMALL(K367:K1087,ROW()-ROW($K$1090)+1),"")</f>
        <v>0</v>
      </c>
      <c r="L1690">
        <f>IFERROR(SMALL(L367:L1087,ROW()-ROW($L$1090)+1),"")</f>
        <v>0</v>
      </c>
      <c r="M1690">
        <f>IFERROR(SMALL(M367:M1087,ROW()-ROW($M$1090)+1),"")</f>
        <v>0</v>
      </c>
      <c r="N1690">
        <f>IFERROR(SMALL(N367:N1087,ROW()-ROW($N$1090)+1),"")</f>
        <v>0</v>
      </c>
    </row>
    <row r="1691" spans="5:14">
      <c r="E1691">
        <f>IFERROR(SMALL(E367:E1087,ROW()-ROW($E$1090)+1),"")</f>
        <v>0</v>
      </c>
      <c r="F1691">
        <f>IFERROR(SMALL(F367:F1087,ROW()-ROW($F$1090)+1),"")</f>
        <v>0</v>
      </c>
      <c r="G1691">
        <f>IFERROR(SMALL(G367:G1087,ROW()-ROW($G$1090)+1),"")</f>
        <v>0</v>
      </c>
      <c r="H1691">
        <f>IFERROR(SMALL(H367:H1087,ROW()-ROW($H$1090)+1),"")</f>
        <v>0</v>
      </c>
      <c r="K1691">
        <f>IFERROR(SMALL(K367:K1087,ROW()-ROW($K$1090)+1),"")</f>
        <v>0</v>
      </c>
      <c r="L1691">
        <f>IFERROR(SMALL(L367:L1087,ROW()-ROW($L$1090)+1),"")</f>
        <v>0</v>
      </c>
      <c r="M1691">
        <f>IFERROR(SMALL(M367:M1087,ROW()-ROW($M$1090)+1),"")</f>
        <v>0</v>
      </c>
      <c r="N1691">
        <f>IFERROR(SMALL(N367:N1087,ROW()-ROW($N$1090)+1),"")</f>
        <v>0</v>
      </c>
    </row>
    <row r="1692" spans="5:14">
      <c r="E1692">
        <f>IFERROR(SMALL(E367:E1087,ROW()-ROW($E$1090)+1),"")</f>
        <v>0</v>
      </c>
      <c r="F1692">
        <f>IFERROR(SMALL(F367:F1087,ROW()-ROW($F$1090)+1),"")</f>
        <v>0</v>
      </c>
      <c r="G1692">
        <f>IFERROR(SMALL(G367:G1087,ROW()-ROW($G$1090)+1),"")</f>
        <v>0</v>
      </c>
      <c r="H1692">
        <f>IFERROR(SMALL(H367:H1087,ROW()-ROW($H$1090)+1),"")</f>
        <v>0</v>
      </c>
      <c r="K1692">
        <f>IFERROR(SMALL(K367:K1087,ROW()-ROW($K$1090)+1),"")</f>
        <v>0</v>
      </c>
      <c r="L1692">
        <f>IFERROR(SMALL(L367:L1087,ROW()-ROW($L$1090)+1),"")</f>
        <v>0</v>
      </c>
      <c r="M1692">
        <f>IFERROR(SMALL(M367:M1087,ROW()-ROW($M$1090)+1),"")</f>
        <v>0</v>
      </c>
      <c r="N1692">
        <f>IFERROR(SMALL(N367:N1087,ROW()-ROW($N$1090)+1),"")</f>
        <v>0</v>
      </c>
    </row>
    <row r="1693" spans="5:14">
      <c r="E1693">
        <f>IFERROR(SMALL(E367:E1087,ROW()-ROW($E$1090)+1),"")</f>
        <v>0</v>
      </c>
      <c r="F1693">
        <f>IFERROR(SMALL(F367:F1087,ROW()-ROW($F$1090)+1),"")</f>
        <v>0</v>
      </c>
      <c r="G1693">
        <f>IFERROR(SMALL(G367:G1087,ROW()-ROW($G$1090)+1),"")</f>
        <v>0</v>
      </c>
      <c r="H1693">
        <f>IFERROR(SMALL(H367:H1087,ROW()-ROW($H$1090)+1),"")</f>
        <v>0</v>
      </c>
      <c r="K1693">
        <f>IFERROR(SMALL(K367:K1087,ROW()-ROW($K$1090)+1),"")</f>
        <v>0</v>
      </c>
      <c r="L1693">
        <f>IFERROR(SMALL(L367:L1087,ROW()-ROW($L$1090)+1),"")</f>
        <v>0</v>
      </c>
      <c r="M1693">
        <f>IFERROR(SMALL(M367:M1087,ROW()-ROW($M$1090)+1),"")</f>
        <v>0</v>
      </c>
      <c r="N1693">
        <f>IFERROR(SMALL(N367:N1087,ROW()-ROW($N$1090)+1),"")</f>
        <v>0</v>
      </c>
    </row>
    <row r="1694" spans="5:14">
      <c r="E1694">
        <f>IFERROR(SMALL(E367:E1087,ROW()-ROW($E$1090)+1),"")</f>
        <v>0</v>
      </c>
      <c r="F1694">
        <f>IFERROR(SMALL(F367:F1087,ROW()-ROW($F$1090)+1),"")</f>
        <v>0</v>
      </c>
      <c r="G1694">
        <f>IFERROR(SMALL(G367:G1087,ROW()-ROW($G$1090)+1),"")</f>
        <v>0</v>
      </c>
      <c r="H1694">
        <f>IFERROR(SMALL(H367:H1087,ROW()-ROW($H$1090)+1),"")</f>
        <v>0</v>
      </c>
      <c r="K1694">
        <f>IFERROR(SMALL(K367:K1087,ROW()-ROW($K$1090)+1),"")</f>
        <v>0</v>
      </c>
      <c r="L1694">
        <f>IFERROR(SMALL(L367:L1087,ROW()-ROW($L$1090)+1),"")</f>
        <v>0</v>
      </c>
      <c r="M1694">
        <f>IFERROR(SMALL(M367:M1087,ROW()-ROW($M$1090)+1),"")</f>
        <v>0</v>
      </c>
      <c r="N1694">
        <f>IFERROR(SMALL(N367:N1087,ROW()-ROW($N$1090)+1),"")</f>
        <v>0</v>
      </c>
    </row>
    <row r="1695" spans="5:14">
      <c r="E1695">
        <f>IFERROR(SMALL(E367:E1087,ROW()-ROW($E$1090)+1),"")</f>
        <v>0</v>
      </c>
      <c r="F1695">
        <f>IFERROR(SMALL(F367:F1087,ROW()-ROW($F$1090)+1),"")</f>
        <v>0</v>
      </c>
      <c r="G1695">
        <f>IFERROR(SMALL(G367:G1087,ROW()-ROW($G$1090)+1),"")</f>
        <v>0</v>
      </c>
      <c r="H1695">
        <f>IFERROR(SMALL(H367:H1087,ROW()-ROW($H$1090)+1),"")</f>
        <v>0</v>
      </c>
      <c r="K1695">
        <f>IFERROR(SMALL(K367:K1087,ROW()-ROW($K$1090)+1),"")</f>
        <v>0</v>
      </c>
      <c r="L1695">
        <f>IFERROR(SMALL(L367:L1087,ROW()-ROW($L$1090)+1),"")</f>
        <v>0</v>
      </c>
      <c r="M1695">
        <f>IFERROR(SMALL(M367:M1087,ROW()-ROW($M$1090)+1),"")</f>
        <v>0</v>
      </c>
      <c r="N1695">
        <f>IFERROR(SMALL(N367:N1087,ROW()-ROW($N$1090)+1),"")</f>
        <v>0</v>
      </c>
    </row>
    <row r="1696" spans="5:14">
      <c r="E1696">
        <f>IFERROR(SMALL(E367:E1087,ROW()-ROW($E$1090)+1),"")</f>
        <v>0</v>
      </c>
      <c r="F1696">
        <f>IFERROR(SMALL(F367:F1087,ROW()-ROW($F$1090)+1),"")</f>
        <v>0</v>
      </c>
      <c r="G1696">
        <f>IFERROR(SMALL(G367:G1087,ROW()-ROW($G$1090)+1),"")</f>
        <v>0</v>
      </c>
      <c r="H1696">
        <f>IFERROR(SMALL(H367:H1087,ROW()-ROW($H$1090)+1),"")</f>
        <v>0</v>
      </c>
      <c r="K1696">
        <f>IFERROR(SMALL(K367:K1087,ROW()-ROW($K$1090)+1),"")</f>
        <v>0</v>
      </c>
      <c r="L1696">
        <f>IFERROR(SMALL(L367:L1087,ROW()-ROW($L$1090)+1),"")</f>
        <v>0</v>
      </c>
      <c r="M1696">
        <f>IFERROR(SMALL(M367:M1087,ROW()-ROW($M$1090)+1),"")</f>
        <v>0</v>
      </c>
      <c r="N1696">
        <f>IFERROR(SMALL(N367:N1087,ROW()-ROW($N$1090)+1),"")</f>
        <v>0</v>
      </c>
    </row>
    <row r="1697" spans="5:14">
      <c r="E1697">
        <f>IFERROR(SMALL(E367:E1087,ROW()-ROW($E$1090)+1),"")</f>
        <v>0</v>
      </c>
      <c r="F1697">
        <f>IFERROR(SMALL(F367:F1087,ROW()-ROW($F$1090)+1),"")</f>
        <v>0</v>
      </c>
      <c r="G1697">
        <f>IFERROR(SMALL(G367:G1087,ROW()-ROW($G$1090)+1),"")</f>
        <v>0</v>
      </c>
      <c r="H1697">
        <f>IFERROR(SMALL(H367:H1087,ROW()-ROW($H$1090)+1),"")</f>
        <v>0</v>
      </c>
      <c r="K1697">
        <f>IFERROR(SMALL(K367:K1087,ROW()-ROW($K$1090)+1),"")</f>
        <v>0</v>
      </c>
      <c r="L1697">
        <f>IFERROR(SMALL(L367:L1087,ROW()-ROW($L$1090)+1),"")</f>
        <v>0</v>
      </c>
      <c r="M1697">
        <f>IFERROR(SMALL(M367:M1087,ROW()-ROW($M$1090)+1),"")</f>
        <v>0</v>
      </c>
      <c r="N1697">
        <f>IFERROR(SMALL(N367:N1087,ROW()-ROW($N$1090)+1),"")</f>
        <v>0</v>
      </c>
    </row>
    <row r="1698" spans="5:14">
      <c r="E1698">
        <f>IFERROR(SMALL(E367:E1087,ROW()-ROW($E$1090)+1),"")</f>
        <v>0</v>
      </c>
      <c r="F1698">
        <f>IFERROR(SMALL(F367:F1087,ROW()-ROW($F$1090)+1),"")</f>
        <v>0</v>
      </c>
      <c r="G1698">
        <f>IFERROR(SMALL(G367:G1087,ROW()-ROW($G$1090)+1),"")</f>
        <v>0</v>
      </c>
      <c r="H1698">
        <f>IFERROR(SMALL(H367:H1087,ROW()-ROW($H$1090)+1),"")</f>
        <v>0</v>
      </c>
      <c r="K1698">
        <f>IFERROR(SMALL(K367:K1087,ROW()-ROW($K$1090)+1),"")</f>
        <v>0</v>
      </c>
      <c r="L1698">
        <f>IFERROR(SMALL(L367:L1087,ROW()-ROW($L$1090)+1),"")</f>
        <v>0</v>
      </c>
      <c r="M1698">
        <f>IFERROR(SMALL(M367:M1087,ROW()-ROW($M$1090)+1),"")</f>
        <v>0</v>
      </c>
      <c r="N1698">
        <f>IFERROR(SMALL(N367:N1087,ROW()-ROW($N$1090)+1),"")</f>
        <v>0</v>
      </c>
    </row>
    <row r="1699" spans="5:14">
      <c r="E1699">
        <f>IFERROR(SMALL(E367:E1087,ROW()-ROW($E$1090)+1),"")</f>
        <v>0</v>
      </c>
      <c r="F1699">
        <f>IFERROR(SMALL(F367:F1087,ROW()-ROW($F$1090)+1),"")</f>
        <v>0</v>
      </c>
      <c r="G1699">
        <f>IFERROR(SMALL(G367:G1087,ROW()-ROW($G$1090)+1),"")</f>
        <v>0</v>
      </c>
      <c r="H1699">
        <f>IFERROR(SMALL(H367:H1087,ROW()-ROW($H$1090)+1),"")</f>
        <v>0</v>
      </c>
      <c r="K1699">
        <f>IFERROR(SMALL(K367:K1087,ROW()-ROW($K$1090)+1),"")</f>
        <v>0</v>
      </c>
      <c r="L1699">
        <f>IFERROR(SMALL(L367:L1087,ROW()-ROW($L$1090)+1),"")</f>
        <v>0</v>
      </c>
      <c r="M1699">
        <f>IFERROR(SMALL(M367:M1087,ROW()-ROW($M$1090)+1),"")</f>
        <v>0</v>
      </c>
      <c r="N1699">
        <f>IFERROR(SMALL(N367:N1087,ROW()-ROW($N$1090)+1),"")</f>
        <v>0</v>
      </c>
    </row>
    <row r="1700" spans="5:14">
      <c r="E1700">
        <f>IFERROR(SMALL(E367:E1087,ROW()-ROW($E$1090)+1),"")</f>
        <v>0</v>
      </c>
      <c r="F1700">
        <f>IFERROR(SMALL(F367:F1087,ROW()-ROW($F$1090)+1),"")</f>
        <v>0</v>
      </c>
      <c r="G1700">
        <f>IFERROR(SMALL(G367:G1087,ROW()-ROW($G$1090)+1),"")</f>
        <v>0</v>
      </c>
      <c r="H1700">
        <f>IFERROR(SMALL(H367:H1087,ROW()-ROW($H$1090)+1),"")</f>
        <v>0</v>
      </c>
      <c r="K1700">
        <f>IFERROR(SMALL(K367:K1087,ROW()-ROW($K$1090)+1),"")</f>
        <v>0</v>
      </c>
      <c r="L1700">
        <f>IFERROR(SMALL(L367:L1087,ROW()-ROW($L$1090)+1),"")</f>
        <v>0</v>
      </c>
      <c r="M1700">
        <f>IFERROR(SMALL(M367:M1087,ROW()-ROW($M$1090)+1),"")</f>
        <v>0</v>
      </c>
      <c r="N1700">
        <f>IFERROR(SMALL(N367:N1087,ROW()-ROW($N$1090)+1),"")</f>
        <v>0</v>
      </c>
    </row>
    <row r="1701" spans="5:14">
      <c r="E1701">
        <f>IFERROR(SMALL(E367:E1087,ROW()-ROW($E$1090)+1),"")</f>
        <v>0</v>
      </c>
      <c r="F1701">
        <f>IFERROR(SMALL(F367:F1087,ROW()-ROW($F$1090)+1),"")</f>
        <v>0</v>
      </c>
      <c r="G1701">
        <f>IFERROR(SMALL(G367:G1087,ROW()-ROW($G$1090)+1),"")</f>
        <v>0</v>
      </c>
      <c r="H1701">
        <f>IFERROR(SMALL(H367:H1087,ROW()-ROW($H$1090)+1),"")</f>
        <v>0</v>
      </c>
      <c r="K1701">
        <f>IFERROR(SMALL(K367:K1087,ROW()-ROW($K$1090)+1),"")</f>
        <v>0</v>
      </c>
      <c r="L1701">
        <f>IFERROR(SMALL(L367:L1087,ROW()-ROW($L$1090)+1),"")</f>
        <v>0</v>
      </c>
      <c r="M1701">
        <f>IFERROR(SMALL(M367:M1087,ROW()-ROW($M$1090)+1),"")</f>
        <v>0</v>
      </c>
      <c r="N1701">
        <f>IFERROR(SMALL(N367:N1087,ROW()-ROW($N$1090)+1),"")</f>
        <v>0</v>
      </c>
    </row>
    <row r="1702" spans="5:14">
      <c r="E1702">
        <f>IFERROR(SMALL(E367:E1087,ROW()-ROW($E$1090)+1),"")</f>
        <v>0</v>
      </c>
      <c r="F1702">
        <f>IFERROR(SMALL(F367:F1087,ROW()-ROW($F$1090)+1),"")</f>
        <v>0</v>
      </c>
      <c r="G1702">
        <f>IFERROR(SMALL(G367:G1087,ROW()-ROW($G$1090)+1),"")</f>
        <v>0</v>
      </c>
      <c r="H1702">
        <f>IFERROR(SMALL(H367:H1087,ROW()-ROW($H$1090)+1),"")</f>
        <v>0</v>
      </c>
      <c r="K1702">
        <f>IFERROR(SMALL(K367:K1087,ROW()-ROW($K$1090)+1),"")</f>
        <v>0</v>
      </c>
      <c r="L1702">
        <f>IFERROR(SMALL(L367:L1087,ROW()-ROW($L$1090)+1),"")</f>
        <v>0</v>
      </c>
      <c r="M1702">
        <f>IFERROR(SMALL(M367:M1087,ROW()-ROW($M$1090)+1),"")</f>
        <v>0</v>
      </c>
      <c r="N1702">
        <f>IFERROR(SMALL(N367:N1087,ROW()-ROW($N$1090)+1),"")</f>
        <v>0</v>
      </c>
    </row>
    <row r="1703" spans="5:14">
      <c r="E1703">
        <f>IFERROR(SMALL(E367:E1087,ROW()-ROW($E$1090)+1),"")</f>
        <v>0</v>
      </c>
      <c r="F1703">
        <f>IFERROR(SMALL(F367:F1087,ROW()-ROW($F$1090)+1),"")</f>
        <v>0</v>
      </c>
      <c r="G1703">
        <f>IFERROR(SMALL(G367:G1087,ROW()-ROW($G$1090)+1),"")</f>
        <v>0</v>
      </c>
      <c r="H1703">
        <f>IFERROR(SMALL(H367:H1087,ROW()-ROW($H$1090)+1),"")</f>
        <v>0</v>
      </c>
      <c r="K1703">
        <f>IFERROR(SMALL(K367:K1087,ROW()-ROW($K$1090)+1),"")</f>
        <v>0</v>
      </c>
      <c r="L1703">
        <f>IFERROR(SMALL(L367:L1087,ROW()-ROW($L$1090)+1),"")</f>
        <v>0</v>
      </c>
      <c r="M1703">
        <f>IFERROR(SMALL(M367:M1087,ROW()-ROW($M$1090)+1),"")</f>
        <v>0</v>
      </c>
      <c r="N1703">
        <f>IFERROR(SMALL(N367:N1087,ROW()-ROW($N$1090)+1),"")</f>
        <v>0</v>
      </c>
    </row>
    <row r="1704" spans="5:14">
      <c r="E1704">
        <f>IFERROR(SMALL(E367:E1087,ROW()-ROW($E$1090)+1),"")</f>
        <v>0</v>
      </c>
      <c r="F1704">
        <f>IFERROR(SMALL(F367:F1087,ROW()-ROW($F$1090)+1),"")</f>
        <v>0</v>
      </c>
      <c r="G1704">
        <f>IFERROR(SMALL(G367:G1087,ROW()-ROW($G$1090)+1),"")</f>
        <v>0</v>
      </c>
      <c r="H1704">
        <f>IFERROR(SMALL(H367:H1087,ROW()-ROW($H$1090)+1),"")</f>
        <v>0</v>
      </c>
      <c r="K1704">
        <f>IFERROR(SMALL(K367:K1087,ROW()-ROW($K$1090)+1),"")</f>
        <v>0</v>
      </c>
      <c r="L1704">
        <f>IFERROR(SMALL(L367:L1087,ROW()-ROW($L$1090)+1),"")</f>
        <v>0</v>
      </c>
      <c r="M1704">
        <f>IFERROR(SMALL(M367:M1087,ROW()-ROW($M$1090)+1),"")</f>
        <v>0</v>
      </c>
      <c r="N1704">
        <f>IFERROR(SMALL(N367:N1087,ROW()-ROW($N$1090)+1),"")</f>
        <v>0</v>
      </c>
    </row>
    <row r="1705" spans="5:14">
      <c r="E1705">
        <f>IFERROR(SMALL(E367:E1087,ROW()-ROW($E$1090)+1),"")</f>
        <v>0</v>
      </c>
      <c r="F1705">
        <f>IFERROR(SMALL(F367:F1087,ROW()-ROW($F$1090)+1),"")</f>
        <v>0</v>
      </c>
      <c r="G1705">
        <f>IFERROR(SMALL(G367:G1087,ROW()-ROW($G$1090)+1),"")</f>
        <v>0</v>
      </c>
      <c r="H1705">
        <f>IFERROR(SMALL(H367:H1087,ROW()-ROW($H$1090)+1),"")</f>
        <v>0</v>
      </c>
      <c r="K1705">
        <f>IFERROR(SMALL(K367:K1087,ROW()-ROW($K$1090)+1),"")</f>
        <v>0</v>
      </c>
      <c r="L1705">
        <f>IFERROR(SMALL(L367:L1087,ROW()-ROW($L$1090)+1),"")</f>
        <v>0</v>
      </c>
      <c r="M1705">
        <f>IFERROR(SMALL(M367:M1087,ROW()-ROW($M$1090)+1),"")</f>
        <v>0</v>
      </c>
      <c r="N1705">
        <f>IFERROR(SMALL(N367:N1087,ROW()-ROW($N$1090)+1),"")</f>
        <v>0</v>
      </c>
    </row>
    <row r="1706" spans="5:14">
      <c r="E1706">
        <f>IFERROR(SMALL(E367:E1087,ROW()-ROW($E$1090)+1),"")</f>
        <v>0</v>
      </c>
      <c r="F1706">
        <f>IFERROR(SMALL(F367:F1087,ROW()-ROW($F$1090)+1),"")</f>
        <v>0</v>
      </c>
      <c r="G1706">
        <f>IFERROR(SMALL(G367:G1087,ROW()-ROW($G$1090)+1),"")</f>
        <v>0</v>
      </c>
      <c r="H1706">
        <f>IFERROR(SMALL(H367:H1087,ROW()-ROW($H$1090)+1),"")</f>
        <v>0</v>
      </c>
      <c r="K1706">
        <f>IFERROR(SMALL(K367:K1087,ROW()-ROW($K$1090)+1),"")</f>
        <v>0</v>
      </c>
      <c r="L1706">
        <f>IFERROR(SMALL(L367:L1087,ROW()-ROW($L$1090)+1),"")</f>
        <v>0</v>
      </c>
      <c r="M1706">
        <f>IFERROR(SMALL(M367:M1087,ROW()-ROW($M$1090)+1),"")</f>
        <v>0</v>
      </c>
      <c r="N1706">
        <f>IFERROR(SMALL(N367:N1087,ROW()-ROW($N$1090)+1),"")</f>
        <v>0</v>
      </c>
    </row>
    <row r="1707" spans="5:14">
      <c r="E1707">
        <f>IFERROR(SMALL(E367:E1087,ROW()-ROW($E$1090)+1),"")</f>
        <v>0</v>
      </c>
      <c r="F1707">
        <f>IFERROR(SMALL(F367:F1087,ROW()-ROW($F$1090)+1),"")</f>
        <v>0</v>
      </c>
      <c r="G1707">
        <f>IFERROR(SMALL(G367:G1087,ROW()-ROW($G$1090)+1),"")</f>
        <v>0</v>
      </c>
      <c r="H1707">
        <f>IFERROR(SMALL(H367:H1087,ROW()-ROW($H$1090)+1),"")</f>
        <v>0</v>
      </c>
      <c r="K1707">
        <f>IFERROR(SMALL(K367:K1087,ROW()-ROW($K$1090)+1),"")</f>
        <v>0</v>
      </c>
      <c r="L1707">
        <f>IFERROR(SMALL(L367:L1087,ROW()-ROW($L$1090)+1),"")</f>
        <v>0</v>
      </c>
      <c r="M1707">
        <f>IFERROR(SMALL(M367:M1087,ROW()-ROW($M$1090)+1),"")</f>
        <v>0</v>
      </c>
      <c r="N1707">
        <f>IFERROR(SMALL(N367:N1087,ROW()-ROW($N$1090)+1),"")</f>
        <v>0</v>
      </c>
    </row>
    <row r="1708" spans="5:14">
      <c r="E1708">
        <f>IFERROR(SMALL(E367:E1087,ROW()-ROW($E$1090)+1),"")</f>
        <v>0</v>
      </c>
      <c r="F1708">
        <f>IFERROR(SMALL(F367:F1087,ROW()-ROW($F$1090)+1),"")</f>
        <v>0</v>
      </c>
      <c r="G1708">
        <f>IFERROR(SMALL(G367:G1087,ROW()-ROW($G$1090)+1),"")</f>
        <v>0</v>
      </c>
      <c r="H1708">
        <f>IFERROR(SMALL(H367:H1087,ROW()-ROW($H$1090)+1),"")</f>
        <v>0</v>
      </c>
      <c r="K1708">
        <f>IFERROR(SMALL(K367:K1087,ROW()-ROW($K$1090)+1),"")</f>
        <v>0</v>
      </c>
      <c r="L1708">
        <f>IFERROR(SMALL(L367:L1087,ROW()-ROW($L$1090)+1),"")</f>
        <v>0</v>
      </c>
      <c r="M1708">
        <f>IFERROR(SMALL(M367:M1087,ROW()-ROW($M$1090)+1),"")</f>
        <v>0</v>
      </c>
      <c r="N1708">
        <f>IFERROR(SMALL(N367:N1087,ROW()-ROW($N$1090)+1),"")</f>
        <v>0</v>
      </c>
    </row>
    <row r="1709" spans="5:14">
      <c r="E1709">
        <f>IFERROR(SMALL(E367:E1087,ROW()-ROW($E$1090)+1),"")</f>
        <v>0</v>
      </c>
      <c r="F1709">
        <f>IFERROR(SMALL(F367:F1087,ROW()-ROW($F$1090)+1),"")</f>
        <v>0</v>
      </c>
      <c r="G1709">
        <f>IFERROR(SMALL(G367:G1087,ROW()-ROW($G$1090)+1),"")</f>
        <v>0</v>
      </c>
      <c r="H1709">
        <f>IFERROR(SMALL(H367:H1087,ROW()-ROW($H$1090)+1),"")</f>
        <v>0</v>
      </c>
      <c r="K1709">
        <f>IFERROR(SMALL(K367:K1087,ROW()-ROW($K$1090)+1),"")</f>
        <v>0</v>
      </c>
      <c r="L1709">
        <f>IFERROR(SMALL(L367:L1087,ROW()-ROW($L$1090)+1),"")</f>
        <v>0</v>
      </c>
      <c r="M1709">
        <f>IFERROR(SMALL(M367:M1087,ROW()-ROW($M$1090)+1),"")</f>
        <v>0</v>
      </c>
      <c r="N1709">
        <f>IFERROR(SMALL(N367:N1087,ROW()-ROW($N$1090)+1),"")</f>
        <v>0</v>
      </c>
    </row>
    <row r="1710" spans="5:14">
      <c r="E1710">
        <f>IFERROR(SMALL(E367:E1087,ROW()-ROW($E$1090)+1),"")</f>
        <v>0</v>
      </c>
      <c r="F1710">
        <f>IFERROR(SMALL(F367:F1087,ROW()-ROW($F$1090)+1),"")</f>
        <v>0</v>
      </c>
      <c r="G1710">
        <f>IFERROR(SMALL(G367:G1087,ROW()-ROW($G$1090)+1),"")</f>
        <v>0</v>
      </c>
      <c r="H1710">
        <f>IFERROR(SMALL(H367:H1087,ROW()-ROW($H$1090)+1),"")</f>
        <v>0</v>
      </c>
      <c r="K1710">
        <f>IFERROR(SMALL(K367:K1087,ROW()-ROW($K$1090)+1),"")</f>
        <v>0</v>
      </c>
      <c r="L1710">
        <f>IFERROR(SMALL(L367:L1087,ROW()-ROW($L$1090)+1),"")</f>
        <v>0</v>
      </c>
      <c r="M1710">
        <f>IFERROR(SMALL(M367:M1087,ROW()-ROW($M$1090)+1),"")</f>
        <v>0</v>
      </c>
      <c r="N1710">
        <f>IFERROR(SMALL(N367:N1087,ROW()-ROW($N$1090)+1),"")</f>
        <v>0</v>
      </c>
    </row>
    <row r="1711" spans="5:14">
      <c r="E1711">
        <f>IFERROR(SMALL(E367:E1087,ROW()-ROW($E$1090)+1),"")</f>
        <v>0</v>
      </c>
      <c r="F1711">
        <f>IFERROR(SMALL(F367:F1087,ROW()-ROW($F$1090)+1),"")</f>
        <v>0</v>
      </c>
      <c r="G1711">
        <f>IFERROR(SMALL(G367:G1087,ROW()-ROW($G$1090)+1),"")</f>
        <v>0</v>
      </c>
      <c r="H1711">
        <f>IFERROR(SMALL(H367:H1087,ROW()-ROW($H$1090)+1),"")</f>
        <v>0</v>
      </c>
      <c r="K1711">
        <f>IFERROR(SMALL(K367:K1087,ROW()-ROW($K$1090)+1),"")</f>
        <v>0</v>
      </c>
      <c r="L1711">
        <f>IFERROR(SMALL(L367:L1087,ROW()-ROW($L$1090)+1),"")</f>
        <v>0</v>
      </c>
      <c r="M1711">
        <f>IFERROR(SMALL(M367:M1087,ROW()-ROW($M$1090)+1),"")</f>
        <v>0</v>
      </c>
      <c r="N1711">
        <f>IFERROR(SMALL(N367:N1087,ROW()-ROW($N$1090)+1),"")</f>
        <v>0</v>
      </c>
    </row>
    <row r="1712" spans="5:14">
      <c r="E1712">
        <f>IFERROR(SMALL(E367:E1087,ROW()-ROW($E$1090)+1),"")</f>
        <v>0</v>
      </c>
      <c r="F1712">
        <f>IFERROR(SMALL(F367:F1087,ROW()-ROW($F$1090)+1),"")</f>
        <v>0</v>
      </c>
      <c r="G1712">
        <f>IFERROR(SMALL(G367:G1087,ROW()-ROW($G$1090)+1),"")</f>
        <v>0</v>
      </c>
      <c r="H1712">
        <f>IFERROR(SMALL(H367:H1087,ROW()-ROW($H$1090)+1),"")</f>
        <v>0</v>
      </c>
      <c r="K1712">
        <f>IFERROR(SMALL(K367:K1087,ROW()-ROW($K$1090)+1),"")</f>
        <v>0</v>
      </c>
      <c r="L1712">
        <f>IFERROR(SMALL(L367:L1087,ROW()-ROW($L$1090)+1),"")</f>
        <v>0</v>
      </c>
      <c r="M1712">
        <f>IFERROR(SMALL(M367:M1087,ROW()-ROW($M$1090)+1),"")</f>
        <v>0</v>
      </c>
      <c r="N1712">
        <f>IFERROR(SMALL(N367:N1087,ROW()-ROW($N$1090)+1),"")</f>
        <v>0</v>
      </c>
    </row>
    <row r="1713" spans="5:14">
      <c r="E1713">
        <f>IFERROR(SMALL(E367:E1087,ROW()-ROW($E$1090)+1),"")</f>
        <v>0</v>
      </c>
      <c r="F1713">
        <f>IFERROR(SMALL(F367:F1087,ROW()-ROW($F$1090)+1),"")</f>
        <v>0</v>
      </c>
      <c r="G1713">
        <f>IFERROR(SMALL(G367:G1087,ROW()-ROW($G$1090)+1),"")</f>
        <v>0</v>
      </c>
      <c r="H1713">
        <f>IFERROR(SMALL(H367:H1087,ROW()-ROW($H$1090)+1),"")</f>
        <v>0</v>
      </c>
      <c r="K1713">
        <f>IFERROR(SMALL(K367:K1087,ROW()-ROW($K$1090)+1),"")</f>
        <v>0</v>
      </c>
      <c r="L1713">
        <f>IFERROR(SMALL(L367:L1087,ROW()-ROW($L$1090)+1),"")</f>
        <v>0</v>
      </c>
      <c r="M1713">
        <f>IFERROR(SMALL(M367:M1087,ROW()-ROW($M$1090)+1),"")</f>
        <v>0</v>
      </c>
      <c r="N1713">
        <f>IFERROR(SMALL(N367:N1087,ROW()-ROW($N$1090)+1),"")</f>
        <v>0</v>
      </c>
    </row>
    <row r="1714" spans="5:14">
      <c r="E1714">
        <f>IFERROR(SMALL(E367:E1087,ROW()-ROW($E$1090)+1),"")</f>
        <v>0</v>
      </c>
      <c r="F1714">
        <f>IFERROR(SMALL(F367:F1087,ROW()-ROW($F$1090)+1),"")</f>
        <v>0</v>
      </c>
      <c r="G1714">
        <f>IFERROR(SMALL(G367:G1087,ROW()-ROW($G$1090)+1),"")</f>
        <v>0</v>
      </c>
      <c r="H1714">
        <f>IFERROR(SMALL(H367:H1087,ROW()-ROW($H$1090)+1),"")</f>
        <v>0</v>
      </c>
      <c r="K1714">
        <f>IFERROR(SMALL(K367:K1087,ROW()-ROW($K$1090)+1),"")</f>
        <v>0</v>
      </c>
      <c r="L1714">
        <f>IFERROR(SMALL(L367:L1087,ROW()-ROW($L$1090)+1),"")</f>
        <v>0</v>
      </c>
      <c r="M1714">
        <f>IFERROR(SMALL(M367:M1087,ROW()-ROW($M$1090)+1),"")</f>
        <v>0</v>
      </c>
      <c r="N1714">
        <f>IFERROR(SMALL(N367:N1087,ROW()-ROW($N$1090)+1),"")</f>
        <v>0</v>
      </c>
    </row>
    <row r="1715" spans="5:14">
      <c r="E1715">
        <f>IFERROR(SMALL(E367:E1087,ROW()-ROW($E$1090)+1),"")</f>
        <v>0</v>
      </c>
      <c r="F1715">
        <f>IFERROR(SMALL(F367:F1087,ROW()-ROW($F$1090)+1),"")</f>
        <v>0</v>
      </c>
      <c r="G1715">
        <f>IFERROR(SMALL(G367:G1087,ROW()-ROW($G$1090)+1),"")</f>
        <v>0</v>
      </c>
      <c r="H1715">
        <f>IFERROR(SMALL(H367:H1087,ROW()-ROW($H$1090)+1),"")</f>
        <v>0</v>
      </c>
      <c r="K1715">
        <f>IFERROR(SMALL(K367:K1087,ROW()-ROW($K$1090)+1),"")</f>
        <v>0</v>
      </c>
      <c r="L1715">
        <f>IFERROR(SMALL(L367:L1087,ROW()-ROW($L$1090)+1),"")</f>
        <v>0</v>
      </c>
      <c r="M1715">
        <f>IFERROR(SMALL(M367:M1087,ROW()-ROW($M$1090)+1),"")</f>
        <v>0</v>
      </c>
      <c r="N1715">
        <f>IFERROR(SMALL(N367:N1087,ROW()-ROW($N$1090)+1),"")</f>
        <v>0</v>
      </c>
    </row>
    <row r="1716" spans="5:14">
      <c r="E1716">
        <f>IFERROR(SMALL(E367:E1087,ROW()-ROW($E$1090)+1),"")</f>
        <v>0</v>
      </c>
      <c r="F1716">
        <f>IFERROR(SMALL(F367:F1087,ROW()-ROW($F$1090)+1),"")</f>
        <v>0</v>
      </c>
      <c r="G1716">
        <f>IFERROR(SMALL(G367:G1087,ROW()-ROW($G$1090)+1),"")</f>
        <v>0</v>
      </c>
      <c r="H1716">
        <f>IFERROR(SMALL(H367:H1087,ROW()-ROW($H$1090)+1),"")</f>
        <v>0</v>
      </c>
      <c r="K1716">
        <f>IFERROR(SMALL(K367:K1087,ROW()-ROW($K$1090)+1),"")</f>
        <v>0</v>
      </c>
      <c r="L1716">
        <f>IFERROR(SMALL(L367:L1087,ROW()-ROW($L$1090)+1),"")</f>
        <v>0</v>
      </c>
      <c r="M1716">
        <f>IFERROR(SMALL(M367:M1087,ROW()-ROW($M$1090)+1),"")</f>
        <v>0</v>
      </c>
      <c r="N1716">
        <f>IFERROR(SMALL(N367:N1087,ROW()-ROW($N$1090)+1),"")</f>
        <v>0</v>
      </c>
    </row>
    <row r="1717" spans="5:14">
      <c r="E1717">
        <f>IFERROR(SMALL(E367:E1087,ROW()-ROW($E$1090)+1),"")</f>
        <v>0</v>
      </c>
      <c r="F1717">
        <f>IFERROR(SMALL(F367:F1087,ROW()-ROW($F$1090)+1),"")</f>
        <v>0</v>
      </c>
      <c r="G1717">
        <f>IFERROR(SMALL(G367:G1087,ROW()-ROW($G$1090)+1),"")</f>
        <v>0</v>
      </c>
      <c r="H1717">
        <f>IFERROR(SMALL(H367:H1087,ROW()-ROW($H$1090)+1),"")</f>
        <v>0</v>
      </c>
      <c r="K1717">
        <f>IFERROR(SMALL(K367:K1087,ROW()-ROW($K$1090)+1),"")</f>
        <v>0</v>
      </c>
      <c r="L1717">
        <f>IFERROR(SMALL(L367:L1087,ROW()-ROW($L$1090)+1),"")</f>
        <v>0</v>
      </c>
      <c r="M1717">
        <f>IFERROR(SMALL(M367:M1087,ROW()-ROW($M$1090)+1),"")</f>
        <v>0</v>
      </c>
      <c r="N1717">
        <f>IFERROR(SMALL(N367:N1087,ROW()-ROW($N$1090)+1),"")</f>
        <v>0</v>
      </c>
    </row>
    <row r="1718" spans="5:14">
      <c r="E1718">
        <f>IFERROR(SMALL(E367:E1087,ROW()-ROW($E$1090)+1),"")</f>
        <v>0</v>
      </c>
      <c r="F1718">
        <f>IFERROR(SMALL(F367:F1087,ROW()-ROW($F$1090)+1),"")</f>
        <v>0</v>
      </c>
      <c r="G1718">
        <f>IFERROR(SMALL(G367:G1087,ROW()-ROW($G$1090)+1),"")</f>
        <v>0</v>
      </c>
      <c r="H1718">
        <f>IFERROR(SMALL(H367:H1087,ROW()-ROW($H$1090)+1),"")</f>
        <v>0</v>
      </c>
      <c r="K1718">
        <f>IFERROR(SMALL(K367:K1087,ROW()-ROW($K$1090)+1),"")</f>
        <v>0</v>
      </c>
      <c r="L1718">
        <f>IFERROR(SMALL(L367:L1087,ROW()-ROW($L$1090)+1),"")</f>
        <v>0</v>
      </c>
      <c r="M1718">
        <f>IFERROR(SMALL(M367:M1087,ROW()-ROW($M$1090)+1),"")</f>
        <v>0</v>
      </c>
      <c r="N1718">
        <f>IFERROR(SMALL(N367:N1087,ROW()-ROW($N$1090)+1),"")</f>
        <v>0</v>
      </c>
    </row>
    <row r="1719" spans="5:14">
      <c r="E1719">
        <f>IFERROR(SMALL(E367:E1087,ROW()-ROW($E$1090)+1),"")</f>
        <v>0</v>
      </c>
      <c r="F1719">
        <f>IFERROR(SMALL(F367:F1087,ROW()-ROW($F$1090)+1),"")</f>
        <v>0</v>
      </c>
      <c r="G1719">
        <f>IFERROR(SMALL(G367:G1087,ROW()-ROW($G$1090)+1),"")</f>
        <v>0</v>
      </c>
      <c r="H1719">
        <f>IFERROR(SMALL(H367:H1087,ROW()-ROW($H$1090)+1),"")</f>
        <v>0</v>
      </c>
      <c r="K1719">
        <f>IFERROR(SMALL(K367:K1087,ROW()-ROW($K$1090)+1),"")</f>
        <v>0</v>
      </c>
      <c r="L1719">
        <f>IFERROR(SMALL(L367:L1087,ROW()-ROW($L$1090)+1),"")</f>
        <v>0</v>
      </c>
      <c r="M1719">
        <f>IFERROR(SMALL(M367:M1087,ROW()-ROW($M$1090)+1),"")</f>
        <v>0</v>
      </c>
      <c r="N1719">
        <f>IFERROR(SMALL(N367:N1087,ROW()-ROW($N$1090)+1),"")</f>
        <v>0</v>
      </c>
    </row>
    <row r="1720" spans="5:14">
      <c r="E1720">
        <f>IFERROR(SMALL(E367:E1087,ROW()-ROW($E$1090)+1),"")</f>
        <v>0</v>
      </c>
      <c r="F1720">
        <f>IFERROR(SMALL(F367:F1087,ROW()-ROW($F$1090)+1),"")</f>
        <v>0</v>
      </c>
      <c r="G1720">
        <f>IFERROR(SMALL(G367:G1087,ROW()-ROW($G$1090)+1),"")</f>
        <v>0</v>
      </c>
      <c r="H1720">
        <f>IFERROR(SMALL(H367:H1087,ROW()-ROW($H$1090)+1),"")</f>
        <v>0</v>
      </c>
      <c r="K1720">
        <f>IFERROR(SMALL(K367:K1087,ROW()-ROW($K$1090)+1),"")</f>
        <v>0</v>
      </c>
      <c r="L1720">
        <f>IFERROR(SMALL(L367:L1087,ROW()-ROW($L$1090)+1),"")</f>
        <v>0</v>
      </c>
      <c r="M1720">
        <f>IFERROR(SMALL(M367:M1087,ROW()-ROW($M$1090)+1),"")</f>
        <v>0</v>
      </c>
      <c r="N1720">
        <f>IFERROR(SMALL(N367:N1087,ROW()-ROW($N$1090)+1),"")</f>
        <v>0</v>
      </c>
    </row>
    <row r="1721" spans="5:14">
      <c r="E1721">
        <f>IFERROR(SMALL(E367:E1087,ROW()-ROW($E$1090)+1),"")</f>
        <v>0</v>
      </c>
      <c r="F1721">
        <f>IFERROR(SMALL(F367:F1087,ROW()-ROW($F$1090)+1),"")</f>
        <v>0</v>
      </c>
      <c r="G1721">
        <f>IFERROR(SMALL(G367:G1087,ROW()-ROW($G$1090)+1),"")</f>
        <v>0</v>
      </c>
      <c r="H1721">
        <f>IFERROR(SMALL(H367:H1087,ROW()-ROW($H$1090)+1),"")</f>
        <v>0</v>
      </c>
      <c r="K1721">
        <f>IFERROR(SMALL(K367:K1087,ROW()-ROW($K$1090)+1),"")</f>
        <v>0</v>
      </c>
      <c r="L1721">
        <f>IFERROR(SMALL(L367:L1087,ROW()-ROW($L$1090)+1),"")</f>
        <v>0</v>
      </c>
      <c r="M1721">
        <f>IFERROR(SMALL(M367:M1087,ROW()-ROW($M$1090)+1),"")</f>
        <v>0</v>
      </c>
      <c r="N1721">
        <f>IFERROR(SMALL(N367:N1087,ROW()-ROW($N$1090)+1),"")</f>
        <v>0</v>
      </c>
    </row>
    <row r="1722" spans="5:14">
      <c r="E1722">
        <f>IFERROR(SMALL(E367:E1087,ROW()-ROW($E$1090)+1),"")</f>
        <v>0</v>
      </c>
      <c r="F1722">
        <f>IFERROR(SMALL(F367:F1087,ROW()-ROW($F$1090)+1),"")</f>
        <v>0</v>
      </c>
      <c r="G1722">
        <f>IFERROR(SMALL(G367:G1087,ROW()-ROW($G$1090)+1),"")</f>
        <v>0</v>
      </c>
      <c r="H1722">
        <f>IFERROR(SMALL(H367:H1087,ROW()-ROW($H$1090)+1),"")</f>
        <v>0</v>
      </c>
      <c r="K1722">
        <f>IFERROR(SMALL(K367:K1087,ROW()-ROW($K$1090)+1),"")</f>
        <v>0</v>
      </c>
      <c r="L1722">
        <f>IFERROR(SMALL(L367:L1087,ROW()-ROW($L$1090)+1),"")</f>
        <v>0</v>
      </c>
      <c r="M1722">
        <f>IFERROR(SMALL(M367:M1087,ROW()-ROW($M$1090)+1),"")</f>
        <v>0</v>
      </c>
      <c r="N1722">
        <f>IFERROR(SMALL(N367:N1087,ROW()-ROW($N$1090)+1),"")</f>
        <v>0</v>
      </c>
    </row>
    <row r="1723" spans="5:14">
      <c r="E1723">
        <f>IFERROR(SMALL(E367:E1087,ROW()-ROW($E$1090)+1),"")</f>
        <v>0</v>
      </c>
      <c r="F1723">
        <f>IFERROR(SMALL(F367:F1087,ROW()-ROW($F$1090)+1),"")</f>
        <v>0</v>
      </c>
      <c r="G1723">
        <f>IFERROR(SMALL(G367:G1087,ROW()-ROW($G$1090)+1),"")</f>
        <v>0</v>
      </c>
      <c r="H1723">
        <f>IFERROR(SMALL(H367:H1087,ROW()-ROW($H$1090)+1),"")</f>
        <v>0</v>
      </c>
      <c r="K1723">
        <f>IFERROR(SMALL(K367:K1087,ROW()-ROW($K$1090)+1),"")</f>
        <v>0</v>
      </c>
      <c r="L1723">
        <f>IFERROR(SMALL(L367:L1087,ROW()-ROW($L$1090)+1),"")</f>
        <v>0</v>
      </c>
      <c r="M1723">
        <f>IFERROR(SMALL(M367:M1087,ROW()-ROW($M$1090)+1),"")</f>
        <v>0</v>
      </c>
      <c r="N1723">
        <f>IFERROR(SMALL(N367:N1087,ROW()-ROW($N$1090)+1),"")</f>
        <v>0</v>
      </c>
    </row>
    <row r="1724" spans="5:14">
      <c r="E1724">
        <f>IFERROR(SMALL(E367:E1087,ROW()-ROW($E$1090)+1),"")</f>
        <v>0</v>
      </c>
      <c r="F1724">
        <f>IFERROR(SMALL(F367:F1087,ROW()-ROW($F$1090)+1),"")</f>
        <v>0</v>
      </c>
      <c r="G1724">
        <f>IFERROR(SMALL(G367:G1087,ROW()-ROW($G$1090)+1),"")</f>
        <v>0</v>
      </c>
      <c r="H1724">
        <f>IFERROR(SMALL(H367:H1087,ROW()-ROW($H$1090)+1),"")</f>
        <v>0</v>
      </c>
      <c r="K1724">
        <f>IFERROR(SMALL(K367:K1087,ROW()-ROW($K$1090)+1),"")</f>
        <v>0</v>
      </c>
      <c r="L1724">
        <f>IFERROR(SMALL(L367:L1087,ROW()-ROW($L$1090)+1),"")</f>
        <v>0</v>
      </c>
      <c r="M1724">
        <f>IFERROR(SMALL(M367:M1087,ROW()-ROW($M$1090)+1),"")</f>
        <v>0</v>
      </c>
      <c r="N1724">
        <f>IFERROR(SMALL(N367:N1087,ROW()-ROW($N$1090)+1),"")</f>
        <v>0</v>
      </c>
    </row>
    <row r="1725" spans="5:14">
      <c r="E1725">
        <f>IFERROR(SMALL(E367:E1087,ROW()-ROW($E$1090)+1),"")</f>
        <v>0</v>
      </c>
      <c r="F1725">
        <f>IFERROR(SMALL(F367:F1087,ROW()-ROW($F$1090)+1),"")</f>
        <v>0</v>
      </c>
      <c r="G1725">
        <f>IFERROR(SMALL(G367:G1087,ROW()-ROW($G$1090)+1),"")</f>
        <v>0</v>
      </c>
      <c r="H1725">
        <f>IFERROR(SMALL(H367:H1087,ROW()-ROW($H$1090)+1),"")</f>
        <v>0</v>
      </c>
      <c r="K1725">
        <f>IFERROR(SMALL(K367:K1087,ROW()-ROW($K$1090)+1),"")</f>
        <v>0</v>
      </c>
      <c r="L1725">
        <f>IFERROR(SMALL(L367:L1087,ROW()-ROW($L$1090)+1),"")</f>
        <v>0</v>
      </c>
      <c r="M1725">
        <f>IFERROR(SMALL(M367:M1087,ROW()-ROW($M$1090)+1),"")</f>
        <v>0</v>
      </c>
      <c r="N1725">
        <f>IFERROR(SMALL(N367:N1087,ROW()-ROW($N$1090)+1),"")</f>
        <v>0</v>
      </c>
    </row>
    <row r="1726" spans="5:14">
      <c r="E1726">
        <f>IFERROR(SMALL(E367:E1087,ROW()-ROW($E$1090)+1),"")</f>
        <v>0</v>
      </c>
      <c r="F1726">
        <f>IFERROR(SMALL(F367:F1087,ROW()-ROW($F$1090)+1),"")</f>
        <v>0</v>
      </c>
      <c r="G1726">
        <f>IFERROR(SMALL(G367:G1087,ROW()-ROW($G$1090)+1),"")</f>
        <v>0</v>
      </c>
      <c r="H1726">
        <f>IFERROR(SMALL(H367:H1087,ROW()-ROW($H$1090)+1),"")</f>
        <v>0</v>
      </c>
      <c r="K1726">
        <f>IFERROR(SMALL(K367:K1087,ROW()-ROW($K$1090)+1),"")</f>
        <v>0</v>
      </c>
      <c r="L1726">
        <f>IFERROR(SMALL(L367:L1087,ROW()-ROW($L$1090)+1),"")</f>
        <v>0</v>
      </c>
      <c r="M1726">
        <f>IFERROR(SMALL(M367:M1087,ROW()-ROW($M$1090)+1),"")</f>
        <v>0</v>
      </c>
      <c r="N1726">
        <f>IFERROR(SMALL(N367:N1087,ROW()-ROW($N$1090)+1),"")</f>
        <v>0</v>
      </c>
    </row>
    <row r="1727" spans="5:14">
      <c r="E1727">
        <f>IFERROR(SMALL(E367:E1087,ROW()-ROW($E$1090)+1),"")</f>
        <v>0</v>
      </c>
      <c r="F1727">
        <f>IFERROR(SMALL(F367:F1087,ROW()-ROW($F$1090)+1),"")</f>
        <v>0</v>
      </c>
      <c r="G1727">
        <f>IFERROR(SMALL(G367:G1087,ROW()-ROW($G$1090)+1),"")</f>
        <v>0</v>
      </c>
      <c r="H1727">
        <f>IFERROR(SMALL(H367:H1087,ROW()-ROW($H$1090)+1),"")</f>
        <v>0</v>
      </c>
      <c r="K1727">
        <f>IFERROR(SMALL(K367:K1087,ROW()-ROW($K$1090)+1),"")</f>
        <v>0</v>
      </c>
      <c r="L1727">
        <f>IFERROR(SMALL(L367:L1087,ROW()-ROW($L$1090)+1),"")</f>
        <v>0</v>
      </c>
      <c r="M1727">
        <f>IFERROR(SMALL(M367:M1087,ROW()-ROW($M$1090)+1),"")</f>
        <v>0</v>
      </c>
      <c r="N1727">
        <f>IFERROR(SMALL(N367:N1087,ROW()-ROW($N$1090)+1),"")</f>
        <v>0</v>
      </c>
    </row>
    <row r="1728" spans="5:14">
      <c r="E1728">
        <f>IFERROR(SMALL(E367:E1087,ROW()-ROW($E$1090)+1),"")</f>
        <v>0</v>
      </c>
      <c r="F1728">
        <f>IFERROR(SMALL(F367:F1087,ROW()-ROW($F$1090)+1),"")</f>
        <v>0</v>
      </c>
      <c r="G1728">
        <f>IFERROR(SMALL(G367:G1087,ROW()-ROW($G$1090)+1),"")</f>
        <v>0</v>
      </c>
      <c r="H1728">
        <f>IFERROR(SMALL(H367:H1087,ROW()-ROW($H$1090)+1),"")</f>
        <v>0</v>
      </c>
      <c r="K1728">
        <f>IFERROR(SMALL(K367:K1087,ROW()-ROW($K$1090)+1),"")</f>
        <v>0</v>
      </c>
      <c r="L1728">
        <f>IFERROR(SMALL(L367:L1087,ROW()-ROW($L$1090)+1),"")</f>
        <v>0</v>
      </c>
      <c r="M1728">
        <f>IFERROR(SMALL(M367:M1087,ROW()-ROW($M$1090)+1),"")</f>
        <v>0</v>
      </c>
      <c r="N1728">
        <f>IFERROR(SMALL(N367:N1087,ROW()-ROW($N$1090)+1),"")</f>
        <v>0</v>
      </c>
    </row>
    <row r="1729" spans="5:14">
      <c r="E1729">
        <f>IFERROR(SMALL(E367:E1087,ROW()-ROW($E$1090)+1),"")</f>
        <v>0</v>
      </c>
      <c r="F1729">
        <f>IFERROR(SMALL(F367:F1087,ROW()-ROW($F$1090)+1),"")</f>
        <v>0</v>
      </c>
      <c r="G1729">
        <f>IFERROR(SMALL(G367:G1087,ROW()-ROW($G$1090)+1),"")</f>
        <v>0</v>
      </c>
      <c r="H1729">
        <f>IFERROR(SMALL(H367:H1087,ROW()-ROW($H$1090)+1),"")</f>
        <v>0</v>
      </c>
      <c r="K1729">
        <f>IFERROR(SMALL(K367:K1087,ROW()-ROW($K$1090)+1),"")</f>
        <v>0</v>
      </c>
      <c r="L1729">
        <f>IFERROR(SMALL(L367:L1087,ROW()-ROW($L$1090)+1),"")</f>
        <v>0</v>
      </c>
      <c r="M1729">
        <f>IFERROR(SMALL(M367:M1087,ROW()-ROW($M$1090)+1),"")</f>
        <v>0</v>
      </c>
      <c r="N1729">
        <f>IFERROR(SMALL(N367:N1087,ROW()-ROW($N$1090)+1),"")</f>
        <v>0</v>
      </c>
    </row>
    <row r="1730" spans="5:14">
      <c r="E1730">
        <f>IFERROR(SMALL(E367:E1087,ROW()-ROW($E$1090)+1),"")</f>
        <v>0</v>
      </c>
      <c r="F1730">
        <f>IFERROR(SMALL(F367:F1087,ROW()-ROW($F$1090)+1),"")</f>
        <v>0</v>
      </c>
      <c r="G1730">
        <f>IFERROR(SMALL(G367:G1087,ROW()-ROW($G$1090)+1),"")</f>
        <v>0</v>
      </c>
      <c r="H1730">
        <f>IFERROR(SMALL(H367:H1087,ROW()-ROW($H$1090)+1),"")</f>
        <v>0</v>
      </c>
      <c r="K1730">
        <f>IFERROR(SMALL(K367:K1087,ROW()-ROW($K$1090)+1),"")</f>
        <v>0</v>
      </c>
      <c r="L1730">
        <f>IFERROR(SMALL(L367:L1087,ROW()-ROW($L$1090)+1),"")</f>
        <v>0</v>
      </c>
      <c r="M1730">
        <f>IFERROR(SMALL(M367:M1087,ROW()-ROW($M$1090)+1),"")</f>
        <v>0</v>
      </c>
      <c r="N1730">
        <f>IFERROR(SMALL(N367:N1087,ROW()-ROW($N$1090)+1),"")</f>
        <v>0</v>
      </c>
    </row>
    <row r="1731" spans="5:14">
      <c r="E1731">
        <f>IFERROR(SMALL(E367:E1087,ROW()-ROW($E$1090)+1),"")</f>
        <v>0</v>
      </c>
      <c r="F1731">
        <f>IFERROR(SMALL(F367:F1087,ROW()-ROW($F$1090)+1),"")</f>
        <v>0</v>
      </c>
      <c r="G1731">
        <f>IFERROR(SMALL(G367:G1087,ROW()-ROW($G$1090)+1),"")</f>
        <v>0</v>
      </c>
      <c r="H1731">
        <f>IFERROR(SMALL(H367:H1087,ROW()-ROW($H$1090)+1),"")</f>
        <v>0</v>
      </c>
      <c r="K1731">
        <f>IFERROR(SMALL(K367:K1087,ROW()-ROW($K$1090)+1),"")</f>
        <v>0</v>
      </c>
      <c r="L1731">
        <f>IFERROR(SMALL(L367:L1087,ROW()-ROW($L$1090)+1),"")</f>
        <v>0</v>
      </c>
      <c r="M1731">
        <f>IFERROR(SMALL(M367:M1087,ROW()-ROW($M$1090)+1),"")</f>
        <v>0</v>
      </c>
      <c r="N1731">
        <f>IFERROR(SMALL(N367:N1087,ROW()-ROW($N$1090)+1),"")</f>
        <v>0</v>
      </c>
    </row>
    <row r="1732" spans="5:14">
      <c r="E1732">
        <f>IFERROR(SMALL(E367:E1087,ROW()-ROW($E$1090)+1),"")</f>
        <v>0</v>
      </c>
      <c r="F1732">
        <f>IFERROR(SMALL(F367:F1087,ROW()-ROW($F$1090)+1),"")</f>
        <v>0</v>
      </c>
      <c r="G1732">
        <f>IFERROR(SMALL(G367:G1087,ROW()-ROW($G$1090)+1),"")</f>
        <v>0</v>
      </c>
      <c r="H1732">
        <f>IFERROR(SMALL(H367:H1087,ROW()-ROW($H$1090)+1),"")</f>
        <v>0</v>
      </c>
      <c r="K1732">
        <f>IFERROR(SMALL(K367:K1087,ROW()-ROW($K$1090)+1),"")</f>
        <v>0</v>
      </c>
      <c r="L1732">
        <f>IFERROR(SMALL(L367:L1087,ROW()-ROW($L$1090)+1),"")</f>
        <v>0</v>
      </c>
      <c r="M1732">
        <f>IFERROR(SMALL(M367:M1087,ROW()-ROW($M$1090)+1),"")</f>
        <v>0</v>
      </c>
      <c r="N1732">
        <f>IFERROR(SMALL(N367:N1087,ROW()-ROW($N$1090)+1),"")</f>
        <v>0</v>
      </c>
    </row>
    <row r="1733" spans="5:14">
      <c r="E1733">
        <f>IFERROR(SMALL(E367:E1087,ROW()-ROW($E$1090)+1),"")</f>
        <v>0</v>
      </c>
      <c r="F1733">
        <f>IFERROR(SMALL(F367:F1087,ROW()-ROW($F$1090)+1),"")</f>
        <v>0</v>
      </c>
      <c r="G1733">
        <f>IFERROR(SMALL(G367:G1087,ROW()-ROW($G$1090)+1),"")</f>
        <v>0</v>
      </c>
      <c r="H1733">
        <f>IFERROR(SMALL(H367:H1087,ROW()-ROW($H$1090)+1),"")</f>
        <v>0</v>
      </c>
      <c r="K1733">
        <f>IFERROR(SMALL(K367:K1087,ROW()-ROW($K$1090)+1),"")</f>
        <v>0</v>
      </c>
      <c r="L1733">
        <f>IFERROR(SMALL(L367:L1087,ROW()-ROW($L$1090)+1),"")</f>
        <v>0</v>
      </c>
      <c r="M1733">
        <f>IFERROR(SMALL(M367:M1087,ROW()-ROW($M$1090)+1),"")</f>
        <v>0</v>
      </c>
      <c r="N1733">
        <f>IFERROR(SMALL(N367:N1087,ROW()-ROW($N$1090)+1),"")</f>
        <v>0</v>
      </c>
    </row>
    <row r="1734" spans="5:14">
      <c r="E1734">
        <f>IFERROR(SMALL(E367:E1087,ROW()-ROW($E$1090)+1),"")</f>
        <v>0</v>
      </c>
      <c r="F1734">
        <f>IFERROR(SMALL(F367:F1087,ROW()-ROW($F$1090)+1),"")</f>
        <v>0</v>
      </c>
      <c r="G1734">
        <f>IFERROR(SMALL(G367:G1087,ROW()-ROW($G$1090)+1),"")</f>
        <v>0</v>
      </c>
      <c r="H1734">
        <f>IFERROR(SMALL(H367:H1087,ROW()-ROW($H$1090)+1),"")</f>
        <v>0</v>
      </c>
      <c r="K1734">
        <f>IFERROR(SMALL(K367:K1087,ROW()-ROW($K$1090)+1),"")</f>
        <v>0</v>
      </c>
      <c r="L1734">
        <f>IFERROR(SMALL(L367:L1087,ROW()-ROW($L$1090)+1),"")</f>
        <v>0</v>
      </c>
      <c r="M1734">
        <f>IFERROR(SMALL(M367:M1087,ROW()-ROW($M$1090)+1),"")</f>
        <v>0</v>
      </c>
      <c r="N1734">
        <f>IFERROR(SMALL(N367:N1087,ROW()-ROW($N$1090)+1),"")</f>
        <v>0</v>
      </c>
    </row>
    <row r="1735" spans="5:14">
      <c r="E1735">
        <f>IFERROR(SMALL(E367:E1087,ROW()-ROW($E$1090)+1),"")</f>
        <v>0</v>
      </c>
      <c r="F1735">
        <f>IFERROR(SMALL(F367:F1087,ROW()-ROW($F$1090)+1),"")</f>
        <v>0</v>
      </c>
      <c r="G1735">
        <f>IFERROR(SMALL(G367:G1087,ROW()-ROW($G$1090)+1),"")</f>
        <v>0</v>
      </c>
      <c r="H1735">
        <f>IFERROR(SMALL(H367:H1087,ROW()-ROW($H$1090)+1),"")</f>
        <v>0</v>
      </c>
      <c r="K1735">
        <f>IFERROR(SMALL(K367:K1087,ROW()-ROW($K$1090)+1),"")</f>
        <v>0</v>
      </c>
      <c r="L1735">
        <f>IFERROR(SMALL(L367:L1087,ROW()-ROW($L$1090)+1),"")</f>
        <v>0</v>
      </c>
      <c r="M1735">
        <f>IFERROR(SMALL(M367:M1087,ROW()-ROW($M$1090)+1),"")</f>
        <v>0</v>
      </c>
      <c r="N1735">
        <f>IFERROR(SMALL(N367:N1087,ROW()-ROW($N$1090)+1),"")</f>
        <v>0</v>
      </c>
    </row>
    <row r="1736" spans="5:14">
      <c r="E1736">
        <f>IFERROR(SMALL(E367:E1087,ROW()-ROW($E$1090)+1),"")</f>
        <v>0</v>
      </c>
      <c r="F1736">
        <f>IFERROR(SMALL(F367:F1087,ROW()-ROW($F$1090)+1),"")</f>
        <v>0</v>
      </c>
      <c r="G1736">
        <f>IFERROR(SMALL(G367:G1087,ROW()-ROW($G$1090)+1),"")</f>
        <v>0</v>
      </c>
      <c r="H1736">
        <f>IFERROR(SMALL(H367:H1087,ROW()-ROW($H$1090)+1),"")</f>
        <v>0</v>
      </c>
      <c r="K1736">
        <f>IFERROR(SMALL(K367:K1087,ROW()-ROW($K$1090)+1),"")</f>
        <v>0</v>
      </c>
      <c r="L1736">
        <f>IFERROR(SMALL(L367:L1087,ROW()-ROW($L$1090)+1),"")</f>
        <v>0</v>
      </c>
      <c r="M1736">
        <f>IFERROR(SMALL(M367:M1087,ROW()-ROW($M$1090)+1),"")</f>
        <v>0</v>
      </c>
      <c r="N1736">
        <f>IFERROR(SMALL(N367:N1087,ROW()-ROW($N$1090)+1),"")</f>
        <v>0</v>
      </c>
    </row>
    <row r="1737" spans="5:14">
      <c r="E1737">
        <f>IFERROR(SMALL(E367:E1087,ROW()-ROW($E$1090)+1),"")</f>
        <v>0</v>
      </c>
      <c r="F1737">
        <f>IFERROR(SMALL(F367:F1087,ROW()-ROW($F$1090)+1),"")</f>
        <v>0</v>
      </c>
      <c r="G1737">
        <f>IFERROR(SMALL(G367:G1087,ROW()-ROW($G$1090)+1),"")</f>
        <v>0</v>
      </c>
      <c r="H1737">
        <f>IFERROR(SMALL(H367:H1087,ROW()-ROW($H$1090)+1),"")</f>
        <v>0</v>
      </c>
      <c r="K1737">
        <f>IFERROR(SMALL(K367:K1087,ROW()-ROW($K$1090)+1),"")</f>
        <v>0</v>
      </c>
      <c r="L1737">
        <f>IFERROR(SMALL(L367:L1087,ROW()-ROW($L$1090)+1),"")</f>
        <v>0</v>
      </c>
      <c r="M1737">
        <f>IFERROR(SMALL(M367:M1087,ROW()-ROW($M$1090)+1),"")</f>
        <v>0</v>
      </c>
      <c r="N1737">
        <f>IFERROR(SMALL(N367:N1087,ROW()-ROW($N$1090)+1),"")</f>
        <v>0</v>
      </c>
    </row>
    <row r="1738" spans="5:14">
      <c r="E1738">
        <f>IFERROR(SMALL(E367:E1087,ROW()-ROW($E$1090)+1),"")</f>
        <v>0</v>
      </c>
      <c r="F1738">
        <f>IFERROR(SMALL(F367:F1087,ROW()-ROW($F$1090)+1),"")</f>
        <v>0</v>
      </c>
      <c r="G1738">
        <f>IFERROR(SMALL(G367:G1087,ROW()-ROW($G$1090)+1),"")</f>
        <v>0</v>
      </c>
      <c r="H1738">
        <f>IFERROR(SMALL(H367:H1087,ROW()-ROW($H$1090)+1),"")</f>
        <v>0</v>
      </c>
      <c r="K1738">
        <f>IFERROR(SMALL(K367:K1087,ROW()-ROW($K$1090)+1),"")</f>
        <v>0</v>
      </c>
      <c r="L1738">
        <f>IFERROR(SMALL(L367:L1087,ROW()-ROW($L$1090)+1),"")</f>
        <v>0</v>
      </c>
      <c r="M1738">
        <f>IFERROR(SMALL(M367:M1087,ROW()-ROW($M$1090)+1),"")</f>
        <v>0</v>
      </c>
      <c r="N1738">
        <f>IFERROR(SMALL(N367:N1087,ROW()-ROW($N$1090)+1),"")</f>
        <v>0</v>
      </c>
    </row>
    <row r="1739" spans="5:14">
      <c r="E1739">
        <f>IFERROR(SMALL(E367:E1087,ROW()-ROW($E$1090)+1),"")</f>
        <v>0</v>
      </c>
      <c r="F1739">
        <f>IFERROR(SMALL(F367:F1087,ROW()-ROW($F$1090)+1),"")</f>
        <v>0</v>
      </c>
      <c r="G1739">
        <f>IFERROR(SMALL(G367:G1087,ROW()-ROW($G$1090)+1),"")</f>
        <v>0</v>
      </c>
      <c r="H1739">
        <f>IFERROR(SMALL(H367:H1087,ROW()-ROW($H$1090)+1),"")</f>
        <v>0</v>
      </c>
      <c r="K1739">
        <f>IFERROR(SMALL(K367:K1087,ROW()-ROW($K$1090)+1),"")</f>
        <v>0</v>
      </c>
      <c r="L1739">
        <f>IFERROR(SMALL(L367:L1087,ROW()-ROW($L$1090)+1),"")</f>
        <v>0</v>
      </c>
      <c r="M1739">
        <f>IFERROR(SMALL(M367:M1087,ROW()-ROW($M$1090)+1),"")</f>
        <v>0</v>
      </c>
      <c r="N1739">
        <f>IFERROR(SMALL(N367:N1087,ROW()-ROW($N$1090)+1),"")</f>
        <v>0</v>
      </c>
    </row>
    <row r="1740" spans="5:14">
      <c r="E1740">
        <f>IFERROR(SMALL(E367:E1087,ROW()-ROW($E$1090)+1),"")</f>
        <v>0</v>
      </c>
      <c r="F1740">
        <f>IFERROR(SMALL(F367:F1087,ROW()-ROW($F$1090)+1),"")</f>
        <v>0</v>
      </c>
      <c r="G1740">
        <f>IFERROR(SMALL(G367:G1087,ROW()-ROW($G$1090)+1),"")</f>
        <v>0</v>
      </c>
      <c r="H1740">
        <f>IFERROR(SMALL(H367:H1087,ROW()-ROW($H$1090)+1),"")</f>
        <v>0</v>
      </c>
      <c r="K1740">
        <f>IFERROR(SMALL(K367:K1087,ROW()-ROW($K$1090)+1),"")</f>
        <v>0</v>
      </c>
      <c r="L1740">
        <f>IFERROR(SMALL(L367:L1087,ROW()-ROW($L$1090)+1),"")</f>
        <v>0</v>
      </c>
      <c r="M1740">
        <f>IFERROR(SMALL(M367:M1087,ROW()-ROW($M$1090)+1),"")</f>
        <v>0</v>
      </c>
      <c r="N1740">
        <f>IFERROR(SMALL(N367:N1087,ROW()-ROW($N$1090)+1),"")</f>
        <v>0</v>
      </c>
    </row>
    <row r="1741" spans="5:14">
      <c r="E1741">
        <f>IFERROR(SMALL(E367:E1087,ROW()-ROW($E$1090)+1),"")</f>
        <v>0</v>
      </c>
      <c r="F1741">
        <f>IFERROR(SMALL(F367:F1087,ROW()-ROW($F$1090)+1),"")</f>
        <v>0</v>
      </c>
      <c r="G1741">
        <f>IFERROR(SMALL(G367:G1087,ROW()-ROW($G$1090)+1),"")</f>
        <v>0</v>
      </c>
      <c r="H1741">
        <f>IFERROR(SMALL(H367:H1087,ROW()-ROW($H$1090)+1),"")</f>
        <v>0</v>
      </c>
      <c r="K1741">
        <f>IFERROR(SMALL(K367:K1087,ROW()-ROW($K$1090)+1),"")</f>
        <v>0</v>
      </c>
      <c r="L1741">
        <f>IFERROR(SMALL(L367:L1087,ROW()-ROW($L$1090)+1),"")</f>
        <v>0</v>
      </c>
      <c r="M1741">
        <f>IFERROR(SMALL(M367:M1087,ROW()-ROW($M$1090)+1),"")</f>
        <v>0</v>
      </c>
      <c r="N1741">
        <f>IFERROR(SMALL(N367:N1087,ROW()-ROW($N$1090)+1),"")</f>
        <v>0</v>
      </c>
    </row>
    <row r="1742" spans="5:14">
      <c r="E1742">
        <f>IFERROR(SMALL(E367:E1087,ROW()-ROW($E$1090)+1),"")</f>
        <v>0</v>
      </c>
      <c r="F1742">
        <f>IFERROR(SMALL(F367:F1087,ROW()-ROW($F$1090)+1),"")</f>
        <v>0</v>
      </c>
      <c r="G1742">
        <f>IFERROR(SMALL(G367:G1087,ROW()-ROW($G$1090)+1),"")</f>
        <v>0</v>
      </c>
      <c r="H1742">
        <f>IFERROR(SMALL(H367:H1087,ROW()-ROW($H$1090)+1),"")</f>
        <v>0</v>
      </c>
      <c r="K1742">
        <f>IFERROR(SMALL(K367:K1087,ROW()-ROW($K$1090)+1),"")</f>
        <v>0</v>
      </c>
      <c r="L1742">
        <f>IFERROR(SMALL(L367:L1087,ROW()-ROW($L$1090)+1),"")</f>
        <v>0</v>
      </c>
      <c r="M1742">
        <f>IFERROR(SMALL(M367:M1087,ROW()-ROW($M$1090)+1),"")</f>
        <v>0</v>
      </c>
      <c r="N1742">
        <f>IFERROR(SMALL(N367:N1087,ROW()-ROW($N$1090)+1),"")</f>
        <v>0</v>
      </c>
    </row>
    <row r="1743" spans="5:14">
      <c r="E1743">
        <f>IFERROR(SMALL(E367:E1087,ROW()-ROW($E$1090)+1),"")</f>
        <v>0</v>
      </c>
      <c r="F1743">
        <f>IFERROR(SMALL(F367:F1087,ROW()-ROW($F$1090)+1),"")</f>
        <v>0</v>
      </c>
      <c r="G1743">
        <f>IFERROR(SMALL(G367:G1087,ROW()-ROW($G$1090)+1),"")</f>
        <v>0</v>
      </c>
      <c r="H1743">
        <f>IFERROR(SMALL(H367:H1087,ROW()-ROW($H$1090)+1),"")</f>
        <v>0</v>
      </c>
      <c r="K1743">
        <f>IFERROR(SMALL(K367:K1087,ROW()-ROW($K$1090)+1),"")</f>
        <v>0</v>
      </c>
      <c r="L1743">
        <f>IFERROR(SMALL(L367:L1087,ROW()-ROW($L$1090)+1),"")</f>
        <v>0</v>
      </c>
      <c r="M1743">
        <f>IFERROR(SMALL(M367:M1087,ROW()-ROW($M$1090)+1),"")</f>
        <v>0</v>
      </c>
      <c r="N1743">
        <f>IFERROR(SMALL(N367:N1087,ROW()-ROW($N$1090)+1),"")</f>
        <v>0</v>
      </c>
    </row>
    <row r="1744" spans="5:14">
      <c r="E1744">
        <f>IFERROR(SMALL(E367:E1087,ROW()-ROW($E$1090)+1),"")</f>
        <v>0</v>
      </c>
      <c r="F1744">
        <f>IFERROR(SMALL(F367:F1087,ROW()-ROW($F$1090)+1),"")</f>
        <v>0</v>
      </c>
      <c r="G1744">
        <f>IFERROR(SMALL(G367:G1087,ROW()-ROW($G$1090)+1),"")</f>
        <v>0</v>
      </c>
      <c r="H1744">
        <f>IFERROR(SMALL(H367:H1087,ROW()-ROW($H$1090)+1),"")</f>
        <v>0</v>
      </c>
      <c r="K1744">
        <f>IFERROR(SMALL(K367:K1087,ROW()-ROW($K$1090)+1),"")</f>
        <v>0</v>
      </c>
      <c r="L1744">
        <f>IFERROR(SMALL(L367:L1087,ROW()-ROW($L$1090)+1),"")</f>
        <v>0</v>
      </c>
      <c r="M1744">
        <f>IFERROR(SMALL(M367:M1087,ROW()-ROW($M$1090)+1),"")</f>
        <v>0</v>
      </c>
      <c r="N1744">
        <f>IFERROR(SMALL(N367:N1087,ROW()-ROW($N$1090)+1),"")</f>
        <v>0</v>
      </c>
    </row>
    <row r="1745" spans="5:14">
      <c r="E1745">
        <f>IFERROR(SMALL(E367:E1087,ROW()-ROW($E$1090)+1),"")</f>
        <v>0</v>
      </c>
      <c r="F1745">
        <f>IFERROR(SMALL(F367:F1087,ROW()-ROW($F$1090)+1),"")</f>
        <v>0</v>
      </c>
      <c r="G1745">
        <f>IFERROR(SMALL(G367:G1087,ROW()-ROW($G$1090)+1),"")</f>
        <v>0</v>
      </c>
      <c r="H1745">
        <f>IFERROR(SMALL(H367:H1087,ROW()-ROW($H$1090)+1),"")</f>
        <v>0</v>
      </c>
      <c r="K1745">
        <f>IFERROR(SMALL(K367:K1087,ROW()-ROW($K$1090)+1),"")</f>
        <v>0</v>
      </c>
      <c r="L1745">
        <f>IFERROR(SMALL(L367:L1087,ROW()-ROW($L$1090)+1),"")</f>
        <v>0</v>
      </c>
      <c r="M1745">
        <f>IFERROR(SMALL(M367:M1087,ROW()-ROW($M$1090)+1),"")</f>
        <v>0</v>
      </c>
      <c r="N1745">
        <f>IFERROR(SMALL(N367:N1087,ROW()-ROW($N$1090)+1),"")</f>
        <v>0</v>
      </c>
    </row>
    <row r="1746" spans="5:14">
      <c r="E1746">
        <f>IFERROR(SMALL(E367:E1087,ROW()-ROW($E$1090)+1),"")</f>
        <v>0</v>
      </c>
      <c r="F1746">
        <f>IFERROR(SMALL(F367:F1087,ROW()-ROW($F$1090)+1),"")</f>
        <v>0</v>
      </c>
      <c r="G1746">
        <f>IFERROR(SMALL(G367:G1087,ROW()-ROW($G$1090)+1),"")</f>
        <v>0</v>
      </c>
      <c r="H1746">
        <f>IFERROR(SMALL(H367:H1087,ROW()-ROW($H$1090)+1),"")</f>
        <v>0</v>
      </c>
      <c r="K1746">
        <f>IFERROR(SMALL(K367:K1087,ROW()-ROW($K$1090)+1),"")</f>
        <v>0</v>
      </c>
      <c r="L1746">
        <f>IFERROR(SMALL(L367:L1087,ROW()-ROW($L$1090)+1),"")</f>
        <v>0</v>
      </c>
      <c r="M1746">
        <f>IFERROR(SMALL(M367:M1087,ROW()-ROW($M$1090)+1),"")</f>
        <v>0</v>
      </c>
      <c r="N1746">
        <f>IFERROR(SMALL(N367:N1087,ROW()-ROW($N$1090)+1),"")</f>
        <v>0</v>
      </c>
    </row>
    <row r="1747" spans="5:14">
      <c r="E1747">
        <f>IFERROR(SMALL(E367:E1087,ROW()-ROW($E$1090)+1),"")</f>
        <v>0</v>
      </c>
      <c r="F1747">
        <f>IFERROR(SMALL(F367:F1087,ROW()-ROW($F$1090)+1),"")</f>
        <v>0</v>
      </c>
      <c r="G1747">
        <f>IFERROR(SMALL(G367:G1087,ROW()-ROW($G$1090)+1),"")</f>
        <v>0</v>
      </c>
      <c r="H1747">
        <f>IFERROR(SMALL(H367:H1087,ROW()-ROW($H$1090)+1),"")</f>
        <v>0</v>
      </c>
      <c r="K1747">
        <f>IFERROR(SMALL(K367:K1087,ROW()-ROW($K$1090)+1),"")</f>
        <v>0</v>
      </c>
      <c r="L1747">
        <f>IFERROR(SMALL(L367:L1087,ROW()-ROW($L$1090)+1),"")</f>
        <v>0</v>
      </c>
      <c r="M1747">
        <f>IFERROR(SMALL(M367:M1087,ROW()-ROW($M$1090)+1),"")</f>
        <v>0</v>
      </c>
      <c r="N1747">
        <f>IFERROR(SMALL(N367:N1087,ROW()-ROW($N$1090)+1),"")</f>
        <v>0</v>
      </c>
    </row>
    <row r="1748" spans="5:14">
      <c r="E1748">
        <f>IFERROR(SMALL(E367:E1087,ROW()-ROW($E$1090)+1),"")</f>
        <v>0</v>
      </c>
      <c r="F1748">
        <f>IFERROR(SMALL(F367:F1087,ROW()-ROW($F$1090)+1),"")</f>
        <v>0</v>
      </c>
      <c r="G1748">
        <f>IFERROR(SMALL(G367:G1087,ROW()-ROW($G$1090)+1),"")</f>
        <v>0</v>
      </c>
      <c r="H1748">
        <f>IFERROR(SMALL(H367:H1087,ROW()-ROW($H$1090)+1),"")</f>
        <v>0</v>
      </c>
      <c r="K1748">
        <f>IFERROR(SMALL(K367:K1087,ROW()-ROW($K$1090)+1),"")</f>
        <v>0</v>
      </c>
      <c r="L1748">
        <f>IFERROR(SMALL(L367:L1087,ROW()-ROW($L$1090)+1),"")</f>
        <v>0</v>
      </c>
      <c r="M1748">
        <f>IFERROR(SMALL(M367:M1087,ROW()-ROW($M$1090)+1),"")</f>
        <v>0</v>
      </c>
      <c r="N1748">
        <f>IFERROR(SMALL(N367:N1087,ROW()-ROW($N$1090)+1),"")</f>
        <v>0</v>
      </c>
    </row>
    <row r="1749" spans="5:14">
      <c r="E1749">
        <f>IFERROR(SMALL(E367:E1087,ROW()-ROW($E$1090)+1),"")</f>
        <v>0</v>
      </c>
      <c r="F1749">
        <f>IFERROR(SMALL(F367:F1087,ROW()-ROW($F$1090)+1),"")</f>
        <v>0</v>
      </c>
      <c r="G1749">
        <f>IFERROR(SMALL(G367:G1087,ROW()-ROW($G$1090)+1),"")</f>
        <v>0</v>
      </c>
      <c r="H1749">
        <f>IFERROR(SMALL(H367:H1087,ROW()-ROW($H$1090)+1),"")</f>
        <v>0</v>
      </c>
      <c r="K1749">
        <f>IFERROR(SMALL(K367:K1087,ROW()-ROW($K$1090)+1),"")</f>
        <v>0</v>
      </c>
      <c r="L1749">
        <f>IFERROR(SMALL(L367:L1087,ROW()-ROW($L$1090)+1),"")</f>
        <v>0</v>
      </c>
      <c r="M1749">
        <f>IFERROR(SMALL(M367:M1087,ROW()-ROW($M$1090)+1),"")</f>
        <v>0</v>
      </c>
      <c r="N1749">
        <f>IFERROR(SMALL(N367:N1087,ROW()-ROW($N$1090)+1),"")</f>
        <v>0</v>
      </c>
    </row>
    <row r="1750" spans="5:14">
      <c r="E1750">
        <f>IFERROR(SMALL(E367:E1087,ROW()-ROW($E$1090)+1),"")</f>
        <v>0</v>
      </c>
      <c r="F1750">
        <f>IFERROR(SMALL(F367:F1087,ROW()-ROW($F$1090)+1),"")</f>
        <v>0</v>
      </c>
      <c r="G1750">
        <f>IFERROR(SMALL(G367:G1087,ROW()-ROW($G$1090)+1),"")</f>
        <v>0</v>
      </c>
      <c r="H1750">
        <f>IFERROR(SMALL(H367:H1087,ROW()-ROW($H$1090)+1),"")</f>
        <v>0</v>
      </c>
      <c r="K1750">
        <f>IFERROR(SMALL(K367:K1087,ROW()-ROW($K$1090)+1),"")</f>
        <v>0</v>
      </c>
      <c r="L1750">
        <f>IFERROR(SMALL(L367:L1087,ROW()-ROW($L$1090)+1),"")</f>
        <v>0</v>
      </c>
      <c r="M1750">
        <f>IFERROR(SMALL(M367:M1087,ROW()-ROW($M$1090)+1),"")</f>
        <v>0</v>
      </c>
      <c r="N1750">
        <f>IFERROR(SMALL(N367:N1087,ROW()-ROW($N$1090)+1),"")</f>
        <v>0</v>
      </c>
    </row>
    <row r="1751" spans="5:14">
      <c r="E1751">
        <f>IFERROR(SMALL(E367:E1087,ROW()-ROW($E$1090)+1),"")</f>
        <v>0</v>
      </c>
      <c r="F1751">
        <f>IFERROR(SMALL(F367:F1087,ROW()-ROW($F$1090)+1),"")</f>
        <v>0</v>
      </c>
      <c r="G1751">
        <f>IFERROR(SMALL(G367:G1087,ROW()-ROW($G$1090)+1),"")</f>
        <v>0</v>
      </c>
      <c r="H1751">
        <f>IFERROR(SMALL(H367:H1087,ROW()-ROW($H$1090)+1),"")</f>
        <v>0</v>
      </c>
      <c r="K1751">
        <f>IFERROR(SMALL(K367:K1087,ROW()-ROW($K$1090)+1),"")</f>
        <v>0</v>
      </c>
      <c r="L1751">
        <f>IFERROR(SMALL(L367:L1087,ROW()-ROW($L$1090)+1),"")</f>
        <v>0</v>
      </c>
      <c r="M1751">
        <f>IFERROR(SMALL(M367:M1087,ROW()-ROW($M$1090)+1),"")</f>
        <v>0</v>
      </c>
      <c r="N1751">
        <f>IFERROR(SMALL(N367:N1087,ROW()-ROW($N$1090)+1),"")</f>
        <v>0</v>
      </c>
    </row>
    <row r="1752" spans="5:14">
      <c r="E1752">
        <f>IFERROR(SMALL(E367:E1087,ROW()-ROW($E$1090)+1),"")</f>
        <v>0</v>
      </c>
      <c r="F1752">
        <f>IFERROR(SMALL(F367:F1087,ROW()-ROW($F$1090)+1),"")</f>
        <v>0</v>
      </c>
      <c r="G1752">
        <f>IFERROR(SMALL(G367:G1087,ROW()-ROW($G$1090)+1),"")</f>
        <v>0</v>
      </c>
      <c r="H1752">
        <f>IFERROR(SMALL(H367:H1087,ROW()-ROW($H$1090)+1),"")</f>
        <v>0</v>
      </c>
      <c r="K1752">
        <f>IFERROR(SMALL(K367:K1087,ROW()-ROW($K$1090)+1),"")</f>
        <v>0</v>
      </c>
      <c r="L1752">
        <f>IFERROR(SMALL(L367:L1087,ROW()-ROW($L$1090)+1),"")</f>
        <v>0</v>
      </c>
      <c r="M1752">
        <f>IFERROR(SMALL(M367:M1087,ROW()-ROW($M$1090)+1),"")</f>
        <v>0</v>
      </c>
      <c r="N1752">
        <f>IFERROR(SMALL(N367:N1087,ROW()-ROW($N$1090)+1),"")</f>
        <v>0</v>
      </c>
    </row>
    <row r="1753" spans="5:14">
      <c r="E1753">
        <f>IFERROR(SMALL(E367:E1087,ROW()-ROW($E$1090)+1),"")</f>
        <v>0</v>
      </c>
      <c r="F1753">
        <f>IFERROR(SMALL(F367:F1087,ROW()-ROW($F$1090)+1),"")</f>
        <v>0</v>
      </c>
      <c r="G1753">
        <f>IFERROR(SMALL(G367:G1087,ROW()-ROW($G$1090)+1),"")</f>
        <v>0</v>
      </c>
      <c r="H1753">
        <f>IFERROR(SMALL(H367:H1087,ROW()-ROW($H$1090)+1),"")</f>
        <v>0</v>
      </c>
      <c r="K1753">
        <f>IFERROR(SMALL(K367:K1087,ROW()-ROW($K$1090)+1),"")</f>
        <v>0</v>
      </c>
      <c r="L1753">
        <f>IFERROR(SMALL(L367:L1087,ROW()-ROW($L$1090)+1),"")</f>
        <v>0</v>
      </c>
      <c r="M1753">
        <f>IFERROR(SMALL(M367:M1087,ROW()-ROW($M$1090)+1),"")</f>
        <v>0</v>
      </c>
      <c r="N1753">
        <f>IFERROR(SMALL(N367:N1087,ROW()-ROW($N$1090)+1),"")</f>
        <v>0</v>
      </c>
    </row>
    <row r="1754" spans="5:14">
      <c r="E1754">
        <f>IFERROR(SMALL(E367:E1087,ROW()-ROW($E$1090)+1),"")</f>
        <v>0</v>
      </c>
      <c r="F1754">
        <f>IFERROR(SMALL(F367:F1087,ROW()-ROW($F$1090)+1),"")</f>
        <v>0</v>
      </c>
      <c r="G1754">
        <f>IFERROR(SMALL(G367:G1087,ROW()-ROW($G$1090)+1),"")</f>
        <v>0</v>
      </c>
      <c r="H1754">
        <f>IFERROR(SMALL(H367:H1087,ROW()-ROW($H$1090)+1),"")</f>
        <v>0</v>
      </c>
      <c r="K1754">
        <f>IFERROR(SMALL(K367:K1087,ROW()-ROW($K$1090)+1),"")</f>
        <v>0</v>
      </c>
      <c r="L1754">
        <f>IFERROR(SMALL(L367:L1087,ROW()-ROW($L$1090)+1),"")</f>
        <v>0</v>
      </c>
      <c r="M1754">
        <f>IFERROR(SMALL(M367:M1087,ROW()-ROW($M$1090)+1),"")</f>
        <v>0</v>
      </c>
      <c r="N1754">
        <f>IFERROR(SMALL(N367:N1087,ROW()-ROW($N$1090)+1),"")</f>
        <v>0</v>
      </c>
    </row>
    <row r="1755" spans="5:14">
      <c r="E1755">
        <f>IFERROR(SMALL(E367:E1087,ROW()-ROW($E$1090)+1),"")</f>
        <v>0</v>
      </c>
      <c r="F1755">
        <f>IFERROR(SMALL(F367:F1087,ROW()-ROW($F$1090)+1),"")</f>
        <v>0</v>
      </c>
      <c r="G1755">
        <f>IFERROR(SMALL(G367:G1087,ROW()-ROW($G$1090)+1),"")</f>
        <v>0</v>
      </c>
      <c r="H1755">
        <f>IFERROR(SMALL(H367:H1087,ROW()-ROW($H$1090)+1),"")</f>
        <v>0</v>
      </c>
      <c r="K1755">
        <f>IFERROR(SMALL(K367:K1087,ROW()-ROW($K$1090)+1),"")</f>
        <v>0</v>
      </c>
      <c r="L1755">
        <f>IFERROR(SMALL(L367:L1087,ROW()-ROW($L$1090)+1),"")</f>
        <v>0</v>
      </c>
      <c r="M1755">
        <f>IFERROR(SMALL(M367:M1087,ROW()-ROW($M$1090)+1),"")</f>
        <v>0</v>
      </c>
      <c r="N1755">
        <f>IFERROR(SMALL(N367:N1087,ROW()-ROW($N$1090)+1),"")</f>
        <v>0</v>
      </c>
    </row>
    <row r="1756" spans="5:14">
      <c r="E1756">
        <f>IFERROR(SMALL(E367:E1087,ROW()-ROW($E$1090)+1),"")</f>
        <v>0</v>
      </c>
      <c r="F1756">
        <f>IFERROR(SMALL(F367:F1087,ROW()-ROW($F$1090)+1),"")</f>
        <v>0</v>
      </c>
      <c r="G1756">
        <f>IFERROR(SMALL(G367:G1087,ROW()-ROW($G$1090)+1),"")</f>
        <v>0</v>
      </c>
      <c r="H1756">
        <f>IFERROR(SMALL(H367:H1087,ROW()-ROW($H$1090)+1),"")</f>
        <v>0</v>
      </c>
      <c r="K1756">
        <f>IFERROR(SMALL(K367:K1087,ROW()-ROW($K$1090)+1),"")</f>
        <v>0</v>
      </c>
      <c r="L1756">
        <f>IFERROR(SMALL(L367:L1087,ROW()-ROW($L$1090)+1),"")</f>
        <v>0</v>
      </c>
      <c r="M1756">
        <f>IFERROR(SMALL(M367:M1087,ROW()-ROW($M$1090)+1),"")</f>
        <v>0</v>
      </c>
      <c r="N1756">
        <f>IFERROR(SMALL(N367:N1087,ROW()-ROW($N$1090)+1),"")</f>
        <v>0</v>
      </c>
    </row>
    <row r="1757" spans="5:14">
      <c r="E1757">
        <f>IFERROR(SMALL(E367:E1087,ROW()-ROW($E$1090)+1),"")</f>
        <v>0</v>
      </c>
      <c r="F1757">
        <f>IFERROR(SMALL(F367:F1087,ROW()-ROW($F$1090)+1),"")</f>
        <v>0</v>
      </c>
      <c r="G1757">
        <f>IFERROR(SMALL(G367:G1087,ROW()-ROW($G$1090)+1),"")</f>
        <v>0</v>
      </c>
      <c r="H1757">
        <f>IFERROR(SMALL(H367:H1087,ROW()-ROW($H$1090)+1),"")</f>
        <v>0</v>
      </c>
      <c r="K1757">
        <f>IFERROR(SMALL(K367:K1087,ROW()-ROW($K$1090)+1),"")</f>
        <v>0</v>
      </c>
      <c r="L1757">
        <f>IFERROR(SMALL(L367:L1087,ROW()-ROW($L$1090)+1),"")</f>
        <v>0</v>
      </c>
      <c r="M1757">
        <f>IFERROR(SMALL(M367:M1087,ROW()-ROW($M$1090)+1),"")</f>
        <v>0</v>
      </c>
      <c r="N1757">
        <f>IFERROR(SMALL(N367:N1087,ROW()-ROW($N$1090)+1),"")</f>
        <v>0</v>
      </c>
    </row>
    <row r="1758" spans="5:14">
      <c r="E1758">
        <f>IFERROR(SMALL(E367:E1087,ROW()-ROW($E$1090)+1),"")</f>
        <v>0</v>
      </c>
      <c r="F1758">
        <f>IFERROR(SMALL(F367:F1087,ROW()-ROW($F$1090)+1),"")</f>
        <v>0</v>
      </c>
      <c r="G1758">
        <f>IFERROR(SMALL(G367:G1087,ROW()-ROW($G$1090)+1),"")</f>
        <v>0</v>
      </c>
      <c r="H1758">
        <f>IFERROR(SMALL(H367:H1087,ROW()-ROW($H$1090)+1),"")</f>
        <v>0</v>
      </c>
      <c r="K1758">
        <f>IFERROR(SMALL(K367:K1087,ROW()-ROW($K$1090)+1),"")</f>
        <v>0</v>
      </c>
      <c r="L1758">
        <f>IFERROR(SMALL(L367:L1087,ROW()-ROW($L$1090)+1),"")</f>
        <v>0</v>
      </c>
      <c r="M1758">
        <f>IFERROR(SMALL(M367:M1087,ROW()-ROW($M$1090)+1),"")</f>
        <v>0</v>
      </c>
      <c r="N1758">
        <f>IFERROR(SMALL(N367:N1087,ROW()-ROW($N$1090)+1),"")</f>
        <v>0</v>
      </c>
    </row>
    <row r="1759" spans="5:14">
      <c r="E1759">
        <f>IFERROR(SMALL(E367:E1087,ROW()-ROW($E$1090)+1),"")</f>
        <v>0</v>
      </c>
      <c r="F1759">
        <f>IFERROR(SMALL(F367:F1087,ROW()-ROW($F$1090)+1),"")</f>
        <v>0</v>
      </c>
      <c r="G1759">
        <f>IFERROR(SMALL(G367:G1087,ROW()-ROW($G$1090)+1),"")</f>
        <v>0</v>
      </c>
      <c r="H1759">
        <f>IFERROR(SMALL(H367:H1087,ROW()-ROW($H$1090)+1),"")</f>
        <v>0</v>
      </c>
      <c r="K1759">
        <f>IFERROR(SMALL(K367:K1087,ROW()-ROW($K$1090)+1),"")</f>
        <v>0</v>
      </c>
      <c r="L1759">
        <f>IFERROR(SMALL(L367:L1087,ROW()-ROW($L$1090)+1),"")</f>
        <v>0</v>
      </c>
      <c r="M1759">
        <f>IFERROR(SMALL(M367:M1087,ROW()-ROW($M$1090)+1),"")</f>
        <v>0</v>
      </c>
      <c r="N1759">
        <f>IFERROR(SMALL(N367:N1087,ROW()-ROW($N$1090)+1),"")</f>
        <v>0</v>
      </c>
    </row>
    <row r="1760" spans="5:14">
      <c r="E1760">
        <f>IFERROR(SMALL(E367:E1087,ROW()-ROW($E$1090)+1),"")</f>
        <v>0</v>
      </c>
      <c r="F1760">
        <f>IFERROR(SMALL(F367:F1087,ROW()-ROW($F$1090)+1),"")</f>
        <v>0</v>
      </c>
      <c r="G1760">
        <f>IFERROR(SMALL(G367:G1087,ROW()-ROW($G$1090)+1),"")</f>
        <v>0</v>
      </c>
      <c r="H1760">
        <f>IFERROR(SMALL(H367:H1087,ROW()-ROW($H$1090)+1),"")</f>
        <v>0</v>
      </c>
      <c r="K1760">
        <f>IFERROR(SMALL(K367:K1087,ROW()-ROW($K$1090)+1),"")</f>
        <v>0</v>
      </c>
      <c r="L1760">
        <f>IFERROR(SMALL(L367:L1087,ROW()-ROW($L$1090)+1),"")</f>
        <v>0</v>
      </c>
      <c r="M1760">
        <f>IFERROR(SMALL(M367:M1087,ROW()-ROW($M$1090)+1),"")</f>
        <v>0</v>
      </c>
      <c r="N1760">
        <f>IFERROR(SMALL(N367:N1087,ROW()-ROW($N$1090)+1),"")</f>
        <v>0</v>
      </c>
    </row>
    <row r="1761" spans="5:14">
      <c r="E1761">
        <f>IFERROR(SMALL(E367:E1087,ROW()-ROW($E$1090)+1),"")</f>
        <v>0</v>
      </c>
      <c r="F1761">
        <f>IFERROR(SMALL(F367:F1087,ROW()-ROW($F$1090)+1),"")</f>
        <v>0</v>
      </c>
      <c r="G1761">
        <f>IFERROR(SMALL(G367:G1087,ROW()-ROW($G$1090)+1),"")</f>
        <v>0</v>
      </c>
      <c r="H1761">
        <f>IFERROR(SMALL(H367:H1087,ROW()-ROW($H$1090)+1),"")</f>
        <v>0</v>
      </c>
      <c r="K1761">
        <f>IFERROR(SMALL(K367:K1087,ROW()-ROW($K$1090)+1),"")</f>
        <v>0</v>
      </c>
      <c r="L1761">
        <f>IFERROR(SMALL(L367:L1087,ROW()-ROW($L$1090)+1),"")</f>
        <v>0</v>
      </c>
      <c r="M1761">
        <f>IFERROR(SMALL(M367:M1087,ROW()-ROW($M$1090)+1),"")</f>
        <v>0</v>
      </c>
      <c r="N1761">
        <f>IFERROR(SMALL(N367:N1087,ROW()-ROW($N$1090)+1),"")</f>
        <v>0</v>
      </c>
    </row>
    <row r="1762" spans="5:14">
      <c r="E1762">
        <f>IFERROR(SMALL(E367:E1087,ROW()-ROW($E$1090)+1),"")</f>
        <v>0</v>
      </c>
      <c r="F1762">
        <f>IFERROR(SMALL(F367:F1087,ROW()-ROW($F$1090)+1),"")</f>
        <v>0</v>
      </c>
      <c r="G1762">
        <f>IFERROR(SMALL(G367:G1087,ROW()-ROW($G$1090)+1),"")</f>
        <v>0</v>
      </c>
      <c r="H1762">
        <f>IFERROR(SMALL(H367:H1087,ROW()-ROW($H$1090)+1),"")</f>
        <v>0</v>
      </c>
      <c r="K1762">
        <f>IFERROR(SMALL(K367:K1087,ROW()-ROW($K$1090)+1),"")</f>
        <v>0</v>
      </c>
      <c r="L1762">
        <f>IFERROR(SMALL(L367:L1087,ROW()-ROW($L$1090)+1),"")</f>
        <v>0</v>
      </c>
      <c r="M1762">
        <f>IFERROR(SMALL(M367:M1087,ROW()-ROW($M$1090)+1),"")</f>
        <v>0</v>
      </c>
      <c r="N1762">
        <f>IFERROR(SMALL(N367:N1087,ROW()-ROW($N$1090)+1),"")</f>
        <v>0</v>
      </c>
    </row>
    <row r="1763" spans="5:14">
      <c r="E1763">
        <f>IFERROR(SMALL(E367:E1087,ROW()-ROW($E$1090)+1),"")</f>
        <v>0</v>
      </c>
      <c r="F1763">
        <f>IFERROR(SMALL(F367:F1087,ROW()-ROW($F$1090)+1),"")</f>
        <v>0</v>
      </c>
      <c r="G1763">
        <f>IFERROR(SMALL(G367:G1087,ROW()-ROW($G$1090)+1),"")</f>
        <v>0</v>
      </c>
      <c r="H1763">
        <f>IFERROR(SMALL(H367:H1087,ROW()-ROW($H$1090)+1),"")</f>
        <v>0</v>
      </c>
      <c r="K1763">
        <f>IFERROR(SMALL(K367:K1087,ROW()-ROW($K$1090)+1),"")</f>
        <v>0</v>
      </c>
      <c r="L1763">
        <f>IFERROR(SMALL(L367:L1087,ROW()-ROW($L$1090)+1),"")</f>
        <v>0</v>
      </c>
      <c r="M1763">
        <f>IFERROR(SMALL(M367:M1087,ROW()-ROW($M$1090)+1),"")</f>
        <v>0</v>
      </c>
      <c r="N1763">
        <f>IFERROR(SMALL(N367:N1087,ROW()-ROW($N$1090)+1),"")</f>
        <v>0</v>
      </c>
    </row>
    <row r="1764" spans="5:14">
      <c r="E1764">
        <f>IFERROR(SMALL(E367:E1087,ROW()-ROW($E$1090)+1),"")</f>
        <v>0</v>
      </c>
      <c r="F1764">
        <f>IFERROR(SMALL(F367:F1087,ROW()-ROW($F$1090)+1),"")</f>
        <v>0</v>
      </c>
      <c r="G1764">
        <f>IFERROR(SMALL(G367:G1087,ROW()-ROW($G$1090)+1),"")</f>
        <v>0</v>
      </c>
      <c r="H1764">
        <f>IFERROR(SMALL(H367:H1087,ROW()-ROW($H$1090)+1),"")</f>
        <v>0</v>
      </c>
      <c r="K1764">
        <f>IFERROR(SMALL(K367:K1087,ROW()-ROW($K$1090)+1),"")</f>
        <v>0</v>
      </c>
      <c r="L1764">
        <f>IFERROR(SMALL(L367:L1087,ROW()-ROW($L$1090)+1),"")</f>
        <v>0</v>
      </c>
      <c r="M1764">
        <f>IFERROR(SMALL(M367:M1087,ROW()-ROW($M$1090)+1),"")</f>
        <v>0</v>
      </c>
      <c r="N1764">
        <f>IFERROR(SMALL(N367:N1087,ROW()-ROW($N$1090)+1),"")</f>
        <v>0</v>
      </c>
    </row>
    <row r="1765" spans="5:14">
      <c r="E1765">
        <f>IFERROR(SMALL(E367:E1087,ROW()-ROW($E$1090)+1),"")</f>
        <v>0</v>
      </c>
      <c r="F1765">
        <f>IFERROR(SMALL(F367:F1087,ROW()-ROW($F$1090)+1),"")</f>
        <v>0</v>
      </c>
      <c r="G1765">
        <f>IFERROR(SMALL(G367:G1087,ROW()-ROW($G$1090)+1),"")</f>
        <v>0</v>
      </c>
      <c r="H1765">
        <f>IFERROR(SMALL(H367:H1087,ROW()-ROW($H$1090)+1),"")</f>
        <v>0</v>
      </c>
      <c r="K1765">
        <f>IFERROR(SMALL(K367:K1087,ROW()-ROW($K$1090)+1),"")</f>
        <v>0</v>
      </c>
      <c r="L1765">
        <f>IFERROR(SMALL(L367:L1087,ROW()-ROW($L$1090)+1),"")</f>
        <v>0</v>
      </c>
      <c r="M1765">
        <f>IFERROR(SMALL(M367:M1087,ROW()-ROW($M$1090)+1),"")</f>
        <v>0</v>
      </c>
      <c r="N1765">
        <f>IFERROR(SMALL(N367:N1087,ROW()-ROW($N$1090)+1),"")</f>
        <v>0</v>
      </c>
    </row>
    <row r="1766" spans="5:14">
      <c r="E1766">
        <f>IFERROR(SMALL(E367:E1087,ROW()-ROW($E$1090)+1),"")</f>
        <v>0</v>
      </c>
      <c r="F1766">
        <f>IFERROR(SMALL(F367:F1087,ROW()-ROW($F$1090)+1),"")</f>
        <v>0</v>
      </c>
      <c r="G1766">
        <f>IFERROR(SMALL(G367:G1087,ROW()-ROW($G$1090)+1),"")</f>
        <v>0</v>
      </c>
      <c r="H1766">
        <f>IFERROR(SMALL(H367:H1087,ROW()-ROW($H$1090)+1),"")</f>
        <v>0</v>
      </c>
      <c r="K1766">
        <f>IFERROR(SMALL(K367:K1087,ROW()-ROW($K$1090)+1),"")</f>
        <v>0</v>
      </c>
      <c r="L1766">
        <f>IFERROR(SMALL(L367:L1087,ROW()-ROW($L$1090)+1),"")</f>
        <v>0</v>
      </c>
      <c r="M1766">
        <f>IFERROR(SMALL(M367:M1087,ROW()-ROW($M$1090)+1),"")</f>
        <v>0</v>
      </c>
      <c r="N1766">
        <f>IFERROR(SMALL(N367:N1087,ROW()-ROW($N$1090)+1),"")</f>
        <v>0</v>
      </c>
    </row>
    <row r="1767" spans="5:14">
      <c r="E1767">
        <f>IFERROR(SMALL(E367:E1087,ROW()-ROW($E$1090)+1),"")</f>
        <v>0</v>
      </c>
      <c r="F1767">
        <f>IFERROR(SMALL(F367:F1087,ROW()-ROW($F$1090)+1),"")</f>
        <v>0</v>
      </c>
      <c r="G1767">
        <f>IFERROR(SMALL(G367:G1087,ROW()-ROW($G$1090)+1),"")</f>
        <v>0</v>
      </c>
      <c r="H1767">
        <f>IFERROR(SMALL(H367:H1087,ROW()-ROW($H$1090)+1),"")</f>
        <v>0</v>
      </c>
      <c r="K1767">
        <f>IFERROR(SMALL(K367:K1087,ROW()-ROW($K$1090)+1),"")</f>
        <v>0</v>
      </c>
      <c r="L1767">
        <f>IFERROR(SMALL(L367:L1087,ROW()-ROW($L$1090)+1),"")</f>
        <v>0</v>
      </c>
      <c r="M1767">
        <f>IFERROR(SMALL(M367:M1087,ROW()-ROW($M$1090)+1),"")</f>
        <v>0</v>
      </c>
      <c r="N1767">
        <f>IFERROR(SMALL(N367:N1087,ROW()-ROW($N$1090)+1),"")</f>
        <v>0</v>
      </c>
    </row>
    <row r="1768" spans="5:14">
      <c r="E1768">
        <f>IFERROR(SMALL(E367:E1087,ROW()-ROW($E$1090)+1),"")</f>
        <v>0</v>
      </c>
      <c r="F1768">
        <f>IFERROR(SMALL(F367:F1087,ROW()-ROW($F$1090)+1),"")</f>
        <v>0</v>
      </c>
      <c r="G1768">
        <f>IFERROR(SMALL(G367:G1087,ROW()-ROW($G$1090)+1),"")</f>
        <v>0</v>
      </c>
      <c r="H1768">
        <f>IFERROR(SMALL(H367:H1087,ROW()-ROW($H$1090)+1),"")</f>
        <v>0</v>
      </c>
      <c r="K1768">
        <f>IFERROR(SMALL(K367:K1087,ROW()-ROW($K$1090)+1),"")</f>
        <v>0</v>
      </c>
      <c r="L1768">
        <f>IFERROR(SMALL(L367:L1087,ROW()-ROW($L$1090)+1),"")</f>
        <v>0</v>
      </c>
      <c r="M1768">
        <f>IFERROR(SMALL(M367:M1087,ROW()-ROW($M$1090)+1),"")</f>
        <v>0</v>
      </c>
      <c r="N1768">
        <f>IFERROR(SMALL(N367:N1087,ROW()-ROW($N$1090)+1),"")</f>
        <v>0</v>
      </c>
    </row>
    <row r="1769" spans="5:14">
      <c r="E1769">
        <f>IFERROR(SMALL(E367:E1087,ROW()-ROW($E$1090)+1),"")</f>
        <v>0</v>
      </c>
      <c r="F1769">
        <f>IFERROR(SMALL(F367:F1087,ROW()-ROW($F$1090)+1),"")</f>
        <v>0</v>
      </c>
      <c r="G1769">
        <f>IFERROR(SMALL(G367:G1087,ROW()-ROW($G$1090)+1),"")</f>
        <v>0</v>
      </c>
      <c r="H1769">
        <f>IFERROR(SMALL(H367:H1087,ROW()-ROW($H$1090)+1),"")</f>
        <v>0</v>
      </c>
      <c r="K1769">
        <f>IFERROR(SMALL(K367:K1087,ROW()-ROW($K$1090)+1),"")</f>
        <v>0</v>
      </c>
      <c r="L1769">
        <f>IFERROR(SMALL(L367:L1087,ROW()-ROW($L$1090)+1),"")</f>
        <v>0</v>
      </c>
      <c r="M1769">
        <f>IFERROR(SMALL(M367:M1087,ROW()-ROW($M$1090)+1),"")</f>
        <v>0</v>
      </c>
      <c r="N1769">
        <f>IFERROR(SMALL(N367:N1087,ROW()-ROW($N$1090)+1),"")</f>
        <v>0</v>
      </c>
    </row>
    <row r="1770" spans="5:14">
      <c r="E1770">
        <f>IFERROR(SMALL(E367:E1087,ROW()-ROW($E$1090)+1),"")</f>
        <v>0</v>
      </c>
      <c r="F1770">
        <f>IFERROR(SMALL(F367:F1087,ROW()-ROW($F$1090)+1),"")</f>
        <v>0</v>
      </c>
      <c r="G1770">
        <f>IFERROR(SMALL(G367:G1087,ROW()-ROW($G$1090)+1),"")</f>
        <v>0</v>
      </c>
      <c r="H1770">
        <f>IFERROR(SMALL(H367:H1087,ROW()-ROW($H$1090)+1),"")</f>
        <v>0</v>
      </c>
      <c r="K1770">
        <f>IFERROR(SMALL(K367:K1087,ROW()-ROW($K$1090)+1),"")</f>
        <v>0</v>
      </c>
      <c r="L1770">
        <f>IFERROR(SMALL(L367:L1087,ROW()-ROW($L$1090)+1),"")</f>
        <v>0</v>
      </c>
      <c r="M1770">
        <f>IFERROR(SMALL(M367:M1087,ROW()-ROW($M$1090)+1),"")</f>
        <v>0</v>
      </c>
      <c r="N1770">
        <f>IFERROR(SMALL(N367:N1087,ROW()-ROW($N$1090)+1),"")</f>
        <v>0</v>
      </c>
    </row>
    <row r="1771" spans="5:14">
      <c r="E1771">
        <f>IFERROR(SMALL(E367:E1087,ROW()-ROW($E$1090)+1),"")</f>
        <v>0</v>
      </c>
      <c r="F1771">
        <f>IFERROR(SMALL(F367:F1087,ROW()-ROW($F$1090)+1),"")</f>
        <v>0</v>
      </c>
      <c r="G1771">
        <f>IFERROR(SMALL(G367:G1087,ROW()-ROW($G$1090)+1),"")</f>
        <v>0</v>
      </c>
      <c r="H1771">
        <f>IFERROR(SMALL(H367:H1087,ROW()-ROW($H$1090)+1),"")</f>
        <v>0</v>
      </c>
      <c r="K1771">
        <f>IFERROR(SMALL(K367:K1087,ROW()-ROW($K$1090)+1),"")</f>
        <v>0</v>
      </c>
      <c r="L1771">
        <f>IFERROR(SMALL(L367:L1087,ROW()-ROW($L$1090)+1),"")</f>
        <v>0</v>
      </c>
      <c r="M1771">
        <f>IFERROR(SMALL(M367:M1087,ROW()-ROW($M$1090)+1),"")</f>
        <v>0</v>
      </c>
      <c r="N1771">
        <f>IFERROR(SMALL(N367:N1087,ROW()-ROW($N$1090)+1),"")</f>
        <v>0</v>
      </c>
    </row>
    <row r="1772" spans="5:14">
      <c r="E1772">
        <f>IFERROR(SMALL(E367:E1087,ROW()-ROW($E$1090)+1),"")</f>
        <v>0</v>
      </c>
      <c r="F1772">
        <f>IFERROR(SMALL(F367:F1087,ROW()-ROW($F$1090)+1),"")</f>
        <v>0</v>
      </c>
      <c r="G1772">
        <f>IFERROR(SMALL(G367:G1087,ROW()-ROW($G$1090)+1),"")</f>
        <v>0</v>
      </c>
      <c r="H1772">
        <f>IFERROR(SMALL(H367:H1087,ROW()-ROW($H$1090)+1),"")</f>
        <v>0</v>
      </c>
      <c r="K1772">
        <f>IFERROR(SMALL(K367:K1087,ROW()-ROW($K$1090)+1),"")</f>
        <v>0</v>
      </c>
      <c r="L1772">
        <f>IFERROR(SMALL(L367:L1087,ROW()-ROW($L$1090)+1),"")</f>
        <v>0</v>
      </c>
      <c r="M1772">
        <f>IFERROR(SMALL(M367:M1087,ROW()-ROW($M$1090)+1),"")</f>
        <v>0</v>
      </c>
      <c r="N1772">
        <f>IFERROR(SMALL(N367:N1087,ROW()-ROW($N$1090)+1),"")</f>
        <v>0</v>
      </c>
    </row>
    <row r="1773" spans="5:14">
      <c r="E1773">
        <f>IFERROR(SMALL(E367:E1087,ROW()-ROW($E$1090)+1),"")</f>
        <v>0</v>
      </c>
      <c r="F1773">
        <f>IFERROR(SMALL(F367:F1087,ROW()-ROW($F$1090)+1),"")</f>
        <v>0</v>
      </c>
      <c r="G1773">
        <f>IFERROR(SMALL(G367:G1087,ROW()-ROW($G$1090)+1),"")</f>
        <v>0</v>
      </c>
      <c r="H1773">
        <f>IFERROR(SMALL(H367:H1087,ROW()-ROW($H$1090)+1),"")</f>
        <v>0</v>
      </c>
      <c r="K1773">
        <f>IFERROR(SMALL(K367:K1087,ROW()-ROW($K$1090)+1),"")</f>
        <v>0</v>
      </c>
      <c r="L1773">
        <f>IFERROR(SMALL(L367:L1087,ROW()-ROW($L$1090)+1),"")</f>
        <v>0</v>
      </c>
      <c r="M1773">
        <f>IFERROR(SMALL(M367:M1087,ROW()-ROW($M$1090)+1),"")</f>
        <v>0</v>
      </c>
      <c r="N1773">
        <f>IFERROR(SMALL(N367:N1087,ROW()-ROW($N$1090)+1),"")</f>
        <v>0</v>
      </c>
    </row>
    <row r="1774" spans="5:14">
      <c r="E1774">
        <f>IFERROR(SMALL(E367:E1087,ROW()-ROW($E$1090)+1),"")</f>
        <v>0</v>
      </c>
      <c r="F1774">
        <f>IFERROR(SMALL(F367:F1087,ROW()-ROW($F$1090)+1),"")</f>
        <v>0</v>
      </c>
      <c r="G1774">
        <f>IFERROR(SMALL(G367:G1087,ROW()-ROW($G$1090)+1),"")</f>
        <v>0</v>
      </c>
      <c r="H1774">
        <f>IFERROR(SMALL(H367:H1087,ROW()-ROW($H$1090)+1),"")</f>
        <v>0</v>
      </c>
      <c r="K1774">
        <f>IFERROR(SMALL(K367:K1087,ROW()-ROW($K$1090)+1),"")</f>
        <v>0</v>
      </c>
      <c r="L1774">
        <f>IFERROR(SMALL(L367:L1087,ROW()-ROW($L$1090)+1),"")</f>
        <v>0</v>
      </c>
      <c r="M1774">
        <f>IFERROR(SMALL(M367:M1087,ROW()-ROW($M$1090)+1),"")</f>
        <v>0</v>
      </c>
      <c r="N1774">
        <f>IFERROR(SMALL(N367:N1087,ROW()-ROW($N$1090)+1),"")</f>
        <v>0</v>
      </c>
    </row>
    <row r="1775" spans="5:14">
      <c r="E1775">
        <f>IFERROR(SMALL(E367:E1087,ROW()-ROW($E$1090)+1),"")</f>
        <v>0</v>
      </c>
      <c r="F1775">
        <f>IFERROR(SMALL(F367:F1087,ROW()-ROW($F$1090)+1),"")</f>
        <v>0</v>
      </c>
      <c r="G1775">
        <f>IFERROR(SMALL(G367:G1087,ROW()-ROW($G$1090)+1),"")</f>
        <v>0</v>
      </c>
      <c r="H1775">
        <f>IFERROR(SMALL(H367:H1087,ROW()-ROW($H$1090)+1),"")</f>
        <v>0</v>
      </c>
      <c r="K1775">
        <f>IFERROR(SMALL(K367:K1087,ROW()-ROW($K$1090)+1),"")</f>
        <v>0</v>
      </c>
      <c r="L1775">
        <f>IFERROR(SMALL(L367:L1087,ROW()-ROW($L$1090)+1),"")</f>
        <v>0</v>
      </c>
      <c r="M1775">
        <f>IFERROR(SMALL(M367:M1087,ROW()-ROW($M$1090)+1),"")</f>
        <v>0</v>
      </c>
      <c r="N1775">
        <f>IFERROR(SMALL(N367:N1087,ROW()-ROW($N$1090)+1),"")</f>
        <v>0</v>
      </c>
    </row>
    <row r="1776" spans="5:14">
      <c r="E1776">
        <f>IFERROR(SMALL(E367:E1087,ROW()-ROW($E$1090)+1),"")</f>
        <v>0</v>
      </c>
      <c r="F1776">
        <f>IFERROR(SMALL(F367:F1087,ROW()-ROW($F$1090)+1),"")</f>
        <v>0</v>
      </c>
      <c r="G1776">
        <f>IFERROR(SMALL(G367:G1087,ROW()-ROW($G$1090)+1),"")</f>
        <v>0</v>
      </c>
      <c r="H1776">
        <f>IFERROR(SMALL(H367:H1087,ROW()-ROW($H$1090)+1),"")</f>
        <v>0</v>
      </c>
      <c r="K1776">
        <f>IFERROR(SMALL(K367:K1087,ROW()-ROW($K$1090)+1),"")</f>
        <v>0</v>
      </c>
      <c r="L1776">
        <f>IFERROR(SMALL(L367:L1087,ROW()-ROW($L$1090)+1),"")</f>
        <v>0</v>
      </c>
      <c r="M1776">
        <f>IFERROR(SMALL(M367:M1087,ROW()-ROW($M$1090)+1),"")</f>
        <v>0</v>
      </c>
      <c r="N1776">
        <f>IFERROR(SMALL(N367:N1087,ROW()-ROW($N$1090)+1),"")</f>
        <v>0</v>
      </c>
    </row>
    <row r="1777" spans="5:14">
      <c r="E1777">
        <f>IFERROR(SMALL(E367:E1087,ROW()-ROW($E$1090)+1),"")</f>
        <v>0</v>
      </c>
      <c r="F1777">
        <f>IFERROR(SMALL(F367:F1087,ROW()-ROW($F$1090)+1),"")</f>
        <v>0</v>
      </c>
      <c r="G1777">
        <f>IFERROR(SMALL(G367:G1087,ROW()-ROW($G$1090)+1),"")</f>
        <v>0</v>
      </c>
      <c r="H1777">
        <f>IFERROR(SMALL(H367:H1087,ROW()-ROW($H$1090)+1),"")</f>
        <v>0</v>
      </c>
      <c r="K1777">
        <f>IFERROR(SMALL(K367:K1087,ROW()-ROW($K$1090)+1),"")</f>
        <v>0</v>
      </c>
      <c r="L1777">
        <f>IFERROR(SMALL(L367:L1087,ROW()-ROW($L$1090)+1),"")</f>
        <v>0</v>
      </c>
      <c r="M1777">
        <f>IFERROR(SMALL(M367:M1087,ROW()-ROW($M$1090)+1),"")</f>
        <v>0</v>
      </c>
      <c r="N1777">
        <f>IFERROR(SMALL(N367:N1087,ROW()-ROW($N$1090)+1),"")</f>
        <v>0</v>
      </c>
    </row>
    <row r="1778" spans="5:14">
      <c r="E1778">
        <f>IFERROR(SMALL(E367:E1087,ROW()-ROW($E$1090)+1),"")</f>
        <v>0</v>
      </c>
      <c r="F1778">
        <f>IFERROR(SMALL(F367:F1087,ROW()-ROW($F$1090)+1),"")</f>
        <v>0</v>
      </c>
      <c r="G1778">
        <f>IFERROR(SMALL(G367:G1087,ROW()-ROW($G$1090)+1),"")</f>
        <v>0</v>
      </c>
      <c r="H1778">
        <f>IFERROR(SMALL(H367:H1087,ROW()-ROW($H$1090)+1),"")</f>
        <v>0</v>
      </c>
      <c r="K1778">
        <f>IFERROR(SMALL(K367:K1087,ROW()-ROW($K$1090)+1),"")</f>
        <v>0</v>
      </c>
      <c r="L1778">
        <f>IFERROR(SMALL(L367:L1087,ROW()-ROW($L$1090)+1),"")</f>
        <v>0</v>
      </c>
      <c r="M1778">
        <f>IFERROR(SMALL(M367:M1087,ROW()-ROW($M$1090)+1),"")</f>
        <v>0</v>
      </c>
      <c r="N1778">
        <f>IFERROR(SMALL(N367:N1087,ROW()-ROW($N$1090)+1),"")</f>
        <v>0</v>
      </c>
    </row>
    <row r="1779" spans="5:14">
      <c r="E1779">
        <f>IFERROR(SMALL(E367:E1087,ROW()-ROW($E$1090)+1),"")</f>
        <v>0</v>
      </c>
      <c r="F1779">
        <f>IFERROR(SMALL(F367:F1087,ROW()-ROW($F$1090)+1),"")</f>
        <v>0</v>
      </c>
      <c r="G1779">
        <f>IFERROR(SMALL(G367:G1087,ROW()-ROW($G$1090)+1),"")</f>
        <v>0</v>
      </c>
      <c r="H1779">
        <f>IFERROR(SMALL(H367:H1087,ROW()-ROW($H$1090)+1),"")</f>
        <v>0</v>
      </c>
      <c r="K1779">
        <f>IFERROR(SMALL(K367:K1087,ROW()-ROW($K$1090)+1),"")</f>
        <v>0</v>
      </c>
      <c r="L1779">
        <f>IFERROR(SMALL(L367:L1087,ROW()-ROW($L$1090)+1),"")</f>
        <v>0</v>
      </c>
      <c r="M1779">
        <f>IFERROR(SMALL(M367:M1087,ROW()-ROW($M$1090)+1),"")</f>
        <v>0</v>
      </c>
      <c r="N1779">
        <f>IFERROR(SMALL(N367:N1087,ROW()-ROW($N$1090)+1),"")</f>
        <v>0</v>
      </c>
    </row>
    <row r="1780" spans="5:14">
      <c r="E1780">
        <f>IFERROR(SMALL(E367:E1087,ROW()-ROW($E$1090)+1),"")</f>
        <v>0</v>
      </c>
      <c r="F1780">
        <f>IFERROR(SMALL(F367:F1087,ROW()-ROW($F$1090)+1),"")</f>
        <v>0</v>
      </c>
      <c r="G1780">
        <f>IFERROR(SMALL(G367:G1087,ROW()-ROW($G$1090)+1),"")</f>
        <v>0</v>
      </c>
      <c r="H1780">
        <f>IFERROR(SMALL(H367:H1087,ROW()-ROW($H$1090)+1),"")</f>
        <v>0</v>
      </c>
      <c r="K1780">
        <f>IFERROR(SMALL(K367:K1087,ROW()-ROW($K$1090)+1),"")</f>
        <v>0</v>
      </c>
      <c r="L1780">
        <f>IFERROR(SMALL(L367:L1087,ROW()-ROW($L$1090)+1),"")</f>
        <v>0</v>
      </c>
      <c r="M1780">
        <f>IFERROR(SMALL(M367:M1087,ROW()-ROW($M$1090)+1),"")</f>
        <v>0</v>
      </c>
      <c r="N1780">
        <f>IFERROR(SMALL(N367:N1087,ROW()-ROW($N$1090)+1),"")</f>
        <v>0</v>
      </c>
    </row>
    <row r="1781" spans="5:14">
      <c r="E1781">
        <f>IFERROR(SMALL(E367:E1087,ROW()-ROW($E$1090)+1),"")</f>
        <v>0</v>
      </c>
      <c r="F1781">
        <f>IFERROR(SMALL(F367:F1087,ROW()-ROW($F$1090)+1),"")</f>
        <v>0</v>
      </c>
      <c r="G1781">
        <f>IFERROR(SMALL(G367:G1087,ROW()-ROW($G$1090)+1),"")</f>
        <v>0</v>
      </c>
      <c r="H1781">
        <f>IFERROR(SMALL(H367:H1087,ROW()-ROW($H$1090)+1),"")</f>
        <v>0</v>
      </c>
      <c r="K1781">
        <f>IFERROR(SMALL(K367:K1087,ROW()-ROW($K$1090)+1),"")</f>
        <v>0</v>
      </c>
      <c r="L1781">
        <f>IFERROR(SMALL(L367:L1087,ROW()-ROW($L$1090)+1),"")</f>
        <v>0</v>
      </c>
      <c r="M1781">
        <f>IFERROR(SMALL(M367:M1087,ROW()-ROW($M$1090)+1),"")</f>
        <v>0</v>
      </c>
      <c r="N1781">
        <f>IFERROR(SMALL(N367:N1087,ROW()-ROW($N$1090)+1),"")</f>
        <v>0</v>
      </c>
    </row>
    <row r="1782" spans="5:14">
      <c r="E1782">
        <f>IFERROR(SMALL(E367:E1087,ROW()-ROW($E$1090)+1),"")</f>
        <v>0</v>
      </c>
      <c r="F1782">
        <f>IFERROR(SMALL(F367:F1087,ROW()-ROW($F$1090)+1),"")</f>
        <v>0</v>
      </c>
      <c r="G1782">
        <f>IFERROR(SMALL(G367:G1087,ROW()-ROW($G$1090)+1),"")</f>
        <v>0</v>
      </c>
      <c r="H1782">
        <f>IFERROR(SMALL(H367:H1087,ROW()-ROW($H$1090)+1),"")</f>
        <v>0</v>
      </c>
      <c r="K1782">
        <f>IFERROR(SMALL(K367:K1087,ROW()-ROW($K$1090)+1),"")</f>
        <v>0</v>
      </c>
      <c r="L1782">
        <f>IFERROR(SMALL(L367:L1087,ROW()-ROW($L$1090)+1),"")</f>
        <v>0</v>
      </c>
      <c r="M1782">
        <f>IFERROR(SMALL(M367:M1087,ROW()-ROW($M$1090)+1),"")</f>
        <v>0</v>
      </c>
      <c r="N1782">
        <f>IFERROR(SMALL(N367:N1087,ROW()-ROW($N$1090)+1),"")</f>
        <v>0</v>
      </c>
    </row>
    <row r="1783" spans="5:14">
      <c r="E1783">
        <f>IFERROR(SMALL(E367:E1087,ROW()-ROW($E$1090)+1),"")</f>
        <v>0</v>
      </c>
      <c r="F1783">
        <f>IFERROR(SMALL(F367:F1087,ROW()-ROW($F$1090)+1),"")</f>
        <v>0</v>
      </c>
      <c r="G1783">
        <f>IFERROR(SMALL(G367:G1087,ROW()-ROW($G$1090)+1),"")</f>
        <v>0</v>
      </c>
      <c r="H1783">
        <f>IFERROR(SMALL(H367:H1087,ROW()-ROW($H$1090)+1),"")</f>
        <v>0</v>
      </c>
      <c r="K1783">
        <f>IFERROR(SMALL(K367:K1087,ROW()-ROW($K$1090)+1),"")</f>
        <v>0</v>
      </c>
      <c r="L1783">
        <f>IFERROR(SMALL(L367:L1087,ROW()-ROW($L$1090)+1),"")</f>
        <v>0</v>
      </c>
      <c r="M1783">
        <f>IFERROR(SMALL(M367:M1087,ROW()-ROW($M$1090)+1),"")</f>
        <v>0</v>
      </c>
      <c r="N1783">
        <f>IFERROR(SMALL(N367:N1087,ROW()-ROW($N$1090)+1),"")</f>
        <v>0</v>
      </c>
    </row>
    <row r="1784" spans="5:14">
      <c r="E1784">
        <f>IFERROR(SMALL(E367:E1087,ROW()-ROW($E$1090)+1),"")</f>
        <v>0</v>
      </c>
      <c r="F1784">
        <f>IFERROR(SMALL(F367:F1087,ROW()-ROW($F$1090)+1),"")</f>
        <v>0</v>
      </c>
      <c r="G1784">
        <f>IFERROR(SMALL(G367:G1087,ROW()-ROW($G$1090)+1),"")</f>
        <v>0</v>
      </c>
      <c r="H1784">
        <f>IFERROR(SMALL(H367:H1087,ROW()-ROW($H$1090)+1),"")</f>
        <v>0</v>
      </c>
      <c r="K1784">
        <f>IFERROR(SMALL(K367:K1087,ROW()-ROW($K$1090)+1),"")</f>
        <v>0</v>
      </c>
      <c r="L1784">
        <f>IFERROR(SMALL(L367:L1087,ROW()-ROW($L$1090)+1),"")</f>
        <v>0</v>
      </c>
      <c r="M1784">
        <f>IFERROR(SMALL(M367:M1087,ROW()-ROW($M$1090)+1),"")</f>
        <v>0</v>
      </c>
      <c r="N1784">
        <f>IFERROR(SMALL(N367:N1087,ROW()-ROW($N$1090)+1),"")</f>
        <v>0</v>
      </c>
    </row>
    <row r="1785" spans="5:14">
      <c r="E1785">
        <f>IFERROR(SMALL(E367:E1087,ROW()-ROW($E$1090)+1),"")</f>
        <v>0</v>
      </c>
      <c r="F1785">
        <f>IFERROR(SMALL(F367:F1087,ROW()-ROW($F$1090)+1),"")</f>
        <v>0</v>
      </c>
      <c r="G1785">
        <f>IFERROR(SMALL(G367:G1087,ROW()-ROW($G$1090)+1),"")</f>
        <v>0</v>
      </c>
      <c r="H1785">
        <f>IFERROR(SMALL(H367:H1087,ROW()-ROW($H$1090)+1),"")</f>
        <v>0</v>
      </c>
      <c r="K1785">
        <f>IFERROR(SMALL(K367:K1087,ROW()-ROW($K$1090)+1),"")</f>
        <v>0</v>
      </c>
      <c r="L1785">
        <f>IFERROR(SMALL(L367:L1087,ROW()-ROW($L$1090)+1),"")</f>
        <v>0</v>
      </c>
      <c r="M1785">
        <f>IFERROR(SMALL(M367:M1087,ROW()-ROW($M$1090)+1),"")</f>
        <v>0</v>
      </c>
      <c r="N1785">
        <f>IFERROR(SMALL(N367:N1087,ROW()-ROW($N$1090)+1),"")</f>
        <v>0</v>
      </c>
    </row>
    <row r="1786" spans="5:14">
      <c r="E1786">
        <f>IFERROR(SMALL(E367:E1087,ROW()-ROW($E$1090)+1),"")</f>
        <v>0</v>
      </c>
      <c r="F1786">
        <f>IFERROR(SMALL(F367:F1087,ROW()-ROW($F$1090)+1),"")</f>
        <v>0</v>
      </c>
      <c r="G1786">
        <f>IFERROR(SMALL(G367:G1087,ROW()-ROW($G$1090)+1),"")</f>
        <v>0</v>
      </c>
      <c r="H1786">
        <f>IFERROR(SMALL(H367:H1087,ROW()-ROW($H$1090)+1),"")</f>
        <v>0</v>
      </c>
      <c r="K1786">
        <f>IFERROR(SMALL(K367:K1087,ROW()-ROW($K$1090)+1),"")</f>
        <v>0</v>
      </c>
      <c r="L1786">
        <f>IFERROR(SMALL(L367:L1087,ROW()-ROW($L$1090)+1),"")</f>
        <v>0</v>
      </c>
      <c r="M1786">
        <f>IFERROR(SMALL(M367:M1087,ROW()-ROW($M$1090)+1),"")</f>
        <v>0</v>
      </c>
      <c r="N1786">
        <f>IFERROR(SMALL(N367:N1087,ROW()-ROW($N$1090)+1),"")</f>
        <v>0</v>
      </c>
    </row>
    <row r="1787" spans="5:14">
      <c r="E1787">
        <f>IFERROR(SMALL(E367:E1087,ROW()-ROW($E$1090)+1),"")</f>
        <v>0</v>
      </c>
      <c r="F1787">
        <f>IFERROR(SMALL(F367:F1087,ROW()-ROW($F$1090)+1),"")</f>
        <v>0</v>
      </c>
      <c r="G1787">
        <f>IFERROR(SMALL(G367:G1087,ROW()-ROW($G$1090)+1),"")</f>
        <v>0</v>
      </c>
      <c r="H1787">
        <f>IFERROR(SMALL(H367:H1087,ROW()-ROW($H$1090)+1),"")</f>
        <v>0</v>
      </c>
      <c r="K1787">
        <f>IFERROR(SMALL(K367:K1087,ROW()-ROW($K$1090)+1),"")</f>
        <v>0</v>
      </c>
      <c r="L1787">
        <f>IFERROR(SMALL(L367:L1087,ROW()-ROW($L$1090)+1),"")</f>
        <v>0</v>
      </c>
      <c r="M1787">
        <f>IFERROR(SMALL(M367:M1087,ROW()-ROW($M$1090)+1),"")</f>
        <v>0</v>
      </c>
      <c r="N1787">
        <f>IFERROR(SMALL(N367:N1087,ROW()-ROW($N$1090)+1),"")</f>
        <v>0</v>
      </c>
    </row>
    <row r="1788" spans="5:14">
      <c r="E1788">
        <f>IFERROR(SMALL(E367:E1087,ROW()-ROW($E$1090)+1),"")</f>
        <v>0</v>
      </c>
      <c r="F1788">
        <f>IFERROR(SMALL(F367:F1087,ROW()-ROW($F$1090)+1),"")</f>
        <v>0</v>
      </c>
      <c r="G1788">
        <f>IFERROR(SMALL(G367:G1087,ROW()-ROW($G$1090)+1),"")</f>
        <v>0</v>
      </c>
      <c r="H1788">
        <f>IFERROR(SMALL(H367:H1087,ROW()-ROW($H$1090)+1),"")</f>
        <v>0</v>
      </c>
      <c r="K1788">
        <f>IFERROR(SMALL(K367:K1087,ROW()-ROW($K$1090)+1),"")</f>
        <v>0</v>
      </c>
      <c r="L1788">
        <f>IFERROR(SMALL(L367:L1087,ROW()-ROW($L$1090)+1),"")</f>
        <v>0</v>
      </c>
      <c r="M1788">
        <f>IFERROR(SMALL(M367:M1087,ROW()-ROW($M$1090)+1),"")</f>
        <v>0</v>
      </c>
      <c r="N1788">
        <f>IFERROR(SMALL(N367:N1087,ROW()-ROW($N$1090)+1),"")</f>
        <v>0</v>
      </c>
    </row>
    <row r="1789" spans="5:14">
      <c r="E1789">
        <f>IFERROR(SMALL(E367:E1087,ROW()-ROW($E$1090)+1),"")</f>
        <v>0</v>
      </c>
      <c r="F1789">
        <f>IFERROR(SMALL(F367:F1087,ROW()-ROW($F$1090)+1),"")</f>
        <v>0</v>
      </c>
      <c r="G1789">
        <f>IFERROR(SMALL(G367:G1087,ROW()-ROW($G$1090)+1),"")</f>
        <v>0</v>
      </c>
      <c r="H1789">
        <f>IFERROR(SMALL(H367:H1087,ROW()-ROW($H$1090)+1),"")</f>
        <v>0</v>
      </c>
      <c r="K1789">
        <f>IFERROR(SMALL(K367:K1087,ROW()-ROW($K$1090)+1),"")</f>
        <v>0</v>
      </c>
      <c r="L1789">
        <f>IFERROR(SMALL(L367:L1087,ROW()-ROW($L$1090)+1),"")</f>
        <v>0</v>
      </c>
      <c r="M1789">
        <f>IFERROR(SMALL(M367:M1087,ROW()-ROW($M$1090)+1),"")</f>
        <v>0</v>
      </c>
      <c r="N1789">
        <f>IFERROR(SMALL(N367:N1087,ROW()-ROW($N$1090)+1),"")</f>
        <v>0</v>
      </c>
    </row>
    <row r="1790" spans="5:14">
      <c r="E1790">
        <f>IFERROR(SMALL(E367:E1087,ROW()-ROW($E$1090)+1),"")</f>
        <v>0</v>
      </c>
      <c r="F1790">
        <f>IFERROR(SMALL(F367:F1087,ROW()-ROW($F$1090)+1),"")</f>
        <v>0</v>
      </c>
      <c r="G1790">
        <f>IFERROR(SMALL(G367:G1087,ROW()-ROW($G$1090)+1),"")</f>
        <v>0</v>
      </c>
      <c r="H1790">
        <f>IFERROR(SMALL(H367:H1087,ROW()-ROW($H$1090)+1),"")</f>
        <v>0</v>
      </c>
      <c r="K1790">
        <f>IFERROR(SMALL(K367:K1087,ROW()-ROW($K$1090)+1),"")</f>
        <v>0</v>
      </c>
      <c r="L1790">
        <f>IFERROR(SMALL(L367:L1087,ROW()-ROW($L$1090)+1),"")</f>
        <v>0</v>
      </c>
      <c r="M1790">
        <f>IFERROR(SMALL(M367:M1087,ROW()-ROW($M$1090)+1),"")</f>
        <v>0</v>
      </c>
      <c r="N1790">
        <f>IFERROR(SMALL(N367:N1087,ROW()-ROW($N$1090)+1),"")</f>
        <v>0</v>
      </c>
    </row>
    <row r="1791" spans="5:14">
      <c r="E1791">
        <f>IFERROR(SMALL(E367:E1087,ROW()-ROW($E$1090)+1),"")</f>
        <v>0</v>
      </c>
      <c r="F1791">
        <f>IFERROR(SMALL(F367:F1087,ROW()-ROW($F$1090)+1),"")</f>
        <v>0</v>
      </c>
      <c r="G1791">
        <f>IFERROR(SMALL(G367:G1087,ROW()-ROW($G$1090)+1),"")</f>
        <v>0</v>
      </c>
      <c r="H1791">
        <f>IFERROR(SMALL(H367:H1087,ROW()-ROW($H$1090)+1),"")</f>
        <v>0</v>
      </c>
      <c r="K1791">
        <f>IFERROR(SMALL(K367:K1087,ROW()-ROW($K$1090)+1),"")</f>
        <v>0</v>
      </c>
      <c r="L1791">
        <f>IFERROR(SMALL(L367:L1087,ROW()-ROW($L$1090)+1),"")</f>
        <v>0</v>
      </c>
      <c r="M1791">
        <f>IFERROR(SMALL(M367:M1087,ROW()-ROW($M$1090)+1),"")</f>
        <v>0</v>
      </c>
      <c r="N1791">
        <f>IFERROR(SMALL(N367:N1087,ROW()-ROW($N$1090)+1),"")</f>
        <v>0</v>
      </c>
    </row>
    <row r="1792" spans="5:14">
      <c r="E1792">
        <f>IFERROR(SMALL(E367:E1087,ROW()-ROW($E$1090)+1),"")</f>
        <v>0</v>
      </c>
      <c r="F1792">
        <f>IFERROR(SMALL(F367:F1087,ROW()-ROW($F$1090)+1),"")</f>
        <v>0</v>
      </c>
      <c r="G1792">
        <f>IFERROR(SMALL(G367:G1087,ROW()-ROW($G$1090)+1),"")</f>
        <v>0</v>
      </c>
      <c r="H1792">
        <f>IFERROR(SMALL(H367:H1087,ROW()-ROW($H$1090)+1),"")</f>
        <v>0</v>
      </c>
      <c r="K1792">
        <f>IFERROR(SMALL(K367:K1087,ROW()-ROW($K$1090)+1),"")</f>
        <v>0</v>
      </c>
      <c r="L1792">
        <f>IFERROR(SMALL(L367:L1087,ROW()-ROW($L$1090)+1),"")</f>
        <v>0</v>
      </c>
      <c r="M1792">
        <f>IFERROR(SMALL(M367:M1087,ROW()-ROW($M$1090)+1),"")</f>
        <v>0</v>
      </c>
      <c r="N1792">
        <f>IFERROR(SMALL(N367:N1087,ROW()-ROW($N$1090)+1),"")</f>
        <v>0</v>
      </c>
    </row>
    <row r="1793" spans="5:14">
      <c r="E1793">
        <f>IFERROR(SMALL(E367:E1087,ROW()-ROW($E$1090)+1),"")</f>
        <v>0</v>
      </c>
      <c r="F1793">
        <f>IFERROR(SMALL(F367:F1087,ROW()-ROW($F$1090)+1),"")</f>
        <v>0</v>
      </c>
      <c r="G1793">
        <f>IFERROR(SMALL(G367:G1087,ROW()-ROW($G$1090)+1),"")</f>
        <v>0</v>
      </c>
      <c r="H1793">
        <f>IFERROR(SMALL(H367:H1087,ROW()-ROW($H$1090)+1),"")</f>
        <v>0</v>
      </c>
      <c r="K1793">
        <f>IFERROR(SMALL(K367:K1087,ROW()-ROW($K$1090)+1),"")</f>
        <v>0</v>
      </c>
      <c r="L1793">
        <f>IFERROR(SMALL(L367:L1087,ROW()-ROW($L$1090)+1),"")</f>
        <v>0</v>
      </c>
      <c r="M1793">
        <f>IFERROR(SMALL(M367:M1087,ROW()-ROW($M$1090)+1),"")</f>
        <v>0</v>
      </c>
      <c r="N1793">
        <f>IFERROR(SMALL(N367:N1087,ROW()-ROW($N$1090)+1),"")</f>
        <v>0</v>
      </c>
    </row>
    <row r="1794" spans="5:14">
      <c r="E1794">
        <f>IFERROR(SMALL(E367:E1087,ROW()-ROW($E$1090)+1),"")</f>
        <v>0</v>
      </c>
      <c r="F1794">
        <f>IFERROR(SMALL(F367:F1087,ROW()-ROW($F$1090)+1),"")</f>
        <v>0</v>
      </c>
      <c r="G1794">
        <f>IFERROR(SMALL(G367:G1087,ROW()-ROW($G$1090)+1),"")</f>
        <v>0</v>
      </c>
      <c r="H1794">
        <f>IFERROR(SMALL(H367:H1087,ROW()-ROW($H$1090)+1),"")</f>
        <v>0</v>
      </c>
      <c r="K1794">
        <f>IFERROR(SMALL(K367:K1087,ROW()-ROW($K$1090)+1),"")</f>
        <v>0</v>
      </c>
      <c r="L1794">
        <f>IFERROR(SMALL(L367:L1087,ROW()-ROW($L$1090)+1),"")</f>
        <v>0</v>
      </c>
      <c r="M1794">
        <f>IFERROR(SMALL(M367:M1087,ROW()-ROW($M$1090)+1),"")</f>
        <v>0</v>
      </c>
      <c r="N1794">
        <f>IFERROR(SMALL(N367:N1087,ROW()-ROW($N$1090)+1),"")</f>
        <v>0</v>
      </c>
    </row>
    <row r="1795" spans="5:14">
      <c r="E1795">
        <f>IFERROR(SMALL(E367:E1087,ROW()-ROW($E$1090)+1),"")</f>
        <v>0</v>
      </c>
      <c r="F1795">
        <f>IFERROR(SMALL(F367:F1087,ROW()-ROW($F$1090)+1),"")</f>
        <v>0</v>
      </c>
      <c r="G1795">
        <f>IFERROR(SMALL(G367:G1087,ROW()-ROW($G$1090)+1),"")</f>
        <v>0</v>
      </c>
      <c r="H1795">
        <f>IFERROR(SMALL(H367:H1087,ROW()-ROW($H$1090)+1),"")</f>
        <v>0</v>
      </c>
      <c r="K1795">
        <f>IFERROR(SMALL(K367:K1087,ROW()-ROW($K$1090)+1),"")</f>
        <v>0</v>
      </c>
      <c r="L1795">
        <f>IFERROR(SMALL(L367:L1087,ROW()-ROW($L$1090)+1),"")</f>
        <v>0</v>
      </c>
      <c r="M1795">
        <f>IFERROR(SMALL(M367:M1087,ROW()-ROW($M$1090)+1),"")</f>
        <v>0</v>
      </c>
      <c r="N1795">
        <f>IFERROR(SMALL(N367:N1087,ROW()-ROW($N$1090)+1),"")</f>
        <v>0</v>
      </c>
    </row>
    <row r="1796" spans="5:14">
      <c r="E1796">
        <f>IFERROR(SMALL(E367:E1087,ROW()-ROW($E$1090)+1),"")</f>
        <v>0</v>
      </c>
      <c r="F1796">
        <f>IFERROR(SMALL(F367:F1087,ROW()-ROW($F$1090)+1),"")</f>
        <v>0</v>
      </c>
      <c r="G1796">
        <f>IFERROR(SMALL(G367:G1087,ROW()-ROW($G$1090)+1),"")</f>
        <v>0</v>
      </c>
      <c r="H1796">
        <f>IFERROR(SMALL(H367:H1087,ROW()-ROW($H$1090)+1),"")</f>
        <v>0</v>
      </c>
      <c r="K1796">
        <f>IFERROR(SMALL(K367:K1087,ROW()-ROW($K$1090)+1),"")</f>
        <v>0</v>
      </c>
      <c r="L1796">
        <f>IFERROR(SMALL(L367:L1087,ROW()-ROW($L$1090)+1),"")</f>
        <v>0</v>
      </c>
      <c r="M1796">
        <f>IFERROR(SMALL(M367:M1087,ROW()-ROW($M$1090)+1),"")</f>
        <v>0</v>
      </c>
      <c r="N1796">
        <f>IFERROR(SMALL(N367:N1087,ROW()-ROW($N$1090)+1),"")</f>
        <v>0</v>
      </c>
    </row>
    <row r="1797" spans="5:14">
      <c r="E1797">
        <f>IFERROR(SMALL(E367:E1087,ROW()-ROW($E$1090)+1),"")</f>
        <v>0</v>
      </c>
      <c r="F1797">
        <f>IFERROR(SMALL(F367:F1087,ROW()-ROW($F$1090)+1),"")</f>
        <v>0</v>
      </c>
      <c r="G1797">
        <f>IFERROR(SMALL(G367:G1087,ROW()-ROW($G$1090)+1),"")</f>
        <v>0</v>
      </c>
      <c r="H1797">
        <f>IFERROR(SMALL(H367:H1087,ROW()-ROW($H$1090)+1),"")</f>
        <v>0</v>
      </c>
      <c r="K1797">
        <f>IFERROR(SMALL(K367:K1087,ROW()-ROW($K$1090)+1),"")</f>
        <v>0</v>
      </c>
      <c r="L1797">
        <f>IFERROR(SMALL(L367:L1087,ROW()-ROW($L$1090)+1),"")</f>
        <v>0</v>
      </c>
      <c r="M1797">
        <f>IFERROR(SMALL(M367:M1087,ROW()-ROW($M$1090)+1),"")</f>
        <v>0</v>
      </c>
      <c r="N1797">
        <f>IFERROR(SMALL(N367:N1087,ROW()-ROW($N$1090)+1),"")</f>
        <v>0</v>
      </c>
    </row>
    <row r="1798" spans="5:14">
      <c r="E1798">
        <f>IFERROR(SMALL(E367:E1087,ROW()-ROW($E$1090)+1),"")</f>
        <v>0</v>
      </c>
      <c r="F1798">
        <f>IFERROR(SMALL(F367:F1087,ROW()-ROW($F$1090)+1),"")</f>
        <v>0</v>
      </c>
      <c r="G1798">
        <f>IFERROR(SMALL(G367:G1087,ROW()-ROW($G$1090)+1),"")</f>
        <v>0</v>
      </c>
      <c r="H1798">
        <f>IFERROR(SMALL(H367:H1087,ROW()-ROW($H$1090)+1),"")</f>
        <v>0</v>
      </c>
      <c r="K1798">
        <f>IFERROR(SMALL(K367:K1087,ROW()-ROW($K$1090)+1),"")</f>
        <v>0</v>
      </c>
      <c r="L1798">
        <f>IFERROR(SMALL(L367:L1087,ROW()-ROW($L$1090)+1),"")</f>
        <v>0</v>
      </c>
      <c r="M1798">
        <f>IFERROR(SMALL(M367:M1087,ROW()-ROW($M$1090)+1),"")</f>
        <v>0</v>
      </c>
      <c r="N1798">
        <f>IFERROR(SMALL(N367:N1087,ROW()-ROW($N$1090)+1),"")</f>
        <v>0</v>
      </c>
    </row>
    <row r="1799" spans="5:14">
      <c r="E1799">
        <f>IFERROR(SMALL(E367:E1087,ROW()-ROW($E$1090)+1),"")</f>
        <v>0</v>
      </c>
      <c r="F1799">
        <f>IFERROR(SMALL(F367:F1087,ROW()-ROW($F$1090)+1),"")</f>
        <v>0</v>
      </c>
      <c r="G1799">
        <f>IFERROR(SMALL(G367:G1087,ROW()-ROW($G$1090)+1),"")</f>
        <v>0</v>
      </c>
      <c r="H1799">
        <f>IFERROR(SMALL(H367:H1087,ROW()-ROW($H$1090)+1),"")</f>
        <v>0</v>
      </c>
      <c r="K1799">
        <f>IFERROR(SMALL(K367:K1087,ROW()-ROW($K$1090)+1),"")</f>
        <v>0</v>
      </c>
      <c r="L1799">
        <f>IFERROR(SMALL(L367:L1087,ROW()-ROW($L$1090)+1),"")</f>
        <v>0</v>
      </c>
      <c r="M1799">
        <f>IFERROR(SMALL(M367:M1087,ROW()-ROW($M$1090)+1),"")</f>
        <v>0</v>
      </c>
      <c r="N1799">
        <f>IFERROR(SMALL(N367:N1087,ROW()-ROW($N$1090)+1),"")</f>
        <v>0</v>
      </c>
    </row>
    <row r="1800" spans="5:14">
      <c r="E1800">
        <f>IFERROR(SMALL(E367:E1087,ROW()-ROW($E$1090)+1),"")</f>
        <v>0</v>
      </c>
      <c r="F1800">
        <f>IFERROR(SMALL(F367:F1087,ROW()-ROW($F$1090)+1),"")</f>
        <v>0</v>
      </c>
      <c r="G1800">
        <f>IFERROR(SMALL(G367:G1087,ROW()-ROW($G$1090)+1),"")</f>
        <v>0</v>
      </c>
      <c r="H1800">
        <f>IFERROR(SMALL(H367:H1087,ROW()-ROW($H$1090)+1),"")</f>
        <v>0</v>
      </c>
      <c r="K1800">
        <f>IFERROR(SMALL(K367:K1087,ROW()-ROW($K$1090)+1),"")</f>
        <v>0</v>
      </c>
      <c r="L1800">
        <f>IFERROR(SMALL(L367:L1087,ROW()-ROW($L$1090)+1),"")</f>
        <v>0</v>
      </c>
      <c r="M1800">
        <f>IFERROR(SMALL(M367:M1087,ROW()-ROW($M$1090)+1),"")</f>
        <v>0</v>
      </c>
      <c r="N1800">
        <f>IFERROR(SMALL(N367:N1087,ROW()-ROW($N$1090)+1),"")</f>
        <v>0</v>
      </c>
    </row>
    <row r="1801" spans="5:14">
      <c r="E1801">
        <f>IFERROR(SMALL(E367:E1087,ROW()-ROW($E$1090)+1),"")</f>
        <v>0</v>
      </c>
      <c r="F1801">
        <f>IFERROR(SMALL(F367:F1087,ROW()-ROW($F$1090)+1),"")</f>
        <v>0</v>
      </c>
      <c r="G1801">
        <f>IFERROR(SMALL(G367:G1087,ROW()-ROW($G$1090)+1),"")</f>
        <v>0</v>
      </c>
      <c r="H1801">
        <f>IFERROR(SMALL(H367:H1087,ROW()-ROW($H$1090)+1),"")</f>
        <v>0</v>
      </c>
      <c r="K1801">
        <f>IFERROR(SMALL(K367:K1087,ROW()-ROW($K$1090)+1),"")</f>
        <v>0</v>
      </c>
      <c r="L1801">
        <f>IFERROR(SMALL(L367:L1087,ROW()-ROW($L$1090)+1),"")</f>
        <v>0</v>
      </c>
      <c r="M1801">
        <f>IFERROR(SMALL(M367:M1087,ROW()-ROW($M$1090)+1),"")</f>
        <v>0</v>
      </c>
      <c r="N1801">
        <f>IFERROR(SMALL(N367:N1087,ROW()-ROW($N$1090)+1),"")</f>
        <v>0</v>
      </c>
    </row>
    <row r="1802" spans="5:14">
      <c r="E1802">
        <f>IFERROR(SMALL(E367:E1087,ROW()-ROW($E$1090)+1),"")</f>
        <v>0</v>
      </c>
      <c r="F1802">
        <f>IFERROR(SMALL(F367:F1087,ROW()-ROW($F$1090)+1),"")</f>
        <v>0</v>
      </c>
      <c r="G1802">
        <f>IFERROR(SMALL(G367:G1087,ROW()-ROW($G$1090)+1),"")</f>
        <v>0</v>
      </c>
      <c r="H1802">
        <f>IFERROR(SMALL(H367:H1087,ROW()-ROW($H$1090)+1),"")</f>
        <v>0</v>
      </c>
      <c r="K1802">
        <f>IFERROR(SMALL(K367:K1087,ROW()-ROW($K$1090)+1),"")</f>
        <v>0</v>
      </c>
      <c r="L1802">
        <f>IFERROR(SMALL(L367:L1087,ROW()-ROW($L$1090)+1),"")</f>
        <v>0</v>
      </c>
      <c r="M1802">
        <f>IFERROR(SMALL(M367:M1087,ROW()-ROW($M$1090)+1),"")</f>
        <v>0</v>
      </c>
      <c r="N1802">
        <f>IFERROR(SMALL(N367:N1087,ROW()-ROW($N$1090)+1),"")</f>
        <v>0</v>
      </c>
    </row>
    <row r="1803" spans="5:14">
      <c r="E1803">
        <f>IFERROR(SMALL(E367:E1087,ROW()-ROW($E$1090)+1),"")</f>
        <v>0</v>
      </c>
      <c r="F1803">
        <f>IFERROR(SMALL(F367:F1087,ROW()-ROW($F$1090)+1),"")</f>
        <v>0</v>
      </c>
      <c r="G1803">
        <f>IFERROR(SMALL(G367:G1087,ROW()-ROW($G$1090)+1),"")</f>
        <v>0</v>
      </c>
      <c r="H1803">
        <f>IFERROR(SMALL(H367:H1087,ROW()-ROW($H$1090)+1),"")</f>
        <v>0</v>
      </c>
      <c r="K1803">
        <f>IFERROR(SMALL(K367:K1087,ROW()-ROW($K$1090)+1),"")</f>
        <v>0</v>
      </c>
      <c r="L1803">
        <f>IFERROR(SMALL(L367:L1087,ROW()-ROW($L$1090)+1),"")</f>
        <v>0</v>
      </c>
      <c r="M1803">
        <f>IFERROR(SMALL(M367:M1087,ROW()-ROW($M$1090)+1),"")</f>
        <v>0</v>
      </c>
      <c r="N1803">
        <f>IFERROR(SMALL(N367:N1087,ROW()-ROW($N$1090)+1),"")</f>
        <v>0</v>
      </c>
    </row>
    <row r="1804" spans="5:14">
      <c r="E1804">
        <f>IFERROR(SMALL(E367:E1087,ROW()-ROW($E$1090)+1),"")</f>
        <v>0</v>
      </c>
      <c r="F1804">
        <f>IFERROR(SMALL(F367:F1087,ROW()-ROW($F$1090)+1),"")</f>
        <v>0</v>
      </c>
      <c r="G1804">
        <f>IFERROR(SMALL(G367:G1087,ROW()-ROW($G$1090)+1),"")</f>
        <v>0</v>
      </c>
      <c r="H1804">
        <f>IFERROR(SMALL(H367:H1087,ROW()-ROW($H$1090)+1),"")</f>
        <v>0</v>
      </c>
      <c r="K1804">
        <f>IFERROR(SMALL(K367:K1087,ROW()-ROW($K$1090)+1),"")</f>
        <v>0</v>
      </c>
      <c r="L1804">
        <f>IFERROR(SMALL(L367:L1087,ROW()-ROW($L$1090)+1),"")</f>
        <v>0</v>
      </c>
      <c r="M1804">
        <f>IFERROR(SMALL(M367:M1087,ROW()-ROW($M$1090)+1),"")</f>
        <v>0</v>
      </c>
      <c r="N1804">
        <f>IFERROR(SMALL(N367:N1087,ROW()-ROW($N$1090)+1),"")</f>
        <v>0</v>
      </c>
    </row>
    <row r="1805" spans="5:14">
      <c r="E1805">
        <f>IFERROR(SMALL(E367:E1087,ROW()-ROW($E$1090)+1),"")</f>
        <v>0</v>
      </c>
      <c r="F1805">
        <f>IFERROR(SMALL(F367:F1087,ROW()-ROW($F$1090)+1),"")</f>
        <v>0</v>
      </c>
      <c r="G1805">
        <f>IFERROR(SMALL(G367:G1087,ROW()-ROW($G$1090)+1),"")</f>
        <v>0</v>
      </c>
      <c r="H1805">
        <f>IFERROR(SMALL(H367:H1087,ROW()-ROW($H$1090)+1),"")</f>
        <v>0</v>
      </c>
      <c r="K1805">
        <f>IFERROR(SMALL(K367:K1087,ROW()-ROW($K$1090)+1),"")</f>
        <v>0</v>
      </c>
      <c r="L1805">
        <f>IFERROR(SMALL(L367:L1087,ROW()-ROW($L$1090)+1),"")</f>
        <v>0</v>
      </c>
      <c r="M1805">
        <f>IFERROR(SMALL(M367:M1087,ROW()-ROW($M$1090)+1),"")</f>
        <v>0</v>
      </c>
      <c r="N1805">
        <f>IFERROR(SMALL(N367:N1087,ROW()-ROW($N$1090)+1),"")</f>
        <v>0</v>
      </c>
    </row>
    <row r="1806" spans="5:14">
      <c r="E1806">
        <f>IFERROR(SMALL(E367:E1087,ROW()-ROW($E$1090)+1),"")</f>
        <v>0</v>
      </c>
      <c r="F1806">
        <f>IFERROR(SMALL(F367:F1087,ROW()-ROW($F$1090)+1),"")</f>
        <v>0</v>
      </c>
      <c r="G1806">
        <f>IFERROR(SMALL(G367:G1087,ROW()-ROW($G$1090)+1),"")</f>
        <v>0</v>
      </c>
      <c r="H1806">
        <f>IFERROR(SMALL(H367:H1087,ROW()-ROW($H$1090)+1),"")</f>
        <v>0</v>
      </c>
      <c r="K1806">
        <f>IFERROR(SMALL(K367:K1087,ROW()-ROW($K$1090)+1),"")</f>
        <v>0</v>
      </c>
      <c r="L1806">
        <f>IFERROR(SMALL(L367:L1087,ROW()-ROW($L$1090)+1),"")</f>
        <v>0</v>
      </c>
      <c r="M1806">
        <f>IFERROR(SMALL(M367:M1087,ROW()-ROW($M$1090)+1),"")</f>
        <v>0</v>
      </c>
      <c r="N1806">
        <f>IFERROR(SMALL(N367:N1087,ROW()-ROW($N$1090)+1),"")</f>
        <v>0</v>
      </c>
    </row>
    <row r="1807" spans="5:14">
      <c r="E1807">
        <f>IFERROR(SMALL(E367:E1087,ROW()-ROW($E$1090)+1),"")</f>
        <v>0</v>
      </c>
      <c r="F1807">
        <f>IFERROR(SMALL(F367:F1087,ROW()-ROW($F$1090)+1),"")</f>
        <v>0</v>
      </c>
      <c r="G1807">
        <f>IFERROR(SMALL(G367:G1087,ROW()-ROW($G$1090)+1),"")</f>
        <v>0</v>
      </c>
      <c r="H1807">
        <f>IFERROR(SMALL(H367:H1087,ROW()-ROW($H$1090)+1),"")</f>
        <v>0</v>
      </c>
      <c r="K1807">
        <f>IFERROR(SMALL(K367:K1087,ROW()-ROW($K$1090)+1),"")</f>
        <v>0</v>
      </c>
      <c r="L1807">
        <f>IFERROR(SMALL(L367:L1087,ROW()-ROW($L$1090)+1),"")</f>
        <v>0</v>
      </c>
      <c r="M1807">
        <f>IFERROR(SMALL(M367:M1087,ROW()-ROW($M$1090)+1),"")</f>
        <v>0</v>
      </c>
      <c r="N1807">
        <f>IFERROR(SMALL(N367:N1087,ROW()-ROW($N$1090)+1),"")</f>
        <v>0</v>
      </c>
    </row>
    <row r="1808" spans="5:14">
      <c r="E1808">
        <f>IFERROR(SMALL(E367:E1087,ROW()-ROW($E$1090)+1),"")</f>
        <v>0</v>
      </c>
      <c r="F1808">
        <f>IFERROR(SMALL(F367:F1087,ROW()-ROW($F$1090)+1),"")</f>
        <v>0</v>
      </c>
      <c r="G1808">
        <f>IFERROR(SMALL(G367:G1087,ROW()-ROW($G$1090)+1),"")</f>
        <v>0</v>
      </c>
      <c r="H1808">
        <f>IFERROR(SMALL(H367:H1087,ROW()-ROW($H$1090)+1),"")</f>
        <v>0</v>
      </c>
      <c r="K1808">
        <f>IFERROR(SMALL(K367:K1087,ROW()-ROW($K$1090)+1),"")</f>
        <v>0</v>
      </c>
      <c r="L1808">
        <f>IFERROR(SMALL(L367:L1087,ROW()-ROW($L$1090)+1),"")</f>
        <v>0</v>
      </c>
      <c r="M1808">
        <f>IFERROR(SMALL(M367:M1087,ROW()-ROW($M$1090)+1),"")</f>
        <v>0</v>
      </c>
      <c r="N1808">
        <f>IFERROR(SMALL(N367:N1087,ROW()-ROW($N$1090)+1),"")</f>
        <v>0</v>
      </c>
    </row>
    <row r="1809" spans="4:14">
      <c r="E1809">
        <f>IFERROR(SMALL(E367:E1087,ROW()-ROW($E$1090)+1),"")</f>
        <v>0</v>
      </c>
      <c r="F1809">
        <f>IFERROR(SMALL(F367:F1087,ROW()-ROW($F$1090)+1),"")</f>
        <v>0</v>
      </c>
      <c r="G1809">
        <f>IFERROR(SMALL(G367:G1087,ROW()-ROW($G$1090)+1),"")</f>
        <v>0</v>
      </c>
      <c r="H1809">
        <f>IFERROR(SMALL(H367:H1087,ROW()-ROW($H$1090)+1),"")</f>
        <v>0</v>
      </c>
      <c r="K1809">
        <f>IFERROR(SMALL(K367:K1087,ROW()-ROW($K$1090)+1),"")</f>
        <v>0</v>
      </c>
      <c r="L1809">
        <f>IFERROR(SMALL(L367:L1087,ROW()-ROW($L$1090)+1),"")</f>
        <v>0</v>
      </c>
      <c r="M1809">
        <f>IFERROR(SMALL(M367:M1087,ROW()-ROW($M$1090)+1),"")</f>
        <v>0</v>
      </c>
      <c r="N1809">
        <f>IFERROR(SMALL(N367:N1087,ROW()-ROW($N$1090)+1),"")</f>
        <v>0</v>
      </c>
    </row>
    <row r="1811" spans="4:14">
      <c r="D1811" t="s">
        <v>406</v>
      </c>
      <c r="E1811" t="s">
        <v>403</v>
      </c>
      <c r="F1811" t="s">
        <v>408</v>
      </c>
      <c r="G1811" t="s">
        <v>403</v>
      </c>
      <c r="H1811" t="s">
        <v>409</v>
      </c>
      <c r="J1811" t="s">
        <v>406</v>
      </c>
      <c r="K1811" t="s">
        <v>403</v>
      </c>
      <c r="L1811" t="s">
        <v>408</v>
      </c>
      <c r="M1811" t="s">
        <v>403</v>
      </c>
      <c r="N1811" t="s">
        <v>409</v>
      </c>
    </row>
    <row r="1812" spans="4:14">
      <c r="E1812">
        <f>IF(ISNA(F1812),NA(),E1090)</f>
        <v>0</v>
      </c>
      <c r="F1812">
        <f>IF(F1090="",NA(),F1090)</f>
        <v>0</v>
      </c>
      <c r="G1812">
        <f>IF(ISNA(H1812),NA(),G1090)</f>
        <v>0</v>
      </c>
      <c r="H1812">
        <f>IF(H1090="",NA(),H1090)</f>
        <v>0</v>
      </c>
      <c r="K1812">
        <f>IF(ISNA(L1812),NA(),K1090)</f>
        <v>0</v>
      </c>
      <c r="L1812">
        <f>IF(L1090="",NA(),L1090)</f>
        <v>0</v>
      </c>
      <c r="M1812">
        <f>IF(ISNA(N1812),NA(),M1090)</f>
        <v>0</v>
      </c>
      <c r="N1812">
        <f>IF(N1090="",NA(),N1090)</f>
        <v>0</v>
      </c>
    </row>
    <row r="1813" spans="4:14">
      <c r="E1813">
        <f>IF(ISNA(F1813),NA(),E1091)</f>
        <v>0</v>
      </c>
      <c r="F1813">
        <f>IF(OR(F1091="",AND(F1091=F1090,F1091=F1092)),NA(), F1091)</f>
        <v>0</v>
      </c>
      <c r="G1813">
        <f>IF(ISNA(H1813),NA(),G1091)</f>
        <v>0</v>
      </c>
      <c r="H1813">
        <f>IF(OR(H1091="",AND(H1091=H1090,H1091=H1092)),NA(), H1091)</f>
        <v>0</v>
      </c>
      <c r="K1813">
        <f>IF(ISNA(L1813),NA(),K1091)</f>
        <v>0</v>
      </c>
      <c r="L1813">
        <f>IF(OR(L1091="",AND(L1091=L1090,L1091=L1092)),NA(), L1091)</f>
        <v>0</v>
      </c>
      <c r="M1813">
        <f>IF(ISNA(N1813),NA(),M1091)</f>
        <v>0</v>
      </c>
      <c r="N1813">
        <f>IF(OR(N1091="",AND(N1091=N1090,N1091=N1092)),NA(), N1091)</f>
        <v>0</v>
      </c>
    </row>
    <row r="1814" spans="4:14">
      <c r="E1814">
        <f>IF(ISNA(F1814),NA(),E1092)</f>
        <v>0</v>
      </c>
      <c r="F1814">
        <f>IF(OR(F1092="",AND(F1092=F1091,F1092=F1093)),NA(), F1092)</f>
        <v>0</v>
      </c>
      <c r="G1814">
        <f>IF(ISNA(H1814),NA(),G1092)</f>
        <v>0</v>
      </c>
      <c r="H1814">
        <f>IF(OR(H1092="",AND(H1092=H1091,H1092=H1093)),NA(), H1092)</f>
        <v>0</v>
      </c>
      <c r="K1814">
        <f>IF(ISNA(L1814),NA(),K1092)</f>
        <v>0</v>
      </c>
      <c r="L1814">
        <f>IF(OR(L1092="",AND(L1092=L1091,L1092=L1093)),NA(), L1092)</f>
        <v>0</v>
      </c>
      <c r="M1814">
        <f>IF(ISNA(N1814),NA(),M1092)</f>
        <v>0</v>
      </c>
      <c r="N1814">
        <f>IF(OR(N1092="",AND(N1092=N1091,N1092=N1093)),NA(), N1092)</f>
        <v>0</v>
      </c>
    </row>
    <row r="1815" spans="4:14">
      <c r="E1815">
        <f>IF(ISNA(F1815),NA(),E1093)</f>
        <v>0</v>
      </c>
      <c r="F1815">
        <f>IF(OR(F1093="",AND(F1093=F1092,F1093=F1094)),NA(), F1093)</f>
        <v>0</v>
      </c>
      <c r="G1815">
        <f>IF(ISNA(H1815),NA(),G1093)</f>
        <v>0</v>
      </c>
      <c r="H1815">
        <f>IF(OR(H1093="",AND(H1093=H1092,H1093=H1094)),NA(), H1093)</f>
        <v>0</v>
      </c>
      <c r="K1815">
        <f>IF(ISNA(L1815),NA(),K1093)</f>
        <v>0</v>
      </c>
      <c r="L1815">
        <f>IF(OR(L1093="",AND(L1093=L1092,L1093=L1094)),NA(), L1093)</f>
        <v>0</v>
      </c>
      <c r="M1815">
        <f>IF(ISNA(N1815),NA(),M1093)</f>
        <v>0</v>
      </c>
      <c r="N1815">
        <f>IF(OR(N1093="",AND(N1093=N1092,N1093=N1094)),NA(), N1093)</f>
        <v>0</v>
      </c>
    </row>
    <row r="1816" spans="4:14">
      <c r="E1816">
        <f>IF(ISNA(F1816),NA(),E1094)</f>
        <v>0</v>
      </c>
      <c r="F1816">
        <f>IF(OR(F1094="",AND(F1094=F1093,F1094=F1095)),NA(), F1094)</f>
        <v>0</v>
      </c>
      <c r="G1816">
        <f>IF(ISNA(H1816),NA(),G1094)</f>
        <v>0</v>
      </c>
      <c r="H1816">
        <f>IF(OR(H1094="",AND(H1094=H1093,H1094=H1095)),NA(), H1094)</f>
        <v>0</v>
      </c>
      <c r="K1816">
        <f>IF(ISNA(L1816),NA(),K1094)</f>
        <v>0</v>
      </c>
      <c r="L1816">
        <f>IF(OR(L1094="",AND(L1094=L1093,L1094=L1095)),NA(), L1094)</f>
        <v>0</v>
      </c>
      <c r="M1816">
        <f>IF(ISNA(N1816),NA(),M1094)</f>
        <v>0</v>
      </c>
      <c r="N1816">
        <f>IF(OR(N1094="",AND(N1094=N1093,N1094=N1095)),NA(), N1094)</f>
        <v>0</v>
      </c>
    </row>
    <row r="1817" spans="4:14">
      <c r="E1817">
        <f>IF(ISNA(F1817),NA(),E1095)</f>
        <v>0</v>
      </c>
      <c r="F1817">
        <f>IF(OR(F1095="",AND(F1095=F1094,F1095=F1096)),NA(), F1095)</f>
        <v>0</v>
      </c>
      <c r="G1817">
        <f>IF(ISNA(H1817),NA(),G1095)</f>
        <v>0</v>
      </c>
      <c r="H1817">
        <f>IF(OR(H1095="",AND(H1095=H1094,H1095=H1096)),NA(), H1095)</f>
        <v>0</v>
      </c>
      <c r="K1817">
        <f>IF(ISNA(L1817),NA(),K1095)</f>
        <v>0</v>
      </c>
      <c r="L1817">
        <f>IF(OR(L1095="",AND(L1095=L1094,L1095=L1096)),NA(), L1095)</f>
        <v>0</v>
      </c>
      <c r="M1817">
        <f>IF(ISNA(N1817),NA(),M1095)</f>
        <v>0</v>
      </c>
      <c r="N1817">
        <f>IF(OR(N1095="",AND(N1095=N1094,N1095=N1096)),NA(), N1095)</f>
        <v>0</v>
      </c>
    </row>
    <row r="1818" spans="4:14">
      <c r="E1818">
        <f>IF(ISNA(F1818),NA(),E1096)</f>
        <v>0</v>
      </c>
      <c r="F1818">
        <f>IF(OR(F1096="",AND(F1096=F1095,F1096=F1097)),NA(), F1096)</f>
        <v>0</v>
      </c>
      <c r="G1818">
        <f>IF(ISNA(H1818),NA(),G1096)</f>
        <v>0</v>
      </c>
      <c r="H1818">
        <f>IF(OR(H1096="",AND(H1096=H1095,H1096=H1097)),NA(), H1096)</f>
        <v>0</v>
      </c>
      <c r="K1818">
        <f>IF(ISNA(L1818),NA(),K1096)</f>
        <v>0</v>
      </c>
      <c r="L1818">
        <f>IF(OR(L1096="",AND(L1096=L1095,L1096=L1097)),NA(), L1096)</f>
        <v>0</v>
      </c>
      <c r="M1818">
        <f>IF(ISNA(N1818),NA(),M1096)</f>
        <v>0</v>
      </c>
      <c r="N1818">
        <f>IF(OR(N1096="",AND(N1096=N1095,N1096=N1097)),NA(), N1096)</f>
        <v>0</v>
      </c>
    </row>
    <row r="1819" spans="4:14">
      <c r="E1819">
        <f>IF(ISNA(F1819),NA(),E1097)</f>
        <v>0</v>
      </c>
      <c r="F1819">
        <f>IF(OR(F1097="",AND(F1097=F1096,F1097=F1098)),NA(), F1097)</f>
        <v>0</v>
      </c>
      <c r="G1819">
        <f>IF(ISNA(H1819),NA(),G1097)</f>
        <v>0</v>
      </c>
      <c r="H1819">
        <f>IF(OR(H1097="",AND(H1097=H1096,H1097=H1098)),NA(), H1097)</f>
        <v>0</v>
      </c>
      <c r="K1819">
        <f>IF(ISNA(L1819),NA(),K1097)</f>
        <v>0</v>
      </c>
      <c r="L1819">
        <f>IF(OR(L1097="",AND(L1097=L1096,L1097=L1098)),NA(), L1097)</f>
        <v>0</v>
      </c>
      <c r="M1819">
        <f>IF(ISNA(N1819),NA(),M1097)</f>
        <v>0</v>
      </c>
      <c r="N1819">
        <f>IF(OR(N1097="",AND(N1097=N1096,N1097=N1098)),NA(), N1097)</f>
        <v>0</v>
      </c>
    </row>
    <row r="1820" spans="4:14">
      <c r="E1820">
        <f>IF(ISNA(F1820),NA(),E1098)</f>
        <v>0</v>
      </c>
      <c r="F1820">
        <f>IF(OR(F1098="",AND(F1098=F1097,F1098=F1099)),NA(), F1098)</f>
        <v>0</v>
      </c>
      <c r="G1820">
        <f>IF(ISNA(H1820),NA(),G1098)</f>
        <v>0</v>
      </c>
      <c r="H1820">
        <f>IF(OR(H1098="",AND(H1098=H1097,H1098=H1099)),NA(), H1098)</f>
        <v>0</v>
      </c>
      <c r="K1820">
        <f>IF(ISNA(L1820),NA(),K1098)</f>
        <v>0</v>
      </c>
      <c r="L1820">
        <f>IF(OR(L1098="",AND(L1098=L1097,L1098=L1099)),NA(), L1098)</f>
        <v>0</v>
      </c>
      <c r="M1820">
        <f>IF(ISNA(N1820),NA(),M1098)</f>
        <v>0</v>
      </c>
      <c r="N1820">
        <f>IF(OR(N1098="",AND(N1098=N1097,N1098=N1099)),NA(), N1098)</f>
        <v>0</v>
      </c>
    </row>
    <row r="1821" spans="4:14">
      <c r="E1821">
        <f>IF(ISNA(F1821),NA(),E1099)</f>
        <v>0</v>
      </c>
      <c r="F1821">
        <f>IF(OR(F1099="",AND(F1099=F1098,F1099=F1100)),NA(), F1099)</f>
        <v>0</v>
      </c>
      <c r="G1821">
        <f>IF(ISNA(H1821),NA(),G1099)</f>
        <v>0</v>
      </c>
      <c r="H1821">
        <f>IF(OR(H1099="",AND(H1099=H1098,H1099=H1100)),NA(), H1099)</f>
        <v>0</v>
      </c>
      <c r="K1821">
        <f>IF(ISNA(L1821),NA(),K1099)</f>
        <v>0</v>
      </c>
      <c r="L1821">
        <f>IF(OR(L1099="",AND(L1099=L1098,L1099=L1100)),NA(), L1099)</f>
        <v>0</v>
      </c>
      <c r="M1821">
        <f>IF(ISNA(N1821),NA(),M1099)</f>
        <v>0</v>
      </c>
      <c r="N1821">
        <f>IF(OR(N1099="",AND(N1099=N1098,N1099=N1100)),NA(), N1099)</f>
        <v>0</v>
      </c>
    </row>
    <row r="1822" spans="4:14">
      <c r="E1822">
        <f>IF(ISNA(F1822),NA(),E1100)</f>
        <v>0</v>
      </c>
      <c r="F1822">
        <f>IF(OR(F1100="",AND(F1100=F1099,F1100=F1101)),NA(), F1100)</f>
        <v>0</v>
      </c>
      <c r="G1822">
        <f>IF(ISNA(H1822),NA(),G1100)</f>
        <v>0</v>
      </c>
      <c r="H1822">
        <f>IF(OR(H1100="",AND(H1100=H1099,H1100=H1101)),NA(), H1100)</f>
        <v>0</v>
      </c>
      <c r="K1822">
        <f>IF(ISNA(L1822),NA(),K1100)</f>
        <v>0</v>
      </c>
      <c r="L1822">
        <f>IF(OR(L1100="",AND(L1100=L1099,L1100=L1101)),NA(), L1100)</f>
        <v>0</v>
      </c>
      <c r="M1822">
        <f>IF(ISNA(N1822),NA(),M1100)</f>
        <v>0</v>
      </c>
      <c r="N1822">
        <f>IF(OR(N1100="",AND(N1100=N1099,N1100=N1101)),NA(), N1100)</f>
        <v>0</v>
      </c>
    </row>
    <row r="1823" spans="4:14">
      <c r="E1823">
        <f>IF(ISNA(F1823),NA(),E1101)</f>
        <v>0</v>
      </c>
      <c r="F1823">
        <f>IF(OR(F1101="",AND(F1101=F1100,F1101=F1102)),NA(), F1101)</f>
        <v>0</v>
      </c>
      <c r="G1823">
        <f>IF(ISNA(H1823),NA(),G1101)</f>
        <v>0</v>
      </c>
      <c r="H1823">
        <f>IF(OR(H1101="",AND(H1101=H1100,H1101=H1102)),NA(), H1101)</f>
        <v>0</v>
      </c>
      <c r="K1823">
        <f>IF(ISNA(L1823),NA(),K1101)</f>
        <v>0</v>
      </c>
      <c r="L1823">
        <f>IF(OR(L1101="",AND(L1101=L1100,L1101=L1102)),NA(), L1101)</f>
        <v>0</v>
      </c>
      <c r="M1823">
        <f>IF(ISNA(N1823),NA(),M1101)</f>
        <v>0</v>
      </c>
      <c r="N1823">
        <f>IF(OR(N1101="",AND(N1101=N1100,N1101=N1102)),NA(), N1101)</f>
        <v>0</v>
      </c>
    </row>
    <row r="1824" spans="4:14">
      <c r="E1824">
        <f>IF(ISNA(F1824),NA(),E1102)</f>
        <v>0</v>
      </c>
      <c r="F1824">
        <f>IF(OR(F1102="",AND(F1102=F1101,F1102=F1103)),NA(), F1102)</f>
        <v>0</v>
      </c>
      <c r="G1824">
        <f>IF(ISNA(H1824),NA(),G1102)</f>
        <v>0</v>
      </c>
      <c r="H1824">
        <f>IF(OR(H1102="",AND(H1102=H1101,H1102=H1103)),NA(), H1102)</f>
        <v>0</v>
      </c>
      <c r="K1824">
        <f>IF(ISNA(L1824),NA(),K1102)</f>
        <v>0</v>
      </c>
      <c r="L1824">
        <f>IF(OR(L1102="",AND(L1102=L1101,L1102=L1103)),NA(), L1102)</f>
        <v>0</v>
      </c>
      <c r="M1824">
        <f>IF(ISNA(N1824),NA(),M1102)</f>
        <v>0</v>
      </c>
      <c r="N1824">
        <f>IF(OR(N1102="",AND(N1102=N1101,N1102=N1103)),NA(), N1102)</f>
        <v>0</v>
      </c>
    </row>
    <row r="1825" spans="5:14">
      <c r="E1825">
        <f>IF(ISNA(F1825),NA(),E1103)</f>
        <v>0</v>
      </c>
      <c r="F1825">
        <f>IF(OR(F1103="",AND(F1103=F1102,F1103=F1104)),NA(), F1103)</f>
        <v>0</v>
      </c>
      <c r="G1825">
        <f>IF(ISNA(H1825),NA(),G1103)</f>
        <v>0</v>
      </c>
      <c r="H1825">
        <f>IF(OR(H1103="",AND(H1103=H1102,H1103=H1104)),NA(), H1103)</f>
        <v>0</v>
      </c>
      <c r="K1825">
        <f>IF(ISNA(L1825),NA(),K1103)</f>
        <v>0</v>
      </c>
      <c r="L1825">
        <f>IF(OR(L1103="",AND(L1103=L1102,L1103=L1104)),NA(), L1103)</f>
        <v>0</v>
      </c>
      <c r="M1825">
        <f>IF(ISNA(N1825),NA(),M1103)</f>
        <v>0</v>
      </c>
      <c r="N1825">
        <f>IF(OR(N1103="",AND(N1103=N1102,N1103=N1104)),NA(), N1103)</f>
        <v>0</v>
      </c>
    </row>
    <row r="1826" spans="5:14">
      <c r="E1826">
        <f>IF(ISNA(F1826),NA(),E1104)</f>
        <v>0</v>
      </c>
      <c r="F1826">
        <f>IF(OR(F1104="",AND(F1104=F1103,F1104=F1105)),NA(), F1104)</f>
        <v>0</v>
      </c>
      <c r="G1826">
        <f>IF(ISNA(H1826),NA(),G1104)</f>
        <v>0</v>
      </c>
      <c r="H1826">
        <f>IF(OR(H1104="",AND(H1104=H1103,H1104=H1105)),NA(), H1104)</f>
        <v>0</v>
      </c>
      <c r="K1826">
        <f>IF(ISNA(L1826),NA(),K1104)</f>
        <v>0</v>
      </c>
      <c r="L1826">
        <f>IF(OR(L1104="",AND(L1104=L1103,L1104=L1105)),NA(), L1104)</f>
        <v>0</v>
      </c>
      <c r="M1826">
        <f>IF(ISNA(N1826),NA(),M1104)</f>
        <v>0</v>
      </c>
      <c r="N1826">
        <f>IF(OR(N1104="",AND(N1104=N1103,N1104=N1105)),NA(), N1104)</f>
        <v>0</v>
      </c>
    </row>
    <row r="1827" spans="5:14">
      <c r="E1827">
        <f>IF(ISNA(F1827),NA(),E1105)</f>
        <v>0</v>
      </c>
      <c r="F1827">
        <f>IF(OR(F1105="",AND(F1105=F1104,F1105=F1106)),NA(), F1105)</f>
        <v>0</v>
      </c>
      <c r="G1827">
        <f>IF(ISNA(H1827),NA(),G1105)</f>
        <v>0</v>
      </c>
      <c r="H1827">
        <f>IF(OR(H1105="",AND(H1105=H1104,H1105=H1106)),NA(), H1105)</f>
        <v>0</v>
      </c>
      <c r="K1827">
        <f>IF(ISNA(L1827),NA(),K1105)</f>
        <v>0</v>
      </c>
      <c r="L1827">
        <f>IF(OR(L1105="",AND(L1105=L1104,L1105=L1106)),NA(), L1105)</f>
        <v>0</v>
      </c>
      <c r="M1827">
        <f>IF(ISNA(N1827),NA(),M1105)</f>
        <v>0</v>
      </c>
      <c r="N1827">
        <f>IF(OR(N1105="",AND(N1105=N1104,N1105=N1106)),NA(), N1105)</f>
        <v>0</v>
      </c>
    </row>
    <row r="1828" spans="5:14">
      <c r="E1828">
        <f>IF(ISNA(F1828),NA(),E1106)</f>
        <v>0</v>
      </c>
      <c r="F1828">
        <f>IF(OR(F1106="",AND(F1106=F1105,F1106=F1107)),NA(), F1106)</f>
        <v>0</v>
      </c>
      <c r="G1828">
        <f>IF(ISNA(H1828),NA(),G1106)</f>
        <v>0</v>
      </c>
      <c r="H1828">
        <f>IF(OR(H1106="",AND(H1106=H1105,H1106=H1107)),NA(), H1106)</f>
        <v>0</v>
      </c>
      <c r="K1828">
        <f>IF(ISNA(L1828),NA(),K1106)</f>
        <v>0</v>
      </c>
      <c r="L1828">
        <f>IF(OR(L1106="",AND(L1106=L1105,L1106=L1107)),NA(), L1106)</f>
        <v>0</v>
      </c>
      <c r="M1828">
        <f>IF(ISNA(N1828),NA(),M1106)</f>
        <v>0</v>
      </c>
      <c r="N1828">
        <f>IF(OR(N1106="",AND(N1106=N1105,N1106=N1107)),NA(), N1106)</f>
        <v>0</v>
      </c>
    </row>
    <row r="1829" spans="5:14">
      <c r="E1829">
        <f>IF(ISNA(F1829),NA(),E1107)</f>
        <v>0</v>
      </c>
      <c r="F1829">
        <f>IF(OR(F1107="",AND(F1107=F1106,F1107=F1108)),NA(), F1107)</f>
        <v>0</v>
      </c>
      <c r="G1829">
        <f>IF(ISNA(H1829),NA(),G1107)</f>
        <v>0</v>
      </c>
      <c r="H1829">
        <f>IF(OR(H1107="",AND(H1107=H1106,H1107=H1108)),NA(), H1107)</f>
        <v>0</v>
      </c>
      <c r="K1829">
        <f>IF(ISNA(L1829),NA(),K1107)</f>
        <v>0</v>
      </c>
      <c r="L1829">
        <f>IF(OR(L1107="",AND(L1107=L1106,L1107=L1108)),NA(), L1107)</f>
        <v>0</v>
      </c>
      <c r="M1829">
        <f>IF(ISNA(N1829),NA(),M1107)</f>
        <v>0</v>
      </c>
      <c r="N1829">
        <f>IF(OR(N1107="",AND(N1107=N1106,N1107=N1108)),NA(), N1107)</f>
        <v>0</v>
      </c>
    </row>
    <row r="1830" spans="5:14">
      <c r="E1830">
        <f>IF(ISNA(F1830),NA(),E1108)</f>
        <v>0</v>
      </c>
      <c r="F1830">
        <f>IF(OR(F1108="",AND(F1108=F1107,F1108=F1109)),NA(), F1108)</f>
        <v>0</v>
      </c>
      <c r="G1830">
        <f>IF(ISNA(H1830),NA(),G1108)</f>
        <v>0</v>
      </c>
      <c r="H1830">
        <f>IF(OR(H1108="",AND(H1108=H1107,H1108=H1109)),NA(), H1108)</f>
        <v>0</v>
      </c>
      <c r="K1830">
        <f>IF(ISNA(L1830),NA(),K1108)</f>
        <v>0</v>
      </c>
      <c r="L1830">
        <f>IF(OR(L1108="",AND(L1108=L1107,L1108=L1109)),NA(), L1108)</f>
        <v>0</v>
      </c>
      <c r="M1830">
        <f>IF(ISNA(N1830),NA(),M1108)</f>
        <v>0</v>
      </c>
      <c r="N1830">
        <f>IF(OR(N1108="",AND(N1108=N1107,N1108=N1109)),NA(), N1108)</f>
        <v>0</v>
      </c>
    </row>
    <row r="1831" spans="5:14">
      <c r="E1831">
        <f>IF(ISNA(F1831),NA(),E1109)</f>
        <v>0</v>
      </c>
      <c r="F1831">
        <f>IF(OR(F1109="",AND(F1109=F1108,F1109=F1110)),NA(), F1109)</f>
        <v>0</v>
      </c>
      <c r="G1831">
        <f>IF(ISNA(H1831),NA(),G1109)</f>
        <v>0</v>
      </c>
      <c r="H1831">
        <f>IF(OR(H1109="",AND(H1109=H1108,H1109=H1110)),NA(), H1109)</f>
        <v>0</v>
      </c>
      <c r="K1831">
        <f>IF(ISNA(L1831),NA(),K1109)</f>
        <v>0</v>
      </c>
      <c r="L1831">
        <f>IF(OR(L1109="",AND(L1109=L1108,L1109=L1110)),NA(), L1109)</f>
        <v>0</v>
      </c>
      <c r="M1831">
        <f>IF(ISNA(N1831),NA(),M1109)</f>
        <v>0</v>
      </c>
      <c r="N1831">
        <f>IF(OR(N1109="",AND(N1109=N1108,N1109=N1110)),NA(), N1109)</f>
        <v>0</v>
      </c>
    </row>
    <row r="1832" spans="5:14">
      <c r="E1832">
        <f>IF(ISNA(F1832),NA(),E1110)</f>
        <v>0</v>
      </c>
      <c r="F1832">
        <f>IF(OR(F1110="",AND(F1110=F1109,F1110=F1111)),NA(), F1110)</f>
        <v>0</v>
      </c>
      <c r="G1832">
        <f>IF(ISNA(H1832),NA(),G1110)</f>
        <v>0</v>
      </c>
      <c r="H1832">
        <f>IF(OR(H1110="",AND(H1110=H1109,H1110=H1111)),NA(), H1110)</f>
        <v>0</v>
      </c>
      <c r="K1832">
        <f>IF(ISNA(L1832),NA(),K1110)</f>
        <v>0</v>
      </c>
      <c r="L1832">
        <f>IF(OR(L1110="",AND(L1110=L1109,L1110=L1111)),NA(), L1110)</f>
        <v>0</v>
      </c>
      <c r="M1832">
        <f>IF(ISNA(N1832),NA(),M1110)</f>
        <v>0</v>
      </c>
      <c r="N1832">
        <f>IF(OR(N1110="",AND(N1110=N1109,N1110=N1111)),NA(), N1110)</f>
        <v>0</v>
      </c>
    </row>
    <row r="1833" spans="5:14">
      <c r="E1833">
        <f>IF(ISNA(F1833),NA(),E1111)</f>
        <v>0</v>
      </c>
      <c r="F1833">
        <f>IF(OR(F1111="",AND(F1111=F1110,F1111=F1112)),NA(), F1111)</f>
        <v>0</v>
      </c>
      <c r="G1833">
        <f>IF(ISNA(H1833),NA(),G1111)</f>
        <v>0</v>
      </c>
      <c r="H1833">
        <f>IF(OR(H1111="",AND(H1111=H1110,H1111=H1112)),NA(), H1111)</f>
        <v>0</v>
      </c>
      <c r="K1833">
        <f>IF(ISNA(L1833),NA(),K1111)</f>
        <v>0</v>
      </c>
      <c r="L1833">
        <f>IF(OR(L1111="",AND(L1111=L1110,L1111=L1112)),NA(), L1111)</f>
        <v>0</v>
      </c>
      <c r="M1833">
        <f>IF(ISNA(N1833),NA(),M1111)</f>
        <v>0</v>
      </c>
      <c r="N1833">
        <f>IF(OR(N1111="",AND(N1111=N1110,N1111=N1112)),NA(), N1111)</f>
        <v>0</v>
      </c>
    </row>
    <row r="1834" spans="5:14">
      <c r="E1834">
        <f>IF(ISNA(F1834),NA(),E1112)</f>
        <v>0</v>
      </c>
      <c r="F1834">
        <f>IF(OR(F1112="",AND(F1112=F1111,F1112=F1113)),NA(), F1112)</f>
        <v>0</v>
      </c>
      <c r="G1834">
        <f>IF(ISNA(H1834),NA(),G1112)</f>
        <v>0</v>
      </c>
      <c r="H1834">
        <f>IF(OR(H1112="",AND(H1112=H1111,H1112=H1113)),NA(), H1112)</f>
        <v>0</v>
      </c>
      <c r="K1834">
        <f>IF(ISNA(L1834),NA(),K1112)</f>
        <v>0</v>
      </c>
      <c r="L1834">
        <f>IF(OR(L1112="",AND(L1112=L1111,L1112=L1113)),NA(), L1112)</f>
        <v>0</v>
      </c>
      <c r="M1834">
        <f>IF(ISNA(N1834),NA(),M1112)</f>
        <v>0</v>
      </c>
      <c r="N1834">
        <f>IF(OR(N1112="",AND(N1112=N1111,N1112=N1113)),NA(), N1112)</f>
        <v>0</v>
      </c>
    </row>
    <row r="1835" spans="5:14">
      <c r="E1835">
        <f>IF(ISNA(F1835),NA(),E1113)</f>
        <v>0</v>
      </c>
      <c r="F1835">
        <f>IF(OR(F1113="",AND(F1113=F1112,F1113=F1114)),NA(), F1113)</f>
        <v>0</v>
      </c>
      <c r="G1835">
        <f>IF(ISNA(H1835),NA(),G1113)</f>
        <v>0</v>
      </c>
      <c r="H1835">
        <f>IF(OR(H1113="",AND(H1113=H1112,H1113=H1114)),NA(), H1113)</f>
        <v>0</v>
      </c>
      <c r="K1835">
        <f>IF(ISNA(L1835),NA(),K1113)</f>
        <v>0</v>
      </c>
      <c r="L1835">
        <f>IF(OR(L1113="",AND(L1113=L1112,L1113=L1114)),NA(), L1113)</f>
        <v>0</v>
      </c>
      <c r="M1835">
        <f>IF(ISNA(N1835),NA(),M1113)</f>
        <v>0</v>
      </c>
      <c r="N1835">
        <f>IF(OR(N1113="",AND(N1113=N1112,N1113=N1114)),NA(), N1113)</f>
        <v>0</v>
      </c>
    </row>
    <row r="1836" spans="5:14">
      <c r="E1836">
        <f>IF(ISNA(F1836),NA(),E1114)</f>
        <v>0</v>
      </c>
      <c r="F1836">
        <f>IF(OR(F1114="",AND(F1114=F1113,F1114=F1115)),NA(), F1114)</f>
        <v>0</v>
      </c>
      <c r="G1836">
        <f>IF(ISNA(H1836),NA(),G1114)</f>
        <v>0</v>
      </c>
      <c r="H1836">
        <f>IF(OR(H1114="",AND(H1114=H1113,H1114=H1115)),NA(), H1114)</f>
        <v>0</v>
      </c>
      <c r="K1836">
        <f>IF(ISNA(L1836),NA(),K1114)</f>
        <v>0</v>
      </c>
      <c r="L1836">
        <f>IF(OR(L1114="",AND(L1114=L1113,L1114=L1115)),NA(), L1114)</f>
        <v>0</v>
      </c>
      <c r="M1836">
        <f>IF(ISNA(N1836),NA(),M1114)</f>
        <v>0</v>
      </c>
      <c r="N1836">
        <f>IF(OR(N1114="",AND(N1114=N1113,N1114=N1115)),NA(), N1114)</f>
        <v>0</v>
      </c>
    </row>
    <row r="1837" spans="5:14">
      <c r="E1837">
        <f>IF(ISNA(F1837),NA(),E1115)</f>
        <v>0</v>
      </c>
      <c r="F1837">
        <f>IF(OR(F1115="",AND(F1115=F1114,F1115=F1116)),NA(), F1115)</f>
        <v>0</v>
      </c>
      <c r="G1837">
        <f>IF(ISNA(H1837),NA(),G1115)</f>
        <v>0</v>
      </c>
      <c r="H1837">
        <f>IF(OR(H1115="",AND(H1115=H1114,H1115=H1116)),NA(), H1115)</f>
        <v>0</v>
      </c>
      <c r="K1837">
        <f>IF(ISNA(L1837),NA(),K1115)</f>
        <v>0</v>
      </c>
      <c r="L1837">
        <f>IF(OR(L1115="",AND(L1115=L1114,L1115=L1116)),NA(), L1115)</f>
        <v>0</v>
      </c>
      <c r="M1837">
        <f>IF(ISNA(N1837),NA(),M1115)</f>
        <v>0</v>
      </c>
      <c r="N1837">
        <f>IF(OR(N1115="",AND(N1115=N1114,N1115=N1116)),NA(), N1115)</f>
        <v>0</v>
      </c>
    </row>
    <row r="1838" spans="5:14">
      <c r="E1838">
        <f>IF(ISNA(F1838),NA(),E1116)</f>
        <v>0</v>
      </c>
      <c r="F1838">
        <f>IF(OR(F1116="",AND(F1116=F1115,F1116=F1117)),NA(), F1116)</f>
        <v>0</v>
      </c>
      <c r="G1838">
        <f>IF(ISNA(H1838),NA(),G1116)</f>
        <v>0</v>
      </c>
      <c r="H1838">
        <f>IF(OR(H1116="",AND(H1116=H1115,H1116=H1117)),NA(), H1116)</f>
        <v>0</v>
      </c>
      <c r="K1838">
        <f>IF(ISNA(L1838),NA(),K1116)</f>
        <v>0</v>
      </c>
      <c r="L1838">
        <f>IF(OR(L1116="",AND(L1116=L1115,L1116=L1117)),NA(), L1116)</f>
        <v>0</v>
      </c>
      <c r="M1838">
        <f>IF(ISNA(N1838),NA(),M1116)</f>
        <v>0</v>
      </c>
      <c r="N1838">
        <f>IF(OR(N1116="",AND(N1116=N1115,N1116=N1117)),NA(), N1116)</f>
        <v>0</v>
      </c>
    </row>
    <row r="1839" spans="5:14">
      <c r="E1839">
        <f>IF(ISNA(F1839),NA(),E1117)</f>
        <v>0</v>
      </c>
      <c r="F1839">
        <f>IF(OR(F1117="",AND(F1117=F1116,F1117=F1118)),NA(), F1117)</f>
        <v>0</v>
      </c>
      <c r="G1839">
        <f>IF(ISNA(H1839),NA(),G1117)</f>
        <v>0</v>
      </c>
      <c r="H1839">
        <f>IF(OR(H1117="",AND(H1117=H1116,H1117=H1118)),NA(), H1117)</f>
        <v>0</v>
      </c>
      <c r="K1839">
        <f>IF(ISNA(L1839),NA(),K1117)</f>
        <v>0</v>
      </c>
      <c r="L1839">
        <f>IF(OR(L1117="",AND(L1117=L1116,L1117=L1118)),NA(), L1117)</f>
        <v>0</v>
      </c>
      <c r="M1839">
        <f>IF(ISNA(N1839),NA(),M1117)</f>
        <v>0</v>
      </c>
      <c r="N1839">
        <f>IF(OR(N1117="",AND(N1117=N1116,N1117=N1118)),NA(), N1117)</f>
        <v>0</v>
      </c>
    </row>
    <row r="1840" spans="5:14">
      <c r="E1840">
        <f>IF(ISNA(F1840),NA(),E1118)</f>
        <v>0</v>
      </c>
      <c r="F1840">
        <f>IF(OR(F1118="",AND(F1118=F1117,F1118=F1119)),NA(), F1118)</f>
        <v>0</v>
      </c>
      <c r="G1840">
        <f>IF(ISNA(H1840),NA(),G1118)</f>
        <v>0</v>
      </c>
      <c r="H1840">
        <f>IF(OR(H1118="",AND(H1118=H1117,H1118=H1119)),NA(), H1118)</f>
        <v>0</v>
      </c>
      <c r="K1840">
        <f>IF(ISNA(L1840),NA(),K1118)</f>
        <v>0</v>
      </c>
      <c r="L1840">
        <f>IF(OR(L1118="",AND(L1118=L1117,L1118=L1119)),NA(), L1118)</f>
        <v>0</v>
      </c>
      <c r="M1840">
        <f>IF(ISNA(N1840),NA(),M1118)</f>
        <v>0</v>
      </c>
      <c r="N1840">
        <f>IF(OR(N1118="",AND(N1118=N1117,N1118=N1119)),NA(), N1118)</f>
        <v>0</v>
      </c>
    </row>
    <row r="1841" spans="5:14">
      <c r="E1841">
        <f>IF(ISNA(F1841),NA(),E1119)</f>
        <v>0</v>
      </c>
      <c r="F1841">
        <f>IF(OR(F1119="",AND(F1119=F1118,F1119=F1120)),NA(), F1119)</f>
        <v>0</v>
      </c>
      <c r="G1841">
        <f>IF(ISNA(H1841),NA(),G1119)</f>
        <v>0</v>
      </c>
      <c r="H1841">
        <f>IF(OR(H1119="",AND(H1119=H1118,H1119=H1120)),NA(), H1119)</f>
        <v>0</v>
      </c>
      <c r="K1841">
        <f>IF(ISNA(L1841),NA(),K1119)</f>
        <v>0</v>
      </c>
      <c r="L1841">
        <f>IF(OR(L1119="",AND(L1119=L1118,L1119=L1120)),NA(), L1119)</f>
        <v>0</v>
      </c>
      <c r="M1841">
        <f>IF(ISNA(N1841),NA(),M1119)</f>
        <v>0</v>
      </c>
      <c r="N1841">
        <f>IF(OR(N1119="",AND(N1119=N1118,N1119=N1120)),NA(), N1119)</f>
        <v>0</v>
      </c>
    </row>
    <row r="1842" spans="5:14">
      <c r="E1842">
        <f>IF(ISNA(F1842),NA(),E1120)</f>
        <v>0</v>
      </c>
      <c r="F1842">
        <f>IF(OR(F1120="",AND(F1120=F1119,F1120=F1121)),NA(), F1120)</f>
        <v>0</v>
      </c>
      <c r="G1842">
        <f>IF(ISNA(H1842),NA(),G1120)</f>
        <v>0</v>
      </c>
      <c r="H1842">
        <f>IF(OR(H1120="",AND(H1120=H1119,H1120=H1121)),NA(), H1120)</f>
        <v>0</v>
      </c>
      <c r="K1842">
        <f>IF(ISNA(L1842),NA(),K1120)</f>
        <v>0</v>
      </c>
      <c r="L1842">
        <f>IF(OR(L1120="",AND(L1120=L1119,L1120=L1121)),NA(), L1120)</f>
        <v>0</v>
      </c>
      <c r="M1842">
        <f>IF(ISNA(N1842),NA(),M1120)</f>
        <v>0</v>
      </c>
      <c r="N1842">
        <f>IF(OR(N1120="",AND(N1120=N1119,N1120=N1121)),NA(), N1120)</f>
        <v>0</v>
      </c>
    </row>
    <row r="1843" spans="5:14">
      <c r="E1843">
        <f>IF(ISNA(F1843),NA(),E1121)</f>
        <v>0</v>
      </c>
      <c r="F1843">
        <f>IF(OR(F1121="",AND(F1121=F1120,F1121=F1122)),NA(), F1121)</f>
        <v>0</v>
      </c>
      <c r="G1843">
        <f>IF(ISNA(H1843),NA(),G1121)</f>
        <v>0</v>
      </c>
      <c r="H1843">
        <f>IF(OR(H1121="",AND(H1121=H1120,H1121=H1122)),NA(), H1121)</f>
        <v>0</v>
      </c>
      <c r="K1843">
        <f>IF(ISNA(L1843),NA(),K1121)</f>
        <v>0</v>
      </c>
      <c r="L1843">
        <f>IF(OR(L1121="",AND(L1121=L1120,L1121=L1122)),NA(), L1121)</f>
        <v>0</v>
      </c>
      <c r="M1843">
        <f>IF(ISNA(N1843),NA(),M1121)</f>
        <v>0</v>
      </c>
      <c r="N1843">
        <f>IF(OR(N1121="",AND(N1121=N1120,N1121=N1122)),NA(), N1121)</f>
        <v>0</v>
      </c>
    </row>
    <row r="1844" spans="5:14">
      <c r="E1844">
        <f>IF(ISNA(F1844),NA(),E1122)</f>
        <v>0</v>
      </c>
      <c r="F1844">
        <f>IF(OR(F1122="",AND(F1122=F1121,F1122=F1123)),NA(), F1122)</f>
        <v>0</v>
      </c>
      <c r="G1844">
        <f>IF(ISNA(H1844),NA(),G1122)</f>
        <v>0</v>
      </c>
      <c r="H1844">
        <f>IF(OR(H1122="",AND(H1122=H1121,H1122=H1123)),NA(), H1122)</f>
        <v>0</v>
      </c>
      <c r="K1844">
        <f>IF(ISNA(L1844),NA(),K1122)</f>
        <v>0</v>
      </c>
      <c r="L1844">
        <f>IF(OR(L1122="",AND(L1122=L1121,L1122=L1123)),NA(), L1122)</f>
        <v>0</v>
      </c>
      <c r="M1844">
        <f>IF(ISNA(N1844),NA(),M1122)</f>
        <v>0</v>
      </c>
      <c r="N1844">
        <f>IF(OR(N1122="",AND(N1122=N1121,N1122=N1123)),NA(), N1122)</f>
        <v>0</v>
      </c>
    </row>
    <row r="1845" spans="5:14">
      <c r="E1845">
        <f>IF(ISNA(F1845),NA(),E1123)</f>
        <v>0</v>
      </c>
      <c r="F1845">
        <f>IF(OR(F1123="",AND(F1123=F1122,F1123=F1124)),NA(), F1123)</f>
        <v>0</v>
      </c>
      <c r="G1845">
        <f>IF(ISNA(H1845),NA(),G1123)</f>
        <v>0</v>
      </c>
      <c r="H1845">
        <f>IF(OR(H1123="",AND(H1123=H1122,H1123=H1124)),NA(), H1123)</f>
        <v>0</v>
      </c>
      <c r="K1845">
        <f>IF(ISNA(L1845),NA(),K1123)</f>
        <v>0</v>
      </c>
      <c r="L1845">
        <f>IF(OR(L1123="",AND(L1123=L1122,L1123=L1124)),NA(), L1123)</f>
        <v>0</v>
      </c>
      <c r="M1845">
        <f>IF(ISNA(N1845),NA(),M1123)</f>
        <v>0</v>
      </c>
      <c r="N1845">
        <f>IF(OR(N1123="",AND(N1123=N1122,N1123=N1124)),NA(), N1123)</f>
        <v>0</v>
      </c>
    </row>
    <row r="1846" spans="5:14">
      <c r="E1846">
        <f>IF(ISNA(F1846),NA(),E1124)</f>
        <v>0</v>
      </c>
      <c r="F1846">
        <f>IF(OR(F1124="",AND(F1124=F1123,F1124=F1125)),NA(), F1124)</f>
        <v>0</v>
      </c>
      <c r="G1846">
        <f>IF(ISNA(H1846),NA(),G1124)</f>
        <v>0</v>
      </c>
      <c r="H1846">
        <f>IF(OR(H1124="",AND(H1124=H1123,H1124=H1125)),NA(), H1124)</f>
        <v>0</v>
      </c>
      <c r="K1846">
        <f>IF(ISNA(L1846),NA(),K1124)</f>
        <v>0</v>
      </c>
      <c r="L1846">
        <f>IF(OR(L1124="",AND(L1124=L1123,L1124=L1125)),NA(), L1124)</f>
        <v>0</v>
      </c>
      <c r="M1846">
        <f>IF(ISNA(N1846),NA(),M1124)</f>
        <v>0</v>
      </c>
      <c r="N1846">
        <f>IF(OR(N1124="",AND(N1124=N1123,N1124=N1125)),NA(), N1124)</f>
        <v>0</v>
      </c>
    </row>
    <row r="1847" spans="5:14">
      <c r="E1847">
        <f>IF(ISNA(F1847),NA(),E1125)</f>
        <v>0</v>
      </c>
      <c r="F1847">
        <f>IF(OR(F1125="",AND(F1125=F1124,F1125=F1126)),NA(), F1125)</f>
        <v>0</v>
      </c>
      <c r="G1847">
        <f>IF(ISNA(H1847),NA(),G1125)</f>
        <v>0</v>
      </c>
      <c r="H1847">
        <f>IF(OR(H1125="",AND(H1125=H1124,H1125=H1126)),NA(), H1125)</f>
        <v>0</v>
      </c>
      <c r="K1847">
        <f>IF(ISNA(L1847),NA(),K1125)</f>
        <v>0</v>
      </c>
      <c r="L1847">
        <f>IF(OR(L1125="",AND(L1125=L1124,L1125=L1126)),NA(), L1125)</f>
        <v>0</v>
      </c>
      <c r="M1847">
        <f>IF(ISNA(N1847),NA(),M1125)</f>
        <v>0</v>
      </c>
      <c r="N1847">
        <f>IF(OR(N1125="",AND(N1125=N1124,N1125=N1126)),NA(), N1125)</f>
        <v>0</v>
      </c>
    </row>
    <row r="1848" spans="5:14">
      <c r="E1848">
        <f>IF(ISNA(F1848),NA(),E1126)</f>
        <v>0</v>
      </c>
      <c r="F1848">
        <f>IF(OR(F1126="",AND(F1126=F1125,F1126=F1127)),NA(), F1126)</f>
        <v>0</v>
      </c>
      <c r="G1848">
        <f>IF(ISNA(H1848),NA(),G1126)</f>
        <v>0</v>
      </c>
      <c r="H1848">
        <f>IF(OR(H1126="",AND(H1126=H1125,H1126=H1127)),NA(), H1126)</f>
        <v>0</v>
      </c>
      <c r="K1848">
        <f>IF(ISNA(L1848),NA(),K1126)</f>
        <v>0</v>
      </c>
      <c r="L1848">
        <f>IF(OR(L1126="",AND(L1126=L1125,L1126=L1127)),NA(), L1126)</f>
        <v>0</v>
      </c>
      <c r="M1848">
        <f>IF(ISNA(N1848),NA(),M1126)</f>
        <v>0</v>
      </c>
      <c r="N1848">
        <f>IF(OR(N1126="",AND(N1126=N1125,N1126=N1127)),NA(), N1126)</f>
        <v>0</v>
      </c>
    </row>
    <row r="1849" spans="5:14">
      <c r="E1849">
        <f>IF(ISNA(F1849),NA(),E1127)</f>
        <v>0</v>
      </c>
      <c r="F1849">
        <f>IF(OR(F1127="",AND(F1127=F1126,F1127=F1128)),NA(), F1127)</f>
        <v>0</v>
      </c>
      <c r="G1849">
        <f>IF(ISNA(H1849),NA(),G1127)</f>
        <v>0</v>
      </c>
      <c r="H1849">
        <f>IF(OR(H1127="",AND(H1127=H1126,H1127=H1128)),NA(), H1127)</f>
        <v>0</v>
      </c>
      <c r="K1849">
        <f>IF(ISNA(L1849),NA(),K1127)</f>
        <v>0</v>
      </c>
      <c r="L1849">
        <f>IF(OR(L1127="",AND(L1127=L1126,L1127=L1128)),NA(), L1127)</f>
        <v>0</v>
      </c>
      <c r="M1849">
        <f>IF(ISNA(N1849),NA(),M1127)</f>
        <v>0</v>
      </c>
      <c r="N1849">
        <f>IF(OR(N1127="",AND(N1127=N1126,N1127=N1128)),NA(), N1127)</f>
        <v>0</v>
      </c>
    </row>
    <row r="1850" spans="5:14">
      <c r="E1850">
        <f>IF(ISNA(F1850),NA(),E1128)</f>
        <v>0</v>
      </c>
      <c r="F1850">
        <f>IF(OR(F1128="",AND(F1128=F1127,F1128=F1129)),NA(), F1128)</f>
        <v>0</v>
      </c>
      <c r="G1850">
        <f>IF(ISNA(H1850),NA(),G1128)</f>
        <v>0</v>
      </c>
      <c r="H1850">
        <f>IF(OR(H1128="",AND(H1128=H1127,H1128=H1129)),NA(), H1128)</f>
        <v>0</v>
      </c>
      <c r="K1850">
        <f>IF(ISNA(L1850),NA(),K1128)</f>
        <v>0</v>
      </c>
      <c r="L1850">
        <f>IF(OR(L1128="",AND(L1128=L1127,L1128=L1129)),NA(), L1128)</f>
        <v>0</v>
      </c>
      <c r="M1850">
        <f>IF(ISNA(N1850),NA(),M1128)</f>
        <v>0</v>
      </c>
      <c r="N1850">
        <f>IF(OR(N1128="",AND(N1128=N1127,N1128=N1129)),NA(), N1128)</f>
        <v>0</v>
      </c>
    </row>
    <row r="1851" spans="5:14">
      <c r="E1851">
        <f>IF(ISNA(F1851),NA(),E1129)</f>
        <v>0</v>
      </c>
      <c r="F1851">
        <f>IF(OR(F1129="",AND(F1129=F1128,F1129=F1130)),NA(), F1129)</f>
        <v>0</v>
      </c>
      <c r="G1851">
        <f>IF(ISNA(H1851),NA(),G1129)</f>
        <v>0</v>
      </c>
      <c r="H1851">
        <f>IF(OR(H1129="",AND(H1129=H1128,H1129=H1130)),NA(), H1129)</f>
        <v>0</v>
      </c>
      <c r="K1851">
        <f>IF(ISNA(L1851),NA(),K1129)</f>
        <v>0</v>
      </c>
      <c r="L1851">
        <f>IF(OR(L1129="",AND(L1129=L1128,L1129=L1130)),NA(), L1129)</f>
        <v>0</v>
      </c>
      <c r="M1851">
        <f>IF(ISNA(N1851),NA(),M1129)</f>
        <v>0</v>
      </c>
      <c r="N1851">
        <f>IF(OR(N1129="",AND(N1129=N1128,N1129=N1130)),NA(), N1129)</f>
        <v>0</v>
      </c>
    </row>
    <row r="1852" spans="5:14">
      <c r="E1852">
        <f>IF(ISNA(F1852),NA(),E1130)</f>
        <v>0</v>
      </c>
      <c r="F1852">
        <f>IF(OR(F1130="",AND(F1130=F1129,F1130=F1131)),NA(), F1130)</f>
        <v>0</v>
      </c>
      <c r="G1852">
        <f>IF(ISNA(H1852),NA(),G1130)</f>
        <v>0</v>
      </c>
      <c r="H1852">
        <f>IF(OR(H1130="",AND(H1130=H1129,H1130=H1131)),NA(), H1130)</f>
        <v>0</v>
      </c>
      <c r="K1852">
        <f>IF(ISNA(L1852),NA(),K1130)</f>
        <v>0</v>
      </c>
      <c r="L1852">
        <f>IF(OR(L1130="",AND(L1130=L1129,L1130=L1131)),NA(), L1130)</f>
        <v>0</v>
      </c>
      <c r="M1852">
        <f>IF(ISNA(N1852),NA(),M1130)</f>
        <v>0</v>
      </c>
      <c r="N1852">
        <f>IF(OR(N1130="",AND(N1130=N1129,N1130=N1131)),NA(), N1130)</f>
        <v>0</v>
      </c>
    </row>
    <row r="1853" spans="5:14">
      <c r="E1853">
        <f>IF(ISNA(F1853),NA(),E1131)</f>
        <v>0</v>
      </c>
      <c r="F1853">
        <f>IF(OR(F1131="",AND(F1131=F1130,F1131=F1132)),NA(), F1131)</f>
        <v>0</v>
      </c>
      <c r="G1853">
        <f>IF(ISNA(H1853),NA(),G1131)</f>
        <v>0</v>
      </c>
      <c r="H1853">
        <f>IF(OR(H1131="",AND(H1131=H1130,H1131=H1132)),NA(), H1131)</f>
        <v>0</v>
      </c>
      <c r="K1853">
        <f>IF(ISNA(L1853),NA(),K1131)</f>
        <v>0</v>
      </c>
      <c r="L1853">
        <f>IF(OR(L1131="",AND(L1131=L1130,L1131=L1132)),NA(), L1131)</f>
        <v>0</v>
      </c>
      <c r="M1853">
        <f>IF(ISNA(N1853),NA(),M1131)</f>
        <v>0</v>
      </c>
      <c r="N1853">
        <f>IF(OR(N1131="",AND(N1131=N1130,N1131=N1132)),NA(), N1131)</f>
        <v>0</v>
      </c>
    </row>
    <row r="1854" spans="5:14">
      <c r="E1854">
        <f>IF(ISNA(F1854),NA(),E1132)</f>
        <v>0</v>
      </c>
      <c r="F1854">
        <f>IF(OR(F1132="",AND(F1132=F1131,F1132=F1133)),NA(), F1132)</f>
        <v>0</v>
      </c>
      <c r="G1854">
        <f>IF(ISNA(H1854),NA(),G1132)</f>
        <v>0</v>
      </c>
      <c r="H1854">
        <f>IF(OR(H1132="",AND(H1132=H1131,H1132=H1133)),NA(), H1132)</f>
        <v>0</v>
      </c>
      <c r="K1854">
        <f>IF(ISNA(L1854),NA(),K1132)</f>
        <v>0</v>
      </c>
      <c r="L1854">
        <f>IF(OR(L1132="",AND(L1132=L1131,L1132=L1133)),NA(), L1132)</f>
        <v>0</v>
      </c>
      <c r="M1854">
        <f>IF(ISNA(N1854),NA(),M1132)</f>
        <v>0</v>
      </c>
      <c r="N1854">
        <f>IF(OR(N1132="",AND(N1132=N1131,N1132=N1133)),NA(), N1132)</f>
        <v>0</v>
      </c>
    </row>
    <row r="1855" spans="5:14">
      <c r="E1855">
        <f>IF(ISNA(F1855),NA(),E1133)</f>
        <v>0</v>
      </c>
      <c r="F1855">
        <f>IF(OR(F1133="",AND(F1133=F1132,F1133=F1134)),NA(), F1133)</f>
        <v>0</v>
      </c>
      <c r="G1855">
        <f>IF(ISNA(H1855),NA(),G1133)</f>
        <v>0</v>
      </c>
      <c r="H1855">
        <f>IF(OR(H1133="",AND(H1133=H1132,H1133=H1134)),NA(), H1133)</f>
        <v>0</v>
      </c>
      <c r="K1855">
        <f>IF(ISNA(L1855),NA(),K1133)</f>
        <v>0</v>
      </c>
      <c r="L1855">
        <f>IF(OR(L1133="",AND(L1133=L1132,L1133=L1134)),NA(), L1133)</f>
        <v>0</v>
      </c>
      <c r="M1855">
        <f>IF(ISNA(N1855),NA(),M1133)</f>
        <v>0</v>
      </c>
      <c r="N1855">
        <f>IF(OR(N1133="",AND(N1133=N1132,N1133=N1134)),NA(), N1133)</f>
        <v>0</v>
      </c>
    </row>
    <row r="1856" spans="5:14">
      <c r="E1856">
        <f>IF(ISNA(F1856),NA(),E1134)</f>
        <v>0</v>
      </c>
      <c r="F1856">
        <f>IF(OR(F1134="",AND(F1134=F1133,F1134=F1135)),NA(), F1134)</f>
        <v>0</v>
      </c>
      <c r="G1856">
        <f>IF(ISNA(H1856),NA(),G1134)</f>
        <v>0</v>
      </c>
      <c r="H1856">
        <f>IF(OR(H1134="",AND(H1134=H1133,H1134=H1135)),NA(), H1134)</f>
        <v>0</v>
      </c>
      <c r="K1856">
        <f>IF(ISNA(L1856),NA(),K1134)</f>
        <v>0</v>
      </c>
      <c r="L1856">
        <f>IF(OR(L1134="",AND(L1134=L1133,L1134=L1135)),NA(), L1134)</f>
        <v>0</v>
      </c>
      <c r="M1856">
        <f>IF(ISNA(N1856),NA(),M1134)</f>
        <v>0</v>
      </c>
      <c r="N1856">
        <f>IF(OR(N1134="",AND(N1134=N1133,N1134=N1135)),NA(), N1134)</f>
        <v>0</v>
      </c>
    </row>
    <row r="1857" spans="5:14">
      <c r="E1857">
        <f>IF(ISNA(F1857),NA(),E1135)</f>
        <v>0</v>
      </c>
      <c r="F1857">
        <f>IF(OR(F1135="",AND(F1135=F1134,F1135=F1136)),NA(), F1135)</f>
        <v>0</v>
      </c>
      <c r="G1857">
        <f>IF(ISNA(H1857),NA(),G1135)</f>
        <v>0</v>
      </c>
      <c r="H1857">
        <f>IF(OR(H1135="",AND(H1135=H1134,H1135=H1136)),NA(), H1135)</f>
        <v>0</v>
      </c>
      <c r="K1857">
        <f>IF(ISNA(L1857),NA(),K1135)</f>
        <v>0</v>
      </c>
      <c r="L1857">
        <f>IF(OR(L1135="",AND(L1135=L1134,L1135=L1136)),NA(), L1135)</f>
        <v>0</v>
      </c>
      <c r="M1857">
        <f>IF(ISNA(N1857),NA(),M1135)</f>
        <v>0</v>
      </c>
      <c r="N1857">
        <f>IF(OR(N1135="",AND(N1135=N1134,N1135=N1136)),NA(), N1135)</f>
        <v>0</v>
      </c>
    </row>
    <row r="1858" spans="5:14">
      <c r="E1858">
        <f>IF(ISNA(F1858),NA(),E1136)</f>
        <v>0</v>
      </c>
      <c r="F1858">
        <f>IF(OR(F1136="",AND(F1136=F1135,F1136=F1137)),NA(), F1136)</f>
        <v>0</v>
      </c>
      <c r="G1858">
        <f>IF(ISNA(H1858),NA(),G1136)</f>
        <v>0</v>
      </c>
      <c r="H1858">
        <f>IF(OR(H1136="",AND(H1136=H1135,H1136=H1137)),NA(), H1136)</f>
        <v>0</v>
      </c>
      <c r="K1858">
        <f>IF(ISNA(L1858),NA(),K1136)</f>
        <v>0</v>
      </c>
      <c r="L1858">
        <f>IF(OR(L1136="",AND(L1136=L1135,L1136=L1137)),NA(), L1136)</f>
        <v>0</v>
      </c>
      <c r="M1858">
        <f>IF(ISNA(N1858),NA(),M1136)</f>
        <v>0</v>
      </c>
      <c r="N1858">
        <f>IF(OR(N1136="",AND(N1136=N1135,N1136=N1137)),NA(), N1136)</f>
        <v>0</v>
      </c>
    </row>
    <row r="1859" spans="5:14">
      <c r="E1859">
        <f>IF(ISNA(F1859),NA(),E1137)</f>
        <v>0</v>
      </c>
      <c r="F1859">
        <f>IF(OR(F1137="",AND(F1137=F1136,F1137=F1138)),NA(), F1137)</f>
        <v>0</v>
      </c>
      <c r="G1859">
        <f>IF(ISNA(H1859),NA(),G1137)</f>
        <v>0</v>
      </c>
      <c r="H1859">
        <f>IF(OR(H1137="",AND(H1137=H1136,H1137=H1138)),NA(), H1137)</f>
        <v>0</v>
      </c>
      <c r="K1859">
        <f>IF(ISNA(L1859),NA(),K1137)</f>
        <v>0</v>
      </c>
      <c r="L1859">
        <f>IF(OR(L1137="",AND(L1137=L1136,L1137=L1138)),NA(), L1137)</f>
        <v>0</v>
      </c>
      <c r="M1859">
        <f>IF(ISNA(N1859),NA(),M1137)</f>
        <v>0</v>
      </c>
      <c r="N1859">
        <f>IF(OR(N1137="",AND(N1137=N1136,N1137=N1138)),NA(), N1137)</f>
        <v>0</v>
      </c>
    </row>
    <row r="1860" spans="5:14">
      <c r="E1860">
        <f>IF(ISNA(F1860),NA(),E1138)</f>
        <v>0</v>
      </c>
      <c r="F1860">
        <f>IF(OR(F1138="",AND(F1138=F1137,F1138=F1139)),NA(), F1138)</f>
        <v>0</v>
      </c>
      <c r="G1860">
        <f>IF(ISNA(H1860),NA(),G1138)</f>
        <v>0</v>
      </c>
      <c r="H1860">
        <f>IF(OR(H1138="",AND(H1138=H1137,H1138=H1139)),NA(), H1138)</f>
        <v>0</v>
      </c>
      <c r="K1860">
        <f>IF(ISNA(L1860),NA(),K1138)</f>
        <v>0</v>
      </c>
      <c r="L1860">
        <f>IF(OR(L1138="",AND(L1138=L1137,L1138=L1139)),NA(), L1138)</f>
        <v>0</v>
      </c>
      <c r="M1860">
        <f>IF(ISNA(N1860),NA(),M1138)</f>
        <v>0</v>
      </c>
      <c r="N1860">
        <f>IF(OR(N1138="",AND(N1138=N1137,N1138=N1139)),NA(), N1138)</f>
        <v>0</v>
      </c>
    </row>
    <row r="1861" spans="5:14">
      <c r="E1861">
        <f>IF(ISNA(F1861),NA(),E1139)</f>
        <v>0</v>
      </c>
      <c r="F1861">
        <f>IF(OR(F1139="",AND(F1139=F1138,F1139=F1140)),NA(), F1139)</f>
        <v>0</v>
      </c>
      <c r="G1861">
        <f>IF(ISNA(H1861),NA(),G1139)</f>
        <v>0</v>
      </c>
      <c r="H1861">
        <f>IF(OR(H1139="",AND(H1139=H1138,H1139=H1140)),NA(), H1139)</f>
        <v>0</v>
      </c>
      <c r="K1861">
        <f>IF(ISNA(L1861),NA(),K1139)</f>
        <v>0</v>
      </c>
      <c r="L1861">
        <f>IF(OR(L1139="",AND(L1139=L1138,L1139=L1140)),NA(), L1139)</f>
        <v>0</v>
      </c>
      <c r="M1861">
        <f>IF(ISNA(N1861),NA(),M1139)</f>
        <v>0</v>
      </c>
      <c r="N1861">
        <f>IF(OR(N1139="",AND(N1139=N1138,N1139=N1140)),NA(), N1139)</f>
        <v>0</v>
      </c>
    </row>
    <row r="1862" spans="5:14">
      <c r="E1862">
        <f>IF(ISNA(F1862),NA(),E1140)</f>
        <v>0</v>
      </c>
      <c r="F1862">
        <f>IF(OR(F1140="",AND(F1140=F1139,F1140=F1141)),NA(), F1140)</f>
        <v>0</v>
      </c>
      <c r="G1862">
        <f>IF(ISNA(H1862),NA(),G1140)</f>
        <v>0</v>
      </c>
      <c r="H1862">
        <f>IF(OR(H1140="",AND(H1140=H1139,H1140=H1141)),NA(), H1140)</f>
        <v>0</v>
      </c>
      <c r="K1862">
        <f>IF(ISNA(L1862),NA(),K1140)</f>
        <v>0</v>
      </c>
      <c r="L1862">
        <f>IF(OR(L1140="",AND(L1140=L1139,L1140=L1141)),NA(), L1140)</f>
        <v>0</v>
      </c>
      <c r="M1862">
        <f>IF(ISNA(N1862),NA(),M1140)</f>
        <v>0</v>
      </c>
      <c r="N1862">
        <f>IF(OR(N1140="",AND(N1140=N1139,N1140=N1141)),NA(), N1140)</f>
        <v>0</v>
      </c>
    </row>
    <row r="1863" spans="5:14">
      <c r="E1863">
        <f>IF(ISNA(F1863),NA(),E1141)</f>
        <v>0</v>
      </c>
      <c r="F1863">
        <f>IF(OR(F1141="",AND(F1141=F1140,F1141=F1142)),NA(), F1141)</f>
        <v>0</v>
      </c>
      <c r="G1863">
        <f>IF(ISNA(H1863),NA(),G1141)</f>
        <v>0</v>
      </c>
      <c r="H1863">
        <f>IF(OR(H1141="",AND(H1141=H1140,H1141=H1142)),NA(), H1141)</f>
        <v>0</v>
      </c>
      <c r="K1863">
        <f>IF(ISNA(L1863),NA(),K1141)</f>
        <v>0</v>
      </c>
      <c r="L1863">
        <f>IF(OR(L1141="",AND(L1141=L1140,L1141=L1142)),NA(), L1141)</f>
        <v>0</v>
      </c>
      <c r="M1863">
        <f>IF(ISNA(N1863),NA(),M1141)</f>
        <v>0</v>
      </c>
      <c r="N1863">
        <f>IF(OR(N1141="",AND(N1141=N1140,N1141=N1142)),NA(), N1141)</f>
        <v>0</v>
      </c>
    </row>
    <row r="1864" spans="5:14">
      <c r="E1864">
        <f>IF(ISNA(F1864),NA(),E1142)</f>
        <v>0</v>
      </c>
      <c r="F1864">
        <f>IF(OR(F1142="",AND(F1142=F1141,F1142=F1143)),NA(), F1142)</f>
        <v>0</v>
      </c>
      <c r="G1864">
        <f>IF(ISNA(H1864),NA(),G1142)</f>
        <v>0</v>
      </c>
      <c r="H1864">
        <f>IF(OR(H1142="",AND(H1142=H1141,H1142=H1143)),NA(), H1142)</f>
        <v>0</v>
      </c>
      <c r="K1864">
        <f>IF(ISNA(L1864),NA(),K1142)</f>
        <v>0</v>
      </c>
      <c r="L1864">
        <f>IF(OR(L1142="",AND(L1142=L1141,L1142=L1143)),NA(), L1142)</f>
        <v>0</v>
      </c>
      <c r="M1864">
        <f>IF(ISNA(N1864),NA(),M1142)</f>
        <v>0</v>
      </c>
      <c r="N1864">
        <f>IF(OR(N1142="",AND(N1142=N1141,N1142=N1143)),NA(), N1142)</f>
        <v>0</v>
      </c>
    </row>
    <row r="1865" spans="5:14">
      <c r="E1865">
        <f>IF(ISNA(F1865),NA(),E1143)</f>
        <v>0</v>
      </c>
      <c r="F1865">
        <f>IF(OR(F1143="",AND(F1143=F1142,F1143=F1144)),NA(), F1143)</f>
        <v>0</v>
      </c>
      <c r="G1865">
        <f>IF(ISNA(H1865),NA(),G1143)</f>
        <v>0</v>
      </c>
      <c r="H1865">
        <f>IF(OR(H1143="",AND(H1143=H1142,H1143=H1144)),NA(), H1143)</f>
        <v>0</v>
      </c>
      <c r="K1865">
        <f>IF(ISNA(L1865),NA(),K1143)</f>
        <v>0</v>
      </c>
      <c r="L1865">
        <f>IF(OR(L1143="",AND(L1143=L1142,L1143=L1144)),NA(), L1143)</f>
        <v>0</v>
      </c>
      <c r="M1865">
        <f>IF(ISNA(N1865),NA(),M1143)</f>
        <v>0</v>
      </c>
      <c r="N1865">
        <f>IF(OR(N1143="",AND(N1143=N1142,N1143=N1144)),NA(), N1143)</f>
        <v>0</v>
      </c>
    </row>
    <row r="1866" spans="5:14">
      <c r="E1866">
        <f>IF(ISNA(F1866),NA(),E1144)</f>
        <v>0</v>
      </c>
      <c r="F1866">
        <f>IF(OR(F1144="",AND(F1144=F1143,F1144=F1145)),NA(), F1144)</f>
        <v>0</v>
      </c>
      <c r="G1866">
        <f>IF(ISNA(H1866),NA(),G1144)</f>
        <v>0</v>
      </c>
      <c r="H1866">
        <f>IF(OR(H1144="",AND(H1144=H1143,H1144=H1145)),NA(), H1144)</f>
        <v>0</v>
      </c>
      <c r="K1866">
        <f>IF(ISNA(L1866),NA(),K1144)</f>
        <v>0</v>
      </c>
      <c r="L1866">
        <f>IF(OR(L1144="",AND(L1144=L1143,L1144=L1145)),NA(), L1144)</f>
        <v>0</v>
      </c>
      <c r="M1866">
        <f>IF(ISNA(N1866),NA(),M1144)</f>
        <v>0</v>
      </c>
      <c r="N1866">
        <f>IF(OR(N1144="",AND(N1144=N1143,N1144=N1145)),NA(), N1144)</f>
        <v>0</v>
      </c>
    </row>
    <row r="1867" spans="5:14">
      <c r="E1867">
        <f>IF(ISNA(F1867),NA(),E1145)</f>
        <v>0</v>
      </c>
      <c r="F1867">
        <f>IF(OR(F1145="",AND(F1145=F1144,F1145=F1146)),NA(), F1145)</f>
        <v>0</v>
      </c>
      <c r="G1867">
        <f>IF(ISNA(H1867),NA(),G1145)</f>
        <v>0</v>
      </c>
      <c r="H1867">
        <f>IF(OR(H1145="",AND(H1145=H1144,H1145=H1146)),NA(), H1145)</f>
        <v>0</v>
      </c>
      <c r="K1867">
        <f>IF(ISNA(L1867),NA(),K1145)</f>
        <v>0</v>
      </c>
      <c r="L1867">
        <f>IF(OR(L1145="",AND(L1145=L1144,L1145=L1146)),NA(), L1145)</f>
        <v>0</v>
      </c>
      <c r="M1867">
        <f>IF(ISNA(N1867),NA(),M1145)</f>
        <v>0</v>
      </c>
      <c r="N1867">
        <f>IF(OR(N1145="",AND(N1145=N1144,N1145=N1146)),NA(), N1145)</f>
        <v>0</v>
      </c>
    </row>
    <row r="1868" spans="5:14">
      <c r="E1868">
        <f>IF(ISNA(F1868),NA(),E1146)</f>
        <v>0</v>
      </c>
      <c r="F1868">
        <f>IF(OR(F1146="",AND(F1146=F1145,F1146=F1147)),NA(), F1146)</f>
        <v>0</v>
      </c>
      <c r="G1868">
        <f>IF(ISNA(H1868),NA(),G1146)</f>
        <v>0</v>
      </c>
      <c r="H1868">
        <f>IF(OR(H1146="",AND(H1146=H1145,H1146=H1147)),NA(), H1146)</f>
        <v>0</v>
      </c>
      <c r="K1868">
        <f>IF(ISNA(L1868),NA(),K1146)</f>
        <v>0</v>
      </c>
      <c r="L1868">
        <f>IF(OR(L1146="",AND(L1146=L1145,L1146=L1147)),NA(), L1146)</f>
        <v>0</v>
      </c>
      <c r="M1868">
        <f>IF(ISNA(N1868),NA(),M1146)</f>
        <v>0</v>
      </c>
      <c r="N1868">
        <f>IF(OR(N1146="",AND(N1146=N1145,N1146=N1147)),NA(), N1146)</f>
        <v>0</v>
      </c>
    </row>
    <row r="1869" spans="5:14">
      <c r="E1869">
        <f>IF(ISNA(F1869),NA(),E1147)</f>
        <v>0</v>
      </c>
      <c r="F1869">
        <f>IF(OR(F1147="",AND(F1147=F1146,F1147=F1148)),NA(), F1147)</f>
        <v>0</v>
      </c>
      <c r="G1869">
        <f>IF(ISNA(H1869),NA(),G1147)</f>
        <v>0</v>
      </c>
      <c r="H1869">
        <f>IF(OR(H1147="",AND(H1147=H1146,H1147=H1148)),NA(), H1147)</f>
        <v>0</v>
      </c>
      <c r="K1869">
        <f>IF(ISNA(L1869),NA(),K1147)</f>
        <v>0</v>
      </c>
      <c r="L1869">
        <f>IF(OR(L1147="",AND(L1147=L1146,L1147=L1148)),NA(), L1147)</f>
        <v>0</v>
      </c>
      <c r="M1869">
        <f>IF(ISNA(N1869),NA(),M1147)</f>
        <v>0</v>
      </c>
      <c r="N1869">
        <f>IF(OR(N1147="",AND(N1147=N1146,N1147=N1148)),NA(), N1147)</f>
        <v>0</v>
      </c>
    </row>
    <row r="1870" spans="5:14">
      <c r="E1870">
        <f>IF(ISNA(F1870),NA(),E1148)</f>
        <v>0</v>
      </c>
      <c r="F1870">
        <f>IF(OR(F1148="",AND(F1148=F1147,F1148=F1149)),NA(), F1148)</f>
        <v>0</v>
      </c>
      <c r="G1870">
        <f>IF(ISNA(H1870),NA(),G1148)</f>
        <v>0</v>
      </c>
      <c r="H1870">
        <f>IF(OR(H1148="",AND(H1148=H1147,H1148=H1149)),NA(), H1148)</f>
        <v>0</v>
      </c>
      <c r="K1870">
        <f>IF(ISNA(L1870),NA(),K1148)</f>
        <v>0</v>
      </c>
      <c r="L1870">
        <f>IF(OR(L1148="",AND(L1148=L1147,L1148=L1149)),NA(), L1148)</f>
        <v>0</v>
      </c>
      <c r="M1870">
        <f>IF(ISNA(N1870),NA(),M1148)</f>
        <v>0</v>
      </c>
      <c r="N1870">
        <f>IF(OR(N1148="",AND(N1148=N1147,N1148=N1149)),NA(), N1148)</f>
        <v>0</v>
      </c>
    </row>
    <row r="1871" spans="5:14">
      <c r="E1871">
        <f>IF(ISNA(F1871),NA(),E1149)</f>
        <v>0</v>
      </c>
      <c r="F1871">
        <f>IF(OR(F1149="",AND(F1149=F1148,F1149=F1150)),NA(), F1149)</f>
        <v>0</v>
      </c>
      <c r="G1871">
        <f>IF(ISNA(H1871),NA(),G1149)</f>
        <v>0</v>
      </c>
      <c r="H1871">
        <f>IF(OR(H1149="",AND(H1149=H1148,H1149=H1150)),NA(), H1149)</f>
        <v>0</v>
      </c>
      <c r="K1871">
        <f>IF(ISNA(L1871),NA(),K1149)</f>
        <v>0</v>
      </c>
      <c r="L1871">
        <f>IF(OR(L1149="",AND(L1149=L1148,L1149=L1150)),NA(), L1149)</f>
        <v>0</v>
      </c>
      <c r="M1871">
        <f>IF(ISNA(N1871),NA(),M1149)</f>
        <v>0</v>
      </c>
      <c r="N1871">
        <f>IF(OR(N1149="",AND(N1149=N1148,N1149=N1150)),NA(), N1149)</f>
        <v>0</v>
      </c>
    </row>
    <row r="1872" spans="5:14">
      <c r="E1872">
        <f>IF(ISNA(F1872),NA(),E1150)</f>
        <v>0</v>
      </c>
      <c r="F1872">
        <f>IF(OR(F1150="",AND(F1150=F1149,F1150=F1151)),NA(), F1150)</f>
        <v>0</v>
      </c>
      <c r="G1872">
        <f>IF(ISNA(H1872),NA(),G1150)</f>
        <v>0</v>
      </c>
      <c r="H1872">
        <f>IF(OR(H1150="",AND(H1150=H1149,H1150=H1151)),NA(), H1150)</f>
        <v>0</v>
      </c>
      <c r="K1872">
        <f>IF(ISNA(L1872),NA(),K1150)</f>
        <v>0</v>
      </c>
      <c r="L1872">
        <f>IF(OR(L1150="",AND(L1150=L1149,L1150=L1151)),NA(), L1150)</f>
        <v>0</v>
      </c>
      <c r="M1872">
        <f>IF(ISNA(N1872),NA(),M1150)</f>
        <v>0</v>
      </c>
      <c r="N1872">
        <f>IF(OR(N1150="",AND(N1150=N1149,N1150=N1151)),NA(), N1150)</f>
        <v>0</v>
      </c>
    </row>
    <row r="1873" spans="5:14">
      <c r="E1873">
        <f>IF(ISNA(F1873),NA(),E1151)</f>
        <v>0</v>
      </c>
      <c r="F1873">
        <f>IF(OR(F1151="",AND(F1151=F1150,F1151=F1152)),NA(), F1151)</f>
        <v>0</v>
      </c>
      <c r="G1873">
        <f>IF(ISNA(H1873),NA(),G1151)</f>
        <v>0</v>
      </c>
      <c r="H1873">
        <f>IF(OR(H1151="",AND(H1151=H1150,H1151=H1152)),NA(), H1151)</f>
        <v>0</v>
      </c>
      <c r="K1873">
        <f>IF(ISNA(L1873),NA(),K1151)</f>
        <v>0</v>
      </c>
      <c r="L1873">
        <f>IF(OR(L1151="",AND(L1151=L1150,L1151=L1152)),NA(), L1151)</f>
        <v>0</v>
      </c>
      <c r="M1873">
        <f>IF(ISNA(N1873),NA(),M1151)</f>
        <v>0</v>
      </c>
      <c r="N1873">
        <f>IF(OR(N1151="",AND(N1151=N1150,N1151=N1152)),NA(), N1151)</f>
        <v>0</v>
      </c>
    </row>
    <row r="1874" spans="5:14">
      <c r="E1874">
        <f>IF(ISNA(F1874),NA(),E1152)</f>
        <v>0</v>
      </c>
      <c r="F1874">
        <f>IF(OR(F1152="",AND(F1152=F1151,F1152=F1153)),NA(), F1152)</f>
        <v>0</v>
      </c>
      <c r="G1874">
        <f>IF(ISNA(H1874),NA(),G1152)</f>
        <v>0</v>
      </c>
      <c r="H1874">
        <f>IF(OR(H1152="",AND(H1152=H1151,H1152=H1153)),NA(), H1152)</f>
        <v>0</v>
      </c>
      <c r="K1874">
        <f>IF(ISNA(L1874),NA(),K1152)</f>
        <v>0</v>
      </c>
      <c r="L1874">
        <f>IF(OR(L1152="",AND(L1152=L1151,L1152=L1153)),NA(), L1152)</f>
        <v>0</v>
      </c>
      <c r="M1874">
        <f>IF(ISNA(N1874),NA(),M1152)</f>
        <v>0</v>
      </c>
      <c r="N1874">
        <f>IF(OR(N1152="",AND(N1152=N1151,N1152=N1153)),NA(), N1152)</f>
        <v>0</v>
      </c>
    </row>
    <row r="1875" spans="5:14">
      <c r="E1875">
        <f>IF(ISNA(F1875),NA(),E1153)</f>
        <v>0</v>
      </c>
      <c r="F1875">
        <f>IF(OR(F1153="",AND(F1153=F1152,F1153=F1154)),NA(), F1153)</f>
        <v>0</v>
      </c>
      <c r="G1875">
        <f>IF(ISNA(H1875),NA(),G1153)</f>
        <v>0</v>
      </c>
      <c r="H1875">
        <f>IF(OR(H1153="",AND(H1153=H1152,H1153=H1154)),NA(), H1153)</f>
        <v>0</v>
      </c>
      <c r="K1875">
        <f>IF(ISNA(L1875),NA(),K1153)</f>
        <v>0</v>
      </c>
      <c r="L1875">
        <f>IF(OR(L1153="",AND(L1153=L1152,L1153=L1154)),NA(), L1153)</f>
        <v>0</v>
      </c>
      <c r="M1875">
        <f>IF(ISNA(N1875),NA(),M1153)</f>
        <v>0</v>
      </c>
      <c r="N1875">
        <f>IF(OR(N1153="",AND(N1153=N1152,N1153=N1154)),NA(), N1153)</f>
        <v>0</v>
      </c>
    </row>
    <row r="1876" spans="5:14">
      <c r="E1876">
        <f>IF(ISNA(F1876),NA(),E1154)</f>
        <v>0</v>
      </c>
      <c r="F1876">
        <f>IF(OR(F1154="",AND(F1154=F1153,F1154=F1155)),NA(), F1154)</f>
        <v>0</v>
      </c>
      <c r="G1876">
        <f>IF(ISNA(H1876),NA(),G1154)</f>
        <v>0</v>
      </c>
      <c r="H1876">
        <f>IF(OR(H1154="",AND(H1154=H1153,H1154=H1155)),NA(), H1154)</f>
        <v>0</v>
      </c>
      <c r="K1876">
        <f>IF(ISNA(L1876),NA(),K1154)</f>
        <v>0</v>
      </c>
      <c r="L1876">
        <f>IF(OR(L1154="",AND(L1154=L1153,L1154=L1155)),NA(), L1154)</f>
        <v>0</v>
      </c>
      <c r="M1876">
        <f>IF(ISNA(N1876),NA(),M1154)</f>
        <v>0</v>
      </c>
      <c r="N1876">
        <f>IF(OR(N1154="",AND(N1154=N1153,N1154=N1155)),NA(), N1154)</f>
        <v>0</v>
      </c>
    </row>
    <row r="1877" spans="5:14">
      <c r="E1877">
        <f>IF(ISNA(F1877),NA(),E1155)</f>
        <v>0</v>
      </c>
      <c r="F1877">
        <f>IF(OR(F1155="",AND(F1155=F1154,F1155=F1156)),NA(), F1155)</f>
        <v>0</v>
      </c>
      <c r="G1877">
        <f>IF(ISNA(H1877),NA(),G1155)</f>
        <v>0</v>
      </c>
      <c r="H1877">
        <f>IF(OR(H1155="",AND(H1155=H1154,H1155=H1156)),NA(), H1155)</f>
        <v>0</v>
      </c>
      <c r="K1877">
        <f>IF(ISNA(L1877),NA(),K1155)</f>
        <v>0</v>
      </c>
      <c r="L1877">
        <f>IF(OR(L1155="",AND(L1155=L1154,L1155=L1156)),NA(), L1155)</f>
        <v>0</v>
      </c>
      <c r="M1877">
        <f>IF(ISNA(N1877),NA(),M1155)</f>
        <v>0</v>
      </c>
      <c r="N1877">
        <f>IF(OR(N1155="",AND(N1155=N1154,N1155=N1156)),NA(), N1155)</f>
        <v>0</v>
      </c>
    </row>
    <row r="1878" spans="5:14">
      <c r="E1878">
        <f>IF(ISNA(F1878),NA(),E1156)</f>
        <v>0</v>
      </c>
      <c r="F1878">
        <f>IF(OR(F1156="",AND(F1156=F1155,F1156=F1157)),NA(), F1156)</f>
        <v>0</v>
      </c>
      <c r="G1878">
        <f>IF(ISNA(H1878),NA(),G1156)</f>
        <v>0</v>
      </c>
      <c r="H1878">
        <f>IF(OR(H1156="",AND(H1156=H1155,H1156=H1157)),NA(), H1156)</f>
        <v>0</v>
      </c>
      <c r="K1878">
        <f>IF(ISNA(L1878),NA(),K1156)</f>
        <v>0</v>
      </c>
      <c r="L1878">
        <f>IF(OR(L1156="",AND(L1156=L1155,L1156=L1157)),NA(), L1156)</f>
        <v>0</v>
      </c>
      <c r="M1878">
        <f>IF(ISNA(N1878),NA(),M1156)</f>
        <v>0</v>
      </c>
      <c r="N1878">
        <f>IF(OR(N1156="",AND(N1156=N1155,N1156=N1157)),NA(), N1156)</f>
        <v>0</v>
      </c>
    </row>
    <row r="1879" spans="5:14">
      <c r="E1879">
        <f>IF(ISNA(F1879),NA(),E1157)</f>
        <v>0</v>
      </c>
      <c r="F1879">
        <f>IF(OR(F1157="",AND(F1157=F1156,F1157=F1158)),NA(), F1157)</f>
        <v>0</v>
      </c>
      <c r="G1879">
        <f>IF(ISNA(H1879),NA(),G1157)</f>
        <v>0</v>
      </c>
      <c r="H1879">
        <f>IF(OR(H1157="",AND(H1157=H1156,H1157=H1158)),NA(), H1157)</f>
        <v>0</v>
      </c>
      <c r="K1879">
        <f>IF(ISNA(L1879),NA(),K1157)</f>
        <v>0</v>
      </c>
      <c r="L1879">
        <f>IF(OR(L1157="",AND(L1157=L1156,L1157=L1158)),NA(), L1157)</f>
        <v>0</v>
      </c>
      <c r="M1879">
        <f>IF(ISNA(N1879),NA(),M1157)</f>
        <v>0</v>
      </c>
      <c r="N1879">
        <f>IF(OR(N1157="",AND(N1157=N1156,N1157=N1158)),NA(), N1157)</f>
        <v>0</v>
      </c>
    </row>
    <row r="1880" spans="5:14">
      <c r="E1880">
        <f>IF(ISNA(F1880),NA(),E1158)</f>
        <v>0</v>
      </c>
      <c r="F1880">
        <f>IF(OR(F1158="",AND(F1158=F1157,F1158=F1159)),NA(), F1158)</f>
        <v>0</v>
      </c>
      <c r="G1880">
        <f>IF(ISNA(H1880),NA(),G1158)</f>
        <v>0</v>
      </c>
      <c r="H1880">
        <f>IF(OR(H1158="",AND(H1158=H1157,H1158=H1159)),NA(), H1158)</f>
        <v>0</v>
      </c>
      <c r="K1880">
        <f>IF(ISNA(L1880),NA(),K1158)</f>
        <v>0</v>
      </c>
      <c r="L1880">
        <f>IF(OR(L1158="",AND(L1158=L1157,L1158=L1159)),NA(), L1158)</f>
        <v>0</v>
      </c>
      <c r="M1880">
        <f>IF(ISNA(N1880),NA(),M1158)</f>
        <v>0</v>
      </c>
      <c r="N1880">
        <f>IF(OR(N1158="",AND(N1158=N1157,N1158=N1159)),NA(), N1158)</f>
        <v>0</v>
      </c>
    </row>
    <row r="1881" spans="5:14">
      <c r="E1881">
        <f>IF(ISNA(F1881),NA(),E1159)</f>
        <v>0</v>
      </c>
      <c r="F1881">
        <f>IF(OR(F1159="",AND(F1159=F1158,F1159=F1160)),NA(), F1159)</f>
        <v>0</v>
      </c>
      <c r="G1881">
        <f>IF(ISNA(H1881),NA(),G1159)</f>
        <v>0</v>
      </c>
      <c r="H1881">
        <f>IF(OR(H1159="",AND(H1159=H1158,H1159=H1160)),NA(), H1159)</f>
        <v>0</v>
      </c>
      <c r="K1881">
        <f>IF(ISNA(L1881),NA(),K1159)</f>
        <v>0</v>
      </c>
      <c r="L1881">
        <f>IF(OR(L1159="",AND(L1159=L1158,L1159=L1160)),NA(), L1159)</f>
        <v>0</v>
      </c>
      <c r="M1881">
        <f>IF(ISNA(N1881),NA(),M1159)</f>
        <v>0</v>
      </c>
      <c r="N1881">
        <f>IF(OR(N1159="",AND(N1159=N1158,N1159=N1160)),NA(), N1159)</f>
        <v>0</v>
      </c>
    </row>
    <row r="1882" spans="5:14">
      <c r="E1882">
        <f>IF(ISNA(F1882),NA(),E1160)</f>
        <v>0</v>
      </c>
      <c r="F1882">
        <f>IF(OR(F1160="",AND(F1160=F1159,F1160=F1161)),NA(), F1160)</f>
        <v>0</v>
      </c>
      <c r="G1882">
        <f>IF(ISNA(H1882),NA(),G1160)</f>
        <v>0</v>
      </c>
      <c r="H1882">
        <f>IF(OR(H1160="",AND(H1160=H1159,H1160=H1161)),NA(), H1160)</f>
        <v>0</v>
      </c>
      <c r="K1882">
        <f>IF(ISNA(L1882),NA(),K1160)</f>
        <v>0</v>
      </c>
      <c r="L1882">
        <f>IF(OR(L1160="",AND(L1160=L1159,L1160=L1161)),NA(), L1160)</f>
        <v>0</v>
      </c>
      <c r="M1882">
        <f>IF(ISNA(N1882),NA(),M1160)</f>
        <v>0</v>
      </c>
      <c r="N1882">
        <f>IF(OR(N1160="",AND(N1160=N1159,N1160=N1161)),NA(), N1160)</f>
        <v>0</v>
      </c>
    </row>
    <row r="1883" spans="5:14">
      <c r="E1883">
        <f>IF(ISNA(F1883),NA(),E1161)</f>
        <v>0</v>
      </c>
      <c r="F1883">
        <f>IF(OR(F1161="",AND(F1161=F1160,F1161=F1162)),NA(), F1161)</f>
        <v>0</v>
      </c>
      <c r="G1883">
        <f>IF(ISNA(H1883),NA(),G1161)</f>
        <v>0</v>
      </c>
      <c r="H1883">
        <f>IF(OR(H1161="",AND(H1161=H1160,H1161=H1162)),NA(), H1161)</f>
        <v>0</v>
      </c>
      <c r="K1883">
        <f>IF(ISNA(L1883),NA(),K1161)</f>
        <v>0</v>
      </c>
      <c r="L1883">
        <f>IF(OR(L1161="",AND(L1161=L1160,L1161=L1162)),NA(), L1161)</f>
        <v>0</v>
      </c>
      <c r="M1883">
        <f>IF(ISNA(N1883),NA(),M1161)</f>
        <v>0</v>
      </c>
      <c r="N1883">
        <f>IF(OR(N1161="",AND(N1161=N1160,N1161=N1162)),NA(), N1161)</f>
        <v>0</v>
      </c>
    </row>
    <row r="1884" spans="5:14">
      <c r="E1884">
        <f>IF(ISNA(F1884),NA(),E1162)</f>
        <v>0</v>
      </c>
      <c r="F1884">
        <f>IF(OR(F1162="",AND(F1162=F1161,F1162=F1163)),NA(), F1162)</f>
        <v>0</v>
      </c>
      <c r="G1884">
        <f>IF(ISNA(H1884),NA(),G1162)</f>
        <v>0</v>
      </c>
      <c r="H1884">
        <f>IF(OR(H1162="",AND(H1162=H1161,H1162=H1163)),NA(), H1162)</f>
        <v>0</v>
      </c>
      <c r="K1884">
        <f>IF(ISNA(L1884),NA(),K1162)</f>
        <v>0</v>
      </c>
      <c r="L1884">
        <f>IF(OR(L1162="",AND(L1162=L1161,L1162=L1163)),NA(), L1162)</f>
        <v>0</v>
      </c>
      <c r="M1884">
        <f>IF(ISNA(N1884),NA(),M1162)</f>
        <v>0</v>
      </c>
      <c r="N1884">
        <f>IF(OR(N1162="",AND(N1162=N1161,N1162=N1163)),NA(), N1162)</f>
        <v>0</v>
      </c>
    </row>
    <row r="1885" spans="5:14">
      <c r="E1885">
        <f>IF(ISNA(F1885),NA(),E1163)</f>
        <v>0</v>
      </c>
      <c r="F1885">
        <f>IF(OR(F1163="",AND(F1163=F1162,F1163=F1164)),NA(), F1163)</f>
        <v>0</v>
      </c>
      <c r="G1885">
        <f>IF(ISNA(H1885),NA(),G1163)</f>
        <v>0</v>
      </c>
      <c r="H1885">
        <f>IF(OR(H1163="",AND(H1163=H1162,H1163=H1164)),NA(), H1163)</f>
        <v>0</v>
      </c>
      <c r="K1885">
        <f>IF(ISNA(L1885),NA(),K1163)</f>
        <v>0</v>
      </c>
      <c r="L1885">
        <f>IF(OR(L1163="",AND(L1163=L1162,L1163=L1164)),NA(), L1163)</f>
        <v>0</v>
      </c>
      <c r="M1885">
        <f>IF(ISNA(N1885),NA(),M1163)</f>
        <v>0</v>
      </c>
      <c r="N1885">
        <f>IF(OR(N1163="",AND(N1163=N1162,N1163=N1164)),NA(), N1163)</f>
        <v>0</v>
      </c>
    </row>
    <row r="1886" spans="5:14">
      <c r="E1886">
        <f>IF(ISNA(F1886),NA(),E1164)</f>
        <v>0</v>
      </c>
      <c r="F1886">
        <f>IF(OR(F1164="",AND(F1164=F1163,F1164=F1165)),NA(), F1164)</f>
        <v>0</v>
      </c>
      <c r="G1886">
        <f>IF(ISNA(H1886),NA(),G1164)</f>
        <v>0</v>
      </c>
      <c r="H1886">
        <f>IF(OR(H1164="",AND(H1164=H1163,H1164=H1165)),NA(), H1164)</f>
        <v>0</v>
      </c>
      <c r="K1886">
        <f>IF(ISNA(L1886),NA(),K1164)</f>
        <v>0</v>
      </c>
      <c r="L1886">
        <f>IF(OR(L1164="",AND(L1164=L1163,L1164=L1165)),NA(), L1164)</f>
        <v>0</v>
      </c>
      <c r="M1886">
        <f>IF(ISNA(N1886),NA(),M1164)</f>
        <v>0</v>
      </c>
      <c r="N1886">
        <f>IF(OR(N1164="",AND(N1164=N1163,N1164=N1165)),NA(), N1164)</f>
        <v>0</v>
      </c>
    </row>
    <row r="1887" spans="5:14">
      <c r="E1887">
        <f>IF(ISNA(F1887),NA(),E1165)</f>
        <v>0</v>
      </c>
      <c r="F1887">
        <f>IF(OR(F1165="",AND(F1165=F1164,F1165=F1166)),NA(), F1165)</f>
        <v>0</v>
      </c>
      <c r="G1887">
        <f>IF(ISNA(H1887),NA(),G1165)</f>
        <v>0</v>
      </c>
      <c r="H1887">
        <f>IF(OR(H1165="",AND(H1165=H1164,H1165=H1166)),NA(), H1165)</f>
        <v>0</v>
      </c>
      <c r="K1887">
        <f>IF(ISNA(L1887),NA(),K1165)</f>
        <v>0</v>
      </c>
      <c r="L1887">
        <f>IF(OR(L1165="",AND(L1165=L1164,L1165=L1166)),NA(), L1165)</f>
        <v>0</v>
      </c>
      <c r="M1887">
        <f>IF(ISNA(N1887),NA(),M1165)</f>
        <v>0</v>
      </c>
      <c r="N1887">
        <f>IF(OR(N1165="",AND(N1165=N1164,N1165=N1166)),NA(), N1165)</f>
        <v>0</v>
      </c>
    </row>
    <row r="1888" spans="5:14">
      <c r="E1888">
        <f>IF(ISNA(F1888),NA(),E1166)</f>
        <v>0</v>
      </c>
      <c r="F1888">
        <f>IF(OR(F1166="",AND(F1166=F1165,F1166=F1167)),NA(), F1166)</f>
        <v>0</v>
      </c>
      <c r="G1888">
        <f>IF(ISNA(H1888),NA(),G1166)</f>
        <v>0</v>
      </c>
      <c r="H1888">
        <f>IF(OR(H1166="",AND(H1166=H1165,H1166=H1167)),NA(), H1166)</f>
        <v>0</v>
      </c>
      <c r="K1888">
        <f>IF(ISNA(L1888),NA(),K1166)</f>
        <v>0</v>
      </c>
      <c r="L1888">
        <f>IF(OR(L1166="",AND(L1166=L1165,L1166=L1167)),NA(), L1166)</f>
        <v>0</v>
      </c>
      <c r="M1888">
        <f>IF(ISNA(N1888),NA(),M1166)</f>
        <v>0</v>
      </c>
      <c r="N1888">
        <f>IF(OR(N1166="",AND(N1166=N1165,N1166=N1167)),NA(), N1166)</f>
        <v>0</v>
      </c>
    </row>
    <row r="1889" spans="5:14">
      <c r="E1889">
        <f>IF(ISNA(F1889),NA(),E1167)</f>
        <v>0</v>
      </c>
      <c r="F1889">
        <f>IF(OR(F1167="",AND(F1167=F1166,F1167=F1168)),NA(), F1167)</f>
        <v>0</v>
      </c>
      <c r="G1889">
        <f>IF(ISNA(H1889),NA(),G1167)</f>
        <v>0</v>
      </c>
      <c r="H1889">
        <f>IF(OR(H1167="",AND(H1167=H1166,H1167=H1168)),NA(), H1167)</f>
        <v>0</v>
      </c>
      <c r="K1889">
        <f>IF(ISNA(L1889),NA(),K1167)</f>
        <v>0</v>
      </c>
      <c r="L1889">
        <f>IF(OR(L1167="",AND(L1167=L1166,L1167=L1168)),NA(), L1167)</f>
        <v>0</v>
      </c>
      <c r="M1889">
        <f>IF(ISNA(N1889),NA(),M1167)</f>
        <v>0</v>
      </c>
      <c r="N1889">
        <f>IF(OR(N1167="",AND(N1167=N1166,N1167=N1168)),NA(), N1167)</f>
        <v>0</v>
      </c>
    </row>
    <row r="1890" spans="5:14">
      <c r="E1890">
        <f>IF(ISNA(F1890),NA(),E1168)</f>
        <v>0</v>
      </c>
      <c r="F1890">
        <f>IF(OR(F1168="",AND(F1168=F1167,F1168=F1169)),NA(), F1168)</f>
        <v>0</v>
      </c>
      <c r="G1890">
        <f>IF(ISNA(H1890),NA(),G1168)</f>
        <v>0</v>
      </c>
      <c r="H1890">
        <f>IF(OR(H1168="",AND(H1168=H1167,H1168=H1169)),NA(), H1168)</f>
        <v>0</v>
      </c>
      <c r="K1890">
        <f>IF(ISNA(L1890),NA(),K1168)</f>
        <v>0</v>
      </c>
      <c r="L1890">
        <f>IF(OR(L1168="",AND(L1168=L1167,L1168=L1169)),NA(), L1168)</f>
        <v>0</v>
      </c>
      <c r="M1890">
        <f>IF(ISNA(N1890),NA(),M1168)</f>
        <v>0</v>
      </c>
      <c r="N1890">
        <f>IF(OR(N1168="",AND(N1168=N1167,N1168=N1169)),NA(), N1168)</f>
        <v>0</v>
      </c>
    </row>
    <row r="1891" spans="5:14">
      <c r="E1891">
        <f>IF(ISNA(F1891),NA(),E1169)</f>
        <v>0</v>
      </c>
      <c r="F1891">
        <f>IF(OR(F1169="",AND(F1169=F1168,F1169=F1170)),NA(), F1169)</f>
        <v>0</v>
      </c>
      <c r="G1891">
        <f>IF(ISNA(H1891),NA(),G1169)</f>
        <v>0</v>
      </c>
      <c r="H1891">
        <f>IF(OR(H1169="",AND(H1169=H1168,H1169=H1170)),NA(), H1169)</f>
        <v>0</v>
      </c>
      <c r="K1891">
        <f>IF(ISNA(L1891),NA(),K1169)</f>
        <v>0</v>
      </c>
      <c r="L1891">
        <f>IF(OR(L1169="",AND(L1169=L1168,L1169=L1170)),NA(), L1169)</f>
        <v>0</v>
      </c>
      <c r="M1891">
        <f>IF(ISNA(N1891),NA(),M1169)</f>
        <v>0</v>
      </c>
      <c r="N1891">
        <f>IF(OR(N1169="",AND(N1169=N1168,N1169=N1170)),NA(), N1169)</f>
        <v>0</v>
      </c>
    </row>
    <row r="1892" spans="5:14">
      <c r="E1892">
        <f>IF(ISNA(F1892),NA(),E1170)</f>
        <v>0</v>
      </c>
      <c r="F1892">
        <f>IF(OR(F1170="",AND(F1170=F1169,F1170=F1171)),NA(), F1170)</f>
        <v>0</v>
      </c>
      <c r="G1892">
        <f>IF(ISNA(H1892),NA(),G1170)</f>
        <v>0</v>
      </c>
      <c r="H1892">
        <f>IF(OR(H1170="",AND(H1170=H1169,H1170=H1171)),NA(), H1170)</f>
        <v>0</v>
      </c>
      <c r="K1892">
        <f>IF(ISNA(L1892),NA(),K1170)</f>
        <v>0</v>
      </c>
      <c r="L1892">
        <f>IF(OR(L1170="",AND(L1170=L1169,L1170=L1171)),NA(), L1170)</f>
        <v>0</v>
      </c>
      <c r="M1892">
        <f>IF(ISNA(N1892),NA(),M1170)</f>
        <v>0</v>
      </c>
      <c r="N1892">
        <f>IF(OR(N1170="",AND(N1170=N1169,N1170=N1171)),NA(), N1170)</f>
        <v>0</v>
      </c>
    </row>
    <row r="1893" spans="5:14">
      <c r="E1893">
        <f>IF(ISNA(F1893),NA(),E1171)</f>
        <v>0</v>
      </c>
      <c r="F1893">
        <f>IF(OR(F1171="",AND(F1171=F1170,F1171=F1172)),NA(), F1171)</f>
        <v>0</v>
      </c>
      <c r="G1893">
        <f>IF(ISNA(H1893),NA(),G1171)</f>
        <v>0</v>
      </c>
      <c r="H1893">
        <f>IF(OR(H1171="",AND(H1171=H1170,H1171=H1172)),NA(), H1171)</f>
        <v>0</v>
      </c>
      <c r="K1893">
        <f>IF(ISNA(L1893),NA(),K1171)</f>
        <v>0</v>
      </c>
      <c r="L1893">
        <f>IF(OR(L1171="",AND(L1171=L1170,L1171=L1172)),NA(), L1171)</f>
        <v>0</v>
      </c>
      <c r="M1893">
        <f>IF(ISNA(N1893),NA(),M1171)</f>
        <v>0</v>
      </c>
      <c r="N1893">
        <f>IF(OR(N1171="",AND(N1171=N1170,N1171=N1172)),NA(), N1171)</f>
        <v>0</v>
      </c>
    </row>
    <row r="1894" spans="5:14">
      <c r="E1894">
        <f>IF(ISNA(F1894),NA(),E1172)</f>
        <v>0</v>
      </c>
      <c r="F1894">
        <f>IF(OR(F1172="",AND(F1172=F1171,F1172=F1173)),NA(), F1172)</f>
        <v>0</v>
      </c>
      <c r="G1894">
        <f>IF(ISNA(H1894),NA(),G1172)</f>
        <v>0</v>
      </c>
      <c r="H1894">
        <f>IF(OR(H1172="",AND(H1172=H1171,H1172=H1173)),NA(), H1172)</f>
        <v>0</v>
      </c>
      <c r="K1894">
        <f>IF(ISNA(L1894),NA(),K1172)</f>
        <v>0</v>
      </c>
      <c r="L1894">
        <f>IF(OR(L1172="",AND(L1172=L1171,L1172=L1173)),NA(), L1172)</f>
        <v>0</v>
      </c>
      <c r="M1894">
        <f>IF(ISNA(N1894),NA(),M1172)</f>
        <v>0</v>
      </c>
      <c r="N1894">
        <f>IF(OR(N1172="",AND(N1172=N1171,N1172=N1173)),NA(), N1172)</f>
        <v>0</v>
      </c>
    </row>
    <row r="1895" spans="5:14">
      <c r="E1895">
        <f>IF(ISNA(F1895),NA(),E1173)</f>
        <v>0</v>
      </c>
      <c r="F1895">
        <f>IF(OR(F1173="",AND(F1173=F1172,F1173=F1174)),NA(), F1173)</f>
        <v>0</v>
      </c>
      <c r="G1895">
        <f>IF(ISNA(H1895),NA(),G1173)</f>
        <v>0</v>
      </c>
      <c r="H1895">
        <f>IF(OR(H1173="",AND(H1173=H1172,H1173=H1174)),NA(), H1173)</f>
        <v>0</v>
      </c>
      <c r="K1895">
        <f>IF(ISNA(L1895),NA(),K1173)</f>
        <v>0</v>
      </c>
      <c r="L1895">
        <f>IF(OR(L1173="",AND(L1173=L1172,L1173=L1174)),NA(), L1173)</f>
        <v>0</v>
      </c>
      <c r="M1895">
        <f>IF(ISNA(N1895),NA(),M1173)</f>
        <v>0</v>
      </c>
      <c r="N1895">
        <f>IF(OR(N1173="",AND(N1173=N1172,N1173=N1174)),NA(), N1173)</f>
        <v>0</v>
      </c>
    </row>
    <row r="1896" spans="5:14">
      <c r="E1896">
        <f>IF(ISNA(F1896),NA(),E1174)</f>
        <v>0</v>
      </c>
      <c r="F1896">
        <f>IF(OR(F1174="",AND(F1174=F1173,F1174=F1175)),NA(), F1174)</f>
        <v>0</v>
      </c>
      <c r="G1896">
        <f>IF(ISNA(H1896),NA(),G1174)</f>
        <v>0</v>
      </c>
      <c r="H1896">
        <f>IF(OR(H1174="",AND(H1174=H1173,H1174=H1175)),NA(), H1174)</f>
        <v>0</v>
      </c>
      <c r="K1896">
        <f>IF(ISNA(L1896),NA(),K1174)</f>
        <v>0</v>
      </c>
      <c r="L1896">
        <f>IF(OR(L1174="",AND(L1174=L1173,L1174=L1175)),NA(), L1174)</f>
        <v>0</v>
      </c>
      <c r="M1896">
        <f>IF(ISNA(N1896),NA(),M1174)</f>
        <v>0</v>
      </c>
      <c r="N1896">
        <f>IF(OR(N1174="",AND(N1174=N1173,N1174=N1175)),NA(), N1174)</f>
        <v>0</v>
      </c>
    </row>
    <row r="1897" spans="5:14">
      <c r="E1897">
        <f>IF(ISNA(F1897),NA(),E1175)</f>
        <v>0</v>
      </c>
      <c r="F1897">
        <f>IF(OR(F1175="",AND(F1175=F1174,F1175=F1176)),NA(), F1175)</f>
        <v>0</v>
      </c>
      <c r="G1897">
        <f>IF(ISNA(H1897),NA(),G1175)</f>
        <v>0</v>
      </c>
      <c r="H1897">
        <f>IF(OR(H1175="",AND(H1175=H1174,H1175=H1176)),NA(), H1175)</f>
        <v>0</v>
      </c>
      <c r="K1897">
        <f>IF(ISNA(L1897),NA(),K1175)</f>
        <v>0</v>
      </c>
      <c r="L1897">
        <f>IF(OR(L1175="",AND(L1175=L1174,L1175=L1176)),NA(), L1175)</f>
        <v>0</v>
      </c>
      <c r="M1897">
        <f>IF(ISNA(N1897),NA(),M1175)</f>
        <v>0</v>
      </c>
      <c r="N1897">
        <f>IF(OR(N1175="",AND(N1175=N1174,N1175=N1176)),NA(), N1175)</f>
        <v>0</v>
      </c>
    </row>
    <row r="1898" spans="5:14">
      <c r="E1898">
        <f>IF(ISNA(F1898),NA(),E1176)</f>
        <v>0</v>
      </c>
      <c r="F1898">
        <f>IF(OR(F1176="",AND(F1176=F1175,F1176=F1177)),NA(), F1176)</f>
        <v>0</v>
      </c>
      <c r="G1898">
        <f>IF(ISNA(H1898),NA(),G1176)</f>
        <v>0</v>
      </c>
      <c r="H1898">
        <f>IF(OR(H1176="",AND(H1176=H1175,H1176=H1177)),NA(), H1176)</f>
        <v>0</v>
      </c>
      <c r="K1898">
        <f>IF(ISNA(L1898),NA(),K1176)</f>
        <v>0</v>
      </c>
      <c r="L1898">
        <f>IF(OR(L1176="",AND(L1176=L1175,L1176=L1177)),NA(), L1176)</f>
        <v>0</v>
      </c>
      <c r="M1898">
        <f>IF(ISNA(N1898),NA(),M1176)</f>
        <v>0</v>
      </c>
      <c r="N1898">
        <f>IF(OR(N1176="",AND(N1176=N1175,N1176=N1177)),NA(), N1176)</f>
        <v>0</v>
      </c>
    </row>
    <row r="1899" spans="5:14">
      <c r="E1899">
        <f>IF(ISNA(F1899),NA(),E1177)</f>
        <v>0</v>
      </c>
      <c r="F1899">
        <f>IF(OR(F1177="",AND(F1177=F1176,F1177=F1178)),NA(), F1177)</f>
        <v>0</v>
      </c>
      <c r="G1899">
        <f>IF(ISNA(H1899),NA(),G1177)</f>
        <v>0</v>
      </c>
      <c r="H1899">
        <f>IF(OR(H1177="",AND(H1177=H1176,H1177=H1178)),NA(), H1177)</f>
        <v>0</v>
      </c>
      <c r="K1899">
        <f>IF(ISNA(L1899),NA(),K1177)</f>
        <v>0</v>
      </c>
      <c r="L1899">
        <f>IF(OR(L1177="",AND(L1177=L1176,L1177=L1178)),NA(), L1177)</f>
        <v>0</v>
      </c>
      <c r="M1899">
        <f>IF(ISNA(N1899),NA(),M1177)</f>
        <v>0</v>
      </c>
      <c r="N1899">
        <f>IF(OR(N1177="",AND(N1177=N1176,N1177=N1178)),NA(), N1177)</f>
        <v>0</v>
      </c>
    </row>
    <row r="1900" spans="5:14">
      <c r="E1900">
        <f>IF(ISNA(F1900),NA(),E1178)</f>
        <v>0</v>
      </c>
      <c r="F1900">
        <f>IF(OR(F1178="",AND(F1178=F1177,F1178=F1179)),NA(), F1178)</f>
        <v>0</v>
      </c>
      <c r="G1900">
        <f>IF(ISNA(H1900),NA(),G1178)</f>
        <v>0</v>
      </c>
      <c r="H1900">
        <f>IF(OR(H1178="",AND(H1178=H1177,H1178=H1179)),NA(), H1178)</f>
        <v>0</v>
      </c>
      <c r="K1900">
        <f>IF(ISNA(L1900),NA(),K1178)</f>
        <v>0</v>
      </c>
      <c r="L1900">
        <f>IF(OR(L1178="",AND(L1178=L1177,L1178=L1179)),NA(), L1178)</f>
        <v>0</v>
      </c>
      <c r="M1900">
        <f>IF(ISNA(N1900),NA(),M1178)</f>
        <v>0</v>
      </c>
      <c r="N1900">
        <f>IF(OR(N1178="",AND(N1178=N1177,N1178=N1179)),NA(), N1178)</f>
        <v>0</v>
      </c>
    </row>
    <row r="1901" spans="5:14">
      <c r="E1901">
        <f>IF(ISNA(F1901),NA(),E1179)</f>
        <v>0</v>
      </c>
      <c r="F1901">
        <f>IF(OR(F1179="",AND(F1179=F1178,F1179=F1180)),NA(), F1179)</f>
        <v>0</v>
      </c>
      <c r="G1901">
        <f>IF(ISNA(H1901),NA(),G1179)</f>
        <v>0</v>
      </c>
      <c r="H1901">
        <f>IF(OR(H1179="",AND(H1179=H1178,H1179=H1180)),NA(), H1179)</f>
        <v>0</v>
      </c>
      <c r="K1901">
        <f>IF(ISNA(L1901),NA(),K1179)</f>
        <v>0</v>
      </c>
      <c r="L1901">
        <f>IF(OR(L1179="",AND(L1179=L1178,L1179=L1180)),NA(), L1179)</f>
        <v>0</v>
      </c>
      <c r="M1901">
        <f>IF(ISNA(N1901),NA(),M1179)</f>
        <v>0</v>
      </c>
      <c r="N1901">
        <f>IF(OR(N1179="",AND(N1179=N1178,N1179=N1180)),NA(), N1179)</f>
        <v>0</v>
      </c>
    </row>
    <row r="1902" spans="5:14">
      <c r="E1902">
        <f>IF(ISNA(F1902),NA(),E1180)</f>
        <v>0</v>
      </c>
      <c r="F1902">
        <f>IF(OR(F1180="",AND(F1180=F1179,F1180=F1181)),NA(), F1180)</f>
        <v>0</v>
      </c>
      <c r="G1902">
        <f>IF(ISNA(H1902),NA(),G1180)</f>
        <v>0</v>
      </c>
      <c r="H1902">
        <f>IF(OR(H1180="",AND(H1180=H1179,H1180=H1181)),NA(), H1180)</f>
        <v>0</v>
      </c>
      <c r="K1902">
        <f>IF(ISNA(L1902),NA(),K1180)</f>
        <v>0</v>
      </c>
      <c r="L1902">
        <f>IF(OR(L1180="",AND(L1180=L1179,L1180=L1181)),NA(), L1180)</f>
        <v>0</v>
      </c>
      <c r="M1902">
        <f>IF(ISNA(N1902),NA(),M1180)</f>
        <v>0</v>
      </c>
      <c r="N1902">
        <f>IF(OR(N1180="",AND(N1180=N1179,N1180=N1181)),NA(), N1180)</f>
        <v>0</v>
      </c>
    </row>
    <row r="1903" spans="5:14">
      <c r="E1903">
        <f>IF(ISNA(F1903),NA(),E1181)</f>
        <v>0</v>
      </c>
      <c r="F1903">
        <f>IF(OR(F1181="",AND(F1181=F1180,F1181=F1182)),NA(), F1181)</f>
        <v>0</v>
      </c>
      <c r="G1903">
        <f>IF(ISNA(H1903),NA(),G1181)</f>
        <v>0</v>
      </c>
      <c r="H1903">
        <f>IF(OR(H1181="",AND(H1181=H1180,H1181=H1182)),NA(), H1181)</f>
        <v>0</v>
      </c>
      <c r="K1903">
        <f>IF(ISNA(L1903),NA(),K1181)</f>
        <v>0</v>
      </c>
      <c r="L1903">
        <f>IF(OR(L1181="",AND(L1181=L1180,L1181=L1182)),NA(), L1181)</f>
        <v>0</v>
      </c>
      <c r="M1903">
        <f>IF(ISNA(N1903),NA(),M1181)</f>
        <v>0</v>
      </c>
      <c r="N1903">
        <f>IF(OR(N1181="",AND(N1181=N1180,N1181=N1182)),NA(), N1181)</f>
        <v>0</v>
      </c>
    </row>
    <row r="1904" spans="5:14">
      <c r="E1904">
        <f>IF(ISNA(F1904),NA(),E1182)</f>
        <v>0</v>
      </c>
      <c r="F1904">
        <f>IF(OR(F1182="",AND(F1182=F1181,F1182=F1183)),NA(), F1182)</f>
        <v>0</v>
      </c>
      <c r="G1904">
        <f>IF(ISNA(H1904),NA(),G1182)</f>
        <v>0</v>
      </c>
      <c r="H1904">
        <f>IF(OR(H1182="",AND(H1182=H1181,H1182=H1183)),NA(), H1182)</f>
        <v>0</v>
      </c>
      <c r="K1904">
        <f>IF(ISNA(L1904),NA(),K1182)</f>
        <v>0</v>
      </c>
      <c r="L1904">
        <f>IF(OR(L1182="",AND(L1182=L1181,L1182=L1183)),NA(), L1182)</f>
        <v>0</v>
      </c>
      <c r="M1904">
        <f>IF(ISNA(N1904),NA(),M1182)</f>
        <v>0</v>
      </c>
      <c r="N1904">
        <f>IF(OR(N1182="",AND(N1182=N1181,N1182=N1183)),NA(), N1182)</f>
        <v>0</v>
      </c>
    </row>
    <row r="1905" spans="5:14">
      <c r="E1905">
        <f>IF(ISNA(F1905),NA(),E1183)</f>
        <v>0</v>
      </c>
      <c r="F1905">
        <f>IF(OR(F1183="",AND(F1183=F1182,F1183=F1184)),NA(), F1183)</f>
        <v>0</v>
      </c>
      <c r="G1905">
        <f>IF(ISNA(H1905),NA(),G1183)</f>
        <v>0</v>
      </c>
      <c r="H1905">
        <f>IF(OR(H1183="",AND(H1183=H1182,H1183=H1184)),NA(), H1183)</f>
        <v>0</v>
      </c>
      <c r="K1905">
        <f>IF(ISNA(L1905),NA(),K1183)</f>
        <v>0</v>
      </c>
      <c r="L1905">
        <f>IF(OR(L1183="",AND(L1183=L1182,L1183=L1184)),NA(), L1183)</f>
        <v>0</v>
      </c>
      <c r="M1905">
        <f>IF(ISNA(N1905),NA(),M1183)</f>
        <v>0</v>
      </c>
      <c r="N1905">
        <f>IF(OR(N1183="",AND(N1183=N1182,N1183=N1184)),NA(), N1183)</f>
        <v>0</v>
      </c>
    </row>
    <row r="1906" spans="5:14">
      <c r="E1906">
        <f>IF(ISNA(F1906),NA(),E1184)</f>
        <v>0</v>
      </c>
      <c r="F1906">
        <f>IF(OR(F1184="",AND(F1184=F1183,F1184=F1185)),NA(), F1184)</f>
        <v>0</v>
      </c>
      <c r="G1906">
        <f>IF(ISNA(H1906),NA(),G1184)</f>
        <v>0</v>
      </c>
      <c r="H1906">
        <f>IF(OR(H1184="",AND(H1184=H1183,H1184=H1185)),NA(), H1184)</f>
        <v>0</v>
      </c>
      <c r="K1906">
        <f>IF(ISNA(L1906),NA(),K1184)</f>
        <v>0</v>
      </c>
      <c r="L1906">
        <f>IF(OR(L1184="",AND(L1184=L1183,L1184=L1185)),NA(), L1184)</f>
        <v>0</v>
      </c>
      <c r="M1906">
        <f>IF(ISNA(N1906),NA(),M1184)</f>
        <v>0</v>
      </c>
      <c r="N1906">
        <f>IF(OR(N1184="",AND(N1184=N1183,N1184=N1185)),NA(), N1184)</f>
        <v>0</v>
      </c>
    </row>
    <row r="1907" spans="5:14">
      <c r="E1907">
        <f>IF(ISNA(F1907),NA(),E1185)</f>
        <v>0</v>
      </c>
      <c r="F1907">
        <f>IF(OR(F1185="",AND(F1185=F1184,F1185=F1186)),NA(), F1185)</f>
        <v>0</v>
      </c>
      <c r="G1907">
        <f>IF(ISNA(H1907),NA(),G1185)</f>
        <v>0</v>
      </c>
      <c r="H1907">
        <f>IF(OR(H1185="",AND(H1185=H1184,H1185=H1186)),NA(), H1185)</f>
        <v>0</v>
      </c>
      <c r="K1907">
        <f>IF(ISNA(L1907),NA(),K1185)</f>
        <v>0</v>
      </c>
      <c r="L1907">
        <f>IF(OR(L1185="",AND(L1185=L1184,L1185=L1186)),NA(), L1185)</f>
        <v>0</v>
      </c>
      <c r="M1907">
        <f>IF(ISNA(N1907),NA(),M1185)</f>
        <v>0</v>
      </c>
      <c r="N1907">
        <f>IF(OR(N1185="",AND(N1185=N1184,N1185=N1186)),NA(), N1185)</f>
        <v>0</v>
      </c>
    </row>
    <row r="1908" spans="5:14">
      <c r="E1908">
        <f>IF(ISNA(F1908),NA(),E1186)</f>
        <v>0</v>
      </c>
      <c r="F1908">
        <f>IF(OR(F1186="",AND(F1186=F1185,F1186=F1187)),NA(), F1186)</f>
        <v>0</v>
      </c>
      <c r="G1908">
        <f>IF(ISNA(H1908),NA(),G1186)</f>
        <v>0</v>
      </c>
      <c r="H1908">
        <f>IF(OR(H1186="",AND(H1186=H1185,H1186=H1187)),NA(), H1186)</f>
        <v>0</v>
      </c>
      <c r="K1908">
        <f>IF(ISNA(L1908),NA(),K1186)</f>
        <v>0</v>
      </c>
      <c r="L1908">
        <f>IF(OR(L1186="",AND(L1186=L1185,L1186=L1187)),NA(), L1186)</f>
        <v>0</v>
      </c>
      <c r="M1908">
        <f>IF(ISNA(N1908),NA(),M1186)</f>
        <v>0</v>
      </c>
      <c r="N1908">
        <f>IF(OR(N1186="",AND(N1186=N1185,N1186=N1187)),NA(), N1186)</f>
        <v>0</v>
      </c>
    </row>
    <row r="1909" spans="5:14">
      <c r="E1909">
        <f>IF(ISNA(F1909),NA(),E1187)</f>
        <v>0</v>
      </c>
      <c r="F1909">
        <f>IF(OR(F1187="",AND(F1187=F1186,F1187=F1188)),NA(), F1187)</f>
        <v>0</v>
      </c>
      <c r="G1909">
        <f>IF(ISNA(H1909),NA(),G1187)</f>
        <v>0</v>
      </c>
      <c r="H1909">
        <f>IF(OR(H1187="",AND(H1187=H1186,H1187=H1188)),NA(), H1187)</f>
        <v>0</v>
      </c>
      <c r="K1909">
        <f>IF(ISNA(L1909),NA(),K1187)</f>
        <v>0</v>
      </c>
      <c r="L1909">
        <f>IF(OR(L1187="",AND(L1187=L1186,L1187=L1188)),NA(), L1187)</f>
        <v>0</v>
      </c>
      <c r="M1909">
        <f>IF(ISNA(N1909),NA(),M1187)</f>
        <v>0</v>
      </c>
      <c r="N1909">
        <f>IF(OR(N1187="",AND(N1187=N1186,N1187=N1188)),NA(), N1187)</f>
        <v>0</v>
      </c>
    </row>
    <row r="1910" spans="5:14">
      <c r="E1910">
        <f>IF(ISNA(F1910),NA(),E1188)</f>
        <v>0</v>
      </c>
      <c r="F1910">
        <f>IF(OR(F1188="",AND(F1188=F1187,F1188=F1189)),NA(), F1188)</f>
        <v>0</v>
      </c>
      <c r="G1910">
        <f>IF(ISNA(H1910),NA(),G1188)</f>
        <v>0</v>
      </c>
      <c r="H1910">
        <f>IF(OR(H1188="",AND(H1188=H1187,H1188=H1189)),NA(), H1188)</f>
        <v>0</v>
      </c>
      <c r="K1910">
        <f>IF(ISNA(L1910),NA(),K1188)</f>
        <v>0</v>
      </c>
      <c r="L1910">
        <f>IF(OR(L1188="",AND(L1188=L1187,L1188=L1189)),NA(), L1188)</f>
        <v>0</v>
      </c>
      <c r="M1910">
        <f>IF(ISNA(N1910),NA(),M1188)</f>
        <v>0</v>
      </c>
      <c r="N1910">
        <f>IF(OR(N1188="",AND(N1188=N1187,N1188=N1189)),NA(), N1188)</f>
        <v>0</v>
      </c>
    </row>
    <row r="1911" spans="5:14">
      <c r="E1911">
        <f>IF(ISNA(F1911),NA(),E1189)</f>
        <v>0</v>
      </c>
      <c r="F1911">
        <f>IF(OR(F1189="",AND(F1189=F1188,F1189=F1190)),NA(), F1189)</f>
        <v>0</v>
      </c>
      <c r="G1911">
        <f>IF(ISNA(H1911),NA(),G1189)</f>
        <v>0</v>
      </c>
      <c r="H1911">
        <f>IF(OR(H1189="",AND(H1189=H1188,H1189=H1190)),NA(), H1189)</f>
        <v>0</v>
      </c>
      <c r="K1911">
        <f>IF(ISNA(L1911),NA(),K1189)</f>
        <v>0</v>
      </c>
      <c r="L1911">
        <f>IF(OR(L1189="",AND(L1189=L1188,L1189=L1190)),NA(), L1189)</f>
        <v>0</v>
      </c>
      <c r="M1911">
        <f>IF(ISNA(N1911),NA(),M1189)</f>
        <v>0</v>
      </c>
      <c r="N1911">
        <f>IF(OR(N1189="",AND(N1189=N1188,N1189=N1190)),NA(), N1189)</f>
        <v>0</v>
      </c>
    </row>
    <row r="1912" spans="5:14">
      <c r="E1912">
        <f>IF(ISNA(F1912),NA(),E1190)</f>
        <v>0</v>
      </c>
      <c r="F1912">
        <f>IF(OR(F1190="",AND(F1190=F1189,F1190=F1191)),NA(), F1190)</f>
        <v>0</v>
      </c>
      <c r="G1912">
        <f>IF(ISNA(H1912),NA(),G1190)</f>
        <v>0</v>
      </c>
      <c r="H1912">
        <f>IF(OR(H1190="",AND(H1190=H1189,H1190=H1191)),NA(), H1190)</f>
        <v>0</v>
      </c>
      <c r="K1912">
        <f>IF(ISNA(L1912),NA(),K1190)</f>
        <v>0</v>
      </c>
      <c r="L1912">
        <f>IF(OR(L1190="",AND(L1190=L1189,L1190=L1191)),NA(), L1190)</f>
        <v>0</v>
      </c>
      <c r="M1912">
        <f>IF(ISNA(N1912),NA(),M1190)</f>
        <v>0</v>
      </c>
      <c r="N1912">
        <f>IF(OR(N1190="",AND(N1190=N1189,N1190=N1191)),NA(), N1190)</f>
        <v>0</v>
      </c>
    </row>
    <row r="1913" spans="5:14">
      <c r="E1913">
        <f>IF(ISNA(F1913),NA(),E1191)</f>
        <v>0</v>
      </c>
      <c r="F1913">
        <f>IF(OR(F1191="",AND(F1191=F1190,F1191=F1192)),NA(), F1191)</f>
        <v>0</v>
      </c>
      <c r="G1913">
        <f>IF(ISNA(H1913),NA(),G1191)</f>
        <v>0</v>
      </c>
      <c r="H1913">
        <f>IF(OR(H1191="",AND(H1191=H1190,H1191=H1192)),NA(), H1191)</f>
        <v>0</v>
      </c>
      <c r="K1913">
        <f>IF(ISNA(L1913),NA(),K1191)</f>
        <v>0</v>
      </c>
      <c r="L1913">
        <f>IF(OR(L1191="",AND(L1191=L1190,L1191=L1192)),NA(), L1191)</f>
        <v>0</v>
      </c>
      <c r="M1913">
        <f>IF(ISNA(N1913),NA(),M1191)</f>
        <v>0</v>
      </c>
      <c r="N1913">
        <f>IF(OR(N1191="",AND(N1191=N1190,N1191=N1192)),NA(), N1191)</f>
        <v>0</v>
      </c>
    </row>
    <row r="1914" spans="5:14">
      <c r="E1914">
        <f>IF(ISNA(F1914),NA(),E1192)</f>
        <v>0</v>
      </c>
      <c r="F1914">
        <f>IF(OR(F1192="",AND(F1192=F1191,F1192=F1193)),NA(), F1192)</f>
        <v>0</v>
      </c>
      <c r="G1914">
        <f>IF(ISNA(H1914),NA(),G1192)</f>
        <v>0</v>
      </c>
      <c r="H1914">
        <f>IF(OR(H1192="",AND(H1192=H1191,H1192=H1193)),NA(), H1192)</f>
        <v>0</v>
      </c>
      <c r="K1914">
        <f>IF(ISNA(L1914),NA(),K1192)</f>
        <v>0</v>
      </c>
      <c r="L1914">
        <f>IF(OR(L1192="",AND(L1192=L1191,L1192=L1193)),NA(), L1192)</f>
        <v>0</v>
      </c>
      <c r="M1914">
        <f>IF(ISNA(N1914),NA(),M1192)</f>
        <v>0</v>
      </c>
      <c r="N1914">
        <f>IF(OR(N1192="",AND(N1192=N1191,N1192=N1193)),NA(), N1192)</f>
        <v>0</v>
      </c>
    </row>
    <row r="1915" spans="5:14">
      <c r="E1915">
        <f>IF(ISNA(F1915),NA(),E1193)</f>
        <v>0</v>
      </c>
      <c r="F1915">
        <f>IF(OR(F1193="",AND(F1193=F1192,F1193=F1194)),NA(), F1193)</f>
        <v>0</v>
      </c>
      <c r="G1915">
        <f>IF(ISNA(H1915),NA(),G1193)</f>
        <v>0</v>
      </c>
      <c r="H1915">
        <f>IF(OR(H1193="",AND(H1193=H1192,H1193=H1194)),NA(), H1193)</f>
        <v>0</v>
      </c>
      <c r="K1915">
        <f>IF(ISNA(L1915),NA(),K1193)</f>
        <v>0</v>
      </c>
      <c r="L1915">
        <f>IF(OR(L1193="",AND(L1193=L1192,L1193=L1194)),NA(), L1193)</f>
        <v>0</v>
      </c>
      <c r="M1915">
        <f>IF(ISNA(N1915),NA(),M1193)</f>
        <v>0</v>
      </c>
      <c r="N1915">
        <f>IF(OR(N1193="",AND(N1193=N1192,N1193=N1194)),NA(), N1193)</f>
        <v>0</v>
      </c>
    </row>
    <row r="1916" spans="5:14">
      <c r="E1916">
        <f>IF(ISNA(F1916),NA(),E1194)</f>
        <v>0</v>
      </c>
      <c r="F1916">
        <f>IF(OR(F1194="",AND(F1194=F1193,F1194=F1195)),NA(), F1194)</f>
        <v>0</v>
      </c>
      <c r="G1916">
        <f>IF(ISNA(H1916),NA(),G1194)</f>
        <v>0</v>
      </c>
      <c r="H1916">
        <f>IF(OR(H1194="",AND(H1194=H1193,H1194=H1195)),NA(), H1194)</f>
        <v>0</v>
      </c>
      <c r="K1916">
        <f>IF(ISNA(L1916),NA(),K1194)</f>
        <v>0</v>
      </c>
      <c r="L1916">
        <f>IF(OR(L1194="",AND(L1194=L1193,L1194=L1195)),NA(), L1194)</f>
        <v>0</v>
      </c>
      <c r="M1916">
        <f>IF(ISNA(N1916),NA(),M1194)</f>
        <v>0</v>
      </c>
      <c r="N1916">
        <f>IF(OR(N1194="",AND(N1194=N1193,N1194=N1195)),NA(), N1194)</f>
        <v>0</v>
      </c>
    </row>
    <row r="1917" spans="5:14">
      <c r="E1917">
        <f>IF(ISNA(F1917),NA(),E1195)</f>
        <v>0</v>
      </c>
      <c r="F1917">
        <f>IF(OR(F1195="",AND(F1195=F1194,F1195=F1196)),NA(), F1195)</f>
        <v>0</v>
      </c>
      <c r="G1917">
        <f>IF(ISNA(H1917),NA(),G1195)</f>
        <v>0</v>
      </c>
      <c r="H1917">
        <f>IF(OR(H1195="",AND(H1195=H1194,H1195=H1196)),NA(), H1195)</f>
        <v>0</v>
      </c>
      <c r="K1917">
        <f>IF(ISNA(L1917),NA(),K1195)</f>
        <v>0</v>
      </c>
      <c r="L1917">
        <f>IF(OR(L1195="",AND(L1195=L1194,L1195=L1196)),NA(), L1195)</f>
        <v>0</v>
      </c>
      <c r="M1917">
        <f>IF(ISNA(N1917),NA(),M1195)</f>
        <v>0</v>
      </c>
      <c r="N1917">
        <f>IF(OR(N1195="",AND(N1195=N1194,N1195=N1196)),NA(), N1195)</f>
        <v>0</v>
      </c>
    </row>
    <row r="1918" spans="5:14">
      <c r="E1918">
        <f>IF(ISNA(F1918),NA(),E1196)</f>
        <v>0</v>
      </c>
      <c r="F1918">
        <f>IF(OR(F1196="",AND(F1196=F1195,F1196=F1197)),NA(), F1196)</f>
        <v>0</v>
      </c>
      <c r="G1918">
        <f>IF(ISNA(H1918),NA(),G1196)</f>
        <v>0</v>
      </c>
      <c r="H1918">
        <f>IF(OR(H1196="",AND(H1196=H1195,H1196=H1197)),NA(), H1196)</f>
        <v>0</v>
      </c>
      <c r="K1918">
        <f>IF(ISNA(L1918),NA(),K1196)</f>
        <v>0</v>
      </c>
      <c r="L1918">
        <f>IF(OR(L1196="",AND(L1196=L1195,L1196=L1197)),NA(), L1196)</f>
        <v>0</v>
      </c>
      <c r="M1918">
        <f>IF(ISNA(N1918),NA(),M1196)</f>
        <v>0</v>
      </c>
      <c r="N1918">
        <f>IF(OR(N1196="",AND(N1196=N1195,N1196=N1197)),NA(), N1196)</f>
        <v>0</v>
      </c>
    </row>
    <row r="1919" spans="5:14">
      <c r="E1919">
        <f>IF(ISNA(F1919),NA(),E1197)</f>
        <v>0</v>
      </c>
      <c r="F1919">
        <f>IF(OR(F1197="",AND(F1197=F1196,F1197=F1198)),NA(), F1197)</f>
        <v>0</v>
      </c>
      <c r="G1919">
        <f>IF(ISNA(H1919),NA(),G1197)</f>
        <v>0</v>
      </c>
      <c r="H1919">
        <f>IF(OR(H1197="",AND(H1197=H1196,H1197=H1198)),NA(), H1197)</f>
        <v>0</v>
      </c>
      <c r="K1919">
        <f>IF(ISNA(L1919),NA(),K1197)</f>
        <v>0</v>
      </c>
      <c r="L1919">
        <f>IF(OR(L1197="",AND(L1197=L1196,L1197=L1198)),NA(), L1197)</f>
        <v>0</v>
      </c>
      <c r="M1919">
        <f>IF(ISNA(N1919),NA(),M1197)</f>
        <v>0</v>
      </c>
      <c r="N1919">
        <f>IF(OR(N1197="",AND(N1197=N1196,N1197=N1198)),NA(), N1197)</f>
        <v>0</v>
      </c>
    </row>
    <row r="1920" spans="5:14">
      <c r="E1920">
        <f>IF(ISNA(F1920),NA(),E1198)</f>
        <v>0</v>
      </c>
      <c r="F1920">
        <f>IF(OR(F1198="",AND(F1198=F1197,F1198=F1199)),NA(), F1198)</f>
        <v>0</v>
      </c>
      <c r="G1920">
        <f>IF(ISNA(H1920),NA(),G1198)</f>
        <v>0</v>
      </c>
      <c r="H1920">
        <f>IF(OR(H1198="",AND(H1198=H1197,H1198=H1199)),NA(), H1198)</f>
        <v>0</v>
      </c>
      <c r="K1920">
        <f>IF(ISNA(L1920),NA(),K1198)</f>
        <v>0</v>
      </c>
      <c r="L1920">
        <f>IF(OR(L1198="",AND(L1198=L1197,L1198=L1199)),NA(), L1198)</f>
        <v>0</v>
      </c>
      <c r="M1920">
        <f>IF(ISNA(N1920),NA(),M1198)</f>
        <v>0</v>
      </c>
      <c r="N1920">
        <f>IF(OR(N1198="",AND(N1198=N1197,N1198=N1199)),NA(), N1198)</f>
        <v>0</v>
      </c>
    </row>
    <row r="1921" spans="5:14">
      <c r="E1921">
        <f>IF(ISNA(F1921),NA(),E1199)</f>
        <v>0</v>
      </c>
      <c r="F1921">
        <f>IF(OR(F1199="",AND(F1199=F1198,F1199=F1200)),NA(), F1199)</f>
        <v>0</v>
      </c>
      <c r="G1921">
        <f>IF(ISNA(H1921),NA(),G1199)</f>
        <v>0</v>
      </c>
      <c r="H1921">
        <f>IF(OR(H1199="",AND(H1199=H1198,H1199=H1200)),NA(), H1199)</f>
        <v>0</v>
      </c>
      <c r="K1921">
        <f>IF(ISNA(L1921),NA(),K1199)</f>
        <v>0</v>
      </c>
      <c r="L1921">
        <f>IF(OR(L1199="",AND(L1199=L1198,L1199=L1200)),NA(), L1199)</f>
        <v>0</v>
      </c>
      <c r="M1921">
        <f>IF(ISNA(N1921),NA(),M1199)</f>
        <v>0</v>
      </c>
      <c r="N1921">
        <f>IF(OR(N1199="",AND(N1199=N1198,N1199=N1200)),NA(), N1199)</f>
        <v>0</v>
      </c>
    </row>
    <row r="1922" spans="5:14">
      <c r="E1922">
        <f>IF(ISNA(F1922),NA(),E1200)</f>
        <v>0</v>
      </c>
      <c r="F1922">
        <f>IF(OR(F1200="",AND(F1200=F1199,F1200=F1201)),NA(), F1200)</f>
        <v>0</v>
      </c>
      <c r="G1922">
        <f>IF(ISNA(H1922),NA(),G1200)</f>
        <v>0</v>
      </c>
      <c r="H1922">
        <f>IF(OR(H1200="",AND(H1200=H1199,H1200=H1201)),NA(), H1200)</f>
        <v>0</v>
      </c>
      <c r="K1922">
        <f>IF(ISNA(L1922),NA(),K1200)</f>
        <v>0</v>
      </c>
      <c r="L1922">
        <f>IF(OR(L1200="",AND(L1200=L1199,L1200=L1201)),NA(), L1200)</f>
        <v>0</v>
      </c>
      <c r="M1922">
        <f>IF(ISNA(N1922),NA(),M1200)</f>
        <v>0</v>
      </c>
      <c r="N1922">
        <f>IF(OR(N1200="",AND(N1200=N1199,N1200=N1201)),NA(), N1200)</f>
        <v>0</v>
      </c>
    </row>
    <row r="1923" spans="5:14">
      <c r="E1923">
        <f>IF(ISNA(F1923),NA(),E1201)</f>
        <v>0</v>
      </c>
      <c r="F1923">
        <f>IF(OR(F1201="",AND(F1201=F1200,F1201=F1202)),NA(), F1201)</f>
        <v>0</v>
      </c>
      <c r="G1923">
        <f>IF(ISNA(H1923),NA(),G1201)</f>
        <v>0</v>
      </c>
      <c r="H1923">
        <f>IF(OR(H1201="",AND(H1201=H1200,H1201=H1202)),NA(), H1201)</f>
        <v>0</v>
      </c>
      <c r="K1923">
        <f>IF(ISNA(L1923),NA(),K1201)</f>
        <v>0</v>
      </c>
      <c r="L1923">
        <f>IF(OR(L1201="",AND(L1201=L1200,L1201=L1202)),NA(), L1201)</f>
        <v>0</v>
      </c>
      <c r="M1923">
        <f>IF(ISNA(N1923),NA(),M1201)</f>
        <v>0</v>
      </c>
      <c r="N1923">
        <f>IF(OR(N1201="",AND(N1201=N1200,N1201=N1202)),NA(), N1201)</f>
        <v>0</v>
      </c>
    </row>
    <row r="1924" spans="5:14">
      <c r="E1924">
        <f>IF(ISNA(F1924),NA(),E1202)</f>
        <v>0</v>
      </c>
      <c r="F1924">
        <f>IF(OR(F1202="",AND(F1202=F1201,F1202=F1203)),NA(), F1202)</f>
        <v>0</v>
      </c>
      <c r="G1924">
        <f>IF(ISNA(H1924),NA(),G1202)</f>
        <v>0</v>
      </c>
      <c r="H1924">
        <f>IF(OR(H1202="",AND(H1202=H1201,H1202=H1203)),NA(), H1202)</f>
        <v>0</v>
      </c>
      <c r="K1924">
        <f>IF(ISNA(L1924),NA(),K1202)</f>
        <v>0</v>
      </c>
      <c r="L1924">
        <f>IF(OR(L1202="",AND(L1202=L1201,L1202=L1203)),NA(), L1202)</f>
        <v>0</v>
      </c>
      <c r="M1924">
        <f>IF(ISNA(N1924),NA(),M1202)</f>
        <v>0</v>
      </c>
      <c r="N1924">
        <f>IF(OR(N1202="",AND(N1202=N1201,N1202=N1203)),NA(), N1202)</f>
        <v>0</v>
      </c>
    </row>
    <row r="1925" spans="5:14">
      <c r="E1925">
        <f>IF(ISNA(F1925),NA(),E1203)</f>
        <v>0</v>
      </c>
      <c r="F1925">
        <f>IF(OR(F1203="",AND(F1203=F1202,F1203=F1204)),NA(), F1203)</f>
        <v>0</v>
      </c>
      <c r="G1925">
        <f>IF(ISNA(H1925),NA(),G1203)</f>
        <v>0</v>
      </c>
      <c r="H1925">
        <f>IF(OR(H1203="",AND(H1203=H1202,H1203=H1204)),NA(), H1203)</f>
        <v>0</v>
      </c>
      <c r="K1925">
        <f>IF(ISNA(L1925),NA(),K1203)</f>
        <v>0</v>
      </c>
      <c r="L1925">
        <f>IF(OR(L1203="",AND(L1203=L1202,L1203=L1204)),NA(), L1203)</f>
        <v>0</v>
      </c>
      <c r="M1925">
        <f>IF(ISNA(N1925),NA(),M1203)</f>
        <v>0</v>
      </c>
      <c r="N1925">
        <f>IF(OR(N1203="",AND(N1203=N1202,N1203=N1204)),NA(), N1203)</f>
        <v>0</v>
      </c>
    </row>
    <row r="1926" spans="5:14">
      <c r="E1926">
        <f>IF(ISNA(F1926),NA(),E1204)</f>
        <v>0</v>
      </c>
      <c r="F1926">
        <f>IF(OR(F1204="",AND(F1204=F1203,F1204=F1205)),NA(), F1204)</f>
        <v>0</v>
      </c>
      <c r="G1926">
        <f>IF(ISNA(H1926),NA(),G1204)</f>
        <v>0</v>
      </c>
      <c r="H1926">
        <f>IF(OR(H1204="",AND(H1204=H1203,H1204=H1205)),NA(), H1204)</f>
        <v>0</v>
      </c>
      <c r="K1926">
        <f>IF(ISNA(L1926),NA(),K1204)</f>
        <v>0</v>
      </c>
      <c r="L1926">
        <f>IF(OR(L1204="",AND(L1204=L1203,L1204=L1205)),NA(), L1204)</f>
        <v>0</v>
      </c>
      <c r="M1926">
        <f>IF(ISNA(N1926),NA(),M1204)</f>
        <v>0</v>
      </c>
      <c r="N1926">
        <f>IF(OR(N1204="",AND(N1204=N1203,N1204=N1205)),NA(), N1204)</f>
        <v>0</v>
      </c>
    </row>
    <row r="1927" spans="5:14">
      <c r="E1927">
        <f>IF(ISNA(F1927),NA(),E1205)</f>
        <v>0</v>
      </c>
      <c r="F1927">
        <f>IF(OR(F1205="",AND(F1205=F1204,F1205=F1206)),NA(), F1205)</f>
        <v>0</v>
      </c>
      <c r="G1927">
        <f>IF(ISNA(H1927),NA(),G1205)</f>
        <v>0</v>
      </c>
      <c r="H1927">
        <f>IF(OR(H1205="",AND(H1205=H1204,H1205=H1206)),NA(), H1205)</f>
        <v>0</v>
      </c>
      <c r="K1927">
        <f>IF(ISNA(L1927),NA(),K1205)</f>
        <v>0</v>
      </c>
      <c r="L1927">
        <f>IF(OR(L1205="",AND(L1205=L1204,L1205=L1206)),NA(), L1205)</f>
        <v>0</v>
      </c>
      <c r="M1927">
        <f>IF(ISNA(N1927),NA(),M1205)</f>
        <v>0</v>
      </c>
      <c r="N1927">
        <f>IF(OR(N1205="",AND(N1205=N1204,N1205=N1206)),NA(), N1205)</f>
        <v>0</v>
      </c>
    </row>
    <row r="1928" spans="5:14">
      <c r="E1928">
        <f>IF(ISNA(F1928),NA(),E1206)</f>
        <v>0</v>
      </c>
      <c r="F1928">
        <f>IF(OR(F1206="",AND(F1206=F1205,F1206=F1207)),NA(), F1206)</f>
        <v>0</v>
      </c>
      <c r="G1928">
        <f>IF(ISNA(H1928),NA(),G1206)</f>
        <v>0</v>
      </c>
      <c r="H1928">
        <f>IF(OR(H1206="",AND(H1206=H1205,H1206=H1207)),NA(), H1206)</f>
        <v>0</v>
      </c>
      <c r="K1928">
        <f>IF(ISNA(L1928),NA(),K1206)</f>
        <v>0</v>
      </c>
      <c r="L1928">
        <f>IF(OR(L1206="",AND(L1206=L1205,L1206=L1207)),NA(), L1206)</f>
        <v>0</v>
      </c>
      <c r="M1928">
        <f>IF(ISNA(N1928),NA(),M1206)</f>
        <v>0</v>
      </c>
      <c r="N1928">
        <f>IF(OR(N1206="",AND(N1206=N1205,N1206=N1207)),NA(), N1206)</f>
        <v>0</v>
      </c>
    </row>
    <row r="1929" spans="5:14">
      <c r="E1929">
        <f>IF(ISNA(F1929),NA(),E1207)</f>
        <v>0</v>
      </c>
      <c r="F1929">
        <f>IF(OR(F1207="",AND(F1207=F1206,F1207=F1208)),NA(), F1207)</f>
        <v>0</v>
      </c>
      <c r="G1929">
        <f>IF(ISNA(H1929),NA(),G1207)</f>
        <v>0</v>
      </c>
      <c r="H1929">
        <f>IF(OR(H1207="",AND(H1207=H1206,H1207=H1208)),NA(), H1207)</f>
        <v>0</v>
      </c>
      <c r="K1929">
        <f>IF(ISNA(L1929),NA(),K1207)</f>
        <v>0</v>
      </c>
      <c r="L1929">
        <f>IF(OR(L1207="",AND(L1207=L1206,L1207=L1208)),NA(), L1207)</f>
        <v>0</v>
      </c>
      <c r="M1929">
        <f>IF(ISNA(N1929),NA(),M1207)</f>
        <v>0</v>
      </c>
      <c r="N1929">
        <f>IF(OR(N1207="",AND(N1207=N1206,N1207=N1208)),NA(), N1207)</f>
        <v>0</v>
      </c>
    </row>
    <row r="1930" spans="5:14">
      <c r="E1930">
        <f>IF(ISNA(F1930),NA(),E1208)</f>
        <v>0</v>
      </c>
      <c r="F1930">
        <f>IF(OR(F1208="",AND(F1208=F1207,F1208=F1209)),NA(), F1208)</f>
        <v>0</v>
      </c>
      <c r="G1930">
        <f>IF(ISNA(H1930),NA(),G1208)</f>
        <v>0</v>
      </c>
      <c r="H1930">
        <f>IF(OR(H1208="",AND(H1208=H1207,H1208=H1209)),NA(), H1208)</f>
        <v>0</v>
      </c>
      <c r="K1930">
        <f>IF(ISNA(L1930),NA(),K1208)</f>
        <v>0</v>
      </c>
      <c r="L1930">
        <f>IF(OR(L1208="",AND(L1208=L1207,L1208=L1209)),NA(), L1208)</f>
        <v>0</v>
      </c>
      <c r="M1930">
        <f>IF(ISNA(N1930),NA(),M1208)</f>
        <v>0</v>
      </c>
      <c r="N1930">
        <f>IF(OR(N1208="",AND(N1208=N1207,N1208=N1209)),NA(), N1208)</f>
        <v>0</v>
      </c>
    </row>
    <row r="1931" spans="5:14">
      <c r="E1931">
        <f>IF(ISNA(F1931),NA(),E1209)</f>
        <v>0</v>
      </c>
      <c r="F1931">
        <f>IF(OR(F1209="",AND(F1209=F1208,F1209=F1210)),NA(), F1209)</f>
        <v>0</v>
      </c>
      <c r="G1931">
        <f>IF(ISNA(H1931),NA(),G1209)</f>
        <v>0</v>
      </c>
      <c r="H1931">
        <f>IF(OR(H1209="",AND(H1209=H1208,H1209=H1210)),NA(), H1209)</f>
        <v>0</v>
      </c>
      <c r="K1931">
        <f>IF(ISNA(L1931),NA(),K1209)</f>
        <v>0</v>
      </c>
      <c r="L1931">
        <f>IF(OR(L1209="",AND(L1209=L1208,L1209=L1210)),NA(), L1209)</f>
        <v>0</v>
      </c>
      <c r="M1931">
        <f>IF(ISNA(N1931),NA(),M1209)</f>
        <v>0</v>
      </c>
      <c r="N1931">
        <f>IF(OR(N1209="",AND(N1209=N1208,N1209=N1210)),NA(), N1209)</f>
        <v>0</v>
      </c>
    </row>
    <row r="1932" spans="5:14">
      <c r="E1932">
        <f>IF(ISNA(F1932),NA(),E1210)</f>
        <v>0</v>
      </c>
      <c r="F1932">
        <f>IF(OR(F1210="",AND(F1210=F1209,F1210=F1211)),NA(), F1210)</f>
        <v>0</v>
      </c>
      <c r="G1932">
        <f>IF(ISNA(H1932),NA(),G1210)</f>
        <v>0</v>
      </c>
      <c r="H1932">
        <f>IF(OR(H1210="",AND(H1210=H1209,H1210=H1211)),NA(), H1210)</f>
        <v>0</v>
      </c>
      <c r="K1932">
        <f>IF(ISNA(L1932),NA(),K1210)</f>
        <v>0</v>
      </c>
      <c r="L1932">
        <f>IF(OR(L1210="",AND(L1210=L1209,L1210=L1211)),NA(), L1210)</f>
        <v>0</v>
      </c>
      <c r="M1932">
        <f>IF(ISNA(N1932),NA(),M1210)</f>
        <v>0</v>
      </c>
      <c r="N1932">
        <f>IF(OR(N1210="",AND(N1210=N1209,N1210=N1211)),NA(), N1210)</f>
        <v>0</v>
      </c>
    </row>
    <row r="1933" spans="5:14">
      <c r="E1933">
        <f>IF(ISNA(F1933),NA(),E1211)</f>
        <v>0</v>
      </c>
      <c r="F1933">
        <f>IF(OR(F1211="",AND(F1211=F1210,F1211=F1212)),NA(), F1211)</f>
        <v>0</v>
      </c>
      <c r="G1933">
        <f>IF(ISNA(H1933),NA(),G1211)</f>
        <v>0</v>
      </c>
      <c r="H1933">
        <f>IF(OR(H1211="",AND(H1211=H1210,H1211=H1212)),NA(), H1211)</f>
        <v>0</v>
      </c>
      <c r="K1933">
        <f>IF(ISNA(L1933),NA(),K1211)</f>
        <v>0</v>
      </c>
      <c r="L1933">
        <f>IF(OR(L1211="",AND(L1211=L1210,L1211=L1212)),NA(), L1211)</f>
        <v>0</v>
      </c>
      <c r="M1933">
        <f>IF(ISNA(N1933),NA(),M1211)</f>
        <v>0</v>
      </c>
      <c r="N1933">
        <f>IF(OR(N1211="",AND(N1211=N1210,N1211=N1212)),NA(), N1211)</f>
        <v>0</v>
      </c>
    </row>
    <row r="1934" spans="5:14">
      <c r="E1934">
        <f>IF(ISNA(F1934),NA(),E1212)</f>
        <v>0</v>
      </c>
      <c r="F1934">
        <f>IF(OR(F1212="",AND(F1212=F1211,F1212=F1213)),NA(), F1212)</f>
        <v>0</v>
      </c>
      <c r="G1934">
        <f>IF(ISNA(H1934),NA(),G1212)</f>
        <v>0</v>
      </c>
      <c r="H1934">
        <f>IF(OR(H1212="",AND(H1212=H1211,H1212=H1213)),NA(), H1212)</f>
        <v>0</v>
      </c>
      <c r="K1934">
        <f>IF(ISNA(L1934),NA(),K1212)</f>
        <v>0</v>
      </c>
      <c r="L1934">
        <f>IF(OR(L1212="",AND(L1212=L1211,L1212=L1213)),NA(), L1212)</f>
        <v>0</v>
      </c>
      <c r="M1934">
        <f>IF(ISNA(N1934),NA(),M1212)</f>
        <v>0</v>
      </c>
      <c r="N1934">
        <f>IF(OR(N1212="",AND(N1212=N1211,N1212=N1213)),NA(), N1212)</f>
        <v>0</v>
      </c>
    </row>
    <row r="1935" spans="5:14">
      <c r="E1935">
        <f>IF(ISNA(F1935),NA(),E1213)</f>
        <v>0</v>
      </c>
      <c r="F1935">
        <f>IF(OR(F1213="",AND(F1213=F1212,F1213=F1214)),NA(), F1213)</f>
        <v>0</v>
      </c>
      <c r="G1935">
        <f>IF(ISNA(H1935),NA(),G1213)</f>
        <v>0</v>
      </c>
      <c r="H1935">
        <f>IF(OR(H1213="",AND(H1213=H1212,H1213=H1214)),NA(), H1213)</f>
        <v>0</v>
      </c>
      <c r="K1935">
        <f>IF(ISNA(L1935),NA(),K1213)</f>
        <v>0</v>
      </c>
      <c r="L1935">
        <f>IF(OR(L1213="",AND(L1213=L1212,L1213=L1214)),NA(), L1213)</f>
        <v>0</v>
      </c>
      <c r="M1935">
        <f>IF(ISNA(N1935),NA(),M1213)</f>
        <v>0</v>
      </c>
      <c r="N1935">
        <f>IF(OR(N1213="",AND(N1213=N1212,N1213=N1214)),NA(), N1213)</f>
        <v>0</v>
      </c>
    </row>
    <row r="1936" spans="5:14">
      <c r="E1936">
        <f>IF(ISNA(F1936),NA(),E1214)</f>
        <v>0</v>
      </c>
      <c r="F1936">
        <f>IF(OR(F1214="",AND(F1214=F1213,F1214=F1215)),NA(), F1214)</f>
        <v>0</v>
      </c>
      <c r="G1936">
        <f>IF(ISNA(H1936),NA(),G1214)</f>
        <v>0</v>
      </c>
      <c r="H1936">
        <f>IF(OR(H1214="",AND(H1214=H1213,H1214=H1215)),NA(), H1214)</f>
        <v>0</v>
      </c>
      <c r="K1936">
        <f>IF(ISNA(L1936),NA(),K1214)</f>
        <v>0</v>
      </c>
      <c r="L1936">
        <f>IF(OR(L1214="",AND(L1214=L1213,L1214=L1215)),NA(), L1214)</f>
        <v>0</v>
      </c>
      <c r="M1936">
        <f>IF(ISNA(N1936),NA(),M1214)</f>
        <v>0</v>
      </c>
      <c r="N1936">
        <f>IF(OR(N1214="",AND(N1214=N1213,N1214=N1215)),NA(), N1214)</f>
        <v>0</v>
      </c>
    </row>
    <row r="1937" spans="5:14">
      <c r="E1937">
        <f>IF(ISNA(F1937),NA(),E1215)</f>
        <v>0</v>
      </c>
      <c r="F1937">
        <f>IF(OR(F1215="",AND(F1215=F1214,F1215=F1216)),NA(), F1215)</f>
        <v>0</v>
      </c>
      <c r="G1937">
        <f>IF(ISNA(H1937),NA(),G1215)</f>
        <v>0</v>
      </c>
      <c r="H1937">
        <f>IF(OR(H1215="",AND(H1215=H1214,H1215=H1216)),NA(), H1215)</f>
        <v>0</v>
      </c>
      <c r="K1937">
        <f>IF(ISNA(L1937),NA(),K1215)</f>
        <v>0</v>
      </c>
      <c r="L1937">
        <f>IF(OR(L1215="",AND(L1215=L1214,L1215=L1216)),NA(), L1215)</f>
        <v>0</v>
      </c>
      <c r="M1937">
        <f>IF(ISNA(N1937),NA(),M1215)</f>
        <v>0</v>
      </c>
      <c r="N1937">
        <f>IF(OR(N1215="",AND(N1215=N1214,N1215=N1216)),NA(), N1215)</f>
        <v>0</v>
      </c>
    </row>
    <row r="1938" spans="5:14">
      <c r="E1938">
        <f>IF(ISNA(F1938),NA(),E1216)</f>
        <v>0</v>
      </c>
      <c r="F1938">
        <f>IF(OR(F1216="",AND(F1216=F1215,F1216=F1217)),NA(), F1216)</f>
        <v>0</v>
      </c>
      <c r="G1938">
        <f>IF(ISNA(H1938),NA(),G1216)</f>
        <v>0</v>
      </c>
      <c r="H1938">
        <f>IF(OR(H1216="",AND(H1216=H1215,H1216=H1217)),NA(), H1216)</f>
        <v>0</v>
      </c>
      <c r="K1938">
        <f>IF(ISNA(L1938),NA(),K1216)</f>
        <v>0</v>
      </c>
      <c r="L1938">
        <f>IF(OR(L1216="",AND(L1216=L1215,L1216=L1217)),NA(), L1216)</f>
        <v>0</v>
      </c>
      <c r="M1938">
        <f>IF(ISNA(N1938),NA(),M1216)</f>
        <v>0</v>
      </c>
      <c r="N1938">
        <f>IF(OR(N1216="",AND(N1216=N1215,N1216=N1217)),NA(), N1216)</f>
        <v>0</v>
      </c>
    </row>
    <row r="1939" spans="5:14">
      <c r="E1939">
        <f>IF(ISNA(F1939),NA(),E1217)</f>
        <v>0</v>
      </c>
      <c r="F1939">
        <f>IF(OR(F1217="",AND(F1217=F1216,F1217=F1218)),NA(), F1217)</f>
        <v>0</v>
      </c>
      <c r="G1939">
        <f>IF(ISNA(H1939),NA(),G1217)</f>
        <v>0</v>
      </c>
      <c r="H1939">
        <f>IF(OR(H1217="",AND(H1217=H1216,H1217=H1218)),NA(), H1217)</f>
        <v>0</v>
      </c>
      <c r="K1939">
        <f>IF(ISNA(L1939),NA(),K1217)</f>
        <v>0</v>
      </c>
      <c r="L1939">
        <f>IF(OR(L1217="",AND(L1217=L1216,L1217=L1218)),NA(), L1217)</f>
        <v>0</v>
      </c>
      <c r="M1939">
        <f>IF(ISNA(N1939),NA(),M1217)</f>
        <v>0</v>
      </c>
      <c r="N1939">
        <f>IF(OR(N1217="",AND(N1217=N1216,N1217=N1218)),NA(), N1217)</f>
        <v>0</v>
      </c>
    </row>
    <row r="1940" spans="5:14">
      <c r="E1940">
        <f>IF(ISNA(F1940),NA(),E1218)</f>
        <v>0</v>
      </c>
      <c r="F1940">
        <f>IF(OR(F1218="",AND(F1218=F1217,F1218=F1219)),NA(), F1218)</f>
        <v>0</v>
      </c>
      <c r="G1940">
        <f>IF(ISNA(H1940),NA(),G1218)</f>
        <v>0</v>
      </c>
      <c r="H1940">
        <f>IF(OR(H1218="",AND(H1218=H1217,H1218=H1219)),NA(), H1218)</f>
        <v>0</v>
      </c>
      <c r="K1940">
        <f>IF(ISNA(L1940),NA(),K1218)</f>
        <v>0</v>
      </c>
      <c r="L1940">
        <f>IF(OR(L1218="",AND(L1218=L1217,L1218=L1219)),NA(), L1218)</f>
        <v>0</v>
      </c>
      <c r="M1940">
        <f>IF(ISNA(N1940),NA(),M1218)</f>
        <v>0</v>
      </c>
      <c r="N1940">
        <f>IF(OR(N1218="",AND(N1218=N1217,N1218=N1219)),NA(), N1218)</f>
        <v>0</v>
      </c>
    </row>
    <row r="1941" spans="5:14">
      <c r="E1941">
        <f>IF(ISNA(F1941),NA(),E1219)</f>
        <v>0</v>
      </c>
      <c r="F1941">
        <f>IF(OR(F1219="",AND(F1219=F1218,F1219=F1220)),NA(), F1219)</f>
        <v>0</v>
      </c>
      <c r="G1941">
        <f>IF(ISNA(H1941),NA(),G1219)</f>
        <v>0</v>
      </c>
      <c r="H1941">
        <f>IF(OR(H1219="",AND(H1219=H1218,H1219=H1220)),NA(), H1219)</f>
        <v>0</v>
      </c>
      <c r="K1941">
        <f>IF(ISNA(L1941),NA(),K1219)</f>
        <v>0</v>
      </c>
      <c r="L1941">
        <f>IF(OR(L1219="",AND(L1219=L1218,L1219=L1220)),NA(), L1219)</f>
        <v>0</v>
      </c>
      <c r="M1941">
        <f>IF(ISNA(N1941),NA(),M1219)</f>
        <v>0</v>
      </c>
      <c r="N1941">
        <f>IF(OR(N1219="",AND(N1219=N1218,N1219=N1220)),NA(), N1219)</f>
        <v>0</v>
      </c>
    </row>
    <row r="1942" spans="5:14">
      <c r="E1942">
        <f>IF(ISNA(F1942),NA(),E1220)</f>
        <v>0</v>
      </c>
      <c r="F1942">
        <f>IF(OR(F1220="",AND(F1220=F1219,F1220=F1221)),NA(), F1220)</f>
        <v>0</v>
      </c>
      <c r="G1942">
        <f>IF(ISNA(H1942),NA(),G1220)</f>
        <v>0</v>
      </c>
      <c r="H1942">
        <f>IF(OR(H1220="",AND(H1220=H1219,H1220=H1221)),NA(), H1220)</f>
        <v>0</v>
      </c>
      <c r="K1942">
        <f>IF(ISNA(L1942),NA(),K1220)</f>
        <v>0</v>
      </c>
      <c r="L1942">
        <f>IF(OR(L1220="",AND(L1220=L1219,L1220=L1221)),NA(), L1220)</f>
        <v>0</v>
      </c>
      <c r="M1942">
        <f>IF(ISNA(N1942),NA(),M1220)</f>
        <v>0</v>
      </c>
      <c r="N1942">
        <f>IF(OR(N1220="",AND(N1220=N1219,N1220=N1221)),NA(), N1220)</f>
        <v>0</v>
      </c>
    </row>
    <row r="1943" spans="5:14">
      <c r="E1943">
        <f>IF(ISNA(F1943),NA(),E1221)</f>
        <v>0</v>
      </c>
      <c r="F1943">
        <f>IF(OR(F1221="",AND(F1221=F1220,F1221=F1222)),NA(), F1221)</f>
        <v>0</v>
      </c>
      <c r="G1943">
        <f>IF(ISNA(H1943),NA(),G1221)</f>
        <v>0</v>
      </c>
      <c r="H1943">
        <f>IF(OR(H1221="",AND(H1221=H1220,H1221=H1222)),NA(), H1221)</f>
        <v>0</v>
      </c>
      <c r="K1943">
        <f>IF(ISNA(L1943),NA(),K1221)</f>
        <v>0</v>
      </c>
      <c r="L1943">
        <f>IF(OR(L1221="",AND(L1221=L1220,L1221=L1222)),NA(), L1221)</f>
        <v>0</v>
      </c>
      <c r="M1943">
        <f>IF(ISNA(N1943),NA(),M1221)</f>
        <v>0</v>
      </c>
      <c r="N1943">
        <f>IF(OR(N1221="",AND(N1221=N1220,N1221=N1222)),NA(), N1221)</f>
        <v>0</v>
      </c>
    </row>
    <row r="1944" spans="5:14">
      <c r="E1944">
        <f>IF(ISNA(F1944),NA(),E1222)</f>
        <v>0</v>
      </c>
      <c r="F1944">
        <f>IF(OR(F1222="",AND(F1222=F1221,F1222=F1223)),NA(), F1222)</f>
        <v>0</v>
      </c>
      <c r="G1944">
        <f>IF(ISNA(H1944),NA(),G1222)</f>
        <v>0</v>
      </c>
      <c r="H1944">
        <f>IF(OR(H1222="",AND(H1222=H1221,H1222=H1223)),NA(), H1222)</f>
        <v>0</v>
      </c>
      <c r="K1944">
        <f>IF(ISNA(L1944),NA(),K1222)</f>
        <v>0</v>
      </c>
      <c r="L1944">
        <f>IF(OR(L1222="",AND(L1222=L1221,L1222=L1223)),NA(), L1222)</f>
        <v>0</v>
      </c>
      <c r="M1944">
        <f>IF(ISNA(N1944),NA(),M1222)</f>
        <v>0</v>
      </c>
      <c r="N1944">
        <f>IF(OR(N1222="",AND(N1222=N1221,N1222=N1223)),NA(), N1222)</f>
        <v>0</v>
      </c>
    </row>
    <row r="1945" spans="5:14">
      <c r="E1945">
        <f>IF(ISNA(F1945),NA(),E1223)</f>
        <v>0</v>
      </c>
      <c r="F1945">
        <f>IF(OR(F1223="",AND(F1223=F1222,F1223=F1224)),NA(), F1223)</f>
        <v>0</v>
      </c>
      <c r="G1945">
        <f>IF(ISNA(H1945),NA(),G1223)</f>
        <v>0</v>
      </c>
      <c r="H1945">
        <f>IF(OR(H1223="",AND(H1223=H1222,H1223=H1224)),NA(), H1223)</f>
        <v>0</v>
      </c>
      <c r="K1945">
        <f>IF(ISNA(L1945),NA(),K1223)</f>
        <v>0</v>
      </c>
      <c r="L1945">
        <f>IF(OR(L1223="",AND(L1223=L1222,L1223=L1224)),NA(), L1223)</f>
        <v>0</v>
      </c>
      <c r="M1945">
        <f>IF(ISNA(N1945),NA(),M1223)</f>
        <v>0</v>
      </c>
      <c r="N1945">
        <f>IF(OR(N1223="",AND(N1223=N1222,N1223=N1224)),NA(), N1223)</f>
        <v>0</v>
      </c>
    </row>
    <row r="1946" spans="5:14">
      <c r="E1946">
        <f>IF(ISNA(F1946),NA(),E1224)</f>
        <v>0</v>
      </c>
      <c r="F1946">
        <f>IF(OR(F1224="",AND(F1224=F1223,F1224=F1225)),NA(), F1224)</f>
        <v>0</v>
      </c>
      <c r="G1946">
        <f>IF(ISNA(H1946),NA(),G1224)</f>
        <v>0</v>
      </c>
      <c r="H1946">
        <f>IF(OR(H1224="",AND(H1224=H1223,H1224=H1225)),NA(), H1224)</f>
        <v>0</v>
      </c>
      <c r="K1946">
        <f>IF(ISNA(L1946),NA(),K1224)</f>
        <v>0</v>
      </c>
      <c r="L1946">
        <f>IF(OR(L1224="",AND(L1224=L1223,L1224=L1225)),NA(), L1224)</f>
        <v>0</v>
      </c>
      <c r="M1946">
        <f>IF(ISNA(N1946),NA(),M1224)</f>
        <v>0</v>
      </c>
      <c r="N1946">
        <f>IF(OR(N1224="",AND(N1224=N1223,N1224=N1225)),NA(), N1224)</f>
        <v>0</v>
      </c>
    </row>
    <row r="1947" spans="5:14">
      <c r="E1947">
        <f>IF(ISNA(F1947),NA(),E1225)</f>
        <v>0</v>
      </c>
      <c r="F1947">
        <f>IF(OR(F1225="",AND(F1225=F1224,F1225=F1226)),NA(), F1225)</f>
        <v>0</v>
      </c>
      <c r="G1947">
        <f>IF(ISNA(H1947),NA(),G1225)</f>
        <v>0</v>
      </c>
      <c r="H1947">
        <f>IF(OR(H1225="",AND(H1225=H1224,H1225=H1226)),NA(), H1225)</f>
        <v>0</v>
      </c>
      <c r="K1947">
        <f>IF(ISNA(L1947),NA(),K1225)</f>
        <v>0</v>
      </c>
      <c r="L1947">
        <f>IF(OR(L1225="",AND(L1225=L1224,L1225=L1226)),NA(), L1225)</f>
        <v>0</v>
      </c>
      <c r="M1947">
        <f>IF(ISNA(N1947),NA(),M1225)</f>
        <v>0</v>
      </c>
      <c r="N1947">
        <f>IF(OR(N1225="",AND(N1225=N1224,N1225=N1226)),NA(), N1225)</f>
        <v>0</v>
      </c>
    </row>
    <row r="1948" spans="5:14">
      <c r="E1948">
        <f>IF(ISNA(F1948),NA(),E1226)</f>
        <v>0</v>
      </c>
      <c r="F1948">
        <f>IF(OR(F1226="",AND(F1226=F1225,F1226=F1227)),NA(), F1226)</f>
        <v>0</v>
      </c>
      <c r="G1948">
        <f>IF(ISNA(H1948),NA(),G1226)</f>
        <v>0</v>
      </c>
      <c r="H1948">
        <f>IF(OR(H1226="",AND(H1226=H1225,H1226=H1227)),NA(), H1226)</f>
        <v>0</v>
      </c>
      <c r="K1948">
        <f>IF(ISNA(L1948),NA(),K1226)</f>
        <v>0</v>
      </c>
      <c r="L1948">
        <f>IF(OR(L1226="",AND(L1226=L1225,L1226=L1227)),NA(), L1226)</f>
        <v>0</v>
      </c>
      <c r="M1948">
        <f>IF(ISNA(N1948),NA(),M1226)</f>
        <v>0</v>
      </c>
      <c r="N1948">
        <f>IF(OR(N1226="",AND(N1226=N1225,N1226=N1227)),NA(), N1226)</f>
        <v>0</v>
      </c>
    </row>
    <row r="1949" spans="5:14">
      <c r="E1949">
        <f>IF(ISNA(F1949),NA(),E1227)</f>
        <v>0</v>
      </c>
      <c r="F1949">
        <f>IF(OR(F1227="",AND(F1227=F1226,F1227=F1228)),NA(), F1227)</f>
        <v>0</v>
      </c>
      <c r="G1949">
        <f>IF(ISNA(H1949),NA(),G1227)</f>
        <v>0</v>
      </c>
      <c r="H1949">
        <f>IF(OR(H1227="",AND(H1227=H1226,H1227=H1228)),NA(), H1227)</f>
        <v>0</v>
      </c>
      <c r="K1949">
        <f>IF(ISNA(L1949),NA(),K1227)</f>
        <v>0</v>
      </c>
      <c r="L1949">
        <f>IF(OR(L1227="",AND(L1227=L1226,L1227=L1228)),NA(), L1227)</f>
        <v>0</v>
      </c>
      <c r="M1949">
        <f>IF(ISNA(N1949),NA(),M1227)</f>
        <v>0</v>
      </c>
      <c r="N1949">
        <f>IF(OR(N1227="",AND(N1227=N1226,N1227=N1228)),NA(), N1227)</f>
        <v>0</v>
      </c>
    </row>
    <row r="1950" spans="5:14">
      <c r="E1950">
        <f>IF(ISNA(F1950),NA(),E1228)</f>
        <v>0</v>
      </c>
      <c r="F1950">
        <f>IF(OR(F1228="",AND(F1228=F1227,F1228=F1229)),NA(), F1228)</f>
        <v>0</v>
      </c>
      <c r="G1950">
        <f>IF(ISNA(H1950),NA(),G1228)</f>
        <v>0</v>
      </c>
      <c r="H1950">
        <f>IF(OR(H1228="",AND(H1228=H1227,H1228=H1229)),NA(), H1228)</f>
        <v>0</v>
      </c>
      <c r="K1950">
        <f>IF(ISNA(L1950),NA(),K1228)</f>
        <v>0</v>
      </c>
      <c r="L1950">
        <f>IF(OR(L1228="",AND(L1228=L1227,L1228=L1229)),NA(), L1228)</f>
        <v>0</v>
      </c>
      <c r="M1950">
        <f>IF(ISNA(N1950),NA(),M1228)</f>
        <v>0</v>
      </c>
      <c r="N1950">
        <f>IF(OR(N1228="",AND(N1228=N1227,N1228=N1229)),NA(), N1228)</f>
        <v>0</v>
      </c>
    </row>
    <row r="1951" spans="5:14">
      <c r="E1951">
        <f>IF(ISNA(F1951),NA(),E1229)</f>
        <v>0</v>
      </c>
      <c r="F1951">
        <f>IF(OR(F1229="",AND(F1229=F1228,F1229=F1230)),NA(), F1229)</f>
        <v>0</v>
      </c>
      <c r="G1951">
        <f>IF(ISNA(H1951),NA(),G1229)</f>
        <v>0</v>
      </c>
      <c r="H1951">
        <f>IF(OR(H1229="",AND(H1229=H1228,H1229=H1230)),NA(), H1229)</f>
        <v>0</v>
      </c>
      <c r="K1951">
        <f>IF(ISNA(L1951),NA(),K1229)</f>
        <v>0</v>
      </c>
      <c r="L1951">
        <f>IF(OR(L1229="",AND(L1229=L1228,L1229=L1230)),NA(), L1229)</f>
        <v>0</v>
      </c>
      <c r="M1951">
        <f>IF(ISNA(N1951),NA(),M1229)</f>
        <v>0</v>
      </c>
      <c r="N1951">
        <f>IF(OR(N1229="",AND(N1229=N1228,N1229=N1230)),NA(), N1229)</f>
        <v>0</v>
      </c>
    </row>
    <row r="1952" spans="5:14">
      <c r="E1952">
        <f>IF(ISNA(F1952),NA(),E1230)</f>
        <v>0</v>
      </c>
      <c r="F1952">
        <f>IF(OR(F1230="",AND(F1230=F1229,F1230=F1231)),NA(), F1230)</f>
        <v>0</v>
      </c>
      <c r="G1952">
        <f>IF(ISNA(H1952),NA(),G1230)</f>
        <v>0</v>
      </c>
      <c r="H1952">
        <f>IF(OR(H1230="",AND(H1230=H1229,H1230=H1231)),NA(), H1230)</f>
        <v>0</v>
      </c>
      <c r="K1952">
        <f>IF(ISNA(L1952),NA(),K1230)</f>
        <v>0</v>
      </c>
      <c r="L1952">
        <f>IF(OR(L1230="",AND(L1230=L1229,L1230=L1231)),NA(), L1230)</f>
        <v>0</v>
      </c>
      <c r="M1952">
        <f>IF(ISNA(N1952),NA(),M1230)</f>
        <v>0</v>
      </c>
      <c r="N1952">
        <f>IF(OR(N1230="",AND(N1230=N1229,N1230=N1231)),NA(), N1230)</f>
        <v>0</v>
      </c>
    </row>
    <row r="1953" spans="5:14">
      <c r="E1953">
        <f>IF(ISNA(F1953),NA(),E1231)</f>
        <v>0</v>
      </c>
      <c r="F1953">
        <f>IF(OR(F1231="",AND(F1231=F1230,F1231=F1232)),NA(), F1231)</f>
        <v>0</v>
      </c>
      <c r="G1953">
        <f>IF(ISNA(H1953),NA(),G1231)</f>
        <v>0</v>
      </c>
      <c r="H1953">
        <f>IF(OR(H1231="",AND(H1231=H1230,H1231=H1232)),NA(), H1231)</f>
        <v>0</v>
      </c>
      <c r="K1953">
        <f>IF(ISNA(L1953),NA(),K1231)</f>
        <v>0</v>
      </c>
      <c r="L1953">
        <f>IF(OR(L1231="",AND(L1231=L1230,L1231=L1232)),NA(), L1231)</f>
        <v>0</v>
      </c>
      <c r="M1953">
        <f>IF(ISNA(N1953),NA(),M1231)</f>
        <v>0</v>
      </c>
      <c r="N1953">
        <f>IF(OR(N1231="",AND(N1231=N1230,N1231=N1232)),NA(), N1231)</f>
        <v>0</v>
      </c>
    </row>
    <row r="1954" spans="5:14">
      <c r="E1954">
        <f>IF(ISNA(F1954),NA(),E1232)</f>
        <v>0</v>
      </c>
      <c r="F1954">
        <f>IF(OR(F1232="",AND(F1232=F1231,F1232=F1233)),NA(), F1232)</f>
        <v>0</v>
      </c>
      <c r="G1954">
        <f>IF(ISNA(H1954),NA(),G1232)</f>
        <v>0</v>
      </c>
      <c r="H1954">
        <f>IF(OR(H1232="",AND(H1232=H1231,H1232=H1233)),NA(), H1232)</f>
        <v>0</v>
      </c>
      <c r="K1954">
        <f>IF(ISNA(L1954),NA(),K1232)</f>
        <v>0</v>
      </c>
      <c r="L1954">
        <f>IF(OR(L1232="",AND(L1232=L1231,L1232=L1233)),NA(), L1232)</f>
        <v>0</v>
      </c>
      <c r="M1954">
        <f>IF(ISNA(N1954),NA(),M1232)</f>
        <v>0</v>
      </c>
      <c r="N1954">
        <f>IF(OR(N1232="",AND(N1232=N1231,N1232=N1233)),NA(), N1232)</f>
        <v>0</v>
      </c>
    </row>
    <row r="1955" spans="5:14">
      <c r="E1955">
        <f>IF(ISNA(F1955),NA(),E1233)</f>
        <v>0</v>
      </c>
      <c r="F1955">
        <f>IF(OR(F1233="",AND(F1233=F1232,F1233=F1234)),NA(), F1233)</f>
        <v>0</v>
      </c>
      <c r="G1955">
        <f>IF(ISNA(H1955),NA(),G1233)</f>
        <v>0</v>
      </c>
      <c r="H1955">
        <f>IF(OR(H1233="",AND(H1233=H1232,H1233=H1234)),NA(), H1233)</f>
        <v>0</v>
      </c>
      <c r="K1955">
        <f>IF(ISNA(L1955),NA(),K1233)</f>
        <v>0</v>
      </c>
      <c r="L1955">
        <f>IF(OR(L1233="",AND(L1233=L1232,L1233=L1234)),NA(), L1233)</f>
        <v>0</v>
      </c>
      <c r="M1955">
        <f>IF(ISNA(N1955),NA(),M1233)</f>
        <v>0</v>
      </c>
      <c r="N1955">
        <f>IF(OR(N1233="",AND(N1233=N1232,N1233=N1234)),NA(), N1233)</f>
        <v>0</v>
      </c>
    </row>
    <row r="1956" spans="5:14">
      <c r="E1956">
        <f>IF(ISNA(F1956),NA(),E1234)</f>
        <v>0</v>
      </c>
      <c r="F1956">
        <f>IF(OR(F1234="",AND(F1234=F1233,F1234=F1235)),NA(), F1234)</f>
        <v>0</v>
      </c>
      <c r="G1956">
        <f>IF(ISNA(H1956),NA(),G1234)</f>
        <v>0</v>
      </c>
      <c r="H1956">
        <f>IF(OR(H1234="",AND(H1234=H1233,H1234=H1235)),NA(), H1234)</f>
        <v>0</v>
      </c>
      <c r="K1956">
        <f>IF(ISNA(L1956),NA(),K1234)</f>
        <v>0</v>
      </c>
      <c r="L1956">
        <f>IF(OR(L1234="",AND(L1234=L1233,L1234=L1235)),NA(), L1234)</f>
        <v>0</v>
      </c>
      <c r="M1956">
        <f>IF(ISNA(N1956),NA(),M1234)</f>
        <v>0</v>
      </c>
      <c r="N1956">
        <f>IF(OR(N1234="",AND(N1234=N1233,N1234=N1235)),NA(), N1234)</f>
        <v>0</v>
      </c>
    </row>
    <row r="1957" spans="5:14">
      <c r="E1957">
        <f>IF(ISNA(F1957),NA(),E1235)</f>
        <v>0</v>
      </c>
      <c r="F1957">
        <f>IF(OR(F1235="",AND(F1235=F1234,F1235=F1236)),NA(), F1235)</f>
        <v>0</v>
      </c>
      <c r="G1957">
        <f>IF(ISNA(H1957),NA(),G1235)</f>
        <v>0</v>
      </c>
      <c r="H1957">
        <f>IF(OR(H1235="",AND(H1235=H1234,H1235=H1236)),NA(), H1235)</f>
        <v>0</v>
      </c>
      <c r="K1957">
        <f>IF(ISNA(L1957),NA(),K1235)</f>
        <v>0</v>
      </c>
      <c r="L1957">
        <f>IF(OR(L1235="",AND(L1235=L1234,L1235=L1236)),NA(), L1235)</f>
        <v>0</v>
      </c>
      <c r="M1957">
        <f>IF(ISNA(N1957),NA(),M1235)</f>
        <v>0</v>
      </c>
      <c r="N1957">
        <f>IF(OR(N1235="",AND(N1235=N1234,N1235=N1236)),NA(), N1235)</f>
        <v>0</v>
      </c>
    </row>
    <row r="1958" spans="5:14">
      <c r="E1958">
        <f>IF(ISNA(F1958),NA(),E1236)</f>
        <v>0</v>
      </c>
      <c r="F1958">
        <f>IF(OR(F1236="",AND(F1236=F1235,F1236=F1237)),NA(), F1236)</f>
        <v>0</v>
      </c>
      <c r="G1958">
        <f>IF(ISNA(H1958),NA(),G1236)</f>
        <v>0</v>
      </c>
      <c r="H1958">
        <f>IF(OR(H1236="",AND(H1236=H1235,H1236=H1237)),NA(), H1236)</f>
        <v>0</v>
      </c>
      <c r="K1958">
        <f>IF(ISNA(L1958),NA(),K1236)</f>
        <v>0</v>
      </c>
      <c r="L1958">
        <f>IF(OR(L1236="",AND(L1236=L1235,L1236=L1237)),NA(), L1236)</f>
        <v>0</v>
      </c>
      <c r="M1958">
        <f>IF(ISNA(N1958),NA(),M1236)</f>
        <v>0</v>
      </c>
      <c r="N1958">
        <f>IF(OR(N1236="",AND(N1236=N1235,N1236=N1237)),NA(), N1236)</f>
        <v>0</v>
      </c>
    </row>
    <row r="1959" spans="5:14">
      <c r="E1959">
        <f>IF(ISNA(F1959),NA(),E1237)</f>
        <v>0</v>
      </c>
      <c r="F1959">
        <f>IF(OR(F1237="",AND(F1237=F1236,F1237=F1238)),NA(), F1237)</f>
        <v>0</v>
      </c>
      <c r="G1959">
        <f>IF(ISNA(H1959),NA(),G1237)</f>
        <v>0</v>
      </c>
      <c r="H1959">
        <f>IF(OR(H1237="",AND(H1237=H1236,H1237=H1238)),NA(), H1237)</f>
        <v>0</v>
      </c>
      <c r="K1959">
        <f>IF(ISNA(L1959),NA(),K1237)</f>
        <v>0</v>
      </c>
      <c r="L1959">
        <f>IF(OR(L1237="",AND(L1237=L1236,L1237=L1238)),NA(), L1237)</f>
        <v>0</v>
      </c>
      <c r="M1959">
        <f>IF(ISNA(N1959),NA(),M1237)</f>
        <v>0</v>
      </c>
      <c r="N1959">
        <f>IF(OR(N1237="",AND(N1237=N1236,N1237=N1238)),NA(), N1237)</f>
        <v>0</v>
      </c>
    </row>
    <row r="1960" spans="5:14">
      <c r="E1960">
        <f>IF(ISNA(F1960),NA(),E1238)</f>
        <v>0</v>
      </c>
      <c r="F1960">
        <f>IF(OR(F1238="",AND(F1238=F1237,F1238=F1239)),NA(), F1238)</f>
        <v>0</v>
      </c>
      <c r="G1960">
        <f>IF(ISNA(H1960),NA(),G1238)</f>
        <v>0</v>
      </c>
      <c r="H1960">
        <f>IF(OR(H1238="",AND(H1238=H1237,H1238=H1239)),NA(), H1238)</f>
        <v>0</v>
      </c>
      <c r="K1960">
        <f>IF(ISNA(L1960),NA(),K1238)</f>
        <v>0</v>
      </c>
      <c r="L1960">
        <f>IF(OR(L1238="",AND(L1238=L1237,L1238=L1239)),NA(), L1238)</f>
        <v>0</v>
      </c>
      <c r="M1960">
        <f>IF(ISNA(N1960),NA(),M1238)</f>
        <v>0</v>
      </c>
      <c r="N1960">
        <f>IF(OR(N1238="",AND(N1238=N1237,N1238=N1239)),NA(), N1238)</f>
        <v>0</v>
      </c>
    </row>
    <row r="1961" spans="5:14">
      <c r="E1961">
        <f>IF(ISNA(F1961),NA(),E1239)</f>
        <v>0</v>
      </c>
      <c r="F1961">
        <f>IF(OR(F1239="",AND(F1239=F1238,F1239=F1240)),NA(), F1239)</f>
        <v>0</v>
      </c>
      <c r="G1961">
        <f>IF(ISNA(H1961),NA(),G1239)</f>
        <v>0</v>
      </c>
      <c r="H1961">
        <f>IF(OR(H1239="",AND(H1239=H1238,H1239=H1240)),NA(), H1239)</f>
        <v>0</v>
      </c>
      <c r="K1961">
        <f>IF(ISNA(L1961),NA(),K1239)</f>
        <v>0</v>
      </c>
      <c r="L1961">
        <f>IF(OR(L1239="",AND(L1239=L1238,L1239=L1240)),NA(), L1239)</f>
        <v>0</v>
      </c>
      <c r="M1961">
        <f>IF(ISNA(N1961),NA(),M1239)</f>
        <v>0</v>
      </c>
      <c r="N1961">
        <f>IF(OR(N1239="",AND(N1239=N1238,N1239=N1240)),NA(), N1239)</f>
        <v>0</v>
      </c>
    </row>
    <row r="1962" spans="5:14">
      <c r="E1962">
        <f>IF(ISNA(F1962),NA(),E1240)</f>
        <v>0</v>
      </c>
      <c r="F1962">
        <f>IF(OR(F1240="",AND(F1240=F1239,F1240=F1241)),NA(), F1240)</f>
        <v>0</v>
      </c>
      <c r="G1962">
        <f>IF(ISNA(H1962),NA(),G1240)</f>
        <v>0</v>
      </c>
      <c r="H1962">
        <f>IF(OR(H1240="",AND(H1240=H1239,H1240=H1241)),NA(), H1240)</f>
        <v>0</v>
      </c>
      <c r="K1962">
        <f>IF(ISNA(L1962),NA(),K1240)</f>
        <v>0</v>
      </c>
      <c r="L1962">
        <f>IF(OR(L1240="",AND(L1240=L1239,L1240=L1241)),NA(), L1240)</f>
        <v>0</v>
      </c>
      <c r="M1962">
        <f>IF(ISNA(N1962),NA(),M1240)</f>
        <v>0</v>
      </c>
      <c r="N1962">
        <f>IF(OR(N1240="",AND(N1240=N1239,N1240=N1241)),NA(), N1240)</f>
        <v>0</v>
      </c>
    </row>
    <row r="1963" spans="5:14">
      <c r="E1963">
        <f>IF(ISNA(F1963),NA(),E1241)</f>
        <v>0</v>
      </c>
      <c r="F1963">
        <f>IF(OR(F1241="",AND(F1241=F1240,F1241=F1242)),NA(), F1241)</f>
        <v>0</v>
      </c>
      <c r="G1963">
        <f>IF(ISNA(H1963),NA(),G1241)</f>
        <v>0</v>
      </c>
      <c r="H1963">
        <f>IF(OR(H1241="",AND(H1241=H1240,H1241=H1242)),NA(), H1241)</f>
        <v>0</v>
      </c>
      <c r="K1963">
        <f>IF(ISNA(L1963),NA(),K1241)</f>
        <v>0</v>
      </c>
      <c r="L1963">
        <f>IF(OR(L1241="",AND(L1241=L1240,L1241=L1242)),NA(), L1241)</f>
        <v>0</v>
      </c>
      <c r="M1963">
        <f>IF(ISNA(N1963),NA(),M1241)</f>
        <v>0</v>
      </c>
      <c r="N1963">
        <f>IF(OR(N1241="",AND(N1241=N1240,N1241=N1242)),NA(), N1241)</f>
        <v>0</v>
      </c>
    </row>
    <row r="1964" spans="5:14">
      <c r="E1964">
        <f>IF(ISNA(F1964),NA(),E1242)</f>
        <v>0</v>
      </c>
      <c r="F1964">
        <f>IF(OR(F1242="",AND(F1242=F1241,F1242=F1243)),NA(), F1242)</f>
        <v>0</v>
      </c>
      <c r="G1964">
        <f>IF(ISNA(H1964),NA(),G1242)</f>
        <v>0</v>
      </c>
      <c r="H1964">
        <f>IF(OR(H1242="",AND(H1242=H1241,H1242=H1243)),NA(), H1242)</f>
        <v>0</v>
      </c>
      <c r="K1964">
        <f>IF(ISNA(L1964),NA(),K1242)</f>
        <v>0</v>
      </c>
      <c r="L1964">
        <f>IF(OR(L1242="",AND(L1242=L1241,L1242=L1243)),NA(), L1242)</f>
        <v>0</v>
      </c>
      <c r="M1964">
        <f>IF(ISNA(N1964),NA(),M1242)</f>
        <v>0</v>
      </c>
      <c r="N1964">
        <f>IF(OR(N1242="",AND(N1242=N1241,N1242=N1243)),NA(), N1242)</f>
        <v>0</v>
      </c>
    </row>
    <row r="1965" spans="5:14">
      <c r="E1965">
        <f>IF(ISNA(F1965),NA(),E1243)</f>
        <v>0</v>
      </c>
      <c r="F1965">
        <f>IF(OR(F1243="",AND(F1243=F1242,F1243=F1244)),NA(), F1243)</f>
        <v>0</v>
      </c>
      <c r="G1965">
        <f>IF(ISNA(H1965),NA(),G1243)</f>
        <v>0</v>
      </c>
      <c r="H1965">
        <f>IF(OR(H1243="",AND(H1243=H1242,H1243=H1244)),NA(), H1243)</f>
        <v>0</v>
      </c>
      <c r="K1965">
        <f>IF(ISNA(L1965),NA(),K1243)</f>
        <v>0</v>
      </c>
      <c r="L1965">
        <f>IF(OR(L1243="",AND(L1243=L1242,L1243=L1244)),NA(), L1243)</f>
        <v>0</v>
      </c>
      <c r="M1965">
        <f>IF(ISNA(N1965),NA(),M1243)</f>
        <v>0</v>
      </c>
      <c r="N1965">
        <f>IF(OR(N1243="",AND(N1243=N1242,N1243=N1244)),NA(), N1243)</f>
        <v>0</v>
      </c>
    </row>
    <row r="1966" spans="5:14">
      <c r="E1966">
        <f>IF(ISNA(F1966),NA(),E1244)</f>
        <v>0</v>
      </c>
      <c r="F1966">
        <f>IF(OR(F1244="",AND(F1244=F1243,F1244=F1245)),NA(), F1244)</f>
        <v>0</v>
      </c>
      <c r="G1966">
        <f>IF(ISNA(H1966),NA(),G1244)</f>
        <v>0</v>
      </c>
      <c r="H1966">
        <f>IF(OR(H1244="",AND(H1244=H1243,H1244=H1245)),NA(), H1244)</f>
        <v>0</v>
      </c>
      <c r="K1966">
        <f>IF(ISNA(L1966),NA(),K1244)</f>
        <v>0</v>
      </c>
      <c r="L1966">
        <f>IF(OR(L1244="",AND(L1244=L1243,L1244=L1245)),NA(), L1244)</f>
        <v>0</v>
      </c>
      <c r="M1966">
        <f>IF(ISNA(N1966),NA(),M1244)</f>
        <v>0</v>
      </c>
      <c r="N1966">
        <f>IF(OR(N1244="",AND(N1244=N1243,N1244=N1245)),NA(), N1244)</f>
        <v>0</v>
      </c>
    </row>
    <row r="1967" spans="5:14">
      <c r="E1967">
        <f>IF(ISNA(F1967),NA(),E1245)</f>
        <v>0</v>
      </c>
      <c r="F1967">
        <f>IF(OR(F1245="",AND(F1245=F1244,F1245=F1246)),NA(), F1245)</f>
        <v>0</v>
      </c>
      <c r="G1967">
        <f>IF(ISNA(H1967),NA(),G1245)</f>
        <v>0</v>
      </c>
      <c r="H1967">
        <f>IF(OR(H1245="",AND(H1245=H1244,H1245=H1246)),NA(), H1245)</f>
        <v>0</v>
      </c>
      <c r="K1967">
        <f>IF(ISNA(L1967),NA(),K1245)</f>
        <v>0</v>
      </c>
      <c r="L1967">
        <f>IF(OR(L1245="",AND(L1245=L1244,L1245=L1246)),NA(), L1245)</f>
        <v>0</v>
      </c>
      <c r="M1967">
        <f>IF(ISNA(N1967),NA(),M1245)</f>
        <v>0</v>
      </c>
      <c r="N1967">
        <f>IF(OR(N1245="",AND(N1245=N1244,N1245=N1246)),NA(), N1245)</f>
        <v>0</v>
      </c>
    </row>
    <row r="1968" spans="5:14">
      <c r="E1968">
        <f>IF(ISNA(F1968),NA(),E1246)</f>
        <v>0</v>
      </c>
      <c r="F1968">
        <f>IF(OR(F1246="",AND(F1246=F1245,F1246=F1247)),NA(), F1246)</f>
        <v>0</v>
      </c>
      <c r="G1968">
        <f>IF(ISNA(H1968),NA(),G1246)</f>
        <v>0</v>
      </c>
      <c r="H1968">
        <f>IF(OR(H1246="",AND(H1246=H1245,H1246=H1247)),NA(), H1246)</f>
        <v>0</v>
      </c>
      <c r="K1968">
        <f>IF(ISNA(L1968),NA(),K1246)</f>
        <v>0</v>
      </c>
      <c r="L1968">
        <f>IF(OR(L1246="",AND(L1246=L1245,L1246=L1247)),NA(), L1246)</f>
        <v>0</v>
      </c>
      <c r="M1968">
        <f>IF(ISNA(N1968),NA(),M1246)</f>
        <v>0</v>
      </c>
      <c r="N1968">
        <f>IF(OR(N1246="",AND(N1246=N1245,N1246=N1247)),NA(), N1246)</f>
        <v>0</v>
      </c>
    </row>
    <row r="1969" spans="5:14">
      <c r="E1969">
        <f>IF(ISNA(F1969),NA(),E1247)</f>
        <v>0</v>
      </c>
      <c r="F1969">
        <f>IF(OR(F1247="",AND(F1247=F1246,F1247=F1248)),NA(), F1247)</f>
        <v>0</v>
      </c>
      <c r="G1969">
        <f>IF(ISNA(H1969),NA(),G1247)</f>
        <v>0</v>
      </c>
      <c r="H1969">
        <f>IF(OR(H1247="",AND(H1247=H1246,H1247=H1248)),NA(), H1247)</f>
        <v>0</v>
      </c>
      <c r="K1969">
        <f>IF(ISNA(L1969),NA(),K1247)</f>
        <v>0</v>
      </c>
      <c r="L1969">
        <f>IF(OR(L1247="",AND(L1247=L1246,L1247=L1248)),NA(), L1247)</f>
        <v>0</v>
      </c>
      <c r="M1969">
        <f>IF(ISNA(N1969),NA(),M1247)</f>
        <v>0</v>
      </c>
      <c r="N1969">
        <f>IF(OR(N1247="",AND(N1247=N1246,N1247=N1248)),NA(), N1247)</f>
        <v>0</v>
      </c>
    </row>
    <row r="1970" spans="5:14">
      <c r="E1970">
        <f>IF(ISNA(F1970),NA(),E1248)</f>
        <v>0</v>
      </c>
      <c r="F1970">
        <f>IF(OR(F1248="",AND(F1248=F1247,F1248=F1249)),NA(), F1248)</f>
        <v>0</v>
      </c>
      <c r="G1970">
        <f>IF(ISNA(H1970),NA(),G1248)</f>
        <v>0</v>
      </c>
      <c r="H1970">
        <f>IF(OR(H1248="",AND(H1248=H1247,H1248=H1249)),NA(), H1248)</f>
        <v>0</v>
      </c>
      <c r="K1970">
        <f>IF(ISNA(L1970),NA(),K1248)</f>
        <v>0</v>
      </c>
      <c r="L1970">
        <f>IF(OR(L1248="",AND(L1248=L1247,L1248=L1249)),NA(), L1248)</f>
        <v>0</v>
      </c>
      <c r="M1970">
        <f>IF(ISNA(N1970),NA(),M1248)</f>
        <v>0</v>
      </c>
      <c r="N1970">
        <f>IF(OR(N1248="",AND(N1248=N1247,N1248=N1249)),NA(), N1248)</f>
        <v>0</v>
      </c>
    </row>
    <row r="1971" spans="5:14">
      <c r="E1971">
        <f>IF(ISNA(F1971),NA(),E1249)</f>
        <v>0</v>
      </c>
      <c r="F1971">
        <f>IF(OR(F1249="",AND(F1249=F1248,F1249=F1250)),NA(), F1249)</f>
        <v>0</v>
      </c>
      <c r="G1971">
        <f>IF(ISNA(H1971),NA(),G1249)</f>
        <v>0</v>
      </c>
      <c r="H1971">
        <f>IF(OR(H1249="",AND(H1249=H1248,H1249=H1250)),NA(), H1249)</f>
        <v>0</v>
      </c>
      <c r="K1971">
        <f>IF(ISNA(L1971),NA(),K1249)</f>
        <v>0</v>
      </c>
      <c r="L1971">
        <f>IF(OR(L1249="",AND(L1249=L1248,L1249=L1250)),NA(), L1249)</f>
        <v>0</v>
      </c>
      <c r="M1971">
        <f>IF(ISNA(N1971),NA(),M1249)</f>
        <v>0</v>
      </c>
      <c r="N1971">
        <f>IF(OR(N1249="",AND(N1249=N1248,N1249=N1250)),NA(), N1249)</f>
        <v>0</v>
      </c>
    </row>
    <row r="1972" spans="5:14">
      <c r="E1972">
        <f>IF(ISNA(F1972),NA(),E1250)</f>
        <v>0</v>
      </c>
      <c r="F1972">
        <f>IF(OR(F1250="",AND(F1250=F1249,F1250=F1251)),NA(), F1250)</f>
        <v>0</v>
      </c>
      <c r="G1972">
        <f>IF(ISNA(H1972),NA(),G1250)</f>
        <v>0</v>
      </c>
      <c r="H1972">
        <f>IF(OR(H1250="",AND(H1250=H1249,H1250=H1251)),NA(), H1250)</f>
        <v>0</v>
      </c>
      <c r="K1972">
        <f>IF(ISNA(L1972),NA(),K1250)</f>
        <v>0</v>
      </c>
      <c r="L1972">
        <f>IF(OR(L1250="",AND(L1250=L1249,L1250=L1251)),NA(), L1250)</f>
        <v>0</v>
      </c>
      <c r="M1972">
        <f>IF(ISNA(N1972),NA(),M1250)</f>
        <v>0</v>
      </c>
      <c r="N1972">
        <f>IF(OR(N1250="",AND(N1250=N1249,N1250=N1251)),NA(), N1250)</f>
        <v>0</v>
      </c>
    </row>
    <row r="1973" spans="5:14">
      <c r="E1973">
        <f>IF(ISNA(F1973),NA(),E1251)</f>
        <v>0</v>
      </c>
      <c r="F1973">
        <f>IF(OR(F1251="",AND(F1251=F1250,F1251=F1252)),NA(), F1251)</f>
        <v>0</v>
      </c>
      <c r="G1973">
        <f>IF(ISNA(H1973),NA(),G1251)</f>
        <v>0</v>
      </c>
      <c r="H1973">
        <f>IF(OR(H1251="",AND(H1251=H1250,H1251=H1252)),NA(), H1251)</f>
        <v>0</v>
      </c>
      <c r="K1973">
        <f>IF(ISNA(L1973),NA(),K1251)</f>
        <v>0</v>
      </c>
      <c r="L1973">
        <f>IF(OR(L1251="",AND(L1251=L1250,L1251=L1252)),NA(), L1251)</f>
        <v>0</v>
      </c>
      <c r="M1973">
        <f>IF(ISNA(N1973),NA(),M1251)</f>
        <v>0</v>
      </c>
      <c r="N1973">
        <f>IF(OR(N1251="",AND(N1251=N1250,N1251=N1252)),NA(), N1251)</f>
        <v>0</v>
      </c>
    </row>
    <row r="1974" spans="5:14">
      <c r="E1974">
        <f>IF(ISNA(F1974),NA(),E1252)</f>
        <v>0</v>
      </c>
      <c r="F1974">
        <f>IF(OR(F1252="",AND(F1252=F1251,F1252=F1253)),NA(), F1252)</f>
        <v>0</v>
      </c>
      <c r="G1974">
        <f>IF(ISNA(H1974),NA(),G1252)</f>
        <v>0</v>
      </c>
      <c r="H1974">
        <f>IF(OR(H1252="",AND(H1252=H1251,H1252=H1253)),NA(), H1252)</f>
        <v>0</v>
      </c>
      <c r="K1974">
        <f>IF(ISNA(L1974),NA(),K1252)</f>
        <v>0</v>
      </c>
      <c r="L1974">
        <f>IF(OR(L1252="",AND(L1252=L1251,L1252=L1253)),NA(), L1252)</f>
        <v>0</v>
      </c>
      <c r="M1974">
        <f>IF(ISNA(N1974),NA(),M1252)</f>
        <v>0</v>
      </c>
      <c r="N1974">
        <f>IF(OR(N1252="",AND(N1252=N1251,N1252=N1253)),NA(), N1252)</f>
        <v>0</v>
      </c>
    </row>
    <row r="1975" spans="5:14">
      <c r="E1975">
        <f>IF(ISNA(F1975),NA(),E1253)</f>
        <v>0</v>
      </c>
      <c r="F1975">
        <f>IF(OR(F1253="",AND(F1253=F1252,F1253=F1254)),NA(), F1253)</f>
        <v>0</v>
      </c>
      <c r="G1975">
        <f>IF(ISNA(H1975),NA(),G1253)</f>
        <v>0</v>
      </c>
      <c r="H1975">
        <f>IF(OR(H1253="",AND(H1253=H1252,H1253=H1254)),NA(), H1253)</f>
        <v>0</v>
      </c>
      <c r="K1975">
        <f>IF(ISNA(L1975),NA(),K1253)</f>
        <v>0</v>
      </c>
      <c r="L1975">
        <f>IF(OR(L1253="",AND(L1253=L1252,L1253=L1254)),NA(), L1253)</f>
        <v>0</v>
      </c>
      <c r="M1975">
        <f>IF(ISNA(N1975),NA(),M1253)</f>
        <v>0</v>
      </c>
      <c r="N1975">
        <f>IF(OR(N1253="",AND(N1253=N1252,N1253=N1254)),NA(), N1253)</f>
        <v>0</v>
      </c>
    </row>
    <row r="1976" spans="5:14">
      <c r="E1976">
        <f>IF(ISNA(F1976),NA(),E1254)</f>
        <v>0</v>
      </c>
      <c r="F1976">
        <f>IF(OR(F1254="",AND(F1254=F1253,F1254=F1255)),NA(), F1254)</f>
        <v>0</v>
      </c>
      <c r="G1976">
        <f>IF(ISNA(H1976),NA(),G1254)</f>
        <v>0</v>
      </c>
      <c r="H1976">
        <f>IF(OR(H1254="",AND(H1254=H1253,H1254=H1255)),NA(), H1254)</f>
        <v>0</v>
      </c>
      <c r="K1976">
        <f>IF(ISNA(L1976),NA(),K1254)</f>
        <v>0</v>
      </c>
      <c r="L1976">
        <f>IF(OR(L1254="",AND(L1254=L1253,L1254=L1255)),NA(), L1254)</f>
        <v>0</v>
      </c>
      <c r="M1976">
        <f>IF(ISNA(N1976),NA(),M1254)</f>
        <v>0</v>
      </c>
      <c r="N1976">
        <f>IF(OR(N1254="",AND(N1254=N1253,N1254=N1255)),NA(), N1254)</f>
        <v>0</v>
      </c>
    </row>
    <row r="1977" spans="5:14">
      <c r="E1977">
        <f>IF(ISNA(F1977),NA(),E1255)</f>
        <v>0</v>
      </c>
      <c r="F1977">
        <f>IF(OR(F1255="",AND(F1255=F1254,F1255=F1256)),NA(), F1255)</f>
        <v>0</v>
      </c>
      <c r="G1977">
        <f>IF(ISNA(H1977),NA(),G1255)</f>
        <v>0</v>
      </c>
      <c r="H1977">
        <f>IF(OR(H1255="",AND(H1255=H1254,H1255=H1256)),NA(), H1255)</f>
        <v>0</v>
      </c>
      <c r="K1977">
        <f>IF(ISNA(L1977),NA(),K1255)</f>
        <v>0</v>
      </c>
      <c r="L1977">
        <f>IF(OR(L1255="",AND(L1255=L1254,L1255=L1256)),NA(), L1255)</f>
        <v>0</v>
      </c>
      <c r="M1977">
        <f>IF(ISNA(N1977),NA(),M1255)</f>
        <v>0</v>
      </c>
      <c r="N1977">
        <f>IF(OR(N1255="",AND(N1255=N1254,N1255=N1256)),NA(), N1255)</f>
        <v>0</v>
      </c>
    </row>
    <row r="1978" spans="5:14">
      <c r="E1978">
        <f>IF(ISNA(F1978),NA(),E1256)</f>
        <v>0</v>
      </c>
      <c r="F1978">
        <f>IF(OR(F1256="",AND(F1256=F1255,F1256=F1257)),NA(), F1256)</f>
        <v>0</v>
      </c>
      <c r="G1978">
        <f>IF(ISNA(H1978),NA(),G1256)</f>
        <v>0</v>
      </c>
      <c r="H1978">
        <f>IF(OR(H1256="",AND(H1256=H1255,H1256=H1257)),NA(), H1256)</f>
        <v>0</v>
      </c>
      <c r="K1978">
        <f>IF(ISNA(L1978),NA(),K1256)</f>
        <v>0</v>
      </c>
      <c r="L1978">
        <f>IF(OR(L1256="",AND(L1256=L1255,L1256=L1257)),NA(), L1256)</f>
        <v>0</v>
      </c>
      <c r="M1978">
        <f>IF(ISNA(N1978),NA(),M1256)</f>
        <v>0</v>
      </c>
      <c r="N1978">
        <f>IF(OR(N1256="",AND(N1256=N1255,N1256=N1257)),NA(), N1256)</f>
        <v>0</v>
      </c>
    </row>
    <row r="1979" spans="5:14">
      <c r="E1979">
        <f>IF(ISNA(F1979),NA(),E1257)</f>
        <v>0</v>
      </c>
      <c r="F1979">
        <f>IF(OR(F1257="",AND(F1257=F1256,F1257=F1258)),NA(), F1257)</f>
        <v>0</v>
      </c>
      <c r="G1979">
        <f>IF(ISNA(H1979),NA(),G1257)</f>
        <v>0</v>
      </c>
      <c r="H1979">
        <f>IF(OR(H1257="",AND(H1257=H1256,H1257=H1258)),NA(), H1257)</f>
        <v>0</v>
      </c>
      <c r="K1979">
        <f>IF(ISNA(L1979),NA(),K1257)</f>
        <v>0</v>
      </c>
      <c r="L1979">
        <f>IF(OR(L1257="",AND(L1257=L1256,L1257=L1258)),NA(), L1257)</f>
        <v>0</v>
      </c>
      <c r="M1979">
        <f>IF(ISNA(N1979),NA(),M1257)</f>
        <v>0</v>
      </c>
      <c r="N1979">
        <f>IF(OR(N1257="",AND(N1257=N1256,N1257=N1258)),NA(), N1257)</f>
        <v>0</v>
      </c>
    </row>
    <row r="1980" spans="5:14">
      <c r="E1980">
        <f>IF(ISNA(F1980),NA(),E1258)</f>
        <v>0</v>
      </c>
      <c r="F1980">
        <f>IF(OR(F1258="",AND(F1258=F1257,F1258=F1259)),NA(), F1258)</f>
        <v>0</v>
      </c>
      <c r="G1980">
        <f>IF(ISNA(H1980),NA(),G1258)</f>
        <v>0</v>
      </c>
      <c r="H1980">
        <f>IF(OR(H1258="",AND(H1258=H1257,H1258=H1259)),NA(), H1258)</f>
        <v>0</v>
      </c>
      <c r="K1980">
        <f>IF(ISNA(L1980),NA(),K1258)</f>
        <v>0</v>
      </c>
      <c r="L1980">
        <f>IF(OR(L1258="",AND(L1258=L1257,L1258=L1259)),NA(), L1258)</f>
        <v>0</v>
      </c>
      <c r="M1980">
        <f>IF(ISNA(N1980),NA(),M1258)</f>
        <v>0</v>
      </c>
      <c r="N1980">
        <f>IF(OR(N1258="",AND(N1258=N1257,N1258=N1259)),NA(), N1258)</f>
        <v>0</v>
      </c>
    </row>
    <row r="1981" spans="5:14">
      <c r="E1981">
        <f>IF(ISNA(F1981),NA(),E1259)</f>
        <v>0</v>
      </c>
      <c r="F1981">
        <f>IF(OR(F1259="",AND(F1259=F1258,F1259=F1260)),NA(), F1259)</f>
        <v>0</v>
      </c>
      <c r="G1981">
        <f>IF(ISNA(H1981),NA(),G1259)</f>
        <v>0</v>
      </c>
      <c r="H1981">
        <f>IF(OR(H1259="",AND(H1259=H1258,H1259=H1260)),NA(), H1259)</f>
        <v>0</v>
      </c>
      <c r="K1981">
        <f>IF(ISNA(L1981),NA(),K1259)</f>
        <v>0</v>
      </c>
      <c r="L1981">
        <f>IF(OR(L1259="",AND(L1259=L1258,L1259=L1260)),NA(), L1259)</f>
        <v>0</v>
      </c>
      <c r="M1981">
        <f>IF(ISNA(N1981),NA(),M1259)</f>
        <v>0</v>
      </c>
      <c r="N1981">
        <f>IF(OR(N1259="",AND(N1259=N1258,N1259=N1260)),NA(), N1259)</f>
        <v>0</v>
      </c>
    </row>
    <row r="1982" spans="5:14">
      <c r="E1982">
        <f>IF(ISNA(F1982),NA(),E1260)</f>
        <v>0</v>
      </c>
      <c r="F1982">
        <f>IF(OR(F1260="",AND(F1260=F1259,F1260=F1261)),NA(), F1260)</f>
        <v>0</v>
      </c>
      <c r="G1982">
        <f>IF(ISNA(H1982),NA(),G1260)</f>
        <v>0</v>
      </c>
      <c r="H1982">
        <f>IF(OR(H1260="",AND(H1260=H1259,H1260=H1261)),NA(), H1260)</f>
        <v>0</v>
      </c>
      <c r="K1982">
        <f>IF(ISNA(L1982),NA(),K1260)</f>
        <v>0</v>
      </c>
      <c r="L1982">
        <f>IF(OR(L1260="",AND(L1260=L1259,L1260=L1261)),NA(), L1260)</f>
        <v>0</v>
      </c>
      <c r="M1982">
        <f>IF(ISNA(N1982),NA(),M1260)</f>
        <v>0</v>
      </c>
      <c r="N1982">
        <f>IF(OR(N1260="",AND(N1260=N1259,N1260=N1261)),NA(), N1260)</f>
        <v>0</v>
      </c>
    </row>
    <row r="1983" spans="5:14">
      <c r="E1983">
        <f>IF(ISNA(F1983),NA(),E1261)</f>
        <v>0</v>
      </c>
      <c r="F1983">
        <f>IF(OR(F1261="",AND(F1261=F1260,F1261=F1262)),NA(), F1261)</f>
        <v>0</v>
      </c>
      <c r="G1983">
        <f>IF(ISNA(H1983),NA(),G1261)</f>
        <v>0</v>
      </c>
      <c r="H1983">
        <f>IF(OR(H1261="",AND(H1261=H1260,H1261=H1262)),NA(), H1261)</f>
        <v>0</v>
      </c>
      <c r="K1983">
        <f>IF(ISNA(L1983),NA(),K1261)</f>
        <v>0</v>
      </c>
      <c r="L1983">
        <f>IF(OR(L1261="",AND(L1261=L1260,L1261=L1262)),NA(), L1261)</f>
        <v>0</v>
      </c>
      <c r="M1983">
        <f>IF(ISNA(N1983),NA(),M1261)</f>
        <v>0</v>
      </c>
      <c r="N1983">
        <f>IF(OR(N1261="",AND(N1261=N1260,N1261=N1262)),NA(), N1261)</f>
        <v>0</v>
      </c>
    </row>
    <row r="1984" spans="5:14">
      <c r="E1984">
        <f>IF(ISNA(F1984),NA(),E1262)</f>
        <v>0</v>
      </c>
      <c r="F1984">
        <f>IF(OR(F1262="",AND(F1262=F1261,F1262=F1263)),NA(), F1262)</f>
        <v>0</v>
      </c>
      <c r="G1984">
        <f>IF(ISNA(H1984),NA(),G1262)</f>
        <v>0</v>
      </c>
      <c r="H1984">
        <f>IF(OR(H1262="",AND(H1262=H1261,H1262=H1263)),NA(), H1262)</f>
        <v>0</v>
      </c>
      <c r="K1984">
        <f>IF(ISNA(L1984),NA(),K1262)</f>
        <v>0</v>
      </c>
      <c r="L1984">
        <f>IF(OR(L1262="",AND(L1262=L1261,L1262=L1263)),NA(), L1262)</f>
        <v>0</v>
      </c>
      <c r="M1984">
        <f>IF(ISNA(N1984),NA(),M1262)</f>
        <v>0</v>
      </c>
      <c r="N1984">
        <f>IF(OR(N1262="",AND(N1262=N1261,N1262=N1263)),NA(), N1262)</f>
        <v>0</v>
      </c>
    </row>
    <row r="1985" spans="5:14">
      <c r="E1985">
        <f>IF(ISNA(F1985),NA(),E1263)</f>
        <v>0</v>
      </c>
      <c r="F1985">
        <f>IF(OR(F1263="",AND(F1263=F1262,F1263=F1264)),NA(), F1263)</f>
        <v>0</v>
      </c>
      <c r="G1985">
        <f>IF(ISNA(H1985),NA(),G1263)</f>
        <v>0</v>
      </c>
      <c r="H1985">
        <f>IF(OR(H1263="",AND(H1263=H1262,H1263=H1264)),NA(), H1263)</f>
        <v>0</v>
      </c>
      <c r="K1985">
        <f>IF(ISNA(L1985),NA(),K1263)</f>
        <v>0</v>
      </c>
      <c r="L1985">
        <f>IF(OR(L1263="",AND(L1263=L1262,L1263=L1264)),NA(), L1263)</f>
        <v>0</v>
      </c>
      <c r="M1985">
        <f>IF(ISNA(N1985),NA(),M1263)</f>
        <v>0</v>
      </c>
      <c r="N1985">
        <f>IF(OR(N1263="",AND(N1263=N1262,N1263=N1264)),NA(), N1263)</f>
        <v>0</v>
      </c>
    </row>
    <row r="1986" spans="5:14">
      <c r="E1986">
        <f>IF(ISNA(F1986),NA(),E1264)</f>
        <v>0</v>
      </c>
      <c r="F1986">
        <f>IF(OR(F1264="",AND(F1264=F1263,F1264=F1265)),NA(), F1264)</f>
        <v>0</v>
      </c>
      <c r="G1986">
        <f>IF(ISNA(H1986),NA(),G1264)</f>
        <v>0</v>
      </c>
      <c r="H1986">
        <f>IF(OR(H1264="",AND(H1264=H1263,H1264=H1265)),NA(), H1264)</f>
        <v>0</v>
      </c>
      <c r="K1986">
        <f>IF(ISNA(L1986),NA(),K1264)</f>
        <v>0</v>
      </c>
      <c r="L1986">
        <f>IF(OR(L1264="",AND(L1264=L1263,L1264=L1265)),NA(), L1264)</f>
        <v>0</v>
      </c>
      <c r="M1986">
        <f>IF(ISNA(N1986),NA(),M1264)</f>
        <v>0</v>
      </c>
      <c r="N1986">
        <f>IF(OR(N1264="",AND(N1264=N1263,N1264=N1265)),NA(), N1264)</f>
        <v>0</v>
      </c>
    </row>
    <row r="1987" spans="5:14">
      <c r="E1987">
        <f>IF(ISNA(F1987),NA(),E1265)</f>
        <v>0</v>
      </c>
      <c r="F1987">
        <f>IF(OR(F1265="",AND(F1265=F1264,F1265=F1266)),NA(), F1265)</f>
        <v>0</v>
      </c>
      <c r="G1987">
        <f>IF(ISNA(H1987),NA(),G1265)</f>
        <v>0</v>
      </c>
      <c r="H1987">
        <f>IF(OR(H1265="",AND(H1265=H1264,H1265=H1266)),NA(), H1265)</f>
        <v>0</v>
      </c>
      <c r="K1987">
        <f>IF(ISNA(L1987),NA(),K1265)</f>
        <v>0</v>
      </c>
      <c r="L1987">
        <f>IF(OR(L1265="",AND(L1265=L1264,L1265=L1266)),NA(), L1265)</f>
        <v>0</v>
      </c>
      <c r="M1987">
        <f>IF(ISNA(N1987),NA(),M1265)</f>
        <v>0</v>
      </c>
      <c r="N1987">
        <f>IF(OR(N1265="",AND(N1265=N1264,N1265=N1266)),NA(), N1265)</f>
        <v>0</v>
      </c>
    </row>
    <row r="1988" spans="5:14">
      <c r="E1988">
        <f>IF(ISNA(F1988),NA(),E1266)</f>
        <v>0</v>
      </c>
      <c r="F1988">
        <f>IF(OR(F1266="",AND(F1266=F1265,F1266=F1267)),NA(), F1266)</f>
        <v>0</v>
      </c>
      <c r="G1988">
        <f>IF(ISNA(H1988),NA(),G1266)</f>
        <v>0</v>
      </c>
      <c r="H1988">
        <f>IF(OR(H1266="",AND(H1266=H1265,H1266=H1267)),NA(), H1266)</f>
        <v>0</v>
      </c>
      <c r="K1988">
        <f>IF(ISNA(L1988),NA(),K1266)</f>
        <v>0</v>
      </c>
      <c r="L1988">
        <f>IF(OR(L1266="",AND(L1266=L1265,L1266=L1267)),NA(), L1266)</f>
        <v>0</v>
      </c>
      <c r="M1988">
        <f>IF(ISNA(N1988),NA(),M1266)</f>
        <v>0</v>
      </c>
      <c r="N1988">
        <f>IF(OR(N1266="",AND(N1266=N1265,N1266=N1267)),NA(), N1266)</f>
        <v>0</v>
      </c>
    </row>
    <row r="1989" spans="5:14">
      <c r="E1989">
        <f>IF(ISNA(F1989),NA(),E1267)</f>
        <v>0</v>
      </c>
      <c r="F1989">
        <f>IF(OR(F1267="",AND(F1267=F1266,F1267=F1268)),NA(), F1267)</f>
        <v>0</v>
      </c>
      <c r="G1989">
        <f>IF(ISNA(H1989),NA(),G1267)</f>
        <v>0</v>
      </c>
      <c r="H1989">
        <f>IF(OR(H1267="",AND(H1267=H1266,H1267=H1268)),NA(), H1267)</f>
        <v>0</v>
      </c>
      <c r="K1989">
        <f>IF(ISNA(L1989),NA(),K1267)</f>
        <v>0</v>
      </c>
      <c r="L1989">
        <f>IF(OR(L1267="",AND(L1267=L1266,L1267=L1268)),NA(), L1267)</f>
        <v>0</v>
      </c>
      <c r="M1989">
        <f>IF(ISNA(N1989),NA(),M1267)</f>
        <v>0</v>
      </c>
      <c r="N1989">
        <f>IF(OR(N1267="",AND(N1267=N1266,N1267=N1268)),NA(), N1267)</f>
        <v>0</v>
      </c>
    </row>
    <row r="1990" spans="5:14">
      <c r="E1990">
        <f>IF(ISNA(F1990),NA(),E1268)</f>
        <v>0</v>
      </c>
      <c r="F1990">
        <f>IF(OR(F1268="",AND(F1268=F1267,F1268=F1269)),NA(), F1268)</f>
        <v>0</v>
      </c>
      <c r="G1990">
        <f>IF(ISNA(H1990),NA(),G1268)</f>
        <v>0</v>
      </c>
      <c r="H1990">
        <f>IF(OR(H1268="",AND(H1268=H1267,H1268=H1269)),NA(), H1268)</f>
        <v>0</v>
      </c>
      <c r="K1990">
        <f>IF(ISNA(L1990),NA(),K1268)</f>
        <v>0</v>
      </c>
      <c r="L1990">
        <f>IF(OR(L1268="",AND(L1268=L1267,L1268=L1269)),NA(), L1268)</f>
        <v>0</v>
      </c>
      <c r="M1990">
        <f>IF(ISNA(N1990),NA(),M1268)</f>
        <v>0</v>
      </c>
      <c r="N1990">
        <f>IF(OR(N1268="",AND(N1268=N1267,N1268=N1269)),NA(), N1268)</f>
        <v>0</v>
      </c>
    </row>
    <row r="1991" spans="5:14">
      <c r="E1991">
        <f>IF(ISNA(F1991),NA(),E1269)</f>
        <v>0</v>
      </c>
      <c r="F1991">
        <f>IF(OR(F1269="",AND(F1269=F1268,F1269=F1270)),NA(), F1269)</f>
        <v>0</v>
      </c>
      <c r="G1991">
        <f>IF(ISNA(H1991),NA(),G1269)</f>
        <v>0</v>
      </c>
      <c r="H1991">
        <f>IF(OR(H1269="",AND(H1269=H1268,H1269=H1270)),NA(), H1269)</f>
        <v>0</v>
      </c>
      <c r="K1991">
        <f>IF(ISNA(L1991),NA(),K1269)</f>
        <v>0</v>
      </c>
      <c r="L1991">
        <f>IF(OR(L1269="",AND(L1269=L1268,L1269=L1270)),NA(), L1269)</f>
        <v>0</v>
      </c>
      <c r="M1991">
        <f>IF(ISNA(N1991),NA(),M1269)</f>
        <v>0</v>
      </c>
      <c r="N1991">
        <f>IF(OR(N1269="",AND(N1269=N1268,N1269=N1270)),NA(), N1269)</f>
        <v>0</v>
      </c>
    </row>
    <row r="1992" spans="5:14">
      <c r="E1992">
        <f>IF(ISNA(F1992),NA(),E1270)</f>
        <v>0</v>
      </c>
      <c r="F1992">
        <f>IF(OR(F1270="",AND(F1270=F1269,F1270=F1271)),NA(), F1270)</f>
        <v>0</v>
      </c>
      <c r="G1992">
        <f>IF(ISNA(H1992),NA(),G1270)</f>
        <v>0</v>
      </c>
      <c r="H1992">
        <f>IF(OR(H1270="",AND(H1270=H1269,H1270=H1271)),NA(), H1270)</f>
        <v>0</v>
      </c>
      <c r="K1992">
        <f>IF(ISNA(L1992),NA(),K1270)</f>
        <v>0</v>
      </c>
      <c r="L1992">
        <f>IF(OR(L1270="",AND(L1270=L1269,L1270=L1271)),NA(), L1270)</f>
        <v>0</v>
      </c>
      <c r="M1992">
        <f>IF(ISNA(N1992),NA(),M1270)</f>
        <v>0</v>
      </c>
      <c r="N1992">
        <f>IF(OR(N1270="",AND(N1270=N1269,N1270=N1271)),NA(), N1270)</f>
        <v>0</v>
      </c>
    </row>
    <row r="1993" spans="5:14">
      <c r="E1993">
        <f>IF(ISNA(F1993),NA(),E1271)</f>
        <v>0</v>
      </c>
      <c r="F1993">
        <f>IF(OR(F1271="",AND(F1271=F1270,F1271=F1272)),NA(), F1271)</f>
        <v>0</v>
      </c>
      <c r="G1993">
        <f>IF(ISNA(H1993),NA(),G1271)</f>
        <v>0</v>
      </c>
      <c r="H1993">
        <f>IF(OR(H1271="",AND(H1271=H1270,H1271=H1272)),NA(), H1271)</f>
        <v>0</v>
      </c>
      <c r="K1993">
        <f>IF(ISNA(L1993),NA(),K1271)</f>
        <v>0</v>
      </c>
      <c r="L1993">
        <f>IF(OR(L1271="",AND(L1271=L1270,L1271=L1272)),NA(), L1271)</f>
        <v>0</v>
      </c>
      <c r="M1993">
        <f>IF(ISNA(N1993),NA(),M1271)</f>
        <v>0</v>
      </c>
      <c r="N1993">
        <f>IF(OR(N1271="",AND(N1271=N1270,N1271=N1272)),NA(), N1271)</f>
        <v>0</v>
      </c>
    </row>
    <row r="1994" spans="5:14">
      <c r="E1994">
        <f>IF(ISNA(F1994),NA(),E1272)</f>
        <v>0</v>
      </c>
      <c r="F1994">
        <f>IF(OR(F1272="",AND(F1272=F1271,F1272=F1273)),NA(), F1272)</f>
        <v>0</v>
      </c>
      <c r="G1994">
        <f>IF(ISNA(H1994),NA(),G1272)</f>
        <v>0</v>
      </c>
      <c r="H1994">
        <f>IF(OR(H1272="",AND(H1272=H1271,H1272=H1273)),NA(), H1272)</f>
        <v>0</v>
      </c>
      <c r="K1994">
        <f>IF(ISNA(L1994),NA(),K1272)</f>
        <v>0</v>
      </c>
      <c r="L1994">
        <f>IF(OR(L1272="",AND(L1272=L1271,L1272=L1273)),NA(), L1272)</f>
        <v>0</v>
      </c>
      <c r="M1994">
        <f>IF(ISNA(N1994),NA(),M1272)</f>
        <v>0</v>
      </c>
      <c r="N1994">
        <f>IF(OR(N1272="",AND(N1272=N1271,N1272=N1273)),NA(), N1272)</f>
        <v>0</v>
      </c>
    </row>
    <row r="1995" spans="5:14">
      <c r="E1995">
        <f>IF(ISNA(F1995),NA(),E1273)</f>
        <v>0</v>
      </c>
      <c r="F1995">
        <f>IF(OR(F1273="",AND(F1273=F1272,F1273=F1274)),NA(), F1273)</f>
        <v>0</v>
      </c>
      <c r="G1995">
        <f>IF(ISNA(H1995),NA(),G1273)</f>
        <v>0</v>
      </c>
      <c r="H1995">
        <f>IF(OR(H1273="",AND(H1273=H1272,H1273=H1274)),NA(), H1273)</f>
        <v>0</v>
      </c>
      <c r="K1995">
        <f>IF(ISNA(L1995),NA(),K1273)</f>
        <v>0</v>
      </c>
      <c r="L1995">
        <f>IF(OR(L1273="",AND(L1273=L1272,L1273=L1274)),NA(), L1273)</f>
        <v>0</v>
      </c>
      <c r="M1995">
        <f>IF(ISNA(N1995),NA(),M1273)</f>
        <v>0</v>
      </c>
      <c r="N1995">
        <f>IF(OR(N1273="",AND(N1273=N1272,N1273=N1274)),NA(), N1273)</f>
        <v>0</v>
      </c>
    </row>
    <row r="1996" spans="5:14">
      <c r="E1996">
        <f>IF(ISNA(F1996),NA(),E1274)</f>
        <v>0</v>
      </c>
      <c r="F1996">
        <f>IF(OR(F1274="",AND(F1274=F1273,F1274=F1275)),NA(), F1274)</f>
        <v>0</v>
      </c>
      <c r="G1996">
        <f>IF(ISNA(H1996),NA(),G1274)</f>
        <v>0</v>
      </c>
      <c r="H1996">
        <f>IF(OR(H1274="",AND(H1274=H1273,H1274=H1275)),NA(), H1274)</f>
        <v>0</v>
      </c>
      <c r="K1996">
        <f>IF(ISNA(L1996),NA(),K1274)</f>
        <v>0</v>
      </c>
      <c r="L1996">
        <f>IF(OR(L1274="",AND(L1274=L1273,L1274=L1275)),NA(), L1274)</f>
        <v>0</v>
      </c>
      <c r="M1996">
        <f>IF(ISNA(N1996),NA(),M1274)</f>
        <v>0</v>
      </c>
      <c r="N1996">
        <f>IF(OR(N1274="",AND(N1274=N1273,N1274=N1275)),NA(), N1274)</f>
        <v>0</v>
      </c>
    </row>
    <row r="1997" spans="5:14">
      <c r="E1997">
        <f>IF(ISNA(F1997),NA(),E1275)</f>
        <v>0</v>
      </c>
      <c r="F1997">
        <f>IF(OR(F1275="",AND(F1275=F1274,F1275=F1276)),NA(), F1275)</f>
        <v>0</v>
      </c>
      <c r="G1997">
        <f>IF(ISNA(H1997),NA(),G1275)</f>
        <v>0</v>
      </c>
      <c r="H1997">
        <f>IF(OR(H1275="",AND(H1275=H1274,H1275=H1276)),NA(), H1275)</f>
        <v>0</v>
      </c>
      <c r="K1997">
        <f>IF(ISNA(L1997),NA(),K1275)</f>
        <v>0</v>
      </c>
      <c r="L1997">
        <f>IF(OR(L1275="",AND(L1275=L1274,L1275=L1276)),NA(), L1275)</f>
        <v>0</v>
      </c>
      <c r="M1997">
        <f>IF(ISNA(N1997),NA(),M1275)</f>
        <v>0</v>
      </c>
      <c r="N1997">
        <f>IF(OR(N1275="",AND(N1275=N1274,N1275=N1276)),NA(), N1275)</f>
        <v>0</v>
      </c>
    </row>
    <row r="1998" spans="5:14">
      <c r="E1998">
        <f>IF(ISNA(F1998),NA(),E1276)</f>
        <v>0</v>
      </c>
      <c r="F1998">
        <f>IF(OR(F1276="",AND(F1276=F1275,F1276=F1277)),NA(), F1276)</f>
        <v>0</v>
      </c>
      <c r="G1998">
        <f>IF(ISNA(H1998),NA(),G1276)</f>
        <v>0</v>
      </c>
      <c r="H1998">
        <f>IF(OR(H1276="",AND(H1276=H1275,H1276=H1277)),NA(), H1276)</f>
        <v>0</v>
      </c>
      <c r="K1998">
        <f>IF(ISNA(L1998),NA(),K1276)</f>
        <v>0</v>
      </c>
      <c r="L1998">
        <f>IF(OR(L1276="",AND(L1276=L1275,L1276=L1277)),NA(), L1276)</f>
        <v>0</v>
      </c>
      <c r="M1998">
        <f>IF(ISNA(N1998),NA(),M1276)</f>
        <v>0</v>
      </c>
      <c r="N1998">
        <f>IF(OR(N1276="",AND(N1276=N1275,N1276=N1277)),NA(), N1276)</f>
        <v>0</v>
      </c>
    </row>
    <row r="1999" spans="5:14">
      <c r="E1999">
        <f>IF(ISNA(F1999),NA(),E1277)</f>
        <v>0</v>
      </c>
      <c r="F1999">
        <f>IF(OR(F1277="",AND(F1277=F1276,F1277=F1278)),NA(), F1277)</f>
        <v>0</v>
      </c>
      <c r="G1999">
        <f>IF(ISNA(H1999),NA(),G1277)</f>
        <v>0</v>
      </c>
      <c r="H1999">
        <f>IF(OR(H1277="",AND(H1277=H1276,H1277=H1278)),NA(), H1277)</f>
        <v>0</v>
      </c>
      <c r="K1999">
        <f>IF(ISNA(L1999),NA(),K1277)</f>
        <v>0</v>
      </c>
      <c r="L1999">
        <f>IF(OR(L1277="",AND(L1277=L1276,L1277=L1278)),NA(), L1277)</f>
        <v>0</v>
      </c>
      <c r="M1999">
        <f>IF(ISNA(N1999),NA(),M1277)</f>
        <v>0</v>
      </c>
      <c r="N1999">
        <f>IF(OR(N1277="",AND(N1277=N1276,N1277=N1278)),NA(), N1277)</f>
        <v>0</v>
      </c>
    </row>
    <row r="2000" spans="5:14">
      <c r="E2000">
        <f>IF(ISNA(F2000),NA(),E1278)</f>
        <v>0</v>
      </c>
      <c r="F2000">
        <f>IF(OR(F1278="",AND(F1278=F1277,F1278=F1279)),NA(), F1278)</f>
        <v>0</v>
      </c>
      <c r="G2000">
        <f>IF(ISNA(H2000),NA(),G1278)</f>
        <v>0</v>
      </c>
      <c r="H2000">
        <f>IF(OR(H1278="",AND(H1278=H1277,H1278=H1279)),NA(), H1278)</f>
        <v>0</v>
      </c>
      <c r="K2000">
        <f>IF(ISNA(L2000),NA(),K1278)</f>
        <v>0</v>
      </c>
      <c r="L2000">
        <f>IF(OR(L1278="",AND(L1278=L1277,L1278=L1279)),NA(), L1278)</f>
        <v>0</v>
      </c>
      <c r="M2000">
        <f>IF(ISNA(N2000),NA(),M1278)</f>
        <v>0</v>
      </c>
      <c r="N2000">
        <f>IF(OR(N1278="",AND(N1278=N1277,N1278=N1279)),NA(), N1278)</f>
        <v>0</v>
      </c>
    </row>
    <row r="2001" spans="5:14">
      <c r="E2001">
        <f>IF(ISNA(F2001),NA(),E1279)</f>
        <v>0</v>
      </c>
      <c r="F2001">
        <f>IF(OR(F1279="",AND(F1279=F1278,F1279=F1280)),NA(), F1279)</f>
        <v>0</v>
      </c>
      <c r="G2001">
        <f>IF(ISNA(H2001),NA(),G1279)</f>
        <v>0</v>
      </c>
      <c r="H2001">
        <f>IF(OR(H1279="",AND(H1279=H1278,H1279=H1280)),NA(), H1279)</f>
        <v>0</v>
      </c>
      <c r="K2001">
        <f>IF(ISNA(L2001),NA(),K1279)</f>
        <v>0</v>
      </c>
      <c r="L2001">
        <f>IF(OR(L1279="",AND(L1279=L1278,L1279=L1280)),NA(), L1279)</f>
        <v>0</v>
      </c>
      <c r="M2001">
        <f>IF(ISNA(N2001),NA(),M1279)</f>
        <v>0</v>
      </c>
      <c r="N2001">
        <f>IF(OR(N1279="",AND(N1279=N1278,N1279=N1280)),NA(), N1279)</f>
        <v>0</v>
      </c>
    </row>
    <row r="2002" spans="5:14">
      <c r="E2002">
        <f>IF(ISNA(F2002),NA(),E1280)</f>
        <v>0</v>
      </c>
      <c r="F2002">
        <f>IF(OR(F1280="",AND(F1280=F1279,F1280=F1281)),NA(), F1280)</f>
        <v>0</v>
      </c>
      <c r="G2002">
        <f>IF(ISNA(H2002),NA(),G1280)</f>
        <v>0</v>
      </c>
      <c r="H2002">
        <f>IF(OR(H1280="",AND(H1280=H1279,H1280=H1281)),NA(), H1280)</f>
        <v>0</v>
      </c>
      <c r="K2002">
        <f>IF(ISNA(L2002),NA(),K1280)</f>
        <v>0</v>
      </c>
      <c r="L2002">
        <f>IF(OR(L1280="",AND(L1280=L1279,L1280=L1281)),NA(), L1280)</f>
        <v>0</v>
      </c>
      <c r="M2002">
        <f>IF(ISNA(N2002),NA(),M1280)</f>
        <v>0</v>
      </c>
      <c r="N2002">
        <f>IF(OR(N1280="",AND(N1280=N1279,N1280=N1281)),NA(), N1280)</f>
        <v>0</v>
      </c>
    </row>
    <row r="2003" spans="5:14">
      <c r="E2003">
        <f>IF(ISNA(F2003),NA(),E1281)</f>
        <v>0</v>
      </c>
      <c r="F2003">
        <f>IF(OR(F1281="",AND(F1281=F1280,F1281=F1282)),NA(), F1281)</f>
        <v>0</v>
      </c>
      <c r="G2003">
        <f>IF(ISNA(H2003),NA(),G1281)</f>
        <v>0</v>
      </c>
      <c r="H2003">
        <f>IF(OR(H1281="",AND(H1281=H1280,H1281=H1282)),NA(), H1281)</f>
        <v>0</v>
      </c>
      <c r="K2003">
        <f>IF(ISNA(L2003),NA(),K1281)</f>
        <v>0</v>
      </c>
      <c r="L2003">
        <f>IF(OR(L1281="",AND(L1281=L1280,L1281=L1282)),NA(), L1281)</f>
        <v>0</v>
      </c>
      <c r="M2003">
        <f>IF(ISNA(N2003),NA(),M1281)</f>
        <v>0</v>
      </c>
      <c r="N2003">
        <f>IF(OR(N1281="",AND(N1281=N1280,N1281=N1282)),NA(), N1281)</f>
        <v>0</v>
      </c>
    </row>
    <row r="2004" spans="5:14">
      <c r="E2004">
        <f>IF(ISNA(F2004),NA(),E1282)</f>
        <v>0</v>
      </c>
      <c r="F2004">
        <f>IF(OR(F1282="",AND(F1282=F1281,F1282=F1283)),NA(), F1282)</f>
        <v>0</v>
      </c>
      <c r="G2004">
        <f>IF(ISNA(H2004),NA(),G1282)</f>
        <v>0</v>
      </c>
      <c r="H2004">
        <f>IF(OR(H1282="",AND(H1282=H1281,H1282=H1283)),NA(), H1282)</f>
        <v>0</v>
      </c>
      <c r="K2004">
        <f>IF(ISNA(L2004),NA(),K1282)</f>
        <v>0</v>
      </c>
      <c r="L2004">
        <f>IF(OR(L1282="",AND(L1282=L1281,L1282=L1283)),NA(), L1282)</f>
        <v>0</v>
      </c>
      <c r="M2004">
        <f>IF(ISNA(N2004),NA(),M1282)</f>
        <v>0</v>
      </c>
      <c r="N2004">
        <f>IF(OR(N1282="",AND(N1282=N1281,N1282=N1283)),NA(), N1282)</f>
        <v>0</v>
      </c>
    </row>
    <row r="2005" spans="5:14">
      <c r="E2005">
        <f>IF(ISNA(F2005),NA(),E1283)</f>
        <v>0</v>
      </c>
      <c r="F2005">
        <f>IF(OR(F1283="",AND(F1283=F1282,F1283=F1284)),NA(), F1283)</f>
        <v>0</v>
      </c>
      <c r="G2005">
        <f>IF(ISNA(H2005),NA(),G1283)</f>
        <v>0</v>
      </c>
      <c r="H2005">
        <f>IF(OR(H1283="",AND(H1283=H1282,H1283=H1284)),NA(), H1283)</f>
        <v>0</v>
      </c>
      <c r="K2005">
        <f>IF(ISNA(L2005),NA(),K1283)</f>
        <v>0</v>
      </c>
      <c r="L2005">
        <f>IF(OR(L1283="",AND(L1283=L1282,L1283=L1284)),NA(), L1283)</f>
        <v>0</v>
      </c>
      <c r="M2005">
        <f>IF(ISNA(N2005),NA(),M1283)</f>
        <v>0</v>
      </c>
      <c r="N2005">
        <f>IF(OR(N1283="",AND(N1283=N1282,N1283=N1284)),NA(), N1283)</f>
        <v>0</v>
      </c>
    </row>
    <row r="2006" spans="5:14">
      <c r="E2006">
        <f>IF(ISNA(F2006),NA(),E1284)</f>
        <v>0</v>
      </c>
      <c r="F2006">
        <f>IF(OR(F1284="",AND(F1284=F1283,F1284=F1285)),NA(), F1284)</f>
        <v>0</v>
      </c>
      <c r="G2006">
        <f>IF(ISNA(H2006),NA(),G1284)</f>
        <v>0</v>
      </c>
      <c r="H2006">
        <f>IF(OR(H1284="",AND(H1284=H1283,H1284=H1285)),NA(), H1284)</f>
        <v>0</v>
      </c>
      <c r="K2006">
        <f>IF(ISNA(L2006),NA(),K1284)</f>
        <v>0</v>
      </c>
      <c r="L2006">
        <f>IF(OR(L1284="",AND(L1284=L1283,L1284=L1285)),NA(), L1284)</f>
        <v>0</v>
      </c>
      <c r="M2006">
        <f>IF(ISNA(N2006),NA(),M1284)</f>
        <v>0</v>
      </c>
      <c r="N2006">
        <f>IF(OR(N1284="",AND(N1284=N1283,N1284=N1285)),NA(), N1284)</f>
        <v>0</v>
      </c>
    </row>
    <row r="2007" spans="5:14">
      <c r="E2007">
        <f>IF(ISNA(F2007),NA(),E1285)</f>
        <v>0</v>
      </c>
      <c r="F2007">
        <f>IF(OR(F1285="",AND(F1285=F1284,F1285=F1286)),NA(), F1285)</f>
        <v>0</v>
      </c>
      <c r="G2007">
        <f>IF(ISNA(H2007),NA(),G1285)</f>
        <v>0</v>
      </c>
      <c r="H2007">
        <f>IF(OR(H1285="",AND(H1285=H1284,H1285=H1286)),NA(), H1285)</f>
        <v>0</v>
      </c>
      <c r="K2007">
        <f>IF(ISNA(L2007),NA(),K1285)</f>
        <v>0</v>
      </c>
      <c r="L2007">
        <f>IF(OR(L1285="",AND(L1285=L1284,L1285=L1286)),NA(), L1285)</f>
        <v>0</v>
      </c>
      <c r="M2007">
        <f>IF(ISNA(N2007),NA(),M1285)</f>
        <v>0</v>
      </c>
      <c r="N2007">
        <f>IF(OR(N1285="",AND(N1285=N1284,N1285=N1286)),NA(), N1285)</f>
        <v>0</v>
      </c>
    </row>
    <row r="2008" spans="5:14">
      <c r="E2008">
        <f>IF(ISNA(F2008),NA(),E1286)</f>
        <v>0</v>
      </c>
      <c r="F2008">
        <f>IF(OR(F1286="",AND(F1286=F1285,F1286=F1287)),NA(), F1286)</f>
        <v>0</v>
      </c>
      <c r="G2008">
        <f>IF(ISNA(H2008),NA(),G1286)</f>
        <v>0</v>
      </c>
      <c r="H2008">
        <f>IF(OR(H1286="",AND(H1286=H1285,H1286=H1287)),NA(), H1286)</f>
        <v>0</v>
      </c>
      <c r="K2008">
        <f>IF(ISNA(L2008),NA(),K1286)</f>
        <v>0</v>
      </c>
      <c r="L2008">
        <f>IF(OR(L1286="",AND(L1286=L1285,L1286=L1287)),NA(), L1286)</f>
        <v>0</v>
      </c>
      <c r="M2008">
        <f>IF(ISNA(N2008),NA(),M1286)</f>
        <v>0</v>
      </c>
      <c r="N2008">
        <f>IF(OR(N1286="",AND(N1286=N1285,N1286=N1287)),NA(), N1286)</f>
        <v>0</v>
      </c>
    </row>
    <row r="2009" spans="5:14">
      <c r="E2009">
        <f>IF(ISNA(F2009),NA(),E1287)</f>
        <v>0</v>
      </c>
      <c r="F2009">
        <f>IF(OR(F1287="",AND(F1287=F1286,F1287=F1288)),NA(), F1287)</f>
        <v>0</v>
      </c>
      <c r="G2009">
        <f>IF(ISNA(H2009),NA(),G1287)</f>
        <v>0</v>
      </c>
      <c r="H2009">
        <f>IF(OR(H1287="",AND(H1287=H1286,H1287=H1288)),NA(), H1287)</f>
        <v>0</v>
      </c>
      <c r="K2009">
        <f>IF(ISNA(L2009),NA(),K1287)</f>
        <v>0</v>
      </c>
      <c r="L2009">
        <f>IF(OR(L1287="",AND(L1287=L1286,L1287=L1288)),NA(), L1287)</f>
        <v>0</v>
      </c>
      <c r="M2009">
        <f>IF(ISNA(N2009),NA(),M1287)</f>
        <v>0</v>
      </c>
      <c r="N2009">
        <f>IF(OR(N1287="",AND(N1287=N1286,N1287=N1288)),NA(), N1287)</f>
        <v>0</v>
      </c>
    </row>
    <row r="2010" spans="5:14">
      <c r="E2010">
        <f>IF(ISNA(F2010),NA(),E1288)</f>
        <v>0</v>
      </c>
      <c r="F2010">
        <f>IF(OR(F1288="",AND(F1288=F1287,F1288=F1289)),NA(), F1288)</f>
        <v>0</v>
      </c>
      <c r="G2010">
        <f>IF(ISNA(H2010),NA(),G1288)</f>
        <v>0</v>
      </c>
      <c r="H2010">
        <f>IF(OR(H1288="",AND(H1288=H1287,H1288=H1289)),NA(), H1288)</f>
        <v>0</v>
      </c>
      <c r="K2010">
        <f>IF(ISNA(L2010),NA(),K1288)</f>
        <v>0</v>
      </c>
      <c r="L2010">
        <f>IF(OR(L1288="",AND(L1288=L1287,L1288=L1289)),NA(), L1288)</f>
        <v>0</v>
      </c>
      <c r="M2010">
        <f>IF(ISNA(N2010),NA(),M1288)</f>
        <v>0</v>
      </c>
      <c r="N2010">
        <f>IF(OR(N1288="",AND(N1288=N1287,N1288=N1289)),NA(), N1288)</f>
        <v>0</v>
      </c>
    </row>
    <row r="2011" spans="5:14">
      <c r="E2011">
        <f>IF(ISNA(F2011),NA(),E1289)</f>
        <v>0</v>
      </c>
      <c r="F2011">
        <f>IF(OR(F1289="",AND(F1289=F1288,F1289=F1290)),NA(), F1289)</f>
        <v>0</v>
      </c>
      <c r="G2011">
        <f>IF(ISNA(H2011),NA(),G1289)</f>
        <v>0</v>
      </c>
      <c r="H2011">
        <f>IF(OR(H1289="",AND(H1289=H1288,H1289=H1290)),NA(), H1289)</f>
        <v>0</v>
      </c>
      <c r="K2011">
        <f>IF(ISNA(L2011),NA(),K1289)</f>
        <v>0</v>
      </c>
      <c r="L2011">
        <f>IF(OR(L1289="",AND(L1289=L1288,L1289=L1290)),NA(), L1289)</f>
        <v>0</v>
      </c>
      <c r="M2011">
        <f>IF(ISNA(N2011),NA(),M1289)</f>
        <v>0</v>
      </c>
      <c r="N2011">
        <f>IF(OR(N1289="",AND(N1289=N1288,N1289=N1290)),NA(), N1289)</f>
        <v>0</v>
      </c>
    </row>
    <row r="2012" spans="5:14">
      <c r="E2012">
        <f>IF(ISNA(F2012),NA(),E1290)</f>
        <v>0</v>
      </c>
      <c r="F2012">
        <f>IF(OR(F1290="",AND(F1290=F1289,F1290=F1291)),NA(), F1290)</f>
        <v>0</v>
      </c>
      <c r="G2012">
        <f>IF(ISNA(H2012),NA(),G1290)</f>
        <v>0</v>
      </c>
      <c r="H2012">
        <f>IF(OR(H1290="",AND(H1290=H1289,H1290=H1291)),NA(), H1290)</f>
        <v>0</v>
      </c>
      <c r="K2012">
        <f>IF(ISNA(L2012),NA(),K1290)</f>
        <v>0</v>
      </c>
      <c r="L2012">
        <f>IF(OR(L1290="",AND(L1290=L1289,L1290=L1291)),NA(), L1290)</f>
        <v>0</v>
      </c>
      <c r="M2012">
        <f>IF(ISNA(N2012),NA(),M1290)</f>
        <v>0</v>
      </c>
      <c r="N2012">
        <f>IF(OR(N1290="",AND(N1290=N1289,N1290=N1291)),NA(), N1290)</f>
        <v>0</v>
      </c>
    </row>
    <row r="2013" spans="5:14">
      <c r="E2013">
        <f>IF(ISNA(F2013),NA(),E1291)</f>
        <v>0</v>
      </c>
      <c r="F2013">
        <f>IF(OR(F1291="",AND(F1291=F1290,F1291=F1292)),NA(), F1291)</f>
        <v>0</v>
      </c>
      <c r="G2013">
        <f>IF(ISNA(H2013),NA(),G1291)</f>
        <v>0</v>
      </c>
      <c r="H2013">
        <f>IF(OR(H1291="",AND(H1291=H1290,H1291=H1292)),NA(), H1291)</f>
        <v>0</v>
      </c>
      <c r="K2013">
        <f>IF(ISNA(L2013),NA(),K1291)</f>
        <v>0</v>
      </c>
      <c r="L2013">
        <f>IF(OR(L1291="",AND(L1291=L1290,L1291=L1292)),NA(), L1291)</f>
        <v>0</v>
      </c>
      <c r="M2013">
        <f>IF(ISNA(N2013),NA(),M1291)</f>
        <v>0</v>
      </c>
      <c r="N2013">
        <f>IF(OR(N1291="",AND(N1291=N1290,N1291=N1292)),NA(), N1291)</f>
        <v>0</v>
      </c>
    </row>
    <row r="2014" spans="5:14">
      <c r="E2014">
        <f>IF(ISNA(F2014),NA(),E1292)</f>
        <v>0</v>
      </c>
      <c r="F2014">
        <f>IF(OR(F1292="",AND(F1292=F1291,F1292=F1293)),NA(), F1292)</f>
        <v>0</v>
      </c>
      <c r="G2014">
        <f>IF(ISNA(H2014),NA(),G1292)</f>
        <v>0</v>
      </c>
      <c r="H2014">
        <f>IF(OR(H1292="",AND(H1292=H1291,H1292=H1293)),NA(), H1292)</f>
        <v>0</v>
      </c>
      <c r="K2014">
        <f>IF(ISNA(L2014),NA(),K1292)</f>
        <v>0</v>
      </c>
      <c r="L2014">
        <f>IF(OR(L1292="",AND(L1292=L1291,L1292=L1293)),NA(), L1292)</f>
        <v>0</v>
      </c>
      <c r="M2014">
        <f>IF(ISNA(N2014),NA(),M1292)</f>
        <v>0</v>
      </c>
      <c r="N2014">
        <f>IF(OR(N1292="",AND(N1292=N1291,N1292=N1293)),NA(), N1292)</f>
        <v>0</v>
      </c>
    </row>
    <row r="2015" spans="5:14">
      <c r="E2015">
        <f>IF(ISNA(F2015),NA(),E1293)</f>
        <v>0</v>
      </c>
      <c r="F2015">
        <f>IF(OR(F1293="",AND(F1293=F1292,F1293=F1294)),NA(), F1293)</f>
        <v>0</v>
      </c>
      <c r="G2015">
        <f>IF(ISNA(H2015),NA(),G1293)</f>
        <v>0</v>
      </c>
      <c r="H2015">
        <f>IF(OR(H1293="",AND(H1293=H1292,H1293=H1294)),NA(), H1293)</f>
        <v>0</v>
      </c>
      <c r="K2015">
        <f>IF(ISNA(L2015),NA(),K1293)</f>
        <v>0</v>
      </c>
      <c r="L2015">
        <f>IF(OR(L1293="",AND(L1293=L1292,L1293=L1294)),NA(), L1293)</f>
        <v>0</v>
      </c>
      <c r="M2015">
        <f>IF(ISNA(N2015),NA(),M1293)</f>
        <v>0</v>
      </c>
      <c r="N2015">
        <f>IF(OR(N1293="",AND(N1293=N1292,N1293=N1294)),NA(), N1293)</f>
        <v>0</v>
      </c>
    </row>
    <row r="2016" spans="5:14">
      <c r="E2016">
        <f>IF(ISNA(F2016),NA(),E1294)</f>
        <v>0</v>
      </c>
      <c r="F2016">
        <f>IF(OR(F1294="",AND(F1294=F1293,F1294=F1295)),NA(), F1294)</f>
        <v>0</v>
      </c>
      <c r="G2016">
        <f>IF(ISNA(H2016),NA(),G1294)</f>
        <v>0</v>
      </c>
      <c r="H2016">
        <f>IF(OR(H1294="",AND(H1294=H1293,H1294=H1295)),NA(), H1294)</f>
        <v>0</v>
      </c>
      <c r="K2016">
        <f>IF(ISNA(L2016),NA(),K1294)</f>
        <v>0</v>
      </c>
      <c r="L2016">
        <f>IF(OR(L1294="",AND(L1294=L1293,L1294=L1295)),NA(), L1294)</f>
        <v>0</v>
      </c>
      <c r="M2016">
        <f>IF(ISNA(N2016),NA(),M1294)</f>
        <v>0</v>
      </c>
      <c r="N2016">
        <f>IF(OR(N1294="",AND(N1294=N1293,N1294=N1295)),NA(), N1294)</f>
        <v>0</v>
      </c>
    </row>
    <row r="2017" spans="5:14">
      <c r="E2017">
        <f>IF(ISNA(F2017),NA(),E1295)</f>
        <v>0</v>
      </c>
      <c r="F2017">
        <f>IF(OR(F1295="",AND(F1295=F1294,F1295=F1296)),NA(), F1295)</f>
        <v>0</v>
      </c>
      <c r="G2017">
        <f>IF(ISNA(H2017),NA(),G1295)</f>
        <v>0</v>
      </c>
      <c r="H2017">
        <f>IF(OR(H1295="",AND(H1295=H1294,H1295=H1296)),NA(), H1295)</f>
        <v>0</v>
      </c>
      <c r="K2017">
        <f>IF(ISNA(L2017),NA(),K1295)</f>
        <v>0</v>
      </c>
      <c r="L2017">
        <f>IF(OR(L1295="",AND(L1295=L1294,L1295=L1296)),NA(), L1295)</f>
        <v>0</v>
      </c>
      <c r="M2017">
        <f>IF(ISNA(N2017),NA(),M1295)</f>
        <v>0</v>
      </c>
      <c r="N2017">
        <f>IF(OR(N1295="",AND(N1295=N1294,N1295=N1296)),NA(), N1295)</f>
        <v>0</v>
      </c>
    </row>
    <row r="2018" spans="5:14">
      <c r="E2018">
        <f>IF(ISNA(F2018),NA(),E1296)</f>
        <v>0</v>
      </c>
      <c r="F2018">
        <f>IF(OR(F1296="",AND(F1296=F1295,F1296=F1297)),NA(), F1296)</f>
        <v>0</v>
      </c>
      <c r="G2018">
        <f>IF(ISNA(H2018),NA(),G1296)</f>
        <v>0</v>
      </c>
      <c r="H2018">
        <f>IF(OR(H1296="",AND(H1296=H1295,H1296=H1297)),NA(), H1296)</f>
        <v>0</v>
      </c>
      <c r="K2018">
        <f>IF(ISNA(L2018),NA(),K1296)</f>
        <v>0</v>
      </c>
      <c r="L2018">
        <f>IF(OR(L1296="",AND(L1296=L1295,L1296=L1297)),NA(), L1296)</f>
        <v>0</v>
      </c>
      <c r="M2018">
        <f>IF(ISNA(N2018),NA(),M1296)</f>
        <v>0</v>
      </c>
      <c r="N2018">
        <f>IF(OR(N1296="",AND(N1296=N1295,N1296=N1297)),NA(), N1296)</f>
        <v>0</v>
      </c>
    </row>
    <row r="2019" spans="5:14">
      <c r="E2019">
        <f>IF(ISNA(F2019),NA(),E1297)</f>
        <v>0</v>
      </c>
      <c r="F2019">
        <f>IF(OR(F1297="",AND(F1297=F1296,F1297=F1298)),NA(), F1297)</f>
        <v>0</v>
      </c>
      <c r="G2019">
        <f>IF(ISNA(H2019),NA(),G1297)</f>
        <v>0</v>
      </c>
      <c r="H2019">
        <f>IF(OR(H1297="",AND(H1297=H1296,H1297=H1298)),NA(), H1297)</f>
        <v>0</v>
      </c>
      <c r="K2019">
        <f>IF(ISNA(L2019),NA(),K1297)</f>
        <v>0</v>
      </c>
      <c r="L2019">
        <f>IF(OR(L1297="",AND(L1297=L1296,L1297=L1298)),NA(), L1297)</f>
        <v>0</v>
      </c>
      <c r="M2019">
        <f>IF(ISNA(N2019),NA(),M1297)</f>
        <v>0</v>
      </c>
      <c r="N2019">
        <f>IF(OR(N1297="",AND(N1297=N1296,N1297=N1298)),NA(), N1297)</f>
        <v>0</v>
      </c>
    </row>
    <row r="2020" spans="5:14">
      <c r="E2020">
        <f>IF(ISNA(F2020),NA(),E1298)</f>
        <v>0</v>
      </c>
      <c r="F2020">
        <f>IF(OR(F1298="",AND(F1298=F1297,F1298=F1299)),NA(), F1298)</f>
        <v>0</v>
      </c>
      <c r="G2020">
        <f>IF(ISNA(H2020),NA(),G1298)</f>
        <v>0</v>
      </c>
      <c r="H2020">
        <f>IF(OR(H1298="",AND(H1298=H1297,H1298=H1299)),NA(), H1298)</f>
        <v>0</v>
      </c>
      <c r="K2020">
        <f>IF(ISNA(L2020),NA(),K1298)</f>
        <v>0</v>
      </c>
      <c r="L2020">
        <f>IF(OR(L1298="",AND(L1298=L1297,L1298=L1299)),NA(), L1298)</f>
        <v>0</v>
      </c>
      <c r="M2020">
        <f>IF(ISNA(N2020),NA(),M1298)</f>
        <v>0</v>
      </c>
      <c r="N2020">
        <f>IF(OR(N1298="",AND(N1298=N1297,N1298=N1299)),NA(), N1298)</f>
        <v>0</v>
      </c>
    </row>
    <row r="2021" spans="5:14">
      <c r="E2021">
        <f>IF(ISNA(F2021),NA(),E1299)</f>
        <v>0</v>
      </c>
      <c r="F2021">
        <f>IF(OR(F1299="",AND(F1299=F1298,F1299=F1300)),NA(), F1299)</f>
        <v>0</v>
      </c>
      <c r="G2021">
        <f>IF(ISNA(H2021),NA(),G1299)</f>
        <v>0</v>
      </c>
      <c r="H2021">
        <f>IF(OR(H1299="",AND(H1299=H1298,H1299=H1300)),NA(), H1299)</f>
        <v>0</v>
      </c>
      <c r="K2021">
        <f>IF(ISNA(L2021),NA(),K1299)</f>
        <v>0</v>
      </c>
      <c r="L2021">
        <f>IF(OR(L1299="",AND(L1299=L1298,L1299=L1300)),NA(), L1299)</f>
        <v>0</v>
      </c>
      <c r="M2021">
        <f>IF(ISNA(N2021),NA(),M1299)</f>
        <v>0</v>
      </c>
      <c r="N2021">
        <f>IF(OR(N1299="",AND(N1299=N1298,N1299=N1300)),NA(), N1299)</f>
        <v>0</v>
      </c>
    </row>
    <row r="2022" spans="5:14">
      <c r="E2022">
        <f>IF(ISNA(F2022),NA(),E1300)</f>
        <v>0</v>
      </c>
      <c r="F2022">
        <f>IF(OR(F1300="",AND(F1300=F1299,F1300=F1301)),NA(), F1300)</f>
        <v>0</v>
      </c>
      <c r="G2022">
        <f>IF(ISNA(H2022),NA(),G1300)</f>
        <v>0</v>
      </c>
      <c r="H2022">
        <f>IF(OR(H1300="",AND(H1300=H1299,H1300=H1301)),NA(), H1300)</f>
        <v>0</v>
      </c>
      <c r="K2022">
        <f>IF(ISNA(L2022),NA(),K1300)</f>
        <v>0</v>
      </c>
      <c r="L2022">
        <f>IF(OR(L1300="",AND(L1300=L1299,L1300=L1301)),NA(), L1300)</f>
        <v>0</v>
      </c>
      <c r="M2022">
        <f>IF(ISNA(N2022),NA(),M1300)</f>
        <v>0</v>
      </c>
      <c r="N2022">
        <f>IF(OR(N1300="",AND(N1300=N1299,N1300=N1301)),NA(), N1300)</f>
        <v>0</v>
      </c>
    </row>
    <row r="2023" spans="5:14">
      <c r="E2023">
        <f>IF(ISNA(F2023),NA(),E1301)</f>
        <v>0</v>
      </c>
      <c r="F2023">
        <f>IF(OR(F1301="",AND(F1301=F1300,F1301=F1302)),NA(), F1301)</f>
        <v>0</v>
      </c>
      <c r="G2023">
        <f>IF(ISNA(H2023),NA(),G1301)</f>
        <v>0</v>
      </c>
      <c r="H2023">
        <f>IF(OR(H1301="",AND(H1301=H1300,H1301=H1302)),NA(), H1301)</f>
        <v>0</v>
      </c>
      <c r="K2023">
        <f>IF(ISNA(L2023),NA(),K1301)</f>
        <v>0</v>
      </c>
      <c r="L2023">
        <f>IF(OR(L1301="",AND(L1301=L1300,L1301=L1302)),NA(), L1301)</f>
        <v>0</v>
      </c>
      <c r="M2023">
        <f>IF(ISNA(N2023),NA(),M1301)</f>
        <v>0</v>
      </c>
      <c r="N2023">
        <f>IF(OR(N1301="",AND(N1301=N1300,N1301=N1302)),NA(), N1301)</f>
        <v>0</v>
      </c>
    </row>
    <row r="2024" spans="5:14">
      <c r="E2024">
        <f>IF(ISNA(F2024),NA(),E1302)</f>
        <v>0</v>
      </c>
      <c r="F2024">
        <f>IF(OR(F1302="",AND(F1302=F1301,F1302=F1303)),NA(), F1302)</f>
        <v>0</v>
      </c>
      <c r="G2024">
        <f>IF(ISNA(H2024),NA(),G1302)</f>
        <v>0</v>
      </c>
      <c r="H2024">
        <f>IF(OR(H1302="",AND(H1302=H1301,H1302=H1303)),NA(), H1302)</f>
        <v>0</v>
      </c>
      <c r="K2024">
        <f>IF(ISNA(L2024),NA(),K1302)</f>
        <v>0</v>
      </c>
      <c r="L2024">
        <f>IF(OR(L1302="",AND(L1302=L1301,L1302=L1303)),NA(), L1302)</f>
        <v>0</v>
      </c>
      <c r="M2024">
        <f>IF(ISNA(N2024),NA(),M1302)</f>
        <v>0</v>
      </c>
      <c r="N2024">
        <f>IF(OR(N1302="",AND(N1302=N1301,N1302=N1303)),NA(), N1302)</f>
        <v>0</v>
      </c>
    </row>
    <row r="2025" spans="5:14">
      <c r="E2025">
        <f>IF(ISNA(F2025),NA(),E1303)</f>
        <v>0</v>
      </c>
      <c r="F2025">
        <f>IF(OR(F1303="",AND(F1303=F1302,F1303=F1304)),NA(), F1303)</f>
        <v>0</v>
      </c>
      <c r="G2025">
        <f>IF(ISNA(H2025),NA(),G1303)</f>
        <v>0</v>
      </c>
      <c r="H2025">
        <f>IF(OR(H1303="",AND(H1303=H1302,H1303=H1304)),NA(), H1303)</f>
        <v>0</v>
      </c>
      <c r="K2025">
        <f>IF(ISNA(L2025),NA(),K1303)</f>
        <v>0</v>
      </c>
      <c r="L2025">
        <f>IF(OR(L1303="",AND(L1303=L1302,L1303=L1304)),NA(), L1303)</f>
        <v>0</v>
      </c>
      <c r="M2025">
        <f>IF(ISNA(N2025),NA(),M1303)</f>
        <v>0</v>
      </c>
      <c r="N2025">
        <f>IF(OR(N1303="",AND(N1303=N1302,N1303=N1304)),NA(), N1303)</f>
        <v>0</v>
      </c>
    </row>
    <row r="2026" spans="5:14">
      <c r="E2026">
        <f>IF(ISNA(F2026),NA(),E1304)</f>
        <v>0</v>
      </c>
      <c r="F2026">
        <f>IF(OR(F1304="",AND(F1304=F1303,F1304=F1305)),NA(), F1304)</f>
        <v>0</v>
      </c>
      <c r="G2026">
        <f>IF(ISNA(H2026),NA(),G1304)</f>
        <v>0</v>
      </c>
      <c r="H2026">
        <f>IF(OR(H1304="",AND(H1304=H1303,H1304=H1305)),NA(), H1304)</f>
        <v>0</v>
      </c>
      <c r="K2026">
        <f>IF(ISNA(L2026),NA(),K1304)</f>
        <v>0</v>
      </c>
      <c r="L2026">
        <f>IF(OR(L1304="",AND(L1304=L1303,L1304=L1305)),NA(), L1304)</f>
        <v>0</v>
      </c>
      <c r="M2026">
        <f>IF(ISNA(N2026),NA(),M1304)</f>
        <v>0</v>
      </c>
      <c r="N2026">
        <f>IF(OR(N1304="",AND(N1304=N1303,N1304=N1305)),NA(), N1304)</f>
        <v>0</v>
      </c>
    </row>
    <row r="2027" spans="5:14">
      <c r="E2027">
        <f>IF(ISNA(F2027),NA(),E1305)</f>
        <v>0</v>
      </c>
      <c r="F2027">
        <f>IF(OR(F1305="",AND(F1305=F1304,F1305=F1306)),NA(), F1305)</f>
        <v>0</v>
      </c>
      <c r="G2027">
        <f>IF(ISNA(H2027),NA(),G1305)</f>
        <v>0</v>
      </c>
      <c r="H2027">
        <f>IF(OR(H1305="",AND(H1305=H1304,H1305=H1306)),NA(), H1305)</f>
        <v>0</v>
      </c>
      <c r="K2027">
        <f>IF(ISNA(L2027),NA(),K1305)</f>
        <v>0</v>
      </c>
      <c r="L2027">
        <f>IF(OR(L1305="",AND(L1305=L1304,L1305=L1306)),NA(), L1305)</f>
        <v>0</v>
      </c>
      <c r="M2027">
        <f>IF(ISNA(N2027),NA(),M1305)</f>
        <v>0</v>
      </c>
      <c r="N2027">
        <f>IF(OR(N1305="",AND(N1305=N1304,N1305=N1306)),NA(), N1305)</f>
        <v>0</v>
      </c>
    </row>
    <row r="2028" spans="5:14">
      <c r="E2028">
        <f>IF(ISNA(F2028),NA(),E1306)</f>
        <v>0</v>
      </c>
      <c r="F2028">
        <f>IF(OR(F1306="",AND(F1306=F1305,F1306=F1307)),NA(), F1306)</f>
        <v>0</v>
      </c>
      <c r="G2028">
        <f>IF(ISNA(H2028),NA(),G1306)</f>
        <v>0</v>
      </c>
      <c r="H2028">
        <f>IF(OR(H1306="",AND(H1306=H1305,H1306=H1307)),NA(), H1306)</f>
        <v>0</v>
      </c>
      <c r="K2028">
        <f>IF(ISNA(L2028),NA(),K1306)</f>
        <v>0</v>
      </c>
      <c r="L2028">
        <f>IF(OR(L1306="",AND(L1306=L1305,L1306=L1307)),NA(), L1306)</f>
        <v>0</v>
      </c>
      <c r="M2028">
        <f>IF(ISNA(N2028),NA(),M1306)</f>
        <v>0</v>
      </c>
      <c r="N2028">
        <f>IF(OR(N1306="",AND(N1306=N1305,N1306=N1307)),NA(), N1306)</f>
        <v>0</v>
      </c>
    </row>
    <row r="2029" spans="5:14">
      <c r="E2029">
        <f>IF(ISNA(F2029),NA(),E1307)</f>
        <v>0</v>
      </c>
      <c r="F2029">
        <f>IF(OR(F1307="",AND(F1307=F1306,F1307=F1308)),NA(), F1307)</f>
        <v>0</v>
      </c>
      <c r="G2029">
        <f>IF(ISNA(H2029),NA(),G1307)</f>
        <v>0</v>
      </c>
      <c r="H2029">
        <f>IF(OR(H1307="",AND(H1307=H1306,H1307=H1308)),NA(), H1307)</f>
        <v>0</v>
      </c>
      <c r="K2029">
        <f>IF(ISNA(L2029),NA(),K1307)</f>
        <v>0</v>
      </c>
      <c r="L2029">
        <f>IF(OR(L1307="",AND(L1307=L1306,L1307=L1308)),NA(), L1307)</f>
        <v>0</v>
      </c>
      <c r="M2029">
        <f>IF(ISNA(N2029),NA(),M1307)</f>
        <v>0</v>
      </c>
      <c r="N2029">
        <f>IF(OR(N1307="",AND(N1307=N1306,N1307=N1308)),NA(), N1307)</f>
        <v>0</v>
      </c>
    </row>
    <row r="2030" spans="5:14">
      <c r="E2030">
        <f>IF(ISNA(F2030),NA(),E1308)</f>
        <v>0</v>
      </c>
      <c r="F2030">
        <f>IF(OR(F1308="",AND(F1308=F1307,F1308=F1309)),NA(), F1308)</f>
        <v>0</v>
      </c>
      <c r="G2030">
        <f>IF(ISNA(H2030),NA(),G1308)</f>
        <v>0</v>
      </c>
      <c r="H2030">
        <f>IF(OR(H1308="",AND(H1308=H1307,H1308=H1309)),NA(), H1308)</f>
        <v>0</v>
      </c>
      <c r="K2030">
        <f>IF(ISNA(L2030),NA(),K1308)</f>
        <v>0</v>
      </c>
      <c r="L2030">
        <f>IF(OR(L1308="",AND(L1308=L1307,L1308=L1309)),NA(), L1308)</f>
        <v>0</v>
      </c>
      <c r="M2030">
        <f>IF(ISNA(N2030),NA(),M1308)</f>
        <v>0</v>
      </c>
      <c r="N2030">
        <f>IF(OR(N1308="",AND(N1308=N1307,N1308=N1309)),NA(), N1308)</f>
        <v>0</v>
      </c>
    </row>
    <row r="2031" spans="5:14">
      <c r="E2031">
        <f>IF(ISNA(F2031),NA(),E1309)</f>
        <v>0</v>
      </c>
      <c r="F2031">
        <f>IF(OR(F1309="",AND(F1309=F1308,F1309=F1310)),NA(), F1309)</f>
        <v>0</v>
      </c>
      <c r="G2031">
        <f>IF(ISNA(H2031),NA(),G1309)</f>
        <v>0</v>
      </c>
      <c r="H2031">
        <f>IF(OR(H1309="",AND(H1309=H1308,H1309=H1310)),NA(), H1309)</f>
        <v>0</v>
      </c>
      <c r="K2031">
        <f>IF(ISNA(L2031),NA(),K1309)</f>
        <v>0</v>
      </c>
      <c r="L2031">
        <f>IF(OR(L1309="",AND(L1309=L1308,L1309=L1310)),NA(), L1309)</f>
        <v>0</v>
      </c>
      <c r="M2031">
        <f>IF(ISNA(N2031),NA(),M1309)</f>
        <v>0</v>
      </c>
      <c r="N2031">
        <f>IF(OR(N1309="",AND(N1309=N1308,N1309=N1310)),NA(), N1309)</f>
        <v>0</v>
      </c>
    </row>
    <row r="2032" spans="5:14">
      <c r="E2032">
        <f>IF(ISNA(F2032),NA(),E1310)</f>
        <v>0</v>
      </c>
      <c r="F2032">
        <f>IF(OR(F1310="",AND(F1310=F1309,F1310=F1311)),NA(), F1310)</f>
        <v>0</v>
      </c>
      <c r="G2032">
        <f>IF(ISNA(H2032),NA(),G1310)</f>
        <v>0</v>
      </c>
      <c r="H2032">
        <f>IF(OR(H1310="",AND(H1310=H1309,H1310=H1311)),NA(), H1310)</f>
        <v>0</v>
      </c>
      <c r="K2032">
        <f>IF(ISNA(L2032),NA(),K1310)</f>
        <v>0</v>
      </c>
      <c r="L2032">
        <f>IF(OR(L1310="",AND(L1310=L1309,L1310=L1311)),NA(), L1310)</f>
        <v>0</v>
      </c>
      <c r="M2032">
        <f>IF(ISNA(N2032),NA(),M1310)</f>
        <v>0</v>
      </c>
      <c r="N2032">
        <f>IF(OR(N1310="",AND(N1310=N1309,N1310=N1311)),NA(), N1310)</f>
        <v>0</v>
      </c>
    </row>
    <row r="2033" spans="5:14">
      <c r="E2033">
        <f>IF(ISNA(F2033),NA(),E1311)</f>
        <v>0</v>
      </c>
      <c r="F2033">
        <f>IF(OR(F1311="",AND(F1311=F1310,F1311=F1312)),NA(), F1311)</f>
        <v>0</v>
      </c>
      <c r="G2033">
        <f>IF(ISNA(H2033),NA(),G1311)</f>
        <v>0</v>
      </c>
      <c r="H2033">
        <f>IF(OR(H1311="",AND(H1311=H1310,H1311=H1312)),NA(), H1311)</f>
        <v>0</v>
      </c>
      <c r="K2033">
        <f>IF(ISNA(L2033),NA(),K1311)</f>
        <v>0</v>
      </c>
      <c r="L2033">
        <f>IF(OR(L1311="",AND(L1311=L1310,L1311=L1312)),NA(), L1311)</f>
        <v>0</v>
      </c>
      <c r="M2033">
        <f>IF(ISNA(N2033),NA(),M1311)</f>
        <v>0</v>
      </c>
      <c r="N2033">
        <f>IF(OR(N1311="",AND(N1311=N1310,N1311=N1312)),NA(), N1311)</f>
        <v>0</v>
      </c>
    </row>
    <row r="2034" spans="5:14">
      <c r="E2034">
        <f>IF(ISNA(F2034),NA(),E1312)</f>
        <v>0</v>
      </c>
      <c r="F2034">
        <f>IF(OR(F1312="",AND(F1312=F1311,F1312=F1313)),NA(), F1312)</f>
        <v>0</v>
      </c>
      <c r="G2034">
        <f>IF(ISNA(H2034),NA(),G1312)</f>
        <v>0</v>
      </c>
      <c r="H2034">
        <f>IF(OR(H1312="",AND(H1312=H1311,H1312=H1313)),NA(), H1312)</f>
        <v>0</v>
      </c>
      <c r="K2034">
        <f>IF(ISNA(L2034),NA(),K1312)</f>
        <v>0</v>
      </c>
      <c r="L2034">
        <f>IF(OR(L1312="",AND(L1312=L1311,L1312=L1313)),NA(), L1312)</f>
        <v>0</v>
      </c>
      <c r="M2034">
        <f>IF(ISNA(N2034),NA(),M1312)</f>
        <v>0</v>
      </c>
      <c r="N2034">
        <f>IF(OR(N1312="",AND(N1312=N1311,N1312=N1313)),NA(), N1312)</f>
        <v>0</v>
      </c>
    </row>
    <row r="2035" spans="5:14">
      <c r="E2035">
        <f>IF(ISNA(F2035),NA(),E1313)</f>
        <v>0</v>
      </c>
      <c r="F2035">
        <f>IF(OR(F1313="",AND(F1313=F1312,F1313=F1314)),NA(), F1313)</f>
        <v>0</v>
      </c>
      <c r="G2035">
        <f>IF(ISNA(H2035),NA(),G1313)</f>
        <v>0</v>
      </c>
      <c r="H2035">
        <f>IF(OR(H1313="",AND(H1313=H1312,H1313=H1314)),NA(), H1313)</f>
        <v>0</v>
      </c>
      <c r="K2035">
        <f>IF(ISNA(L2035),NA(),K1313)</f>
        <v>0</v>
      </c>
      <c r="L2035">
        <f>IF(OR(L1313="",AND(L1313=L1312,L1313=L1314)),NA(), L1313)</f>
        <v>0</v>
      </c>
      <c r="M2035">
        <f>IF(ISNA(N2035),NA(),M1313)</f>
        <v>0</v>
      </c>
      <c r="N2035">
        <f>IF(OR(N1313="",AND(N1313=N1312,N1313=N1314)),NA(), N1313)</f>
        <v>0</v>
      </c>
    </row>
    <row r="2036" spans="5:14">
      <c r="E2036">
        <f>IF(ISNA(F2036),NA(),E1314)</f>
        <v>0</v>
      </c>
      <c r="F2036">
        <f>IF(OR(F1314="",AND(F1314=F1313,F1314=F1315)),NA(), F1314)</f>
        <v>0</v>
      </c>
      <c r="G2036">
        <f>IF(ISNA(H2036),NA(),G1314)</f>
        <v>0</v>
      </c>
      <c r="H2036">
        <f>IF(OR(H1314="",AND(H1314=H1313,H1314=H1315)),NA(), H1314)</f>
        <v>0</v>
      </c>
      <c r="K2036">
        <f>IF(ISNA(L2036),NA(),K1314)</f>
        <v>0</v>
      </c>
      <c r="L2036">
        <f>IF(OR(L1314="",AND(L1314=L1313,L1314=L1315)),NA(), L1314)</f>
        <v>0</v>
      </c>
      <c r="M2036">
        <f>IF(ISNA(N2036),NA(),M1314)</f>
        <v>0</v>
      </c>
      <c r="N2036">
        <f>IF(OR(N1314="",AND(N1314=N1313,N1314=N1315)),NA(), N1314)</f>
        <v>0</v>
      </c>
    </row>
    <row r="2037" spans="5:14">
      <c r="E2037">
        <f>IF(ISNA(F2037),NA(),E1315)</f>
        <v>0</v>
      </c>
      <c r="F2037">
        <f>IF(OR(F1315="",AND(F1315=F1314,F1315=F1316)),NA(), F1315)</f>
        <v>0</v>
      </c>
      <c r="G2037">
        <f>IF(ISNA(H2037),NA(),G1315)</f>
        <v>0</v>
      </c>
      <c r="H2037">
        <f>IF(OR(H1315="",AND(H1315=H1314,H1315=H1316)),NA(), H1315)</f>
        <v>0</v>
      </c>
      <c r="K2037">
        <f>IF(ISNA(L2037),NA(),K1315)</f>
        <v>0</v>
      </c>
      <c r="L2037">
        <f>IF(OR(L1315="",AND(L1315=L1314,L1315=L1316)),NA(), L1315)</f>
        <v>0</v>
      </c>
      <c r="M2037">
        <f>IF(ISNA(N2037),NA(),M1315)</f>
        <v>0</v>
      </c>
      <c r="N2037">
        <f>IF(OR(N1315="",AND(N1315=N1314,N1315=N1316)),NA(), N1315)</f>
        <v>0</v>
      </c>
    </row>
    <row r="2038" spans="5:14">
      <c r="E2038">
        <f>IF(ISNA(F2038),NA(),E1316)</f>
        <v>0</v>
      </c>
      <c r="F2038">
        <f>IF(OR(F1316="",AND(F1316=F1315,F1316=F1317)),NA(), F1316)</f>
        <v>0</v>
      </c>
      <c r="G2038">
        <f>IF(ISNA(H2038),NA(),G1316)</f>
        <v>0</v>
      </c>
      <c r="H2038">
        <f>IF(OR(H1316="",AND(H1316=H1315,H1316=H1317)),NA(), H1316)</f>
        <v>0</v>
      </c>
      <c r="K2038">
        <f>IF(ISNA(L2038),NA(),K1316)</f>
        <v>0</v>
      </c>
      <c r="L2038">
        <f>IF(OR(L1316="",AND(L1316=L1315,L1316=L1317)),NA(), L1316)</f>
        <v>0</v>
      </c>
      <c r="M2038">
        <f>IF(ISNA(N2038),NA(),M1316)</f>
        <v>0</v>
      </c>
      <c r="N2038">
        <f>IF(OR(N1316="",AND(N1316=N1315,N1316=N1317)),NA(), N1316)</f>
        <v>0</v>
      </c>
    </row>
    <row r="2039" spans="5:14">
      <c r="E2039">
        <f>IF(ISNA(F2039),NA(),E1317)</f>
        <v>0</v>
      </c>
      <c r="F2039">
        <f>IF(OR(F1317="",AND(F1317=F1316,F1317=F1318)),NA(), F1317)</f>
        <v>0</v>
      </c>
      <c r="G2039">
        <f>IF(ISNA(H2039),NA(),G1317)</f>
        <v>0</v>
      </c>
      <c r="H2039">
        <f>IF(OR(H1317="",AND(H1317=H1316,H1317=H1318)),NA(), H1317)</f>
        <v>0</v>
      </c>
      <c r="K2039">
        <f>IF(ISNA(L2039),NA(),K1317)</f>
        <v>0</v>
      </c>
      <c r="L2039">
        <f>IF(OR(L1317="",AND(L1317=L1316,L1317=L1318)),NA(), L1317)</f>
        <v>0</v>
      </c>
      <c r="M2039">
        <f>IF(ISNA(N2039),NA(),M1317)</f>
        <v>0</v>
      </c>
      <c r="N2039">
        <f>IF(OR(N1317="",AND(N1317=N1316,N1317=N1318)),NA(), N1317)</f>
        <v>0</v>
      </c>
    </row>
    <row r="2040" spans="5:14">
      <c r="E2040">
        <f>IF(ISNA(F2040),NA(),E1318)</f>
        <v>0</v>
      </c>
      <c r="F2040">
        <f>IF(OR(F1318="",AND(F1318=F1317,F1318=F1319)),NA(), F1318)</f>
        <v>0</v>
      </c>
      <c r="G2040">
        <f>IF(ISNA(H2040),NA(),G1318)</f>
        <v>0</v>
      </c>
      <c r="H2040">
        <f>IF(OR(H1318="",AND(H1318=H1317,H1318=H1319)),NA(), H1318)</f>
        <v>0</v>
      </c>
      <c r="K2040">
        <f>IF(ISNA(L2040),NA(),K1318)</f>
        <v>0</v>
      </c>
      <c r="L2040">
        <f>IF(OR(L1318="",AND(L1318=L1317,L1318=L1319)),NA(), L1318)</f>
        <v>0</v>
      </c>
      <c r="M2040">
        <f>IF(ISNA(N2040),NA(),M1318)</f>
        <v>0</v>
      </c>
      <c r="N2040">
        <f>IF(OR(N1318="",AND(N1318=N1317,N1318=N1319)),NA(), N1318)</f>
        <v>0</v>
      </c>
    </row>
    <row r="2041" spans="5:14">
      <c r="E2041">
        <f>IF(ISNA(F2041),NA(),E1319)</f>
        <v>0</v>
      </c>
      <c r="F2041">
        <f>IF(OR(F1319="",AND(F1319=F1318,F1319=F1320)),NA(), F1319)</f>
        <v>0</v>
      </c>
      <c r="G2041">
        <f>IF(ISNA(H2041),NA(),G1319)</f>
        <v>0</v>
      </c>
      <c r="H2041">
        <f>IF(OR(H1319="",AND(H1319=H1318,H1319=H1320)),NA(), H1319)</f>
        <v>0</v>
      </c>
      <c r="K2041">
        <f>IF(ISNA(L2041),NA(),K1319)</f>
        <v>0</v>
      </c>
      <c r="L2041">
        <f>IF(OR(L1319="",AND(L1319=L1318,L1319=L1320)),NA(), L1319)</f>
        <v>0</v>
      </c>
      <c r="M2041">
        <f>IF(ISNA(N2041),NA(),M1319)</f>
        <v>0</v>
      </c>
      <c r="N2041">
        <f>IF(OR(N1319="",AND(N1319=N1318,N1319=N1320)),NA(), N1319)</f>
        <v>0</v>
      </c>
    </row>
    <row r="2042" spans="5:14">
      <c r="E2042">
        <f>IF(ISNA(F2042),NA(),E1320)</f>
        <v>0</v>
      </c>
      <c r="F2042">
        <f>IF(OR(F1320="",AND(F1320=F1319,F1320=F1321)),NA(), F1320)</f>
        <v>0</v>
      </c>
      <c r="G2042">
        <f>IF(ISNA(H2042),NA(),G1320)</f>
        <v>0</v>
      </c>
      <c r="H2042">
        <f>IF(OR(H1320="",AND(H1320=H1319,H1320=H1321)),NA(), H1320)</f>
        <v>0</v>
      </c>
      <c r="K2042">
        <f>IF(ISNA(L2042),NA(),K1320)</f>
        <v>0</v>
      </c>
      <c r="L2042">
        <f>IF(OR(L1320="",AND(L1320=L1319,L1320=L1321)),NA(), L1320)</f>
        <v>0</v>
      </c>
      <c r="M2042">
        <f>IF(ISNA(N2042),NA(),M1320)</f>
        <v>0</v>
      </c>
      <c r="N2042">
        <f>IF(OR(N1320="",AND(N1320=N1319,N1320=N1321)),NA(), N1320)</f>
        <v>0</v>
      </c>
    </row>
    <row r="2043" spans="5:14">
      <c r="E2043">
        <f>IF(ISNA(F2043),NA(),E1321)</f>
        <v>0</v>
      </c>
      <c r="F2043">
        <f>IF(OR(F1321="",AND(F1321=F1320,F1321=F1322)),NA(), F1321)</f>
        <v>0</v>
      </c>
      <c r="G2043">
        <f>IF(ISNA(H2043),NA(),G1321)</f>
        <v>0</v>
      </c>
      <c r="H2043">
        <f>IF(OR(H1321="",AND(H1321=H1320,H1321=H1322)),NA(), H1321)</f>
        <v>0</v>
      </c>
      <c r="K2043">
        <f>IF(ISNA(L2043),NA(),K1321)</f>
        <v>0</v>
      </c>
      <c r="L2043">
        <f>IF(OR(L1321="",AND(L1321=L1320,L1321=L1322)),NA(), L1321)</f>
        <v>0</v>
      </c>
      <c r="M2043">
        <f>IF(ISNA(N2043),NA(),M1321)</f>
        <v>0</v>
      </c>
      <c r="N2043">
        <f>IF(OR(N1321="",AND(N1321=N1320,N1321=N1322)),NA(), N1321)</f>
        <v>0</v>
      </c>
    </row>
    <row r="2044" spans="5:14">
      <c r="E2044">
        <f>IF(ISNA(F2044),NA(),E1322)</f>
        <v>0</v>
      </c>
      <c r="F2044">
        <f>IF(OR(F1322="",AND(F1322=F1321,F1322=F1323)),NA(), F1322)</f>
        <v>0</v>
      </c>
      <c r="G2044">
        <f>IF(ISNA(H2044),NA(),G1322)</f>
        <v>0</v>
      </c>
      <c r="H2044">
        <f>IF(OR(H1322="",AND(H1322=H1321,H1322=H1323)),NA(), H1322)</f>
        <v>0</v>
      </c>
      <c r="K2044">
        <f>IF(ISNA(L2044),NA(),K1322)</f>
        <v>0</v>
      </c>
      <c r="L2044">
        <f>IF(OR(L1322="",AND(L1322=L1321,L1322=L1323)),NA(), L1322)</f>
        <v>0</v>
      </c>
      <c r="M2044">
        <f>IF(ISNA(N2044),NA(),M1322)</f>
        <v>0</v>
      </c>
      <c r="N2044">
        <f>IF(OR(N1322="",AND(N1322=N1321,N1322=N1323)),NA(), N1322)</f>
        <v>0</v>
      </c>
    </row>
    <row r="2045" spans="5:14">
      <c r="E2045">
        <f>IF(ISNA(F2045),NA(),E1323)</f>
        <v>0</v>
      </c>
      <c r="F2045">
        <f>IF(OR(F1323="",AND(F1323=F1322,F1323=F1324)),NA(), F1323)</f>
        <v>0</v>
      </c>
      <c r="G2045">
        <f>IF(ISNA(H2045),NA(),G1323)</f>
        <v>0</v>
      </c>
      <c r="H2045">
        <f>IF(OR(H1323="",AND(H1323=H1322,H1323=H1324)),NA(), H1323)</f>
        <v>0</v>
      </c>
      <c r="K2045">
        <f>IF(ISNA(L2045),NA(),K1323)</f>
        <v>0</v>
      </c>
      <c r="L2045">
        <f>IF(OR(L1323="",AND(L1323=L1322,L1323=L1324)),NA(), L1323)</f>
        <v>0</v>
      </c>
      <c r="M2045">
        <f>IF(ISNA(N2045),NA(),M1323)</f>
        <v>0</v>
      </c>
      <c r="N2045">
        <f>IF(OR(N1323="",AND(N1323=N1322,N1323=N1324)),NA(), N1323)</f>
        <v>0</v>
      </c>
    </row>
    <row r="2046" spans="5:14">
      <c r="E2046">
        <f>IF(ISNA(F2046),NA(),E1324)</f>
        <v>0</v>
      </c>
      <c r="F2046">
        <f>IF(OR(F1324="",AND(F1324=F1323,F1324=F1325)),NA(), F1324)</f>
        <v>0</v>
      </c>
      <c r="G2046">
        <f>IF(ISNA(H2046),NA(),G1324)</f>
        <v>0</v>
      </c>
      <c r="H2046">
        <f>IF(OR(H1324="",AND(H1324=H1323,H1324=H1325)),NA(), H1324)</f>
        <v>0</v>
      </c>
      <c r="K2046">
        <f>IF(ISNA(L2046),NA(),K1324)</f>
        <v>0</v>
      </c>
      <c r="L2046">
        <f>IF(OR(L1324="",AND(L1324=L1323,L1324=L1325)),NA(), L1324)</f>
        <v>0</v>
      </c>
      <c r="M2046">
        <f>IF(ISNA(N2046),NA(),M1324)</f>
        <v>0</v>
      </c>
      <c r="N2046">
        <f>IF(OR(N1324="",AND(N1324=N1323,N1324=N1325)),NA(), N1324)</f>
        <v>0</v>
      </c>
    </row>
    <row r="2047" spans="5:14">
      <c r="E2047">
        <f>IF(ISNA(F2047),NA(),E1325)</f>
        <v>0</v>
      </c>
      <c r="F2047">
        <f>IF(OR(F1325="",AND(F1325=F1324,F1325=F1326)),NA(), F1325)</f>
        <v>0</v>
      </c>
      <c r="G2047">
        <f>IF(ISNA(H2047),NA(),G1325)</f>
        <v>0</v>
      </c>
      <c r="H2047">
        <f>IF(OR(H1325="",AND(H1325=H1324,H1325=H1326)),NA(), H1325)</f>
        <v>0</v>
      </c>
      <c r="K2047">
        <f>IF(ISNA(L2047),NA(),K1325)</f>
        <v>0</v>
      </c>
      <c r="L2047">
        <f>IF(OR(L1325="",AND(L1325=L1324,L1325=L1326)),NA(), L1325)</f>
        <v>0</v>
      </c>
      <c r="M2047">
        <f>IF(ISNA(N2047),NA(),M1325)</f>
        <v>0</v>
      </c>
      <c r="N2047">
        <f>IF(OR(N1325="",AND(N1325=N1324,N1325=N1326)),NA(), N1325)</f>
        <v>0</v>
      </c>
    </row>
    <row r="2048" spans="5:14">
      <c r="E2048">
        <f>IF(ISNA(F2048),NA(),E1326)</f>
        <v>0</v>
      </c>
      <c r="F2048">
        <f>IF(OR(F1326="",AND(F1326=F1325,F1326=F1327)),NA(), F1326)</f>
        <v>0</v>
      </c>
      <c r="G2048">
        <f>IF(ISNA(H2048),NA(),G1326)</f>
        <v>0</v>
      </c>
      <c r="H2048">
        <f>IF(OR(H1326="",AND(H1326=H1325,H1326=H1327)),NA(), H1326)</f>
        <v>0</v>
      </c>
      <c r="K2048">
        <f>IF(ISNA(L2048),NA(),K1326)</f>
        <v>0</v>
      </c>
      <c r="L2048">
        <f>IF(OR(L1326="",AND(L1326=L1325,L1326=L1327)),NA(), L1326)</f>
        <v>0</v>
      </c>
      <c r="M2048">
        <f>IF(ISNA(N2048),NA(),M1326)</f>
        <v>0</v>
      </c>
      <c r="N2048">
        <f>IF(OR(N1326="",AND(N1326=N1325,N1326=N1327)),NA(), N1326)</f>
        <v>0</v>
      </c>
    </row>
    <row r="2049" spans="5:14">
      <c r="E2049">
        <f>IF(ISNA(F2049),NA(),E1327)</f>
        <v>0</v>
      </c>
      <c r="F2049">
        <f>IF(OR(F1327="",AND(F1327=F1326,F1327=F1328)),NA(), F1327)</f>
        <v>0</v>
      </c>
      <c r="G2049">
        <f>IF(ISNA(H2049),NA(),G1327)</f>
        <v>0</v>
      </c>
      <c r="H2049">
        <f>IF(OR(H1327="",AND(H1327=H1326,H1327=H1328)),NA(), H1327)</f>
        <v>0</v>
      </c>
      <c r="K2049">
        <f>IF(ISNA(L2049),NA(),K1327)</f>
        <v>0</v>
      </c>
      <c r="L2049">
        <f>IF(OR(L1327="",AND(L1327=L1326,L1327=L1328)),NA(), L1327)</f>
        <v>0</v>
      </c>
      <c r="M2049">
        <f>IF(ISNA(N2049),NA(),M1327)</f>
        <v>0</v>
      </c>
      <c r="N2049">
        <f>IF(OR(N1327="",AND(N1327=N1326,N1327=N1328)),NA(), N1327)</f>
        <v>0</v>
      </c>
    </row>
    <row r="2050" spans="5:14">
      <c r="E2050">
        <f>IF(ISNA(F2050),NA(),E1328)</f>
        <v>0</v>
      </c>
      <c r="F2050">
        <f>IF(OR(F1328="",AND(F1328=F1327,F1328=F1329)),NA(), F1328)</f>
        <v>0</v>
      </c>
      <c r="G2050">
        <f>IF(ISNA(H2050),NA(),G1328)</f>
        <v>0</v>
      </c>
      <c r="H2050">
        <f>IF(OR(H1328="",AND(H1328=H1327,H1328=H1329)),NA(), H1328)</f>
        <v>0</v>
      </c>
      <c r="K2050">
        <f>IF(ISNA(L2050),NA(),K1328)</f>
        <v>0</v>
      </c>
      <c r="L2050">
        <f>IF(OR(L1328="",AND(L1328=L1327,L1328=L1329)),NA(), L1328)</f>
        <v>0</v>
      </c>
      <c r="M2050">
        <f>IF(ISNA(N2050),NA(),M1328)</f>
        <v>0</v>
      </c>
      <c r="N2050">
        <f>IF(OR(N1328="",AND(N1328=N1327,N1328=N1329)),NA(), N1328)</f>
        <v>0</v>
      </c>
    </row>
    <row r="2051" spans="5:14">
      <c r="E2051">
        <f>IF(ISNA(F2051),NA(),E1329)</f>
        <v>0</v>
      </c>
      <c r="F2051">
        <f>IF(OR(F1329="",AND(F1329=F1328,F1329=F1330)),NA(), F1329)</f>
        <v>0</v>
      </c>
      <c r="G2051">
        <f>IF(ISNA(H2051),NA(),G1329)</f>
        <v>0</v>
      </c>
      <c r="H2051">
        <f>IF(OR(H1329="",AND(H1329=H1328,H1329=H1330)),NA(), H1329)</f>
        <v>0</v>
      </c>
      <c r="K2051">
        <f>IF(ISNA(L2051),NA(),K1329)</f>
        <v>0</v>
      </c>
      <c r="L2051">
        <f>IF(OR(L1329="",AND(L1329=L1328,L1329=L1330)),NA(), L1329)</f>
        <v>0</v>
      </c>
      <c r="M2051">
        <f>IF(ISNA(N2051),NA(),M1329)</f>
        <v>0</v>
      </c>
      <c r="N2051">
        <f>IF(OR(N1329="",AND(N1329=N1328,N1329=N1330)),NA(), N1329)</f>
        <v>0</v>
      </c>
    </row>
    <row r="2052" spans="5:14">
      <c r="E2052">
        <f>IF(ISNA(F2052),NA(),E1330)</f>
        <v>0</v>
      </c>
      <c r="F2052">
        <f>IF(OR(F1330="",AND(F1330=F1329,F1330=F1331)),NA(), F1330)</f>
        <v>0</v>
      </c>
      <c r="G2052">
        <f>IF(ISNA(H2052),NA(),G1330)</f>
        <v>0</v>
      </c>
      <c r="H2052">
        <f>IF(OR(H1330="",AND(H1330=H1329,H1330=H1331)),NA(), H1330)</f>
        <v>0</v>
      </c>
      <c r="K2052">
        <f>IF(ISNA(L2052),NA(),K1330)</f>
        <v>0</v>
      </c>
      <c r="L2052">
        <f>IF(OR(L1330="",AND(L1330=L1329,L1330=L1331)),NA(), L1330)</f>
        <v>0</v>
      </c>
      <c r="M2052">
        <f>IF(ISNA(N2052),NA(),M1330)</f>
        <v>0</v>
      </c>
      <c r="N2052">
        <f>IF(OR(N1330="",AND(N1330=N1329,N1330=N1331)),NA(), N1330)</f>
        <v>0</v>
      </c>
    </row>
    <row r="2053" spans="5:14">
      <c r="E2053">
        <f>IF(ISNA(F2053),NA(),E1331)</f>
        <v>0</v>
      </c>
      <c r="F2053">
        <f>IF(OR(F1331="",AND(F1331=F1330,F1331=F1332)),NA(), F1331)</f>
        <v>0</v>
      </c>
      <c r="G2053">
        <f>IF(ISNA(H2053),NA(),G1331)</f>
        <v>0</v>
      </c>
      <c r="H2053">
        <f>IF(OR(H1331="",AND(H1331=H1330,H1331=H1332)),NA(), H1331)</f>
        <v>0</v>
      </c>
      <c r="K2053">
        <f>IF(ISNA(L2053),NA(),K1331)</f>
        <v>0</v>
      </c>
      <c r="L2053">
        <f>IF(OR(L1331="",AND(L1331=L1330,L1331=L1332)),NA(), L1331)</f>
        <v>0</v>
      </c>
      <c r="M2053">
        <f>IF(ISNA(N2053),NA(),M1331)</f>
        <v>0</v>
      </c>
      <c r="N2053">
        <f>IF(OR(N1331="",AND(N1331=N1330,N1331=N1332)),NA(), N1331)</f>
        <v>0</v>
      </c>
    </row>
    <row r="2054" spans="5:14">
      <c r="E2054">
        <f>IF(ISNA(F2054),NA(),E1332)</f>
        <v>0</v>
      </c>
      <c r="F2054">
        <f>IF(OR(F1332="",AND(F1332=F1331,F1332=F1333)),NA(), F1332)</f>
        <v>0</v>
      </c>
      <c r="G2054">
        <f>IF(ISNA(H2054),NA(),G1332)</f>
        <v>0</v>
      </c>
      <c r="H2054">
        <f>IF(OR(H1332="",AND(H1332=H1331,H1332=H1333)),NA(), H1332)</f>
        <v>0</v>
      </c>
      <c r="K2054">
        <f>IF(ISNA(L2054),NA(),K1332)</f>
        <v>0</v>
      </c>
      <c r="L2054">
        <f>IF(OR(L1332="",AND(L1332=L1331,L1332=L1333)),NA(), L1332)</f>
        <v>0</v>
      </c>
      <c r="M2054">
        <f>IF(ISNA(N2054),NA(),M1332)</f>
        <v>0</v>
      </c>
      <c r="N2054">
        <f>IF(OR(N1332="",AND(N1332=N1331,N1332=N1333)),NA(), N1332)</f>
        <v>0</v>
      </c>
    </row>
    <row r="2055" spans="5:14">
      <c r="E2055">
        <f>IF(ISNA(F2055),NA(),E1333)</f>
        <v>0</v>
      </c>
      <c r="F2055">
        <f>IF(OR(F1333="",AND(F1333=F1332,F1333=F1334)),NA(), F1333)</f>
        <v>0</v>
      </c>
      <c r="G2055">
        <f>IF(ISNA(H2055),NA(),G1333)</f>
        <v>0</v>
      </c>
      <c r="H2055">
        <f>IF(OR(H1333="",AND(H1333=H1332,H1333=H1334)),NA(), H1333)</f>
        <v>0</v>
      </c>
      <c r="K2055">
        <f>IF(ISNA(L2055),NA(),K1333)</f>
        <v>0</v>
      </c>
      <c r="L2055">
        <f>IF(OR(L1333="",AND(L1333=L1332,L1333=L1334)),NA(), L1333)</f>
        <v>0</v>
      </c>
      <c r="M2055">
        <f>IF(ISNA(N2055),NA(),M1333)</f>
        <v>0</v>
      </c>
      <c r="N2055">
        <f>IF(OR(N1333="",AND(N1333=N1332,N1333=N1334)),NA(), N1333)</f>
        <v>0</v>
      </c>
    </row>
    <row r="2056" spans="5:14">
      <c r="E2056">
        <f>IF(ISNA(F2056),NA(),E1334)</f>
        <v>0</v>
      </c>
      <c r="F2056">
        <f>IF(OR(F1334="",AND(F1334=F1333,F1334=F1335)),NA(), F1334)</f>
        <v>0</v>
      </c>
      <c r="G2056">
        <f>IF(ISNA(H2056),NA(),G1334)</f>
        <v>0</v>
      </c>
      <c r="H2056">
        <f>IF(OR(H1334="",AND(H1334=H1333,H1334=H1335)),NA(), H1334)</f>
        <v>0</v>
      </c>
      <c r="K2056">
        <f>IF(ISNA(L2056),NA(),K1334)</f>
        <v>0</v>
      </c>
      <c r="L2056">
        <f>IF(OR(L1334="",AND(L1334=L1333,L1334=L1335)),NA(), L1334)</f>
        <v>0</v>
      </c>
      <c r="M2056">
        <f>IF(ISNA(N2056),NA(),M1334)</f>
        <v>0</v>
      </c>
      <c r="N2056">
        <f>IF(OR(N1334="",AND(N1334=N1333,N1334=N1335)),NA(), N1334)</f>
        <v>0</v>
      </c>
    </row>
    <row r="2057" spans="5:14">
      <c r="E2057">
        <f>IF(ISNA(F2057),NA(),E1335)</f>
        <v>0</v>
      </c>
      <c r="F2057">
        <f>IF(OR(F1335="",AND(F1335=F1334,F1335=F1336)),NA(), F1335)</f>
        <v>0</v>
      </c>
      <c r="G2057">
        <f>IF(ISNA(H2057),NA(),G1335)</f>
        <v>0</v>
      </c>
      <c r="H2057">
        <f>IF(OR(H1335="",AND(H1335=H1334,H1335=H1336)),NA(), H1335)</f>
        <v>0</v>
      </c>
      <c r="K2057">
        <f>IF(ISNA(L2057),NA(),K1335)</f>
        <v>0</v>
      </c>
      <c r="L2057">
        <f>IF(OR(L1335="",AND(L1335=L1334,L1335=L1336)),NA(), L1335)</f>
        <v>0</v>
      </c>
      <c r="M2057">
        <f>IF(ISNA(N2057),NA(),M1335)</f>
        <v>0</v>
      </c>
      <c r="N2057">
        <f>IF(OR(N1335="",AND(N1335=N1334,N1335=N1336)),NA(), N1335)</f>
        <v>0</v>
      </c>
    </row>
    <row r="2058" spans="5:14">
      <c r="E2058">
        <f>IF(ISNA(F2058),NA(),E1336)</f>
        <v>0</v>
      </c>
      <c r="F2058">
        <f>IF(OR(F1336="",AND(F1336=F1335,F1336=F1337)),NA(), F1336)</f>
        <v>0</v>
      </c>
      <c r="G2058">
        <f>IF(ISNA(H2058),NA(),G1336)</f>
        <v>0</v>
      </c>
      <c r="H2058">
        <f>IF(OR(H1336="",AND(H1336=H1335,H1336=H1337)),NA(), H1336)</f>
        <v>0</v>
      </c>
      <c r="K2058">
        <f>IF(ISNA(L2058),NA(),K1336)</f>
        <v>0</v>
      </c>
      <c r="L2058">
        <f>IF(OR(L1336="",AND(L1336=L1335,L1336=L1337)),NA(), L1336)</f>
        <v>0</v>
      </c>
      <c r="M2058">
        <f>IF(ISNA(N2058),NA(),M1336)</f>
        <v>0</v>
      </c>
      <c r="N2058">
        <f>IF(OR(N1336="",AND(N1336=N1335,N1336=N1337)),NA(), N1336)</f>
        <v>0</v>
      </c>
    </row>
    <row r="2059" spans="5:14">
      <c r="E2059">
        <f>IF(ISNA(F2059),NA(),E1337)</f>
        <v>0</v>
      </c>
      <c r="F2059">
        <f>IF(OR(F1337="",AND(F1337=F1336,F1337=F1338)),NA(), F1337)</f>
        <v>0</v>
      </c>
      <c r="G2059">
        <f>IF(ISNA(H2059),NA(),G1337)</f>
        <v>0</v>
      </c>
      <c r="H2059">
        <f>IF(OR(H1337="",AND(H1337=H1336,H1337=H1338)),NA(), H1337)</f>
        <v>0</v>
      </c>
      <c r="K2059">
        <f>IF(ISNA(L2059),NA(),K1337)</f>
        <v>0</v>
      </c>
      <c r="L2059">
        <f>IF(OR(L1337="",AND(L1337=L1336,L1337=L1338)),NA(), L1337)</f>
        <v>0</v>
      </c>
      <c r="M2059">
        <f>IF(ISNA(N2059),NA(),M1337)</f>
        <v>0</v>
      </c>
      <c r="N2059">
        <f>IF(OR(N1337="",AND(N1337=N1336,N1337=N1338)),NA(), N1337)</f>
        <v>0</v>
      </c>
    </row>
    <row r="2060" spans="5:14">
      <c r="E2060">
        <f>IF(ISNA(F2060),NA(),E1338)</f>
        <v>0</v>
      </c>
      <c r="F2060">
        <f>IF(OR(F1338="",AND(F1338=F1337,F1338=F1339)),NA(), F1338)</f>
        <v>0</v>
      </c>
      <c r="G2060">
        <f>IF(ISNA(H2060),NA(),G1338)</f>
        <v>0</v>
      </c>
      <c r="H2060">
        <f>IF(OR(H1338="",AND(H1338=H1337,H1338=H1339)),NA(), H1338)</f>
        <v>0</v>
      </c>
      <c r="K2060">
        <f>IF(ISNA(L2060),NA(),K1338)</f>
        <v>0</v>
      </c>
      <c r="L2060">
        <f>IF(OR(L1338="",AND(L1338=L1337,L1338=L1339)),NA(), L1338)</f>
        <v>0</v>
      </c>
      <c r="M2060">
        <f>IF(ISNA(N2060),NA(),M1338)</f>
        <v>0</v>
      </c>
      <c r="N2060">
        <f>IF(OR(N1338="",AND(N1338=N1337,N1338=N1339)),NA(), N1338)</f>
        <v>0</v>
      </c>
    </row>
    <row r="2061" spans="5:14">
      <c r="E2061">
        <f>IF(ISNA(F2061),NA(),E1339)</f>
        <v>0</v>
      </c>
      <c r="F2061">
        <f>IF(OR(F1339="",AND(F1339=F1338,F1339=F1340)),NA(), F1339)</f>
        <v>0</v>
      </c>
      <c r="G2061">
        <f>IF(ISNA(H2061),NA(),G1339)</f>
        <v>0</v>
      </c>
      <c r="H2061">
        <f>IF(OR(H1339="",AND(H1339=H1338,H1339=H1340)),NA(), H1339)</f>
        <v>0</v>
      </c>
      <c r="K2061">
        <f>IF(ISNA(L2061),NA(),K1339)</f>
        <v>0</v>
      </c>
      <c r="L2061">
        <f>IF(OR(L1339="",AND(L1339=L1338,L1339=L1340)),NA(), L1339)</f>
        <v>0</v>
      </c>
      <c r="M2061">
        <f>IF(ISNA(N2061),NA(),M1339)</f>
        <v>0</v>
      </c>
      <c r="N2061">
        <f>IF(OR(N1339="",AND(N1339=N1338,N1339=N1340)),NA(), N1339)</f>
        <v>0</v>
      </c>
    </row>
    <row r="2062" spans="5:14">
      <c r="E2062">
        <f>IF(ISNA(F2062),NA(),E1340)</f>
        <v>0</v>
      </c>
      <c r="F2062">
        <f>IF(OR(F1340="",AND(F1340=F1339,F1340=F1341)),NA(), F1340)</f>
        <v>0</v>
      </c>
      <c r="G2062">
        <f>IF(ISNA(H2062),NA(),G1340)</f>
        <v>0</v>
      </c>
      <c r="H2062">
        <f>IF(OR(H1340="",AND(H1340=H1339,H1340=H1341)),NA(), H1340)</f>
        <v>0</v>
      </c>
      <c r="K2062">
        <f>IF(ISNA(L2062),NA(),K1340)</f>
        <v>0</v>
      </c>
      <c r="L2062">
        <f>IF(OR(L1340="",AND(L1340=L1339,L1340=L1341)),NA(), L1340)</f>
        <v>0</v>
      </c>
      <c r="M2062">
        <f>IF(ISNA(N2062),NA(),M1340)</f>
        <v>0</v>
      </c>
      <c r="N2062">
        <f>IF(OR(N1340="",AND(N1340=N1339,N1340=N1341)),NA(), N1340)</f>
        <v>0</v>
      </c>
    </row>
    <row r="2063" spans="5:14">
      <c r="E2063">
        <f>IF(ISNA(F2063),NA(),E1341)</f>
        <v>0</v>
      </c>
      <c r="F2063">
        <f>IF(OR(F1341="",AND(F1341=F1340,F1341=F1342)),NA(), F1341)</f>
        <v>0</v>
      </c>
      <c r="G2063">
        <f>IF(ISNA(H2063),NA(),G1341)</f>
        <v>0</v>
      </c>
      <c r="H2063">
        <f>IF(OR(H1341="",AND(H1341=H1340,H1341=H1342)),NA(), H1341)</f>
        <v>0</v>
      </c>
      <c r="K2063">
        <f>IF(ISNA(L2063),NA(),K1341)</f>
        <v>0</v>
      </c>
      <c r="L2063">
        <f>IF(OR(L1341="",AND(L1341=L1340,L1341=L1342)),NA(), L1341)</f>
        <v>0</v>
      </c>
      <c r="M2063">
        <f>IF(ISNA(N2063),NA(),M1341)</f>
        <v>0</v>
      </c>
      <c r="N2063">
        <f>IF(OR(N1341="",AND(N1341=N1340,N1341=N1342)),NA(), N1341)</f>
        <v>0</v>
      </c>
    </row>
    <row r="2064" spans="5:14">
      <c r="E2064">
        <f>IF(ISNA(F2064),NA(),E1342)</f>
        <v>0</v>
      </c>
      <c r="F2064">
        <f>IF(OR(F1342="",AND(F1342=F1341,F1342=F1343)),NA(), F1342)</f>
        <v>0</v>
      </c>
      <c r="G2064">
        <f>IF(ISNA(H2064),NA(),G1342)</f>
        <v>0</v>
      </c>
      <c r="H2064">
        <f>IF(OR(H1342="",AND(H1342=H1341,H1342=H1343)),NA(), H1342)</f>
        <v>0</v>
      </c>
      <c r="K2064">
        <f>IF(ISNA(L2064),NA(),K1342)</f>
        <v>0</v>
      </c>
      <c r="L2064">
        <f>IF(OR(L1342="",AND(L1342=L1341,L1342=L1343)),NA(), L1342)</f>
        <v>0</v>
      </c>
      <c r="M2064">
        <f>IF(ISNA(N2064),NA(),M1342)</f>
        <v>0</v>
      </c>
      <c r="N2064">
        <f>IF(OR(N1342="",AND(N1342=N1341,N1342=N1343)),NA(), N1342)</f>
        <v>0</v>
      </c>
    </row>
    <row r="2065" spans="5:14">
      <c r="E2065">
        <f>IF(ISNA(F2065),NA(),E1343)</f>
        <v>0</v>
      </c>
      <c r="F2065">
        <f>IF(OR(F1343="",AND(F1343=F1342,F1343=F1344)),NA(), F1343)</f>
        <v>0</v>
      </c>
      <c r="G2065">
        <f>IF(ISNA(H2065),NA(),G1343)</f>
        <v>0</v>
      </c>
      <c r="H2065">
        <f>IF(OR(H1343="",AND(H1343=H1342,H1343=H1344)),NA(), H1343)</f>
        <v>0</v>
      </c>
      <c r="K2065">
        <f>IF(ISNA(L2065),NA(),K1343)</f>
        <v>0</v>
      </c>
      <c r="L2065">
        <f>IF(OR(L1343="",AND(L1343=L1342,L1343=L1344)),NA(), L1343)</f>
        <v>0</v>
      </c>
      <c r="M2065">
        <f>IF(ISNA(N2065),NA(),M1343)</f>
        <v>0</v>
      </c>
      <c r="N2065">
        <f>IF(OR(N1343="",AND(N1343=N1342,N1343=N1344)),NA(), N1343)</f>
        <v>0</v>
      </c>
    </row>
    <row r="2066" spans="5:14">
      <c r="E2066">
        <f>IF(ISNA(F2066),NA(),E1344)</f>
        <v>0</v>
      </c>
      <c r="F2066">
        <f>IF(OR(F1344="",AND(F1344=F1343,F1344=F1345)),NA(), F1344)</f>
        <v>0</v>
      </c>
      <c r="G2066">
        <f>IF(ISNA(H2066),NA(),G1344)</f>
        <v>0</v>
      </c>
      <c r="H2066">
        <f>IF(OR(H1344="",AND(H1344=H1343,H1344=H1345)),NA(), H1344)</f>
        <v>0</v>
      </c>
      <c r="K2066">
        <f>IF(ISNA(L2066),NA(),K1344)</f>
        <v>0</v>
      </c>
      <c r="L2066">
        <f>IF(OR(L1344="",AND(L1344=L1343,L1344=L1345)),NA(), L1344)</f>
        <v>0</v>
      </c>
      <c r="M2066">
        <f>IF(ISNA(N2066),NA(),M1344)</f>
        <v>0</v>
      </c>
      <c r="N2066">
        <f>IF(OR(N1344="",AND(N1344=N1343,N1344=N1345)),NA(), N1344)</f>
        <v>0</v>
      </c>
    </row>
    <row r="2067" spans="5:14">
      <c r="E2067">
        <f>IF(ISNA(F2067),NA(),E1345)</f>
        <v>0</v>
      </c>
      <c r="F2067">
        <f>IF(OR(F1345="",AND(F1345=F1344,F1345=F1346)),NA(), F1345)</f>
        <v>0</v>
      </c>
      <c r="G2067">
        <f>IF(ISNA(H2067),NA(),G1345)</f>
        <v>0</v>
      </c>
      <c r="H2067">
        <f>IF(OR(H1345="",AND(H1345=H1344,H1345=H1346)),NA(), H1345)</f>
        <v>0</v>
      </c>
      <c r="K2067">
        <f>IF(ISNA(L2067),NA(),K1345)</f>
        <v>0</v>
      </c>
      <c r="L2067">
        <f>IF(OR(L1345="",AND(L1345=L1344,L1345=L1346)),NA(), L1345)</f>
        <v>0</v>
      </c>
      <c r="M2067">
        <f>IF(ISNA(N2067),NA(),M1345)</f>
        <v>0</v>
      </c>
      <c r="N2067">
        <f>IF(OR(N1345="",AND(N1345=N1344,N1345=N1346)),NA(), N1345)</f>
        <v>0</v>
      </c>
    </row>
    <row r="2068" spans="5:14">
      <c r="E2068">
        <f>IF(ISNA(F2068),NA(),E1346)</f>
        <v>0</v>
      </c>
      <c r="F2068">
        <f>IF(OR(F1346="",AND(F1346=F1345,F1346=F1347)),NA(), F1346)</f>
        <v>0</v>
      </c>
      <c r="G2068">
        <f>IF(ISNA(H2068),NA(),G1346)</f>
        <v>0</v>
      </c>
      <c r="H2068">
        <f>IF(OR(H1346="",AND(H1346=H1345,H1346=H1347)),NA(), H1346)</f>
        <v>0</v>
      </c>
      <c r="K2068">
        <f>IF(ISNA(L2068),NA(),K1346)</f>
        <v>0</v>
      </c>
      <c r="L2068">
        <f>IF(OR(L1346="",AND(L1346=L1345,L1346=L1347)),NA(), L1346)</f>
        <v>0</v>
      </c>
      <c r="M2068">
        <f>IF(ISNA(N2068),NA(),M1346)</f>
        <v>0</v>
      </c>
      <c r="N2068">
        <f>IF(OR(N1346="",AND(N1346=N1345,N1346=N1347)),NA(), N1346)</f>
        <v>0</v>
      </c>
    </row>
    <row r="2069" spans="5:14">
      <c r="E2069">
        <f>IF(ISNA(F2069),NA(),E1347)</f>
        <v>0</v>
      </c>
      <c r="F2069">
        <f>IF(OR(F1347="",AND(F1347=F1346,F1347=F1348)),NA(), F1347)</f>
        <v>0</v>
      </c>
      <c r="G2069">
        <f>IF(ISNA(H2069),NA(),G1347)</f>
        <v>0</v>
      </c>
      <c r="H2069">
        <f>IF(OR(H1347="",AND(H1347=H1346,H1347=H1348)),NA(), H1347)</f>
        <v>0</v>
      </c>
      <c r="K2069">
        <f>IF(ISNA(L2069),NA(),K1347)</f>
        <v>0</v>
      </c>
      <c r="L2069">
        <f>IF(OR(L1347="",AND(L1347=L1346,L1347=L1348)),NA(), L1347)</f>
        <v>0</v>
      </c>
      <c r="M2069">
        <f>IF(ISNA(N2069),NA(),M1347)</f>
        <v>0</v>
      </c>
      <c r="N2069">
        <f>IF(OR(N1347="",AND(N1347=N1346,N1347=N1348)),NA(), N1347)</f>
        <v>0</v>
      </c>
    </row>
    <row r="2070" spans="5:14">
      <c r="E2070">
        <f>IF(ISNA(F2070),NA(),E1348)</f>
        <v>0</v>
      </c>
      <c r="F2070">
        <f>IF(OR(F1348="",AND(F1348=F1347,F1348=F1349)),NA(), F1348)</f>
        <v>0</v>
      </c>
      <c r="G2070">
        <f>IF(ISNA(H2070),NA(),G1348)</f>
        <v>0</v>
      </c>
      <c r="H2070">
        <f>IF(OR(H1348="",AND(H1348=H1347,H1348=H1349)),NA(), H1348)</f>
        <v>0</v>
      </c>
      <c r="K2070">
        <f>IF(ISNA(L2070),NA(),K1348)</f>
        <v>0</v>
      </c>
      <c r="L2070">
        <f>IF(OR(L1348="",AND(L1348=L1347,L1348=L1349)),NA(), L1348)</f>
        <v>0</v>
      </c>
      <c r="M2070">
        <f>IF(ISNA(N2070),NA(),M1348)</f>
        <v>0</v>
      </c>
      <c r="N2070">
        <f>IF(OR(N1348="",AND(N1348=N1347,N1348=N1349)),NA(), N1348)</f>
        <v>0</v>
      </c>
    </row>
    <row r="2071" spans="5:14">
      <c r="E2071">
        <f>IF(ISNA(F2071),NA(),E1349)</f>
        <v>0</v>
      </c>
      <c r="F2071">
        <f>IF(OR(F1349="",AND(F1349=F1348,F1349=F1350)),NA(), F1349)</f>
        <v>0</v>
      </c>
      <c r="G2071">
        <f>IF(ISNA(H2071),NA(),G1349)</f>
        <v>0</v>
      </c>
      <c r="H2071">
        <f>IF(OR(H1349="",AND(H1349=H1348,H1349=H1350)),NA(), H1349)</f>
        <v>0</v>
      </c>
      <c r="K2071">
        <f>IF(ISNA(L2071),NA(),K1349)</f>
        <v>0</v>
      </c>
      <c r="L2071">
        <f>IF(OR(L1349="",AND(L1349=L1348,L1349=L1350)),NA(), L1349)</f>
        <v>0</v>
      </c>
      <c r="M2071">
        <f>IF(ISNA(N2071),NA(),M1349)</f>
        <v>0</v>
      </c>
      <c r="N2071">
        <f>IF(OR(N1349="",AND(N1349=N1348,N1349=N1350)),NA(), N1349)</f>
        <v>0</v>
      </c>
    </row>
    <row r="2072" spans="5:14">
      <c r="E2072">
        <f>IF(ISNA(F2072),NA(),E1350)</f>
        <v>0</v>
      </c>
      <c r="F2072">
        <f>IF(OR(F1350="",AND(F1350=F1349,F1350=F1351)),NA(), F1350)</f>
        <v>0</v>
      </c>
      <c r="G2072">
        <f>IF(ISNA(H2072),NA(),G1350)</f>
        <v>0</v>
      </c>
      <c r="H2072">
        <f>IF(OR(H1350="",AND(H1350=H1349,H1350=H1351)),NA(), H1350)</f>
        <v>0</v>
      </c>
      <c r="K2072">
        <f>IF(ISNA(L2072),NA(),K1350)</f>
        <v>0</v>
      </c>
      <c r="L2072">
        <f>IF(OR(L1350="",AND(L1350=L1349,L1350=L1351)),NA(), L1350)</f>
        <v>0</v>
      </c>
      <c r="M2072">
        <f>IF(ISNA(N2072),NA(),M1350)</f>
        <v>0</v>
      </c>
      <c r="N2072">
        <f>IF(OR(N1350="",AND(N1350=N1349,N1350=N1351)),NA(), N1350)</f>
        <v>0</v>
      </c>
    </row>
    <row r="2073" spans="5:14">
      <c r="E2073">
        <f>IF(ISNA(F2073),NA(),E1351)</f>
        <v>0</v>
      </c>
      <c r="F2073">
        <f>IF(OR(F1351="",AND(F1351=F1350,F1351=F1352)),NA(), F1351)</f>
        <v>0</v>
      </c>
      <c r="G2073">
        <f>IF(ISNA(H2073),NA(),G1351)</f>
        <v>0</v>
      </c>
      <c r="H2073">
        <f>IF(OR(H1351="",AND(H1351=H1350,H1351=H1352)),NA(), H1351)</f>
        <v>0</v>
      </c>
      <c r="K2073">
        <f>IF(ISNA(L2073),NA(),K1351)</f>
        <v>0</v>
      </c>
      <c r="L2073">
        <f>IF(OR(L1351="",AND(L1351=L1350,L1351=L1352)),NA(), L1351)</f>
        <v>0</v>
      </c>
      <c r="M2073">
        <f>IF(ISNA(N2073),NA(),M1351)</f>
        <v>0</v>
      </c>
      <c r="N2073">
        <f>IF(OR(N1351="",AND(N1351=N1350,N1351=N1352)),NA(), N1351)</f>
        <v>0</v>
      </c>
    </row>
    <row r="2074" spans="5:14">
      <c r="E2074">
        <f>IF(ISNA(F2074),NA(),E1352)</f>
        <v>0</v>
      </c>
      <c r="F2074">
        <f>IF(OR(F1352="",AND(F1352=F1351,F1352=F1353)),NA(), F1352)</f>
        <v>0</v>
      </c>
      <c r="G2074">
        <f>IF(ISNA(H2074),NA(),G1352)</f>
        <v>0</v>
      </c>
      <c r="H2074">
        <f>IF(OR(H1352="",AND(H1352=H1351,H1352=H1353)),NA(), H1352)</f>
        <v>0</v>
      </c>
      <c r="K2074">
        <f>IF(ISNA(L2074),NA(),K1352)</f>
        <v>0</v>
      </c>
      <c r="L2074">
        <f>IF(OR(L1352="",AND(L1352=L1351,L1352=L1353)),NA(), L1352)</f>
        <v>0</v>
      </c>
      <c r="M2074">
        <f>IF(ISNA(N2074),NA(),M1352)</f>
        <v>0</v>
      </c>
      <c r="N2074">
        <f>IF(OR(N1352="",AND(N1352=N1351,N1352=N1353)),NA(), N1352)</f>
        <v>0</v>
      </c>
    </row>
    <row r="2075" spans="5:14">
      <c r="E2075">
        <f>IF(ISNA(F2075),NA(),E1353)</f>
        <v>0</v>
      </c>
      <c r="F2075">
        <f>IF(OR(F1353="",AND(F1353=F1352,F1353=F1354)),NA(), F1353)</f>
        <v>0</v>
      </c>
      <c r="G2075">
        <f>IF(ISNA(H2075),NA(),G1353)</f>
        <v>0</v>
      </c>
      <c r="H2075">
        <f>IF(OR(H1353="",AND(H1353=H1352,H1353=H1354)),NA(), H1353)</f>
        <v>0</v>
      </c>
      <c r="K2075">
        <f>IF(ISNA(L2075),NA(),K1353)</f>
        <v>0</v>
      </c>
      <c r="L2075">
        <f>IF(OR(L1353="",AND(L1353=L1352,L1353=L1354)),NA(), L1353)</f>
        <v>0</v>
      </c>
      <c r="M2075">
        <f>IF(ISNA(N2075),NA(),M1353)</f>
        <v>0</v>
      </c>
      <c r="N2075">
        <f>IF(OR(N1353="",AND(N1353=N1352,N1353=N1354)),NA(), N1353)</f>
        <v>0</v>
      </c>
    </row>
    <row r="2076" spans="5:14">
      <c r="E2076">
        <f>IF(ISNA(F2076),NA(),E1354)</f>
        <v>0</v>
      </c>
      <c r="F2076">
        <f>IF(OR(F1354="",AND(F1354=F1353,F1354=F1355)),NA(), F1354)</f>
        <v>0</v>
      </c>
      <c r="G2076">
        <f>IF(ISNA(H2076),NA(),G1354)</f>
        <v>0</v>
      </c>
      <c r="H2076">
        <f>IF(OR(H1354="",AND(H1354=H1353,H1354=H1355)),NA(), H1354)</f>
        <v>0</v>
      </c>
      <c r="K2076">
        <f>IF(ISNA(L2076),NA(),K1354)</f>
        <v>0</v>
      </c>
      <c r="L2076">
        <f>IF(OR(L1354="",AND(L1354=L1353,L1354=L1355)),NA(), L1354)</f>
        <v>0</v>
      </c>
      <c r="M2076">
        <f>IF(ISNA(N2076),NA(),M1354)</f>
        <v>0</v>
      </c>
      <c r="N2076">
        <f>IF(OR(N1354="",AND(N1354=N1353,N1354=N1355)),NA(), N1354)</f>
        <v>0</v>
      </c>
    </row>
    <row r="2077" spans="5:14">
      <c r="E2077">
        <f>IF(ISNA(F2077),NA(),E1355)</f>
        <v>0</v>
      </c>
      <c r="F2077">
        <f>IF(OR(F1355="",AND(F1355=F1354,F1355=F1356)),NA(), F1355)</f>
        <v>0</v>
      </c>
      <c r="G2077">
        <f>IF(ISNA(H2077),NA(),G1355)</f>
        <v>0</v>
      </c>
      <c r="H2077">
        <f>IF(OR(H1355="",AND(H1355=H1354,H1355=H1356)),NA(), H1355)</f>
        <v>0</v>
      </c>
      <c r="K2077">
        <f>IF(ISNA(L2077),NA(),K1355)</f>
        <v>0</v>
      </c>
      <c r="L2077">
        <f>IF(OR(L1355="",AND(L1355=L1354,L1355=L1356)),NA(), L1355)</f>
        <v>0</v>
      </c>
      <c r="M2077">
        <f>IF(ISNA(N2077),NA(),M1355)</f>
        <v>0</v>
      </c>
      <c r="N2077">
        <f>IF(OR(N1355="",AND(N1355=N1354,N1355=N1356)),NA(), N1355)</f>
        <v>0</v>
      </c>
    </row>
    <row r="2078" spans="5:14">
      <c r="E2078">
        <f>IF(ISNA(F2078),NA(),E1356)</f>
        <v>0</v>
      </c>
      <c r="F2078">
        <f>IF(OR(F1356="",AND(F1356=F1355,F1356=F1357)),NA(), F1356)</f>
        <v>0</v>
      </c>
      <c r="G2078">
        <f>IF(ISNA(H2078),NA(),G1356)</f>
        <v>0</v>
      </c>
      <c r="H2078">
        <f>IF(OR(H1356="",AND(H1356=H1355,H1356=H1357)),NA(), H1356)</f>
        <v>0</v>
      </c>
      <c r="K2078">
        <f>IF(ISNA(L2078),NA(),K1356)</f>
        <v>0</v>
      </c>
      <c r="L2078">
        <f>IF(OR(L1356="",AND(L1356=L1355,L1356=L1357)),NA(), L1356)</f>
        <v>0</v>
      </c>
      <c r="M2078">
        <f>IF(ISNA(N2078),NA(),M1356)</f>
        <v>0</v>
      </c>
      <c r="N2078">
        <f>IF(OR(N1356="",AND(N1356=N1355,N1356=N1357)),NA(), N1356)</f>
        <v>0</v>
      </c>
    </row>
    <row r="2079" spans="5:14">
      <c r="E2079">
        <f>IF(ISNA(F2079),NA(),E1357)</f>
        <v>0</v>
      </c>
      <c r="F2079">
        <f>IF(OR(F1357="",AND(F1357=F1356,F1357=F1358)),NA(), F1357)</f>
        <v>0</v>
      </c>
      <c r="G2079">
        <f>IF(ISNA(H2079),NA(),G1357)</f>
        <v>0</v>
      </c>
      <c r="H2079">
        <f>IF(OR(H1357="",AND(H1357=H1356,H1357=H1358)),NA(), H1357)</f>
        <v>0</v>
      </c>
      <c r="K2079">
        <f>IF(ISNA(L2079),NA(),K1357)</f>
        <v>0</v>
      </c>
      <c r="L2079">
        <f>IF(OR(L1357="",AND(L1357=L1356,L1357=L1358)),NA(), L1357)</f>
        <v>0</v>
      </c>
      <c r="M2079">
        <f>IF(ISNA(N2079),NA(),M1357)</f>
        <v>0</v>
      </c>
      <c r="N2079">
        <f>IF(OR(N1357="",AND(N1357=N1356,N1357=N1358)),NA(), N1357)</f>
        <v>0</v>
      </c>
    </row>
    <row r="2080" spans="5:14">
      <c r="E2080">
        <f>IF(ISNA(F2080),NA(),E1358)</f>
        <v>0</v>
      </c>
      <c r="F2080">
        <f>IF(OR(F1358="",AND(F1358=F1357,F1358=F1359)),NA(), F1358)</f>
        <v>0</v>
      </c>
      <c r="G2080">
        <f>IF(ISNA(H2080),NA(),G1358)</f>
        <v>0</v>
      </c>
      <c r="H2080">
        <f>IF(OR(H1358="",AND(H1358=H1357,H1358=H1359)),NA(), H1358)</f>
        <v>0</v>
      </c>
      <c r="K2080">
        <f>IF(ISNA(L2080),NA(),K1358)</f>
        <v>0</v>
      </c>
      <c r="L2080">
        <f>IF(OR(L1358="",AND(L1358=L1357,L1358=L1359)),NA(), L1358)</f>
        <v>0</v>
      </c>
      <c r="M2080">
        <f>IF(ISNA(N2080),NA(),M1358)</f>
        <v>0</v>
      </c>
      <c r="N2080">
        <f>IF(OR(N1358="",AND(N1358=N1357,N1358=N1359)),NA(), N1358)</f>
        <v>0</v>
      </c>
    </row>
    <row r="2081" spans="5:14">
      <c r="E2081">
        <f>IF(ISNA(F2081),NA(),E1359)</f>
        <v>0</v>
      </c>
      <c r="F2081">
        <f>IF(OR(F1359="",AND(F1359=F1358,F1359=F1360)),NA(), F1359)</f>
        <v>0</v>
      </c>
      <c r="G2081">
        <f>IF(ISNA(H2081),NA(),G1359)</f>
        <v>0</v>
      </c>
      <c r="H2081">
        <f>IF(OR(H1359="",AND(H1359=H1358,H1359=H1360)),NA(), H1359)</f>
        <v>0</v>
      </c>
      <c r="K2081">
        <f>IF(ISNA(L2081),NA(),K1359)</f>
        <v>0</v>
      </c>
      <c r="L2081">
        <f>IF(OR(L1359="",AND(L1359=L1358,L1359=L1360)),NA(), L1359)</f>
        <v>0</v>
      </c>
      <c r="M2081">
        <f>IF(ISNA(N2081),NA(),M1359)</f>
        <v>0</v>
      </c>
      <c r="N2081">
        <f>IF(OR(N1359="",AND(N1359=N1358,N1359=N1360)),NA(), N1359)</f>
        <v>0</v>
      </c>
    </row>
    <row r="2082" spans="5:14">
      <c r="E2082">
        <f>IF(ISNA(F2082),NA(),E1360)</f>
        <v>0</v>
      </c>
      <c r="F2082">
        <f>IF(OR(F1360="",AND(F1360=F1359,F1360=F1361)),NA(), F1360)</f>
        <v>0</v>
      </c>
      <c r="G2082">
        <f>IF(ISNA(H2082),NA(),G1360)</f>
        <v>0</v>
      </c>
      <c r="H2082">
        <f>IF(OR(H1360="",AND(H1360=H1359,H1360=H1361)),NA(), H1360)</f>
        <v>0</v>
      </c>
      <c r="K2082">
        <f>IF(ISNA(L2082),NA(),K1360)</f>
        <v>0</v>
      </c>
      <c r="L2082">
        <f>IF(OR(L1360="",AND(L1360=L1359,L1360=L1361)),NA(), L1360)</f>
        <v>0</v>
      </c>
      <c r="M2082">
        <f>IF(ISNA(N2082),NA(),M1360)</f>
        <v>0</v>
      </c>
      <c r="N2082">
        <f>IF(OR(N1360="",AND(N1360=N1359,N1360=N1361)),NA(), N1360)</f>
        <v>0</v>
      </c>
    </row>
    <row r="2083" spans="5:14">
      <c r="E2083">
        <f>IF(ISNA(F2083),NA(),E1361)</f>
        <v>0</v>
      </c>
      <c r="F2083">
        <f>IF(OR(F1361="",AND(F1361=F1360,F1361=F1362)),NA(), F1361)</f>
        <v>0</v>
      </c>
      <c r="G2083">
        <f>IF(ISNA(H2083),NA(),G1361)</f>
        <v>0</v>
      </c>
      <c r="H2083">
        <f>IF(OR(H1361="",AND(H1361=H1360,H1361=H1362)),NA(), H1361)</f>
        <v>0</v>
      </c>
      <c r="K2083">
        <f>IF(ISNA(L2083),NA(),K1361)</f>
        <v>0</v>
      </c>
      <c r="L2083">
        <f>IF(OR(L1361="",AND(L1361=L1360,L1361=L1362)),NA(), L1361)</f>
        <v>0</v>
      </c>
      <c r="M2083">
        <f>IF(ISNA(N2083),NA(),M1361)</f>
        <v>0</v>
      </c>
      <c r="N2083">
        <f>IF(OR(N1361="",AND(N1361=N1360,N1361=N1362)),NA(), N1361)</f>
        <v>0</v>
      </c>
    </row>
    <row r="2084" spans="5:14">
      <c r="E2084">
        <f>IF(ISNA(F2084),NA(),E1362)</f>
        <v>0</v>
      </c>
      <c r="F2084">
        <f>IF(OR(F1362="",AND(F1362=F1361,F1362=F1363)),NA(), F1362)</f>
        <v>0</v>
      </c>
      <c r="G2084">
        <f>IF(ISNA(H2084),NA(),G1362)</f>
        <v>0</v>
      </c>
      <c r="H2084">
        <f>IF(OR(H1362="",AND(H1362=H1361,H1362=H1363)),NA(), H1362)</f>
        <v>0</v>
      </c>
      <c r="K2084">
        <f>IF(ISNA(L2084),NA(),K1362)</f>
        <v>0</v>
      </c>
      <c r="L2084">
        <f>IF(OR(L1362="",AND(L1362=L1361,L1362=L1363)),NA(), L1362)</f>
        <v>0</v>
      </c>
      <c r="M2084">
        <f>IF(ISNA(N2084),NA(),M1362)</f>
        <v>0</v>
      </c>
      <c r="N2084">
        <f>IF(OR(N1362="",AND(N1362=N1361,N1362=N1363)),NA(), N1362)</f>
        <v>0</v>
      </c>
    </row>
    <row r="2085" spans="5:14">
      <c r="E2085">
        <f>IF(ISNA(F2085),NA(),E1363)</f>
        <v>0</v>
      </c>
      <c r="F2085">
        <f>IF(OR(F1363="",AND(F1363=F1362,F1363=F1364)),NA(), F1363)</f>
        <v>0</v>
      </c>
      <c r="G2085">
        <f>IF(ISNA(H2085),NA(),G1363)</f>
        <v>0</v>
      </c>
      <c r="H2085">
        <f>IF(OR(H1363="",AND(H1363=H1362,H1363=H1364)),NA(), H1363)</f>
        <v>0</v>
      </c>
      <c r="K2085">
        <f>IF(ISNA(L2085),NA(),K1363)</f>
        <v>0</v>
      </c>
      <c r="L2085">
        <f>IF(OR(L1363="",AND(L1363=L1362,L1363=L1364)),NA(), L1363)</f>
        <v>0</v>
      </c>
      <c r="M2085">
        <f>IF(ISNA(N2085),NA(),M1363)</f>
        <v>0</v>
      </c>
      <c r="N2085">
        <f>IF(OR(N1363="",AND(N1363=N1362,N1363=N1364)),NA(), N1363)</f>
        <v>0</v>
      </c>
    </row>
    <row r="2086" spans="5:14">
      <c r="E2086">
        <f>IF(ISNA(F2086),NA(),E1364)</f>
        <v>0</v>
      </c>
      <c r="F2086">
        <f>IF(OR(F1364="",AND(F1364=F1363,F1364=F1365)),NA(), F1364)</f>
        <v>0</v>
      </c>
      <c r="G2086">
        <f>IF(ISNA(H2086),NA(),G1364)</f>
        <v>0</v>
      </c>
      <c r="H2086">
        <f>IF(OR(H1364="",AND(H1364=H1363,H1364=H1365)),NA(), H1364)</f>
        <v>0</v>
      </c>
      <c r="K2086">
        <f>IF(ISNA(L2086),NA(),K1364)</f>
        <v>0</v>
      </c>
      <c r="L2086">
        <f>IF(OR(L1364="",AND(L1364=L1363,L1364=L1365)),NA(), L1364)</f>
        <v>0</v>
      </c>
      <c r="M2086">
        <f>IF(ISNA(N2086),NA(),M1364)</f>
        <v>0</v>
      </c>
      <c r="N2086">
        <f>IF(OR(N1364="",AND(N1364=N1363,N1364=N1365)),NA(), N1364)</f>
        <v>0</v>
      </c>
    </row>
    <row r="2087" spans="5:14">
      <c r="E2087">
        <f>IF(ISNA(F2087),NA(),E1365)</f>
        <v>0</v>
      </c>
      <c r="F2087">
        <f>IF(OR(F1365="",AND(F1365=F1364,F1365=F1366)),NA(), F1365)</f>
        <v>0</v>
      </c>
      <c r="G2087">
        <f>IF(ISNA(H2087),NA(),G1365)</f>
        <v>0</v>
      </c>
      <c r="H2087">
        <f>IF(OR(H1365="",AND(H1365=H1364,H1365=H1366)),NA(), H1365)</f>
        <v>0</v>
      </c>
      <c r="K2087">
        <f>IF(ISNA(L2087),NA(),K1365)</f>
        <v>0</v>
      </c>
      <c r="L2087">
        <f>IF(OR(L1365="",AND(L1365=L1364,L1365=L1366)),NA(), L1365)</f>
        <v>0</v>
      </c>
      <c r="M2087">
        <f>IF(ISNA(N2087),NA(),M1365)</f>
        <v>0</v>
      </c>
      <c r="N2087">
        <f>IF(OR(N1365="",AND(N1365=N1364,N1365=N1366)),NA(), N1365)</f>
        <v>0</v>
      </c>
    </row>
    <row r="2088" spans="5:14">
      <c r="E2088">
        <f>IF(ISNA(F2088),NA(),E1366)</f>
        <v>0</v>
      </c>
      <c r="F2088">
        <f>IF(OR(F1366="",AND(F1366=F1365,F1366=F1367)),NA(), F1366)</f>
        <v>0</v>
      </c>
      <c r="G2088">
        <f>IF(ISNA(H2088),NA(),G1366)</f>
        <v>0</v>
      </c>
      <c r="H2088">
        <f>IF(OR(H1366="",AND(H1366=H1365,H1366=H1367)),NA(), H1366)</f>
        <v>0</v>
      </c>
      <c r="K2088">
        <f>IF(ISNA(L2088),NA(),K1366)</f>
        <v>0</v>
      </c>
      <c r="L2088">
        <f>IF(OR(L1366="",AND(L1366=L1365,L1366=L1367)),NA(), L1366)</f>
        <v>0</v>
      </c>
      <c r="M2088">
        <f>IF(ISNA(N2088),NA(),M1366)</f>
        <v>0</v>
      </c>
      <c r="N2088">
        <f>IF(OR(N1366="",AND(N1366=N1365,N1366=N1367)),NA(), N1366)</f>
        <v>0</v>
      </c>
    </row>
    <row r="2089" spans="5:14">
      <c r="E2089">
        <f>IF(ISNA(F2089),NA(),E1367)</f>
        <v>0</v>
      </c>
      <c r="F2089">
        <f>IF(OR(F1367="",AND(F1367=F1366,F1367=F1368)),NA(), F1367)</f>
        <v>0</v>
      </c>
      <c r="G2089">
        <f>IF(ISNA(H2089),NA(),G1367)</f>
        <v>0</v>
      </c>
      <c r="H2089">
        <f>IF(OR(H1367="",AND(H1367=H1366,H1367=H1368)),NA(), H1367)</f>
        <v>0</v>
      </c>
      <c r="K2089">
        <f>IF(ISNA(L2089),NA(),K1367)</f>
        <v>0</v>
      </c>
      <c r="L2089">
        <f>IF(OR(L1367="",AND(L1367=L1366,L1367=L1368)),NA(), L1367)</f>
        <v>0</v>
      </c>
      <c r="M2089">
        <f>IF(ISNA(N2089),NA(),M1367)</f>
        <v>0</v>
      </c>
      <c r="N2089">
        <f>IF(OR(N1367="",AND(N1367=N1366,N1367=N1368)),NA(), N1367)</f>
        <v>0</v>
      </c>
    </row>
    <row r="2090" spans="5:14">
      <c r="E2090">
        <f>IF(ISNA(F2090),NA(),E1368)</f>
        <v>0</v>
      </c>
      <c r="F2090">
        <f>IF(OR(F1368="",AND(F1368=F1367,F1368=F1369)),NA(), F1368)</f>
        <v>0</v>
      </c>
      <c r="G2090">
        <f>IF(ISNA(H2090),NA(),G1368)</f>
        <v>0</v>
      </c>
      <c r="H2090">
        <f>IF(OR(H1368="",AND(H1368=H1367,H1368=H1369)),NA(), H1368)</f>
        <v>0</v>
      </c>
      <c r="K2090">
        <f>IF(ISNA(L2090),NA(),K1368)</f>
        <v>0</v>
      </c>
      <c r="L2090">
        <f>IF(OR(L1368="",AND(L1368=L1367,L1368=L1369)),NA(), L1368)</f>
        <v>0</v>
      </c>
      <c r="M2090">
        <f>IF(ISNA(N2090),NA(),M1368)</f>
        <v>0</v>
      </c>
      <c r="N2090">
        <f>IF(OR(N1368="",AND(N1368=N1367,N1368=N1369)),NA(), N1368)</f>
        <v>0</v>
      </c>
    </row>
    <row r="2091" spans="5:14">
      <c r="E2091">
        <f>IF(ISNA(F2091),NA(),E1369)</f>
        <v>0</v>
      </c>
      <c r="F2091">
        <f>IF(OR(F1369="",AND(F1369=F1368,F1369=F1370)),NA(), F1369)</f>
        <v>0</v>
      </c>
      <c r="G2091">
        <f>IF(ISNA(H2091),NA(),G1369)</f>
        <v>0</v>
      </c>
      <c r="H2091">
        <f>IF(OR(H1369="",AND(H1369=H1368,H1369=H1370)),NA(), H1369)</f>
        <v>0</v>
      </c>
      <c r="K2091">
        <f>IF(ISNA(L2091),NA(),K1369)</f>
        <v>0</v>
      </c>
      <c r="L2091">
        <f>IF(OR(L1369="",AND(L1369=L1368,L1369=L1370)),NA(), L1369)</f>
        <v>0</v>
      </c>
      <c r="M2091">
        <f>IF(ISNA(N2091),NA(),M1369)</f>
        <v>0</v>
      </c>
      <c r="N2091">
        <f>IF(OR(N1369="",AND(N1369=N1368,N1369=N1370)),NA(), N1369)</f>
        <v>0</v>
      </c>
    </row>
    <row r="2092" spans="5:14">
      <c r="E2092">
        <f>IF(ISNA(F2092),NA(),E1370)</f>
        <v>0</v>
      </c>
      <c r="F2092">
        <f>IF(OR(F1370="",AND(F1370=F1369,F1370=F1371)),NA(), F1370)</f>
        <v>0</v>
      </c>
      <c r="G2092">
        <f>IF(ISNA(H2092),NA(),G1370)</f>
        <v>0</v>
      </c>
      <c r="H2092">
        <f>IF(OR(H1370="",AND(H1370=H1369,H1370=H1371)),NA(), H1370)</f>
        <v>0</v>
      </c>
      <c r="K2092">
        <f>IF(ISNA(L2092),NA(),K1370)</f>
        <v>0</v>
      </c>
      <c r="L2092">
        <f>IF(OR(L1370="",AND(L1370=L1369,L1370=L1371)),NA(), L1370)</f>
        <v>0</v>
      </c>
      <c r="M2092">
        <f>IF(ISNA(N2092),NA(),M1370)</f>
        <v>0</v>
      </c>
      <c r="N2092">
        <f>IF(OR(N1370="",AND(N1370=N1369,N1370=N1371)),NA(), N1370)</f>
        <v>0</v>
      </c>
    </row>
    <row r="2093" spans="5:14">
      <c r="E2093">
        <f>IF(ISNA(F2093),NA(),E1371)</f>
        <v>0</v>
      </c>
      <c r="F2093">
        <f>IF(OR(F1371="",AND(F1371=F1370,F1371=F1372)),NA(), F1371)</f>
        <v>0</v>
      </c>
      <c r="G2093">
        <f>IF(ISNA(H2093),NA(),G1371)</f>
        <v>0</v>
      </c>
      <c r="H2093">
        <f>IF(OR(H1371="",AND(H1371=H1370,H1371=H1372)),NA(), H1371)</f>
        <v>0</v>
      </c>
      <c r="K2093">
        <f>IF(ISNA(L2093),NA(),K1371)</f>
        <v>0</v>
      </c>
      <c r="L2093">
        <f>IF(OR(L1371="",AND(L1371=L1370,L1371=L1372)),NA(), L1371)</f>
        <v>0</v>
      </c>
      <c r="M2093">
        <f>IF(ISNA(N2093),NA(),M1371)</f>
        <v>0</v>
      </c>
      <c r="N2093">
        <f>IF(OR(N1371="",AND(N1371=N1370,N1371=N1372)),NA(), N1371)</f>
        <v>0</v>
      </c>
    </row>
    <row r="2094" spans="5:14">
      <c r="E2094">
        <f>IF(ISNA(F2094),NA(),E1372)</f>
        <v>0</v>
      </c>
      <c r="F2094">
        <f>IF(OR(F1372="",AND(F1372=F1371,F1372=F1373)),NA(), F1372)</f>
        <v>0</v>
      </c>
      <c r="G2094">
        <f>IF(ISNA(H2094),NA(),G1372)</f>
        <v>0</v>
      </c>
      <c r="H2094">
        <f>IF(OR(H1372="",AND(H1372=H1371,H1372=H1373)),NA(), H1372)</f>
        <v>0</v>
      </c>
      <c r="K2094">
        <f>IF(ISNA(L2094),NA(),K1372)</f>
        <v>0</v>
      </c>
      <c r="L2094">
        <f>IF(OR(L1372="",AND(L1372=L1371,L1372=L1373)),NA(), L1372)</f>
        <v>0</v>
      </c>
      <c r="M2094">
        <f>IF(ISNA(N2094),NA(),M1372)</f>
        <v>0</v>
      </c>
      <c r="N2094">
        <f>IF(OR(N1372="",AND(N1372=N1371,N1372=N1373)),NA(), N1372)</f>
        <v>0</v>
      </c>
    </row>
    <row r="2095" spans="5:14">
      <c r="E2095">
        <f>IF(ISNA(F2095),NA(),E1373)</f>
        <v>0</v>
      </c>
      <c r="F2095">
        <f>IF(OR(F1373="",AND(F1373=F1372,F1373=F1374)),NA(), F1373)</f>
        <v>0</v>
      </c>
      <c r="G2095">
        <f>IF(ISNA(H2095),NA(),G1373)</f>
        <v>0</v>
      </c>
      <c r="H2095">
        <f>IF(OR(H1373="",AND(H1373=H1372,H1373=H1374)),NA(), H1373)</f>
        <v>0</v>
      </c>
      <c r="K2095">
        <f>IF(ISNA(L2095),NA(),K1373)</f>
        <v>0</v>
      </c>
      <c r="L2095">
        <f>IF(OR(L1373="",AND(L1373=L1372,L1373=L1374)),NA(), L1373)</f>
        <v>0</v>
      </c>
      <c r="M2095">
        <f>IF(ISNA(N2095),NA(),M1373)</f>
        <v>0</v>
      </c>
      <c r="N2095">
        <f>IF(OR(N1373="",AND(N1373=N1372,N1373=N1374)),NA(), N1373)</f>
        <v>0</v>
      </c>
    </row>
    <row r="2096" spans="5:14">
      <c r="E2096">
        <f>IF(ISNA(F2096),NA(),E1374)</f>
        <v>0</v>
      </c>
      <c r="F2096">
        <f>IF(OR(F1374="",AND(F1374=F1373,F1374=F1375)),NA(), F1374)</f>
        <v>0</v>
      </c>
      <c r="G2096">
        <f>IF(ISNA(H2096),NA(),G1374)</f>
        <v>0</v>
      </c>
      <c r="H2096">
        <f>IF(OR(H1374="",AND(H1374=H1373,H1374=H1375)),NA(), H1374)</f>
        <v>0</v>
      </c>
      <c r="K2096">
        <f>IF(ISNA(L2096),NA(),K1374)</f>
        <v>0</v>
      </c>
      <c r="L2096">
        <f>IF(OR(L1374="",AND(L1374=L1373,L1374=L1375)),NA(), L1374)</f>
        <v>0</v>
      </c>
      <c r="M2096">
        <f>IF(ISNA(N2096),NA(),M1374)</f>
        <v>0</v>
      </c>
      <c r="N2096">
        <f>IF(OR(N1374="",AND(N1374=N1373,N1374=N1375)),NA(), N1374)</f>
        <v>0</v>
      </c>
    </row>
    <row r="2097" spans="5:14">
      <c r="E2097">
        <f>IF(ISNA(F2097),NA(),E1375)</f>
        <v>0</v>
      </c>
      <c r="F2097">
        <f>IF(OR(F1375="",AND(F1375=F1374,F1375=F1376)),NA(), F1375)</f>
        <v>0</v>
      </c>
      <c r="G2097">
        <f>IF(ISNA(H2097),NA(),G1375)</f>
        <v>0</v>
      </c>
      <c r="H2097">
        <f>IF(OR(H1375="",AND(H1375=H1374,H1375=H1376)),NA(), H1375)</f>
        <v>0</v>
      </c>
      <c r="K2097">
        <f>IF(ISNA(L2097),NA(),K1375)</f>
        <v>0</v>
      </c>
      <c r="L2097">
        <f>IF(OR(L1375="",AND(L1375=L1374,L1375=L1376)),NA(), L1375)</f>
        <v>0</v>
      </c>
      <c r="M2097">
        <f>IF(ISNA(N2097),NA(),M1375)</f>
        <v>0</v>
      </c>
      <c r="N2097">
        <f>IF(OR(N1375="",AND(N1375=N1374,N1375=N1376)),NA(), N1375)</f>
        <v>0</v>
      </c>
    </row>
    <row r="2098" spans="5:14">
      <c r="E2098">
        <f>IF(ISNA(F2098),NA(),E1376)</f>
        <v>0</v>
      </c>
      <c r="F2098">
        <f>IF(OR(F1376="",AND(F1376=F1375,F1376=F1377)),NA(), F1376)</f>
        <v>0</v>
      </c>
      <c r="G2098">
        <f>IF(ISNA(H2098),NA(),G1376)</f>
        <v>0</v>
      </c>
      <c r="H2098">
        <f>IF(OR(H1376="",AND(H1376=H1375,H1376=H1377)),NA(), H1376)</f>
        <v>0</v>
      </c>
      <c r="K2098">
        <f>IF(ISNA(L2098),NA(),K1376)</f>
        <v>0</v>
      </c>
      <c r="L2098">
        <f>IF(OR(L1376="",AND(L1376=L1375,L1376=L1377)),NA(), L1376)</f>
        <v>0</v>
      </c>
      <c r="M2098">
        <f>IF(ISNA(N2098),NA(),M1376)</f>
        <v>0</v>
      </c>
      <c r="N2098">
        <f>IF(OR(N1376="",AND(N1376=N1375,N1376=N1377)),NA(), N1376)</f>
        <v>0</v>
      </c>
    </row>
    <row r="2099" spans="5:14">
      <c r="E2099">
        <f>IF(ISNA(F2099),NA(),E1377)</f>
        <v>0</v>
      </c>
      <c r="F2099">
        <f>IF(OR(F1377="",AND(F1377=F1376,F1377=F1378)),NA(), F1377)</f>
        <v>0</v>
      </c>
      <c r="G2099">
        <f>IF(ISNA(H2099),NA(),G1377)</f>
        <v>0</v>
      </c>
      <c r="H2099">
        <f>IF(OR(H1377="",AND(H1377=H1376,H1377=H1378)),NA(), H1377)</f>
        <v>0</v>
      </c>
      <c r="K2099">
        <f>IF(ISNA(L2099),NA(),K1377)</f>
        <v>0</v>
      </c>
      <c r="L2099">
        <f>IF(OR(L1377="",AND(L1377=L1376,L1377=L1378)),NA(), L1377)</f>
        <v>0</v>
      </c>
      <c r="M2099">
        <f>IF(ISNA(N2099),NA(),M1377)</f>
        <v>0</v>
      </c>
      <c r="N2099">
        <f>IF(OR(N1377="",AND(N1377=N1376,N1377=N1378)),NA(), N1377)</f>
        <v>0</v>
      </c>
    </row>
    <row r="2100" spans="5:14">
      <c r="E2100">
        <f>IF(ISNA(F2100),NA(),E1378)</f>
        <v>0</v>
      </c>
      <c r="F2100">
        <f>IF(OR(F1378="",AND(F1378=F1377,F1378=F1379)),NA(), F1378)</f>
        <v>0</v>
      </c>
      <c r="G2100">
        <f>IF(ISNA(H2100),NA(),G1378)</f>
        <v>0</v>
      </c>
      <c r="H2100">
        <f>IF(OR(H1378="",AND(H1378=H1377,H1378=H1379)),NA(), H1378)</f>
        <v>0</v>
      </c>
      <c r="K2100">
        <f>IF(ISNA(L2100),NA(),K1378)</f>
        <v>0</v>
      </c>
      <c r="L2100">
        <f>IF(OR(L1378="",AND(L1378=L1377,L1378=L1379)),NA(), L1378)</f>
        <v>0</v>
      </c>
      <c r="M2100">
        <f>IF(ISNA(N2100),NA(),M1378)</f>
        <v>0</v>
      </c>
      <c r="N2100">
        <f>IF(OR(N1378="",AND(N1378=N1377,N1378=N1379)),NA(), N1378)</f>
        <v>0</v>
      </c>
    </row>
    <row r="2101" spans="5:14">
      <c r="E2101">
        <f>IF(ISNA(F2101),NA(),E1379)</f>
        <v>0</v>
      </c>
      <c r="F2101">
        <f>IF(OR(F1379="",AND(F1379=F1378,F1379=F1380)),NA(), F1379)</f>
        <v>0</v>
      </c>
      <c r="G2101">
        <f>IF(ISNA(H2101),NA(),G1379)</f>
        <v>0</v>
      </c>
      <c r="H2101">
        <f>IF(OR(H1379="",AND(H1379=H1378,H1379=H1380)),NA(), H1379)</f>
        <v>0</v>
      </c>
      <c r="K2101">
        <f>IF(ISNA(L2101),NA(),K1379)</f>
        <v>0</v>
      </c>
      <c r="L2101">
        <f>IF(OR(L1379="",AND(L1379=L1378,L1379=L1380)),NA(), L1379)</f>
        <v>0</v>
      </c>
      <c r="M2101">
        <f>IF(ISNA(N2101),NA(),M1379)</f>
        <v>0</v>
      </c>
      <c r="N2101">
        <f>IF(OR(N1379="",AND(N1379=N1378,N1379=N1380)),NA(), N1379)</f>
        <v>0</v>
      </c>
    </row>
    <row r="2102" spans="5:14">
      <c r="E2102">
        <f>IF(ISNA(F2102),NA(),E1380)</f>
        <v>0</v>
      </c>
      <c r="F2102">
        <f>IF(OR(F1380="",AND(F1380=F1379,F1380=F1381)),NA(), F1380)</f>
        <v>0</v>
      </c>
      <c r="G2102">
        <f>IF(ISNA(H2102),NA(),G1380)</f>
        <v>0</v>
      </c>
      <c r="H2102">
        <f>IF(OR(H1380="",AND(H1380=H1379,H1380=H1381)),NA(), H1380)</f>
        <v>0</v>
      </c>
      <c r="K2102">
        <f>IF(ISNA(L2102),NA(),K1380)</f>
        <v>0</v>
      </c>
      <c r="L2102">
        <f>IF(OR(L1380="",AND(L1380=L1379,L1380=L1381)),NA(), L1380)</f>
        <v>0</v>
      </c>
      <c r="M2102">
        <f>IF(ISNA(N2102),NA(),M1380)</f>
        <v>0</v>
      </c>
      <c r="N2102">
        <f>IF(OR(N1380="",AND(N1380=N1379,N1380=N1381)),NA(), N1380)</f>
        <v>0</v>
      </c>
    </row>
    <row r="2103" spans="5:14">
      <c r="E2103">
        <f>IF(ISNA(F2103),NA(),E1381)</f>
        <v>0</v>
      </c>
      <c r="F2103">
        <f>IF(OR(F1381="",AND(F1381=F1380,F1381=F1382)),NA(), F1381)</f>
        <v>0</v>
      </c>
      <c r="G2103">
        <f>IF(ISNA(H2103),NA(),G1381)</f>
        <v>0</v>
      </c>
      <c r="H2103">
        <f>IF(OR(H1381="",AND(H1381=H1380,H1381=H1382)),NA(), H1381)</f>
        <v>0</v>
      </c>
      <c r="K2103">
        <f>IF(ISNA(L2103),NA(),K1381)</f>
        <v>0</v>
      </c>
      <c r="L2103">
        <f>IF(OR(L1381="",AND(L1381=L1380,L1381=L1382)),NA(), L1381)</f>
        <v>0</v>
      </c>
      <c r="M2103">
        <f>IF(ISNA(N2103),NA(),M1381)</f>
        <v>0</v>
      </c>
      <c r="N2103">
        <f>IF(OR(N1381="",AND(N1381=N1380,N1381=N1382)),NA(), N1381)</f>
        <v>0</v>
      </c>
    </row>
    <row r="2104" spans="5:14">
      <c r="E2104">
        <f>IF(ISNA(F2104),NA(),E1382)</f>
        <v>0</v>
      </c>
      <c r="F2104">
        <f>IF(OR(F1382="",AND(F1382=F1381,F1382=F1383)),NA(), F1382)</f>
        <v>0</v>
      </c>
      <c r="G2104">
        <f>IF(ISNA(H2104),NA(),G1382)</f>
        <v>0</v>
      </c>
      <c r="H2104">
        <f>IF(OR(H1382="",AND(H1382=H1381,H1382=H1383)),NA(), H1382)</f>
        <v>0</v>
      </c>
      <c r="K2104">
        <f>IF(ISNA(L2104),NA(),K1382)</f>
        <v>0</v>
      </c>
      <c r="L2104">
        <f>IF(OR(L1382="",AND(L1382=L1381,L1382=L1383)),NA(), L1382)</f>
        <v>0</v>
      </c>
      <c r="M2104">
        <f>IF(ISNA(N2104),NA(),M1382)</f>
        <v>0</v>
      </c>
      <c r="N2104">
        <f>IF(OR(N1382="",AND(N1382=N1381,N1382=N1383)),NA(), N1382)</f>
        <v>0</v>
      </c>
    </row>
    <row r="2105" spans="5:14">
      <c r="E2105">
        <f>IF(ISNA(F2105),NA(),E1383)</f>
        <v>0</v>
      </c>
      <c r="F2105">
        <f>IF(OR(F1383="",AND(F1383=F1382,F1383=F1384)),NA(), F1383)</f>
        <v>0</v>
      </c>
      <c r="G2105">
        <f>IF(ISNA(H2105),NA(),G1383)</f>
        <v>0</v>
      </c>
      <c r="H2105">
        <f>IF(OR(H1383="",AND(H1383=H1382,H1383=H1384)),NA(), H1383)</f>
        <v>0</v>
      </c>
      <c r="K2105">
        <f>IF(ISNA(L2105),NA(),K1383)</f>
        <v>0</v>
      </c>
      <c r="L2105">
        <f>IF(OR(L1383="",AND(L1383=L1382,L1383=L1384)),NA(), L1383)</f>
        <v>0</v>
      </c>
      <c r="M2105">
        <f>IF(ISNA(N2105),NA(),M1383)</f>
        <v>0</v>
      </c>
      <c r="N2105">
        <f>IF(OR(N1383="",AND(N1383=N1382,N1383=N1384)),NA(), N1383)</f>
        <v>0</v>
      </c>
    </row>
    <row r="2106" spans="5:14">
      <c r="E2106">
        <f>IF(ISNA(F2106),NA(),E1384)</f>
        <v>0</v>
      </c>
      <c r="F2106">
        <f>IF(OR(F1384="",AND(F1384=F1383,F1384=F1385)),NA(), F1384)</f>
        <v>0</v>
      </c>
      <c r="G2106">
        <f>IF(ISNA(H2106),NA(),G1384)</f>
        <v>0</v>
      </c>
      <c r="H2106">
        <f>IF(OR(H1384="",AND(H1384=H1383,H1384=H1385)),NA(), H1384)</f>
        <v>0</v>
      </c>
      <c r="K2106">
        <f>IF(ISNA(L2106),NA(),K1384)</f>
        <v>0</v>
      </c>
      <c r="L2106">
        <f>IF(OR(L1384="",AND(L1384=L1383,L1384=L1385)),NA(), L1384)</f>
        <v>0</v>
      </c>
      <c r="M2106">
        <f>IF(ISNA(N2106),NA(),M1384)</f>
        <v>0</v>
      </c>
      <c r="N2106">
        <f>IF(OR(N1384="",AND(N1384=N1383,N1384=N1385)),NA(), N1384)</f>
        <v>0</v>
      </c>
    </row>
    <row r="2107" spans="5:14">
      <c r="E2107">
        <f>IF(ISNA(F2107),NA(),E1385)</f>
        <v>0</v>
      </c>
      <c r="F2107">
        <f>IF(OR(F1385="",AND(F1385=F1384,F1385=F1386)),NA(), F1385)</f>
        <v>0</v>
      </c>
      <c r="G2107">
        <f>IF(ISNA(H2107),NA(),G1385)</f>
        <v>0</v>
      </c>
      <c r="H2107">
        <f>IF(OR(H1385="",AND(H1385=H1384,H1385=H1386)),NA(), H1385)</f>
        <v>0</v>
      </c>
      <c r="K2107">
        <f>IF(ISNA(L2107),NA(),K1385)</f>
        <v>0</v>
      </c>
      <c r="L2107">
        <f>IF(OR(L1385="",AND(L1385=L1384,L1385=L1386)),NA(), L1385)</f>
        <v>0</v>
      </c>
      <c r="M2107">
        <f>IF(ISNA(N2107),NA(),M1385)</f>
        <v>0</v>
      </c>
      <c r="N2107">
        <f>IF(OR(N1385="",AND(N1385=N1384,N1385=N1386)),NA(), N1385)</f>
        <v>0</v>
      </c>
    </row>
    <row r="2108" spans="5:14">
      <c r="E2108">
        <f>IF(ISNA(F2108),NA(),E1386)</f>
        <v>0</v>
      </c>
      <c r="F2108">
        <f>IF(OR(F1386="",AND(F1386=F1385,F1386=F1387)),NA(), F1386)</f>
        <v>0</v>
      </c>
      <c r="G2108">
        <f>IF(ISNA(H2108),NA(),G1386)</f>
        <v>0</v>
      </c>
      <c r="H2108">
        <f>IF(OR(H1386="",AND(H1386=H1385,H1386=H1387)),NA(), H1386)</f>
        <v>0</v>
      </c>
      <c r="K2108">
        <f>IF(ISNA(L2108),NA(),K1386)</f>
        <v>0</v>
      </c>
      <c r="L2108">
        <f>IF(OR(L1386="",AND(L1386=L1385,L1386=L1387)),NA(), L1386)</f>
        <v>0</v>
      </c>
      <c r="M2108">
        <f>IF(ISNA(N2108),NA(),M1386)</f>
        <v>0</v>
      </c>
      <c r="N2108">
        <f>IF(OR(N1386="",AND(N1386=N1385,N1386=N1387)),NA(), N1386)</f>
        <v>0</v>
      </c>
    </row>
    <row r="2109" spans="5:14">
      <c r="E2109">
        <f>IF(ISNA(F2109),NA(),E1387)</f>
        <v>0</v>
      </c>
      <c r="F2109">
        <f>IF(OR(F1387="",AND(F1387=F1386,F1387=F1388)),NA(), F1387)</f>
        <v>0</v>
      </c>
      <c r="G2109">
        <f>IF(ISNA(H2109),NA(),G1387)</f>
        <v>0</v>
      </c>
      <c r="H2109">
        <f>IF(OR(H1387="",AND(H1387=H1386,H1387=H1388)),NA(), H1387)</f>
        <v>0</v>
      </c>
      <c r="K2109">
        <f>IF(ISNA(L2109),NA(),K1387)</f>
        <v>0</v>
      </c>
      <c r="L2109">
        <f>IF(OR(L1387="",AND(L1387=L1386,L1387=L1388)),NA(), L1387)</f>
        <v>0</v>
      </c>
      <c r="M2109">
        <f>IF(ISNA(N2109),NA(),M1387)</f>
        <v>0</v>
      </c>
      <c r="N2109">
        <f>IF(OR(N1387="",AND(N1387=N1386,N1387=N1388)),NA(), N1387)</f>
        <v>0</v>
      </c>
    </row>
    <row r="2110" spans="5:14">
      <c r="E2110">
        <f>IF(ISNA(F2110),NA(),E1388)</f>
        <v>0</v>
      </c>
      <c r="F2110">
        <f>IF(OR(F1388="",AND(F1388=F1387,F1388=F1389)),NA(), F1388)</f>
        <v>0</v>
      </c>
      <c r="G2110">
        <f>IF(ISNA(H2110),NA(),G1388)</f>
        <v>0</v>
      </c>
      <c r="H2110">
        <f>IF(OR(H1388="",AND(H1388=H1387,H1388=H1389)),NA(), H1388)</f>
        <v>0</v>
      </c>
      <c r="K2110">
        <f>IF(ISNA(L2110),NA(),K1388)</f>
        <v>0</v>
      </c>
      <c r="L2110">
        <f>IF(OR(L1388="",AND(L1388=L1387,L1388=L1389)),NA(), L1388)</f>
        <v>0</v>
      </c>
      <c r="M2110">
        <f>IF(ISNA(N2110),NA(),M1388)</f>
        <v>0</v>
      </c>
      <c r="N2110">
        <f>IF(OR(N1388="",AND(N1388=N1387,N1388=N1389)),NA(), N1388)</f>
        <v>0</v>
      </c>
    </row>
    <row r="2111" spans="5:14">
      <c r="E2111">
        <f>IF(ISNA(F2111),NA(),E1389)</f>
        <v>0</v>
      </c>
      <c r="F2111">
        <f>IF(OR(F1389="",AND(F1389=F1388,F1389=F1390)),NA(), F1389)</f>
        <v>0</v>
      </c>
      <c r="G2111">
        <f>IF(ISNA(H2111),NA(),G1389)</f>
        <v>0</v>
      </c>
      <c r="H2111">
        <f>IF(OR(H1389="",AND(H1389=H1388,H1389=H1390)),NA(), H1389)</f>
        <v>0</v>
      </c>
      <c r="K2111">
        <f>IF(ISNA(L2111),NA(),K1389)</f>
        <v>0</v>
      </c>
      <c r="L2111">
        <f>IF(OR(L1389="",AND(L1389=L1388,L1389=L1390)),NA(), L1389)</f>
        <v>0</v>
      </c>
      <c r="M2111">
        <f>IF(ISNA(N2111),NA(),M1389)</f>
        <v>0</v>
      </c>
      <c r="N2111">
        <f>IF(OR(N1389="",AND(N1389=N1388,N1389=N1390)),NA(), N1389)</f>
        <v>0</v>
      </c>
    </row>
    <row r="2112" spans="5:14">
      <c r="E2112">
        <f>IF(ISNA(F2112),NA(),E1390)</f>
        <v>0</v>
      </c>
      <c r="F2112">
        <f>IF(OR(F1390="",AND(F1390=F1389,F1390=F1391)),NA(), F1390)</f>
        <v>0</v>
      </c>
      <c r="G2112">
        <f>IF(ISNA(H2112),NA(),G1390)</f>
        <v>0</v>
      </c>
      <c r="H2112">
        <f>IF(OR(H1390="",AND(H1390=H1389,H1390=H1391)),NA(), H1390)</f>
        <v>0</v>
      </c>
      <c r="K2112">
        <f>IF(ISNA(L2112),NA(),K1390)</f>
        <v>0</v>
      </c>
      <c r="L2112">
        <f>IF(OR(L1390="",AND(L1390=L1389,L1390=L1391)),NA(), L1390)</f>
        <v>0</v>
      </c>
      <c r="M2112">
        <f>IF(ISNA(N2112),NA(),M1390)</f>
        <v>0</v>
      </c>
      <c r="N2112">
        <f>IF(OR(N1390="",AND(N1390=N1389,N1390=N1391)),NA(), N1390)</f>
        <v>0</v>
      </c>
    </row>
    <row r="2113" spans="5:14">
      <c r="E2113">
        <f>IF(ISNA(F2113),NA(),E1391)</f>
        <v>0</v>
      </c>
      <c r="F2113">
        <f>IF(OR(F1391="",AND(F1391=F1390,F1391=F1392)),NA(), F1391)</f>
        <v>0</v>
      </c>
      <c r="G2113">
        <f>IF(ISNA(H2113),NA(),G1391)</f>
        <v>0</v>
      </c>
      <c r="H2113">
        <f>IF(OR(H1391="",AND(H1391=H1390,H1391=H1392)),NA(), H1391)</f>
        <v>0</v>
      </c>
      <c r="K2113">
        <f>IF(ISNA(L2113),NA(),K1391)</f>
        <v>0</v>
      </c>
      <c r="L2113">
        <f>IF(OR(L1391="",AND(L1391=L1390,L1391=L1392)),NA(), L1391)</f>
        <v>0</v>
      </c>
      <c r="M2113">
        <f>IF(ISNA(N2113),NA(),M1391)</f>
        <v>0</v>
      </c>
      <c r="N2113">
        <f>IF(OR(N1391="",AND(N1391=N1390,N1391=N1392)),NA(), N1391)</f>
        <v>0</v>
      </c>
    </row>
    <row r="2114" spans="5:14">
      <c r="E2114">
        <f>IF(ISNA(F2114),NA(),E1392)</f>
        <v>0</v>
      </c>
      <c r="F2114">
        <f>IF(OR(F1392="",AND(F1392=F1391,F1392=F1393)),NA(), F1392)</f>
        <v>0</v>
      </c>
      <c r="G2114">
        <f>IF(ISNA(H2114),NA(),G1392)</f>
        <v>0</v>
      </c>
      <c r="H2114">
        <f>IF(OR(H1392="",AND(H1392=H1391,H1392=H1393)),NA(), H1392)</f>
        <v>0</v>
      </c>
      <c r="K2114">
        <f>IF(ISNA(L2114),NA(),K1392)</f>
        <v>0</v>
      </c>
      <c r="L2114">
        <f>IF(OR(L1392="",AND(L1392=L1391,L1392=L1393)),NA(), L1392)</f>
        <v>0</v>
      </c>
      <c r="M2114">
        <f>IF(ISNA(N2114),NA(),M1392)</f>
        <v>0</v>
      </c>
      <c r="N2114">
        <f>IF(OR(N1392="",AND(N1392=N1391,N1392=N1393)),NA(), N1392)</f>
        <v>0</v>
      </c>
    </row>
    <row r="2115" spans="5:14">
      <c r="E2115">
        <f>IF(ISNA(F2115),NA(),E1393)</f>
        <v>0</v>
      </c>
      <c r="F2115">
        <f>IF(OR(F1393="",AND(F1393=F1392,F1393=F1394)),NA(), F1393)</f>
        <v>0</v>
      </c>
      <c r="G2115">
        <f>IF(ISNA(H2115),NA(),G1393)</f>
        <v>0</v>
      </c>
      <c r="H2115">
        <f>IF(OR(H1393="",AND(H1393=H1392,H1393=H1394)),NA(), H1393)</f>
        <v>0</v>
      </c>
      <c r="K2115">
        <f>IF(ISNA(L2115),NA(),K1393)</f>
        <v>0</v>
      </c>
      <c r="L2115">
        <f>IF(OR(L1393="",AND(L1393=L1392,L1393=L1394)),NA(), L1393)</f>
        <v>0</v>
      </c>
      <c r="M2115">
        <f>IF(ISNA(N2115),NA(),M1393)</f>
        <v>0</v>
      </c>
      <c r="N2115">
        <f>IF(OR(N1393="",AND(N1393=N1392,N1393=N1394)),NA(), N1393)</f>
        <v>0</v>
      </c>
    </row>
    <row r="2116" spans="5:14">
      <c r="E2116">
        <f>IF(ISNA(F2116),NA(),E1394)</f>
        <v>0</v>
      </c>
      <c r="F2116">
        <f>IF(OR(F1394="",AND(F1394=F1393,F1394=F1395)),NA(), F1394)</f>
        <v>0</v>
      </c>
      <c r="G2116">
        <f>IF(ISNA(H2116),NA(),G1394)</f>
        <v>0</v>
      </c>
      <c r="H2116">
        <f>IF(OR(H1394="",AND(H1394=H1393,H1394=H1395)),NA(), H1394)</f>
        <v>0</v>
      </c>
      <c r="K2116">
        <f>IF(ISNA(L2116),NA(),K1394)</f>
        <v>0</v>
      </c>
      <c r="L2116">
        <f>IF(OR(L1394="",AND(L1394=L1393,L1394=L1395)),NA(), L1394)</f>
        <v>0</v>
      </c>
      <c r="M2116">
        <f>IF(ISNA(N2116),NA(),M1394)</f>
        <v>0</v>
      </c>
      <c r="N2116">
        <f>IF(OR(N1394="",AND(N1394=N1393,N1394=N1395)),NA(), N1394)</f>
        <v>0</v>
      </c>
    </row>
    <row r="2117" spans="5:14">
      <c r="E2117">
        <f>IF(ISNA(F2117),NA(),E1395)</f>
        <v>0</v>
      </c>
      <c r="F2117">
        <f>IF(OR(F1395="",AND(F1395=F1394,F1395=F1396)),NA(), F1395)</f>
        <v>0</v>
      </c>
      <c r="G2117">
        <f>IF(ISNA(H2117),NA(),G1395)</f>
        <v>0</v>
      </c>
      <c r="H2117">
        <f>IF(OR(H1395="",AND(H1395=H1394,H1395=H1396)),NA(), H1395)</f>
        <v>0</v>
      </c>
      <c r="K2117">
        <f>IF(ISNA(L2117),NA(),K1395)</f>
        <v>0</v>
      </c>
      <c r="L2117">
        <f>IF(OR(L1395="",AND(L1395=L1394,L1395=L1396)),NA(), L1395)</f>
        <v>0</v>
      </c>
      <c r="M2117">
        <f>IF(ISNA(N2117),NA(),M1395)</f>
        <v>0</v>
      </c>
      <c r="N2117">
        <f>IF(OR(N1395="",AND(N1395=N1394,N1395=N1396)),NA(), N1395)</f>
        <v>0</v>
      </c>
    </row>
    <row r="2118" spans="5:14">
      <c r="E2118">
        <f>IF(ISNA(F2118),NA(),E1396)</f>
        <v>0</v>
      </c>
      <c r="F2118">
        <f>IF(OR(F1396="",AND(F1396=F1395,F1396=F1397)),NA(), F1396)</f>
        <v>0</v>
      </c>
      <c r="G2118">
        <f>IF(ISNA(H2118),NA(),G1396)</f>
        <v>0</v>
      </c>
      <c r="H2118">
        <f>IF(OR(H1396="",AND(H1396=H1395,H1396=H1397)),NA(), H1396)</f>
        <v>0</v>
      </c>
      <c r="K2118">
        <f>IF(ISNA(L2118),NA(),K1396)</f>
        <v>0</v>
      </c>
      <c r="L2118">
        <f>IF(OR(L1396="",AND(L1396=L1395,L1396=L1397)),NA(), L1396)</f>
        <v>0</v>
      </c>
      <c r="M2118">
        <f>IF(ISNA(N2118),NA(),M1396)</f>
        <v>0</v>
      </c>
      <c r="N2118">
        <f>IF(OR(N1396="",AND(N1396=N1395,N1396=N1397)),NA(), N1396)</f>
        <v>0</v>
      </c>
    </row>
    <row r="2119" spans="5:14">
      <c r="E2119">
        <f>IF(ISNA(F2119),NA(),E1397)</f>
        <v>0</v>
      </c>
      <c r="F2119">
        <f>IF(OR(F1397="",AND(F1397=F1396,F1397=F1398)),NA(), F1397)</f>
        <v>0</v>
      </c>
      <c r="G2119">
        <f>IF(ISNA(H2119),NA(),G1397)</f>
        <v>0</v>
      </c>
      <c r="H2119">
        <f>IF(OR(H1397="",AND(H1397=H1396,H1397=H1398)),NA(), H1397)</f>
        <v>0</v>
      </c>
      <c r="K2119">
        <f>IF(ISNA(L2119),NA(),K1397)</f>
        <v>0</v>
      </c>
      <c r="L2119">
        <f>IF(OR(L1397="",AND(L1397=L1396,L1397=L1398)),NA(), L1397)</f>
        <v>0</v>
      </c>
      <c r="M2119">
        <f>IF(ISNA(N2119),NA(),M1397)</f>
        <v>0</v>
      </c>
      <c r="N2119">
        <f>IF(OR(N1397="",AND(N1397=N1396,N1397=N1398)),NA(), N1397)</f>
        <v>0</v>
      </c>
    </row>
    <row r="2120" spans="5:14">
      <c r="E2120">
        <f>IF(ISNA(F2120),NA(),E1398)</f>
        <v>0</v>
      </c>
      <c r="F2120">
        <f>IF(OR(F1398="",AND(F1398=F1397,F1398=F1399)),NA(), F1398)</f>
        <v>0</v>
      </c>
      <c r="G2120">
        <f>IF(ISNA(H2120),NA(),G1398)</f>
        <v>0</v>
      </c>
      <c r="H2120">
        <f>IF(OR(H1398="",AND(H1398=H1397,H1398=H1399)),NA(), H1398)</f>
        <v>0</v>
      </c>
      <c r="K2120">
        <f>IF(ISNA(L2120),NA(),K1398)</f>
        <v>0</v>
      </c>
      <c r="L2120">
        <f>IF(OR(L1398="",AND(L1398=L1397,L1398=L1399)),NA(), L1398)</f>
        <v>0</v>
      </c>
      <c r="M2120">
        <f>IF(ISNA(N2120),NA(),M1398)</f>
        <v>0</v>
      </c>
      <c r="N2120">
        <f>IF(OR(N1398="",AND(N1398=N1397,N1398=N1399)),NA(), N1398)</f>
        <v>0</v>
      </c>
    </row>
    <row r="2121" spans="5:14">
      <c r="E2121">
        <f>IF(ISNA(F2121),NA(),E1399)</f>
        <v>0</v>
      </c>
      <c r="F2121">
        <f>IF(OR(F1399="",AND(F1399=F1398,F1399=F1400)),NA(), F1399)</f>
        <v>0</v>
      </c>
      <c r="G2121">
        <f>IF(ISNA(H2121),NA(),G1399)</f>
        <v>0</v>
      </c>
      <c r="H2121">
        <f>IF(OR(H1399="",AND(H1399=H1398,H1399=H1400)),NA(), H1399)</f>
        <v>0</v>
      </c>
      <c r="K2121">
        <f>IF(ISNA(L2121),NA(),K1399)</f>
        <v>0</v>
      </c>
      <c r="L2121">
        <f>IF(OR(L1399="",AND(L1399=L1398,L1399=L1400)),NA(), L1399)</f>
        <v>0</v>
      </c>
      <c r="M2121">
        <f>IF(ISNA(N2121),NA(),M1399)</f>
        <v>0</v>
      </c>
      <c r="N2121">
        <f>IF(OR(N1399="",AND(N1399=N1398,N1399=N1400)),NA(), N1399)</f>
        <v>0</v>
      </c>
    </row>
    <row r="2122" spans="5:14">
      <c r="E2122">
        <f>IF(ISNA(F2122),NA(),E1400)</f>
        <v>0</v>
      </c>
      <c r="F2122">
        <f>IF(OR(F1400="",AND(F1400=F1399,F1400=F1401)),NA(), F1400)</f>
        <v>0</v>
      </c>
      <c r="G2122">
        <f>IF(ISNA(H2122),NA(),G1400)</f>
        <v>0</v>
      </c>
      <c r="H2122">
        <f>IF(OR(H1400="",AND(H1400=H1399,H1400=H1401)),NA(), H1400)</f>
        <v>0</v>
      </c>
      <c r="K2122">
        <f>IF(ISNA(L2122),NA(),K1400)</f>
        <v>0</v>
      </c>
      <c r="L2122">
        <f>IF(OR(L1400="",AND(L1400=L1399,L1400=L1401)),NA(), L1400)</f>
        <v>0</v>
      </c>
      <c r="M2122">
        <f>IF(ISNA(N2122),NA(),M1400)</f>
        <v>0</v>
      </c>
      <c r="N2122">
        <f>IF(OR(N1400="",AND(N1400=N1399,N1400=N1401)),NA(), N1400)</f>
        <v>0</v>
      </c>
    </row>
    <row r="2123" spans="5:14">
      <c r="E2123">
        <f>IF(ISNA(F2123),NA(),E1401)</f>
        <v>0</v>
      </c>
      <c r="F2123">
        <f>IF(OR(F1401="",AND(F1401=F1400,F1401=F1402)),NA(), F1401)</f>
        <v>0</v>
      </c>
      <c r="G2123">
        <f>IF(ISNA(H2123),NA(),G1401)</f>
        <v>0</v>
      </c>
      <c r="H2123">
        <f>IF(OR(H1401="",AND(H1401=H1400,H1401=H1402)),NA(), H1401)</f>
        <v>0</v>
      </c>
      <c r="K2123">
        <f>IF(ISNA(L2123),NA(),K1401)</f>
        <v>0</v>
      </c>
      <c r="L2123">
        <f>IF(OR(L1401="",AND(L1401=L1400,L1401=L1402)),NA(), L1401)</f>
        <v>0</v>
      </c>
      <c r="M2123">
        <f>IF(ISNA(N2123),NA(),M1401)</f>
        <v>0</v>
      </c>
      <c r="N2123">
        <f>IF(OR(N1401="",AND(N1401=N1400,N1401=N1402)),NA(), N1401)</f>
        <v>0</v>
      </c>
    </row>
    <row r="2124" spans="5:14">
      <c r="E2124">
        <f>IF(ISNA(F2124),NA(),E1402)</f>
        <v>0</v>
      </c>
      <c r="F2124">
        <f>IF(OR(F1402="",AND(F1402=F1401,F1402=F1403)),NA(), F1402)</f>
        <v>0</v>
      </c>
      <c r="G2124">
        <f>IF(ISNA(H2124),NA(),G1402)</f>
        <v>0</v>
      </c>
      <c r="H2124">
        <f>IF(OR(H1402="",AND(H1402=H1401,H1402=H1403)),NA(), H1402)</f>
        <v>0</v>
      </c>
      <c r="K2124">
        <f>IF(ISNA(L2124),NA(),K1402)</f>
        <v>0</v>
      </c>
      <c r="L2124">
        <f>IF(OR(L1402="",AND(L1402=L1401,L1402=L1403)),NA(), L1402)</f>
        <v>0</v>
      </c>
      <c r="M2124">
        <f>IF(ISNA(N2124),NA(),M1402)</f>
        <v>0</v>
      </c>
      <c r="N2124">
        <f>IF(OR(N1402="",AND(N1402=N1401,N1402=N1403)),NA(), N1402)</f>
        <v>0</v>
      </c>
    </row>
    <row r="2125" spans="5:14">
      <c r="E2125">
        <f>IF(ISNA(F2125),NA(),E1403)</f>
        <v>0</v>
      </c>
      <c r="F2125">
        <f>IF(OR(F1403="",AND(F1403=F1402,F1403=F1404)),NA(), F1403)</f>
        <v>0</v>
      </c>
      <c r="G2125">
        <f>IF(ISNA(H2125),NA(),G1403)</f>
        <v>0</v>
      </c>
      <c r="H2125">
        <f>IF(OR(H1403="",AND(H1403=H1402,H1403=H1404)),NA(), H1403)</f>
        <v>0</v>
      </c>
      <c r="K2125">
        <f>IF(ISNA(L2125),NA(),K1403)</f>
        <v>0</v>
      </c>
      <c r="L2125">
        <f>IF(OR(L1403="",AND(L1403=L1402,L1403=L1404)),NA(), L1403)</f>
        <v>0</v>
      </c>
      <c r="M2125">
        <f>IF(ISNA(N2125),NA(),M1403)</f>
        <v>0</v>
      </c>
      <c r="N2125">
        <f>IF(OR(N1403="",AND(N1403=N1402,N1403=N1404)),NA(), N1403)</f>
        <v>0</v>
      </c>
    </row>
    <row r="2126" spans="5:14">
      <c r="E2126">
        <f>IF(ISNA(F2126),NA(),E1404)</f>
        <v>0</v>
      </c>
      <c r="F2126">
        <f>IF(OR(F1404="",AND(F1404=F1403,F1404=F1405)),NA(), F1404)</f>
        <v>0</v>
      </c>
      <c r="G2126">
        <f>IF(ISNA(H2126),NA(),G1404)</f>
        <v>0</v>
      </c>
      <c r="H2126">
        <f>IF(OR(H1404="",AND(H1404=H1403,H1404=H1405)),NA(), H1404)</f>
        <v>0</v>
      </c>
      <c r="K2126">
        <f>IF(ISNA(L2126),NA(),K1404)</f>
        <v>0</v>
      </c>
      <c r="L2126">
        <f>IF(OR(L1404="",AND(L1404=L1403,L1404=L1405)),NA(), L1404)</f>
        <v>0</v>
      </c>
      <c r="M2126">
        <f>IF(ISNA(N2126),NA(),M1404)</f>
        <v>0</v>
      </c>
      <c r="N2126">
        <f>IF(OR(N1404="",AND(N1404=N1403,N1404=N1405)),NA(), N1404)</f>
        <v>0</v>
      </c>
    </row>
    <row r="2127" spans="5:14">
      <c r="E2127">
        <f>IF(ISNA(F2127),NA(),E1405)</f>
        <v>0</v>
      </c>
      <c r="F2127">
        <f>IF(OR(F1405="",AND(F1405=F1404,F1405=F1406)),NA(), F1405)</f>
        <v>0</v>
      </c>
      <c r="G2127">
        <f>IF(ISNA(H2127),NA(),G1405)</f>
        <v>0</v>
      </c>
      <c r="H2127">
        <f>IF(OR(H1405="",AND(H1405=H1404,H1405=H1406)),NA(), H1405)</f>
        <v>0</v>
      </c>
      <c r="K2127">
        <f>IF(ISNA(L2127),NA(),K1405)</f>
        <v>0</v>
      </c>
      <c r="L2127">
        <f>IF(OR(L1405="",AND(L1405=L1404,L1405=L1406)),NA(), L1405)</f>
        <v>0</v>
      </c>
      <c r="M2127">
        <f>IF(ISNA(N2127),NA(),M1405)</f>
        <v>0</v>
      </c>
      <c r="N2127">
        <f>IF(OR(N1405="",AND(N1405=N1404,N1405=N1406)),NA(), N1405)</f>
        <v>0</v>
      </c>
    </row>
    <row r="2128" spans="5:14">
      <c r="E2128">
        <f>IF(ISNA(F2128),NA(),E1406)</f>
        <v>0</v>
      </c>
      <c r="F2128">
        <f>IF(OR(F1406="",AND(F1406=F1405,F1406=F1407)),NA(), F1406)</f>
        <v>0</v>
      </c>
      <c r="G2128">
        <f>IF(ISNA(H2128),NA(),G1406)</f>
        <v>0</v>
      </c>
      <c r="H2128">
        <f>IF(OR(H1406="",AND(H1406=H1405,H1406=H1407)),NA(), H1406)</f>
        <v>0</v>
      </c>
      <c r="K2128">
        <f>IF(ISNA(L2128),NA(),K1406)</f>
        <v>0</v>
      </c>
      <c r="L2128">
        <f>IF(OR(L1406="",AND(L1406=L1405,L1406=L1407)),NA(), L1406)</f>
        <v>0</v>
      </c>
      <c r="M2128">
        <f>IF(ISNA(N2128),NA(),M1406)</f>
        <v>0</v>
      </c>
      <c r="N2128">
        <f>IF(OR(N1406="",AND(N1406=N1405,N1406=N1407)),NA(), N1406)</f>
        <v>0</v>
      </c>
    </row>
    <row r="2129" spans="5:14">
      <c r="E2129">
        <f>IF(ISNA(F2129),NA(),E1407)</f>
        <v>0</v>
      </c>
      <c r="F2129">
        <f>IF(OR(F1407="",AND(F1407=F1406,F1407=F1408)),NA(), F1407)</f>
        <v>0</v>
      </c>
      <c r="G2129">
        <f>IF(ISNA(H2129),NA(),G1407)</f>
        <v>0</v>
      </c>
      <c r="H2129">
        <f>IF(OR(H1407="",AND(H1407=H1406,H1407=H1408)),NA(), H1407)</f>
        <v>0</v>
      </c>
      <c r="K2129">
        <f>IF(ISNA(L2129),NA(),K1407)</f>
        <v>0</v>
      </c>
      <c r="L2129">
        <f>IF(OR(L1407="",AND(L1407=L1406,L1407=L1408)),NA(), L1407)</f>
        <v>0</v>
      </c>
      <c r="M2129">
        <f>IF(ISNA(N2129),NA(),M1407)</f>
        <v>0</v>
      </c>
      <c r="N2129">
        <f>IF(OR(N1407="",AND(N1407=N1406,N1407=N1408)),NA(), N1407)</f>
        <v>0</v>
      </c>
    </row>
    <row r="2130" spans="5:14">
      <c r="E2130">
        <f>IF(ISNA(F2130),NA(),E1408)</f>
        <v>0</v>
      </c>
      <c r="F2130">
        <f>IF(OR(F1408="",AND(F1408=F1407,F1408=F1409)),NA(), F1408)</f>
        <v>0</v>
      </c>
      <c r="G2130">
        <f>IF(ISNA(H2130),NA(),G1408)</f>
        <v>0</v>
      </c>
      <c r="H2130">
        <f>IF(OR(H1408="",AND(H1408=H1407,H1408=H1409)),NA(), H1408)</f>
        <v>0</v>
      </c>
      <c r="K2130">
        <f>IF(ISNA(L2130),NA(),K1408)</f>
        <v>0</v>
      </c>
      <c r="L2130">
        <f>IF(OR(L1408="",AND(L1408=L1407,L1408=L1409)),NA(), L1408)</f>
        <v>0</v>
      </c>
      <c r="M2130">
        <f>IF(ISNA(N2130),NA(),M1408)</f>
        <v>0</v>
      </c>
      <c r="N2130">
        <f>IF(OR(N1408="",AND(N1408=N1407,N1408=N1409)),NA(), N1408)</f>
        <v>0</v>
      </c>
    </row>
    <row r="2131" spans="5:14">
      <c r="E2131">
        <f>IF(ISNA(F2131),NA(),E1409)</f>
        <v>0</v>
      </c>
      <c r="F2131">
        <f>IF(OR(F1409="",AND(F1409=F1408,F1409=F1410)),NA(), F1409)</f>
        <v>0</v>
      </c>
      <c r="G2131">
        <f>IF(ISNA(H2131),NA(),G1409)</f>
        <v>0</v>
      </c>
      <c r="H2131">
        <f>IF(OR(H1409="",AND(H1409=H1408,H1409=H1410)),NA(), H1409)</f>
        <v>0</v>
      </c>
      <c r="K2131">
        <f>IF(ISNA(L2131),NA(),K1409)</f>
        <v>0</v>
      </c>
      <c r="L2131">
        <f>IF(OR(L1409="",AND(L1409=L1408,L1409=L1410)),NA(), L1409)</f>
        <v>0</v>
      </c>
      <c r="M2131">
        <f>IF(ISNA(N2131),NA(),M1409)</f>
        <v>0</v>
      </c>
      <c r="N2131">
        <f>IF(OR(N1409="",AND(N1409=N1408,N1409=N1410)),NA(), N1409)</f>
        <v>0</v>
      </c>
    </row>
    <row r="2132" spans="5:14">
      <c r="E2132">
        <f>IF(ISNA(F2132),NA(),E1410)</f>
        <v>0</v>
      </c>
      <c r="F2132">
        <f>IF(OR(F1410="",AND(F1410=F1409,F1410=F1411)),NA(), F1410)</f>
        <v>0</v>
      </c>
      <c r="G2132">
        <f>IF(ISNA(H2132),NA(),G1410)</f>
        <v>0</v>
      </c>
      <c r="H2132">
        <f>IF(OR(H1410="",AND(H1410=H1409,H1410=H1411)),NA(), H1410)</f>
        <v>0</v>
      </c>
      <c r="K2132">
        <f>IF(ISNA(L2132),NA(),K1410)</f>
        <v>0</v>
      </c>
      <c r="L2132">
        <f>IF(OR(L1410="",AND(L1410=L1409,L1410=L1411)),NA(), L1410)</f>
        <v>0</v>
      </c>
      <c r="M2132">
        <f>IF(ISNA(N2132),NA(),M1410)</f>
        <v>0</v>
      </c>
      <c r="N2132">
        <f>IF(OR(N1410="",AND(N1410=N1409,N1410=N1411)),NA(), N1410)</f>
        <v>0</v>
      </c>
    </row>
    <row r="2133" spans="5:14">
      <c r="E2133">
        <f>IF(ISNA(F2133),NA(),E1411)</f>
        <v>0</v>
      </c>
      <c r="F2133">
        <f>IF(OR(F1411="",AND(F1411=F1410,F1411=F1412)),NA(), F1411)</f>
        <v>0</v>
      </c>
      <c r="G2133">
        <f>IF(ISNA(H2133),NA(),G1411)</f>
        <v>0</v>
      </c>
      <c r="H2133">
        <f>IF(OR(H1411="",AND(H1411=H1410,H1411=H1412)),NA(), H1411)</f>
        <v>0</v>
      </c>
      <c r="K2133">
        <f>IF(ISNA(L2133),NA(),K1411)</f>
        <v>0</v>
      </c>
      <c r="L2133">
        <f>IF(OR(L1411="",AND(L1411=L1410,L1411=L1412)),NA(), L1411)</f>
        <v>0</v>
      </c>
      <c r="M2133">
        <f>IF(ISNA(N2133),NA(),M1411)</f>
        <v>0</v>
      </c>
      <c r="N2133">
        <f>IF(OR(N1411="",AND(N1411=N1410,N1411=N1412)),NA(), N1411)</f>
        <v>0</v>
      </c>
    </row>
    <row r="2134" spans="5:14">
      <c r="E2134">
        <f>IF(ISNA(F2134),NA(),E1412)</f>
        <v>0</v>
      </c>
      <c r="F2134">
        <f>IF(OR(F1412="",AND(F1412=F1411,F1412=F1413)),NA(), F1412)</f>
        <v>0</v>
      </c>
      <c r="G2134">
        <f>IF(ISNA(H2134),NA(),G1412)</f>
        <v>0</v>
      </c>
      <c r="H2134">
        <f>IF(OR(H1412="",AND(H1412=H1411,H1412=H1413)),NA(), H1412)</f>
        <v>0</v>
      </c>
      <c r="K2134">
        <f>IF(ISNA(L2134),NA(),K1412)</f>
        <v>0</v>
      </c>
      <c r="L2134">
        <f>IF(OR(L1412="",AND(L1412=L1411,L1412=L1413)),NA(), L1412)</f>
        <v>0</v>
      </c>
      <c r="M2134">
        <f>IF(ISNA(N2134),NA(),M1412)</f>
        <v>0</v>
      </c>
      <c r="N2134">
        <f>IF(OR(N1412="",AND(N1412=N1411,N1412=N1413)),NA(), N1412)</f>
        <v>0</v>
      </c>
    </row>
    <row r="2135" spans="5:14">
      <c r="E2135">
        <f>IF(ISNA(F2135),NA(),E1413)</f>
        <v>0</v>
      </c>
      <c r="F2135">
        <f>IF(OR(F1413="",AND(F1413=F1412,F1413=F1414)),NA(), F1413)</f>
        <v>0</v>
      </c>
      <c r="G2135">
        <f>IF(ISNA(H2135),NA(),G1413)</f>
        <v>0</v>
      </c>
      <c r="H2135">
        <f>IF(OR(H1413="",AND(H1413=H1412,H1413=H1414)),NA(), H1413)</f>
        <v>0</v>
      </c>
      <c r="K2135">
        <f>IF(ISNA(L2135),NA(),K1413)</f>
        <v>0</v>
      </c>
      <c r="L2135">
        <f>IF(OR(L1413="",AND(L1413=L1412,L1413=L1414)),NA(), L1413)</f>
        <v>0</v>
      </c>
      <c r="M2135">
        <f>IF(ISNA(N2135),NA(),M1413)</f>
        <v>0</v>
      </c>
      <c r="N2135">
        <f>IF(OR(N1413="",AND(N1413=N1412,N1413=N1414)),NA(), N1413)</f>
        <v>0</v>
      </c>
    </row>
    <row r="2136" spans="5:14">
      <c r="E2136">
        <f>IF(ISNA(F2136),NA(),E1414)</f>
        <v>0</v>
      </c>
      <c r="F2136">
        <f>IF(OR(F1414="",AND(F1414=F1413,F1414=F1415)),NA(), F1414)</f>
        <v>0</v>
      </c>
      <c r="G2136">
        <f>IF(ISNA(H2136),NA(),G1414)</f>
        <v>0</v>
      </c>
      <c r="H2136">
        <f>IF(OR(H1414="",AND(H1414=H1413,H1414=H1415)),NA(), H1414)</f>
        <v>0</v>
      </c>
      <c r="K2136">
        <f>IF(ISNA(L2136),NA(),K1414)</f>
        <v>0</v>
      </c>
      <c r="L2136">
        <f>IF(OR(L1414="",AND(L1414=L1413,L1414=L1415)),NA(), L1414)</f>
        <v>0</v>
      </c>
      <c r="M2136">
        <f>IF(ISNA(N2136),NA(),M1414)</f>
        <v>0</v>
      </c>
      <c r="N2136">
        <f>IF(OR(N1414="",AND(N1414=N1413,N1414=N1415)),NA(), N1414)</f>
        <v>0</v>
      </c>
    </row>
    <row r="2137" spans="5:14">
      <c r="E2137">
        <f>IF(ISNA(F2137),NA(),E1415)</f>
        <v>0</v>
      </c>
      <c r="F2137">
        <f>IF(OR(F1415="",AND(F1415=F1414,F1415=F1416)),NA(), F1415)</f>
        <v>0</v>
      </c>
      <c r="G2137">
        <f>IF(ISNA(H2137),NA(),G1415)</f>
        <v>0</v>
      </c>
      <c r="H2137">
        <f>IF(OR(H1415="",AND(H1415=H1414,H1415=H1416)),NA(), H1415)</f>
        <v>0</v>
      </c>
      <c r="K2137">
        <f>IF(ISNA(L2137),NA(),K1415)</f>
        <v>0</v>
      </c>
      <c r="L2137">
        <f>IF(OR(L1415="",AND(L1415=L1414,L1415=L1416)),NA(), L1415)</f>
        <v>0</v>
      </c>
      <c r="M2137">
        <f>IF(ISNA(N2137),NA(),M1415)</f>
        <v>0</v>
      </c>
      <c r="N2137">
        <f>IF(OR(N1415="",AND(N1415=N1414,N1415=N1416)),NA(), N1415)</f>
        <v>0</v>
      </c>
    </row>
    <row r="2138" spans="5:14">
      <c r="E2138">
        <f>IF(ISNA(F2138),NA(),E1416)</f>
        <v>0</v>
      </c>
      <c r="F2138">
        <f>IF(OR(F1416="",AND(F1416=F1415,F1416=F1417)),NA(), F1416)</f>
        <v>0</v>
      </c>
      <c r="G2138">
        <f>IF(ISNA(H2138),NA(),G1416)</f>
        <v>0</v>
      </c>
      <c r="H2138">
        <f>IF(OR(H1416="",AND(H1416=H1415,H1416=H1417)),NA(), H1416)</f>
        <v>0</v>
      </c>
      <c r="K2138">
        <f>IF(ISNA(L2138),NA(),K1416)</f>
        <v>0</v>
      </c>
      <c r="L2138">
        <f>IF(OR(L1416="",AND(L1416=L1415,L1416=L1417)),NA(), L1416)</f>
        <v>0</v>
      </c>
      <c r="M2138">
        <f>IF(ISNA(N2138),NA(),M1416)</f>
        <v>0</v>
      </c>
      <c r="N2138">
        <f>IF(OR(N1416="",AND(N1416=N1415,N1416=N1417)),NA(), N1416)</f>
        <v>0</v>
      </c>
    </row>
    <row r="2139" spans="5:14">
      <c r="E2139">
        <f>IF(ISNA(F2139),NA(),E1417)</f>
        <v>0</v>
      </c>
      <c r="F2139">
        <f>IF(OR(F1417="",AND(F1417=F1416,F1417=F1418)),NA(), F1417)</f>
        <v>0</v>
      </c>
      <c r="G2139">
        <f>IF(ISNA(H2139),NA(),G1417)</f>
        <v>0</v>
      </c>
      <c r="H2139">
        <f>IF(OR(H1417="",AND(H1417=H1416,H1417=H1418)),NA(), H1417)</f>
        <v>0</v>
      </c>
      <c r="K2139">
        <f>IF(ISNA(L2139),NA(),K1417)</f>
        <v>0</v>
      </c>
      <c r="L2139">
        <f>IF(OR(L1417="",AND(L1417=L1416,L1417=L1418)),NA(), L1417)</f>
        <v>0</v>
      </c>
      <c r="M2139">
        <f>IF(ISNA(N2139),NA(),M1417)</f>
        <v>0</v>
      </c>
      <c r="N2139">
        <f>IF(OR(N1417="",AND(N1417=N1416,N1417=N1418)),NA(), N1417)</f>
        <v>0</v>
      </c>
    </row>
    <row r="2140" spans="5:14">
      <c r="E2140">
        <f>IF(ISNA(F2140),NA(),E1418)</f>
        <v>0</v>
      </c>
      <c r="F2140">
        <f>IF(OR(F1418="",AND(F1418=F1417,F1418=F1419)),NA(), F1418)</f>
        <v>0</v>
      </c>
      <c r="G2140">
        <f>IF(ISNA(H2140),NA(),G1418)</f>
        <v>0</v>
      </c>
      <c r="H2140">
        <f>IF(OR(H1418="",AND(H1418=H1417,H1418=H1419)),NA(), H1418)</f>
        <v>0</v>
      </c>
      <c r="K2140">
        <f>IF(ISNA(L2140),NA(),K1418)</f>
        <v>0</v>
      </c>
      <c r="L2140">
        <f>IF(OR(L1418="",AND(L1418=L1417,L1418=L1419)),NA(), L1418)</f>
        <v>0</v>
      </c>
      <c r="M2140">
        <f>IF(ISNA(N2140),NA(),M1418)</f>
        <v>0</v>
      </c>
      <c r="N2140">
        <f>IF(OR(N1418="",AND(N1418=N1417,N1418=N1419)),NA(), N1418)</f>
        <v>0</v>
      </c>
    </row>
    <row r="2141" spans="5:14">
      <c r="E2141">
        <f>IF(ISNA(F2141),NA(),E1419)</f>
        <v>0</v>
      </c>
      <c r="F2141">
        <f>IF(OR(F1419="",AND(F1419=F1418,F1419=F1420)),NA(), F1419)</f>
        <v>0</v>
      </c>
      <c r="G2141">
        <f>IF(ISNA(H2141),NA(),G1419)</f>
        <v>0</v>
      </c>
      <c r="H2141">
        <f>IF(OR(H1419="",AND(H1419=H1418,H1419=H1420)),NA(), H1419)</f>
        <v>0</v>
      </c>
      <c r="K2141">
        <f>IF(ISNA(L2141),NA(),K1419)</f>
        <v>0</v>
      </c>
      <c r="L2141">
        <f>IF(OR(L1419="",AND(L1419=L1418,L1419=L1420)),NA(), L1419)</f>
        <v>0</v>
      </c>
      <c r="M2141">
        <f>IF(ISNA(N2141),NA(),M1419)</f>
        <v>0</v>
      </c>
      <c r="N2141">
        <f>IF(OR(N1419="",AND(N1419=N1418,N1419=N1420)),NA(), N1419)</f>
        <v>0</v>
      </c>
    </row>
    <row r="2142" spans="5:14">
      <c r="E2142">
        <f>IF(ISNA(F2142),NA(),E1420)</f>
        <v>0</v>
      </c>
      <c r="F2142">
        <f>IF(OR(F1420="",AND(F1420=F1419,F1420=F1421)),NA(), F1420)</f>
        <v>0</v>
      </c>
      <c r="G2142">
        <f>IF(ISNA(H2142),NA(),G1420)</f>
        <v>0</v>
      </c>
      <c r="H2142">
        <f>IF(OR(H1420="",AND(H1420=H1419,H1420=H1421)),NA(), H1420)</f>
        <v>0</v>
      </c>
      <c r="K2142">
        <f>IF(ISNA(L2142),NA(),K1420)</f>
        <v>0</v>
      </c>
      <c r="L2142">
        <f>IF(OR(L1420="",AND(L1420=L1419,L1420=L1421)),NA(), L1420)</f>
        <v>0</v>
      </c>
      <c r="M2142">
        <f>IF(ISNA(N2142),NA(),M1420)</f>
        <v>0</v>
      </c>
      <c r="N2142">
        <f>IF(OR(N1420="",AND(N1420=N1419,N1420=N1421)),NA(), N1420)</f>
        <v>0</v>
      </c>
    </row>
    <row r="2143" spans="5:14">
      <c r="E2143">
        <f>IF(ISNA(F2143),NA(),E1421)</f>
        <v>0</v>
      </c>
      <c r="F2143">
        <f>IF(OR(F1421="",AND(F1421=F1420,F1421=F1422)),NA(), F1421)</f>
        <v>0</v>
      </c>
      <c r="G2143">
        <f>IF(ISNA(H2143),NA(),G1421)</f>
        <v>0</v>
      </c>
      <c r="H2143">
        <f>IF(OR(H1421="",AND(H1421=H1420,H1421=H1422)),NA(), H1421)</f>
        <v>0</v>
      </c>
      <c r="K2143">
        <f>IF(ISNA(L2143),NA(),K1421)</f>
        <v>0</v>
      </c>
      <c r="L2143">
        <f>IF(OR(L1421="",AND(L1421=L1420,L1421=L1422)),NA(), L1421)</f>
        <v>0</v>
      </c>
      <c r="M2143">
        <f>IF(ISNA(N2143),NA(),M1421)</f>
        <v>0</v>
      </c>
      <c r="N2143">
        <f>IF(OR(N1421="",AND(N1421=N1420,N1421=N1422)),NA(), N1421)</f>
        <v>0</v>
      </c>
    </row>
    <row r="2144" spans="5:14">
      <c r="E2144">
        <f>IF(ISNA(F2144),NA(),E1422)</f>
        <v>0</v>
      </c>
      <c r="F2144">
        <f>IF(OR(F1422="",AND(F1422=F1421,F1422=F1423)),NA(), F1422)</f>
        <v>0</v>
      </c>
      <c r="G2144">
        <f>IF(ISNA(H2144),NA(),G1422)</f>
        <v>0</v>
      </c>
      <c r="H2144">
        <f>IF(OR(H1422="",AND(H1422=H1421,H1422=H1423)),NA(), H1422)</f>
        <v>0</v>
      </c>
      <c r="K2144">
        <f>IF(ISNA(L2144),NA(),K1422)</f>
        <v>0</v>
      </c>
      <c r="L2144">
        <f>IF(OR(L1422="",AND(L1422=L1421,L1422=L1423)),NA(), L1422)</f>
        <v>0</v>
      </c>
      <c r="M2144">
        <f>IF(ISNA(N2144),NA(),M1422)</f>
        <v>0</v>
      </c>
      <c r="N2144">
        <f>IF(OR(N1422="",AND(N1422=N1421,N1422=N1423)),NA(), N1422)</f>
        <v>0</v>
      </c>
    </row>
    <row r="2145" spans="5:14">
      <c r="E2145">
        <f>IF(ISNA(F2145),NA(),E1423)</f>
        <v>0</v>
      </c>
      <c r="F2145">
        <f>IF(OR(F1423="",AND(F1423=F1422,F1423=F1424)),NA(), F1423)</f>
        <v>0</v>
      </c>
      <c r="G2145">
        <f>IF(ISNA(H2145),NA(),G1423)</f>
        <v>0</v>
      </c>
      <c r="H2145">
        <f>IF(OR(H1423="",AND(H1423=H1422,H1423=H1424)),NA(), H1423)</f>
        <v>0</v>
      </c>
      <c r="K2145">
        <f>IF(ISNA(L2145),NA(),K1423)</f>
        <v>0</v>
      </c>
      <c r="L2145">
        <f>IF(OR(L1423="",AND(L1423=L1422,L1423=L1424)),NA(), L1423)</f>
        <v>0</v>
      </c>
      <c r="M2145">
        <f>IF(ISNA(N2145),NA(),M1423)</f>
        <v>0</v>
      </c>
      <c r="N2145">
        <f>IF(OR(N1423="",AND(N1423=N1422,N1423=N1424)),NA(), N1423)</f>
        <v>0</v>
      </c>
    </row>
    <row r="2146" spans="5:14">
      <c r="E2146">
        <f>IF(ISNA(F2146),NA(),E1424)</f>
        <v>0</v>
      </c>
      <c r="F2146">
        <f>IF(OR(F1424="",AND(F1424=F1423,F1424=F1425)),NA(), F1424)</f>
        <v>0</v>
      </c>
      <c r="G2146">
        <f>IF(ISNA(H2146),NA(),G1424)</f>
        <v>0</v>
      </c>
      <c r="H2146">
        <f>IF(OR(H1424="",AND(H1424=H1423,H1424=H1425)),NA(), H1424)</f>
        <v>0</v>
      </c>
      <c r="K2146">
        <f>IF(ISNA(L2146),NA(),K1424)</f>
        <v>0</v>
      </c>
      <c r="L2146">
        <f>IF(OR(L1424="",AND(L1424=L1423,L1424=L1425)),NA(), L1424)</f>
        <v>0</v>
      </c>
      <c r="M2146">
        <f>IF(ISNA(N2146),NA(),M1424)</f>
        <v>0</v>
      </c>
      <c r="N2146">
        <f>IF(OR(N1424="",AND(N1424=N1423,N1424=N1425)),NA(), N1424)</f>
        <v>0</v>
      </c>
    </row>
    <row r="2147" spans="5:14">
      <c r="E2147">
        <f>IF(ISNA(F2147),NA(),E1425)</f>
        <v>0</v>
      </c>
      <c r="F2147">
        <f>IF(OR(F1425="",AND(F1425=F1424,F1425=F1426)),NA(), F1425)</f>
        <v>0</v>
      </c>
      <c r="G2147">
        <f>IF(ISNA(H2147),NA(),G1425)</f>
        <v>0</v>
      </c>
      <c r="H2147">
        <f>IF(OR(H1425="",AND(H1425=H1424,H1425=H1426)),NA(), H1425)</f>
        <v>0</v>
      </c>
      <c r="K2147">
        <f>IF(ISNA(L2147),NA(),K1425)</f>
        <v>0</v>
      </c>
      <c r="L2147">
        <f>IF(OR(L1425="",AND(L1425=L1424,L1425=L1426)),NA(), L1425)</f>
        <v>0</v>
      </c>
      <c r="M2147">
        <f>IF(ISNA(N2147),NA(),M1425)</f>
        <v>0</v>
      </c>
      <c r="N2147">
        <f>IF(OR(N1425="",AND(N1425=N1424,N1425=N1426)),NA(), N1425)</f>
        <v>0</v>
      </c>
    </row>
    <row r="2148" spans="5:14">
      <c r="E2148">
        <f>IF(ISNA(F2148),NA(),E1426)</f>
        <v>0</v>
      </c>
      <c r="F2148">
        <f>IF(OR(F1426="",AND(F1426=F1425,F1426=F1427)),NA(), F1426)</f>
        <v>0</v>
      </c>
      <c r="G2148">
        <f>IF(ISNA(H2148),NA(),G1426)</f>
        <v>0</v>
      </c>
      <c r="H2148">
        <f>IF(OR(H1426="",AND(H1426=H1425,H1426=H1427)),NA(), H1426)</f>
        <v>0</v>
      </c>
      <c r="K2148">
        <f>IF(ISNA(L2148),NA(),K1426)</f>
        <v>0</v>
      </c>
      <c r="L2148">
        <f>IF(OR(L1426="",AND(L1426=L1425,L1426=L1427)),NA(), L1426)</f>
        <v>0</v>
      </c>
      <c r="M2148">
        <f>IF(ISNA(N2148),NA(),M1426)</f>
        <v>0</v>
      </c>
      <c r="N2148">
        <f>IF(OR(N1426="",AND(N1426=N1425,N1426=N1427)),NA(), N1426)</f>
        <v>0</v>
      </c>
    </row>
    <row r="2149" spans="5:14">
      <c r="E2149">
        <f>IF(ISNA(F2149),NA(),E1427)</f>
        <v>0</v>
      </c>
      <c r="F2149">
        <f>IF(OR(F1427="",AND(F1427=F1426,F1427=F1428)),NA(), F1427)</f>
        <v>0</v>
      </c>
      <c r="G2149">
        <f>IF(ISNA(H2149),NA(),G1427)</f>
        <v>0</v>
      </c>
      <c r="H2149">
        <f>IF(OR(H1427="",AND(H1427=H1426,H1427=H1428)),NA(), H1427)</f>
        <v>0</v>
      </c>
      <c r="K2149">
        <f>IF(ISNA(L2149),NA(),K1427)</f>
        <v>0</v>
      </c>
      <c r="L2149">
        <f>IF(OR(L1427="",AND(L1427=L1426,L1427=L1428)),NA(), L1427)</f>
        <v>0</v>
      </c>
      <c r="M2149">
        <f>IF(ISNA(N2149),NA(),M1427)</f>
        <v>0</v>
      </c>
      <c r="N2149">
        <f>IF(OR(N1427="",AND(N1427=N1426,N1427=N1428)),NA(), N1427)</f>
        <v>0</v>
      </c>
    </row>
    <row r="2150" spans="5:14">
      <c r="E2150">
        <f>IF(ISNA(F2150),NA(),E1428)</f>
        <v>0</v>
      </c>
      <c r="F2150">
        <f>IF(OR(F1428="",AND(F1428=F1427,F1428=F1429)),NA(), F1428)</f>
        <v>0</v>
      </c>
      <c r="G2150">
        <f>IF(ISNA(H2150),NA(),G1428)</f>
        <v>0</v>
      </c>
      <c r="H2150">
        <f>IF(OR(H1428="",AND(H1428=H1427,H1428=H1429)),NA(), H1428)</f>
        <v>0</v>
      </c>
      <c r="K2150">
        <f>IF(ISNA(L2150),NA(),K1428)</f>
        <v>0</v>
      </c>
      <c r="L2150">
        <f>IF(OR(L1428="",AND(L1428=L1427,L1428=L1429)),NA(), L1428)</f>
        <v>0</v>
      </c>
      <c r="M2150">
        <f>IF(ISNA(N2150),NA(),M1428)</f>
        <v>0</v>
      </c>
      <c r="N2150">
        <f>IF(OR(N1428="",AND(N1428=N1427,N1428=N1429)),NA(), N1428)</f>
        <v>0</v>
      </c>
    </row>
    <row r="2151" spans="5:14">
      <c r="E2151">
        <f>IF(ISNA(F2151),NA(),E1429)</f>
        <v>0</v>
      </c>
      <c r="F2151">
        <f>IF(OR(F1429="",AND(F1429=F1428,F1429=F1430)),NA(), F1429)</f>
        <v>0</v>
      </c>
      <c r="G2151">
        <f>IF(ISNA(H2151),NA(),G1429)</f>
        <v>0</v>
      </c>
      <c r="H2151">
        <f>IF(OR(H1429="",AND(H1429=H1428,H1429=H1430)),NA(), H1429)</f>
        <v>0</v>
      </c>
      <c r="K2151">
        <f>IF(ISNA(L2151),NA(),K1429)</f>
        <v>0</v>
      </c>
      <c r="L2151">
        <f>IF(OR(L1429="",AND(L1429=L1428,L1429=L1430)),NA(), L1429)</f>
        <v>0</v>
      </c>
      <c r="M2151">
        <f>IF(ISNA(N2151),NA(),M1429)</f>
        <v>0</v>
      </c>
      <c r="N2151">
        <f>IF(OR(N1429="",AND(N1429=N1428,N1429=N1430)),NA(), N1429)</f>
        <v>0</v>
      </c>
    </row>
    <row r="2152" spans="5:14">
      <c r="E2152">
        <f>IF(ISNA(F2152),NA(),E1430)</f>
        <v>0</v>
      </c>
      <c r="F2152">
        <f>IF(OR(F1430="",AND(F1430=F1429,F1430=F1431)),NA(), F1430)</f>
        <v>0</v>
      </c>
      <c r="G2152">
        <f>IF(ISNA(H2152),NA(),G1430)</f>
        <v>0</v>
      </c>
      <c r="H2152">
        <f>IF(OR(H1430="",AND(H1430=H1429,H1430=H1431)),NA(), H1430)</f>
        <v>0</v>
      </c>
      <c r="K2152">
        <f>IF(ISNA(L2152),NA(),K1430)</f>
        <v>0</v>
      </c>
      <c r="L2152">
        <f>IF(OR(L1430="",AND(L1430=L1429,L1430=L1431)),NA(), L1430)</f>
        <v>0</v>
      </c>
      <c r="M2152">
        <f>IF(ISNA(N2152),NA(),M1430)</f>
        <v>0</v>
      </c>
      <c r="N2152">
        <f>IF(OR(N1430="",AND(N1430=N1429,N1430=N1431)),NA(), N1430)</f>
        <v>0</v>
      </c>
    </row>
    <row r="2153" spans="5:14">
      <c r="E2153">
        <f>IF(ISNA(F2153),NA(),E1431)</f>
        <v>0</v>
      </c>
      <c r="F2153">
        <f>IF(OR(F1431="",AND(F1431=F1430,F1431=F1432)),NA(), F1431)</f>
        <v>0</v>
      </c>
      <c r="G2153">
        <f>IF(ISNA(H2153),NA(),G1431)</f>
        <v>0</v>
      </c>
      <c r="H2153">
        <f>IF(OR(H1431="",AND(H1431=H1430,H1431=H1432)),NA(), H1431)</f>
        <v>0</v>
      </c>
      <c r="K2153">
        <f>IF(ISNA(L2153),NA(),K1431)</f>
        <v>0</v>
      </c>
      <c r="L2153">
        <f>IF(OR(L1431="",AND(L1431=L1430,L1431=L1432)),NA(), L1431)</f>
        <v>0</v>
      </c>
      <c r="M2153">
        <f>IF(ISNA(N2153),NA(),M1431)</f>
        <v>0</v>
      </c>
      <c r="N2153">
        <f>IF(OR(N1431="",AND(N1431=N1430,N1431=N1432)),NA(), N1431)</f>
        <v>0</v>
      </c>
    </row>
    <row r="2154" spans="5:14">
      <c r="E2154">
        <f>IF(ISNA(F2154),NA(),E1432)</f>
        <v>0</v>
      </c>
      <c r="F2154">
        <f>IF(OR(F1432="",AND(F1432=F1431,F1432=F1433)),NA(), F1432)</f>
        <v>0</v>
      </c>
      <c r="G2154">
        <f>IF(ISNA(H2154),NA(),G1432)</f>
        <v>0</v>
      </c>
      <c r="H2154">
        <f>IF(OR(H1432="",AND(H1432=H1431,H1432=H1433)),NA(), H1432)</f>
        <v>0</v>
      </c>
      <c r="K2154">
        <f>IF(ISNA(L2154),NA(),K1432)</f>
        <v>0</v>
      </c>
      <c r="L2154">
        <f>IF(OR(L1432="",AND(L1432=L1431,L1432=L1433)),NA(), L1432)</f>
        <v>0</v>
      </c>
      <c r="M2154">
        <f>IF(ISNA(N2154),NA(),M1432)</f>
        <v>0</v>
      </c>
      <c r="N2154">
        <f>IF(OR(N1432="",AND(N1432=N1431,N1432=N1433)),NA(), N1432)</f>
        <v>0</v>
      </c>
    </row>
    <row r="2155" spans="5:14">
      <c r="E2155">
        <f>IF(ISNA(F2155),NA(),E1433)</f>
        <v>0</v>
      </c>
      <c r="F2155">
        <f>IF(OR(F1433="",AND(F1433=F1432,F1433=F1434)),NA(), F1433)</f>
        <v>0</v>
      </c>
      <c r="G2155">
        <f>IF(ISNA(H2155),NA(),G1433)</f>
        <v>0</v>
      </c>
      <c r="H2155">
        <f>IF(OR(H1433="",AND(H1433=H1432,H1433=H1434)),NA(), H1433)</f>
        <v>0</v>
      </c>
      <c r="K2155">
        <f>IF(ISNA(L2155),NA(),K1433)</f>
        <v>0</v>
      </c>
      <c r="L2155">
        <f>IF(OR(L1433="",AND(L1433=L1432,L1433=L1434)),NA(), L1433)</f>
        <v>0</v>
      </c>
      <c r="M2155">
        <f>IF(ISNA(N2155),NA(),M1433)</f>
        <v>0</v>
      </c>
      <c r="N2155">
        <f>IF(OR(N1433="",AND(N1433=N1432,N1433=N1434)),NA(), N1433)</f>
        <v>0</v>
      </c>
    </row>
    <row r="2156" spans="5:14">
      <c r="E2156">
        <f>IF(ISNA(F2156),NA(),E1434)</f>
        <v>0</v>
      </c>
      <c r="F2156">
        <f>IF(OR(F1434="",AND(F1434=F1433,F1434=F1435)),NA(), F1434)</f>
        <v>0</v>
      </c>
      <c r="G2156">
        <f>IF(ISNA(H2156),NA(),G1434)</f>
        <v>0</v>
      </c>
      <c r="H2156">
        <f>IF(OR(H1434="",AND(H1434=H1433,H1434=H1435)),NA(), H1434)</f>
        <v>0</v>
      </c>
      <c r="K2156">
        <f>IF(ISNA(L2156),NA(),K1434)</f>
        <v>0</v>
      </c>
      <c r="L2156">
        <f>IF(OR(L1434="",AND(L1434=L1433,L1434=L1435)),NA(), L1434)</f>
        <v>0</v>
      </c>
      <c r="M2156">
        <f>IF(ISNA(N2156),NA(),M1434)</f>
        <v>0</v>
      </c>
      <c r="N2156">
        <f>IF(OR(N1434="",AND(N1434=N1433,N1434=N1435)),NA(), N1434)</f>
        <v>0</v>
      </c>
    </row>
    <row r="2157" spans="5:14">
      <c r="E2157">
        <f>IF(ISNA(F2157),NA(),E1435)</f>
        <v>0</v>
      </c>
      <c r="F2157">
        <f>IF(OR(F1435="",AND(F1435=F1434,F1435=F1436)),NA(), F1435)</f>
        <v>0</v>
      </c>
      <c r="G2157">
        <f>IF(ISNA(H2157),NA(),G1435)</f>
        <v>0</v>
      </c>
      <c r="H2157">
        <f>IF(OR(H1435="",AND(H1435=H1434,H1435=H1436)),NA(), H1435)</f>
        <v>0</v>
      </c>
      <c r="K2157">
        <f>IF(ISNA(L2157),NA(),K1435)</f>
        <v>0</v>
      </c>
      <c r="L2157">
        <f>IF(OR(L1435="",AND(L1435=L1434,L1435=L1436)),NA(), L1435)</f>
        <v>0</v>
      </c>
      <c r="M2157">
        <f>IF(ISNA(N2157),NA(),M1435)</f>
        <v>0</v>
      </c>
      <c r="N2157">
        <f>IF(OR(N1435="",AND(N1435=N1434,N1435=N1436)),NA(), N1435)</f>
        <v>0</v>
      </c>
    </row>
    <row r="2158" spans="5:14">
      <c r="E2158">
        <f>IF(ISNA(F2158),NA(),E1436)</f>
        <v>0</v>
      </c>
      <c r="F2158">
        <f>IF(OR(F1436="",AND(F1436=F1435,F1436=F1437)),NA(), F1436)</f>
        <v>0</v>
      </c>
      <c r="G2158">
        <f>IF(ISNA(H2158),NA(),G1436)</f>
        <v>0</v>
      </c>
      <c r="H2158">
        <f>IF(OR(H1436="",AND(H1436=H1435,H1436=H1437)),NA(), H1436)</f>
        <v>0</v>
      </c>
      <c r="K2158">
        <f>IF(ISNA(L2158),NA(),K1436)</f>
        <v>0</v>
      </c>
      <c r="L2158">
        <f>IF(OR(L1436="",AND(L1436=L1435,L1436=L1437)),NA(), L1436)</f>
        <v>0</v>
      </c>
      <c r="M2158">
        <f>IF(ISNA(N2158),NA(),M1436)</f>
        <v>0</v>
      </c>
      <c r="N2158">
        <f>IF(OR(N1436="",AND(N1436=N1435,N1436=N1437)),NA(), N1436)</f>
        <v>0</v>
      </c>
    </row>
    <row r="2159" spans="5:14">
      <c r="E2159">
        <f>IF(ISNA(F2159),NA(),E1437)</f>
        <v>0</v>
      </c>
      <c r="F2159">
        <f>IF(OR(F1437="",AND(F1437=F1436,F1437=F1438)),NA(), F1437)</f>
        <v>0</v>
      </c>
      <c r="G2159">
        <f>IF(ISNA(H2159),NA(),G1437)</f>
        <v>0</v>
      </c>
      <c r="H2159">
        <f>IF(OR(H1437="",AND(H1437=H1436,H1437=H1438)),NA(), H1437)</f>
        <v>0</v>
      </c>
      <c r="K2159">
        <f>IF(ISNA(L2159),NA(),K1437)</f>
        <v>0</v>
      </c>
      <c r="L2159">
        <f>IF(OR(L1437="",AND(L1437=L1436,L1437=L1438)),NA(), L1437)</f>
        <v>0</v>
      </c>
      <c r="M2159">
        <f>IF(ISNA(N2159),NA(),M1437)</f>
        <v>0</v>
      </c>
      <c r="N2159">
        <f>IF(OR(N1437="",AND(N1437=N1436,N1437=N1438)),NA(), N1437)</f>
        <v>0</v>
      </c>
    </row>
    <row r="2160" spans="5:14">
      <c r="E2160">
        <f>IF(ISNA(F2160),NA(),E1438)</f>
        <v>0</v>
      </c>
      <c r="F2160">
        <f>IF(OR(F1438="",AND(F1438=F1437,F1438=F1439)),NA(), F1438)</f>
        <v>0</v>
      </c>
      <c r="G2160">
        <f>IF(ISNA(H2160),NA(),G1438)</f>
        <v>0</v>
      </c>
      <c r="H2160">
        <f>IF(OR(H1438="",AND(H1438=H1437,H1438=H1439)),NA(), H1438)</f>
        <v>0</v>
      </c>
      <c r="K2160">
        <f>IF(ISNA(L2160),NA(),K1438)</f>
        <v>0</v>
      </c>
      <c r="L2160">
        <f>IF(OR(L1438="",AND(L1438=L1437,L1438=L1439)),NA(), L1438)</f>
        <v>0</v>
      </c>
      <c r="M2160">
        <f>IF(ISNA(N2160),NA(),M1438)</f>
        <v>0</v>
      </c>
      <c r="N2160">
        <f>IF(OR(N1438="",AND(N1438=N1437,N1438=N1439)),NA(), N1438)</f>
        <v>0</v>
      </c>
    </row>
    <row r="2161" spans="5:14">
      <c r="E2161">
        <f>IF(ISNA(F2161),NA(),E1439)</f>
        <v>0</v>
      </c>
      <c r="F2161">
        <f>IF(OR(F1439="",AND(F1439=F1438,F1439=F1440)),NA(), F1439)</f>
        <v>0</v>
      </c>
      <c r="G2161">
        <f>IF(ISNA(H2161),NA(),G1439)</f>
        <v>0</v>
      </c>
      <c r="H2161">
        <f>IF(OR(H1439="",AND(H1439=H1438,H1439=H1440)),NA(), H1439)</f>
        <v>0</v>
      </c>
      <c r="K2161">
        <f>IF(ISNA(L2161),NA(),K1439)</f>
        <v>0</v>
      </c>
      <c r="L2161">
        <f>IF(OR(L1439="",AND(L1439=L1438,L1439=L1440)),NA(), L1439)</f>
        <v>0</v>
      </c>
      <c r="M2161">
        <f>IF(ISNA(N2161),NA(),M1439)</f>
        <v>0</v>
      </c>
      <c r="N2161">
        <f>IF(OR(N1439="",AND(N1439=N1438,N1439=N1440)),NA(), N1439)</f>
        <v>0</v>
      </c>
    </row>
    <row r="2162" spans="5:14">
      <c r="E2162">
        <f>IF(ISNA(F2162),NA(),E1440)</f>
        <v>0</v>
      </c>
      <c r="F2162">
        <f>IF(OR(F1440="",AND(F1440=F1439,F1440=F1441)),NA(), F1440)</f>
        <v>0</v>
      </c>
      <c r="G2162">
        <f>IF(ISNA(H2162),NA(),G1440)</f>
        <v>0</v>
      </c>
      <c r="H2162">
        <f>IF(OR(H1440="",AND(H1440=H1439,H1440=H1441)),NA(), H1440)</f>
        <v>0</v>
      </c>
      <c r="K2162">
        <f>IF(ISNA(L2162),NA(),K1440)</f>
        <v>0</v>
      </c>
      <c r="L2162">
        <f>IF(OR(L1440="",AND(L1440=L1439,L1440=L1441)),NA(), L1440)</f>
        <v>0</v>
      </c>
      <c r="M2162">
        <f>IF(ISNA(N2162),NA(),M1440)</f>
        <v>0</v>
      </c>
      <c r="N2162">
        <f>IF(OR(N1440="",AND(N1440=N1439,N1440=N1441)),NA(), N1440)</f>
        <v>0</v>
      </c>
    </row>
    <row r="2163" spans="5:14">
      <c r="E2163">
        <f>IF(ISNA(F2163),NA(),E1441)</f>
        <v>0</v>
      </c>
      <c r="F2163">
        <f>IF(OR(F1441="",AND(F1441=F1440,F1441=F1442)),NA(), F1441)</f>
        <v>0</v>
      </c>
      <c r="G2163">
        <f>IF(ISNA(H2163),NA(),G1441)</f>
        <v>0</v>
      </c>
      <c r="H2163">
        <f>IF(OR(H1441="",AND(H1441=H1440,H1441=H1442)),NA(), H1441)</f>
        <v>0</v>
      </c>
      <c r="K2163">
        <f>IF(ISNA(L2163),NA(),K1441)</f>
        <v>0</v>
      </c>
      <c r="L2163">
        <f>IF(OR(L1441="",AND(L1441=L1440,L1441=L1442)),NA(), L1441)</f>
        <v>0</v>
      </c>
      <c r="M2163">
        <f>IF(ISNA(N2163),NA(),M1441)</f>
        <v>0</v>
      </c>
      <c r="N2163">
        <f>IF(OR(N1441="",AND(N1441=N1440,N1441=N1442)),NA(), N1441)</f>
        <v>0</v>
      </c>
    </row>
    <row r="2164" spans="5:14">
      <c r="E2164">
        <f>IF(ISNA(F2164),NA(),E1442)</f>
        <v>0</v>
      </c>
      <c r="F2164">
        <f>IF(OR(F1442="",AND(F1442=F1441,F1442=F1443)),NA(), F1442)</f>
        <v>0</v>
      </c>
      <c r="G2164">
        <f>IF(ISNA(H2164),NA(),G1442)</f>
        <v>0</v>
      </c>
      <c r="H2164">
        <f>IF(OR(H1442="",AND(H1442=H1441,H1442=H1443)),NA(), H1442)</f>
        <v>0</v>
      </c>
      <c r="K2164">
        <f>IF(ISNA(L2164),NA(),K1442)</f>
        <v>0</v>
      </c>
      <c r="L2164">
        <f>IF(OR(L1442="",AND(L1442=L1441,L1442=L1443)),NA(), L1442)</f>
        <v>0</v>
      </c>
      <c r="M2164">
        <f>IF(ISNA(N2164),NA(),M1442)</f>
        <v>0</v>
      </c>
      <c r="N2164">
        <f>IF(OR(N1442="",AND(N1442=N1441,N1442=N1443)),NA(), N1442)</f>
        <v>0</v>
      </c>
    </row>
    <row r="2165" spans="5:14">
      <c r="E2165">
        <f>IF(ISNA(F2165),NA(),E1443)</f>
        <v>0</v>
      </c>
      <c r="F2165">
        <f>IF(OR(F1443="",AND(F1443=F1442,F1443=F1444)),NA(), F1443)</f>
        <v>0</v>
      </c>
      <c r="G2165">
        <f>IF(ISNA(H2165),NA(),G1443)</f>
        <v>0</v>
      </c>
      <c r="H2165">
        <f>IF(OR(H1443="",AND(H1443=H1442,H1443=H1444)),NA(), H1443)</f>
        <v>0</v>
      </c>
      <c r="K2165">
        <f>IF(ISNA(L2165),NA(),K1443)</f>
        <v>0</v>
      </c>
      <c r="L2165">
        <f>IF(OR(L1443="",AND(L1443=L1442,L1443=L1444)),NA(), L1443)</f>
        <v>0</v>
      </c>
      <c r="M2165">
        <f>IF(ISNA(N2165),NA(),M1443)</f>
        <v>0</v>
      </c>
      <c r="N2165">
        <f>IF(OR(N1443="",AND(N1443=N1442,N1443=N1444)),NA(), N1443)</f>
        <v>0</v>
      </c>
    </row>
    <row r="2166" spans="5:14">
      <c r="E2166">
        <f>IF(ISNA(F2166),NA(),E1444)</f>
        <v>0</v>
      </c>
      <c r="F2166">
        <f>IF(OR(F1444="",AND(F1444=F1443,F1444=F1445)),NA(), F1444)</f>
        <v>0</v>
      </c>
      <c r="G2166">
        <f>IF(ISNA(H2166),NA(),G1444)</f>
        <v>0</v>
      </c>
      <c r="H2166">
        <f>IF(OR(H1444="",AND(H1444=H1443,H1444=H1445)),NA(), H1444)</f>
        <v>0</v>
      </c>
      <c r="K2166">
        <f>IF(ISNA(L2166),NA(),K1444)</f>
        <v>0</v>
      </c>
      <c r="L2166">
        <f>IF(OR(L1444="",AND(L1444=L1443,L1444=L1445)),NA(), L1444)</f>
        <v>0</v>
      </c>
      <c r="M2166">
        <f>IF(ISNA(N2166),NA(),M1444)</f>
        <v>0</v>
      </c>
      <c r="N2166">
        <f>IF(OR(N1444="",AND(N1444=N1443,N1444=N1445)),NA(), N1444)</f>
        <v>0</v>
      </c>
    </row>
    <row r="2167" spans="5:14">
      <c r="E2167">
        <f>IF(ISNA(F2167),NA(),E1445)</f>
        <v>0</v>
      </c>
      <c r="F2167">
        <f>IF(OR(F1445="",AND(F1445=F1444,F1445=F1446)),NA(), F1445)</f>
        <v>0</v>
      </c>
      <c r="G2167">
        <f>IF(ISNA(H2167),NA(),G1445)</f>
        <v>0</v>
      </c>
      <c r="H2167">
        <f>IF(OR(H1445="",AND(H1445=H1444,H1445=H1446)),NA(), H1445)</f>
        <v>0</v>
      </c>
      <c r="K2167">
        <f>IF(ISNA(L2167),NA(),K1445)</f>
        <v>0</v>
      </c>
      <c r="L2167">
        <f>IF(OR(L1445="",AND(L1445=L1444,L1445=L1446)),NA(), L1445)</f>
        <v>0</v>
      </c>
      <c r="M2167">
        <f>IF(ISNA(N2167),NA(),M1445)</f>
        <v>0</v>
      </c>
      <c r="N2167">
        <f>IF(OR(N1445="",AND(N1445=N1444,N1445=N1446)),NA(), N1445)</f>
        <v>0</v>
      </c>
    </row>
    <row r="2168" spans="5:14">
      <c r="E2168">
        <f>IF(ISNA(F2168),NA(),E1446)</f>
        <v>0</v>
      </c>
      <c r="F2168">
        <f>IF(OR(F1446="",AND(F1446=F1445,F1446=F1447)),NA(), F1446)</f>
        <v>0</v>
      </c>
      <c r="G2168">
        <f>IF(ISNA(H2168),NA(),G1446)</f>
        <v>0</v>
      </c>
      <c r="H2168">
        <f>IF(OR(H1446="",AND(H1446=H1445,H1446=H1447)),NA(), H1446)</f>
        <v>0</v>
      </c>
      <c r="K2168">
        <f>IF(ISNA(L2168),NA(),K1446)</f>
        <v>0</v>
      </c>
      <c r="L2168">
        <f>IF(OR(L1446="",AND(L1446=L1445,L1446=L1447)),NA(), L1446)</f>
        <v>0</v>
      </c>
      <c r="M2168">
        <f>IF(ISNA(N2168),NA(),M1446)</f>
        <v>0</v>
      </c>
      <c r="N2168">
        <f>IF(OR(N1446="",AND(N1446=N1445,N1446=N1447)),NA(), N1446)</f>
        <v>0</v>
      </c>
    </row>
    <row r="2169" spans="5:14">
      <c r="E2169">
        <f>IF(ISNA(F2169),NA(),E1447)</f>
        <v>0</v>
      </c>
      <c r="F2169">
        <f>IF(OR(F1447="",AND(F1447=F1446,F1447=F1448)),NA(), F1447)</f>
        <v>0</v>
      </c>
      <c r="G2169">
        <f>IF(ISNA(H2169),NA(),G1447)</f>
        <v>0</v>
      </c>
      <c r="H2169">
        <f>IF(OR(H1447="",AND(H1447=H1446,H1447=H1448)),NA(), H1447)</f>
        <v>0</v>
      </c>
      <c r="K2169">
        <f>IF(ISNA(L2169),NA(),K1447)</f>
        <v>0</v>
      </c>
      <c r="L2169">
        <f>IF(OR(L1447="",AND(L1447=L1446,L1447=L1448)),NA(), L1447)</f>
        <v>0</v>
      </c>
      <c r="M2169">
        <f>IF(ISNA(N2169),NA(),M1447)</f>
        <v>0</v>
      </c>
      <c r="N2169">
        <f>IF(OR(N1447="",AND(N1447=N1446,N1447=N1448)),NA(), N1447)</f>
        <v>0</v>
      </c>
    </row>
    <row r="2170" spans="5:14">
      <c r="E2170">
        <f>IF(ISNA(F2170),NA(),E1448)</f>
        <v>0</v>
      </c>
      <c r="F2170">
        <f>IF(OR(F1448="",AND(F1448=F1447,F1448=F1449)),NA(), F1448)</f>
        <v>0</v>
      </c>
      <c r="G2170">
        <f>IF(ISNA(H2170),NA(),G1448)</f>
        <v>0</v>
      </c>
      <c r="H2170">
        <f>IF(OR(H1448="",AND(H1448=H1447,H1448=H1449)),NA(), H1448)</f>
        <v>0</v>
      </c>
      <c r="K2170">
        <f>IF(ISNA(L2170),NA(),K1448)</f>
        <v>0</v>
      </c>
      <c r="L2170">
        <f>IF(OR(L1448="",AND(L1448=L1447,L1448=L1449)),NA(), L1448)</f>
        <v>0</v>
      </c>
      <c r="M2170">
        <f>IF(ISNA(N2170),NA(),M1448)</f>
        <v>0</v>
      </c>
      <c r="N2170">
        <f>IF(OR(N1448="",AND(N1448=N1447,N1448=N1449)),NA(), N1448)</f>
        <v>0</v>
      </c>
    </row>
    <row r="2171" spans="5:14">
      <c r="E2171">
        <f>IF(ISNA(F2171),NA(),E1449)</f>
        <v>0</v>
      </c>
      <c r="F2171">
        <f>IF(OR(F1449="",AND(F1449=F1448,F1449=F1450)),NA(), F1449)</f>
        <v>0</v>
      </c>
      <c r="G2171">
        <f>IF(ISNA(H2171),NA(),G1449)</f>
        <v>0</v>
      </c>
      <c r="H2171">
        <f>IF(OR(H1449="",AND(H1449=H1448,H1449=H1450)),NA(), H1449)</f>
        <v>0</v>
      </c>
      <c r="K2171">
        <f>IF(ISNA(L2171),NA(),K1449)</f>
        <v>0</v>
      </c>
      <c r="L2171">
        <f>IF(OR(L1449="",AND(L1449=L1448,L1449=L1450)),NA(), L1449)</f>
        <v>0</v>
      </c>
      <c r="M2171">
        <f>IF(ISNA(N2171),NA(),M1449)</f>
        <v>0</v>
      </c>
      <c r="N2171">
        <f>IF(OR(N1449="",AND(N1449=N1448,N1449=N1450)),NA(), N1449)</f>
        <v>0</v>
      </c>
    </row>
    <row r="2172" spans="5:14">
      <c r="E2172">
        <f>IF(ISNA(F2172),NA(),E1450)</f>
        <v>0</v>
      </c>
      <c r="F2172">
        <f>IF(OR(F1450="",AND(F1450=F1449,F1450=F1451)),NA(), F1450)</f>
        <v>0</v>
      </c>
      <c r="G2172">
        <f>IF(ISNA(H2172),NA(),G1450)</f>
        <v>0</v>
      </c>
      <c r="H2172">
        <f>IF(OR(H1450="",AND(H1450=H1449,H1450=H1451)),NA(), H1450)</f>
        <v>0</v>
      </c>
      <c r="K2172">
        <f>IF(ISNA(L2172),NA(),K1450)</f>
        <v>0</v>
      </c>
      <c r="L2172">
        <f>IF(OR(L1450="",AND(L1450=L1449,L1450=L1451)),NA(), L1450)</f>
        <v>0</v>
      </c>
      <c r="M2172">
        <f>IF(ISNA(N2172),NA(),M1450)</f>
        <v>0</v>
      </c>
      <c r="N2172">
        <f>IF(OR(N1450="",AND(N1450=N1449,N1450=N1451)),NA(), N1450)</f>
        <v>0</v>
      </c>
    </row>
    <row r="2173" spans="5:14">
      <c r="E2173">
        <f>IF(ISNA(F2173),NA(),E1451)</f>
        <v>0</v>
      </c>
      <c r="F2173">
        <f>IF(OR(F1451="",AND(F1451=F1450,F1451=F1452)),NA(), F1451)</f>
        <v>0</v>
      </c>
      <c r="G2173">
        <f>IF(ISNA(H2173),NA(),G1451)</f>
        <v>0</v>
      </c>
      <c r="H2173">
        <f>IF(OR(H1451="",AND(H1451=H1450,H1451=H1452)),NA(), H1451)</f>
        <v>0</v>
      </c>
      <c r="K2173">
        <f>IF(ISNA(L2173),NA(),K1451)</f>
        <v>0</v>
      </c>
      <c r="L2173">
        <f>IF(OR(L1451="",AND(L1451=L1450,L1451=L1452)),NA(), L1451)</f>
        <v>0</v>
      </c>
      <c r="M2173">
        <f>IF(ISNA(N2173),NA(),M1451)</f>
        <v>0</v>
      </c>
      <c r="N2173">
        <f>IF(OR(N1451="",AND(N1451=N1450,N1451=N1452)),NA(), N1451)</f>
        <v>0</v>
      </c>
    </row>
    <row r="2174" spans="5:14">
      <c r="E2174">
        <f>IF(ISNA(F2174),NA(),E1452)</f>
        <v>0</v>
      </c>
      <c r="F2174">
        <f>IF(OR(F1452="",AND(F1452=F1451,F1452=F1453)),NA(), F1452)</f>
        <v>0</v>
      </c>
      <c r="G2174">
        <f>IF(ISNA(H2174),NA(),G1452)</f>
        <v>0</v>
      </c>
      <c r="H2174">
        <f>IF(OR(H1452="",AND(H1452=H1451,H1452=H1453)),NA(), H1452)</f>
        <v>0</v>
      </c>
      <c r="K2174">
        <f>IF(ISNA(L2174),NA(),K1452)</f>
        <v>0</v>
      </c>
      <c r="L2174">
        <f>IF(OR(L1452="",AND(L1452=L1451,L1452=L1453)),NA(), L1452)</f>
        <v>0</v>
      </c>
      <c r="M2174">
        <f>IF(ISNA(N2174),NA(),M1452)</f>
        <v>0</v>
      </c>
      <c r="N2174">
        <f>IF(OR(N1452="",AND(N1452=N1451,N1452=N1453)),NA(), N1452)</f>
        <v>0</v>
      </c>
    </row>
    <row r="2175" spans="5:14">
      <c r="E2175">
        <f>IF(ISNA(F2175),NA(),E1453)</f>
        <v>0</v>
      </c>
      <c r="F2175">
        <f>IF(OR(F1453="",AND(F1453=F1452,F1453=F1454)),NA(), F1453)</f>
        <v>0</v>
      </c>
      <c r="G2175">
        <f>IF(ISNA(H2175),NA(),G1453)</f>
        <v>0</v>
      </c>
      <c r="H2175">
        <f>IF(OR(H1453="",AND(H1453=H1452,H1453=H1454)),NA(), H1453)</f>
        <v>0</v>
      </c>
      <c r="K2175">
        <f>IF(ISNA(L2175),NA(),K1453)</f>
        <v>0</v>
      </c>
      <c r="L2175">
        <f>IF(OR(L1453="",AND(L1453=L1452,L1453=L1454)),NA(), L1453)</f>
        <v>0</v>
      </c>
      <c r="M2175">
        <f>IF(ISNA(N2175),NA(),M1453)</f>
        <v>0</v>
      </c>
      <c r="N2175">
        <f>IF(OR(N1453="",AND(N1453=N1452,N1453=N1454)),NA(), N1453)</f>
        <v>0</v>
      </c>
    </row>
    <row r="2176" spans="5:14">
      <c r="E2176">
        <f>IF(ISNA(F2176),NA(),E1454)</f>
        <v>0</v>
      </c>
      <c r="F2176">
        <f>IF(OR(F1454="",AND(F1454=F1453,F1454=F1455)),NA(), F1454)</f>
        <v>0</v>
      </c>
      <c r="G2176">
        <f>IF(ISNA(H2176),NA(),G1454)</f>
        <v>0</v>
      </c>
      <c r="H2176">
        <f>IF(OR(H1454="",AND(H1454=H1453,H1454=H1455)),NA(), H1454)</f>
        <v>0</v>
      </c>
      <c r="K2176">
        <f>IF(ISNA(L2176),NA(),K1454)</f>
        <v>0</v>
      </c>
      <c r="L2176">
        <f>IF(OR(L1454="",AND(L1454=L1453,L1454=L1455)),NA(), L1454)</f>
        <v>0</v>
      </c>
      <c r="M2176">
        <f>IF(ISNA(N2176),NA(),M1454)</f>
        <v>0</v>
      </c>
      <c r="N2176">
        <f>IF(OR(N1454="",AND(N1454=N1453,N1454=N1455)),NA(), N1454)</f>
        <v>0</v>
      </c>
    </row>
    <row r="2177" spans="5:14">
      <c r="E2177">
        <f>IF(ISNA(F2177),NA(),E1455)</f>
        <v>0</v>
      </c>
      <c r="F2177">
        <f>IF(OR(F1455="",AND(F1455=F1454,F1455=F1456)),NA(), F1455)</f>
        <v>0</v>
      </c>
      <c r="G2177">
        <f>IF(ISNA(H2177),NA(),G1455)</f>
        <v>0</v>
      </c>
      <c r="H2177">
        <f>IF(OR(H1455="",AND(H1455=H1454,H1455=H1456)),NA(), H1455)</f>
        <v>0</v>
      </c>
      <c r="K2177">
        <f>IF(ISNA(L2177),NA(),K1455)</f>
        <v>0</v>
      </c>
      <c r="L2177">
        <f>IF(OR(L1455="",AND(L1455=L1454,L1455=L1456)),NA(), L1455)</f>
        <v>0</v>
      </c>
      <c r="M2177">
        <f>IF(ISNA(N2177),NA(),M1455)</f>
        <v>0</v>
      </c>
      <c r="N2177">
        <f>IF(OR(N1455="",AND(N1455=N1454,N1455=N1456)),NA(), N1455)</f>
        <v>0</v>
      </c>
    </row>
    <row r="2178" spans="5:14">
      <c r="E2178">
        <f>IF(ISNA(F2178),NA(),E1456)</f>
        <v>0</v>
      </c>
      <c r="F2178">
        <f>IF(OR(F1456="",AND(F1456=F1455,F1456=F1457)),NA(), F1456)</f>
        <v>0</v>
      </c>
      <c r="G2178">
        <f>IF(ISNA(H2178),NA(),G1456)</f>
        <v>0</v>
      </c>
      <c r="H2178">
        <f>IF(OR(H1456="",AND(H1456=H1455,H1456=H1457)),NA(), H1456)</f>
        <v>0</v>
      </c>
      <c r="K2178">
        <f>IF(ISNA(L2178),NA(),K1456)</f>
        <v>0</v>
      </c>
      <c r="L2178">
        <f>IF(OR(L1456="",AND(L1456=L1455,L1456=L1457)),NA(), L1456)</f>
        <v>0</v>
      </c>
      <c r="M2178">
        <f>IF(ISNA(N2178),NA(),M1456)</f>
        <v>0</v>
      </c>
      <c r="N2178">
        <f>IF(OR(N1456="",AND(N1456=N1455,N1456=N1457)),NA(), N1456)</f>
        <v>0</v>
      </c>
    </row>
    <row r="2179" spans="5:14">
      <c r="E2179">
        <f>IF(ISNA(F2179),NA(),E1457)</f>
        <v>0</v>
      </c>
      <c r="F2179">
        <f>IF(OR(F1457="",AND(F1457=F1456,F1457=F1458)),NA(), F1457)</f>
        <v>0</v>
      </c>
      <c r="G2179">
        <f>IF(ISNA(H2179),NA(),G1457)</f>
        <v>0</v>
      </c>
      <c r="H2179">
        <f>IF(OR(H1457="",AND(H1457=H1456,H1457=H1458)),NA(), H1457)</f>
        <v>0</v>
      </c>
      <c r="K2179">
        <f>IF(ISNA(L2179),NA(),K1457)</f>
        <v>0</v>
      </c>
      <c r="L2179">
        <f>IF(OR(L1457="",AND(L1457=L1456,L1457=L1458)),NA(), L1457)</f>
        <v>0</v>
      </c>
      <c r="M2179">
        <f>IF(ISNA(N2179),NA(),M1457)</f>
        <v>0</v>
      </c>
      <c r="N2179">
        <f>IF(OR(N1457="",AND(N1457=N1456,N1457=N1458)),NA(), N1457)</f>
        <v>0</v>
      </c>
    </row>
    <row r="2180" spans="5:14">
      <c r="E2180">
        <f>IF(ISNA(F2180),NA(),E1458)</f>
        <v>0</v>
      </c>
      <c r="F2180">
        <f>IF(OR(F1458="",AND(F1458=F1457,F1458=F1459)),NA(), F1458)</f>
        <v>0</v>
      </c>
      <c r="G2180">
        <f>IF(ISNA(H2180),NA(),G1458)</f>
        <v>0</v>
      </c>
      <c r="H2180">
        <f>IF(OR(H1458="",AND(H1458=H1457,H1458=H1459)),NA(), H1458)</f>
        <v>0</v>
      </c>
      <c r="K2180">
        <f>IF(ISNA(L2180),NA(),K1458)</f>
        <v>0</v>
      </c>
      <c r="L2180">
        <f>IF(OR(L1458="",AND(L1458=L1457,L1458=L1459)),NA(), L1458)</f>
        <v>0</v>
      </c>
      <c r="M2180">
        <f>IF(ISNA(N2180),NA(),M1458)</f>
        <v>0</v>
      </c>
      <c r="N2180">
        <f>IF(OR(N1458="",AND(N1458=N1457,N1458=N1459)),NA(), N1458)</f>
        <v>0</v>
      </c>
    </row>
    <row r="2181" spans="5:14">
      <c r="E2181">
        <f>IF(ISNA(F2181),NA(),E1459)</f>
        <v>0</v>
      </c>
      <c r="F2181">
        <f>IF(OR(F1459="",AND(F1459=F1458,F1459=F1460)),NA(), F1459)</f>
        <v>0</v>
      </c>
      <c r="G2181">
        <f>IF(ISNA(H2181),NA(),G1459)</f>
        <v>0</v>
      </c>
      <c r="H2181">
        <f>IF(OR(H1459="",AND(H1459=H1458,H1459=H1460)),NA(), H1459)</f>
        <v>0</v>
      </c>
      <c r="K2181">
        <f>IF(ISNA(L2181),NA(),K1459)</f>
        <v>0</v>
      </c>
      <c r="L2181">
        <f>IF(OR(L1459="",AND(L1459=L1458,L1459=L1460)),NA(), L1459)</f>
        <v>0</v>
      </c>
      <c r="M2181">
        <f>IF(ISNA(N2181),NA(),M1459)</f>
        <v>0</v>
      </c>
      <c r="N2181">
        <f>IF(OR(N1459="",AND(N1459=N1458,N1459=N1460)),NA(), N1459)</f>
        <v>0</v>
      </c>
    </row>
    <row r="2182" spans="5:14">
      <c r="E2182">
        <f>IF(ISNA(F2182),NA(),E1460)</f>
        <v>0</v>
      </c>
      <c r="F2182">
        <f>IF(OR(F1460="",AND(F1460=F1459,F1460=F1461)),NA(), F1460)</f>
        <v>0</v>
      </c>
      <c r="G2182">
        <f>IF(ISNA(H2182),NA(),G1460)</f>
        <v>0</v>
      </c>
      <c r="H2182">
        <f>IF(OR(H1460="",AND(H1460=H1459,H1460=H1461)),NA(), H1460)</f>
        <v>0</v>
      </c>
      <c r="K2182">
        <f>IF(ISNA(L2182),NA(),K1460)</f>
        <v>0</v>
      </c>
      <c r="L2182">
        <f>IF(OR(L1460="",AND(L1460=L1459,L1460=L1461)),NA(), L1460)</f>
        <v>0</v>
      </c>
      <c r="M2182">
        <f>IF(ISNA(N2182),NA(),M1460)</f>
        <v>0</v>
      </c>
      <c r="N2182">
        <f>IF(OR(N1460="",AND(N1460=N1459,N1460=N1461)),NA(), N1460)</f>
        <v>0</v>
      </c>
    </row>
    <row r="2183" spans="5:14">
      <c r="E2183">
        <f>IF(ISNA(F2183),NA(),E1461)</f>
        <v>0</v>
      </c>
      <c r="F2183">
        <f>IF(OR(F1461="",AND(F1461=F1460,F1461=F1462)),NA(), F1461)</f>
        <v>0</v>
      </c>
      <c r="G2183">
        <f>IF(ISNA(H2183),NA(),G1461)</f>
        <v>0</v>
      </c>
      <c r="H2183">
        <f>IF(OR(H1461="",AND(H1461=H1460,H1461=H1462)),NA(), H1461)</f>
        <v>0</v>
      </c>
      <c r="K2183">
        <f>IF(ISNA(L2183),NA(),K1461)</f>
        <v>0</v>
      </c>
      <c r="L2183">
        <f>IF(OR(L1461="",AND(L1461=L1460,L1461=L1462)),NA(), L1461)</f>
        <v>0</v>
      </c>
      <c r="M2183">
        <f>IF(ISNA(N2183),NA(),M1461)</f>
        <v>0</v>
      </c>
      <c r="N2183">
        <f>IF(OR(N1461="",AND(N1461=N1460,N1461=N1462)),NA(), N1461)</f>
        <v>0</v>
      </c>
    </row>
    <row r="2184" spans="5:14">
      <c r="E2184">
        <f>IF(ISNA(F2184),NA(),E1462)</f>
        <v>0</v>
      </c>
      <c r="F2184">
        <f>IF(OR(F1462="",AND(F1462=F1461,F1462=F1463)),NA(), F1462)</f>
        <v>0</v>
      </c>
      <c r="G2184">
        <f>IF(ISNA(H2184),NA(),G1462)</f>
        <v>0</v>
      </c>
      <c r="H2184">
        <f>IF(OR(H1462="",AND(H1462=H1461,H1462=H1463)),NA(), H1462)</f>
        <v>0</v>
      </c>
      <c r="K2184">
        <f>IF(ISNA(L2184),NA(),K1462)</f>
        <v>0</v>
      </c>
      <c r="L2184">
        <f>IF(OR(L1462="",AND(L1462=L1461,L1462=L1463)),NA(), L1462)</f>
        <v>0</v>
      </c>
      <c r="M2184">
        <f>IF(ISNA(N2184),NA(),M1462)</f>
        <v>0</v>
      </c>
      <c r="N2184">
        <f>IF(OR(N1462="",AND(N1462=N1461,N1462=N1463)),NA(), N1462)</f>
        <v>0</v>
      </c>
    </row>
    <row r="2185" spans="5:14">
      <c r="E2185">
        <f>IF(ISNA(F2185),NA(),E1463)</f>
        <v>0</v>
      </c>
      <c r="F2185">
        <f>IF(OR(F1463="",AND(F1463=F1462,F1463=F1464)),NA(), F1463)</f>
        <v>0</v>
      </c>
      <c r="G2185">
        <f>IF(ISNA(H2185),NA(),G1463)</f>
        <v>0</v>
      </c>
      <c r="H2185">
        <f>IF(OR(H1463="",AND(H1463=H1462,H1463=H1464)),NA(), H1463)</f>
        <v>0</v>
      </c>
      <c r="K2185">
        <f>IF(ISNA(L2185),NA(),K1463)</f>
        <v>0</v>
      </c>
      <c r="L2185">
        <f>IF(OR(L1463="",AND(L1463=L1462,L1463=L1464)),NA(), L1463)</f>
        <v>0</v>
      </c>
      <c r="M2185">
        <f>IF(ISNA(N2185),NA(),M1463)</f>
        <v>0</v>
      </c>
      <c r="N2185">
        <f>IF(OR(N1463="",AND(N1463=N1462,N1463=N1464)),NA(), N1463)</f>
        <v>0</v>
      </c>
    </row>
    <row r="2186" spans="5:14">
      <c r="E2186">
        <f>IF(ISNA(F2186),NA(),E1464)</f>
        <v>0</v>
      </c>
      <c r="F2186">
        <f>IF(OR(F1464="",AND(F1464=F1463,F1464=F1465)),NA(), F1464)</f>
        <v>0</v>
      </c>
      <c r="G2186">
        <f>IF(ISNA(H2186),NA(),G1464)</f>
        <v>0</v>
      </c>
      <c r="H2186">
        <f>IF(OR(H1464="",AND(H1464=H1463,H1464=H1465)),NA(), H1464)</f>
        <v>0</v>
      </c>
      <c r="K2186">
        <f>IF(ISNA(L2186),NA(),K1464)</f>
        <v>0</v>
      </c>
      <c r="L2186">
        <f>IF(OR(L1464="",AND(L1464=L1463,L1464=L1465)),NA(), L1464)</f>
        <v>0</v>
      </c>
      <c r="M2186">
        <f>IF(ISNA(N2186),NA(),M1464)</f>
        <v>0</v>
      </c>
      <c r="N2186">
        <f>IF(OR(N1464="",AND(N1464=N1463,N1464=N1465)),NA(), N1464)</f>
        <v>0</v>
      </c>
    </row>
    <row r="2187" spans="5:14">
      <c r="E2187">
        <f>IF(ISNA(F2187),NA(),E1465)</f>
        <v>0</v>
      </c>
      <c r="F2187">
        <f>IF(OR(F1465="",AND(F1465=F1464,F1465=F1466)),NA(), F1465)</f>
        <v>0</v>
      </c>
      <c r="G2187">
        <f>IF(ISNA(H2187),NA(),G1465)</f>
        <v>0</v>
      </c>
      <c r="H2187">
        <f>IF(OR(H1465="",AND(H1465=H1464,H1465=H1466)),NA(), H1465)</f>
        <v>0</v>
      </c>
      <c r="K2187">
        <f>IF(ISNA(L2187),NA(),K1465)</f>
        <v>0</v>
      </c>
      <c r="L2187">
        <f>IF(OR(L1465="",AND(L1465=L1464,L1465=L1466)),NA(), L1465)</f>
        <v>0</v>
      </c>
      <c r="M2187">
        <f>IF(ISNA(N2187),NA(),M1465)</f>
        <v>0</v>
      </c>
      <c r="N2187">
        <f>IF(OR(N1465="",AND(N1465=N1464,N1465=N1466)),NA(), N1465)</f>
        <v>0</v>
      </c>
    </row>
    <row r="2188" spans="5:14">
      <c r="E2188">
        <f>IF(ISNA(F2188),NA(),E1466)</f>
        <v>0</v>
      </c>
      <c r="F2188">
        <f>IF(OR(F1466="",AND(F1466=F1465,F1466=F1467)),NA(), F1466)</f>
        <v>0</v>
      </c>
      <c r="G2188">
        <f>IF(ISNA(H2188),NA(),G1466)</f>
        <v>0</v>
      </c>
      <c r="H2188">
        <f>IF(OR(H1466="",AND(H1466=H1465,H1466=H1467)),NA(), H1466)</f>
        <v>0</v>
      </c>
      <c r="K2188">
        <f>IF(ISNA(L2188),NA(),K1466)</f>
        <v>0</v>
      </c>
      <c r="L2188">
        <f>IF(OR(L1466="",AND(L1466=L1465,L1466=L1467)),NA(), L1466)</f>
        <v>0</v>
      </c>
      <c r="M2188">
        <f>IF(ISNA(N2188),NA(),M1466)</f>
        <v>0</v>
      </c>
      <c r="N2188">
        <f>IF(OR(N1466="",AND(N1466=N1465,N1466=N1467)),NA(), N1466)</f>
        <v>0</v>
      </c>
    </row>
    <row r="2189" spans="5:14">
      <c r="E2189">
        <f>IF(ISNA(F2189),NA(),E1467)</f>
        <v>0</v>
      </c>
      <c r="F2189">
        <f>IF(OR(F1467="",AND(F1467=F1466,F1467=F1468)),NA(), F1467)</f>
        <v>0</v>
      </c>
      <c r="G2189">
        <f>IF(ISNA(H2189),NA(),G1467)</f>
        <v>0</v>
      </c>
      <c r="H2189">
        <f>IF(OR(H1467="",AND(H1467=H1466,H1467=H1468)),NA(), H1467)</f>
        <v>0</v>
      </c>
      <c r="K2189">
        <f>IF(ISNA(L2189),NA(),K1467)</f>
        <v>0</v>
      </c>
      <c r="L2189">
        <f>IF(OR(L1467="",AND(L1467=L1466,L1467=L1468)),NA(), L1467)</f>
        <v>0</v>
      </c>
      <c r="M2189">
        <f>IF(ISNA(N2189),NA(),M1467)</f>
        <v>0</v>
      </c>
      <c r="N2189">
        <f>IF(OR(N1467="",AND(N1467=N1466,N1467=N1468)),NA(), N1467)</f>
        <v>0</v>
      </c>
    </row>
    <row r="2190" spans="5:14">
      <c r="E2190">
        <f>IF(ISNA(F2190),NA(),E1468)</f>
        <v>0</v>
      </c>
      <c r="F2190">
        <f>IF(OR(F1468="",AND(F1468=F1467,F1468=F1469)),NA(), F1468)</f>
        <v>0</v>
      </c>
      <c r="G2190">
        <f>IF(ISNA(H2190),NA(),G1468)</f>
        <v>0</v>
      </c>
      <c r="H2190">
        <f>IF(OR(H1468="",AND(H1468=H1467,H1468=H1469)),NA(), H1468)</f>
        <v>0</v>
      </c>
      <c r="K2190">
        <f>IF(ISNA(L2190),NA(),K1468)</f>
        <v>0</v>
      </c>
      <c r="L2190">
        <f>IF(OR(L1468="",AND(L1468=L1467,L1468=L1469)),NA(), L1468)</f>
        <v>0</v>
      </c>
      <c r="M2190">
        <f>IF(ISNA(N2190),NA(),M1468)</f>
        <v>0</v>
      </c>
      <c r="N2190">
        <f>IF(OR(N1468="",AND(N1468=N1467,N1468=N1469)),NA(), N1468)</f>
        <v>0</v>
      </c>
    </row>
    <row r="2191" spans="5:14">
      <c r="E2191">
        <f>IF(ISNA(F2191),NA(),E1469)</f>
        <v>0</v>
      </c>
      <c r="F2191">
        <f>IF(OR(F1469="",AND(F1469=F1468,F1469=F1470)),NA(), F1469)</f>
        <v>0</v>
      </c>
      <c r="G2191">
        <f>IF(ISNA(H2191),NA(),G1469)</f>
        <v>0</v>
      </c>
      <c r="H2191">
        <f>IF(OR(H1469="",AND(H1469=H1468,H1469=H1470)),NA(), H1469)</f>
        <v>0</v>
      </c>
      <c r="K2191">
        <f>IF(ISNA(L2191),NA(),K1469)</f>
        <v>0</v>
      </c>
      <c r="L2191">
        <f>IF(OR(L1469="",AND(L1469=L1468,L1469=L1470)),NA(), L1469)</f>
        <v>0</v>
      </c>
      <c r="M2191">
        <f>IF(ISNA(N2191),NA(),M1469)</f>
        <v>0</v>
      </c>
      <c r="N2191">
        <f>IF(OR(N1469="",AND(N1469=N1468,N1469=N1470)),NA(), N1469)</f>
        <v>0</v>
      </c>
    </row>
    <row r="2192" spans="5:14">
      <c r="E2192">
        <f>IF(ISNA(F2192),NA(),E1470)</f>
        <v>0</v>
      </c>
      <c r="F2192">
        <f>IF(OR(F1470="",AND(F1470=F1469,F1470=F1471)),NA(), F1470)</f>
        <v>0</v>
      </c>
      <c r="G2192">
        <f>IF(ISNA(H2192),NA(),G1470)</f>
        <v>0</v>
      </c>
      <c r="H2192">
        <f>IF(OR(H1470="",AND(H1470=H1469,H1470=H1471)),NA(), H1470)</f>
        <v>0</v>
      </c>
      <c r="K2192">
        <f>IF(ISNA(L2192),NA(),K1470)</f>
        <v>0</v>
      </c>
      <c r="L2192">
        <f>IF(OR(L1470="",AND(L1470=L1469,L1470=L1471)),NA(), L1470)</f>
        <v>0</v>
      </c>
      <c r="M2192">
        <f>IF(ISNA(N2192),NA(),M1470)</f>
        <v>0</v>
      </c>
      <c r="N2192">
        <f>IF(OR(N1470="",AND(N1470=N1469,N1470=N1471)),NA(), N1470)</f>
        <v>0</v>
      </c>
    </row>
    <row r="2193" spans="5:14">
      <c r="E2193">
        <f>IF(ISNA(F2193),NA(),E1471)</f>
        <v>0</v>
      </c>
      <c r="F2193">
        <f>IF(OR(F1471="",AND(F1471=F1470,F1471=F1472)),NA(), F1471)</f>
        <v>0</v>
      </c>
      <c r="G2193">
        <f>IF(ISNA(H2193),NA(),G1471)</f>
        <v>0</v>
      </c>
      <c r="H2193">
        <f>IF(OR(H1471="",AND(H1471=H1470,H1471=H1472)),NA(), H1471)</f>
        <v>0</v>
      </c>
      <c r="K2193">
        <f>IF(ISNA(L2193),NA(),K1471)</f>
        <v>0</v>
      </c>
      <c r="L2193">
        <f>IF(OR(L1471="",AND(L1471=L1470,L1471=L1472)),NA(), L1471)</f>
        <v>0</v>
      </c>
      <c r="M2193">
        <f>IF(ISNA(N2193),NA(),M1471)</f>
        <v>0</v>
      </c>
      <c r="N2193">
        <f>IF(OR(N1471="",AND(N1471=N1470,N1471=N1472)),NA(), N1471)</f>
        <v>0</v>
      </c>
    </row>
    <row r="2194" spans="5:14">
      <c r="E2194">
        <f>IF(ISNA(F2194),NA(),E1472)</f>
        <v>0</v>
      </c>
      <c r="F2194">
        <f>IF(OR(F1472="",AND(F1472=F1471,F1472=F1473)),NA(), F1472)</f>
        <v>0</v>
      </c>
      <c r="G2194">
        <f>IF(ISNA(H2194),NA(),G1472)</f>
        <v>0</v>
      </c>
      <c r="H2194">
        <f>IF(OR(H1472="",AND(H1472=H1471,H1472=H1473)),NA(), H1472)</f>
        <v>0</v>
      </c>
      <c r="K2194">
        <f>IF(ISNA(L2194),NA(),K1472)</f>
        <v>0</v>
      </c>
      <c r="L2194">
        <f>IF(OR(L1472="",AND(L1472=L1471,L1472=L1473)),NA(), L1472)</f>
        <v>0</v>
      </c>
      <c r="M2194">
        <f>IF(ISNA(N2194),NA(),M1472)</f>
        <v>0</v>
      </c>
      <c r="N2194">
        <f>IF(OR(N1472="",AND(N1472=N1471,N1472=N1473)),NA(), N1472)</f>
        <v>0</v>
      </c>
    </row>
    <row r="2195" spans="5:14">
      <c r="E2195">
        <f>IF(ISNA(F2195),NA(),E1473)</f>
        <v>0</v>
      </c>
      <c r="F2195">
        <f>IF(OR(F1473="",AND(F1473=F1472,F1473=F1474)),NA(), F1473)</f>
        <v>0</v>
      </c>
      <c r="G2195">
        <f>IF(ISNA(H2195),NA(),G1473)</f>
        <v>0</v>
      </c>
      <c r="H2195">
        <f>IF(OR(H1473="",AND(H1473=H1472,H1473=H1474)),NA(), H1473)</f>
        <v>0</v>
      </c>
      <c r="K2195">
        <f>IF(ISNA(L2195),NA(),K1473)</f>
        <v>0</v>
      </c>
      <c r="L2195">
        <f>IF(OR(L1473="",AND(L1473=L1472,L1473=L1474)),NA(), L1473)</f>
        <v>0</v>
      </c>
      <c r="M2195">
        <f>IF(ISNA(N2195),NA(),M1473)</f>
        <v>0</v>
      </c>
      <c r="N2195">
        <f>IF(OR(N1473="",AND(N1473=N1472,N1473=N1474)),NA(), N1473)</f>
        <v>0</v>
      </c>
    </row>
    <row r="2196" spans="5:14">
      <c r="E2196">
        <f>IF(ISNA(F2196),NA(),E1474)</f>
        <v>0</v>
      </c>
      <c r="F2196">
        <f>IF(OR(F1474="",AND(F1474=F1473,F1474=F1475)),NA(), F1474)</f>
        <v>0</v>
      </c>
      <c r="G2196">
        <f>IF(ISNA(H2196),NA(),G1474)</f>
        <v>0</v>
      </c>
      <c r="H2196">
        <f>IF(OR(H1474="",AND(H1474=H1473,H1474=H1475)),NA(), H1474)</f>
        <v>0</v>
      </c>
      <c r="K2196">
        <f>IF(ISNA(L2196),NA(),K1474)</f>
        <v>0</v>
      </c>
      <c r="L2196">
        <f>IF(OR(L1474="",AND(L1474=L1473,L1474=L1475)),NA(), L1474)</f>
        <v>0</v>
      </c>
      <c r="M2196">
        <f>IF(ISNA(N2196),NA(),M1474)</f>
        <v>0</v>
      </c>
      <c r="N2196">
        <f>IF(OR(N1474="",AND(N1474=N1473,N1474=N1475)),NA(), N1474)</f>
        <v>0</v>
      </c>
    </row>
    <row r="2197" spans="5:14">
      <c r="E2197">
        <f>IF(ISNA(F2197),NA(),E1475)</f>
        <v>0</v>
      </c>
      <c r="F2197">
        <f>IF(OR(F1475="",AND(F1475=F1474,F1475=F1476)),NA(), F1475)</f>
        <v>0</v>
      </c>
      <c r="G2197">
        <f>IF(ISNA(H2197),NA(),G1475)</f>
        <v>0</v>
      </c>
      <c r="H2197">
        <f>IF(OR(H1475="",AND(H1475=H1474,H1475=H1476)),NA(), H1475)</f>
        <v>0</v>
      </c>
      <c r="K2197">
        <f>IF(ISNA(L2197),NA(),K1475)</f>
        <v>0</v>
      </c>
      <c r="L2197">
        <f>IF(OR(L1475="",AND(L1475=L1474,L1475=L1476)),NA(), L1475)</f>
        <v>0</v>
      </c>
      <c r="M2197">
        <f>IF(ISNA(N2197),NA(),M1475)</f>
        <v>0</v>
      </c>
      <c r="N2197">
        <f>IF(OR(N1475="",AND(N1475=N1474,N1475=N1476)),NA(), N1475)</f>
        <v>0</v>
      </c>
    </row>
    <row r="2198" spans="5:14">
      <c r="E2198">
        <f>IF(ISNA(F2198),NA(),E1476)</f>
        <v>0</v>
      </c>
      <c r="F2198">
        <f>IF(OR(F1476="",AND(F1476=F1475,F1476=F1477)),NA(), F1476)</f>
        <v>0</v>
      </c>
      <c r="G2198">
        <f>IF(ISNA(H2198),NA(),G1476)</f>
        <v>0</v>
      </c>
      <c r="H2198">
        <f>IF(OR(H1476="",AND(H1476=H1475,H1476=H1477)),NA(), H1476)</f>
        <v>0</v>
      </c>
      <c r="K2198">
        <f>IF(ISNA(L2198),NA(),K1476)</f>
        <v>0</v>
      </c>
      <c r="L2198">
        <f>IF(OR(L1476="",AND(L1476=L1475,L1476=L1477)),NA(), L1476)</f>
        <v>0</v>
      </c>
      <c r="M2198">
        <f>IF(ISNA(N2198),NA(),M1476)</f>
        <v>0</v>
      </c>
      <c r="N2198">
        <f>IF(OR(N1476="",AND(N1476=N1475,N1476=N1477)),NA(), N1476)</f>
        <v>0</v>
      </c>
    </row>
    <row r="2199" spans="5:14">
      <c r="E2199">
        <f>IF(ISNA(F2199),NA(),E1477)</f>
        <v>0</v>
      </c>
      <c r="F2199">
        <f>IF(OR(F1477="",AND(F1477=F1476,F1477=F1478)),NA(), F1477)</f>
        <v>0</v>
      </c>
      <c r="G2199">
        <f>IF(ISNA(H2199),NA(),G1477)</f>
        <v>0</v>
      </c>
      <c r="H2199">
        <f>IF(OR(H1477="",AND(H1477=H1476,H1477=H1478)),NA(), H1477)</f>
        <v>0</v>
      </c>
      <c r="K2199">
        <f>IF(ISNA(L2199),NA(),K1477)</f>
        <v>0</v>
      </c>
      <c r="L2199">
        <f>IF(OR(L1477="",AND(L1477=L1476,L1477=L1478)),NA(), L1477)</f>
        <v>0</v>
      </c>
      <c r="M2199">
        <f>IF(ISNA(N2199),NA(),M1477)</f>
        <v>0</v>
      </c>
      <c r="N2199">
        <f>IF(OR(N1477="",AND(N1477=N1476,N1477=N1478)),NA(), N1477)</f>
        <v>0</v>
      </c>
    </row>
    <row r="2200" spans="5:14">
      <c r="E2200">
        <f>IF(ISNA(F2200),NA(),E1478)</f>
        <v>0</v>
      </c>
      <c r="F2200">
        <f>IF(OR(F1478="",AND(F1478=F1477,F1478=F1479)),NA(), F1478)</f>
        <v>0</v>
      </c>
      <c r="G2200">
        <f>IF(ISNA(H2200),NA(),G1478)</f>
        <v>0</v>
      </c>
      <c r="H2200">
        <f>IF(OR(H1478="",AND(H1478=H1477,H1478=H1479)),NA(), H1478)</f>
        <v>0</v>
      </c>
      <c r="K2200">
        <f>IF(ISNA(L2200),NA(),K1478)</f>
        <v>0</v>
      </c>
      <c r="L2200">
        <f>IF(OR(L1478="",AND(L1478=L1477,L1478=L1479)),NA(), L1478)</f>
        <v>0</v>
      </c>
      <c r="M2200">
        <f>IF(ISNA(N2200),NA(),M1478)</f>
        <v>0</v>
      </c>
      <c r="N2200">
        <f>IF(OR(N1478="",AND(N1478=N1477,N1478=N1479)),NA(), N1478)</f>
        <v>0</v>
      </c>
    </row>
    <row r="2201" spans="5:14">
      <c r="E2201">
        <f>IF(ISNA(F2201),NA(),E1479)</f>
        <v>0</v>
      </c>
      <c r="F2201">
        <f>IF(OR(F1479="",AND(F1479=F1478,F1479=F1480)),NA(), F1479)</f>
        <v>0</v>
      </c>
      <c r="G2201">
        <f>IF(ISNA(H2201),NA(),G1479)</f>
        <v>0</v>
      </c>
      <c r="H2201">
        <f>IF(OR(H1479="",AND(H1479=H1478,H1479=H1480)),NA(), H1479)</f>
        <v>0</v>
      </c>
      <c r="K2201">
        <f>IF(ISNA(L2201),NA(),K1479)</f>
        <v>0</v>
      </c>
      <c r="L2201">
        <f>IF(OR(L1479="",AND(L1479=L1478,L1479=L1480)),NA(), L1479)</f>
        <v>0</v>
      </c>
      <c r="M2201">
        <f>IF(ISNA(N2201),NA(),M1479)</f>
        <v>0</v>
      </c>
      <c r="N2201">
        <f>IF(OR(N1479="",AND(N1479=N1478,N1479=N1480)),NA(), N1479)</f>
        <v>0</v>
      </c>
    </row>
    <row r="2202" spans="5:14">
      <c r="E2202">
        <f>IF(ISNA(F2202),NA(),E1480)</f>
        <v>0</v>
      </c>
      <c r="F2202">
        <f>IF(OR(F1480="",AND(F1480=F1479,F1480=F1481)),NA(), F1480)</f>
        <v>0</v>
      </c>
      <c r="G2202">
        <f>IF(ISNA(H2202),NA(),G1480)</f>
        <v>0</v>
      </c>
      <c r="H2202">
        <f>IF(OR(H1480="",AND(H1480=H1479,H1480=H1481)),NA(), H1480)</f>
        <v>0</v>
      </c>
      <c r="K2202">
        <f>IF(ISNA(L2202),NA(),K1480)</f>
        <v>0</v>
      </c>
      <c r="L2202">
        <f>IF(OR(L1480="",AND(L1480=L1479,L1480=L1481)),NA(), L1480)</f>
        <v>0</v>
      </c>
      <c r="M2202">
        <f>IF(ISNA(N2202),NA(),M1480)</f>
        <v>0</v>
      </c>
      <c r="N2202">
        <f>IF(OR(N1480="",AND(N1480=N1479,N1480=N1481)),NA(), N1480)</f>
        <v>0</v>
      </c>
    </row>
    <row r="2203" spans="5:14">
      <c r="E2203">
        <f>IF(ISNA(F2203),NA(),E1481)</f>
        <v>0</v>
      </c>
      <c r="F2203">
        <f>IF(OR(F1481="",AND(F1481=F1480,F1481=F1482)),NA(), F1481)</f>
        <v>0</v>
      </c>
      <c r="G2203">
        <f>IF(ISNA(H2203),NA(),G1481)</f>
        <v>0</v>
      </c>
      <c r="H2203">
        <f>IF(OR(H1481="",AND(H1481=H1480,H1481=H1482)),NA(), H1481)</f>
        <v>0</v>
      </c>
      <c r="K2203">
        <f>IF(ISNA(L2203),NA(),K1481)</f>
        <v>0</v>
      </c>
      <c r="L2203">
        <f>IF(OR(L1481="",AND(L1481=L1480,L1481=L1482)),NA(), L1481)</f>
        <v>0</v>
      </c>
      <c r="M2203">
        <f>IF(ISNA(N2203),NA(),M1481)</f>
        <v>0</v>
      </c>
      <c r="N2203">
        <f>IF(OR(N1481="",AND(N1481=N1480,N1481=N1482)),NA(), N1481)</f>
        <v>0</v>
      </c>
    </row>
    <row r="2204" spans="5:14">
      <c r="E2204">
        <f>IF(ISNA(F2204),NA(),E1482)</f>
        <v>0</v>
      </c>
      <c r="F2204">
        <f>IF(OR(F1482="",AND(F1482=F1481,F1482=F1483)),NA(), F1482)</f>
        <v>0</v>
      </c>
      <c r="G2204">
        <f>IF(ISNA(H2204),NA(),G1482)</f>
        <v>0</v>
      </c>
      <c r="H2204">
        <f>IF(OR(H1482="",AND(H1482=H1481,H1482=H1483)),NA(), H1482)</f>
        <v>0</v>
      </c>
      <c r="K2204">
        <f>IF(ISNA(L2204),NA(),K1482)</f>
        <v>0</v>
      </c>
      <c r="L2204">
        <f>IF(OR(L1482="",AND(L1482=L1481,L1482=L1483)),NA(), L1482)</f>
        <v>0</v>
      </c>
      <c r="M2204">
        <f>IF(ISNA(N2204),NA(),M1482)</f>
        <v>0</v>
      </c>
      <c r="N2204">
        <f>IF(OR(N1482="",AND(N1482=N1481,N1482=N1483)),NA(), N1482)</f>
        <v>0</v>
      </c>
    </row>
    <row r="2205" spans="5:14">
      <c r="E2205">
        <f>IF(ISNA(F2205),NA(),E1483)</f>
        <v>0</v>
      </c>
      <c r="F2205">
        <f>IF(OR(F1483="",AND(F1483=F1482,F1483=F1484)),NA(), F1483)</f>
        <v>0</v>
      </c>
      <c r="G2205">
        <f>IF(ISNA(H2205),NA(),G1483)</f>
        <v>0</v>
      </c>
      <c r="H2205">
        <f>IF(OR(H1483="",AND(H1483=H1482,H1483=H1484)),NA(), H1483)</f>
        <v>0</v>
      </c>
      <c r="K2205">
        <f>IF(ISNA(L2205),NA(),K1483)</f>
        <v>0</v>
      </c>
      <c r="L2205">
        <f>IF(OR(L1483="",AND(L1483=L1482,L1483=L1484)),NA(), L1483)</f>
        <v>0</v>
      </c>
      <c r="M2205">
        <f>IF(ISNA(N2205),NA(),M1483)</f>
        <v>0</v>
      </c>
      <c r="N2205">
        <f>IF(OR(N1483="",AND(N1483=N1482,N1483=N1484)),NA(), N1483)</f>
        <v>0</v>
      </c>
    </row>
    <row r="2206" spans="5:14">
      <c r="E2206">
        <f>IF(ISNA(F2206),NA(),E1484)</f>
        <v>0</v>
      </c>
      <c r="F2206">
        <f>IF(OR(F1484="",AND(F1484=F1483,F1484=F1485)),NA(), F1484)</f>
        <v>0</v>
      </c>
      <c r="G2206">
        <f>IF(ISNA(H2206),NA(),G1484)</f>
        <v>0</v>
      </c>
      <c r="H2206">
        <f>IF(OR(H1484="",AND(H1484=H1483,H1484=H1485)),NA(), H1484)</f>
        <v>0</v>
      </c>
      <c r="K2206">
        <f>IF(ISNA(L2206),NA(),K1484)</f>
        <v>0</v>
      </c>
      <c r="L2206">
        <f>IF(OR(L1484="",AND(L1484=L1483,L1484=L1485)),NA(), L1484)</f>
        <v>0</v>
      </c>
      <c r="M2206">
        <f>IF(ISNA(N2206),NA(),M1484)</f>
        <v>0</v>
      </c>
      <c r="N2206">
        <f>IF(OR(N1484="",AND(N1484=N1483,N1484=N1485)),NA(), N1484)</f>
        <v>0</v>
      </c>
    </row>
    <row r="2207" spans="5:14">
      <c r="E2207">
        <f>IF(ISNA(F2207),NA(),E1485)</f>
        <v>0</v>
      </c>
      <c r="F2207">
        <f>IF(OR(F1485="",AND(F1485=F1484,F1485=F1486)),NA(), F1485)</f>
        <v>0</v>
      </c>
      <c r="G2207">
        <f>IF(ISNA(H2207),NA(),G1485)</f>
        <v>0</v>
      </c>
      <c r="H2207">
        <f>IF(OR(H1485="",AND(H1485=H1484,H1485=H1486)),NA(), H1485)</f>
        <v>0</v>
      </c>
      <c r="K2207">
        <f>IF(ISNA(L2207),NA(),K1485)</f>
        <v>0</v>
      </c>
      <c r="L2207">
        <f>IF(OR(L1485="",AND(L1485=L1484,L1485=L1486)),NA(), L1485)</f>
        <v>0</v>
      </c>
      <c r="M2207">
        <f>IF(ISNA(N2207),NA(),M1485)</f>
        <v>0</v>
      </c>
      <c r="N2207">
        <f>IF(OR(N1485="",AND(N1485=N1484,N1485=N1486)),NA(), N1485)</f>
        <v>0</v>
      </c>
    </row>
    <row r="2208" spans="5:14">
      <c r="E2208">
        <f>IF(ISNA(F2208),NA(),E1486)</f>
        <v>0</v>
      </c>
      <c r="F2208">
        <f>IF(OR(F1486="",AND(F1486=F1485,F1486=F1487)),NA(), F1486)</f>
        <v>0</v>
      </c>
      <c r="G2208">
        <f>IF(ISNA(H2208),NA(),G1486)</f>
        <v>0</v>
      </c>
      <c r="H2208">
        <f>IF(OR(H1486="",AND(H1486=H1485,H1486=H1487)),NA(), H1486)</f>
        <v>0</v>
      </c>
      <c r="K2208">
        <f>IF(ISNA(L2208),NA(),K1486)</f>
        <v>0</v>
      </c>
      <c r="L2208">
        <f>IF(OR(L1486="",AND(L1486=L1485,L1486=L1487)),NA(), L1486)</f>
        <v>0</v>
      </c>
      <c r="M2208">
        <f>IF(ISNA(N2208),NA(),M1486)</f>
        <v>0</v>
      </c>
      <c r="N2208">
        <f>IF(OR(N1486="",AND(N1486=N1485,N1486=N1487)),NA(), N1486)</f>
        <v>0</v>
      </c>
    </row>
    <row r="2209" spans="5:14">
      <c r="E2209">
        <f>IF(ISNA(F2209),NA(),E1487)</f>
        <v>0</v>
      </c>
      <c r="F2209">
        <f>IF(OR(F1487="",AND(F1487=F1486,F1487=F1488)),NA(), F1487)</f>
        <v>0</v>
      </c>
      <c r="G2209">
        <f>IF(ISNA(H2209),NA(),G1487)</f>
        <v>0</v>
      </c>
      <c r="H2209">
        <f>IF(OR(H1487="",AND(H1487=H1486,H1487=H1488)),NA(), H1487)</f>
        <v>0</v>
      </c>
      <c r="K2209">
        <f>IF(ISNA(L2209),NA(),K1487)</f>
        <v>0</v>
      </c>
      <c r="L2209">
        <f>IF(OR(L1487="",AND(L1487=L1486,L1487=L1488)),NA(), L1487)</f>
        <v>0</v>
      </c>
      <c r="M2209">
        <f>IF(ISNA(N2209),NA(),M1487)</f>
        <v>0</v>
      </c>
      <c r="N2209">
        <f>IF(OR(N1487="",AND(N1487=N1486,N1487=N1488)),NA(), N1487)</f>
        <v>0</v>
      </c>
    </row>
    <row r="2210" spans="5:14">
      <c r="E2210">
        <f>IF(ISNA(F2210),NA(),E1488)</f>
        <v>0</v>
      </c>
      <c r="F2210">
        <f>IF(OR(F1488="",AND(F1488=F1487,F1488=F1489)),NA(), F1488)</f>
        <v>0</v>
      </c>
      <c r="G2210">
        <f>IF(ISNA(H2210),NA(),G1488)</f>
        <v>0</v>
      </c>
      <c r="H2210">
        <f>IF(OR(H1488="",AND(H1488=H1487,H1488=H1489)),NA(), H1488)</f>
        <v>0</v>
      </c>
      <c r="K2210">
        <f>IF(ISNA(L2210),NA(),K1488)</f>
        <v>0</v>
      </c>
      <c r="L2210">
        <f>IF(OR(L1488="",AND(L1488=L1487,L1488=L1489)),NA(), L1488)</f>
        <v>0</v>
      </c>
      <c r="M2210">
        <f>IF(ISNA(N2210),NA(),M1488)</f>
        <v>0</v>
      </c>
      <c r="N2210">
        <f>IF(OR(N1488="",AND(N1488=N1487,N1488=N1489)),NA(), N1488)</f>
        <v>0</v>
      </c>
    </row>
    <row r="2211" spans="5:14">
      <c r="E2211">
        <f>IF(ISNA(F2211),NA(),E1489)</f>
        <v>0</v>
      </c>
      <c r="F2211">
        <f>IF(OR(F1489="",AND(F1489=F1488,F1489=F1490)),NA(), F1489)</f>
        <v>0</v>
      </c>
      <c r="G2211">
        <f>IF(ISNA(H2211),NA(),G1489)</f>
        <v>0</v>
      </c>
      <c r="H2211">
        <f>IF(OR(H1489="",AND(H1489=H1488,H1489=H1490)),NA(), H1489)</f>
        <v>0</v>
      </c>
      <c r="K2211">
        <f>IF(ISNA(L2211),NA(),K1489)</f>
        <v>0</v>
      </c>
      <c r="L2211">
        <f>IF(OR(L1489="",AND(L1489=L1488,L1489=L1490)),NA(), L1489)</f>
        <v>0</v>
      </c>
      <c r="M2211">
        <f>IF(ISNA(N2211),NA(),M1489)</f>
        <v>0</v>
      </c>
      <c r="N2211">
        <f>IF(OR(N1489="",AND(N1489=N1488,N1489=N1490)),NA(), N1489)</f>
        <v>0</v>
      </c>
    </row>
    <row r="2212" spans="5:14">
      <c r="E2212">
        <f>IF(ISNA(F2212),NA(),E1490)</f>
        <v>0</v>
      </c>
      <c r="F2212">
        <f>IF(OR(F1490="",AND(F1490=F1489,F1490=F1491)),NA(), F1490)</f>
        <v>0</v>
      </c>
      <c r="G2212">
        <f>IF(ISNA(H2212),NA(),G1490)</f>
        <v>0</v>
      </c>
      <c r="H2212">
        <f>IF(OR(H1490="",AND(H1490=H1489,H1490=H1491)),NA(), H1490)</f>
        <v>0</v>
      </c>
      <c r="K2212">
        <f>IF(ISNA(L2212),NA(),K1490)</f>
        <v>0</v>
      </c>
      <c r="L2212">
        <f>IF(OR(L1490="",AND(L1490=L1489,L1490=L1491)),NA(), L1490)</f>
        <v>0</v>
      </c>
      <c r="M2212">
        <f>IF(ISNA(N2212),NA(),M1490)</f>
        <v>0</v>
      </c>
      <c r="N2212">
        <f>IF(OR(N1490="",AND(N1490=N1489,N1490=N1491)),NA(), N1490)</f>
        <v>0</v>
      </c>
    </row>
    <row r="2213" spans="5:14">
      <c r="E2213">
        <f>IF(ISNA(F2213),NA(),E1491)</f>
        <v>0</v>
      </c>
      <c r="F2213">
        <f>IF(OR(F1491="",AND(F1491=F1490,F1491=F1492)),NA(), F1491)</f>
        <v>0</v>
      </c>
      <c r="G2213">
        <f>IF(ISNA(H2213),NA(),G1491)</f>
        <v>0</v>
      </c>
      <c r="H2213">
        <f>IF(OR(H1491="",AND(H1491=H1490,H1491=H1492)),NA(), H1491)</f>
        <v>0</v>
      </c>
      <c r="K2213">
        <f>IF(ISNA(L2213),NA(),K1491)</f>
        <v>0</v>
      </c>
      <c r="L2213">
        <f>IF(OR(L1491="",AND(L1491=L1490,L1491=L1492)),NA(), L1491)</f>
        <v>0</v>
      </c>
      <c r="M2213">
        <f>IF(ISNA(N2213),NA(),M1491)</f>
        <v>0</v>
      </c>
      <c r="N2213">
        <f>IF(OR(N1491="",AND(N1491=N1490,N1491=N1492)),NA(), N1491)</f>
        <v>0</v>
      </c>
    </row>
    <row r="2214" spans="5:14">
      <c r="E2214">
        <f>IF(ISNA(F2214),NA(),E1492)</f>
        <v>0</v>
      </c>
      <c r="F2214">
        <f>IF(OR(F1492="",AND(F1492=F1491,F1492=F1493)),NA(), F1492)</f>
        <v>0</v>
      </c>
      <c r="G2214">
        <f>IF(ISNA(H2214),NA(),G1492)</f>
        <v>0</v>
      </c>
      <c r="H2214">
        <f>IF(OR(H1492="",AND(H1492=H1491,H1492=H1493)),NA(), H1492)</f>
        <v>0</v>
      </c>
      <c r="K2214">
        <f>IF(ISNA(L2214),NA(),K1492)</f>
        <v>0</v>
      </c>
      <c r="L2214">
        <f>IF(OR(L1492="",AND(L1492=L1491,L1492=L1493)),NA(), L1492)</f>
        <v>0</v>
      </c>
      <c r="M2214">
        <f>IF(ISNA(N2214),NA(),M1492)</f>
        <v>0</v>
      </c>
      <c r="N2214">
        <f>IF(OR(N1492="",AND(N1492=N1491,N1492=N1493)),NA(), N1492)</f>
        <v>0</v>
      </c>
    </row>
    <row r="2215" spans="5:14">
      <c r="E2215">
        <f>IF(ISNA(F2215),NA(),E1493)</f>
        <v>0</v>
      </c>
      <c r="F2215">
        <f>IF(OR(F1493="",AND(F1493=F1492,F1493=F1494)),NA(), F1493)</f>
        <v>0</v>
      </c>
      <c r="G2215">
        <f>IF(ISNA(H2215),NA(),G1493)</f>
        <v>0</v>
      </c>
      <c r="H2215">
        <f>IF(OR(H1493="",AND(H1493=H1492,H1493=H1494)),NA(), H1493)</f>
        <v>0</v>
      </c>
      <c r="K2215">
        <f>IF(ISNA(L2215),NA(),K1493)</f>
        <v>0</v>
      </c>
      <c r="L2215">
        <f>IF(OR(L1493="",AND(L1493=L1492,L1493=L1494)),NA(), L1493)</f>
        <v>0</v>
      </c>
      <c r="M2215">
        <f>IF(ISNA(N2215),NA(),M1493)</f>
        <v>0</v>
      </c>
      <c r="N2215">
        <f>IF(OR(N1493="",AND(N1493=N1492,N1493=N1494)),NA(), N1493)</f>
        <v>0</v>
      </c>
    </row>
    <row r="2216" spans="5:14">
      <c r="E2216">
        <f>IF(ISNA(F2216),NA(),E1494)</f>
        <v>0</v>
      </c>
      <c r="F2216">
        <f>IF(OR(F1494="",AND(F1494=F1493,F1494=F1495)),NA(), F1494)</f>
        <v>0</v>
      </c>
      <c r="G2216">
        <f>IF(ISNA(H2216),NA(),G1494)</f>
        <v>0</v>
      </c>
      <c r="H2216">
        <f>IF(OR(H1494="",AND(H1494=H1493,H1494=H1495)),NA(), H1494)</f>
        <v>0</v>
      </c>
      <c r="K2216">
        <f>IF(ISNA(L2216),NA(),K1494)</f>
        <v>0</v>
      </c>
      <c r="L2216">
        <f>IF(OR(L1494="",AND(L1494=L1493,L1494=L1495)),NA(), L1494)</f>
        <v>0</v>
      </c>
      <c r="M2216">
        <f>IF(ISNA(N2216),NA(),M1494)</f>
        <v>0</v>
      </c>
      <c r="N2216">
        <f>IF(OR(N1494="",AND(N1494=N1493,N1494=N1495)),NA(), N1494)</f>
        <v>0</v>
      </c>
    </row>
    <row r="2217" spans="5:14">
      <c r="E2217">
        <f>IF(ISNA(F2217),NA(),E1495)</f>
        <v>0</v>
      </c>
      <c r="F2217">
        <f>IF(OR(F1495="",AND(F1495=F1494,F1495=F1496)),NA(), F1495)</f>
        <v>0</v>
      </c>
      <c r="G2217">
        <f>IF(ISNA(H2217),NA(),G1495)</f>
        <v>0</v>
      </c>
      <c r="H2217">
        <f>IF(OR(H1495="",AND(H1495=H1494,H1495=H1496)),NA(), H1495)</f>
        <v>0</v>
      </c>
      <c r="K2217">
        <f>IF(ISNA(L2217),NA(),K1495)</f>
        <v>0</v>
      </c>
      <c r="L2217">
        <f>IF(OR(L1495="",AND(L1495=L1494,L1495=L1496)),NA(), L1495)</f>
        <v>0</v>
      </c>
      <c r="M2217">
        <f>IF(ISNA(N2217),NA(),M1495)</f>
        <v>0</v>
      </c>
      <c r="N2217">
        <f>IF(OR(N1495="",AND(N1495=N1494,N1495=N1496)),NA(), N1495)</f>
        <v>0</v>
      </c>
    </row>
    <row r="2218" spans="5:14">
      <c r="E2218">
        <f>IF(ISNA(F2218),NA(),E1496)</f>
        <v>0</v>
      </c>
      <c r="F2218">
        <f>IF(OR(F1496="",AND(F1496=F1495,F1496=F1497)),NA(), F1496)</f>
        <v>0</v>
      </c>
      <c r="G2218">
        <f>IF(ISNA(H2218),NA(),G1496)</f>
        <v>0</v>
      </c>
      <c r="H2218">
        <f>IF(OR(H1496="",AND(H1496=H1495,H1496=H1497)),NA(), H1496)</f>
        <v>0</v>
      </c>
      <c r="K2218">
        <f>IF(ISNA(L2218),NA(),K1496)</f>
        <v>0</v>
      </c>
      <c r="L2218">
        <f>IF(OR(L1496="",AND(L1496=L1495,L1496=L1497)),NA(), L1496)</f>
        <v>0</v>
      </c>
      <c r="M2218">
        <f>IF(ISNA(N2218),NA(),M1496)</f>
        <v>0</v>
      </c>
      <c r="N2218">
        <f>IF(OR(N1496="",AND(N1496=N1495,N1496=N1497)),NA(), N1496)</f>
        <v>0</v>
      </c>
    </row>
    <row r="2219" spans="5:14">
      <c r="E2219">
        <f>IF(ISNA(F2219),NA(),E1497)</f>
        <v>0</v>
      </c>
      <c r="F2219">
        <f>IF(OR(F1497="",AND(F1497=F1496,F1497=F1498)),NA(), F1497)</f>
        <v>0</v>
      </c>
      <c r="G2219">
        <f>IF(ISNA(H2219),NA(),G1497)</f>
        <v>0</v>
      </c>
      <c r="H2219">
        <f>IF(OR(H1497="",AND(H1497=H1496,H1497=H1498)),NA(), H1497)</f>
        <v>0</v>
      </c>
      <c r="K2219">
        <f>IF(ISNA(L2219),NA(),K1497)</f>
        <v>0</v>
      </c>
      <c r="L2219">
        <f>IF(OR(L1497="",AND(L1497=L1496,L1497=L1498)),NA(), L1497)</f>
        <v>0</v>
      </c>
      <c r="M2219">
        <f>IF(ISNA(N2219),NA(),M1497)</f>
        <v>0</v>
      </c>
      <c r="N2219">
        <f>IF(OR(N1497="",AND(N1497=N1496,N1497=N1498)),NA(), N1497)</f>
        <v>0</v>
      </c>
    </row>
    <row r="2220" spans="5:14">
      <c r="E2220">
        <f>IF(ISNA(F2220),NA(),E1498)</f>
        <v>0</v>
      </c>
      <c r="F2220">
        <f>IF(OR(F1498="",AND(F1498=F1497,F1498=F1499)),NA(), F1498)</f>
        <v>0</v>
      </c>
      <c r="G2220">
        <f>IF(ISNA(H2220),NA(),G1498)</f>
        <v>0</v>
      </c>
      <c r="H2220">
        <f>IF(OR(H1498="",AND(H1498=H1497,H1498=H1499)),NA(), H1498)</f>
        <v>0</v>
      </c>
      <c r="K2220">
        <f>IF(ISNA(L2220),NA(),K1498)</f>
        <v>0</v>
      </c>
      <c r="L2220">
        <f>IF(OR(L1498="",AND(L1498=L1497,L1498=L1499)),NA(), L1498)</f>
        <v>0</v>
      </c>
      <c r="M2220">
        <f>IF(ISNA(N2220),NA(),M1498)</f>
        <v>0</v>
      </c>
      <c r="N2220">
        <f>IF(OR(N1498="",AND(N1498=N1497,N1498=N1499)),NA(), N1498)</f>
        <v>0</v>
      </c>
    </row>
    <row r="2221" spans="5:14">
      <c r="E2221">
        <f>IF(ISNA(F2221),NA(),E1499)</f>
        <v>0</v>
      </c>
      <c r="F2221">
        <f>IF(OR(F1499="",AND(F1499=F1498,F1499=F1500)),NA(), F1499)</f>
        <v>0</v>
      </c>
      <c r="G2221">
        <f>IF(ISNA(H2221),NA(),G1499)</f>
        <v>0</v>
      </c>
      <c r="H2221">
        <f>IF(OR(H1499="",AND(H1499=H1498,H1499=H1500)),NA(), H1499)</f>
        <v>0</v>
      </c>
      <c r="K2221">
        <f>IF(ISNA(L2221),NA(),K1499)</f>
        <v>0</v>
      </c>
      <c r="L2221">
        <f>IF(OR(L1499="",AND(L1499=L1498,L1499=L1500)),NA(), L1499)</f>
        <v>0</v>
      </c>
      <c r="M2221">
        <f>IF(ISNA(N2221),NA(),M1499)</f>
        <v>0</v>
      </c>
      <c r="N2221">
        <f>IF(OR(N1499="",AND(N1499=N1498,N1499=N1500)),NA(), N1499)</f>
        <v>0</v>
      </c>
    </row>
    <row r="2222" spans="5:14">
      <c r="E2222">
        <f>IF(ISNA(F2222),NA(),E1500)</f>
        <v>0</v>
      </c>
      <c r="F2222">
        <f>IF(OR(F1500="",AND(F1500=F1499,F1500=F1501)),NA(), F1500)</f>
        <v>0</v>
      </c>
      <c r="G2222">
        <f>IF(ISNA(H2222),NA(),G1500)</f>
        <v>0</v>
      </c>
      <c r="H2222">
        <f>IF(OR(H1500="",AND(H1500=H1499,H1500=H1501)),NA(), H1500)</f>
        <v>0</v>
      </c>
      <c r="K2222">
        <f>IF(ISNA(L2222),NA(),K1500)</f>
        <v>0</v>
      </c>
      <c r="L2222">
        <f>IF(OR(L1500="",AND(L1500=L1499,L1500=L1501)),NA(), L1500)</f>
        <v>0</v>
      </c>
      <c r="M2222">
        <f>IF(ISNA(N2222),NA(),M1500)</f>
        <v>0</v>
      </c>
      <c r="N2222">
        <f>IF(OR(N1500="",AND(N1500=N1499,N1500=N1501)),NA(), N1500)</f>
        <v>0</v>
      </c>
    </row>
    <row r="2223" spans="5:14">
      <c r="E2223">
        <f>IF(ISNA(F2223),NA(),E1501)</f>
        <v>0</v>
      </c>
      <c r="F2223">
        <f>IF(OR(F1501="",AND(F1501=F1500,F1501=F1502)),NA(), F1501)</f>
        <v>0</v>
      </c>
      <c r="G2223">
        <f>IF(ISNA(H2223),NA(),G1501)</f>
        <v>0</v>
      </c>
      <c r="H2223">
        <f>IF(OR(H1501="",AND(H1501=H1500,H1501=H1502)),NA(), H1501)</f>
        <v>0</v>
      </c>
      <c r="K2223">
        <f>IF(ISNA(L2223),NA(),K1501)</f>
        <v>0</v>
      </c>
      <c r="L2223">
        <f>IF(OR(L1501="",AND(L1501=L1500,L1501=L1502)),NA(), L1501)</f>
        <v>0</v>
      </c>
      <c r="M2223">
        <f>IF(ISNA(N2223),NA(),M1501)</f>
        <v>0</v>
      </c>
      <c r="N2223">
        <f>IF(OR(N1501="",AND(N1501=N1500,N1501=N1502)),NA(), N1501)</f>
        <v>0</v>
      </c>
    </row>
    <row r="2224" spans="5:14">
      <c r="E2224">
        <f>IF(ISNA(F2224),NA(),E1502)</f>
        <v>0</v>
      </c>
      <c r="F2224">
        <f>IF(OR(F1502="",AND(F1502=F1501,F1502=F1503)),NA(), F1502)</f>
        <v>0</v>
      </c>
      <c r="G2224">
        <f>IF(ISNA(H2224),NA(),G1502)</f>
        <v>0</v>
      </c>
      <c r="H2224">
        <f>IF(OR(H1502="",AND(H1502=H1501,H1502=H1503)),NA(), H1502)</f>
        <v>0</v>
      </c>
      <c r="K2224">
        <f>IF(ISNA(L2224),NA(),K1502)</f>
        <v>0</v>
      </c>
      <c r="L2224">
        <f>IF(OR(L1502="",AND(L1502=L1501,L1502=L1503)),NA(), L1502)</f>
        <v>0</v>
      </c>
      <c r="M2224">
        <f>IF(ISNA(N2224),NA(),M1502)</f>
        <v>0</v>
      </c>
      <c r="N2224">
        <f>IF(OR(N1502="",AND(N1502=N1501,N1502=N1503)),NA(), N1502)</f>
        <v>0</v>
      </c>
    </row>
    <row r="2225" spans="5:14">
      <c r="E2225">
        <f>IF(ISNA(F2225),NA(),E1503)</f>
        <v>0</v>
      </c>
      <c r="F2225">
        <f>IF(OR(F1503="",AND(F1503=F1502,F1503=F1504)),NA(), F1503)</f>
        <v>0</v>
      </c>
      <c r="G2225">
        <f>IF(ISNA(H2225),NA(),G1503)</f>
        <v>0</v>
      </c>
      <c r="H2225">
        <f>IF(OR(H1503="",AND(H1503=H1502,H1503=H1504)),NA(), H1503)</f>
        <v>0</v>
      </c>
      <c r="K2225">
        <f>IF(ISNA(L2225),NA(),K1503)</f>
        <v>0</v>
      </c>
      <c r="L2225">
        <f>IF(OR(L1503="",AND(L1503=L1502,L1503=L1504)),NA(), L1503)</f>
        <v>0</v>
      </c>
      <c r="M2225">
        <f>IF(ISNA(N2225),NA(),M1503)</f>
        <v>0</v>
      </c>
      <c r="N2225">
        <f>IF(OR(N1503="",AND(N1503=N1502,N1503=N1504)),NA(), N1503)</f>
        <v>0</v>
      </c>
    </row>
    <row r="2226" spans="5:14">
      <c r="E2226">
        <f>IF(ISNA(F2226),NA(),E1504)</f>
        <v>0</v>
      </c>
      <c r="F2226">
        <f>IF(OR(F1504="",AND(F1504=F1503,F1504=F1505)),NA(), F1504)</f>
        <v>0</v>
      </c>
      <c r="G2226">
        <f>IF(ISNA(H2226),NA(),G1504)</f>
        <v>0</v>
      </c>
      <c r="H2226">
        <f>IF(OR(H1504="",AND(H1504=H1503,H1504=H1505)),NA(), H1504)</f>
        <v>0</v>
      </c>
      <c r="K2226">
        <f>IF(ISNA(L2226),NA(),K1504)</f>
        <v>0</v>
      </c>
      <c r="L2226">
        <f>IF(OR(L1504="",AND(L1504=L1503,L1504=L1505)),NA(), L1504)</f>
        <v>0</v>
      </c>
      <c r="M2226">
        <f>IF(ISNA(N2226),NA(),M1504)</f>
        <v>0</v>
      </c>
      <c r="N2226">
        <f>IF(OR(N1504="",AND(N1504=N1503,N1504=N1505)),NA(), N1504)</f>
        <v>0</v>
      </c>
    </row>
    <row r="2227" spans="5:14">
      <c r="E2227">
        <f>IF(ISNA(F2227),NA(),E1505)</f>
        <v>0</v>
      </c>
      <c r="F2227">
        <f>IF(OR(F1505="",AND(F1505=F1504,F1505=F1506)),NA(), F1505)</f>
        <v>0</v>
      </c>
      <c r="G2227">
        <f>IF(ISNA(H2227),NA(),G1505)</f>
        <v>0</v>
      </c>
      <c r="H2227">
        <f>IF(OR(H1505="",AND(H1505=H1504,H1505=H1506)),NA(), H1505)</f>
        <v>0</v>
      </c>
      <c r="K2227">
        <f>IF(ISNA(L2227),NA(),K1505)</f>
        <v>0</v>
      </c>
      <c r="L2227">
        <f>IF(OR(L1505="",AND(L1505=L1504,L1505=L1506)),NA(), L1505)</f>
        <v>0</v>
      </c>
      <c r="M2227">
        <f>IF(ISNA(N2227),NA(),M1505)</f>
        <v>0</v>
      </c>
      <c r="N2227">
        <f>IF(OR(N1505="",AND(N1505=N1504,N1505=N1506)),NA(), N1505)</f>
        <v>0</v>
      </c>
    </row>
    <row r="2228" spans="5:14">
      <c r="E2228">
        <f>IF(ISNA(F2228),NA(),E1506)</f>
        <v>0</v>
      </c>
      <c r="F2228">
        <f>IF(OR(F1506="",AND(F1506=F1505,F1506=F1507)),NA(), F1506)</f>
        <v>0</v>
      </c>
      <c r="G2228">
        <f>IF(ISNA(H2228),NA(),G1506)</f>
        <v>0</v>
      </c>
      <c r="H2228">
        <f>IF(OR(H1506="",AND(H1506=H1505,H1506=H1507)),NA(), H1506)</f>
        <v>0</v>
      </c>
      <c r="K2228">
        <f>IF(ISNA(L2228),NA(),K1506)</f>
        <v>0</v>
      </c>
      <c r="L2228">
        <f>IF(OR(L1506="",AND(L1506=L1505,L1506=L1507)),NA(), L1506)</f>
        <v>0</v>
      </c>
      <c r="M2228">
        <f>IF(ISNA(N2228),NA(),M1506)</f>
        <v>0</v>
      </c>
      <c r="N2228">
        <f>IF(OR(N1506="",AND(N1506=N1505,N1506=N1507)),NA(), N1506)</f>
        <v>0</v>
      </c>
    </row>
    <row r="2229" spans="5:14">
      <c r="E2229">
        <f>IF(ISNA(F2229),NA(),E1507)</f>
        <v>0</v>
      </c>
      <c r="F2229">
        <f>IF(OR(F1507="",AND(F1507=F1506,F1507=F1508)),NA(), F1507)</f>
        <v>0</v>
      </c>
      <c r="G2229">
        <f>IF(ISNA(H2229),NA(),G1507)</f>
        <v>0</v>
      </c>
      <c r="H2229">
        <f>IF(OR(H1507="",AND(H1507=H1506,H1507=H1508)),NA(), H1507)</f>
        <v>0</v>
      </c>
      <c r="K2229">
        <f>IF(ISNA(L2229),NA(),K1507)</f>
        <v>0</v>
      </c>
      <c r="L2229">
        <f>IF(OR(L1507="",AND(L1507=L1506,L1507=L1508)),NA(), L1507)</f>
        <v>0</v>
      </c>
      <c r="M2229">
        <f>IF(ISNA(N2229),NA(),M1507)</f>
        <v>0</v>
      </c>
      <c r="N2229">
        <f>IF(OR(N1507="",AND(N1507=N1506,N1507=N1508)),NA(), N1507)</f>
        <v>0</v>
      </c>
    </row>
    <row r="2230" spans="5:14">
      <c r="E2230">
        <f>IF(ISNA(F2230),NA(),E1508)</f>
        <v>0</v>
      </c>
      <c r="F2230">
        <f>IF(OR(F1508="",AND(F1508=F1507,F1508=F1509)),NA(), F1508)</f>
        <v>0</v>
      </c>
      <c r="G2230">
        <f>IF(ISNA(H2230),NA(),G1508)</f>
        <v>0</v>
      </c>
      <c r="H2230">
        <f>IF(OR(H1508="",AND(H1508=H1507,H1508=H1509)),NA(), H1508)</f>
        <v>0</v>
      </c>
      <c r="K2230">
        <f>IF(ISNA(L2230),NA(),K1508)</f>
        <v>0</v>
      </c>
      <c r="L2230">
        <f>IF(OR(L1508="",AND(L1508=L1507,L1508=L1509)),NA(), L1508)</f>
        <v>0</v>
      </c>
      <c r="M2230">
        <f>IF(ISNA(N2230),NA(),M1508)</f>
        <v>0</v>
      </c>
      <c r="N2230">
        <f>IF(OR(N1508="",AND(N1508=N1507,N1508=N1509)),NA(), N1508)</f>
        <v>0</v>
      </c>
    </row>
    <row r="2231" spans="5:14">
      <c r="E2231">
        <f>IF(ISNA(F2231),NA(),E1509)</f>
        <v>0</v>
      </c>
      <c r="F2231">
        <f>IF(OR(F1509="",AND(F1509=F1508,F1509=F1510)),NA(), F1509)</f>
        <v>0</v>
      </c>
      <c r="G2231">
        <f>IF(ISNA(H2231),NA(),G1509)</f>
        <v>0</v>
      </c>
      <c r="H2231">
        <f>IF(OR(H1509="",AND(H1509=H1508,H1509=H1510)),NA(), H1509)</f>
        <v>0</v>
      </c>
      <c r="K2231">
        <f>IF(ISNA(L2231),NA(),K1509)</f>
        <v>0</v>
      </c>
      <c r="L2231">
        <f>IF(OR(L1509="",AND(L1509=L1508,L1509=L1510)),NA(), L1509)</f>
        <v>0</v>
      </c>
      <c r="M2231">
        <f>IF(ISNA(N2231),NA(),M1509)</f>
        <v>0</v>
      </c>
      <c r="N2231">
        <f>IF(OR(N1509="",AND(N1509=N1508,N1509=N1510)),NA(), N1509)</f>
        <v>0</v>
      </c>
    </row>
    <row r="2232" spans="5:14">
      <c r="E2232">
        <f>IF(ISNA(F2232),NA(),E1510)</f>
        <v>0</v>
      </c>
      <c r="F2232">
        <f>IF(OR(F1510="",AND(F1510=F1509,F1510=F1511)),NA(), F1510)</f>
        <v>0</v>
      </c>
      <c r="G2232">
        <f>IF(ISNA(H2232),NA(),G1510)</f>
        <v>0</v>
      </c>
      <c r="H2232">
        <f>IF(OR(H1510="",AND(H1510=H1509,H1510=H1511)),NA(), H1510)</f>
        <v>0</v>
      </c>
      <c r="K2232">
        <f>IF(ISNA(L2232),NA(),K1510)</f>
        <v>0</v>
      </c>
      <c r="L2232">
        <f>IF(OR(L1510="",AND(L1510=L1509,L1510=L1511)),NA(), L1510)</f>
        <v>0</v>
      </c>
      <c r="M2232">
        <f>IF(ISNA(N2232),NA(),M1510)</f>
        <v>0</v>
      </c>
      <c r="N2232">
        <f>IF(OR(N1510="",AND(N1510=N1509,N1510=N1511)),NA(), N1510)</f>
        <v>0</v>
      </c>
    </row>
    <row r="2233" spans="5:14">
      <c r="E2233">
        <f>IF(ISNA(F2233),NA(),E1511)</f>
        <v>0</v>
      </c>
      <c r="F2233">
        <f>IF(OR(F1511="",AND(F1511=F1510,F1511=F1512)),NA(), F1511)</f>
        <v>0</v>
      </c>
      <c r="G2233">
        <f>IF(ISNA(H2233),NA(),G1511)</f>
        <v>0</v>
      </c>
      <c r="H2233">
        <f>IF(OR(H1511="",AND(H1511=H1510,H1511=H1512)),NA(), H1511)</f>
        <v>0</v>
      </c>
      <c r="K2233">
        <f>IF(ISNA(L2233),NA(),K1511)</f>
        <v>0</v>
      </c>
      <c r="L2233">
        <f>IF(OR(L1511="",AND(L1511=L1510,L1511=L1512)),NA(), L1511)</f>
        <v>0</v>
      </c>
      <c r="M2233">
        <f>IF(ISNA(N2233),NA(),M1511)</f>
        <v>0</v>
      </c>
      <c r="N2233">
        <f>IF(OR(N1511="",AND(N1511=N1510,N1511=N1512)),NA(), N1511)</f>
        <v>0</v>
      </c>
    </row>
    <row r="2234" spans="5:14">
      <c r="E2234">
        <f>IF(ISNA(F2234),NA(),E1512)</f>
        <v>0</v>
      </c>
      <c r="F2234">
        <f>IF(OR(F1512="",AND(F1512=F1511,F1512=F1513)),NA(), F1512)</f>
        <v>0</v>
      </c>
      <c r="G2234">
        <f>IF(ISNA(H2234),NA(),G1512)</f>
        <v>0</v>
      </c>
      <c r="H2234">
        <f>IF(OR(H1512="",AND(H1512=H1511,H1512=H1513)),NA(), H1512)</f>
        <v>0</v>
      </c>
      <c r="K2234">
        <f>IF(ISNA(L2234),NA(),K1512)</f>
        <v>0</v>
      </c>
      <c r="L2234">
        <f>IF(OR(L1512="",AND(L1512=L1511,L1512=L1513)),NA(), L1512)</f>
        <v>0</v>
      </c>
      <c r="M2234">
        <f>IF(ISNA(N2234),NA(),M1512)</f>
        <v>0</v>
      </c>
      <c r="N2234">
        <f>IF(OR(N1512="",AND(N1512=N1511,N1512=N1513)),NA(), N1512)</f>
        <v>0</v>
      </c>
    </row>
    <row r="2235" spans="5:14">
      <c r="E2235">
        <f>IF(ISNA(F2235),NA(),E1513)</f>
        <v>0</v>
      </c>
      <c r="F2235">
        <f>IF(OR(F1513="",AND(F1513=F1512,F1513=F1514)),NA(), F1513)</f>
        <v>0</v>
      </c>
      <c r="G2235">
        <f>IF(ISNA(H2235),NA(),G1513)</f>
        <v>0</v>
      </c>
      <c r="H2235">
        <f>IF(OR(H1513="",AND(H1513=H1512,H1513=H1514)),NA(), H1513)</f>
        <v>0</v>
      </c>
      <c r="K2235">
        <f>IF(ISNA(L2235),NA(),K1513)</f>
        <v>0</v>
      </c>
      <c r="L2235">
        <f>IF(OR(L1513="",AND(L1513=L1512,L1513=L1514)),NA(), L1513)</f>
        <v>0</v>
      </c>
      <c r="M2235">
        <f>IF(ISNA(N2235),NA(),M1513)</f>
        <v>0</v>
      </c>
      <c r="N2235">
        <f>IF(OR(N1513="",AND(N1513=N1512,N1513=N1514)),NA(), N1513)</f>
        <v>0</v>
      </c>
    </row>
    <row r="2236" spans="5:14">
      <c r="E2236">
        <f>IF(ISNA(F2236),NA(),E1514)</f>
        <v>0</v>
      </c>
      <c r="F2236">
        <f>IF(OR(F1514="",AND(F1514=F1513,F1514=F1515)),NA(), F1514)</f>
        <v>0</v>
      </c>
      <c r="G2236">
        <f>IF(ISNA(H2236),NA(),G1514)</f>
        <v>0</v>
      </c>
      <c r="H2236">
        <f>IF(OR(H1514="",AND(H1514=H1513,H1514=H1515)),NA(), H1514)</f>
        <v>0</v>
      </c>
      <c r="K2236">
        <f>IF(ISNA(L2236),NA(),K1514)</f>
        <v>0</v>
      </c>
      <c r="L2236">
        <f>IF(OR(L1514="",AND(L1514=L1513,L1514=L1515)),NA(), L1514)</f>
        <v>0</v>
      </c>
      <c r="M2236">
        <f>IF(ISNA(N2236),NA(),M1514)</f>
        <v>0</v>
      </c>
      <c r="N2236">
        <f>IF(OR(N1514="",AND(N1514=N1513,N1514=N1515)),NA(), N1514)</f>
        <v>0</v>
      </c>
    </row>
    <row r="2237" spans="5:14">
      <c r="E2237">
        <f>IF(ISNA(F2237),NA(),E1515)</f>
        <v>0</v>
      </c>
      <c r="F2237">
        <f>IF(OR(F1515="",AND(F1515=F1514,F1515=F1516)),NA(), F1515)</f>
        <v>0</v>
      </c>
      <c r="G2237">
        <f>IF(ISNA(H2237),NA(),G1515)</f>
        <v>0</v>
      </c>
      <c r="H2237">
        <f>IF(OR(H1515="",AND(H1515=H1514,H1515=H1516)),NA(), H1515)</f>
        <v>0</v>
      </c>
      <c r="K2237">
        <f>IF(ISNA(L2237),NA(),K1515)</f>
        <v>0</v>
      </c>
      <c r="L2237">
        <f>IF(OR(L1515="",AND(L1515=L1514,L1515=L1516)),NA(), L1515)</f>
        <v>0</v>
      </c>
      <c r="M2237">
        <f>IF(ISNA(N2237),NA(),M1515)</f>
        <v>0</v>
      </c>
      <c r="N2237">
        <f>IF(OR(N1515="",AND(N1515=N1514,N1515=N1516)),NA(), N1515)</f>
        <v>0</v>
      </c>
    </row>
    <row r="2238" spans="5:14">
      <c r="E2238">
        <f>IF(ISNA(F2238),NA(),E1516)</f>
        <v>0</v>
      </c>
      <c r="F2238">
        <f>IF(OR(F1516="",AND(F1516=F1515,F1516=F1517)),NA(), F1516)</f>
        <v>0</v>
      </c>
      <c r="G2238">
        <f>IF(ISNA(H2238),NA(),G1516)</f>
        <v>0</v>
      </c>
      <c r="H2238">
        <f>IF(OR(H1516="",AND(H1516=H1515,H1516=H1517)),NA(), H1516)</f>
        <v>0</v>
      </c>
      <c r="K2238">
        <f>IF(ISNA(L2238),NA(),K1516)</f>
        <v>0</v>
      </c>
      <c r="L2238">
        <f>IF(OR(L1516="",AND(L1516=L1515,L1516=L1517)),NA(), L1516)</f>
        <v>0</v>
      </c>
      <c r="M2238">
        <f>IF(ISNA(N2238),NA(),M1516)</f>
        <v>0</v>
      </c>
      <c r="N2238">
        <f>IF(OR(N1516="",AND(N1516=N1515,N1516=N1517)),NA(), N1516)</f>
        <v>0</v>
      </c>
    </row>
    <row r="2239" spans="5:14">
      <c r="E2239">
        <f>IF(ISNA(F2239),NA(),E1517)</f>
        <v>0</v>
      </c>
      <c r="F2239">
        <f>IF(OR(F1517="",AND(F1517=F1516,F1517=F1518)),NA(), F1517)</f>
        <v>0</v>
      </c>
      <c r="G2239">
        <f>IF(ISNA(H2239),NA(),G1517)</f>
        <v>0</v>
      </c>
      <c r="H2239">
        <f>IF(OR(H1517="",AND(H1517=H1516,H1517=H1518)),NA(), H1517)</f>
        <v>0</v>
      </c>
      <c r="K2239">
        <f>IF(ISNA(L2239),NA(),K1517)</f>
        <v>0</v>
      </c>
      <c r="L2239">
        <f>IF(OR(L1517="",AND(L1517=L1516,L1517=L1518)),NA(), L1517)</f>
        <v>0</v>
      </c>
      <c r="M2239">
        <f>IF(ISNA(N2239),NA(),M1517)</f>
        <v>0</v>
      </c>
      <c r="N2239">
        <f>IF(OR(N1517="",AND(N1517=N1516,N1517=N1518)),NA(), N1517)</f>
        <v>0</v>
      </c>
    </row>
    <row r="2240" spans="5:14">
      <c r="E2240">
        <f>IF(ISNA(F2240),NA(),E1518)</f>
        <v>0</v>
      </c>
      <c r="F2240">
        <f>IF(OR(F1518="",AND(F1518=F1517,F1518=F1519)),NA(), F1518)</f>
        <v>0</v>
      </c>
      <c r="G2240">
        <f>IF(ISNA(H2240),NA(),G1518)</f>
        <v>0</v>
      </c>
      <c r="H2240">
        <f>IF(OR(H1518="",AND(H1518=H1517,H1518=H1519)),NA(), H1518)</f>
        <v>0</v>
      </c>
      <c r="K2240">
        <f>IF(ISNA(L2240),NA(),K1518)</f>
        <v>0</v>
      </c>
      <c r="L2240">
        <f>IF(OR(L1518="",AND(L1518=L1517,L1518=L1519)),NA(), L1518)</f>
        <v>0</v>
      </c>
      <c r="M2240">
        <f>IF(ISNA(N2240),NA(),M1518)</f>
        <v>0</v>
      </c>
      <c r="N2240">
        <f>IF(OR(N1518="",AND(N1518=N1517,N1518=N1519)),NA(), N1518)</f>
        <v>0</v>
      </c>
    </row>
    <row r="2241" spans="5:14">
      <c r="E2241">
        <f>IF(ISNA(F2241),NA(),E1519)</f>
        <v>0</v>
      </c>
      <c r="F2241">
        <f>IF(OR(F1519="",AND(F1519=F1518,F1519=F1520)),NA(), F1519)</f>
        <v>0</v>
      </c>
      <c r="G2241">
        <f>IF(ISNA(H2241),NA(),G1519)</f>
        <v>0</v>
      </c>
      <c r="H2241">
        <f>IF(OR(H1519="",AND(H1519=H1518,H1519=H1520)),NA(), H1519)</f>
        <v>0</v>
      </c>
      <c r="K2241">
        <f>IF(ISNA(L2241),NA(),K1519)</f>
        <v>0</v>
      </c>
      <c r="L2241">
        <f>IF(OR(L1519="",AND(L1519=L1518,L1519=L1520)),NA(), L1519)</f>
        <v>0</v>
      </c>
      <c r="M2241">
        <f>IF(ISNA(N2241),NA(),M1519)</f>
        <v>0</v>
      </c>
      <c r="N2241">
        <f>IF(OR(N1519="",AND(N1519=N1518,N1519=N1520)),NA(), N1519)</f>
        <v>0</v>
      </c>
    </row>
    <row r="2242" spans="5:14">
      <c r="E2242">
        <f>IF(ISNA(F2242),NA(),E1520)</f>
        <v>0</v>
      </c>
      <c r="F2242">
        <f>IF(OR(F1520="",AND(F1520=F1519,F1520=F1521)),NA(), F1520)</f>
        <v>0</v>
      </c>
      <c r="G2242">
        <f>IF(ISNA(H2242),NA(),G1520)</f>
        <v>0</v>
      </c>
      <c r="H2242">
        <f>IF(OR(H1520="",AND(H1520=H1519,H1520=H1521)),NA(), H1520)</f>
        <v>0</v>
      </c>
      <c r="K2242">
        <f>IF(ISNA(L2242),NA(),K1520)</f>
        <v>0</v>
      </c>
      <c r="L2242">
        <f>IF(OR(L1520="",AND(L1520=L1519,L1520=L1521)),NA(), L1520)</f>
        <v>0</v>
      </c>
      <c r="M2242">
        <f>IF(ISNA(N2242),NA(),M1520)</f>
        <v>0</v>
      </c>
      <c r="N2242">
        <f>IF(OR(N1520="",AND(N1520=N1519,N1520=N1521)),NA(), N1520)</f>
        <v>0</v>
      </c>
    </row>
    <row r="2243" spans="5:14">
      <c r="E2243">
        <f>IF(ISNA(F2243),NA(),E1521)</f>
        <v>0</v>
      </c>
      <c r="F2243">
        <f>IF(OR(F1521="",AND(F1521=F1520,F1521=F1522)),NA(), F1521)</f>
        <v>0</v>
      </c>
      <c r="G2243">
        <f>IF(ISNA(H2243),NA(),G1521)</f>
        <v>0</v>
      </c>
      <c r="H2243">
        <f>IF(OR(H1521="",AND(H1521=H1520,H1521=H1522)),NA(), H1521)</f>
        <v>0</v>
      </c>
      <c r="K2243">
        <f>IF(ISNA(L2243),NA(),K1521)</f>
        <v>0</v>
      </c>
      <c r="L2243">
        <f>IF(OR(L1521="",AND(L1521=L1520,L1521=L1522)),NA(), L1521)</f>
        <v>0</v>
      </c>
      <c r="M2243">
        <f>IF(ISNA(N2243),NA(),M1521)</f>
        <v>0</v>
      </c>
      <c r="N2243">
        <f>IF(OR(N1521="",AND(N1521=N1520,N1521=N1522)),NA(), N1521)</f>
        <v>0</v>
      </c>
    </row>
    <row r="2244" spans="5:14">
      <c r="E2244">
        <f>IF(ISNA(F2244),NA(),E1522)</f>
        <v>0</v>
      </c>
      <c r="F2244">
        <f>IF(OR(F1522="",AND(F1522=F1521,F1522=F1523)),NA(), F1522)</f>
        <v>0</v>
      </c>
      <c r="G2244">
        <f>IF(ISNA(H2244),NA(),G1522)</f>
        <v>0</v>
      </c>
      <c r="H2244">
        <f>IF(OR(H1522="",AND(H1522=H1521,H1522=H1523)),NA(), H1522)</f>
        <v>0</v>
      </c>
      <c r="K2244">
        <f>IF(ISNA(L2244),NA(),K1522)</f>
        <v>0</v>
      </c>
      <c r="L2244">
        <f>IF(OR(L1522="",AND(L1522=L1521,L1522=L1523)),NA(), L1522)</f>
        <v>0</v>
      </c>
      <c r="M2244">
        <f>IF(ISNA(N2244),NA(),M1522)</f>
        <v>0</v>
      </c>
      <c r="N2244">
        <f>IF(OR(N1522="",AND(N1522=N1521,N1522=N1523)),NA(), N1522)</f>
        <v>0</v>
      </c>
    </row>
    <row r="2245" spans="5:14">
      <c r="E2245">
        <f>IF(ISNA(F2245),NA(),E1523)</f>
        <v>0</v>
      </c>
      <c r="F2245">
        <f>IF(OR(F1523="",AND(F1523=F1522,F1523=F1524)),NA(), F1523)</f>
        <v>0</v>
      </c>
      <c r="G2245">
        <f>IF(ISNA(H2245),NA(),G1523)</f>
        <v>0</v>
      </c>
      <c r="H2245">
        <f>IF(OR(H1523="",AND(H1523=H1522,H1523=H1524)),NA(), H1523)</f>
        <v>0</v>
      </c>
      <c r="K2245">
        <f>IF(ISNA(L2245),NA(),K1523)</f>
        <v>0</v>
      </c>
      <c r="L2245">
        <f>IF(OR(L1523="",AND(L1523=L1522,L1523=L1524)),NA(), L1523)</f>
        <v>0</v>
      </c>
      <c r="M2245">
        <f>IF(ISNA(N2245),NA(),M1523)</f>
        <v>0</v>
      </c>
      <c r="N2245">
        <f>IF(OR(N1523="",AND(N1523=N1522,N1523=N1524)),NA(), N1523)</f>
        <v>0</v>
      </c>
    </row>
    <row r="2246" spans="5:14">
      <c r="E2246">
        <f>IF(ISNA(F2246),NA(),E1524)</f>
        <v>0</v>
      </c>
      <c r="F2246">
        <f>IF(OR(F1524="",AND(F1524=F1523,F1524=F1525)),NA(), F1524)</f>
        <v>0</v>
      </c>
      <c r="G2246">
        <f>IF(ISNA(H2246),NA(),G1524)</f>
        <v>0</v>
      </c>
      <c r="H2246">
        <f>IF(OR(H1524="",AND(H1524=H1523,H1524=H1525)),NA(), H1524)</f>
        <v>0</v>
      </c>
      <c r="K2246">
        <f>IF(ISNA(L2246),NA(),K1524)</f>
        <v>0</v>
      </c>
      <c r="L2246">
        <f>IF(OR(L1524="",AND(L1524=L1523,L1524=L1525)),NA(), L1524)</f>
        <v>0</v>
      </c>
      <c r="M2246">
        <f>IF(ISNA(N2246),NA(),M1524)</f>
        <v>0</v>
      </c>
      <c r="N2246">
        <f>IF(OR(N1524="",AND(N1524=N1523,N1524=N1525)),NA(), N1524)</f>
        <v>0</v>
      </c>
    </row>
    <row r="2247" spans="5:14">
      <c r="E2247">
        <f>IF(ISNA(F2247),NA(),E1525)</f>
        <v>0</v>
      </c>
      <c r="F2247">
        <f>IF(OR(F1525="",AND(F1525=F1524,F1525=F1526)),NA(), F1525)</f>
        <v>0</v>
      </c>
      <c r="G2247">
        <f>IF(ISNA(H2247),NA(),G1525)</f>
        <v>0</v>
      </c>
      <c r="H2247">
        <f>IF(OR(H1525="",AND(H1525=H1524,H1525=H1526)),NA(), H1525)</f>
        <v>0</v>
      </c>
      <c r="K2247">
        <f>IF(ISNA(L2247),NA(),K1525)</f>
        <v>0</v>
      </c>
      <c r="L2247">
        <f>IF(OR(L1525="",AND(L1525=L1524,L1525=L1526)),NA(), L1525)</f>
        <v>0</v>
      </c>
      <c r="M2247">
        <f>IF(ISNA(N2247),NA(),M1525)</f>
        <v>0</v>
      </c>
      <c r="N2247">
        <f>IF(OR(N1525="",AND(N1525=N1524,N1525=N1526)),NA(), N1525)</f>
        <v>0</v>
      </c>
    </row>
    <row r="2248" spans="5:14">
      <c r="E2248">
        <f>IF(ISNA(F2248),NA(),E1526)</f>
        <v>0</v>
      </c>
      <c r="F2248">
        <f>IF(OR(F1526="",AND(F1526=F1525,F1526=F1527)),NA(), F1526)</f>
        <v>0</v>
      </c>
      <c r="G2248">
        <f>IF(ISNA(H2248),NA(),G1526)</f>
        <v>0</v>
      </c>
      <c r="H2248">
        <f>IF(OR(H1526="",AND(H1526=H1525,H1526=H1527)),NA(), H1526)</f>
        <v>0</v>
      </c>
      <c r="K2248">
        <f>IF(ISNA(L2248),NA(),K1526)</f>
        <v>0</v>
      </c>
      <c r="L2248">
        <f>IF(OR(L1526="",AND(L1526=L1525,L1526=L1527)),NA(), L1526)</f>
        <v>0</v>
      </c>
      <c r="M2248">
        <f>IF(ISNA(N2248),NA(),M1526)</f>
        <v>0</v>
      </c>
      <c r="N2248">
        <f>IF(OR(N1526="",AND(N1526=N1525,N1526=N1527)),NA(), N1526)</f>
        <v>0</v>
      </c>
    </row>
    <row r="2249" spans="5:14">
      <c r="E2249">
        <f>IF(ISNA(F2249),NA(),E1527)</f>
        <v>0</v>
      </c>
      <c r="F2249">
        <f>IF(OR(F1527="",AND(F1527=F1526,F1527=F1528)),NA(), F1527)</f>
        <v>0</v>
      </c>
      <c r="G2249">
        <f>IF(ISNA(H2249),NA(),G1527)</f>
        <v>0</v>
      </c>
      <c r="H2249">
        <f>IF(OR(H1527="",AND(H1527=H1526,H1527=H1528)),NA(), H1527)</f>
        <v>0</v>
      </c>
      <c r="K2249">
        <f>IF(ISNA(L2249),NA(),K1527)</f>
        <v>0</v>
      </c>
      <c r="L2249">
        <f>IF(OR(L1527="",AND(L1527=L1526,L1527=L1528)),NA(), L1527)</f>
        <v>0</v>
      </c>
      <c r="M2249">
        <f>IF(ISNA(N2249),NA(),M1527)</f>
        <v>0</v>
      </c>
      <c r="N2249">
        <f>IF(OR(N1527="",AND(N1527=N1526,N1527=N1528)),NA(), N1527)</f>
        <v>0</v>
      </c>
    </row>
    <row r="2250" spans="5:14">
      <c r="E2250">
        <f>IF(ISNA(F2250),NA(),E1528)</f>
        <v>0</v>
      </c>
      <c r="F2250">
        <f>IF(OR(F1528="",AND(F1528=F1527,F1528=F1529)),NA(), F1528)</f>
        <v>0</v>
      </c>
      <c r="G2250">
        <f>IF(ISNA(H2250),NA(),G1528)</f>
        <v>0</v>
      </c>
      <c r="H2250">
        <f>IF(OR(H1528="",AND(H1528=H1527,H1528=H1529)),NA(), H1528)</f>
        <v>0</v>
      </c>
      <c r="K2250">
        <f>IF(ISNA(L2250),NA(),K1528)</f>
        <v>0</v>
      </c>
      <c r="L2250">
        <f>IF(OR(L1528="",AND(L1528=L1527,L1528=L1529)),NA(), L1528)</f>
        <v>0</v>
      </c>
      <c r="M2250">
        <f>IF(ISNA(N2250),NA(),M1528)</f>
        <v>0</v>
      </c>
      <c r="N2250">
        <f>IF(OR(N1528="",AND(N1528=N1527,N1528=N1529)),NA(), N1528)</f>
        <v>0</v>
      </c>
    </row>
    <row r="2251" spans="5:14">
      <c r="E2251">
        <f>IF(ISNA(F2251),NA(),E1529)</f>
        <v>0</v>
      </c>
      <c r="F2251">
        <f>IF(OR(F1529="",AND(F1529=F1528,F1529=F1530)),NA(), F1529)</f>
        <v>0</v>
      </c>
      <c r="G2251">
        <f>IF(ISNA(H2251),NA(),G1529)</f>
        <v>0</v>
      </c>
      <c r="H2251">
        <f>IF(OR(H1529="",AND(H1529=H1528,H1529=H1530)),NA(), H1529)</f>
        <v>0</v>
      </c>
      <c r="K2251">
        <f>IF(ISNA(L2251),NA(),K1529)</f>
        <v>0</v>
      </c>
      <c r="L2251">
        <f>IF(OR(L1529="",AND(L1529=L1528,L1529=L1530)),NA(), L1529)</f>
        <v>0</v>
      </c>
      <c r="M2251">
        <f>IF(ISNA(N2251),NA(),M1529)</f>
        <v>0</v>
      </c>
      <c r="N2251">
        <f>IF(OR(N1529="",AND(N1529=N1528,N1529=N1530)),NA(), N1529)</f>
        <v>0</v>
      </c>
    </row>
    <row r="2252" spans="5:14">
      <c r="E2252">
        <f>IF(ISNA(F2252),NA(),E1530)</f>
        <v>0</v>
      </c>
      <c r="F2252">
        <f>IF(OR(F1530="",AND(F1530=F1529,F1530=F1531)),NA(), F1530)</f>
        <v>0</v>
      </c>
      <c r="G2252">
        <f>IF(ISNA(H2252),NA(),G1530)</f>
        <v>0</v>
      </c>
      <c r="H2252">
        <f>IF(OR(H1530="",AND(H1530=H1529,H1530=H1531)),NA(), H1530)</f>
        <v>0</v>
      </c>
      <c r="K2252">
        <f>IF(ISNA(L2252),NA(),K1530)</f>
        <v>0</v>
      </c>
      <c r="L2252">
        <f>IF(OR(L1530="",AND(L1530=L1529,L1530=L1531)),NA(), L1530)</f>
        <v>0</v>
      </c>
      <c r="M2252">
        <f>IF(ISNA(N2252),NA(),M1530)</f>
        <v>0</v>
      </c>
      <c r="N2252">
        <f>IF(OR(N1530="",AND(N1530=N1529,N1530=N1531)),NA(), N1530)</f>
        <v>0</v>
      </c>
    </row>
    <row r="2253" spans="5:14">
      <c r="E2253">
        <f>IF(ISNA(F2253),NA(),E1531)</f>
        <v>0</v>
      </c>
      <c r="F2253">
        <f>IF(OR(F1531="",AND(F1531=F1530,F1531=F1532)),NA(), F1531)</f>
        <v>0</v>
      </c>
      <c r="G2253">
        <f>IF(ISNA(H2253),NA(),G1531)</f>
        <v>0</v>
      </c>
      <c r="H2253">
        <f>IF(OR(H1531="",AND(H1531=H1530,H1531=H1532)),NA(), H1531)</f>
        <v>0</v>
      </c>
      <c r="K2253">
        <f>IF(ISNA(L2253),NA(),K1531)</f>
        <v>0</v>
      </c>
      <c r="L2253">
        <f>IF(OR(L1531="",AND(L1531=L1530,L1531=L1532)),NA(), L1531)</f>
        <v>0</v>
      </c>
      <c r="M2253">
        <f>IF(ISNA(N2253),NA(),M1531)</f>
        <v>0</v>
      </c>
      <c r="N2253">
        <f>IF(OR(N1531="",AND(N1531=N1530,N1531=N1532)),NA(), N1531)</f>
        <v>0</v>
      </c>
    </row>
    <row r="2254" spans="5:14">
      <c r="E2254">
        <f>IF(ISNA(F2254),NA(),E1532)</f>
        <v>0</v>
      </c>
      <c r="F2254">
        <f>IF(OR(F1532="",AND(F1532=F1531,F1532=F1533)),NA(), F1532)</f>
        <v>0</v>
      </c>
      <c r="G2254">
        <f>IF(ISNA(H2254),NA(),G1532)</f>
        <v>0</v>
      </c>
      <c r="H2254">
        <f>IF(OR(H1532="",AND(H1532=H1531,H1532=H1533)),NA(), H1532)</f>
        <v>0</v>
      </c>
      <c r="K2254">
        <f>IF(ISNA(L2254),NA(),K1532)</f>
        <v>0</v>
      </c>
      <c r="L2254">
        <f>IF(OR(L1532="",AND(L1532=L1531,L1532=L1533)),NA(), L1532)</f>
        <v>0</v>
      </c>
      <c r="M2254">
        <f>IF(ISNA(N2254),NA(),M1532)</f>
        <v>0</v>
      </c>
      <c r="N2254">
        <f>IF(OR(N1532="",AND(N1532=N1531,N1532=N1533)),NA(), N1532)</f>
        <v>0</v>
      </c>
    </row>
    <row r="2255" spans="5:14">
      <c r="E2255">
        <f>IF(ISNA(F2255),NA(),E1533)</f>
        <v>0</v>
      </c>
      <c r="F2255">
        <f>IF(OR(F1533="",AND(F1533=F1532,F1533=F1534)),NA(), F1533)</f>
        <v>0</v>
      </c>
      <c r="G2255">
        <f>IF(ISNA(H2255),NA(),G1533)</f>
        <v>0</v>
      </c>
      <c r="H2255">
        <f>IF(OR(H1533="",AND(H1533=H1532,H1533=H1534)),NA(), H1533)</f>
        <v>0</v>
      </c>
      <c r="K2255">
        <f>IF(ISNA(L2255),NA(),K1533)</f>
        <v>0</v>
      </c>
      <c r="L2255">
        <f>IF(OR(L1533="",AND(L1533=L1532,L1533=L1534)),NA(), L1533)</f>
        <v>0</v>
      </c>
      <c r="M2255">
        <f>IF(ISNA(N2255),NA(),M1533)</f>
        <v>0</v>
      </c>
      <c r="N2255">
        <f>IF(OR(N1533="",AND(N1533=N1532,N1533=N1534)),NA(), N1533)</f>
        <v>0</v>
      </c>
    </row>
    <row r="2256" spans="5:14">
      <c r="E2256">
        <f>IF(ISNA(F2256),NA(),E1534)</f>
        <v>0</v>
      </c>
      <c r="F2256">
        <f>IF(OR(F1534="",AND(F1534=F1533,F1534=F1535)),NA(), F1534)</f>
        <v>0</v>
      </c>
      <c r="G2256">
        <f>IF(ISNA(H2256),NA(),G1534)</f>
        <v>0</v>
      </c>
      <c r="H2256">
        <f>IF(OR(H1534="",AND(H1534=H1533,H1534=H1535)),NA(), H1534)</f>
        <v>0</v>
      </c>
      <c r="K2256">
        <f>IF(ISNA(L2256),NA(),K1534)</f>
        <v>0</v>
      </c>
      <c r="L2256">
        <f>IF(OR(L1534="",AND(L1534=L1533,L1534=L1535)),NA(), L1534)</f>
        <v>0</v>
      </c>
      <c r="M2256">
        <f>IF(ISNA(N2256),NA(),M1534)</f>
        <v>0</v>
      </c>
      <c r="N2256">
        <f>IF(OR(N1534="",AND(N1534=N1533,N1534=N1535)),NA(), N1534)</f>
        <v>0</v>
      </c>
    </row>
    <row r="2257" spans="5:14">
      <c r="E2257">
        <f>IF(ISNA(F2257),NA(),E1535)</f>
        <v>0</v>
      </c>
      <c r="F2257">
        <f>IF(OR(F1535="",AND(F1535=F1534,F1535=F1536)),NA(), F1535)</f>
        <v>0</v>
      </c>
      <c r="G2257">
        <f>IF(ISNA(H2257),NA(),G1535)</f>
        <v>0</v>
      </c>
      <c r="H2257">
        <f>IF(OR(H1535="",AND(H1535=H1534,H1535=H1536)),NA(), H1535)</f>
        <v>0</v>
      </c>
      <c r="K2257">
        <f>IF(ISNA(L2257),NA(),K1535)</f>
        <v>0</v>
      </c>
      <c r="L2257">
        <f>IF(OR(L1535="",AND(L1535=L1534,L1535=L1536)),NA(), L1535)</f>
        <v>0</v>
      </c>
      <c r="M2257">
        <f>IF(ISNA(N2257),NA(),M1535)</f>
        <v>0</v>
      </c>
      <c r="N2257">
        <f>IF(OR(N1535="",AND(N1535=N1534,N1535=N1536)),NA(), N1535)</f>
        <v>0</v>
      </c>
    </row>
    <row r="2258" spans="5:14">
      <c r="E2258">
        <f>IF(ISNA(F2258),NA(),E1536)</f>
        <v>0</v>
      </c>
      <c r="F2258">
        <f>IF(OR(F1536="",AND(F1536=F1535,F1536=F1537)),NA(), F1536)</f>
        <v>0</v>
      </c>
      <c r="G2258">
        <f>IF(ISNA(H2258),NA(),G1536)</f>
        <v>0</v>
      </c>
      <c r="H2258">
        <f>IF(OR(H1536="",AND(H1536=H1535,H1536=H1537)),NA(), H1536)</f>
        <v>0</v>
      </c>
      <c r="K2258">
        <f>IF(ISNA(L2258),NA(),K1536)</f>
        <v>0</v>
      </c>
      <c r="L2258">
        <f>IF(OR(L1536="",AND(L1536=L1535,L1536=L1537)),NA(), L1536)</f>
        <v>0</v>
      </c>
      <c r="M2258">
        <f>IF(ISNA(N2258),NA(),M1536)</f>
        <v>0</v>
      </c>
      <c r="N2258">
        <f>IF(OR(N1536="",AND(N1536=N1535,N1536=N1537)),NA(), N1536)</f>
        <v>0</v>
      </c>
    </row>
    <row r="2259" spans="5:14">
      <c r="E2259">
        <f>IF(ISNA(F2259),NA(),E1537)</f>
        <v>0</v>
      </c>
      <c r="F2259">
        <f>IF(OR(F1537="",AND(F1537=F1536,F1537=F1538)),NA(), F1537)</f>
        <v>0</v>
      </c>
      <c r="G2259">
        <f>IF(ISNA(H2259),NA(),G1537)</f>
        <v>0</v>
      </c>
      <c r="H2259">
        <f>IF(OR(H1537="",AND(H1537=H1536,H1537=H1538)),NA(), H1537)</f>
        <v>0</v>
      </c>
      <c r="K2259">
        <f>IF(ISNA(L2259),NA(),K1537)</f>
        <v>0</v>
      </c>
      <c r="L2259">
        <f>IF(OR(L1537="",AND(L1537=L1536,L1537=L1538)),NA(), L1537)</f>
        <v>0</v>
      </c>
      <c r="M2259">
        <f>IF(ISNA(N2259),NA(),M1537)</f>
        <v>0</v>
      </c>
      <c r="N2259">
        <f>IF(OR(N1537="",AND(N1537=N1536,N1537=N1538)),NA(), N1537)</f>
        <v>0</v>
      </c>
    </row>
    <row r="2260" spans="5:14">
      <c r="E2260">
        <f>IF(ISNA(F2260),NA(),E1538)</f>
        <v>0</v>
      </c>
      <c r="F2260">
        <f>IF(OR(F1538="",AND(F1538=F1537,F1538=F1539)),NA(), F1538)</f>
        <v>0</v>
      </c>
      <c r="G2260">
        <f>IF(ISNA(H2260),NA(),G1538)</f>
        <v>0</v>
      </c>
      <c r="H2260">
        <f>IF(OR(H1538="",AND(H1538=H1537,H1538=H1539)),NA(), H1538)</f>
        <v>0</v>
      </c>
      <c r="K2260">
        <f>IF(ISNA(L2260),NA(),K1538)</f>
        <v>0</v>
      </c>
      <c r="L2260">
        <f>IF(OR(L1538="",AND(L1538=L1537,L1538=L1539)),NA(), L1538)</f>
        <v>0</v>
      </c>
      <c r="M2260">
        <f>IF(ISNA(N2260),NA(),M1538)</f>
        <v>0</v>
      </c>
      <c r="N2260">
        <f>IF(OR(N1538="",AND(N1538=N1537,N1538=N1539)),NA(), N1538)</f>
        <v>0</v>
      </c>
    </row>
    <row r="2261" spans="5:14">
      <c r="E2261">
        <f>IF(ISNA(F2261),NA(),E1539)</f>
        <v>0</v>
      </c>
      <c r="F2261">
        <f>IF(OR(F1539="",AND(F1539=F1538,F1539=F1540)),NA(), F1539)</f>
        <v>0</v>
      </c>
      <c r="G2261">
        <f>IF(ISNA(H2261),NA(),G1539)</f>
        <v>0</v>
      </c>
      <c r="H2261">
        <f>IF(OR(H1539="",AND(H1539=H1538,H1539=H1540)),NA(), H1539)</f>
        <v>0</v>
      </c>
      <c r="K2261">
        <f>IF(ISNA(L2261),NA(),K1539)</f>
        <v>0</v>
      </c>
      <c r="L2261">
        <f>IF(OR(L1539="",AND(L1539=L1538,L1539=L1540)),NA(), L1539)</f>
        <v>0</v>
      </c>
      <c r="M2261">
        <f>IF(ISNA(N2261),NA(),M1539)</f>
        <v>0</v>
      </c>
      <c r="N2261">
        <f>IF(OR(N1539="",AND(N1539=N1538,N1539=N1540)),NA(), N1539)</f>
        <v>0</v>
      </c>
    </row>
    <row r="2262" spans="5:14">
      <c r="E2262">
        <f>IF(ISNA(F2262),NA(),E1540)</f>
        <v>0</v>
      </c>
      <c r="F2262">
        <f>IF(OR(F1540="",AND(F1540=F1539,F1540=F1541)),NA(), F1540)</f>
        <v>0</v>
      </c>
      <c r="G2262">
        <f>IF(ISNA(H2262),NA(),G1540)</f>
        <v>0</v>
      </c>
      <c r="H2262">
        <f>IF(OR(H1540="",AND(H1540=H1539,H1540=H1541)),NA(), H1540)</f>
        <v>0</v>
      </c>
      <c r="K2262">
        <f>IF(ISNA(L2262),NA(),K1540)</f>
        <v>0</v>
      </c>
      <c r="L2262">
        <f>IF(OR(L1540="",AND(L1540=L1539,L1540=L1541)),NA(), L1540)</f>
        <v>0</v>
      </c>
      <c r="M2262">
        <f>IF(ISNA(N2262),NA(),M1540)</f>
        <v>0</v>
      </c>
      <c r="N2262">
        <f>IF(OR(N1540="",AND(N1540=N1539,N1540=N1541)),NA(), N1540)</f>
        <v>0</v>
      </c>
    </row>
    <row r="2263" spans="5:14">
      <c r="E2263">
        <f>IF(ISNA(F2263),NA(),E1541)</f>
        <v>0</v>
      </c>
      <c r="F2263">
        <f>IF(OR(F1541="",AND(F1541=F1540,F1541=F1542)),NA(), F1541)</f>
        <v>0</v>
      </c>
      <c r="G2263">
        <f>IF(ISNA(H2263),NA(),G1541)</f>
        <v>0</v>
      </c>
      <c r="H2263">
        <f>IF(OR(H1541="",AND(H1541=H1540,H1541=H1542)),NA(), H1541)</f>
        <v>0</v>
      </c>
      <c r="K2263">
        <f>IF(ISNA(L2263),NA(),K1541)</f>
        <v>0</v>
      </c>
      <c r="L2263">
        <f>IF(OR(L1541="",AND(L1541=L1540,L1541=L1542)),NA(), L1541)</f>
        <v>0</v>
      </c>
      <c r="M2263">
        <f>IF(ISNA(N2263),NA(),M1541)</f>
        <v>0</v>
      </c>
      <c r="N2263">
        <f>IF(OR(N1541="",AND(N1541=N1540,N1541=N1542)),NA(), N1541)</f>
        <v>0</v>
      </c>
    </row>
    <row r="2264" spans="5:14">
      <c r="E2264">
        <f>IF(ISNA(F2264),NA(),E1542)</f>
        <v>0</v>
      </c>
      <c r="F2264">
        <f>IF(OR(F1542="",AND(F1542=F1541,F1542=F1543)),NA(), F1542)</f>
        <v>0</v>
      </c>
      <c r="G2264">
        <f>IF(ISNA(H2264),NA(),G1542)</f>
        <v>0</v>
      </c>
      <c r="H2264">
        <f>IF(OR(H1542="",AND(H1542=H1541,H1542=H1543)),NA(), H1542)</f>
        <v>0</v>
      </c>
      <c r="K2264">
        <f>IF(ISNA(L2264),NA(),K1542)</f>
        <v>0</v>
      </c>
      <c r="L2264">
        <f>IF(OR(L1542="",AND(L1542=L1541,L1542=L1543)),NA(), L1542)</f>
        <v>0</v>
      </c>
      <c r="M2264">
        <f>IF(ISNA(N2264),NA(),M1542)</f>
        <v>0</v>
      </c>
      <c r="N2264">
        <f>IF(OR(N1542="",AND(N1542=N1541,N1542=N1543)),NA(), N1542)</f>
        <v>0</v>
      </c>
    </row>
    <row r="2265" spans="5:14">
      <c r="E2265">
        <f>IF(ISNA(F2265),NA(),E1543)</f>
        <v>0</v>
      </c>
      <c r="F2265">
        <f>IF(OR(F1543="",AND(F1543=F1542,F1543=F1544)),NA(), F1543)</f>
        <v>0</v>
      </c>
      <c r="G2265">
        <f>IF(ISNA(H2265),NA(),G1543)</f>
        <v>0</v>
      </c>
      <c r="H2265">
        <f>IF(OR(H1543="",AND(H1543=H1542,H1543=H1544)),NA(), H1543)</f>
        <v>0</v>
      </c>
      <c r="K2265">
        <f>IF(ISNA(L2265),NA(),K1543)</f>
        <v>0</v>
      </c>
      <c r="L2265">
        <f>IF(OR(L1543="",AND(L1543=L1542,L1543=L1544)),NA(), L1543)</f>
        <v>0</v>
      </c>
      <c r="M2265">
        <f>IF(ISNA(N2265),NA(),M1543)</f>
        <v>0</v>
      </c>
      <c r="N2265">
        <f>IF(OR(N1543="",AND(N1543=N1542,N1543=N1544)),NA(), N1543)</f>
        <v>0</v>
      </c>
    </row>
    <row r="2266" spans="5:14">
      <c r="E2266">
        <f>IF(ISNA(F2266),NA(),E1544)</f>
        <v>0</v>
      </c>
      <c r="F2266">
        <f>IF(OR(F1544="",AND(F1544=F1543,F1544=F1545)),NA(), F1544)</f>
        <v>0</v>
      </c>
      <c r="G2266">
        <f>IF(ISNA(H2266),NA(),G1544)</f>
        <v>0</v>
      </c>
      <c r="H2266">
        <f>IF(OR(H1544="",AND(H1544=H1543,H1544=H1545)),NA(), H1544)</f>
        <v>0</v>
      </c>
      <c r="K2266">
        <f>IF(ISNA(L2266),NA(),K1544)</f>
        <v>0</v>
      </c>
      <c r="L2266">
        <f>IF(OR(L1544="",AND(L1544=L1543,L1544=L1545)),NA(), L1544)</f>
        <v>0</v>
      </c>
      <c r="M2266">
        <f>IF(ISNA(N2266),NA(),M1544)</f>
        <v>0</v>
      </c>
      <c r="N2266">
        <f>IF(OR(N1544="",AND(N1544=N1543,N1544=N1545)),NA(), N1544)</f>
        <v>0</v>
      </c>
    </row>
    <row r="2267" spans="5:14">
      <c r="E2267">
        <f>IF(ISNA(F2267),NA(),E1545)</f>
        <v>0</v>
      </c>
      <c r="F2267">
        <f>IF(OR(F1545="",AND(F1545=F1544,F1545=F1546)),NA(), F1545)</f>
        <v>0</v>
      </c>
      <c r="G2267">
        <f>IF(ISNA(H2267),NA(),G1545)</f>
        <v>0</v>
      </c>
      <c r="H2267">
        <f>IF(OR(H1545="",AND(H1545=H1544,H1545=H1546)),NA(), H1545)</f>
        <v>0</v>
      </c>
      <c r="K2267">
        <f>IF(ISNA(L2267),NA(),K1545)</f>
        <v>0</v>
      </c>
      <c r="L2267">
        <f>IF(OR(L1545="",AND(L1545=L1544,L1545=L1546)),NA(), L1545)</f>
        <v>0</v>
      </c>
      <c r="M2267">
        <f>IF(ISNA(N2267),NA(),M1545)</f>
        <v>0</v>
      </c>
      <c r="N2267">
        <f>IF(OR(N1545="",AND(N1545=N1544,N1545=N1546)),NA(), N1545)</f>
        <v>0</v>
      </c>
    </row>
    <row r="2268" spans="5:14">
      <c r="E2268">
        <f>IF(ISNA(F2268),NA(),E1546)</f>
        <v>0</v>
      </c>
      <c r="F2268">
        <f>IF(OR(F1546="",AND(F1546=F1545,F1546=F1547)),NA(), F1546)</f>
        <v>0</v>
      </c>
      <c r="G2268">
        <f>IF(ISNA(H2268),NA(),G1546)</f>
        <v>0</v>
      </c>
      <c r="H2268">
        <f>IF(OR(H1546="",AND(H1546=H1545,H1546=H1547)),NA(), H1546)</f>
        <v>0</v>
      </c>
      <c r="K2268">
        <f>IF(ISNA(L2268),NA(),K1546)</f>
        <v>0</v>
      </c>
      <c r="L2268">
        <f>IF(OR(L1546="",AND(L1546=L1545,L1546=L1547)),NA(), L1546)</f>
        <v>0</v>
      </c>
      <c r="M2268">
        <f>IF(ISNA(N2268),NA(),M1546)</f>
        <v>0</v>
      </c>
      <c r="N2268">
        <f>IF(OR(N1546="",AND(N1546=N1545,N1546=N1547)),NA(), N1546)</f>
        <v>0</v>
      </c>
    </row>
    <row r="2269" spans="5:14">
      <c r="E2269">
        <f>IF(ISNA(F2269),NA(),E1547)</f>
        <v>0</v>
      </c>
      <c r="F2269">
        <f>IF(OR(F1547="",AND(F1547=F1546,F1547=F1548)),NA(), F1547)</f>
        <v>0</v>
      </c>
      <c r="G2269">
        <f>IF(ISNA(H2269),NA(),G1547)</f>
        <v>0</v>
      </c>
      <c r="H2269">
        <f>IF(OR(H1547="",AND(H1547=H1546,H1547=H1548)),NA(), H1547)</f>
        <v>0</v>
      </c>
      <c r="K2269">
        <f>IF(ISNA(L2269),NA(),K1547)</f>
        <v>0</v>
      </c>
      <c r="L2269">
        <f>IF(OR(L1547="",AND(L1547=L1546,L1547=L1548)),NA(), L1547)</f>
        <v>0</v>
      </c>
      <c r="M2269">
        <f>IF(ISNA(N2269),NA(),M1547)</f>
        <v>0</v>
      </c>
      <c r="N2269">
        <f>IF(OR(N1547="",AND(N1547=N1546,N1547=N1548)),NA(), N1547)</f>
        <v>0</v>
      </c>
    </row>
    <row r="2270" spans="5:14">
      <c r="E2270">
        <f>IF(ISNA(F2270),NA(),E1548)</f>
        <v>0</v>
      </c>
      <c r="F2270">
        <f>IF(OR(F1548="",AND(F1548=F1547,F1548=F1549)),NA(), F1548)</f>
        <v>0</v>
      </c>
      <c r="G2270">
        <f>IF(ISNA(H2270),NA(),G1548)</f>
        <v>0</v>
      </c>
      <c r="H2270">
        <f>IF(OR(H1548="",AND(H1548=H1547,H1548=H1549)),NA(), H1548)</f>
        <v>0</v>
      </c>
      <c r="K2270">
        <f>IF(ISNA(L2270),NA(),K1548)</f>
        <v>0</v>
      </c>
      <c r="L2270">
        <f>IF(OR(L1548="",AND(L1548=L1547,L1548=L1549)),NA(), L1548)</f>
        <v>0</v>
      </c>
      <c r="M2270">
        <f>IF(ISNA(N2270),NA(),M1548)</f>
        <v>0</v>
      </c>
      <c r="N2270">
        <f>IF(OR(N1548="",AND(N1548=N1547,N1548=N1549)),NA(), N1548)</f>
        <v>0</v>
      </c>
    </row>
    <row r="2271" spans="5:14">
      <c r="E2271">
        <f>IF(ISNA(F2271),NA(),E1549)</f>
        <v>0</v>
      </c>
      <c r="F2271">
        <f>IF(OR(F1549="",AND(F1549=F1548,F1549=F1550)),NA(), F1549)</f>
        <v>0</v>
      </c>
      <c r="G2271">
        <f>IF(ISNA(H2271),NA(),G1549)</f>
        <v>0</v>
      </c>
      <c r="H2271">
        <f>IF(OR(H1549="",AND(H1549=H1548,H1549=H1550)),NA(), H1549)</f>
        <v>0</v>
      </c>
      <c r="K2271">
        <f>IF(ISNA(L2271),NA(),K1549)</f>
        <v>0</v>
      </c>
      <c r="L2271">
        <f>IF(OR(L1549="",AND(L1549=L1548,L1549=L1550)),NA(), L1549)</f>
        <v>0</v>
      </c>
      <c r="M2271">
        <f>IF(ISNA(N2271),NA(),M1549)</f>
        <v>0</v>
      </c>
      <c r="N2271">
        <f>IF(OR(N1549="",AND(N1549=N1548,N1549=N1550)),NA(), N1549)</f>
        <v>0</v>
      </c>
    </row>
    <row r="2272" spans="5:14">
      <c r="E2272">
        <f>IF(ISNA(F2272),NA(),E1550)</f>
        <v>0</v>
      </c>
      <c r="F2272">
        <f>IF(OR(F1550="",AND(F1550=F1549,F1550=F1551)),NA(), F1550)</f>
        <v>0</v>
      </c>
      <c r="G2272">
        <f>IF(ISNA(H2272),NA(),G1550)</f>
        <v>0</v>
      </c>
      <c r="H2272">
        <f>IF(OR(H1550="",AND(H1550=H1549,H1550=H1551)),NA(), H1550)</f>
        <v>0</v>
      </c>
      <c r="K2272">
        <f>IF(ISNA(L2272),NA(),K1550)</f>
        <v>0</v>
      </c>
      <c r="L2272">
        <f>IF(OR(L1550="",AND(L1550=L1549,L1550=L1551)),NA(), L1550)</f>
        <v>0</v>
      </c>
      <c r="M2272">
        <f>IF(ISNA(N2272),NA(),M1550)</f>
        <v>0</v>
      </c>
      <c r="N2272">
        <f>IF(OR(N1550="",AND(N1550=N1549,N1550=N1551)),NA(), N1550)</f>
        <v>0</v>
      </c>
    </row>
    <row r="2273" spans="5:14">
      <c r="E2273">
        <f>IF(ISNA(F2273),NA(),E1551)</f>
        <v>0</v>
      </c>
      <c r="F2273">
        <f>IF(OR(F1551="",AND(F1551=F1550,F1551=F1552)),NA(), F1551)</f>
        <v>0</v>
      </c>
      <c r="G2273">
        <f>IF(ISNA(H2273),NA(),G1551)</f>
        <v>0</v>
      </c>
      <c r="H2273">
        <f>IF(OR(H1551="",AND(H1551=H1550,H1551=H1552)),NA(), H1551)</f>
        <v>0</v>
      </c>
      <c r="K2273">
        <f>IF(ISNA(L2273),NA(),K1551)</f>
        <v>0</v>
      </c>
      <c r="L2273">
        <f>IF(OR(L1551="",AND(L1551=L1550,L1551=L1552)),NA(), L1551)</f>
        <v>0</v>
      </c>
      <c r="M2273">
        <f>IF(ISNA(N2273),NA(),M1551)</f>
        <v>0</v>
      </c>
      <c r="N2273">
        <f>IF(OR(N1551="",AND(N1551=N1550,N1551=N1552)),NA(), N1551)</f>
        <v>0</v>
      </c>
    </row>
    <row r="2274" spans="5:14">
      <c r="E2274">
        <f>IF(ISNA(F2274),NA(),E1552)</f>
        <v>0</v>
      </c>
      <c r="F2274">
        <f>IF(OR(F1552="",AND(F1552=F1551,F1552=F1553)),NA(), F1552)</f>
        <v>0</v>
      </c>
      <c r="G2274">
        <f>IF(ISNA(H2274),NA(),G1552)</f>
        <v>0</v>
      </c>
      <c r="H2274">
        <f>IF(OR(H1552="",AND(H1552=H1551,H1552=H1553)),NA(), H1552)</f>
        <v>0</v>
      </c>
      <c r="K2274">
        <f>IF(ISNA(L2274),NA(),K1552)</f>
        <v>0</v>
      </c>
      <c r="L2274">
        <f>IF(OR(L1552="",AND(L1552=L1551,L1552=L1553)),NA(), L1552)</f>
        <v>0</v>
      </c>
      <c r="M2274">
        <f>IF(ISNA(N2274),NA(),M1552)</f>
        <v>0</v>
      </c>
      <c r="N2274">
        <f>IF(OR(N1552="",AND(N1552=N1551,N1552=N1553)),NA(), N1552)</f>
        <v>0</v>
      </c>
    </row>
    <row r="2275" spans="5:14">
      <c r="E2275">
        <f>IF(ISNA(F2275),NA(),E1553)</f>
        <v>0</v>
      </c>
      <c r="F2275">
        <f>IF(OR(F1553="",AND(F1553=F1552,F1553=F1554)),NA(), F1553)</f>
        <v>0</v>
      </c>
      <c r="G2275">
        <f>IF(ISNA(H2275),NA(),G1553)</f>
        <v>0</v>
      </c>
      <c r="H2275">
        <f>IF(OR(H1553="",AND(H1553=H1552,H1553=H1554)),NA(), H1553)</f>
        <v>0</v>
      </c>
      <c r="K2275">
        <f>IF(ISNA(L2275),NA(),K1553)</f>
        <v>0</v>
      </c>
      <c r="L2275">
        <f>IF(OR(L1553="",AND(L1553=L1552,L1553=L1554)),NA(), L1553)</f>
        <v>0</v>
      </c>
      <c r="M2275">
        <f>IF(ISNA(N2275),NA(),M1553)</f>
        <v>0</v>
      </c>
      <c r="N2275">
        <f>IF(OR(N1553="",AND(N1553=N1552,N1553=N1554)),NA(), N1553)</f>
        <v>0</v>
      </c>
    </row>
    <row r="2276" spans="5:14">
      <c r="E2276">
        <f>IF(ISNA(F2276),NA(),E1554)</f>
        <v>0</v>
      </c>
      <c r="F2276">
        <f>IF(OR(F1554="",AND(F1554=F1553,F1554=F1555)),NA(), F1554)</f>
        <v>0</v>
      </c>
      <c r="G2276">
        <f>IF(ISNA(H2276),NA(),G1554)</f>
        <v>0</v>
      </c>
      <c r="H2276">
        <f>IF(OR(H1554="",AND(H1554=H1553,H1554=H1555)),NA(), H1554)</f>
        <v>0</v>
      </c>
      <c r="K2276">
        <f>IF(ISNA(L2276),NA(),K1554)</f>
        <v>0</v>
      </c>
      <c r="L2276">
        <f>IF(OR(L1554="",AND(L1554=L1553,L1554=L1555)),NA(), L1554)</f>
        <v>0</v>
      </c>
      <c r="M2276">
        <f>IF(ISNA(N2276),NA(),M1554)</f>
        <v>0</v>
      </c>
      <c r="N2276">
        <f>IF(OR(N1554="",AND(N1554=N1553,N1554=N1555)),NA(), N1554)</f>
        <v>0</v>
      </c>
    </row>
    <row r="2277" spans="5:14">
      <c r="E2277">
        <f>IF(ISNA(F2277),NA(),E1555)</f>
        <v>0</v>
      </c>
      <c r="F2277">
        <f>IF(OR(F1555="",AND(F1555=F1554,F1555=F1556)),NA(), F1555)</f>
        <v>0</v>
      </c>
      <c r="G2277">
        <f>IF(ISNA(H2277),NA(),G1555)</f>
        <v>0</v>
      </c>
      <c r="H2277">
        <f>IF(OR(H1555="",AND(H1555=H1554,H1555=H1556)),NA(), H1555)</f>
        <v>0</v>
      </c>
      <c r="K2277">
        <f>IF(ISNA(L2277),NA(),K1555)</f>
        <v>0</v>
      </c>
      <c r="L2277">
        <f>IF(OR(L1555="",AND(L1555=L1554,L1555=L1556)),NA(), L1555)</f>
        <v>0</v>
      </c>
      <c r="M2277">
        <f>IF(ISNA(N2277),NA(),M1555)</f>
        <v>0</v>
      </c>
      <c r="N2277">
        <f>IF(OR(N1555="",AND(N1555=N1554,N1555=N1556)),NA(), N1555)</f>
        <v>0</v>
      </c>
    </row>
    <row r="2278" spans="5:14">
      <c r="E2278">
        <f>IF(ISNA(F2278),NA(),E1556)</f>
        <v>0</v>
      </c>
      <c r="F2278">
        <f>IF(OR(F1556="",AND(F1556=F1555,F1556=F1557)),NA(), F1556)</f>
        <v>0</v>
      </c>
      <c r="G2278">
        <f>IF(ISNA(H2278),NA(),G1556)</f>
        <v>0</v>
      </c>
      <c r="H2278">
        <f>IF(OR(H1556="",AND(H1556=H1555,H1556=H1557)),NA(), H1556)</f>
        <v>0</v>
      </c>
      <c r="K2278">
        <f>IF(ISNA(L2278),NA(),K1556)</f>
        <v>0</v>
      </c>
      <c r="L2278">
        <f>IF(OR(L1556="",AND(L1556=L1555,L1556=L1557)),NA(), L1556)</f>
        <v>0</v>
      </c>
      <c r="M2278">
        <f>IF(ISNA(N2278),NA(),M1556)</f>
        <v>0</v>
      </c>
      <c r="N2278">
        <f>IF(OR(N1556="",AND(N1556=N1555,N1556=N1557)),NA(), N1556)</f>
        <v>0</v>
      </c>
    </row>
    <row r="2279" spans="5:14">
      <c r="E2279">
        <f>IF(ISNA(F2279),NA(),E1557)</f>
        <v>0</v>
      </c>
      <c r="F2279">
        <f>IF(OR(F1557="",AND(F1557=F1556,F1557=F1558)),NA(), F1557)</f>
        <v>0</v>
      </c>
      <c r="G2279">
        <f>IF(ISNA(H2279),NA(),G1557)</f>
        <v>0</v>
      </c>
      <c r="H2279">
        <f>IF(OR(H1557="",AND(H1557=H1556,H1557=H1558)),NA(), H1557)</f>
        <v>0</v>
      </c>
      <c r="K2279">
        <f>IF(ISNA(L2279),NA(),K1557)</f>
        <v>0</v>
      </c>
      <c r="L2279">
        <f>IF(OR(L1557="",AND(L1557=L1556,L1557=L1558)),NA(), L1557)</f>
        <v>0</v>
      </c>
      <c r="M2279">
        <f>IF(ISNA(N2279),NA(),M1557)</f>
        <v>0</v>
      </c>
      <c r="N2279">
        <f>IF(OR(N1557="",AND(N1557=N1556,N1557=N1558)),NA(), N1557)</f>
        <v>0</v>
      </c>
    </row>
    <row r="2280" spans="5:14">
      <c r="E2280">
        <f>IF(ISNA(F2280),NA(),E1558)</f>
        <v>0</v>
      </c>
      <c r="F2280">
        <f>IF(OR(F1558="",AND(F1558=F1557,F1558=F1559)),NA(), F1558)</f>
        <v>0</v>
      </c>
      <c r="G2280">
        <f>IF(ISNA(H2280),NA(),G1558)</f>
        <v>0</v>
      </c>
      <c r="H2280">
        <f>IF(OR(H1558="",AND(H1558=H1557,H1558=H1559)),NA(), H1558)</f>
        <v>0</v>
      </c>
      <c r="K2280">
        <f>IF(ISNA(L2280),NA(),K1558)</f>
        <v>0</v>
      </c>
      <c r="L2280">
        <f>IF(OR(L1558="",AND(L1558=L1557,L1558=L1559)),NA(), L1558)</f>
        <v>0</v>
      </c>
      <c r="M2280">
        <f>IF(ISNA(N2280),NA(),M1558)</f>
        <v>0</v>
      </c>
      <c r="N2280">
        <f>IF(OR(N1558="",AND(N1558=N1557,N1558=N1559)),NA(), N1558)</f>
        <v>0</v>
      </c>
    </row>
    <row r="2281" spans="5:14">
      <c r="E2281">
        <f>IF(ISNA(F2281),NA(),E1559)</f>
        <v>0</v>
      </c>
      <c r="F2281">
        <f>IF(OR(F1559="",AND(F1559=F1558,F1559=F1560)),NA(), F1559)</f>
        <v>0</v>
      </c>
      <c r="G2281">
        <f>IF(ISNA(H2281),NA(),G1559)</f>
        <v>0</v>
      </c>
      <c r="H2281">
        <f>IF(OR(H1559="",AND(H1559=H1558,H1559=H1560)),NA(), H1559)</f>
        <v>0</v>
      </c>
      <c r="K2281">
        <f>IF(ISNA(L2281),NA(),K1559)</f>
        <v>0</v>
      </c>
      <c r="L2281">
        <f>IF(OR(L1559="",AND(L1559=L1558,L1559=L1560)),NA(), L1559)</f>
        <v>0</v>
      </c>
      <c r="M2281">
        <f>IF(ISNA(N2281),NA(),M1559)</f>
        <v>0</v>
      </c>
      <c r="N2281">
        <f>IF(OR(N1559="",AND(N1559=N1558,N1559=N1560)),NA(), N1559)</f>
        <v>0</v>
      </c>
    </row>
    <row r="2282" spans="5:14">
      <c r="E2282">
        <f>IF(ISNA(F2282),NA(),E1560)</f>
        <v>0</v>
      </c>
      <c r="F2282">
        <f>IF(OR(F1560="",AND(F1560=F1559,F1560=F1561)),NA(), F1560)</f>
        <v>0</v>
      </c>
      <c r="G2282">
        <f>IF(ISNA(H2282),NA(),G1560)</f>
        <v>0</v>
      </c>
      <c r="H2282">
        <f>IF(OR(H1560="",AND(H1560=H1559,H1560=H1561)),NA(), H1560)</f>
        <v>0</v>
      </c>
      <c r="K2282">
        <f>IF(ISNA(L2282),NA(),K1560)</f>
        <v>0</v>
      </c>
      <c r="L2282">
        <f>IF(OR(L1560="",AND(L1560=L1559,L1560=L1561)),NA(), L1560)</f>
        <v>0</v>
      </c>
      <c r="M2282">
        <f>IF(ISNA(N2282),NA(),M1560)</f>
        <v>0</v>
      </c>
      <c r="N2282">
        <f>IF(OR(N1560="",AND(N1560=N1559,N1560=N1561)),NA(), N1560)</f>
        <v>0</v>
      </c>
    </row>
    <row r="2283" spans="5:14">
      <c r="E2283">
        <f>IF(ISNA(F2283),NA(),E1561)</f>
        <v>0</v>
      </c>
      <c r="F2283">
        <f>IF(OR(F1561="",AND(F1561=F1560,F1561=F1562)),NA(), F1561)</f>
        <v>0</v>
      </c>
      <c r="G2283">
        <f>IF(ISNA(H2283),NA(),G1561)</f>
        <v>0</v>
      </c>
      <c r="H2283">
        <f>IF(OR(H1561="",AND(H1561=H1560,H1561=H1562)),NA(), H1561)</f>
        <v>0</v>
      </c>
      <c r="K2283">
        <f>IF(ISNA(L2283),NA(),K1561)</f>
        <v>0</v>
      </c>
      <c r="L2283">
        <f>IF(OR(L1561="",AND(L1561=L1560,L1561=L1562)),NA(), L1561)</f>
        <v>0</v>
      </c>
      <c r="M2283">
        <f>IF(ISNA(N2283),NA(),M1561)</f>
        <v>0</v>
      </c>
      <c r="N2283">
        <f>IF(OR(N1561="",AND(N1561=N1560,N1561=N1562)),NA(), N1561)</f>
        <v>0</v>
      </c>
    </row>
    <row r="2284" spans="5:14">
      <c r="E2284">
        <f>IF(ISNA(F2284),NA(),E1562)</f>
        <v>0</v>
      </c>
      <c r="F2284">
        <f>IF(OR(F1562="",AND(F1562=F1561,F1562=F1563)),NA(), F1562)</f>
        <v>0</v>
      </c>
      <c r="G2284">
        <f>IF(ISNA(H2284),NA(),G1562)</f>
        <v>0</v>
      </c>
      <c r="H2284">
        <f>IF(OR(H1562="",AND(H1562=H1561,H1562=H1563)),NA(), H1562)</f>
        <v>0</v>
      </c>
      <c r="K2284">
        <f>IF(ISNA(L2284),NA(),K1562)</f>
        <v>0</v>
      </c>
      <c r="L2284">
        <f>IF(OR(L1562="",AND(L1562=L1561,L1562=L1563)),NA(), L1562)</f>
        <v>0</v>
      </c>
      <c r="M2284">
        <f>IF(ISNA(N2284),NA(),M1562)</f>
        <v>0</v>
      </c>
      <c r="N2284">
        <f>IF(OR(N1562="",AND(N1562=N1561,N1562=N1563)),NA(), N1562)</f>
        <v>0</v>
      </c>
    </row>
    <row r="2285" spans="5:14">
      <c r="E2285">
        <f>IF(ISNA(F2285),NA(),E1563)</f>
        <v>0</v>
      </c>
      <c r="F2285">
        <f>IF(OR(F1563="",AND(F1563=F1562,F1563=F1564)),NA(), F1563)</f>
        <v>0</v>
      </c>
      <c r="G2285">
        <f>IF(ISNA(H2285),NA(),G1563)</f>
        <v>0</v>
      </c>
      <c r="H2285">
        <f>IF(OR(H1563="",AND(H1563=H1562,H1563=H1564)),NA(), H1563)</f>
        <v>0</v>
      </c>
      <c r="K2285">
        <f>IF(ISNA(L2285),NA(),K1563)</f>
        <v>0</v>
      </c>
      <c r="L2285">
        <f>IF(OR(L1563="",AND(L1563=L1562,L1563=L1564)),NA(), L1563)</f>
        <v>0</v>
      </c>
      <c r="M2285">
        <f>IF(ISNA(N2285),NA(),M1563)</f>
        <v>0</v>
      </c>
      <c r="N2285">
        <f>IF(OR(N1563="",AND(N1563=N1562,N1563=N1564)),NA(), N1563)</f>
        <v>0</v>
      </c>
    </row>
    <row r="2286" spans="5:14">
      <c r="E2286">
        <f>IF(ISNA(F2286),NA(),E1564)</f>
        <v>0</v>
      </c>
      <c r="F2286">
        <f>IF(OR(F1564="",AND(F1564=F1563,F1564=F1565)),NA(), F1564)</f>
        <v>0</v>
      </c>
      <c r="G2286">
        <f>IF(ISNA(H2286),NA(),G1564)</f>
        <v>0</v>
      </c>
      <c r="H2286">
        <f>IF(OR(H1564="",AND(H1564=H1563,H1564=H1565)),NA(), H1564)</f>
        <v>0</v>
      </c>
      <c r="K2286">
        <f>IF(ISNA(L2286),NA(),K1564)</f>
        <v>0</v>
      </c>
      <c r="L2286">
        <f>IF(OR(L1564="",AND(L1564=L1563,L1564=L1565)),NA(), L1564)</f>
        <v>0</v>
      </c>
      <c r="M2286">
        <f>IF(ISNA(N2286),NA(),M1564)</f>
        <v>0</v>
      </c>
      <c r="N2286">
        <f>IF(OR(N1564="",AND(N1564=N1563,N1564=N1565)),NA(), N1564)</f>
        <v>0</v>
      </c>
    </row>
    <row r="2287" spans="5:14">
      <c r="E2287">
        <f>IF(ISNA(F2287),NA(),E1565)</f>
        <v>0</v>
      </c>
      <c r="F2287">
        <f>IF(OR(F1565="",AND(F1565=F1564,F1565=F1566)),NA(), F1565)</f>
        <v>0</v>
      </c>
      <c r="G2287">
        <f>IF(ISNA(H2287),NA(),G1565)</f>
        <v>0</v>
      </c>
      <c r="H2287">
        <f>IF(OR(H1565="",AND(H1565=H1564,H1565=H1566)),NA(), H1565)</f>
        <v>0</v>
      </c>
      <c r="K2287">
        <f>IF(ISNA(L2287),NA(),K1565)</f>
        <v>0</v>
      </c>
      <c r="L2287">
        <f>IF(OR(L1565="",AND(L1565=L1564,L1565=L1566)),NA(), L1565)</f>
        <v>0</v>
      </c>
      <c r="M2287">
        <f>IF(ISNA(N2287),NA(),M1565)</f>
        <v>0</v>
      </c>
      <c r="N2287">
        <f>IF(OR(N1565="",AND(N1565=N1564,N1565=N1566)),NA(), N1565)</f>
        <v>0</v>
      </c>
    </row>
    <row r="2288" spans="5:14">
      <c r="E2288">
        <f>IF(ISNA(F2288),NA(),E1566)</f>
        <v>0</v>
      </c>
      <c r="F2288">
        <f>IF(OR(F1566="",AND(F1566=F1565,F1566=F1567)),NA(), F1566)</f>
        <v>0</v>
      </c>
      <c r="G2288">
        <f>IF(ISNA(H2288),NA(),G1566)</f>
        <v>0</v>
      </c>
      <c r="H2288">
        <f>IF(OR(H1566="",AND(H1566=H1565,H1566=H1567)),NA(), H1566)</f>
        <v>0</v>
      </c>
      <c r="K2288">
        <f>IF(ISNA(L2288),NA(),K1566)</f>
        <v>0</v>
      </c>
      <c r="L2288">
        <f>IF(OR(L1566="",AND(L1566=L1565,L1566=L1567)),NA(), L1566)</f>
        <v>0</v>
      </c>
      <c r="M2288">
        <f>IF(ISNA(N2288),NA(),M1566)</f>
        <v>0</v>
      </c>
      <c r="N2288">
        <f>IF(OR(N1566="",AND(N1566=N1565,N1566=N1567)),NA(), N1566)</f>
        <v>0</v>
      </c>
    </row>
    <row r="2289" spans="5:14">
      <c r="E2289">
        <f>IF(ISNA(F2289),NA(),E1567)</f>
        <v>0</v>
      </c>
      <c r="F2289">
        <f>IF(OR(F1567="",AND(F1567=F1566,F1567=F1568)),NA(), F1567)</f>
        <v>0</v>
      </c>
      <c r="G2289">
        <f>IF(ISNA(H2289),NA(),G1567)</f>
        <v>0</v>
      </c>
      <c r="H2289">
        <f>IF(OR(H1567="",AND(H1567=H1566,H1567=H1568)),NA(), H1567)</f>
        <v>0</v>
      </c>
      <c r="K2289">
        <f>IF(ISNA(L2289),NA(),K1567)</f>
        <v>0</v>
      </c>
      <c r="L2289">
        <f>IF(OR(L1567="",AND(L1567=L1566,L1567=L1568)),NA(), L1567)</f>
        <v>0</v>
      </c>
      <c r="M2289">
        <f>IF(ISNA(N2289),NA(),M1567)</f>
        <v>0</v>
      </c>
      <c r="N2289">
        <f>IF(OR(N1567="",AND(N1567=N1566,N1567=N1568)),NA(), N1567)</f>
        <v>0</v>
      </c>
    </row>
    <row r="2290" spans="5:14">
      <c r="E2290">
        <f>IF(ISNA(F2290),NA(),E1568)</f>
        <v>0</v>
      </c>
      <c r="F2290">
        <f>IF(OR(F1568="",AND(F1568=F1567,F1568=F1569)),NA(), F1568)</f>
        <v>0</v>
      </c>
      <c r="G2290">
        <f>IF(ISNA(H2290),NA(),G1568)</f>
        <v>0</v>
      </c>
      <c r="H2290">
        <f>IF(OR(H1568="",AND(H1568=H1567,H1568=H1569)),NA(), H1568)</f>
        <v>0</v>
      </c>
      <c r="K2290">
        <f>IF(ISNA(L2290),NA(),K1568)</f>
        <v>0</v>
      </c>
      <c r="L2290">
        <f>IF(OR(L1568="",AND(L1568=L1567,L1568=L1569)),NA(), L1568)</f>
        <v>0</v>
      </c>
      <c r="M2290">
        <f>IF(ISNA(N2290),NA(),M1568)</f>
        <v>0</v>
      </c>
      <c r="N2290">
        <f>IF(OR(N1568="",AND(N1568=N1567,N1568=N1569)),NA(), N1568)</f>
        <v>0</v>
      </c>
    </row>
    <row r="2291" spans="5:14">
      <c r="E2291">
        <f>IF(ISNA(F2291),NA(),E1569)</f>
        <v>0</v>
      </c>
      <c r="F2291">
        <f>IF(OR(F1569="",AND(F1569=F1568,F1569=F1570)),NA(), F1569)</f>
        <v>0</v>
      </c>
      <c r="G2291">
        <f>IF(ISNA(H2291),NA(),G1569)</f>
        <v>0</v>
      </c>
      <c r="H2291">
        <f>IF(OR(H1569="",AND(H1569=H1568,H1569=H1570)),NA(), H1569)</f>
        <v>0</v>
      </c>
      <c r="K2291">
        <f>IF(ISNA(L2291),NA(),K1569)</f>
        <v>0</v>
      </c>
      <c r="L2291">
        <f>IF(OR(L1569="",AND(L1569=L1568,L1569=L1570)),NA(), L1569)</f>
        <v>0</v>
      </c>
      <c r="M2291">
        <f>IF(ISNA(N2291),NA(),M1569)</f>
        <v>0</v>
      </c>
      <c r="N2291">
        <f>IF(OR(N1569="",AND(N1569=N1568,N1569=N1570)),NA(), N1569)</f>
        <v>0</v>
      </c>
    </row>
    <row r="2292" spans="5:14">
      <c r="E2292">
        <f>IF(ISNA(F2292),NA(),E1570)</f>
        <v>0</v>
      </c>
      <c r="F2292">
        <f>IF(OR(F1570="",AND(F1570=F1569,F1570=F1571)),NA(), F1570)</f>
        <v>0</v>
      </c>
      <c r="G2292">
        <f>IF(ISNA(H2292),NA(),G1570)</f>
        <v>0</v>
      </c>
      <c r="H2292">
        <f>IF(OR(H1570="",AND(H1570=H1569,H1570=H1571)),NA(), H1570)</f>
        <v>0</v>
      </c>
      <c r="K2292">
        <f>IF(ISNA(L2292),NA(),K1570)</f>
        <v>0</v>
      </c>
      <c r="L2292">
        <f>IF(OR(L1570="",AND(L1570=L1569,L1570=L1571)),NA(), L1570)</f>
        <v>0</v>
      </c>
      <c r="M2292">
        <f>IF(ISNA(N2292),NA(),M1570)</f>
        <v>0</v>
      </c>
      <c r="N2292">
        <f>IF(OR(N1570="",AND(N1570=N1569,N1570=N1571)),NA(), N1570)</f>
        <v>0</v>
      </c>
    </row>
    <row r="2293" spans="5:14">
      <c r="E2293">
        <f>IF(ISNA(F2293),NA(),E1571)</f>
        <v>0</v>
      </c>
      <c r="F2293">
        <f>IF(OR(F1571="",AND(F1571=F1570,F1571=F1572)),NA(), F1571)</f>
        <v>0</v>
      </c>
      <c r="G2293">
        <f>IF(ISNA(H2293),NA(),G1571)</f>
        <v>0</v>
      </c>
      <c r="H2293">
        <f>IF(OR(H1571="",AND(H1571=H1570,H1571=H1572)),NA(), H1571)</f>
        <v>0</v>
      </c>
      <c r="K2293">
        <f>IF(ISNA(L2293),NA(),K1571)</f>
        <v>0</v>
      </c>
      <c r="L2293">
        <f>IF(OR(L1571="",AND(L1571=L1570,L1571=L1572)),NA(), L1571)</f>
        <v>0</v>
      </c>
      <c r="M2293">
        <f>IF(ISNA(N2293),NA(),M1571)</f>
        <v>0</v>
      </c>
      <c r="N2293">
        <f>IF(OR(N1571="",AND(N1571=N1570,N1571=N1572)),NA(), N1571)</f>
        <v>0</v>
      </c>
    </row>
    <row r="2294" spans="5:14">
      <c r="E2294">
        <f>IF(ISNA(F2294),NA(),E1572)</f>
        <v>0</v>
      </c>
      <c r="F2294">
        <f>IF(OR(F1572="",AND(F1572=F1571,F1572=F1573)),NA(), F1572)</f>
        <v>0</v>
      </c>
      <c r="G2294">
        <f>IF(ISNA(H2294),NA(),G1572)</f>
        <v>0</v>
      </c>
      <c r="H2294">
        <f>IF(OR(H1572="",AND(H1572=H1571,H1572=H1573)),NA(), H1572)</f>
        <v>0</v>
      </c>
      <c r="K2294">
        <f>IF(ISNA(L2294),NA(),K1572)</f>
        <v>0</v>
      </c>
      <c r="L2294">
        <f>IF(OR(L1572="",AND(L1572=L1571,L1572=L1573)),NA(), L1572)</f>
        <v>0</v>
      </c>
      <c r="M2294">
        <f>IF(ISNA(N2294),NA(),M1572)</f>
        <v>0</v>
      </c>
      <c r="N2294">
        <f>IF(OR(N1572="",AND(N1572=N1571,N1572=N1573)),NA(), N1572)</f>
        <v>0</v>
      </c>
    </row>
    <row r="2295" spans="5:14">
      <c r="E2295">
        <f>IF(ISNA(F2295),NA(),E1573)</f>
        <v>0</v>
      </c>
      <c r="F2295">
        <f>IF(OR(F1573="",AND(F1573=F1572,F1573=F1574)),NA(), F1573)</f>
        <v>0</v>
      </c>
      <c r="G2295">
        <f>IF(ISNA(H2295),NA(),G1573)</f>
        <v>0</v>
      </c>
      <c r="H2295">
        <f>IF(OR(H1573="",AND(H1573=H1572,H1573=H1574)),NA(), H1573)</f>
        <v>0</v>
      </c>
      <c r="K2295">
        <f>IF(ISNA(L2295),NA(),K1573)</f>
        <v>0</v>
      </c>
      <c r="L2295">
        <f>IF(OR(L1573="",AND(L1573=L1572,L1573=L1574)),NA(), L1573)</f>
        <v>0</v>
      </c>
      <c r="M2295">
        <f>IF(ISNA(N2295),NA(),M1573)</f>
        <v>0</v>
      </c>
      <c r="N2295">
        <f>IF(OR(N1573="",AND(N1573=N1572,N1573=N1574)),NA(), N1573)</f>
        <v>0</v>
      </c>
    </row>
    <row r="2296" spans="5:14">
      <c r="E2296">
        <f>IF(ISNA(F2296),NA(),E1574)</f>
        <v>0</v>
      </c>
      <c r="F2296">
        <f>IF(OR(F1574="",AND(F1574=F1573,F1574=F1575)),NA(), F1574)</f>
        <v>0</v>
      </c>
      <c r="G2296">
        <f>IF(ISNA(H2296),NA(),G1574)</f>
        <v>0</v>
      </c>
      <c r="H2296">
        <f>IF(OR(H1574="",AND(H1574=H1573,H1574=H1575)),NA(), H1574)</f>
        <v>0</v>
      </c>
      <c r="K2296">
        <f>IF(ISNA(L2296),NA(),K1574)</f>
        <v>0</v>
      </c>
      <c r="L2296">
        <f>IF(OR(L1574="",AND(L1574=L1573,L1574=L1575)),NA(), L1574)</f>
        <v>0</v>
      </c>
      <c r="M2296">
        <f>IF(ISNA(N2296),NA(),M1574)</f>
        <v>0</v>
      </c>
      <c r="N2296">
        <f>IF(OR(N1574="",AND(N1574=N1573,N1574=N1575)),NA(), N1574)</f>
        <v>0</v>
      </c>
    </row>
    <row r="2297" spans="5:14">
      <c r="E2297">
        <f>IF(ISNA(F2297),NA(),E1575)</f>
        <v>0</v>
      </c>
      <c r="F2297">
        <f>IF(OR(F1575="",AND(F1575=F1574,F1575=F1576)),NA(), F1575)</f>
        <v>0</v>
      </c>
      <c r="G2297">
        <f>IF(ISNA(H2297),NA(),G1575)</f>
        <v>0</v>
      </c>
      <c r="H2297">
        <f>IF(OR(H1575="",AND(H1575=H1574,H1575=H1576)),NA(), H1575)</f>
        <v>0</v>
      </c>
      <c r="K2297">
        <f>IF(ISNA(L2297),NA(),K1575)</f>
        <v>0</v>
      </c>
      <c r="L2297">
        <f>IF(OR(L1575="",AND(L1575=L1574,L1575=L1576)),NA(), L1575)</f>
        <v>0</v>
      </c>
      <c r="M2297">
        <f>IF(ISNA(N2297),NA(),M1575)</f>
        <v>0</v>
      </c>
      <c r="N2297">
        <f>IF(OR(N1575="",AND(N1575=N1574,N1575=N1576)),NA(), N1575)</f>
        <v>0</v>
      </c>
    </row>
    <row r="2298" spans="5:14">
      <c r="E2298">
        <f>IF(ISNA(F2298),NA(),E1576)</f>
        <v>0</v>
      </c>
      <c r="F2298">
        <f>IF(OR(F1576="",AND(F1576=F1575,F1576=F1577)),NA(), F1576)</f>
        <v>0</v>
      </c>
      <c r="G2298">
        <f>IF(ISNA(H2298),NA(),G1576)</f>
        <v>0</v>
      </c>
      <c r="H2298">
        <f>IF(OR(H1576="",AND(H1576=H1575,H1576=H1577)),NA(), H1576)</f>
        <v>0</v>
      </c>
      <c r="K2298">
        <f>IF(ISNA(L2298),NA(),K1576)</f>
        <v>0</v>
      </c>
      <c r="L2298">
        <f>IF(OR(L1576="",AND(L1576=L1575,L1576=L1577)),NA(), L1576)</f>
        <v>0</v>
      </c>
      <c r="M2298">
        <f>IF(ISNA(N2298),NA(),M1576)</f>
        <v>0</v>
      </c>
      <c r="N2298">
        <f>IF(OR(N1576="",AND(N1576=N1575,N1576=N1577)),NA(), N1576)</f>
        <v>0</v>
      </c>
    </row>
    <row r="2299" spans="5:14">
      <c r="E2299">
        <f>IF(ISNA(F2299),NA(),E1577)</f>
        <v>0</v>
      </c>
      <c r="F2299">
        <f>IF(OR(F1577="",AND(F1577=F1576,F1577=F1578)),NA(), F1577)</f>
        <v>0</v>
      </c>
      <c r="G2299">
        <f>IF(ISNA(H2299),NA(),G1577)</f>
        <v>0</v>
      </c>
      <c r="H2299">
        <f>IF(OR(H1577="",AND(H1577=H1576,H1577=H1578)),NA(), H1577)</f>
        <v>0</v>
      </c>
      <c r="K2299">
        <f>IF(ISNA(L2299),NA(),K1577)</f>
        <v>0</v>
      </c>
      <c r="L2299">
        <f>IF(OR(L1577="",AND(L1577=L1576,L1577=L1578)),NA(), L1577)</f>
        <v>0</v>
      </c>
      <c r="M2299">
        <f>IF(ISNA(N2299),NA(),M1577)</f>
        <v>0</v>
      </c>
      <c r="N2299">
        <f>IF(OR(N1577="",AND(N1577=N1576,N1577=N1578)),NA(), N1577)</f>
        <v>0</v>
      </c>
    </row>
    <row r="2300" spans="5:14">
      <c r="E2300">
        <f>IF(ISNA(F2300),NA(),E1578)</f>
        <v>0</v>
      </c>
      <c r="F2300">
        <f>IF(OR(F1578="",AND(F1578=F1577,F1578=F1579)),NA(), F1578)</f>
        <v>0</v>
      </c>
      <c r="G2300">
        <f>IF(ISNA(H2300),NA(),G1578)</f>
        <v>0</v>
      </c>
      <c r="H2300">
        <f>IF(OR(H1578="",AND(H1578=H1577,H1578=H1579)),NA(), H1578)</f>
        <v>0</v>
      </c>
      <c r="K2300">
        <f>IF(ISNA(L2300),NA(),K1578)</f>
        <v>0</v>
      </c>
      <c r="L2300">
        <f>IF(OR(L1578="",AND(L1578=L1577,L1578=L1579)),NA(), L1578)</f>
        <v>0</v>
      </c>
      <c r="M2300">
        <f>IF(ISNA(N2300),NA(),M1578)</f>
        <v>0</v>
      </c>
      <c r="N2300">
        <f>IF(OR(N1578="",AND(N1578=N1577,N1578=N1579)),NA(), N1578)</f>
        <v>0</v>
      </c>
    </row>
    <row r="2301" spans="5:14">
      <c r="E2301">
        <f>IF(ISNA(F2301),NA(),E1579)</f>
        <v>0</v>
      </c>
      <c r="F2301">
        <f>IF(OR(F1579="",AND(F1579=F1578,F1579=F1580)),NA(), F1579)</f>
        <v>0</v>
      </c>
      <c r="G2301">
        <f>IF(ISNA(H2301),NA(),G1579)</f>
        <v>0</v>
      </c>
      <c r="H2301">
        <f>IF(OR(H1579="",AND(H1579=H1578,H1579=H1580)),NA(), H1579)</f>
        <v>0</v>
      </c>
      <c r="K2301">
        <f>IF(ISNA(L2301),NA(),K1579)</f>
        <v>0</v>
      </c>
      <c r="L2301">
        <f>IF(OR(L1579="",AND(L1579=L1578,L1579=L1580)),NA(), L1579)</f>
        <v>0</v>
      </c>
      <c r="M2301">
        <f>IF(ISNA(N2301),NA(),M1579)</f>
        <v>0</v>
      </c>
      <c r="N2301">
        <f>IF(OR(N1579="",AND(N1579=N1578,N1579=N1580)),NA(), N1579)</f>
        <v>0</v>
      </c>
    </row>
    <row r="2302" spans="5:14">
      <c r="E2302">
        <f>IF(ISNA(F2302),NA(),E1580)</f>
        <v>0</v>
      </c>
      <c r="F2302">
        <f>IF(OR(F1580="",AND(F1580=F1579,F1580=F1581)),NA(), F1580)</f>
        <v>0</v>
      </c>
      <c r="G2302">
        <f>IF(ISNA(H2302),NA(),G1580)</f>
        <v>0</v>
      </c>
      <c r="H2302">
        <f>IF(OR(H1580="",AND(H1580=H1579,H1580=H1581)),NA(), H1580)</f>
        <v>0</v>
      </c>
      <c r="K2302">
        <f>IF(ISNA(L2302),NA(),K1580)</f>
        <v>0</v>
      </c>
      <c r="L2302">
        <f>IF(OR(L1580="",AND(L1580=L1579,L1580=L1581)),NA(), L1580)</f>
        <v>0</v>
      </c>
      <c r="M2302">
        <f>IF(ISNA(N2302),NA(),M1580)</f>
        <v>0</v>
      </c>
      <c r="N2302">
        <f>IF(OR(N1580="",AND(N1580=N1579,N1580=N1581)),NA(), N1580)</f>
        <v>0</v>
      </c>
    </row>
    <row r="2303" spans="5:14">
      <c r="E2303">
        <f>IF(ISNA(F2303),NA(),E1581)</f>
        <v>0</v>
      </c>
      <c r="F2303">
        <f>IF(OR(F1581="",AND(F1581=F1580,F1581=F1582)),NA(), F1581)</f>
        <v>0</v>
      </c>
      <c r="G2303">
        <f>IF(ISNA(H2303),NA(),G1581)</f>
        <v>0</v>
      </c>
      <c r="H2303">
        <f>IF(OR(H1581="",AND(H1581=H1580,H1581=H1582)),NA(), H1581)</f>
        <v>0</v>
      </c>
      <c r="K2303">
        <f>IF(ISNA(L2303),NA(),K1581)</f>
        <v>0</v>
      </c>
      <c r="L2303">
        <f>IF(OR(L1581="",AND(L1581=L1580,L1581=L1582)),NA(), L1581)</f>
        <v>0</v>
      </c>
      <c r="M2303">
        <f>IF(ISNA(N2303),NA(),M1581)</f>
        <v>0</v>
      </c>
      <c r="N2303">
        <f>IF(OR(N1581="",AND(N1581=N1580,N1581=N1582)),NA(), N1581)</f>
        <v>0</v>
      </c>
    </row>
    <row r="2304" spans="5:14">
      <c r="E2304">
        <f>IF(ISNA(F2304),NA(),E1582)</f>
        <v>0</v>
      </c>
      <c r="F2304">
        <f>IF(OR(F1582="",AND(F1582=F1581,F1582=F1583)),NA(), F1582)</f>
        <v>0</v>
      </c>
      <c r="G2304">
        <f>IF(ISNA(H2304),NA(),G1582)</f>
        <v>0</v>
      </c>
      <c r="H2304">
        <f>IF(OR(H1582="",AND(H1582=H1581,H1582=H1583)),NA(), H1582)</f>
        <v>0</v>
      </c>
      <c r="K2304">
        <f>IF(ISNA(L2304),NA(),K1582)</f>
        <v>0</v>
      </c>
      <c r="L2304">
        <f>IF(OR(L1582="",AND(L1582=L1581,L1582=L1583)),NA(), L1582)</f>
        <v>0</v>
      </c>
      <c r="M2304">
        <f>IF(ISNA(N2304),NA(),M1582)</f>
        <v>0</v>
      </c>
      <c r="N2304">
        <f>IF(OR(N1582="",AND(N1582=N1581,N1582=N1583)),NA(), N1582)</f>
        <v>0</v>
      </c>
    </row>
    <row r="2305" spans="5:14">
      <c r="E2305">
        <f>IF(ISNA(F2305),NA(),E1583)</f>
        <v>0</v>
      </c>
      <c r="F2305">
        <f>IF(OR(F1583="",AND(F1583=F1582,F1583=F1584)),NA(), F1583)</f>
        <v>0</v>
      </c>
      <c r="G2305">
        <f>IF(ISNA(H2305),NA(),G1583)</f>
        <v>0</v>
      </c>
      <c r="H2305">
        <f>IF(OR(H1583="",AND(H1583=H1582,H1583=H1584)),NA(), H1583)</f>
        <v>0</v>
      </c>
      <c r="K2305">
        <f>IF(ISNA(L2305),NA(),K1583)</f>
        <v>0</v>
      </c>
      <c r="L2305">
        <f>IF(OR(L1583="",AND(L1583=L1582,L1583=L1584)),NA(), L1583)</f>
        <v>0</v>
      </c>
      <c r="M2305">
        <f>IF(ISNA(N2305),NA(),M1583)</f>
        <v>0</v>
      </c>
      <c r="N2305">
        <f>IF(OR(N1583="",AND(N1583=N1582,N1583=N1584)),NA(), N1583)</f>
        <v>0</v>
      </c>
    </row>
    <row r="2306" spans="5:14">
      <c r="E2306">
        <f>IF(ISNA(F2306),NA(),E1584)</f>
        <v>0</v>
      </c>
      <c r="F2306">
        <f>IF(OR(F1584="",AND(F1584=F1583,F1584=F1585)),NA(), F1584)</f>
        <v>0</v>
      </c>
      <c r="G2306">
        <f>IF(ISNA(H2306),NA(),G1584)</f>
        <v>0</v>
      </c>
      <c r="H2306">
        <f>IF(OR(H1584="",AND(H1584=H1583,H1584=H1585)),NA(), H1584)</f>
        <v>0</v>
      </c>
      <c r="K2306">
        <f>IF(ISNA(L2306),NA(),K1584)</f>
        <v>0</v>
      </c>
      <c r="L2306">
        <f>IF(OR(L1584="",AND(L1584=L1583,L1584=L1585)),NA(), L1584)</f>
        <v>0</v>
      </c>
      <c r="M2306">
        <f>IF(ISNA(N2306),NA(),M1584)</f>
        <v>0</v>
      </c>
      <c r="N2306">
        <f>IF(OR(N1584="",AND(N1584=N1583,N1584=N1585)),NA(), N1584)</f>
        <v>0</v>
      </c>
    </row>
    <row r="2307" spans="5:14">
      <c r="E2307">
        <f>IF(ISNA(F2307),NA(),E1585)</f>
        <v>0</v>
      </c>
      <c r="F2307">
        <f>IF(OR(F1585="",AND(F1585=F1584,F1585=F1586)),NA(), F1585)</f>
        <v>0</v>
      </c>
      <c r="G2307">
        <f>IF(ISNA(H2307),NA(),G1585)</f>
        <v>0</v>
      </c>
      <c r="H2307">
        <f>IF(OR(H1585="",AND(H1585=H1584,H1585=H1586)),NA(), H1585)</f>
        <v>0</v>
      </c>
      <c r="K2307">
        <f>IF(ISNA(L2307),NA(),K1585)</f>
        <v>0</v>
      </c>
      <c r="L2307">
        <f>IF(OR(L1585="",AND(L1585=L1584,L1585=L1586)),NA(), L1585)</f>
        <v>0</v>
      </c>
      <c r="M2307">
        <f>IF(ISNA(N2307),NA(),M1585)</f>
        <v>0</v>
      </c>
      <c r="N2307">
        <f>IF(OR(N1585="",AND(N1585=N1584,N1585=N1586)),NA(), N1585)</f>
        <v>0</v>
      </c>
    </row>
    <row r="2308" spans="5:14">
      <c r="E2308">
        <f>IF(ISNA(F2308),NA(),E1586)</f>
        <v>0</v>
      </c>
      <c r="F2308">
        <f>IF(OR(F1586="",AND(F1586=F1585,F1586=F1587)),NA(), F1586)</f>
        <v>0</v>
      </c>
      <c r="G2308">
        <f>IF(ISNA(H2308),NA(),G1586)</f>
        <v>0</v>
      </c>
      <c r="H2308">
        <f>IF(OR(H1586="",AND(H1586=H1585,H1586=H1587)),NA(), H1586)</f>
        <v>0</v>
      </c>
      <c r="K2308">
        <f>IF(ISNA(L2308),NA(),K1586)</f>
        <v>0</v>
      </c>
      <c r="L2308">
        <f>IF(OR(L1586="",AND(L1586=L1585,L1586=L1587)),NA(), L1586)</f>
        <v>0</v>
      </c>
      <c r="M2308">
        <f>IF(ISNA(N2308),NA(),M1586)</f>
        <v>0</v>
      </c>
      <c r="N2308">
        <f>IF(OR(N1586="",AND(N1586=N1585,N1586=N1587)),NA(), N1586)</f>
        <v>0</v>
      </c>
    </row>
    <row r="2309" spans="5:14">
      <c r="E2309">
        <f>IF(ISNA(F2309),NA(),E1587)</f>
        <v>0</v>
      </c>
      <c r="F2309">
        <f>IF(OR(F1587="",AND(F1587=F1586,F1587=F1588)),NA(), F1587)</f>
        <v>0</v>
      </c>
      <c r="G2309">
        <f>IF(ISNA(H2309),NA(),G1587)</f>
        <v>0</v>
      </c>
      <c r="H2309">
        <f>IF(OR(H1587="",AND(H1587=H1586,H1587=H1588)),NA(), H1587)</f>
        <v>0</v>
      </c>
      <c r="K2309">
        <f>IF(ISNA(L2309),NA(),K1587)</f>
        <v>0</v>
      </c>
      <c r="L2309">
        <f>IF(OR(L1587="",AND(L1587=L1586,L1587=L1588)),NA(), L1587)</f>
        <v>0</v>
      </c>
      <c r="M2309">
        <f>IF(ISNA(N2309),NA(),M1587)</f>
        <v>0</v>
      </c>
      <c r="N2309">
        <f>IF(OR(N1587="",AND(N1587=N1586,N1587=N1588)),NA(), N1587)</f>
        <v>0</v>
      </c>
    </row>
    <row r="2310" spans="5:14">
      <c r="E2310">
        <f>IF(ISNA(F2310),NA(),E1588)</f>
        <v>0</v>
      </c>
      <c r="F2310">
        <f>IF(OR(F1588="",AND(F1588=F1587,F1588=F1589)),NA(), F1588)</f>
        <v>0</v>
      </c>
      <c r="G2310">
        <f>IF(ISNA(H2310),NA(),G1588)</f>
        <v>0</v>
      </c>
      <c r="H2310">
        <f>IF(OR(H1588="",AND(H1588=H1587,H1588=H1589)),NA(), H1588)</f>
        <v>0</v>
      </c>
      <c r="K2310">
        <f>IF(ISNA(L2310),NA(),K1588)</f>
        <v>0</v>
      </c>
      <c r="L2310">
        <f>IF(OR(L1588="",AND(L1588=L1587,L1588=L1589)),NA(), L1588)</f>
        <v>0</v>
      </c>
      <c r="M2310">
        <f>IF(ISNA(N2310),NA(),M1588)</f>
        <v>0</v>
      </c>
      <c r="N2310">
        <f>IF(OR(N1588="",AND(N1588=N1587,N1588=N1589)),NA(), N1588)</f>
        <v>0</v>
      </c>
    </row>
    <row r="2311" spans="5:14">
      <c r="E2311">
        <f>IF(ISNA(F2311),NA(),E1589)</f>
        <v>0</v>
      </c>
      <c r="F2311">
        <f>IF(OR(F1589="",AND(F1589=F1588,F1589=F1590)),NA(), F1589)</f>
        <v>0</v>
      </c>
      <c r="G2311">
        <f>IF(ISNA(H2311),NA(),G1589)</f>
        <v>0</v>
      </c>
      <c r="H2311">
        <f>IF(OR(H1589="",AND(H1589=H1588,H1589=H1590)),NA(), H1589)</f>
        <v>0</v>
      </c>
      <c r="K2311">
        <f>IF(ISNA(L2311),NA(),K1589)</f>
        <v>0</v>
      </c>
      <c r="L2311">
        <f>IF(OR(L1589="",AND(L1589=L1588,L1589=L1590)),NA(), L1589)</f>
        <v>0</v>
      </c>
      <c r="M2311">
        <f>IF(ISNA(N2311),NA(),M1589)</f>
        <v>0</v>
      </c>
      <c r="N2311">
        <f>IF(OR(N1589="",AND(N1589=N1588,N1589=N1590)),NA(), N1589)</f>
        <v>0</v>
      </c>
    </row>
    <row r="2312" spans="5:14">
      <c r="E2312">
        <f>IF(ISNA(F2312),NA(),E1590)</f>
        <v>0</v>
      </c>
      <c r="F2312">
        <f>IF(OR(F1590="",AND(F1590=F1589,F1590=F1591)),NA(), F1590)</f>
        <v>0</v>
      </c>
      <c r="G2312">
        <f>IF(ISNA(H2312),NA(),G1590)</f>
        <v>0</v>
      </c>
      <c r="H2312">
        <f>IF(OR(H1590="",AND(H1590=H1589,H1590=H1591)),NA(), H1590)</f>
        <v>0</v>
      </c>
      <c r="K2312">
        <f>IF(ISNA(L2312),NA(),K1590)</f>
        <v>0</v>
      </c>
      <c r="L2312">
        <f>IF(OR(L1590="",AND(L1590=L1589,L1590=L1591)),NA(), L1590)</f>
        <v>0</v>
      </c>
      <c r="M2312">
        <f>IF(ISNA(N2312),NA(),M1590)</f>
        <v>0</v>
      </c>
      <c r="N2312">
        <f>IF(OR(N1590="",AND(N1590=N1589,N1590=N1591)),NA(), N1590)</f>
        <v>0</v>
      </c>
    </row>
    <row r="2313" spans="5:14">
      <c r="E2313">
        <f>IF(ISNA(F2313),NA(),E1591)</f>
        <v>0</v>
      </c>
      <c r="F2313">
        <f>IF(OR(F1591="",AND(F1591=F1590,F1591=F1592)),NA(), F1591)</f>
        <v>0</v>
      </c>
      <c r="G2313">
        <f>IF(ISNA(H2313),NA(),G1591)</f>
        <v>0</v>
      </c>
      <c r="H2313">
        <f>IF(OR(H1591="",AND(H1591=H1590,H1591=H1592)),NA(), H1591)</f>
        <v>0</v>
      </c>
      <c r="K2313">
        <f>IF(ISNA(L2313),NA(),K1591)</f>
        <v>0</v>
      </c>
      <c r="L2313">
        <f>IF(OR(L1591="",AND(L1591=L1590,L1591=L1592)),NA(), L1591)</f>
        <v>0</v>
      </c>
      <c r="M2313">
        <f>IF(ISNA(N2313),NA(),M1591)</f>
        <v>0</v>
      </c>
      <c r="N2313">
        <f>IF(OR(N1591="",AND(N1591=N1590,N1591=N1592)),NA(), N1591)</f>
        <v>0</v>
      </c>
    </row>
    <row r="2314" spans="5:14">
      <c r="E2314">
        <f>IF(ISNA(F2314),NA(),E1592)</f>
        <v>0</v>
      </c>
      <c r="F2314">
        <f>IF(OR(F1592="",AND(F1592=F1591,F1592=F1593)),NA(), F1592)</f>
        <v>0</v>
      </c>
      <c r="G2314">
        <f>IF(ISNA(H2314),NA(),G1592)</f>
        <v>0</v>
      </c>
      <c r="H2314">
        <f>IF(OR(H1592="",AND(H1592=H1591,H1592=H1593)),NA(), H1592)</f>
        <v>0</v>
      </c>
      <c r="K2314">
        <f>IF(ISNA(L2314),NA(),K1592)</f>
        <v>0</v>
      </c>
      <c r="L2314">
        <f>IF(OR(L1592="",AND(L1592=L1591,L1592=L1593)),NA(), L1592)</f>
        <v>0</v>
      </c>
      <c r="M2314">
        <f>IF(ISNA(N2314),NA(),M1592)</f>
        <v>0</v>
      </c>
      <c r="N2314">
        <f>IF(OR(N1592="",AND(N1592=N1591,N1592=N1593)),NA(), N1592)</f>
        <v>0</v>
      </c>
    </row>
    <row r="2315" spans="5:14">
      <c r="E2315">
        <f>IF(ISNA(F2315),NA(),E1593)</f>
        <v>0</v>
      </c>
      <c r="F2315">
        <f>IF(OR(F1593="",AND(F1593=F1592,F1593=F1594)),NA(), F1593)</f>
        <v>0</v>
      </c>
      <c r="G2315">
        <f>IF(ISNA(H2315),NA(),G1593)</f>
        <v>0</v>
      </c>
      <c r="H2315">
        <f>IF(OR(H1593="",AND(H1593=H1592,H1593=H1594)),NA(), H1593)</f>
        <v>0</v>
      </c>
      <c r="K2315">
        <f>IF(ISNA(L2315),NA(),K1593)</f>
        <v>0</v>
      </c>
      <c r="L2315">
        <f>IF(OR(L1593="",AND(L1593=L1592,L1593=L1594)),NA(), L1593)</f>
        <v>0</v>
      </c>
      <c r="M2315">
        <f>IF(ISNA(N2315),NA(),M1593)</f>
        <v>0</v>
      </c>
      <c r="N2315">
        <f>IF(OR(N1593="",AND(N1593=N1592,N1593=N1594)),NA(), N1593)</f>
        <v>0</v>
      </c>
    </row>
    <row r="2316" spans="5:14">
      <c r="E2316">
        <f>IF(ISNA(F2316),NA(),E1594)</f>
        <v>0</v>
      </c>
      <c r="F2316">
        <f>IF(OR(F1594="",AND(F1594=F1593,F1594=F1595)),NA(), F1594)</f>
        <v>0</v>
      </c>
      <c r="G2316">
        <f>IF(ISNA(H2316),NA(),G1594)</f>
        <v>0</v>
      </c>
      <c r="H2316">
        <f>IF(OR(H1594="",AND(H1594=H1593,H1594=H1595)),NA(), H1594)</f>
        <v>0</v>
      </c>
      <c r="K2316">
        <f>IF(ISNA(L2316),NA(),K1594)</f>
        <v>0</v>
      </c>
      <c r="L2316">
        <f>IF(OR(L1594="",AND(L1594=L1593,L1594=L1595)),NA(), L1594)</f>
        <v>0</v>
      </c>
      <c r="M2316">
        <f>IF(ISNA(N2316),NA(),M1594)</f>
        <v>0</v>
      </c>
      <c r="N2316">
        <f>IF(OR(N1594="",AND(N1594=N1593,N1594=N1595)),NA(), N1594)</f>
        <v>0</v>
      </c>
    </row>
    <row r="2317" spans="5:14">
      <c r="E2317">
        <f>IF(ISNA(F2317),NA(),E1595)</f>
        <v>0</v>
      </c>
      <c r="F2317">
        <f>IF(OR(F1595="",AND(F1595=F1594,F1595=F1596)),NA(), F1595)</f>
        <v>0</v>
      </c>
      <c r="G2317">
        <f>IF(ISNA(H2317),NA(),G1595)</f>
        <v>0</v>
      </c>
      <c r="H2317">
        <f>IF(OR(H1595="",AND(H1595=H1594,H1595=H1596)),NA(), H1595)</f>
        <v>0</v>
      </c>
      <c r="K2317">
        <f>IF(ISNA(L2317),NA(),K1595)</f>
        <v>0</v>
      </c>
      <c r="L2317">
        <f>IF(OR(L1595="",AND(L1595=L1594,L1595=L1596)),NA(), L1595)</f>
        <v>0</v>
      </c>
      <c r="M2317">
        <f>IF(ISNA(N2317),NA(),M1595)</f>
        <v>0</v>
      </c>
      <c r="N2317">
        <f>IF(OR(N1595="",AND(N1595=N1594,N1595=N1596)),NA(), N1595)</f>
        <v>0</v>
      </c>
    </row>
    <row r="2318" spans="5:14">
      <c r="E2318">
        <f>IF(ISNA(F2318),NA(),E1596)</f>
        <v>0</v>
      </c>
      <c r="F2318">
        <f>IF(OR(F1596="",AND(F1596=F1595,F1596=F1597)),NA(), F1596)</f>
        <v>0</v>
      </c>
      <c r="G2318">
        <f>IF(ISNA(H2318),NA(),G1596)</f>
        <v>0</v>
      </c>
      <c r="H2318">
        <f>IF(OR(H1596="",AND(H1596=H1595,H1596=H1597)),NA(), H1596)</f>
        <v>0</v>
      </c>
      <c r="K2318">
        <f>IF(ISNA(L2318),NA(),K1596)</f>
        <v>0</v>
      </c>
      <c r="L2318">
        <f>IF(OR(L1596="",AND(L1596=L1595,L1596=L1597)),NA(), L1596)</f>
        <v>0</v>
      </c>
      <c r="M2318">
        <f>IF(ISNA(N2318),NA(),M1596)</f>
        <v>0</v>
      </c>
      <c r="N2318">
        <f>IF(OR(N1596="",AND(N1596=N1595,N1596=N1597)),NA(), N1596)</f>
        <v>0</v>
      </c>
    </row>
    <row r="2319" spans="5:14">
      <c r="E2319">
        <f>IF(ISNA(F2319),NA(),E1597)</f>
        <v>0</v>
      </c>
      <c r="F2319">
        <f>IF(OR(F1597="",AND(F1597=F1596,F1597=F1598)),NA(), F1597)</f>
        <v>0</v>
      </c>
      <c r="G2319">
        <f>IF(ISNA(H2319),NA(),G1597)</f>
        <v>0</v>
      </c>
      <c r="H2319">
        <f>IF(OR(H1597="",AND(H1597=H1596,H1597=H1598)),NA(), H1597)</f>
        <v>0</v>
      </c>
      <c r="K2319">
        <f>IF(ISNA(L2319),NA(),K1597)</f>
        <v>0</v>
      </c>
      <c r="L2319">
        <f>IF(OR(L1597="",AND(L1597=L1596,L1597=L1598)),NA(), L1597)</f>
        <v>0</v>
      </c>
      <c r="M2319">
        <f>IF(ISNA(N2319),NA(),M1597)</f>
        <v>0</v>
      </c>
      <c r="N2319">
        <f>IF(OR(N1597="",AND(N1597=N1596,N1597=N1598)),NA(), N1597)</f>
        <v>0</v>
      </c>
    </row>
    <row r="2320" spans="5:14">
      <c r="E2320">
        <f>IF(ISNA(F2320),NA(),E1598)</f>
        <v>0</v>
      </c>
      <c r="F2320">
        <f>IF(OR(F1598="",AND(F1598=F1597,F1598=F1599)),NA(), F1598)</f>
        <v>0</v>
      </c>
      <c r="G2320">
        <f>IF(ISNA(H2320),NA(),G1598)</f>
        <v>0</v>
      </c>
      <c r="H2320">
        <f>IF(OR(H1598="",AND(H1598=H1597,H1598=H1599)),NA(), H1598)</f>
        <v>0</v>
      </c>
      <c r="K2320">
        <f>IF(ISNA(L2320),NA(),K1598)</f>
        <v>0</v>
      </c>
      <c r="L2320">
        <f>IF(OR(L1598="",AND(L1598=L1597,L1598=L1599)),NA(), L1598)</f>
        <v>0</v>
      </c>
      <c r="M2320">
        <f>IF(ISNA(N2320),NA(),M1598)</f>
        <v>0</v>
      </c>
      <c r="N2320">
        <f>IF(OR(N1598="",AND(N1598=N1597,N1598=N1599)),NA(), N1598)</f>
        <v>0</v>
      </c>
    </row>
    <row r="2321" spans="5:14">
      <c r="E2321">
        <f>IF(ISNA(F2321),NA(),E1599)</f>
        <v>0</v>
      </c>
      <c r="F2321">
        <f>IF(OR(F1599="",AND(F1599=F1598,F1599=F1600)),NA(), F1599)</f>
        <v>0</v>
      </c>
      <c r="G2321">
        <f>IF(ISNA(H2321),NA(),G1599)</f>
        <v>0</v>
      </c>
      <c r="H2321">
        <f>IF(OR(H1599="",AND(H1599=H1598,H1599=H1600)),NA(), H1599)</f>
        <v>0</v>
      </c>
      <c r="K2321">
        <f>IF(ISNA(L2321),NA(),K1599)</f>
        <v>0</v>
      </c>
      <c r="L2321">
        <f>IF(OR(L1599="",AND(L1599=L1598,L1599=L1600)),NA(), L1599)</f>
        <v>0</v>
      </c>
      <c r="M2321">
        <f>IF(ISNA(N2321),NA(),M1599)</f>
        <v>0</v>
      </c>
      <c r="N2321">
        <f>IF(OR(N1599="",AND(N1599=N1598,N1599=N1600)),NA(), N1599)</f>
        <v>0</v>
      </c>
    </row>
    <row r="2322" spans="5:14">
      <c r="E2322">
        <f>IF(ISNA(F2322),NA(),E1600)</f>
        <v>0</v>
      </c>
      <c r="F2322">
        <f>IF(OR(F1600="",AND(F1600=F1599,F1600=F1601)),NA(), F1600)</f>
        <v>0</v>
      </c>
      <c r="G2322">
        <f>IF(ISNA(H2322),NA(),G1600)</f>
        <v>0</v>
      </c>
      <c r="H2322">
        <f>IF(OR(H1600="",AND(H1600=H1599,H1600=H1601)),NA(), H1600)</f>
        <v>0</v>
      </c>
      <c r="K2322">
        <f>IF(ISNA(L2322),NA(),K1600)</f>
        <v>0</v>
      </c>
      <c r="L2322">
        <f>IF(OR(L1600="",AND(L1600=L1599,L1600=L1601)),NA(), L1600)</f>
        <v>0</v>
      </c>
      <c r="M2322">
        <f>IF(ISNA(N2322),NA(),M1600)</f>
        <v>0</v>
      </c>
      <c r="N2322">
        <f>IF(OR(N1600="",AND(N1600=N1599,N1600=N1601)),NA(), N1600)</f>
        <v>0</v>
      </c>
    </row>
    <row r="2323" spans="5:14">
      <c r="E2323">
        <f>IF(ISNA(F2323),NA(),E1601)</f>
        <v>0</v>
      </c>
      <c r="F2323">
        <f>IF(OR(F1601="",AND(F1601=F1600,F1601=F1602)),NA(), F1601)</f>
        <v>0</v>
      </c>
      <c r="G2323">
        <f>IF(ISNA(H2323),NA(),G1601)</f>
        <v>0</v>
      </c>
      <c r="H2323">
        <f>IF(OR(H1601="",AND(H1601=H1600,H1601=H1602)),NA(), H1601)</f>
        <v>0</v>
      </c>
      <c r="K2323">
        <f>IF(ISNA(L2323),NA(),K1601)</f>
        <v>0</v>
      </c>
      <c r="L2323">
        <f>IF(OR(L1601="",AND(L1601=L1600,L1601=L1602)),NA(), L1601)</f>
        <v>0</v>
      </c>
      <c r="M2323">
        <f>IF(ISNA(N2323),NA(),M1601)</f>
        <v>0</v>
      </c>
      <c r="N2323">
        <f>IF(OR(N1601="",AND(N1601=N1600,N1601=N1602)),NA(), N1601)</f>
        <v>0</v>
      </c>
    </row>
    <row r="2324" spans="5:14">
      <c r="E2324">
        <f>IF(ISNA(F2324),NA(),E1602)</f>
        <v>0</v>
      </c>
      <c r="F2324">
        <f>IF(OR(F1602="",AND(F1602=F1601,F1602=F1603)),NA(), F1602)</f>
        <v>0</v>
      </c>
      <c r="G2324">
        <f>IF(ISNA(H2324),NA(),G1602)</f>
        <v>0</v>
      </c>
      <c r="H2324">
        <f>IF(OR(H1602="",AND(H1602=H1601,H1602=H1603)),NA(), H1602)</f>
        <v>0</v>
      </c>
      <c r="K2324">
        <f>IF(ISNA(L2324),NA(),K1602)</f>
        <v>0</v>
      </c>
      <c r="L2324">
        <f>IF(OR(L1602="",AND(L1602=L1601,L1602=L1603)),NA(), L1602)</f>
        <v>0</v>
      </c>
      <c r="M2324">
        <f>IF(ISNA(N2324),NA(),M1602)</f>
        <v>0</v>
      </c>
      <c r="N2324">
        <f>IF(OR(N1602="",AND(N1602=N1601,N1602=N1603)),NA(), N1602)</f>
        <v>0</v>
      </c>
    </row>
    <row r="2325" spans="5:14">
      <c r="E2325">
        <f>IF(ISNA(F2325),NA(),E1603)</f>
        <v>0</v>
      </c>
      <c r="F2325">
        <f>IF(OR(F1603="",AND(F1603=F1602,F1603=F1604)),NA(), F1603)</f>
        <v>0</v>
      </c>
      <c r="G2325">
        <f>IF(ISNA(H2325),NA(),G1603)</f>
        <v>0</v>
      </c>
      <c r="H2325">
        <f>IF(OR(H1603="",AND(H1603=H1602,H1603=H1604)),NA(), H1603)</f>
        <v>0</v>
      </c>
      <c r="K2325">
        <f>IF(ISNA(L2325),NA(),K1603)</f>
        <v>0</v>
      </c>
      <c r="L2325">
        <f>IF(OR(L1603="",AND(L1603=L1602,L1603=L1604)),NA(), L1603)</f>
        <v>0</v>
      </c>
      <c r="M2325">
        <f>IF(ISNA(N2325),NA(),M1603)</f>
        <v>0</v>
      </c>
      <c r="N2325">
        <f>IF(OR(N1603="",AND(N1603=N1602,N1603=N1604)),NA(), N1603)</f>
        <v>0</v>
      </c>
    </row>
    <row r="2326" spans="5:14">
      <c r="E2326">
        <f>IF(ISNA(F2326),NA(),E1604)</f>
        <v>0</v>
      </c>
      <c r="F2326">
        <f>IF(OR(F1604="",AND(F1604=F1603,F1604=F1605)),NA(), F1604)</f>
        <v>0</v>
      </c>
      <c r="G2326">
        <f>IF(ISNA(H2326),NA(),G1604)</f>
        <v>0</v>
      </c>
      <c r="H2326">
        <f>IF(OR(H1604="",AND(H1604=H1603,H1604=H1605)),NA(), H1604)</f>
        <v>0</v>
      </c>
      <c r="K2326">
        <f>IF(ISNA(L2326),NA(),K1604)</f>
        <v>0</v>
      </c>
      <c r="L2326">
        <f>IF(OR(L1604="",AND(L1604=L1603,L1604=L1605)),NA(), L1604)</f>
        <v>0</v>
      </c>
      <c r="M2326">
        <f>IF(ISNA(N2326),NA(),M1604)</f>
        <v>0</v>
      </c>
      <c r="N2326">
        <f>IF(OR(N1604="",AND(N1604=N1603,N1604=N1605)),NA(), N1604)</f>
        <v>0</v>
      </c>
    </row>
    <row r="2327" spans="5:14">
      <c r="E2327">
        <f>IF(ISNA(F2327),NA(),E1605)</f>
        <v>0</v>
      </c>
      <c r="F2327">
        <f>IF(OR(F1605="",AND(F1605=F1604,F1605=F1606)),NA(), F1605)</f>
        <v>0</v>
      </c>
      <c r="G2327">
        <f>IF(ISNA(H2327),NA(),G1605)</f>
        <v>0</v>
      </c>
      <c r="H2327">
        <f>IF(OR(H1605="",AND(H1605=H1604,H1605=H1606)),NA(), H1605)</f>
        <v>0</v>
      </c>
      <c r="K2327">
        <f>IF(ISNA(L2327),NA(),K1605)</f>
        <v>0</v>
      </c>
      <c r="L2327">
        <f>IF(OR(L1605="",AND(L1605=L1604,L1605=L1606)),NA(), L1605)</f>
        <v>0</v>
      </c>
      <c r="M2327">
        <f>IF(ISNA(N2327),NA(),M1605)</f>
        <v>0</v>
      </c>
      <c r="N2327">
        <f>IF(OR(N1605="",AND(N1605=N1604,N1605=N1606)),NA(), N1605)</f>
        <v>0</v>
      </c>
    </row>
    <row r="2328" spans="5:14">
      <c r="E2328">
        <f>IF(ISNA(F2328),NA(),E1606)</f>
        <v>0</v>
      </c>
      <c r="F2328">
        <f>IF(OR(F1606="",AND(F1606=F1605,F1606=F1607)),NA(), F1606)</f>
        <v>0</v>
      </c>
      <c r="G2328">
        <f>IF(ISNA(H2328),NA(),G1606)</f>
        <v>0</v>
      </c>
      <c r="H2328">
        <f>IF(OR(H1606="",AND(H1606=H1605,H1606=H1607)),NA(), H1606)</f>
        <v>0</v>
      </c>
      <c r="K2328">
        <f>IF(ISNA(L2328),NA(),K1606)</f>
        <v>0</v>
      </c>
      <c r="L2328">
        <f>IF(OR(L1606="",AND(L1606=L1605,L1606=L1607)),NA(), L1606)</f>
        <v>0</v>
      </c>
      <c r="M2328">
        <f>IF(ISNA(N2328),NA(),M1606)</f>
        <v>0</v>
      </c>
      <c r="N2328">
        <f>IF(OR(N1606="",AND(N1606=N1605,N1606=N1607)),NA(), N1606)</f>
        <v>0</v>
      </c>
    </row>
    <row r="2329" spans="5:14">
      <c r="E2329">
        <f>IF(ISNA(F2329),NA(),E1607)</f>
        <v>0</v>
      </c>
      <c r="F2329">
        <f>IF(OR(F1607="",AND(F1607=F1606,F1607=F1608)),NA(), F1607)</f>
        <v>0</v>
      </c>
      <c r="G2329">
        <f>IF(ISNA(H2329),NA(),G1607)</f>
        <v>0</v>
      </c>
      <c r="H2329">
        <f>IF(OR(H1607="",AND(H1607=H1606,H1607=H1608)),NA(), H1607)</f>
        <v>0</v>
      </c>
      <c r="K2329">
        <f>IF(ISNA(L2329),NA(),K1607)</f>
        <v>0</v>
      </c>
      <c r="L2329">
        <f>IF(OR(L1607="",AND(L1607=L1606,L1607=L1608)),NA(), L1607)</f>
        <v>0</v>
      </c>
      <c r="M2329">
        <f>IF(ISNA(N2329),NA(),M1607)</f>
        <v>0</v>
      </c>
      <c r="N2329">
        <f>IF(OR(N1607="",AND(N1607=N1606,N1607=N1608)),NA(), N1607)</f>
        <v>0</v>
      </c>
    </row>
    <row r="2330" spans="5:14">
      <c r="E2330">
        <f>IF(ISNA(F2330),NA(),E1608)</f>
        <v>0</v>
      </c>
      <c r="F2330">
        <f>IF(OR(F1608="",AND(F1608=F1607,F1608=F1609)),NA(), F1608)</f>
        <v>0</v>
      </c>
      <c r="G2330">
        <f>IF(ISNA(H2330),NA(),G1608)</f>
        <v>0</v>
      </c>
      <c r="H2330">
        <f>IF(OR(H1608="",AND(H1608=H1607,H1608=H1609)),NA(), H1608)</f>
        <v>0</v>
      </c>
      <c r="K2330">
        <f>IF(ISNA(L2330),NA(),K1608)</f>
        <v>0</v>
      </c>
      <c r="L2330">
        <f>IF(OR(L1608="",AND(L1608=L1607,L1608=L1609)),NA(), L1608)</f>
        <v>0</v>
      </c>
      <c r="M2330">
        <f>IF(ISNA(N2330),NA(),M1608)</f>
        <v>0</v>
      </c>
      <c r="N2330">
        <f>IF(OR(N1608="",AND(N1608=N1607,N1608=N1609)),NA(), N1608)</f>
        <v>0</v>
      </c>
    </row>
    <row r="2331" spans="5:14">
      <c r="E2331">
        <f>IF(ISNA(F2331),NA(),E1609)</f>
        <v>0</v>
      </c>
      <c r="F2331">
        <f>IF(OR(F1609="",AND(F1609=F1608,F1609=F1610)),NA(), F1609)</f>
        <v>0</v>
      </c>
      <c r="G2331">
        <f>IF(ISNA(H2331),NA(),G1609)</f>
        <v>0</v>
      </c>
      <c r="H2331">
        <f>IF(OR(H1609="",AND(H1609=H1608,H1609=H1610)),NA(), H1609)</f>
        <v>0</v>
      </c>
      <c r="K2331">
        <f>IF(ISNA(L2331),NA(),K1609)</f>
        <v>0</v>
      </c>
      <c r="L2331">
        <f>IF(OR(L1609="",AND(L1609=L1608,L1609=L1610)),NA(), L1609)</f>
        <v>0</v>
      </c>
      <c r="M2331">
        <f>IF(ISNA(N2331),NA(),M1609)</f>
        <v>0</v>
      </c>
      <c r="N2331">
        <f>IF(OR(N1609="",AND(N1609=N1608,N1609=N1610)),NA(), N1609)</f>
        <v>0</v>
      </c>
    </row>
    <row r="2332" spans="5:14">
      <c r="E2332">
        <f>IF(ISNA(F2332),NA(),E1610)</f>
        <v>0</v>
      </c>
      <c r="F2332">
        <f>IF(OR(F1610="",AND(F1610=F1609,F1610=F1611)),NA(), F1610)</f>
        <v>0</v>
      </c>
      <c r="G2332">
        <f>IF(ISNA(H2332),NA(),G1610)</f>
        <v>0</v>
      </c>
      <c r="H2332">
        <f>IF(OR(H1610="",AND(H1610=H1609,H1610=H1611)),NA(), H1610)</f>
        <v>0</v>
      </c>
      <c r="K2332">
        <f>IF(ISNA(L2332),NA(),K1610)</f>
        <v>0</v>
      </c>
      <c r="L2332">
        <f>IF(OR(L1610="",AND(L1610=L1609,L1610=L1611)),NA(), L1610)</f>
        <v>0</v>
      </c>
      <c r="M2332">
        <f>IF(ISNA(N2332),NA(),M1610)</f>
        <v>0</v>
      </c>
      <c r="N2332">
        <f>IF(OR(N1610="",AND(N1610=N1609,N1610=N1611)),NA(), N1610)</f>
        <v>0</v>
      </c>
    </row>
    <row r="2333" spans="5:14">
      <c r="E2333">
        <f>IF(ISNA(F2333),NA(),E1611)</f>
        <v>0</v>
      </c>
      <c r="F2333">
        <f>IF(OR(F1611="",AND(F1611=F1610,F1611=F1612)),NA(), F1611)</f>
        <v>0</v>
      </c>
      <c r="G2333">
        <f>IF(ISNA(H2333),NA(),G1611)</f>
        <v>0</v>
      </c>
      <c r="H2333">
        <f>IF(OR(H1611="",AND(H1611=H1610,H1611=H1612)),NA(), H1611)</f>
        <v>0</v>
      </c>
      <c r="K2333">
        <f>IF(ISNA(L2333),NA(),K1611)</f>
        <v>0</v>
      </c>
      <c r="L2333">
        <f>IF(OR(L1611="",AND(L1611=L1610,L1611=L1612)),NA(), L1611)</f>
        <v>0</v>
      </c>
      <c r="M2333">
        <f>IF(ISNA(N2333),NA(),M1611)</f>
        <v>0</v>
      </c>
      <c r="N2333">
        <f>IF(OR(N1611="",AND(N1611=N1610,N1611=N1612)),NA(), N1611)</f>
        <v>0</v>
      </c>
    </row>
    <row r="2334" spans="5:14">
      <c r="E2334">
        <f>IF(ISNA(F2334),NA(),E1612)</f>
        <v>0</v>
      </c>
      <c r="F2334">
        <f>IF(OR(F1612="",AND(F1612=F1611,F1612=F1613)),NA(), F1612)</f>
        <v>0</v>
      </c>
      <c r="G2334">
        <f>IF(ISNA(H2334),NA(),G1612)</f>
        <v>0</v>
      </c>
      <c r="H2334">
        <f>IF(OR(H1612="",AND(H1612=H1611,H1612=H1613)),NA(), H1612)</f>
        <v>0</v>
      </c>
      <c r="K2334">
        <f>IF(ISNA(L2334),NA(),K1612)</f>
        <v>0</v>
      </c>
      <c r="L2334">
        <f>IF(OR(L1612="",AND(L1612=L1611,L1612=L1613)),NA(), L1612)</f>
        <v>0</v>
      </c>
      <c r="M2334">
        <f>IF(ISNA(N2334),NA(),M1612)</f>
        <v>0</v>
      </c>
      <c r="N2334">
        <f>IF(OR(N1612="",AND(N1612=N1611,N1612=N1613)),NA(), N1612)</f>
        <v>0</v>
      </c>
    </row>
    <row r="2335" spans="5:14">
      <c r="E2335">
        <f>IF(ISNA(F2335),NA(),E1613)</f>
        <v>0</v>
      </c>
      <c r="F2335">
        <f>IF(OR(F1613="",AND(F1613=F1612,F1613=F1614)),NA(), F1613)</f>
        <v>0</v>
      </c>
      <c r="G2335">
        <f>IF(ISNA(H2335),NA(),G1613)</f>
        <v>0</v>
      </c>
      <c r="H2335">
        <f>IF(OR(H1613="",AND(H1613=H1612,H1613=H1614)),NA(), H1613)</f>
        <v>0</v>
      </c>
      <c r="K2335">
        <f>IF(ISNA(L2335),NA(),K1613)</f>
        <v>0</v>
      </c>
      <c r="L2335">
        <f>IF(OR(L1613="",AND(L1613=L1612,L1613=L1614)),NA(), L1613)</f>
        <v>0</v>
      </c>
      <c r="M2335">
        <f>IF(ISNA(N2335),NA(),M1613)</f>
        <v>0</v>
      </c>
      <c r="N2335">
        <f>IF(OR(N1613="",AND(N1613=N1612,N1613=N1614)),NA(), N1613)</f>
        <v>0</v>
      </c>
    </row>
    <row r="2336" spans="5:14">
      <c r="E2336">
        <f>IF(ISNA(F2336),NA(),E1614)</f>
        <v>0</v>
      </c>
      <c r="F2336">
        <f>IF(OR(F1614="",AND(F1614=F1613,F1614=F1615)),NA(), F1614)</f>
        <v>0</v>
      </c>
      <c r="G2336">
        <f>IF(ISNA(H2336),NA(),G1614)</f>
        <v>0</v>
      </c>
      <c r="H2336">
        <f>IF(OR(H1614="",AND(H1614=H1613,H1614=H1615)),NA(), H1614)</f>
        <v>0</v>
      </c>
      <c r="K2336">
        <f>IF(ISNA(L2336),NA(),K1614)</f>
        <v>0</v>
      </c>
      <c r="L2336">
        <f>IF(OR(L1614="",AND(L1614=L1613,L1614=L1615)),NA(), L1614)</f>
        <v>0</v>
      </c>
      <c r="M2336">
        <f>IF(ISNA(N2336),NA(),M1614)</f>
        <v>0</v>
      </c>
      <c r="N2336">
        <f>IF(OR(N1614="",AND(N1614=N1613,N1614=N1615)),NA(), N1614)</f>
        <v>0</v>
      </c>
    </row>
    <row r="2337" spans="5:14">
      <c r="E2337">
        <f>IF(ISNA(F2337),NA(),E1615)</f>
        <v>0</v>
      </c>
      <c r="F2337">
        <f>IF(OR(F1615="",AND(F1615=F1614,F1615=F1616)),NA(), F1615)</f>
        <v>0</v>
      </c>
      <c r="G2337">
        <f>IF(ISNA(H2337),NA(),G1615)</f>
        <v>0</v>
      </c>
      <c r="H2337">
        <f>IF(OR(H1615="",AND(H1615=H1614,H1615=H1616)),NA(), H1615)</f>
        <v>0</v>
      </c>
      <c r="K2337">
        <f>IF(ISNA(L2337),NA(),K1615)</f>
        <v>0</v>
      </c>
      <c r="L2337">
        <f>IF(OR(L1615="",AND(L1615=L1614,L1615=L1616)),NA(), L1615)</f>
        <v>0</v>
      </c>
      <c r="M2337">
        <f>IF(ISNA(N2337),NA(),M1615)</f>
        <v>0</v>
      </c>
      <c r="N2337">
        <f>IF(OR(N1615="",AND(N1615=N1614,N1615=N1616)),NA(), N1615)</f>
        <v>0</v>
      </c>
    </row>
    <row r="2338" spans="5:14">
      <c r="E2338">
        <f>IF(ISNA(F2338),NA(),E1616)</f>
        <v>0</v>
      </c>
      <c r="F2338">
        <f>IF(OR(F1616="",AND(F1616=F1615,F1616=F1617)),NA(), F1616)</f>
        <v>0</v>
      </c>
      <c r="G2338">
        <f>IF(ISNA(H2338),NA(),G1616)</f>
        <v>0</v>
      </c>
      <c r="H2338">
        <f>IF(OR(H1616="",AND(H1616=H1615,H1616=H1617)),NA(), H1616)</f>
        <v>0</v>
      </c>
      <c r="K2338">
        <f>IF(ISNA(L2338),NA(),K1616)</f>
        <v>0</v>
      </c>
      <c r="L2338">
        <f>IF(OR(L1616="",AND(L1616=L1615,L1616=L1617)),NA(), L1616)</f>
        <v>0</v>
      </c>
      <c r="M2338">
        <f>IF(ISNA(N2338),NA(),M1616)</f>
        <v>0</v>
      </c>
      <c r="N2338">
        <f>IF(OR(N1616="",AND(N1616=N1615,N1616=N1617)),NA(), N1616)</f>
        <v>0</v>
      </c>
    </row>
    <row r="2339" spans="5:14">
      <c r="E2339">
        <f>IF(ISNA(F2339),NA(),E1617)</f>
        <v>0</v>
      </c>
      <c r="F2339">
        <f>IF(OR(F1617="",AND(F1617=F1616,F1617=F1618)),NA(), F1617)</f>
        <v>0</v>
      </c>
      <c r="G2339">
        <f>IF(ISNA(H2339),NA(),G1617)</f>
        <v>0</v>
      </c>
      <c r="H2339">
        <f>IF(OR(H1617="",AND(H1617=H1616,H1617=H1618)),NA(), H1617)</f>
        <v>0</v>
      </c>
      <c r="K2339">
        <f>IF(ISNA(L2339),NA(),K1617)</f>
        <v>0</v>
      </c>
      <c r="L2339">
        <f>IF(OR(L1617="",AND(L1617=L1616,L1617=L1618)),NA(), L1617)</f>
        <v>0</v>
      </c>
      <c r="M2339">
        <f>IF(ISNA(N2339),NA(),M1617)</f>
        <v>0</v>
      </c>
      <c r="N2339">
        <f>IF(OR(N1617="",AND(N1617=N1616,N1617=N1618)),NA(), N1617)</f>
        <v>0</v>
      </c>
    </row>
    <row r="2340" spans="5:14">
      <c r="E2340">
        <f>IF(ISNA(F2340),NA(),E1618)</f>
        <v>0</v>
      </c>
      <c r="F2340">
        <f>IF(OR(F1618="",AND(F1618=F1617,F1618=F1619)),NA(), F1618)</f>
        <v>0</v>
      </c>
      <c r="G2340">
        <f>IF(ISNA(H2340),NA(),G1618)</f>
        <v>0</v>
      </c>
      <c r="H2340">
        <f>IF(OR(H1618="",AND(H1618=H1617,H1618=H1619)),NA(), H1618)</f>
        <v>0</v>
      </c>
      <c r="K2340">
        <f>IF(ISNA(L2340),NA(),K1618)</f>
        <v>0</v>
      </c>
      <c r="L2340">
        <f>IF(OR(L1618="",AND(L1618=L1617,L1618=L1619)),NA(), L1618)</f>
        <v>0</v>
      </c>
      <c r="M2340">
        <f>IF(ISNA(N2340),NA(),M1618)</f>
        <v>0</v>
      </c>
      <c r="N2340">
        <f>IF(OR(N1618="",AND(N1618=N1617,N1618=N1619)),NA(), N1618)</f>
        <v>0</v>
      </c>
    </row>
    <row r="2341" spans="5:14">
      <c r="E2341">
        <f>IF(ISNA(F2341),NA(),E1619)</f>
        <v>0</v>
      </c>
      <c r="F2341">
        <f>IF(OR(F1619="",AND(F1619=F1618,F1619=F1620)),NA(), F1619)</f>
        <v>0</v>
      </c>
      <c r="G2341">
        <f>IF(ISNA(H2341),NA(),G1619)</f>
        <v>0</v>
      </c>
      <c r="H2341">
        <f>IF(OR(H1619="",AND(H1619=H1618,H1619=H1620)),NA(), H1619)</f>
        <v>0</v>
      </c>
      <c r="K2341">
        <f>IF(ISNA(L2341),NA(),K1619)</f>
        <v>0</v>
      </c>
      <c r="L2341">
        <f>IF(OR(L1619="",AND(L1619=L1618,L1619=L1620)),NA(), L1619)</f>
        <v>0</v>
      </c>
      <c r="M2341">
        <f>IF(ISNA(N2341),NA(),M1619)</f>
        <v>0</v>
      </c>
      <c r="N2341">
        <f>IF(OR(N1619="",AND(N1619=N1618,N1619=N1620)),NA(), N1619)</f>
        <v>0</v>
      </c>
    </row>
    <row r="2342" spans="5:14">
      <c r="E2342">
        <f>IF(ISNA(F2342),NA(),E1620)</f>
        <v>0</v>
      </c>
      <c r="F2342">
        <f>IF(OR(F1620="",AND(F1620=F1619,F1620=F1621)),NA(), F1620)</f>
        <v>0</v>
      </c>
      <c r="G2342">
        <f>IF(ISNA(H2342),NA(),G1620)</f>
        <v>0</v>
      </c>
      <c r="H2342">
        <f>IF(OR(H1620="",AND(H1620=H1619,H1620=H1621)),NA(), H1620)</f>
        <v>0</v>
      </c>
      <c r="K2342">
        <f>IF(ISNA(L2342),NA(),K1620)</f>
        <v>0</v>
      </c>
      <c r="L2342">
        <f>IF(OR(L1620="",AND(L1620=L1619,L1620=L1621)),NA(), L1620)</f>
        <v>0</v>
      </c>
      <c r="M2342">
        <f>IF(ISNA(N2342),NA(),M1620)</f>
        <v>0</v>
      </c>
      <c r="N2342">
        <f>IF(OR(N1620="",AND(N1620=N1619,N1620=N1621)),NA(), N1620)</f>
        <v>0</v>
      </c>
    </row>
    <row r="2343" spans="5:14">
      <c r="E2343">
        <f>IF(ISNA(F2343),NA(),E1621)</f>
        <v>0</v>
      </c>
      <c r="F2343">
        <f>IF(OR(F1621="",AND(F1621=F1620,F1621=F1622)),NA(), F1621)</f>
        <v>0</v>
      </c>
      <c r="G2343">
        <f>IF(ISNA(H2343),NA(),G1621)</f>
        <v>0</v>
      </c>
      <c r="H2343">
        <f>IF(OR(H1621="",AND(H1621=H1620,H1621=H1622)),NA(), H1621)</f>
        <v>0</v>
      </c>
      <c r="K2343">
        <f>IF(ISNA(L2343),NA(),K1621)</f>
        <v>0</v>
      </c>
      <c r="L2343">
        <f>IF(OR(L1621="",AND(L1621=L1620,L1621=L1622)),NA(), L1621)</f>
        <v>0</v>
      </c>
      <c r="M2343">
        <f>IF(ISNA(N2343),NA(),M1621)</f>
        <v>0</v>
      </c>
      <c r="N2343">
        <f>IF(OR(N1621="",AND(N1621=N1620,N1621=N1622)),NA(), N1621)</f>
        <v>0</v>
      </c>
    </row>
    <row r="2344" spans="5:14">
      <c r="E2344">
        <f>IF(ISNA(F2344),NA(),E1622)</f>
        <v>0</v>
      </c>
      <c r="F2344">
        <f>IF(OR(F1622="",AND(F1622=F1621,F1622=F1623)),NA(), F1622)</f>
        <v>0</v>
      </c>
      <c r="G2344">
        <f>IF(ISNA(H2344),NA(),G1622)</f>
        <v>0</v>
      </c>
      <c r="H2344">
        <f>IF(OR(H1622="",AND(H1622=H1621,H1622=H1623)),NA(), H1622)</f>
        <v>0</v>
      </c>
      <c r="K2344">
        <f>IF(ISNA(L2344),NA(),K1622)</f>
        <v>0</v>
      </c>
      <c r="L2344">
        <f>IF(OR(L1622="",AND(L1622=L1621,L1622=L1623)),NA(), L1622)</f>
        <v>0</v>
      </c>
      <c r="M2344">
        <f>IF(ISNA(N2344),NA(),M1622)</f>
        <v>0</v>
      </c>
      <c r="N2344">
        <f>IF(OR(N1622="",AND(N1622=N1621,N1622=N1623)),NA(), N1622)</f>
        <v>0</v>
      </c>
    </row>
    <row r="2345" spans="5:14">
      <c r="E2345">
        <f>IF(ISNA(F2345),NA(),E1623)</f>
        <v>0</v>
      </c>
      <c r="F2345">
        <f>IF(OR(F1623="",AND(F1623=F1622,F1623=F1624)),NA(), F1623)</f>
        <v>0</v>
      </c>
      <c r="G2345">
        <f>IF(ISNA(H2345),NA(),G1623)</f>
        <v>0</v>
      </c>
      <c r="H2345">
        <f>IF(OR(H1623="",AND(H1623=H1622,H1623=H1624)),NA(), H1623)</f>
        <v>0</v>
      </c>
      <c r="K2345">
        <f>IF(ISNA(L2345),NA(),K1623)</f>
        <v>0</v>
      </c>
      <c r="L2345">
        <f>IF(OR(L1623="",AND(L1623=L1622,L1623=L1624)),NA(), L1623)</f>
        <v>0</v>
      </c>
      <c r="M2345">
        <f>IF(ISNA(N2345),NA(),M1623)</f>
        <v>0</v>
      </c>
      <c r="N2345">
        <f>IF(OR(N1623="",AND(N1623=N1622,N1623=N1624)),NA(), N1623)</f>
        <v>0</v>
      </c>
    </row>
    <row r="2346" spans="5:14">
      <c r="E2346">
        <f>IF(ISNA(F2346),NA(),E1624)</f>
        <v>0</v>
      </c>
      <c r="F2346">
        <f>IF(OR(F1624="",AND(F1624=F1623,F1624=F1625)),NA(), F1624)</f>
        <v>0</v>
      </c>
      <c r="G2346">
        <f>IF(ISNA(H2346),NA(),G1624)</f>
        <v>0</v>
      </c>
      <c r="H2346">
        <f>IF(OR(H1624="",AND(H1624=H1623,H1624=H1625)),NA(), H1624)</f>
        <v>0</v>
      </c>
      <c r="K2346">
        <f>IF(ISNA(L2346),NA(),K1624)</f>
        <v>0</v>
      </c>
      <c r="L2346">
        <f>IF(OR(L1624="",AND(L1624=L1623,L1624=L1625)),NA(), L1624)</f>
        <v>0</v>
      </c>
      <c r="M2346">
        <f>IF(ISNA(N2346),NA(),M1624)</f>
        <v>0</v>
      </c>
      <c r="N2346">
        <f>IF(OR(N1624="",AND(N1624=N1623,N1624=N1625)),NA(), N1624)</f>
        <v>0</v>
      </c>
    </row>
    <row r="2347" spans="5:14">
      <c r="E2347">
        <f>IF(ISNA(F2347),NA(),E1625)</f>
        <v>0</v>
      </c>
      <c r="F2347">
        <f>IF(OR(F1625="",AND(F1625=F1624,F1625=F1626)),NA(), F1625)</f>
        <v>0</v>
      </c>
      <c r="G2347">
        <f>IF(ISNA(H2347),NA(),G1625)</f>
        <v>0</v>
      </c>
      <c r="H2347">
        <f>IF(OR(H1625="",AND(H1625=H1624,H1625=H1626)),NA(), H1625)</f>
        <v>0</v>
      </c>
      <c r="K2347">
        <f>IF(ISNA(L2347),NA(),K1625)</f>
        <v>0</v>
      </c>
      <c r="L2347">
        <f>IF(OR(L1625="",AND(L1625=L1624,L1625=L1626)),NA(), L1625)</f>
        <v>0</v>
      </c>
      <c r="M2347">
        <f>IF(ISNA(N2347),NA(),M1625)</f>
        <v>0</v>
      </c>
      <c r="N2347">
        <f>IF(OR(N1625="",AND(N1625=N1624,N1625=N1626)),NA(), N1625)</f>
        <v>0</v>
      </c>
    </row>
    <row r="2348" spans="5:14">
      <c r="E2348">
        <f>IF(ISNA(F2348),NA(),E1626)</f>
        <v>0</v>
      </c>
      <c r="F2348">
        <f>IF(OR(F1626="",AND(F1626=F1625,F1626=F1627)),NA(), F1626)</f>
        <v>0</v>
      </c>
      <c r="G2348">
        <f>IF(ISNA(H2348),NA(),G1626)</f>
        <v>0</v>
      </c>
      <c r="H2348">
        <f>IF(OR(H1626="",AND(H1626=H1625,H1626=H1627)),NA(), H1626)</f>
        <v>0</v>
      </c>
      <c r="K2348">
        <f>IF(ISNA(L2348),NA(),K1626)</f>
        <v>0</v>
      </c>
      <c r="L2348">
        <f>IF(OR(L1626="",AND(L1626=L1625,L1626=L1627)),NA(), L1626)</f>
        <v>0</v>
      </c>
      <c r="M2348">
        <f>IF(ISNA(N2348),NA(),M1626)</f>
        <v>0</v>
      </c>
      <c r="N2348">
        <f>IF(OR(N1626="",AND(N1626=N1625,N1626=N1627)),NA(), N1626)</f>
        <v>0</v>
      </c>
    </row>
    <row r="2349" spans="5:14">
      <c r="E2349">
        <f>IF(ISNA(F2349),NA(),E1627)</f>
        <v>0</v>
      </c>
      <c r="F2349">
        <f>IF(OR(F1627="",AND(F1627=F1626,F1627=F1628)),NA(), F1627)</f>
        <v>0</v>
      </c>
      <c r="G2349">
        <f>IF(ISNA(H2349),NA(),G1627)</f>
        <v>0</v>
      </c>
      <c r="H2349">
        <f>IF(OR(H1627="",AND(H1627=H1626,H1627=H1628)),NA(), H1627)</f>
        <v>0</v>
      </c>
      <c r="K2349">
        <f>IF(ISNA(L2349),NA(),K1627)</f>
        <v>0</v>
      </c>
      <c r="L2349">
        <f>IF(OR(L1627="",AND(L1627=L1626,L1627=L1628)),NA(), L1627)</f>
        <v>0</v>
      </c>
      <c r="M2349">
        <f>IF(ISNA(N2349),NA(),M1627)</f>
        <v>0</v>
      </c>
      <c r="N2349">
        <f>IF(OR(N1627="",AND(N1627=N1626,N1627=N1628)),NA(), N1627)</f>
        <v>0</v>
      </c>
    </row>
    <row r="2350" spans="5:14">
      <c r="E2350">
        <f>IF(ISNA(F2350),NA(),E1628)</f>
        <v>0</v>
      </c>
      <c r="F2350">
        <f>IF(OR(F1628="",AND(F1628=F1627,F1628=F1629)),NA(), F1628)</f>
        <v>0</v>
      </c>
      <c r="G2350">
        <f>IF(ISNA(H2350),NA(),G1628)</f>
        <v>0</v>
      </c>
      <c r="H2350">
        <f>IF(OR(H1628="",AND(H1628=H1627,H1628=H1629)),NA(), H1628)</f>
        <v>0</v>
      </c>
      <c r="K2350">
        <f>IF(ISNA(L2350),NA(),K1628)</f>
        <v>0</v>
      </c>
      <c r="L2350">
        <f>IF(OR(L1628="",AND(L1628=L1627,L1628=L1629)),NA(), L1628)</f>
        <v>0</v>
      </c>
      <c r="M2350">
        <f>IF(ISNA(N2350),NA(),M1628)</f>
        <v>0</v>
      </c>
      <c r="N2350">
        <f>IF(OR(N1628="",AND(N1628=N1627,N1628=N1629)),NA(), N1628)</f>
        <v>0</v>
      </c>
    </row>
    <row r="2351" spans="5:14">
      <c r="E2351">
        <f>IF(ISNA(F2351),NA(),E1629)</f>
        <v>0</v>
      </c>
      <c r="F2351">
        <f>IF(OR(F1629="",AND(F1629=F1628,F1629=F1630)),NA(), F1629)</f>
        <v>0</v>
      </c>
      <c r="G2351">
        <f>IF(ISNA(H2351),NA(),G1629)</f>
        <v>0</v>
      </c>
      <c r="H2351">
        <f>IF(OR(H1629="",AND(H1629=H1628,H1629=H1630)),NA(), H1629)</f>
        <v>0</v>
      </c>
      <c r="K2351">
        <f>IF(ISNA(L2351),NA(),K1629)</f>
        <v>0</v>
      </c>
      <c r="L2351">
        <f>IF(OR(L1629="",AND(L1629=L1628,L1629=L1630)),NA(), L1629)</f>
        <v>0</v>
      </c>
      <c r="M2351">
        <f>IF(ISNA(N2351),NA(),M1629)</f>
        <v>0</v>
      </c>
      <c r="N2351">
        <f>IF(OR(N1629="",AND(N1629=N1628,N1629=N1630)),NA(), N1629)</f>
        <v>0</v>
      </c>
    </row>
    <row r="2352" spans="5:14">
      <c r="E2352">
        <f>IF(ISNA(F2352),NA(),E1630)</f>
        <v>0</v>
      </c>
      <c r="F2352">
        <f>IF(OR(F1630="",AND(F1630=F1629,F1630=F1631)),NA(), F1630)</f>
        <v>0</v>
      </c>
      <c r="G2352">
        <f>IF(ISNA(H2352),NA(),G1630)</f>
        <v>0</v>
      </c>
      <c r="H2352">
        <f>IF(OR(H1630="",AND(H1630=H1629,H1630=H1631)),NA(), H1630)</f>
        <v>0</v>
      </c>
      <c r="K2352">
        <f>IF(ISNA(L2352),NA(),K1630)</f>
        <v>0</v>
      </c>
      <c r="L2352">
        <f>IF(OR(L1630="",AND(L1630=L1629,L1630=L1631)),NA(), L1630)</f>
        <v>0</v>
      </c>
      <c r="M2352">
        <f>IF(ISNA(N2352),NA(),M1630)</f>
        <v>0</v>
      </c>
      <c r="N2352">
        <f>IF(OR(N1630="",AND(N1630=N1629,N1630=N1631)),NA(), N1630)</f>
        <v>0</v>
      </c>
    </row>
    <row r="2353" spans="5:14">
      <c r="E2353">
        <f>IF(ISNA(F2353),NA(),E1631)</f>
        <v>0</v>
      </c>
      <c r="F2353">
        <f>IF(OR(F1631="",AND(F1631=F1630,F1631=F1632)),NA(), F1631)</f>
        <v>0</v>
      </c>
      <c r="G2353">
        <f>IF(ISNA(H2353),NA(),G1631)</f>
        <v>0</v>
      </c>
      <c r="H2353">
        <f>IF(OR(H1631="",AND(H1631=H1630,H1631=H1632)),NA(), H1631)</f>
        <v>0</v>
      </c>
      <c r="K2353">
        <f>IF(ISNA(L2353),NA(),K1631)</f>
        <v>0</v>
      </c>
      <c r="L2353">
        <f>IF(OR(L1631="",AND(L1631=L1630,L1631=L1632)),NA(), L1631)</f>
        <v>0</v>
      </c>
      <c r="M2353">
        <f>IF(ISNA(N2353),NA(),M1631)</f>
        <v>0</v>
      </c>
      <c r="N2353">
        <f>IF(OR(N1631="",AND(N1631=N1630,N1631=N1632)),NA(), N1631)</f>
        <v>0</v>
      </c>
    </row>
    <row r="2354" spans="5:14">
      <c r="E2354">
        <f>IF(ISNA(F2354),NA(),E1632)</f>
        <v>0</v>
      </c>
      <c r="F2354">
        <f>IF(OR(F1632="",AND(F1632=F1631,F1632=F1633)),NA(), F1632)</f>
        <v>0</v>
      </c>
      <c r="G2354">
        <f>IF(ISNA(H2354),NA(),G1632)</f>
        <v>0</v>
      </c>
      <c r="H2354">
        <f>IF(OR(H1632="",AND(H1632=H1631,H1632=H1633)),NA(), H1632)</f>
        <v>0</v>
      </c>
      <c r="K2354">
        <f>IF(ISNA(L2354),NA(),K1632)</f>
        <v>0</v>
      </c>
      <c r="L2354">
        <f>IF(OR(L1632="",AND(L1632=L1631,L1632=L1633)),NA(), L1632)</f>
        <v>0</v>
      </c>
      <c r="M2354">
        <f>IF(ISNA(N2354),NA(),M1632)</f>
        <v>0</v>
      </c>
      <c r="N2354">
        <f>IF(OR(N1632="",AND(N1632=N1631,N1632=N1633)),NA(), N1632)</f>
        <v>0</v>
      </c>
    </row>
    <row r="2355" spans="5:14">
      <c r="E2355">
        <f>IF(ISNA(F2355),NA(),E1633)</f>
        <v>0</v>
      </c>
      <c r="F2355">
        <f>IF(OR(F1633="",AND(F1633=F1632,F1633=F1634)),NA(), F1633)</f>
        <v>0</v>
      </c>
      <c r="G2355">
        <f>IF(ISNA(H2355),NA(),G1633)</f>
        <v>0</v>
      </c>
      <c r="H2355">
        <f>IF(OR(H1633="",AND(H1633=H1632,H1633=H1634)),NA(), H1633)</f>
        <v>0</v>
      </c>
      <c r="K2355">
        <f>IF(ISNA(L2355),NA(),K1633)</f>
        <v>0</v>
      </c>
      <c r="L2355">
        <f>IF(OR(L1633="",AND(L1633=L1632,L1633=L1634)),NA(), L1633)</f>
        <v>0</v>
      </c>
      <c r="M2355">
        <f>IF(ISNA(N2355),NA(),M1633)</f>
        <v>0</v>
      </c>
      <c r="N2355">
        <f>IF(OR(N1633="",AND(N1633=N1632,N1633=N1634)),NA(), N1633)</f>
        <v>0</v>
      </c>
    </row>
    <row r="2356" spans="5:14">
      <c r="E2356">
        <f>IF(ISNA(F2356),NA(),E1634)</f>
        <v>0</v>
      </c>
      <c r="F2356">
        <f>IF(OR(F1634="",AND(F1634=F1633,F1634=F1635)),NA(), F1634)</f>
        <v>0</v>
      </c>
      <c r="G2356">
        <f>IF(ISNA(H2356),NA(),G1634)</f>
        <v>0</v>
      </c>
      <c r="H2356">
        <f>IF(OR(H1634="",AND(H1634=H1633,H1634=H1635)),NA(), H1634)</f>
        <v>0</v>
      </c>
      <c r="K2356">
        <f>IF(ISNA(L2356),NA(),K1634)</f>
        <v>0</v>
      </c>
      <c r="L2356">
        <f>IF(OR(L1634="",AND(L1634=L1633,L1634=L1635)),NA(), L1634)</f>
        <v>0</v>
      </c>
      <c r="M2356">
        <f>IF(ISNA(N2356),NA(),M1634)</f>
        <v>0</v>
      </c>
      <c r="N2356">
        <f>IF(OR(N1634="",AND(N1634=N1633,N1634=N1635)),NA(), N1634)</f>
        <v>0</v>
      </c>
    </row>
    <row r="2357" spans="5:14">
      <c r="E2357">
        <f>IF(ISNA(F2357),NA(),E1635)</f>
        <v>0</v>
      </c>
      <c r="F2357">
        <f>IF(OR(F1635="",AND(F1635=F1634,F1635=F1636)),NA(), F1635)</f>
        <v>0</v>
      </c>
      <c r="G2357">
        <f>IF(ISNA(H2357),NA(),G1635)</f>
        <v>0</v>
      </c>
      <c r="H2357">
        <f>IF(OR(H1635="",AND(H1635=H1634,H1635=H1636)),NA(), H1635)</f>
        <v>0</v>
      </c>
      <c r="K2357">
        <f>IF(ISNA(L2357),NA(),K1635)</f>
        <v>0</v>
      </c>
      <c r="L2357">
        <f>IF(OR(L1635="",AND(L1635=L1634,L1635=L1636)),NA(), L1635)</f>
        <v>0</v>
      </c>
      <c r="M2357">
        <f>IF(ISNA(N2357),NA(),M1635)</f>
        <v>0</v>
      </c>
      <c r="N2357">
        <f>IF(OR(N1635="",AND(N1635=N1634,N1635=N1636)),NA(), N1635)</f>
        <v>0</v>
      </c>
    </row>
    <row r="2358" spans="5:14">
      <c r="E2358">
        <f>IF(ISNA(F2358),NA(),E1636)</f>
        <v>0</v>
      </c>
      <c r="F2358">
        <f>IF(OR(F1636="",AND(F1636=F1635,F1636=F1637)),NA(), F1636)</f>
        <v>0</v>
      </c>
      <c r="G2358">
        <f>IF(ISNA(H2358),NA(),G1636)</f>
        <v>0</v>
      </c>
      <c r="H2358">
        <f>IF(OR(H1636="",AND(H1636=H1635,H1636=H1637)),NA(), H1636)</f>
        <v>0</v>
      </c>
      <c r="K2358">
        <f>IF(ISNA(L2358),NA(),K1636)</f>
        <v>0</v>
      </c>
      <c r="L2358">
        <f>IF(OR(L1636="",AND(L1636=L1635,L1636=L1637)),NA(), L1636)</f>
        <v>0</v>
      </c>
      <c r="M2358">
        <f>IF(ISNA(N2358),NA(),M1636)</f>
        <v>0</v>
      </c>
      <c r="N2358">
        <f>IF(OR(N1636="",AND(N1636=N1635,N1636=N1637)),NA(), N1636)</f>
        <v>0</v>
      </c>
    </row>
    <row r="2359" spans="5:14">
      <c r="E2359">
        <f>IF(ISNA(F2359),NA(),E1637)</f>
        <v>0</v>
      </c>
      <c r="F2359">
        <f>IF(OR(F1637="",AND(F1637=F1636,F1637=F1638)),NA(), F1637)</f>
        <v>0</v>
      </c>
      <c r="G2359">
        <f>IF(ISNA(H2359),NA(),G1637)</f>
        <v>0</v>
      </c>
      <c r="H2359">
        <f>IF(OR(H1637="",AND(H1637=H1636,H1637=H1638)),NA(), H1637)</f>
        <v>0</v>
      </c>
      <c r="K2359">
        <f>IF(ISNA(L2359),NA(),K1637)</f>
        <v>0</v>
      </c>
      <c r="L2359">
        <f>IF(OR(L1637="",AND(L1637=L1636,L1637=L1638)),NA(), L1637)</f>
        <v>0</v>
      </c>
      <c r="M2359">
        <f>IF(ISNA(N2359),NA(),M1637)</f>
        <v>0</v>
      </c>
      <c r="N2359">
        <f>IF(OR(N1637="",AND(N1637=N1636,N1637=N1638)),NA(), N1637)</f>
        <v>0</v>
      </c>
    </row>
    <row r="2360" spans="5:14">
      <c r="E2360">
        <f>IF(ISNA(F2360),NA(),E1638)</f>
        <v>0</v>
      </c>
      <c r="F2360">
        <f>IF(OR(F1638="",AND(F1638=F1637,F1638=F1639)),NA(), F1638)</f>
        <v>0</v>
      </c>
      <c r="G2360">
        <f>IF(ISNA(H2360),NA(),G1638)</f>
        <v>0</v>
      </c>
      <c r="H2360">
        <f>IF(OR(H1638="",AND(H1638=H1637,H1638=H1639)),NA(), H1638)</f>
        <v>0</v>
      </c>
      <c r="K2360">
        <f>IF(ISNA(L2360),NA(),K1638)</f>
        <v>0</v>
      </c>
      <c r="L2360">
        <f>IF(OR(L1638="",AND(L1638=L1637,L1638=L1639)),NA(), L1638)</f>
        <v>0</v>
      </c>
      <c r="M2360">
        <f>IF(ISNA(N2360),NA(),M1638)</f>
        <v>0</v>
      </c>
      <c r="N2360">
        <f>IF(OR(N1638="",AND(N1638=N1637,N1638=N1639)),NA(), N1638)</f>
        <v>0</v>
      </c>
    </row>
    <row r="2361" spans="5:14">
      <c r="E2361">
        <f>IF(ISNA(F2361),NA(),E1639)</f>
        <v>0</v>
      </c>
      <c r="F2361">
        <f>IF(OR(F1639="",AND(F1639=F1638,F1639=F1640)),NA(), F1639)</f>
        <v>0</v>
      </c>
      <c r="G2361">
        <f>IF(ISNA(H2361),NA(),G1639)</f>
        <v>0</v>
      </c>
      <c r="H2361">
        <f>IF(OR(H1639="",AND(H1639=H1638,H1639=H1640)),NA(), H1639)</f>
        <v>0</v>
      </c>
      <c r="K2361">
        <f>IF(ISNA(L2361),NA(),K1639)</f>
        <v>0</v>
      </c>
      <c r="L2361">
        <f>IF(OR(L1639="",AND(L1639=L1638,L1639=L1640)),NA(), L1639)</f>
        <v>0</v>
      </c>
      <c r="M2361">
        <f>IF(ISNA(N2361),NA(),M1639)</f>
        <v>0</v>
      </c>
      <c r="N2361">
        <f>IF(OR(N1639="",AND(N1639=N1638,N1639=N1640)),NA(), N1639)</f>
        <v>0</v>
      </c>
    </row>
    <row r="2362" spans="5:14">
      <c r="E2362">
        <f>IF(ISNA(F2362),NA(),E1640)</f>
        <v>0</v>
      </c>
      <c r="F2362">
        <f>IF(OR(F1640="",AND(F1640=F1639,F1640=F1641)),NA(), F1640)</f>
        <v>0</v>
      </c>
      <c r="G2362">
        <f>IF(ISNA(H2362),NA(),G1640)</f>
        <v>0</v>
      </c>
      <c r="H2362">
        <f>IF(OR(H1640="",AND(H1640=H1639,H1640=H1641)),NA(), H1640)</f>
        <v>0</v>
      </c>
      <c r="K2362">
        <f>IF(ISNA(L2362),NA(),K1640)</f>
        <v>0</v>
      </c>
      <c r="L2362">
        <f>IF(OR(L1640="",AND(L1640=L1639,L1640=L1641)),NA(), L1640)</f>
        <v>0</v>
      </c>
      <c r="M2362">
        <f>IF(ISNA(N2362),NA(),M1640)</f>
        <v>0</v>
      </c>
      <c r="N2362">
        <f>IF(OR(N1640="",AND(N1640=N1639,N1640=N1641)),NA(), N1640)</f>
        <v>0</v>
      </c>
    </row>
    <row r="2363" spans="5:14">
      <c r="E2363">
        <f>IF(ISNA(F2363),NA(),E1641)</f>
        <v>0</v>
      </c>
      <c r="F2363">
        <f>IF(OR(F1641="",AND(F1641=F1640,F1641=F1642)),NA(), F1641)</f>
        <v>0</v>
      </c>
      <c r="G2363">
        <f>IF(ISNA(H2363),NA(),G1641)</f>
        <v>0</v>
      </c>
      <c r="H2363">
        <f>IF(OR(H1641="",AND(H1641=H1640,H1641=H1642)),NA(), H1641)</f>
        <v>0</v>
      </c>
      <c r="K2363">
        <f>IF(ISNA(L2363),NA(),K1641)</f>
        <v>0</v>
      </c>
      <c r="L2363">
        <f>IF(OR(L1641="",AND(L1641=L1640,L1641=L1642)),NA(), L1641)</f>
        <v>0</v>
      </c>
      <c r="M2363">
        <f>IF(ISNA(N2363),NA(),M1641)</f>
        <v>0</v>
      </c>
      <c r="N2363">
        <f>IF(OR(N1641="",AND(N1641=N1640,N1641=N1642)),NA(), N1641)</f>
        <v>0</v>
      </c>
    </row>
    <row r="2364" spans="5:14">
      <c r="E2364">
        <f>IF(ISNA(F2364),NA(),E1642)</f>
        <v>0</v>
      </c>
      <c r="F2364">
        <f>IF(OR(F1642="",AND(F1642=F1641,F1642=F1643)),NA(), F1642)</f>
        <v>0</v>
      </c>
      <c r="G2364">
        <f>IF(ISNA(H2364),NA(),G1642)</f>
        <v>0</v>
      </c>
      <c r="H2364">
        <f>IF(OR(H1642="",AND(H1642=H1641,H1642=H1643)),NA(), H1642)</f>
        <v>0</v>
      </c>
      <c r="K2364">
        <f>IF(ISNA(L2364),NA(),K1642)</f>
        <v>0</v>
      </c>
      <c r="L2364">
        <f>IF(OR(L1642="",AND(L1642=L1641,L1642=L1643)),NA(), L1642)</f>
        <v>0</v>
      </c>
      <c r="M2364">
        <f>IF(ISNA(N2364),NA(),M1642)</f>
        <v>0</v>
      </c>
      <c r="N2364">
        <f>IF(OR(N1642="",AND(N1642=N1641,N1642=N1643)),NA(), N1642)</f>
        <v>0</v>
      </c>
    </row>
    <row r="2365" spans="5:14">
      <c r="E2365">
        <f>IF(ISNA(F2365),NA(),E1643)</f>
        <v>0</v>
      </c>
      <c r="F2365">
        <f>IF(OR(F1643="",AND(F1643=F1642,F1643=F1644)),NA(), F1643)</f>
        <v>0</v>
      </c>
      <c r="G2365">
        <f>IF(ISNA(H2365),NA(),G1643)</f>
        <v>0</v>
      </c>
      <c r="H2365">
        <f>IF(OR(H1643="",AND(H1643=H1642,H1643=H1644)),NA(), H1643)</f>
        <v>0</v>
      </c>
      <c r="K2365">
        <f>IF(ISNA(L2365),NA(),K1643)</f>
        <v>0</v>
      </c>
      <c r="L2365">
        <f>IF(OR(L1643="",AND(L1643=L1642,L1643=L1644)),NA(), L1643)</f>
        <v>0</v>
      </c>
      <c r="M2365">
        <f>IF(ISNA(N2365),NA(),M1643)</f>
        <v>0</v>
      </c>
      <c r="N2365">
        <f>IF(OR(N1643="",AND(N1643=N1642,N1643=N1644)),NA(), N1643)</f>
        <v>0</v>
      </c>
    </row>
    <row r="2366" spans="5:14">
      <c r="E2366">
        <f>IF(ISNA(F2366),NA(),E1644)</f>
        <v>0</v>
      </c>
      <c r="F2366">
        <f>IF(OR(F1644="",AND(F1644=F1643,F1644=F1645)),NA(), F1644)</f>
        <v>0</v>
      </c>
      <c r="G2366">
        <f>IF(ISNA(H2366),NA(),G1644)</f>
        <v>0</v>
      </c>
      <c r="H2366">
        <f>IF(OR(H1644="",AND(H1644=H1643,H1644=H1645)),NA(), H1644)</f>
        <v>0</v>
      </c>
      <c r="K2366">
        <f>IF(ISNA(L2366),NA(),K1644)</f>
        <v>0</v>
      </c>
      <c r="L2366">
        <f>IF(OR(L1644="",AND(L1644=L1643,L1644=L1645)),NA(), L1644)</f>
        <v>0</v>
      </c>
      <c r="M2366">
        <f>IF(ISNA(N2366),NA(),M1644)</f>
        <v>0</v>
      </c>
      <c r="N2366">
        <f>IF(OR(N1644="",AND(N1644=N1643,N1644=N1645)),NA(), N1644)</f>
        <v>0</v>
      </c>
    </row>
    <row r="2367" spans="5:14">
      <c r="E2367">
        <f>IF(ISNA(F2367),NA(),E1645)</f>
        <v>0</v>
      </c>
      <c r="F2367">
        <f>IF(OR(F1645="",AND(F1645=F1644,F1645=F1646)),NA(), F1645)</f>
        <v>0</v>
      </c>
      <c r="G2367">
        <f>IF(ISNA(H2367),NA(),G1645)</f>
        <v>0</v>
      </c>
      <c r="H2367">
        <f>IF(OR(H1645="",AND(H1645=H1644,H1645=H1646)),NA(), H1645)</f>
        <v>0</v>
      </c>
      <c r="K2367">
        <f>IF(ISNA(L2367),NA(),K1645)</f>
        <v>0</v>
      </c>
      <c r="L2367">
        <f>IF(OR(L1645="",AND(L1645=L1644,L1645=L1646)),NA(), L1645)</f>
        <v>0</v>
      </c>
      <c r="M2367">
        <f>IF(ISNA(N2367),NA(),M1645)</f>
        <v>0</v>
      </c>
      <c r="N2367">
        <f>IF(OR(N1645="",AND(N1645=N1644,N1645=N1646)),NA(), N1645)</f>
        <v>0</v>
      </c>
    </row>
    <row r="2368" spans="5:14">
      <c r="E2368">
        <f>IF(ISNA(F2368),NA(),E1646)</f>
        <v>0</v>
      </c>
      <c r="F2368">
        <f>IF(OR(F1646="",AND(F1646=F1645,F1646=F1647)),NA(), F1646)</f>
        <v>0</v>
      </c>
      <c r="G2368">
        <f>IF(ISNA(H2368),NA(),G1646)</f>
        <v>0</v>
      </c>
      <c r="H2368">
        <f>IF(OR(H1646="",AND(H1646=H1645,H1646=H1647)),NA(), H1646)</f>
        <v>0</v>
      </c>
      <c r="K2368">
        <f>IF(ISNA(L2368),NA(),K1646)</f>
        <v>0</v>
      </c>
      <c r="L2368">
        <f>IF(OR(L1646="",AND(L1646=L1645,L1646=L1647)),NA(), L1646)</f>
        <v>0</v>
      </c>
      <c r="M2368">
        <f>IF(ISNA(N2368),NA(),M1646)</f>
        <v>0</v>
      </c>
      <c r="N2368">
        <f>IF(OR(N1646="",AND(N1646=N1645,N1646=N1647)),NA(), N1646)</f>
        <v>0</v>
      </c>
    </row>
    <row r="2369" spans="5:14">
      <c r="E2369">
        <f>IF(ISNA(F2369),NA(),E1647)</f>
        <v>0</v>
      </c>
      <c r="F2369">
        <f>IF(OR(F1647="",AND(F1647=F1646,F1647=F1648)),NA(), F1647)</f>
        <v>0</v>
      </c>
      <c r="G2369">
        <f>IF(ISNA(H2369),NA(),G1647)</f>
        <v>0</v>
      </c>
      <c r="H2369">
        <f>IF(OR(H1647="",AND(H1647=H1646,H1647=H1648)),NA(), H1647)</f>
        <v>0</v>
      </c>
      <c r="K2369">
        <f>IF(ISNA(L2369),NA(),K1647)</f>
        <v>0</v>
      </c>
      <c r="L2369">
        <f>IF(OR(L1647="",AND(L1647=L1646,L1647=L1648)),NA(), L1647)</f>
        <v>0</v>
      </c>
      <c r="M2369">
        <f>IF(ISNA(N2369),NA(),M1647)</f>
        <v>0</v>
      </c>
      <c r="N2369">
        <f>IF(OR(N1647="",AND(N1647=N1646,N1647=N1648)),NA(), N1647)</f>
        <v>0</v>
      </c>
    </row>
    <row r="2370" spans="5:14">
      <c r="E2370">
        <f>IF(ISNA(F2370),NA(),E1648)</f>
        <v>0</v>
      </c>
      <c r="F2370">
        <f>IF(OR(F1648="",AND(F1648=F1647,F1648=F1649)),NA(), F1648)</f>
        <v>0</v>
      </c>
      <c r="G2370">
        <f>IF(ISNA(H2370),NA(),G1648)</f>
        <v>0</v>
      </c>
      <c r="H2370">
        <f>IF(OR(H1648="",AND(H1648=H1647,H1648=H1649)),NA(), H1648)</f>
        <v>0</v>
      </c>
      <c r="K2370">
        <f>IF(ISNA(L2370),NA(),K1648)</f>
        <v>0</v>
      </c>
      <c r="L2370">
        <f>IF(OR(L1648="",AND(L1648=L1647,L1648=L1649)),NA(), L1648)</f>
        <v>0</v>
      </c>
      <c r="M2370">
        <f>IF(ISNA(N2370),NA(),M1648)</f>
        <v>0</v>
      </c>
      <c r="N2370">
        <f>IF(OR(N1648="",AND(N1648=N1647,N1648=N1649)),NA(), N1648)</f>
        <v>0</v>
      </c>
    </row>
    <row r="2371" spans="5:14">
      <c r="E2371">
        <f>IF(ISNA(F2371),NA(),E1649)</f>
        <v>0</v>
      </c>
      <c r="F2371">
        <f>IF(OR(F1649="",AND(F1649=F1648,F1649=F1650)),NA(), F1649)</f>
        <v>0</v>
      </c>
      <c r="G2371">
        <f>IF(ISNA(H2371),NA(),G1649)</f>
        <v>0</v>
      </c>
      <c r="H2371">
        <f>IF(OR(H1649="",AND(H1649=H1648,H1649=H1650)),NA(), H1649)</f>
        <v>0</v>
      </c>
      <c r="K2371">
        <f>IF(ISNA(L2371),NA(),K1649)</f>
        <v>0</v>
      </c>
      <c r="L2371">
        <f>IF(OR(L1649="",AND(L1649=L1648,L1649=L1650)),NA(), L1649)</f>
        <v>0</v>
      </c>
      <c r="M2371">
        <f>IF(ISNA(N2371),NA(),M1649)</f>
        <v>0</v>
      </c>
      <c r="N2371">
        <f>IF(OR(N1649="",AND(N1649=N1648,N1649=N1650)),NA(), N1649)</f>
        <v>0</v>
      </c>
    </row>
    <row r="2372" spans="5:14">
      <c r="E2372">
        <f>IF(ISNA(F2372),NA(),E1650)</f>
        <v>0</v>
      </c>
      <c r="F2372">
        <f>IF(OR(F1650="",AND(F1650=F1649,F1650=F1651)),NA(), F1650)</f>
        <v>0</v>
      </c>
      <c r="G2372">
        <f>IF(ISNA(H2372),NA(),G1650)</f>
        <v>0</v>
      </c>
      <c r="H2372">
        <f>IF(OR(H1650="",AND(H1650=H1649,H1650=H1651)),NA(), H1650)</f>
        <v>0</v>
      </c>
      <c r="K2372">
        <f>IF(ISNA(L2372),NA(),K1650)</f>
        <v>0</v>
      </c>
      <c r="L2372">
        <f>IF(OR(L1650="",AND(L1650=L1649,L1650=L1651)),NA(), L1650)</f>
        <v>0</v>
      </c>
      <c r="M2372">
        <f>IF(ISNA(N2372),NA(),M1650)</f>
        <v>0</v>
      </c>
      <c r="N2372">
        <f>IF(OR(N1650="",AND(N1650=N1649,N1650=N1651)),NA(), N1650)</f>
        <v>0</v>
      </c>
    </row>
    <row r="2373" spans="5:14">
      <c r="E2373">
        <f>IF(ISNA(F2373),NA(),E1651)</f>
        <v>0</v>
      </c>
      <c r="F2373">
        <f>IF(OR(F1651="",AND(F1651=F1650,F1651=F1652)),NA(), F1651)</f>
        <v>0</v>
      </c>
      <c r="G2373">
        <f>IF(ISNA(H2373),NA(),G1651)</f>
        <v>0</v>
      </c>
      <c r="H2373">
        <f>IF(OR(H1651="",AND(H1651=H1650,H1651=H1652)),NA(), H1651)</f>
        <v>0</v>
      </c>
      <c r="K2373">
        <f>IF(ISNA(L2373),NA(),K1651)</f>
        <v>0</v>
      </c>
      <c r="L2373">
        <f>IF(OR(L1651="",AND(L1651=L1650,L1651=L1652)),NA(), L1651)</f>
        <v>0</v>
      </c>
      <c r="M2373">
        <f>IF(ISNA(N2373),NA(),M1651)</f>
        <v>0</v>
      </c>
      <c r="N2373">
        <f>IF(OR(N1651="",AND(N1651=N1650,N1651=N1652)),NA(), N1651)</f>
        <v>0</v>
      </c>
    </row>
    <row r="2374" spans="5:14">
      <c r="E2374">
        <f>IF(ISNA(F2374),NA(),E1652)</f>
        <v>0</v>
      </c>
      <c r="F2374">
        <f>IF(OR(F1652="",AND(F1652=F1651,F1652=F1653)),NA(), F1652)</f>
        <v>0</v>
      </c>
      <c r="G2374">
        <f>IF(ISNA(H2374),NA(),G1652)</f>
        <v>0</v>
      </c>
      <c r="H2374">
        <f>IF(OR(H1652="",AND(H1652=H1651,H1652=H1653)),NA(), H1652)</f>
        <v>0</v>
      </c>
      <c r="K2374">
        <f>IF(ISNA(L2374),NA(),K1652)</f>
        <v>0</v>
      </c>
      <c r="L2374">
        <f>IF(OR(L1652="",AND(L1652=L1651,L1652=L1653)),NA(), L1652)</f>
        <v>0</v>
      </c>
      <c r="M2374">
        <f>IF(ISNA(N2374),NA(),M1652)</f>
        <v>0</v>
      </c>
      <c r="N2374">
        <f>IF(OR(N1652="",AND(N1652=N1651,N1652=N1653)),NA(), N1652)</f>
        <v>0</v>
      </c>
    </row>
    <row r="2375" spans="5:14">
      <c r="E2375">
        <f>IF(ISNA(F2375),NA(),E1653)</f>
        <v>0</v>
      </c>
      <c r="F2375">
        <f>IF(OR(F1653="",AND(F1653=F1652,F1653=F1654)),NA(), F1653)</f>
        <v>0</v>
      </c>
      <c r="G2375">
        <f>IF(ISNA(H2375),NA(),G1653)</f>
        <v>0</v>
      </c>
      <c r="H2375">
        <f>IF(OR(H1653="",AND(H1653=H1652,H1653=H1654)),NA(), H1653)</f>
        <v>0</v>
      </c>
      <c r="K2375">
        <f>IF(ISNA(L2375),NA(),K1653)</f>
        <v>0</v>
      </c>
      <c r="L2375">
        <f>IF(OR(L1653="",AND(L1653=L1652,L1653=L1654)),NA(), L1653)</f>
        <v>0</v>
      </c>
      <c r="M2375">
        <f>IF(ISNA(N2375),NA(),M1653)</f>
        <v>0</v>
      </c>
      <c r="N2375">
        <f>IF(OR(N1653="",AND(N1653=N1652,N1653=N1654)),NA(), N1653)</f>
        <v>0</v>
      </c>
    </row>
    <row r="2376" spans="5:14">
      <c r="E2376">
        <f>IF(ISNA(F2376),NA(),E1654)</f>
        <v>0</v>
      </c>
      <c r="F2376">
        <f>IF(OR(F1654="",AND(F1654=F1653,F1654=F1655)),NA(), F1654)</f>
        <v>0</v>
      </c>
      <c r="G2376">
        <f>IF(ISNA(H2376),NA(),G1654)</f>
        <v>0</v>
      </c>
      <c r="H2376">
        <f>IF(OR(H1654="",AND(H1654=H1653,H1654=H1655)),NA(), H1654)</f>
        <v>0</v>
      </c>
      <c r="K2376">
        <f>IF(ISNA(L2376),NA(),K1654)</f>
        <v>0</v>
      </c>
      <c r="L2376">
        <f>IF(OR(L1654="",AND(L1654=L1653,L1654=L1655)),NA(), L1654)</f>
        <v>0</v>
      </c>
      <c r="M2376">
        <f>IF(ISNA(N2376),NA(),M1654)</f>
        <v>0</v>
      </c>
      <c r="N2376">
        <f>IF(OR(N1654="",AND(N1654=N1653,N1654=N1655)),NA(), N1654)</f>
        <v>0</v>
      </c>
    </row>
    <row r="2377" spans="5:14">
      <c r="E2377">
        <f>IF(ISNA(F2377),NA(),E1655)</f>
        <v>0</v>
      </c>
      <c r="F2377">
        <f>IF(OR(F1655="",AND(F1655=F1654,F1655=F1656)),NA(), F1655)</f>
        <v>0</v>
      </c>
      <c r="G2377">
        <f>IF(ISNA(H2377),NA(),G1655)</f>
        <v>0</v>
      </c>
      <c r="H2377">
        <f>IF(OR(H1655="",AND(H1655=H1654,H1655=H1656)),NA(), H1655)</f>
        <v>0</v>
      </c>
      <c r="K2377">
        <f>IF(ISNA(L2377),NA(),K1655)</f>
        <v>0</v>
      </c>
      <c r="L2377">
        <f>IF(OR(L1655="",AND(L1655=L1654,L1655=L1656)),NA(), L1655)</f>
        <v>0</v>
      </c>
      <c r="M2377">
        <f>IF(ISNA(N2377),NA(),M1655)</f>
        <v>0</v>
      </c>
      <c r="N2377">
        <f>IF(OR(N1655="",AND(N1655=N1654,N1655=N1656)),NA(), N1655)</f>
        <v>0</v>
      </c>
    </row>
    <row r="2378" spans="5:14">
      <c r="E2378">
        <f>IF(ISNA(F2378),NA(),E1656)</f>
        <v>0</v>
      </c>
      <c r="F2378">
        <f>IF(OR(F1656="",AND(F1656=F1655,F1656=F1657)),NA(), F1656)</f>
        <v>0</v>
      </c>
      <c r="G2378">
        <f>IF(ISNA(H2378),NA(),G1656)</f>
        <v>0</v>
      </c>
      <c r="H2378">
        <f>IF(OR(H1656="",AND(H1656=H1655,H1656=H1657)),NA(), H1656)</f>
        <v>0</v>
      </c>
      <c r="K2378">
        <f>IF(ISNA(L2378),NA(),K1656)</f>
        <v>0</v>
      </c>
      <c r="L2378">
        <f>IF(OR(L1656="",AND(L1656=L1655,L1656=L1657)),NA(), L1656)</f>
        <v>0</v>
      </c>
      <c r="M2378">
        <f>IF(ISNA(N2378),NA(),M1656)</f>
        <v>0</v>
      </c>
      <c r="N2378">
        <f>IF(OR(N1656="",AND(N1656=N1655,N1656=N1657)),NA(), N1656)</f>
        <v>0</v>
      </c>
    </row>
    <row r="2379" spans="5:14">
      <c r="E2379">
        <f>IF(ISNA(F2379),NA(),E1657)</f>
        <v>0</v>
      </c>
      <c r="F2379">
        <f>IF(OR(F1657="",AND(F1657=F1656,F1657=F1658)),NA(), F1657)</f>
        <v>0</v>
      </c>
      <c r="G2379">
        <f>IF(ISNA(H2379),NA(),G1657)</f>
        <v>0</v>
      </c>
      <c r="H2379">
        <f>IF(OR(H1657="",AND(H1657=H1656,H1657=H1658)),NA(), H1657)</f>
        <v>0</v>
      </c>
      <c r="K2379">
        <f>IF(ISNA(L2379),NA(),K1657)</f>
        <v>0</v>
      </c>
      <c r="L2379">
        <f>IF(OR(L1657="",AND(L1657=L1656,L1657=L1658)),NA(), L1657)</f>
        <v>0</v>
      </c>
      <c r="M2379">
        <f>IF(ISNA(N2379),NA(),M1657)</f>
        <v>0</v>
      </c>
      <c r="N2379">
        <f>IF(OR(N1657="",AND(N1657=N1656,N1657=N1658)),NA(), N1657)</f>
        <v>0</v>
      </c>
    </row>
    <row r="2380" spans="5:14">
      <c r="E2380">
        <f>IF(ISNA(F2380),NA(),E1658)</f>
        <v>0</v>
      </c>
      <c r="F2380">
        <f>IF(OR(F1658="",AND(F1658=F1657,F1658=F1659)),NA(), F1658)</f>
        <v>0</v>
      </c>
      <c r="G2380">
        <f>IF(ISNA(H2380),NA(),G1658)</f>
        <v>0</v>
      </c>
      <c r="H2380">
        <f>IF(OR(H1658="",AND(H1658=H1657,H1658=H1659)),NA(), H1658)</f>
        <v>0</v>
      </c>
      <c r="K2380">
        <f>IF(ISNA(L2380),NA(),K1658)</f>
        <v>0</v>
      </c>
      <c r="L2380">
        <f>IF(OR(L1658="",AND(L1658=L1657,L1658=L1659)),NA(), L1658)</f>
        <v>0</v>
      </c>
      <c r="M2380">
        <f>IF(ISNA(N2380),NA(),M1658)</f>
        <v>0</v>
      </c>
      <c r="N2380">
        <f>IF(OR(N1658="",AND(N1658=N1657,N1658=N1659)),NA(), N1658)</f>
        <v>0</v>
      </c>
    </row>
    <row r="2381" spans="5:14">
      <c r="E2381">
        <f>IF(ISNA(F2381),NA(),E1659)</f>
        <v>0</v>
      </c>
      <c r="F2381">
        <f>IF(OR(F1659="",AND(F1659=F1658,F1659=F1660)),NA(), F1659)</f>
        <v>0</v>
      </c>
      <c r="G2381">
        <f>IF(ISNA(H2381),NA(),G1659)</f>
        <v>0</v>
      </c>
      <c r="H2381">
        <f>IF(OR(H1659="",AND(H1659=H1658,H1659=H1660)),NA(), H1659)</f>
        <v>0</v>
      </c>
      <c r="K2381">
        <f>IF(ISNA(L2381),NA(),K1659)</f>
        <v>0</v>
      </c>
      <c r="L2381">
        <f>IF(OR(L1659="",AND(L1659=L1658,L1659=L1660)),NA(), L1659)</f>
        <v>0</v>
      </c>
      <c r="M2381">
        <f>IF(ISNA(N2381),NA(),M1659)</f>
        <v>0</v>
      </c>
      <c r="N2381">
        <f>IF(OR(N1659="",AND(N1659=N1658,N1659=N1660)),NA(), N1659)</f>
        <v>0</v>
      </c>
    </row>
    <row r="2382" spans="5:14">
      <c r="E2382">
        <f>IF(ISNA(F2382),NA(),E1660)</f>
        <v>0</v>
      </c>
      <c r="F2382">
        <f>IF(OR(F1660="",AND(F1660=F1659,F1660=F1661)),NA(), F1660)</f>
        <v>0</v>
      </c>
      <c r="G2382">
        <f>IF(ISNA(H2382),NA(),G1660)</f>
        <v>0</v>
      </c>
      <c r="H2382">
        <f>IF(OR(H1660="",AND(H1660=H1659,H1660=H1661)),NA(), H1660)</f>
        <v>0</v>
      </c>
      <c r="K2382">
        <f>IF(ISNA(L2382),NA(),K1660)</f>
        <v>0</v>
      </c>
      <c r="L2382">
        <f>IF(OR(L1660="",AND(L1660=L1659,L1660=L1661)),NA(), L1660)</f>
        <v>0</v>
      </c>
      <c r="M2382">
        <f>IF(ISNA(N2382),NA(),M1660)</f>
        <v>0</v>
      </c>
      <c r="N2382">
        <f>IF(OR(N1660="",AND(N1660=N1659,N1660=N1661)),NA(), N1660)</f>
        <v>0</v>
      </c>
    </row>
    <row r="2383" spans="5:14">
      <c r="E2383">
        <f>IF(ISNA(F2383),NA(),E1661)</f>
        <v>0</v>
      </c>
      <c r="F2383">
        <f>IF(OR(F1661="",AND(F1661=F1660,F1661=F1662)),NA(), F1661)</f>
        <v>0</v>
      </c>
      <c r="G2383">
        <f>IF(ISNA(H2383),NA(),G1661)</f>
        <v>0</v>
      </c>
      <c r="H2383">
        <f>IF(OR(H1661="",AND(H1661=H1660,H1661=H1662)),NA(), H1661)</f>
        <v>0</v>
      </c>
      <c r="K2383">
        <f>IF(ISNA(L2383),NA(),K1661)</f>
        <v>0</v>
      </c>
      <c r="L2383">
        <f>IF(OR(L1661="",AND(L1661=L1660,L1661=L1662)),NA(), L1661)</f>
        <v>0</v>
      </c>
      <c r="M2383">
        <f>IF(ISNA(N2383),NA(),M1661)</f>
        <v>0</v>
      </c>
      <c r="N2383">
        <f>IF(OR(N1661="",AND(N1661=N1660,N1661=N1662)),NA(), N1661)</f>
        <v>0</v>
      </c>
    </row>
    <row r="2384" spans="5:14">
      <c r="E2384">
        <f>IF(ISNA(F2384),NA(),E1662)</f>
        <v>0</v>
      </c>
      <c r="F2384">
        <f>IF(OR(F1662="",AND(F1662=F1661,F1662=F1663)),NA(), F1662)</f>
        <v>0</v>
      </c>
      <c r="G2384">
        <f>IF(ISNA(H2384),NA(),G1662)</f>
        <v>0</v>
      </c>
      <c r="H2384">
        <f>IF(OR(H1662="",AND(H1662=H1661,H1662=H1663)),NA(), H1662)</f>
        <v>0</v>
      </c>
      <c r="K2384">
        <f>IF(ISNA(L2384),NA(),K1662)</f>
        <v>0</v>
      </c>
      <c r="L2384">
        <f>IF(OR(L1662="",AND(L1662=L1661,L1662=L1663)),NA(), L1662)</f>
        <v>0</v>
      </c>
      <c r="M2384">
        <f>IF(ISNA(N2384),NA(),M1662)</f>
        <v>0</v>
      </c>
      <c r="N2384">
        <f>IF(OR(N1662="",AND(N1662=N1661,N1662=N1663)),NA(), N1662)</f>
        <v>0</v>
      </c>
    </row>
    <row r="2385" spans="5:14">
      <c r="E2385">
        <f>IF(ISNA(F2385),NA(),E1663)</f>
        <v>0</v>
      </c>
      <c r="F2385">
        <f>IF(OR(F1663="",AND(F1663=F1662,F1663=F1664)),NA(), F1663)</f>
        <v>0</v>
      </c>
      <c r="G2385">
        <f>IF(ISNA(H2385),NA(),G1663)</f>
        <v>0</v>
      </c>
      <c r="H2385">
        <f>IF(OR(H1663="",AND(H1663=H1662,H1663=H1664)),NA(), H1663)</f>
        <v>0</v>
      </c>
      <c r="K2385">
        <f>IF(ISNA(L2385),NA(),K1663)</f>
        <v>0</v>
      </c>
      <c r="L2385">
        <f>IF(OR(L1663="",AND(L1663=L1662,L1663=L1664)),NA(), L1663)</f>
        <v>0</v>
      </c>
      <c r="M2385">
        <f>IF(ISNA(N2385),NA(),M1663)</f>
        <v>0</v>
      </c>
      <c r="N2385">
        <f>IF(OR(N1663="",AND(N1663=N1662,N1663=N1664)),NA(), N1663)</f>
        <v>0</v>
      </c>
    </row>
    <row r="2386" spans="5:14">
      <c r="E2386">
        <f>IF(ISNA(F2386),NA(),E1664)</f>
        <v>0</v>
      </c>
      <c r="F2386">
        <f>IF(OR(F1664="",AND(F1664=F1663,F1664=F1665)),NA(), F1664)</f>
        <v>0</v>
      </c>
      <c r="G2386">
        <f>IF(ISNA(H2386),NA(),G1664)</f>
        <v>0</v>
      </c>
      <c r="H2386">
        <f>IF(OR(H1664="",AND(H1664=H1663,H1664=H1665)),NA(), H1664)</f>
        <v>0</v>
      </c>
      <c r="K2386">
        <f>IF(ISNA(L2386),NA(),K1664)</f>
        <v>0</v>
      </c>
      <c r="L2386">
        <f>IF(OR(L1664="",AND(L1664=L1663,L1664=L1665)),NA(), L1664)</f>
        <v>0</v>
      </c>
      <c r="M2386">
        <f>IF(ISNA(N2386),NA(),M1664)</f>
        <v>0</v>
      </c>
      <c r="N2386">
        <f>IF(OR(N1664="",AND(N1664=N1663,N1664=N1665)),NA(), N1664)</f>
        <v>0</v>
      </c>
    </row>
    <row r="2387" spans="5:14">
      <c r="E2387">
        <f>IF(ISNA(F2387),NA(),E1665)</f>
        <v>0</v>
      </c>
      <c r="F2387">
        <f>IF(OR(F1665="",AND(F1665=F1664,F1665=F1666)),NA(), F1665)</f>
        <v>0</v>
      </c>
      <c r="G2387">
        <f>IF(ISNA(H2387),NA(),G1665)</f>
        <v>0</v>
      </c>
      <c r="H2387">
        <f>IF(OR(H1665="",AND(H1665=H1664,H1665=H1666)),NA(), H1665)</f>
        <v>0</v>
      </c>
      <c r="K2387">
        <f>IF(ISNA(L2387),NA(),K1665)</f>
        <v>0</v>
      </c>
      <c r="L2387">
        <f>IF(OR(L1665="",AND(L1665=L1664,L1665=L1666)),NA(), L1665)</f>
        <v>0</v>
      </c>
      <c r="M2387">
        <f>IF(ISNA(N2387),NA(),M1665)</f>
        <v>0</v>
      </c>
      <c r="N2387">
        <f>IF(OR(N1665="",AND(N1665=N1664,N1665=N1666)),NA(), N1665)</f>
        <v>0</v>
      </c>
    </row>
    <row r="2388" spans="5:14">
      <c r="E2388">
        <f>IF(ISNA(F2388),NA(),E1666)</f>
        <v>0</v>
      </c>
      <c r="F2388">
        <f>IF(OR(F1666="",AND(F1666=F1665,F1666=F1667)),NA(), F1666)</f>
        <v>0</v>
      </c>
      <c r="G2388">
        <f>IF(ISNA(H2388),NA(),G1666)</f>
        <v>0</v>
      </c>
      <c r="H2388">
        <f>IF(OR(H1666="",AND(H1666=H1665,H1666=H1667)),NA(), H1666)</f>
        <v>0</v>
      </c>
      <c r="K2388">
        <f>IF(ISNA(L2388),NA(),K1666)</f>
        <v>0</v>
      </c>
      <c r="L2388">
        <f>IF(OR(L1666="",AND(L1666=L1665,L1666=L1667)),NA(), L1666)</f>
        <v>0</v>
      </c>
      <c r="M2388">
        <f>IF(ISNA(N2388),NA(),M1666)</f>
        <v>0</v>
      </c>
      <c r="N2388">
        <f>IF(OR(N1666="",AND(N1666=N1665,N1666=N1667)),NA(), N1666)</f>
        <v>0</v>
      </c>
    </row>
    <row r="2389" spans="5:14">
      <c r="E2389">
        <f>IF(ISNA(F2389),NA(),E1667)</f>
        <v>0</v>
      </c>
      <c r="F2389">
        <f>IF(OR(F1667="",AND(F1667=F1666,F1667=F1668)),NA(), F1667)</f>
        <v>0</v>
      </c>
      <c r="G2389">
        <f>IF(ISNA(H2389),NA(),G1667)</f>
        <v>0</v>
      </c>
      <c r="H2389">
        <f>IF(OR(H1667="",AND(H1667=H1666,H1667=H1668)),NA(), H1667)</f>
        <v>0</v>
      </c>
      <c r="K2389">
        <f>IF(ISNA(L2389),NA(),K1667)</f>
        <v>0</v>
      </c>
      <c r="L2389">
        <f>IF(OR(L1667="",AND(L1667=L1666,L1667=L1668)),NA(), L1667)</f>
        <v>0</v>
      </c>
      <c r="M2389">
        <f>IF(ISNA(N2389),NA(),M1667)</f>
        <v>0</v>
      </c>
      <c r="N2389">
        <f>IF(OR(N1667="",AND(N1667=N1666,N1667=N1668)),NA(), N1667)</f>
        <v>0</v>
      </c>
    </row>
    <row r="2390" spans="5:14">
      <c r="E2390">
        <f>IF(ISNA(F2390),NA(),E1668)</f>
        <v>0</v>
      </c>
      <c r="F2390">
        <f>IF(OR(F1668="",AND(F1668=F1667,F1668=F1669)),NA(), F1668)</f>
        <v>0</v>
      </c>
      <c r="G2390">
        <f>IF(ISNA(H2390),NA(),G1668)</f>
        <v>0</v>
      </c>
      <c r="H2390">
        <f>IF(OR(H1668="",AND(H1668=H1667,H1668=H1669)),NA(), H1668)</f>
        <v>0</v>
      </c>
      <c r="K2390">
        <f>IF(ISNA(L2390),NA(),K1668)</f>
        <v>0</v>
      </c>
      <c r="L2390">
        <f>IF(OR(L1668="",AND(L1668=L1667,L1668=L1669)),NA(), L1668)</f>
        <v>0</v>
      </c>
      <c r="M2390">
        <f>IF(ISNA(N2390),NA(),M1668)</f>
        <v>0</v>
      </c>
      <c r="N2390">
        <f>IF(OR(N1668="",AND(N1668=N1667,N1668=N1669)),NA(), N1668)</f>
        <v>0</v>
      </c>
    </row>
    <row r="2391" spans="5:14">
      <c r="E2391">
        <f>IF(ISNA(F2391),NA(),E1669)</f>
        <v>0</v>
      </c>
      <c r="F2391">
        <f>IF(OR(F1669="",AND(F1669=F1668,F1669=F1670)),NA(), F1669)</f>
        <v>0</v>
      </c>
      <c r="G2391">
        <f>IF(ISNA(H2391),NA(),G1669)</f>
        <v>0</v>
      </c>
      <c r="H2391">
        <f>IF(OR(H1669="",AND(H1669=H1668,H1669=H1670)),NA(), H1669)</f>
        <v>0</v>
      </c>
      <c r="K2391">
        <f>IF(ISNA(L2391),NA(),K1669)</f>
        <v>0</v>
      </c>
      <c r="L2391">
        <f>IF(OR(L1669="",AND(L1669=L1668,L1669=L1670)),NA(), L1669)</f>
        <v>0</v>
      </c>
      <c r="M2391">
        <f>IF(ISNA(N2391),NA(),M1669)</f>
        <v>0</v>
      </c>
      <c r="N2391">
        <f>IF(OR(N1669="",AND(N1669=N1668,N1669=N1670)),NA(), N1669)</f>
        <v>0</v>
      </c>
    </row>
    <row r="2392" spans="5:14">
      <c r="E2392">
        <f>IF(ISNA(F2392),NA(),E1670)</f>
        <v>0</v>
      </c>
      <c r="F2392">
        <f>IF(OR(F1670="",AND(F1670=F1669,F1670=F1671)),NA(), F1670)</f>
        <v>0</v>
      </c>
      <c r="G2392">
        <f>IF(ISNA(H2392),NA(),G1670)</f>
        <v>0</v>
      </c>
      <c r="H2392">
        <f>IF(OR(H1670="",AND(H1670=H1669,H1670=H1671)),NA(), H1670)</f>
        <v>0</v>
      </c>
      <c r="K2392">
        <f>IF(ISNA(L2392),NA(),K1670)</f>
        <v>0</v>
      </c>
      <c r="L2392">
        <f>IF(OR(L1670="",AND(L1670=L1669,L1670=L1671)),NA(), L1670)</f>
        <v>0</v>
      </c>
      <c r="M2392">
        <f>IF(ISNA(N2392),NA(),M1670)</f>
        <v>0</v>
      </c>
      <c r="N2392">
        <f>IF(OR(N1670="",AND(N1670=N1669,N1670=N1671)),NA(), N1670)</f>
        <v>0</v>
      </c>
    </row>
    <row r="2393" spans="5:14">
      <c r="E2393">
        <f>IF(ISNA(F2393),NA(),E1671)</f>
        <v>0</v>
      </c>
      <c r="F2393">
        <f>IF(OR(F1671="",AND(F1671=F1670,F1671=F1672)),NA(), F1671)</f>
        <v>0</v>
      </c>
      <c r="G2393">
        <f>IF(ISNA(H2393),NA(),G1671)</f>
        <v>0</v>
      </c>
      <c r="H2393">
        <f>IF(OR(H1671="",AND(H1671=H1670,H1671=H1672)),NA(), H1671)</f>
        <v>0</v>
      </c>
      <c r="K2393">
        <f>IF(ISNA(L2393),NA(),K1671)</f>
        <v>0</v>
      </c>
      <c r="L2393">
        <f>IF(OR(L1671="",AND(L1671=L1670,L1671=L1672)),NA(), L1671)</f>
        <v>0</v>
      </c>
      <c r="M2393">
        <f>IF(ISNA(N2393),NA(),M1671)</f>
        <v>0</v>
      </c>
      <c r="N2393">
        <f>IF(OR(N1671="",AND(N1671=N1670,N1671=N1672)),NA(), N1671)</f>
        <v>0</v>
      </c>
    </row>
    <row r="2394" spans="5:14">
      <c r="E2394">
        <f>IF(ISNA(F2394),NA(),E1672)</f>
        <v>0</v>
      </c>
      <c r="F2394">
        <f>IF(OR(F1672="",AND(F1672=F1671,F1672=F1673)),NA(), F1672)</f>
        <v>0</v>
      </c>
      <c r="G2394">
        <f>IF(ISNA(H2394),NA(),G1672)</f>
        <v>0</v>
      </c>
      <c r="H2394">
        <f>IF(OR(H1672="",AND(H1672=H1671,H1672=H1673)),NA(), H1672)</f>
        <v>0</v>
      </c>
      <c r="K2394">
        <f>IF(ISNA(L2394),NA(),K1672)</f>
        <v>0</v>
      </c>
      <c r="L2394">
        <f>IF(OR(L1672="",AND(L1672=L1671,L1672=L1673)),NA(), L1672)</f>
        <v>0</v>
      </c>
      <c r="M2394">
        <f>IF(ISNA(N2394),NA(),M1672)</f>
        <v>0</v>
      </c>
      <c r="N2394">
        <f>IF(OR(N1672="",AND(N1672=N1671,N1672=N1673)),NA(), N1672)</f>
        <v>0</v>
      </c>
    </row>
    <row r="2395" spans="5:14">
      <c r="E2395">
        <f>IF(ISNA(F2395),NA(),E1673)</f>
        <v>0</v>
      </c>
      <c r="F2395">
        <f>IF(OR(F1673="",AND(F1673=F1672,F1673=F1674)),NA(), F1673)</f>
        <v>0</v>
      </c>
      <c r="G2395">
        <f>IF(ISNA(H2395),NA(),G1673)</f>
        <v>0</v>
      </c>
      <c r="H2395">
        <f>IF(OR(H1673="",AND(H1673=H1672,H1673=H1674)),NA(), H1673)</f>
        <v>0</v>
      </c>
      <c r="K2395">
        <f>IF(ISNA(L2395),NA(),K1673)</f>
        <v>0</v>
      </c>
      <c r="L2395">
        <f>IF(OR(L1673="",AND(L1673=L1672,L1673=L1674)),NA(), L1673)</f>
        <v>0</v>
      </c>
      <c r="M2395">
        <f>IF(ISNA(N2395),NA(),M1673)</f>
        <v>0</v>
      </c>
      <c r="N2395">
        <f>IF(OR(N1673="",AND(N1673=N1672,N1673=N1674)),NA(), N1673)</f>
        <v>0</v>
      </c>
    </row>
    <row r="2396" spans="5:14">
      <c r="E2396">
        <f>IF(ISNA(F2396),NA(),E1674)</f>
        <v>0</v>
      </c>
      <c r="F2396">
        <f>IF(OR(F1674="",AND(F1674=F1673,F1674=F1675)),NA(), F1674)</f>
        <v>0</v>
      </c>
      <c r="G2396">
        <f>IF(ISNA(H2396),NA(),G1674)</f>
        <v>0</v>
      </c>
      <c r="H2396">
        <f>IF(OR(H1674="",AND(H1674=H1673,H1674=H1675)),NA(), H1674)</f>
        <v>0</v>
      </c>
      <c r="K2396">
        <f>IF(ISNA(L2396),NA(),K1674)</f>
        <v>0</v>
      </c>
      <c r="L2396">
        <f>IF(OR(L1674="",AND(L1674=L1673,L1674=L1675)),NA(), L1674)</f>
        <v>0</v>
      </c>
      <c r="M2396">
        <f>IF(ISNA(N2396),NA(),M1674)</f>
        <v>0</v>
      </c>
      <c r="N2396">
        <f>IF(OR(N1674="",AND(N1674=N1673,N1674=N1675)),NA(), N1674)</f>
        <v>0</v>
      </c>
    </row>
    <row r="2397" spans="5:14">
      <c r="E2397">
        <f>IF(ISNA(F2397),NA(),E1675)</f>
        <v>0</v>
      </c>
      <c r="F2397">
        <f>IF(OR(F1675="",AND(F1675=F1674,F1675=F1676)),NA(), F1675)</f>
        <v>0</v>
      </c>
      <c r="G2397">
        <f>IF(ISNA(H2397),NA(),G1675)</f>
        <v>0</v>
      </c>
      <c r="H2397">
        <f>IF(OR(H1675="",AND(H1675=H1674,H1675=H1676)),NA(), H1675)</f>
        <v>0</v>
      </c>
      <c r="K2397">
        <f>IF(ISNA(L2397),NA(),K1675)</f>
        <v>0</v>
      </c>
      <c r="L2397">
        <f>IF(OR(L1675="",AND(L1675=L1674,L1675=L1676)),NA(), L1675)</f>
        <v>0</v>
      </c>
      <c r="M2397">
        <f>IF(ISNA(N2397),NA(),M1675)</f>
        <v>0</v>
      </c>
      <c r="N2397">
        <f>IF(OR(N1675="",AND(N1675=N1674,N1675=N1676)),NA(), N1675)</f>
        <v>0</v>
      </c>
    </row>
    <row r="2398" spans="5:14">
      <c r="E2398">
        <f>IF(ISNA(F2398),NA(),E1676)</f>
        <v>0</v>
      </c>
      <c r="F2398">
        <f>IF(OR(F1676="",AND(F1676=F1675,F1676=F1677)),NA(), F1676)</f>
        <v>0</v>
      </c>
      <c r="G2398">
        <f>IF(ISNA(H2398),NA(),G1676)</f>
        <v>0</v>
      </c>
      <c r="H2398">
        <f>IF(OR(H1676="",AND(H1676=H1675,H1676=H1677)),NA(), H1676)</f>
        <v>0</v>
      </c>
      <c r="K2398">
        <f>IF(ISNA(L2398),NA(),K1676)</f>
        <v>0</v>
      </c>
      <c r="L2398">
        <f>IF(OR(L1676="",AND(L1676=L1675,L1676=L1677)),NA(), L1676)</f>
        <v>0</v>
      </c>
      <c r="M2398">
        <f>IF(ISNA(N2398),NA(),M1676)</f>
        <v>0</v>
      </c>
      <c r="N2398">
        <f>IF(OR(N1676="",AND(N1676=N1675,N1676=N1677)),NA(), N1676)</f>
        <v>0</v>
      </c>
    </row>
    <row r="2399" spans="5:14">
      <c r="E2399">
        <f>IF(ISNA(F2399),NA(),E1677)</f>
        <v>0</v>
      </c>
      <c r="F2399">
        <f>IF(OR(F1677="",AND(F1677=F1676,F1677=F1678)),NA(), F1677)</f>
        <v>0</v>
      </c>
      <c r="G2399">
        <f>IF(ISNA(H2399),NA(),G1677)</f>
        <v>0</v>
      </c>
      <c r="H2399">
        <f>IF(OR(H1677="",AND(H1677=H1676,H1677=H1678)),NA(), H1677)</f>
        <v>0</v>
      </c>
      <c r="K2399">
        <f>IF(ISNA(L2399),NA(),K1677)</f>
        <v>0</v>
      </c>
      <c r="L2399">
        <f>IF(OR(L1677="",AND(L1677=L1676,L1677=L1678)),NA(), L1677)</f>
        <v>0</v>
      </c>
      <c r="M2399">
        <f>IF(ISNA(N2399),NA(),M1677)</f>
        <v>0</v>
      </c>
      <c r="N2399">
        <f>IF(OR(N1677="",AND(N1677=N1676,N1677=N1678)),NA(), N1677)</f>
        <v>0</v>
      </c>
    </row>
    <row r="2400" spans="5:14">
      <c r="E2400">
        <f>IF(ISNA(F2400),NA(),E1678)</f>
        <v>0</v>
      </c>
      <c r="F2400">
        <f>IF(OR(F1678="",AND(F1678=F1677,F1678=F1679)),NA(), F1678)</f>
        <v>0</v>
      </c>
      <c r="G2400">
        <f>IF(ISNA(H2400),NA(),G1678)</f>
        <v>0</v>
      </c>
      <c r="H2400">
        <f>IF(OR(H1678="",AND(H1678=H1677,H1678=H1679)),NA(), H1678)</f>
        <v>0</v>
      </c>
      <c r="K2400">
        <f>IF(ISNA(L2400),NA(),K1678)</f>
        <v>0</v>
      </c>
      <c r="L2400">
        <f>IF(OR(L1678="",AND(L1678=L1677,L1678=L1679)),NA(), L1678)</f>
        <v>0</v>
      </c>
      <c r="M2400">
        <f>IF(ISNA(N2400),NA(),M1678)</f>
        <v>0</v>
      </c>
      <c r="N2400">
        <f>IF(OR(N1678="",AND(N1678=N1677,N1678=N1679)),NA(), N1678)</f>
        <v>0</v>
      </c>
    </row>
    <row r="2401" spans="5:14">
      <c r="E2401">
        <f>IF(ISNA(F2401),NA(),E1679)</f>
        <v>0</v>
      </c>
      <c r="F2401">
        <f>IF(OR(F1679="",AND(F1679=F1678,F1679=F1680)),NA(), F1679)</f>
        <v>0</v>
      </c>
      <c r="G2401">
        <f>IF(ISNA(H2401),NA(),G1679)</f>
        <v>0</v>
      </c>
      <c r="H2401">
        <f>IF(OR(H1679="",AND(H1679=H1678,H1679=H1680)),NA(), H1679)</f>
        <v>0</v>
      </c>
      <c r="K2401">
        <f>IF(ISNA(L2401),NA(),K1679)</f>
        <v>0</v>
      </c>
      <c r="L2401">
        <f>IF(OR(L1679="",AND(L1679=L1678,L1679=L1680)),NA(), L1679)</f>
        <v>0</v>
      </c>
      <c r="M2401">
        <f>IF(ISNA(N2401),NA(),M1679)</f>
        <v>0</v>
      </c>
      <c r="N2401">
        <f>IF(OR(N1679="",AND(N1679=N1678,N1679=N1680)),NA(), N1679)</f>
        <v>0</v>
      </c>
    </row>
    <row r="2402" spans="5:14">
      <c r="E2402">
        <f>IF(ISNA(F2402),NA(),E1680)</f>
        <v>0</v>
      </c>
      <c r="F2402">
        <f>IF(OR(F1680="",AND(F1680=F1679,F1680=F1681)),NA(), F1680)</f>
        <v>0</v>
      </c>
      <c r="G2402">
        <f>IF(ISNA(H2402),NA(),G1680)</f>
        <v>0</v>
      </c>
      <c r="H2402">
        <f>IF(OR(H1680="",AND(H1680=H1679,H1680=H1681)),NA(), H1680)</f>
        <v>0</v>
      </c>
      <c r="K2402">
        <f>IF(ISNA(L2402),NA(),K1680)</f>
        <v>0</v>
      </c>
      <c r="L2402">
        <f>IF(OR(L1680="",AND(L1680=L1679,L1680=L1681)),NA(), L1680)</f>
        <v>0</v>
      </c>
      <c r="M2402">
        <f>IF(ISNA(N2402),NA(),M1680)</f>
        <v>0</v>
      </c>
      <c r="N2402">
        <f>IF(OR(N1680="",AND(N1680=N1679,N1680=N1681)),NA(), N1680)</f>
        <v>0</v>
      </c>
    </row>
    <row r="2403" spans="5:14">
      <c r="E2403">
        <f>IF(ISNA(F2403),NA(),E1681)</f>
        <v>0</v>
      </c>
      <c r="F2403">
        <f>IF(OR(F1681="",AND(F1681=F1680,F1681=F1682)),NA(), F1681)</f>
        <v>0</v>
      </c>
      <c r="G2403">
        <f>IF(ISNA(H2403),NA(),G1681)</f>
        <v>0</v>
      </c>
      <c r="H2403">
        <f>IF(OR(H1681="",AND(H1681=H1680,H1681=H1682)),NA(), H1681)</f>
        <v>0</v>
      </c>
      <c r="K2403">
        <f>IF(ISNA(L2403),NA(),K1681)</f>
        <v>0</v>
      </c>
      <c r="L2403">
        <f>IF(OR(L1681="",AND(L1681=L1680,L1681=L1682)),NA(), L1681)</f>
        <v>0</v>
      </c>
      <c r="M2403">
        <f>IF(ISNA(N2403),NA(),M1681)</f>
        <v>0</v>
      </c>
      <c r="N2403">
        <f>IF(OR(N1681="",AND(N1681=N1680,N1681=N1682)),NA(), N1681)</f>
        <v>0</v>
      </c>
    </row>
    <row r="2404" spans="5:14">
      <c r="E2404">
        <f>IF(ISNA(F2404),NA(),E1682)</f>
        <v>0</v>
      </c>
      <c r="F2404">
        <f>IF(OR(F1682="",AND(F1682=F1681,F1682=F1683)),NA(), F1682)</f>
        <v>0</v>
      </c>
      <c r="G2404">
        <f>IF(ISNA(H2404),NA(),G1682)</f>
        <v>0</v>
      </c>
      <c r="H2404">
        <f>IF(OR(H1682="",AND(H1682=H1681,H1682=H1683)),NA(), H1682)</f>
        <v>0</v>
      </c>
      <c r="K2404">
        <f>IF(ISNA(L2404),NA(),K1682)</f>
        <v>0</v>
      </c>
      <c r="L2404">
        <f>IF(OR(L1682="",AND(L1682=L1681,L1682=L1683)),NA(), L1682)</f>
        <v>0</v>
      </c>
      <c r="M2404">
        <f>IF(ISNA(N2404),NA(),M1682)</f>
        <v>0</v>
      </c>
      <c r="N2404">
        <f>IF(OR(N1682="",AND(N1682=N1681,N1682=N1683)),NA(), N1682)</f>
        <v>0</v>
      </c>
    </row>
    <row r="2405" spans="5:14">
      <c r="E2405">
        <f>IF(ISNA(F2405),NA(),E1683)</f>
        <v>0</v>
      </c>
      <c r="F2405">
        <f>IF(OR(F1683="",AND(F1683=F1682,F1683=F1684)),NA(), F1683)</f>
        <v>0</v>
      </c>
      <c r="G2405">
        <f>IF(ISNA(H2405),NA(),G1683)</f>
        <v>0</v>
      </c>
      <c r="H2405">
        <f>IF(OR(H1683="",AND(H1683=H1682,H1683=H1684)),NA(), H1683)</f>
        <v>0</v>
      </c>
      <c r="K2405">
        <f>IF(ISNA(L2405),NA(),K1683)</f>
        <v>0</v>
      </c>
      <c r="L2405">
        <f>IF(OR(L1683="",AND(L1683=L1682,L1683=L1684)),NA(), L1683)</f>
        <v>0</v>
      </c>
      <c r="M2405">
        <f>IF(ISNA(N2405),NA(),M1683)</f>
        <v>0</v>
      </c>
      <c r="N2405">
        <f>IF(OR(N1683="",AND(N1683=N1682,N1683=N1684)),NA(), N1683)</f>
        <v>0</v>
      </c>
    </row>
    <row r="2406" spans="5:14">
      <c r="E2406">
        <f>IF(ISNA(F2406),NA(),E1684)</f>
        <v>0</v>
      </c>
      <c r="F2406">
        <f>IF(OR(F1684="",AND(F1684=F1683,F1684=F1685)),NA(), F1684)</f>
        <v>0</v>
      </c>
      <c r="G2406">
        <f>IF(ISNA(H2406),NA(),G1684)</f>
        <v>0</v>
      </c>
      <c r="H2406">
        <f>IF(OR(H1684="",AND(H1684=H1683,H1684=H1685)),NA(), H1684)</f>
        <v>0</v>
      </c>
      <c r="K2406">
        <f>IF(ISNA(L2406),NA(),K1684)</f>
        <v>0</v>
      </c>
      <c r="L2406">
        <f>IF(OR(L1684="",AND(L1684=L1683,L1684=L1685)),NA(), L1684)</f>
        <v>0</v>
      </c>
      <c r="M2406">
        <f>IF(ISNA(N2406),NA(),M1684)</f>
        <v>0</v>
      </c>
      <c r="N2406">
        <f>IF(OR(N1684="",AND(N1684=N1683,N1684=N1685)),NA(), N1684)</f>
        <v>0</v>
      </c>
    </row>
    <row r="2407" spans="5:14">
      <c r="E2407">
        <f>IF(ISNA(F2407),NA(),E1685)</f>
        <v>0</v>
      </c>
      <c r="F2407">
        <f>IF(OR(F1685="",AND(F1685=F1684,F1685=F1686)),NA(), F1685)</f>
        <v>0</v>
      </c>
      <c r="G2407">
        <f>IF(ISNA(H2407),NA(),G1685)</f>
        <v>0</v>
      </c>
      <c r="H2407">
        <f>IF(OR(H1685="",AND(H1685=H1684,H1685=H1686)),NA(), H1685)</f>
        <v>0</v>
      </c>
      <c r="K2407">
        <f>IF(ISNA(L2407),NA(),K1685)</f>
        <v>0</v>
      </c>
      <c r="L2407">
        <f>IF(OR(L1685="",AND(L1685=L1684,L1685=L1686)),NA(), L1685)</f>
        <v>0</v>
      </c>
      <c r="M2407">
        <f>IF(ISNA(N2407),NA(),M1685)</f>
        <v>0</v>
      </c>
      <c r="N2407">
        <f>IF(OR(N1685="",AND(N1685=N1684,N1685=N1686)),NA(), N1685)</f>
        <v>0</v>
      </c>
    </row>
    <row r="2408" spans="5:14">
      <c r="E2408">
        <f>IF(ISNA(F2408),NA(),E1686)</f>
        <v>0</v>
      </c>
      <c r="F2408">
        <f>IF(OR(F1686="",AND(F1686=F1685,F1686=F1687)),NA(), F1686)</f>
        <v>0</v>
      </c>
      <c r="G2408">
        <f>IF(ISNA(H2408),NA(),G1686)</f>
        <v>0</v>
      </c>
      <c r="H2408">
        <f>IF(OR(H1686="",AND(H1686=H1685,H1686=H1687)),NA(), H1686)</f>
        <v>0</v>
      </c>
      <c r="K2408">
        <f>IF(ISNA(L2408),NA(),K1686)</f>
        <v>0</v>
      </c>
      <c r="L2408">
        <f>IF(OR(L1686="",AND(L1686=L1685,L1686=L1687)),NA(), L1686)</f>
        <v>0</v>
      </c>
      <c r="M2408">
        <f>IF(ISNA(N2408),NA(),M1686)</f>
        <v>0</v>
      </c>
      <c r="N2408">
        <f>IF(OR(N1686="",AND(N1686=N1685,N1686=N1687)),NA(), N1686)</f>
        <v>0</v>
      </c>
    </row>
    <row r="2409" spans="5:14">
      <c r="E2409">
        <f>IF(ISNA(F2409),NA(),E1687)</f>
        <v>0</v>
      </c>
      <c r="F2409">
        <f>IF(OR(F1687="",AND(F1687=F1686,F1687=F1688)),NA(), F1687)</f>
        <v>0</v>
      </c>
      <c r="G2409">
        <f>IF(ISNA(H2409),NA(),G1687)</f>
        <v>0</v>
      </c>
      <c r="H2409">
        <f>IF(OR(H1687="",AND(H1687=H1686,H1687=H1688)),NA(), H1687)</f>
        <v>0</v>
      </c>
      <c r="K2409">
        <f>IF(ISNA(L2409),NA(),K1687)</f>
        <v>0</v>
      </c>
      <c r="L2409">
        <f>IF(OR(L1687="",AND(L1687=L1686,L1687=L1688)),NA(), L1687)</f>
        <v>0</v>
      </c>
      <c r="M2409">
        <f>IF(ISNA(N2409),NA(),M1687)</f>
        <v>0</v>
      </c>
      <c r="N2409">
        <f>IF(OR(N1687="",AND(N1687=N1686,N1687=N1688)),NA(), N1687)</f>
        <v>0</v>
      </c>
    </row>
    <row r="2410" spans="5:14">
      <c r="E2410">
        <f>IF(ISNA(F2410),NA(),E1688)</f>
        <v>0</v>
      </c>
      <c r="F2410">
        <f>IF(OR(F1688="",AND(F1688=F1687,F1688=F1689)),NA(), F1688)</f>
        <v>0</v>
      </c>
      <c r="G2410">
        <f>IF(ISNA(H2410),NA(),G1688)</f>
        <v>0</v>
      </c>
      <c r="H2410">
        <f>IF(OR(H1688="",AND(H1688=H1687,H1688=H1689)),NA(), H1688)</f>
        <v>0</v>
      </c>
      <c r="K2410">
        <f>IF(ISNA(L2410),NA(),K1688)</f>
        <v>0</v>
      </c>
      <c r="L2410">
        <f>IF(OR(L1688="",AND(L1688=L1687,L1688=L1689)),NA(), L1688)</f>
        <v>0</v>
      </c>
      <c r="M2410">
        <f>IF(ISNA(N2410),NA(),M1688)</f>
        <v>0</v>
      </c>
      <c r="N2410">
        <f>IF(OR(N1688="",AND(N1688=N1687,N1688=N1689)),NA(), N1688)</f>
        <v>0</v>
      </c>
    </row>
    <row r="2411" spans="5:14">
      <c r="E2411">
        <f>IF(ISNA(F2411),NA(),E1689)</f>
        <v>0</v>
      </c>
      <c r="F2411">
        <f>IF(OR(F1689="",AND(F1689=F1688,F1689=F1690)),NA(), F1689)</f>
        <v>0</v>
      </c>
      <c r="G2411">
        <f>IF(ISNA(H2411),NA(),G1689)</f>
        <v>0</v>
      </c>
      <c r="H2411">
        <f>IF(OR(H1689="",AND(H1689=H1688,H1689=H1690)),NA(), H1689)</f>
        <v>0</v>
      </c>
      <c r="K2411">
        <f>IF(ISNA(L2411),NA(),K1689)</f>
        <v>0</v>
      </c>
      <c r="L2411">
        <f>IF(OR(L1689="",AND(L1689=L1688,L1689=L1690)),NA(), L1689)</f>
        <v>0</v>
      </c>
      <c r="M2411">
        <f>IF(ISNA(N2411),NA(),M1689)</f>
        <v>0</v>
      </c>
      <c r="N2411">
        <f>IF(OR(N1689="",AND(N1689=N1688,N1689=N1690)),NA(), N1689)</f>
        <v>0</v>
      </c>
    </row>
    <row r="2412" spans="5:14">
      <c r="E2412">
        <f>IF(ISNA(F2412),NA(),E1690)</f>
        <v>0</v>
      </c>
      <c r="F2412">
        <f>IF(OR(F1690="",AND(F1690=F1689,F1690=F1691)),NA(), F1690)</f>
        <v>0</v>
      </c>
      <c r="G2412">
        <f>IF(ISNA(H2412),NA(),G1690)</f>
        <v>0</v>
      </c>
      <c r="H2412">
        <f>IF(OR(H1690="",AND(H1690=H1689,H1690=H1691)),NA(), H1690)</f>
        <v>0</v>
      </c>
      <c r="K2412">
        <f>IF(ISNA(L2412),NA(),K1690)</f>
        <v>0</v>
      </c>
      <c r="L2412">
        <f>IF(OR(L1690="",AND(L1690=L1689,L1690=L1691)),NA(), L1690)</f>
        <v>0</v>
      </c>
      <c r="M2412">
        <f>IF(ISNA(N2412),NA(),M1690)</f>
        <v>0</v>
      </c>
      <c r="N2412">
        <f>IF(OR(N1690="",AND(N1690=N1689,N1690=N1691)),NA(), N1690)</f>
        <v>0</v>
      </c>
    </row>
    <row r="2413" spans="5:14">
      <c r="E2413">
        <f>IF(ISNA(F2413),NA(),E1691)</f>
        <v>0</v>
      </c>
      <c r="F2413">
        <f>IF(OR(F1691="",AND(F1691=F1690,F1691=F1692)),NA(), F1691)</f>
        <v>0</v>
      </c>
      <c r="G2413">
        <f>IF(ISNA(H2413),NA(),G1691)</f>
        <v>0</v>
      </c>
      <c r="H2413">
        <f>IF(OR(H1691="",AND(H1691=H1690,H1691=H1692)),NA(), H1691)</f>
        <v>0</v>
      </c>
      <c r="K2413">
        <f>IF(ISNA(L2413),NA(),K1691)</f>
        <v>0</v>
      </c>
      <c r="L2413">
        <f>IF(OR(L1691="",AND(L1691=L1690,L1691=L1692)),NA(), L1691)</f>
        <v>0</v>
      </c>
      <c r="M2413">
        <f>IF(ISNA(N2413),NA(),M1691)</f>
        <v>0</v>
      </c>
      <c r="N2413">
        <f>IF(OR(N1691="",AND(N1691=N1690,N1691=N1692)),NA(), N1691)</f>
        <v>0</v>
      </c>
    </row>
    <row r="2414" spans="5:14">
      <c r="E2414">
        <f>IF(ISNA(F2414),NA(),E1692)</f>
        <v>0</v>
      </c>
      <c r="F2414">
        <f>IF(OR(F1692="",AND(F1692=F1691,F1692=F1693)),NA(), F1692)</f>
        <v>0</v>
      </c>
      <c r="G2414">
        <f>IF(ISNA(H2414),NA(),G1692)</f>
        <v>0</v>
      </c>
      <c r="H2414">
        <f>IF(OR(H1692="",AND(H1692=H1691,H1692=H1693)),NA(), H1692)</f>
        <v>0</v>
      </c>
      <c r="K2414">
        <f>IF(ISNA(L2414),NA(),K1692)</f>
        <v>0</v>
      </c>
      <c r="L2414">
        <f>IF(OR(L1692="",AND(L1692=L1691,L1692=L1693)),NA(), L1692)</f>
        <v>0</v>
      </c>
      <c r="M2414">
        <f>IF(ISNA(N2414),NA(),M1692)</f>
        <v>0</v>
      </c>
      <c r="N2414">
        <f>IF(OR(N1692="",AND(N1692=N1691,N1692=N1693)),NA(), N1692)</f>
        <v>0</v>
      </c>
    </row>
    <row r="2415" spans="5:14">
      <c r="E2415">
        <f>IF(ISNA(F2415),NA(),E1693)</f>
        <v>0</v>
      </c>
      <c r="F2415">
        <f>IF(OR(F1693="",AND(F1693=F1692,F1693=F1694)),NA(), F1693)</f>
        <v>0</v>
      </c>
      <c r="G2415">
        <f>IF(ISNA(H2415),NA(),G1693)</f>
        <v>0</v>
      </c>
      <c r="H2415">
        <f>IF(OR(H1693="",AND(H1693=H1692,H1693=H1694)),NA(), H1693)</f>
        <v>0</v>
      </c>
      <c r="K2415">
        <f>IF(ISNA(L2415),NA(),K1693)</f>
        <v>0</v>
      </c>
      <c r="L2415">
        <f>IF(OR(L1693="",AND(L1693=L1692,L1693=L1694)),NA(), L1693)</f>
        <v>0</v>
      </c>
      <c r="M2415">
        <f>IF(ISNA(N2415),NA(),M1693)</f>
        <v>0</v>
      </c>
      <c r="N2415">
        <f>IF(OR(N1693="",AND(N1693=N1692,N1693=N1694)),NA(), N1693)</f>
        <v>0</v>
      </c>
    </row>
    <row r="2416" spans="5:14">
      <c r="E2416">
        <f>IF(ISNA(F2416),NA(),E1694)</f>
        <v>0</v>
      </c>
      <c r="F2416">
        <f>IF(OR(F1694="",AND(F1694=F1693,F1694=F1695)),NA(), F1694)</f>
        <v>0</v>
      </c>
      <c r="G2416">
        <f>IF(ISNA(H2416),NA(),G1694)</f>
        <v>0</v>
      </c>
      <c r="H2416">
        <f>IF(OR(H1694="",AND(H1694=H1693,H1694=H1695)),NA(), H1694)</f>
        <v>0</v>
      </c>
      <c r="K2416">
        <f>IF(ISNA(L2416),NA(),K1694)</f>
        <v>0</v>
      </c>
      <c r="L2416">
        <f>IF(OR(L1694="",AND(L1694=L1693,L1694=L1695)),NA(), L1694)</f>
        <v>0</v>
      </c>
      <c r="M2416">
        <f>IF(ISNA(N2416),NA(),M1694)</f>
        <v>0</v>
      </c>
      <c r="N2416">
        <f>IF(OR(N1694="",AND(N1694=N1693,N1694=N1695)),NA(), N1694)</f>
        <v>0</v>
      </c>
    </row>
    <row r="2417" spans="5:14">
      <c r="E2417">
        <f>IF(ISNA(F2417),NA(),E1695)</f>
        <v>0</v>
      </c>
      <c r="F2417">
        <f>IF(OR(F1695="",AND(F1695=F1694,F1695=F1696)),NA(), F1695)</f>
        <v>0</v>
      </c>
      <c r="G2417">
        <f>IF(ISNA(H2417),NA(),G1695)</f>
        <v>0</v>
      </c>
      <c r="H2417">
        <f>IF(OR(H1695="",AND(H1695=H1694,H1695=H1696)),NA(), H1695)</f>
        <v>0</v>
      </c>
      <c r="K2417">
        <f>IF(ISNA(L2417),NA(),K1695)</f>
        <v>0</v>
      </c>
      <c r="L2417">
        <f>IF(OR(L1695="",AND(L1695=L1694,L1695=L1696)),NA(), L1695)</f>
        <v>0</v>
      </c>
      <c r="M2417">
        <f>IF(ISNA(N2417),NA(),M1695)</f>
        <v>0</v>
      </c>
      <c r="N2417">
        <f>IF(OR(N1695="",AND(N1695=N1694,N1695=N1696)),NA(), N1695)</f>
        <v>0</v>
      </c>
    </row>
    <row r="2418" spans="5:14">
      <c r="E2418">
        <f>IF(ISNA(F2418),NA(),E1696)</f>
        <v>0</v>
      </c>
      <c r="F2418">
        <f>IF(OR(F1696="",AND(F1696=F1695,F1696=F1697)),NA(), F1696)</f>
        <v>0</v>
      </c>
      <c r="G2418">
        <f>IF(ISNA(H2418),NA(),G1696)</f>
        <v>0</v>
      </c>
      <c r="H2418">
        <f>IF(OR(H1696="",AND(H1696=H1695,H1696=H1697)),NA(), H1696)</f>
        <v>0</v>
      </c>
      <c r="K2418">
        <f>IF(ISNA(L2418),NA(),K1696)</f>
        <v>0</v>
      </c>
      <c r="L2418">
        <f>IF(OR(L1696="",AND(L1696=L1695,L1696=L1697)),NA(), L1696)</f>
        <v>0</v>
      </c>
      <c r="M2418">
        <f>IF(ISNA(N2418),NA(),M1696)</f>
        <v>0</v>
      </c>
      <c r="N2418">
        <f>IF(OR(N1696="",AND(N1696=N1695,N1696=N1697)),NA(), N1696)</f>
        <v>0</v>
      </c>
    </row>
    <row r="2419" spans="5:14">
      <c r="E2419">
        <f>IF(ISNA(F2419),NA(),E1697)</f>
        <v>0</v>
      </c>
      <c r="F2419">
        <f>IF(OR(F1697="",AND(F1697=F1696,F1697=F1698)),NA(), F1697)</f>
        <v>0</v>
      </c>
      <c r="G2419">
        <f>IF(ISNA(H2419),NA(),G1697)</f>
        <v>0</v>
      </c>
      <c r="H2419">
        <f>IF(OR(H1697="",AND(H1697=H1696,H1697=H1698)),NA(), H1697)</f>
        <v>0</v>
      </c>
      <c r="K2419">
        <f>IF(ISNA(L2419),NA(),K1697)</f>
        <v>0</v>
      </c>
      <c r="L2419">
        <f>IF(OR(L1697="",AND(L1697=L1696,L1697=L1698)),NA(), L1697)</f>
        <v>0</v>
      </c>
      <c r="M2419">
        <f>IF(ISNA(N2419),NA(),M1697)</f>
        <v>0</v>
      </c>
      <c r="N2419">
        <f>IF(OR(N1697="",AND(N1697=N1696,N1697=N1698)),NA(), N1697)</f>
        <v>0</v>
      </c>
    </row>
    <row r="2420" spans="5:14">
      <c r="E2420">
        <f>IF(ISNA(F2420),NA(),E1698)</f>
        <v>0</v>
      </c>
      <c r="F2420">
        <f>IF(OR(F1698="",AND(F1698=F1697,F1698=F1699)),NA(), F1698)</f>
        <v>0</v>
      </c>
      <c r="G2420">
        <f>IF(ISNA(H2420),NA(),G1698)</f>
        <v>0</v>
      </c>
      <c r="H2420">
        <f>IF(OR(H1698="",AND(H1698=H1697,H1698=H1699)),NA(), H1698)</f>
        <v>0</v>
      </c>
      <c r="K2420">
        <f>IF(ISNA(L2420),NA(),K1698)</f>
        <v>0</v>
      </c>
      <c r="L2420">
        <f>IF(OR(L1698="",AND(L1698=L1697,L1698=L1699)),NA(), L1698)</f>
        <v>0</v>
      </c>
      <c r="M2420">
        <f>IF(ISNA(N2420),NA(),M1698)</f>
        <v>0</v>
      </c>
      <c r="N2420">
        <f>IF(OR(N1698="",AND(N1698=N1697,N1698=N1699)),NA(), N1698)</f>
        <v>0</v>
      </c>
    </row>
    <row r="2421" spans="5:14">
      <c r="E2421">
        <f>IF(ISNA(F2421),NA(),E1699)</f>
        <v>0</v>
      </c>
      <c r="F2421">
        <f>IF(OR(F1699="",AND(F1699=F1698,F1699=F1700)),NA(), F1699)</f>
        <v>0</v>
      </c>
      <c r="G2421">
        <f>IF(ISNA(H2421),NA(),G1699)</f>
        <v>0</v>
      </c>
      <c r="H2421">
        <f>IF(OR(H1699="",AND(H1699=H1698,H1699=H1700)),NA(), H1699)</f>
        <v>0</v>
      </c>
      <c r="K2421">
        <f>IF(ISNA(L2421),NA(),K1699)</f>
        <v>0</v>
      </c>
      <c r="L2421">
        <f>IF(OR(L1699="",AND(L1699=L1698,L1699=L1700)),NA(), L1699)</f>
        <v>0</v>
      </c>
      <c r="M2421">
        <f>IF(ISNA(N2421),NA(),M1699)</f>
        <v>0</v>
      </c>
      <c r="N2421">
        <f>IF(OR(N1699="",AND(N1699=N1698,N1699=N1700)),NA(), N1699)</f>
        <v>0</v>
      </c>
    </row>
    <row r="2422" spans="5:14">
      <c r="E2422">
        <f>IF(ISNA(F2422),NA(),E1700)</f>
        <v>0</v>
      </c>
      <c r="F2422">
        <f>IF(OR(F1700="",AND(F1700=F1699,F1700=F1701)),NA(), F1700)</f>
        <v>0</v>
      </c>
      <c r="G2422">
        <f>IF(ISNA(H2422),NA(),G1700)</f>
        <v>0</v>
      </c>
      <c r="H2422">
        <f>IF(OR(H1700="",AND(H1700=H1699,H1700=H1701)),NA(), H1700)</f>
        <v>0</v>
      </c>
      <c r="K2422">
        <f>IF(ISNA(L2422),NA(),K1700)</f>
        <v>0</v>
      </c>
      <c r="L2422">
        <f>IF(OR(L1700="",AND(L1700=L1699,L1700=L1701)),NA(), L1700)</f>
        <v>0</v>
      </c>
      <c r="M2422">
        <f>IF(ISNA(N2422),NA(),M1700)</f>
        <v>0</v>
      </c>
      <c r="N2422">
        <f>IF(OR(N1700="",AND(N1700=N1699,N1700=N1701)),NA(), N1700)</f>
        <v>0</v>
      </c>
    </row>
    <row r="2423" spans="5:14">
      <c r="E2423">
        <f>IF(ISNA(F2423),NA(),E1701)</f>
        <v>0</v>
      </c>
      <c r="F2423">
        <f>IF(OR(F1701="",AND(F1701=F1700,F1701=F1702)),NA(), F1701)</f>
        <v>0</v>
      </c>
      <c r="G2423">
        <f>IF(ISNA(H2423),NA(),G1701)</f>
        <v>0</v>
      </c>
      <c r="H2423">
        <f>IF(OR(H1701="",AND(H1701=H1700,H1701=H1702)),NA(), H1701)</f>
        <v>0</v>
      </c>
      <c r="K2423">
        <f>IF(ISNA(L2423),NA(),K1701)</f>
        <v>0</v>
      </c>
      <c r="L2423">
        <f>IF(OR(L1701="",AND(L1701=L1700,L1701=L1702)),NA(), L1701)</f>
        <v>0</v>
      </c>
      <c r="M2423">
        <f>IF(ISNA(N2423),NA(),M1701)</f>
        <v>0</v>
      </c>
      <c r="N2423">
        <f>IF(OR(N1701="",AND(N1701=N1700,N1701=N1702)),NA(), N1701)</f>
        <v>0</v>
      </c>
    </row>
    <row r="2424" spans="5:14">
      <c r="E2424">
        <f>IF(ISNA(F2424),NA(),E1702)</f>
        <v>0</v>
      </c>
      <c r="F2424">
        <f>IF(OR(F1702="",AND(F1702=F1701,F1702=F1703)),NA(), F1702)</f>
        <v>0</v>
      </c>
      <c r="G2424">
        <f>IF(ISNA(H2424),NA(),G1702)</f>
        <v>0</v>
      </c>
      <c r="H2424">
        <f>IF(OR(H1702="",AND(H1702=H1701,H1702=H1703)),NA(), H1702)</f>
        <v>0</v>
      </c>
      <c r="K2424">
        <f>IF(ISNA(L2424),NA(),K1702)</f>
        <v>0</v>
      </c>
      <c r="L2424">
        <f>IF(OR(L1702="",AND(L1702=L1701,L1702=L1703)),NA(), L1702)</f>
        <v>0</v>
      </c>
      <c r="M2424">
        <f>IF(ISNA(N2424),NA(),M1702)</f>
        <v>0</v>
      </c>
      <c r="N2424">
        <f>IF(OR(N1702="",AND(N1702=N1701,N1702=N1703)),NA(), N1702)</f>
        <v>0</v>
      </c>
    </row>
    <row r="2425" spans="5:14">
      <c r="E2425">
        <f>IF(ISNA(F2425),NA(),E1703)</f>
        <v>0</v>
      </c>
      <c r="F2425">
        <f>IF(OR(F1703="",AND(F1703=F1702,F1703=F1704)),NA(), F1703)</f>
        <v>0</v>
      </c>
      <c r="G2425">
        <f>IF(ISNA(H2425),NA(),G1703)</f>
        <v>0</v>
      </c>
      <c r="H2425">
        <f>IF(OR(H1703="",AND(H1703=H1702,H1703=H1704)),NA(), H1703)</f>
        <v>0</v>
      </c>
      <c r="K2425">
        <f>IF(ISNA(L2425),NA(),K1703)</f>
        <v>0</v>
      </c>
      <c r="L2425">
        <f>IF(OR(L1703="",AND(L1703=L1702,L1703=L1704)),NA(), L1703)</f>
        <v>0</v>
      </c>
      <c r="M2425">
        <f>IF(ISNA(N2425),NA(),M1703)</f>
        <v>0</v>
      </c>
      <c r="N2425">
        <f>IF(OR(N1703="",AND(N1703=N1702,N1703=N1704)),NA(), N1703)</f>
        <v>0</v>
      </c>
    </row>
    <row r="2426" spans="5:14">
      <c r="E2426">
        <f>IF(ISNA(F2426),NA(),E1704)</f>
        <v>0</v>
      </c>
      <c r="F2426">
        <f>IF(OR(F1704="",AND(F1704=F1703,F1704=F1705)),NA(), F1704)</f>
        <v>0</v>
      </c>
      <c r="G2426">
        <f>IF(ISNA(H2426),NA(),G1704)</f>
        <v>0</v>
      </c>
      <c r="H2426">
        <f>IF(OR(H1704="",AND(H1704=H1703,H1704=H1705)),NA(), H1704)</f>
        <v>0</v>
      </c>
      <c r="K2426">
        <f>IF(ISNA(L2426),NA(),K1704)</f>
        <v>0</v>
      </c>
      <c r="L2426">
        <f>IF(OR(L1704="",AND(L1704=L1703,L1704=L1705)),NA(), L1704)</f>
        <v>0</v>
      </c>
      <c r="M2426">
        <f>IF(ISNA(N2426),NA(),M1704)</f>
        <v>0</v>
      </c>
      <c r="N2426">
        <f>IF(OR(N1704="",AND(N1704=N1703,N1704=N1705)),NA(), N1704)</f>
        <v>0</v>
      </c>
    </row>
    <row r="2427" spans="5:14">
      <c r="E2427">
        <f>IF(ISNA(F2427),NA(),E1705)</f>
        <v>0</v>
      </c>
      <c r="F2427">
        <f>IF(OR(F1705="",AND(F1705=F1704,F1705=F1706)),NA(), F1705)</f>
        <v>0</v>
      </c>
      <c r="G2427">
        <f>IF(ISNA(H2427),NA(),G1705)</f>
        <v>0</v>
      </c>
      <c r="H2427">
        <f>IF(OR(H1705="",AND(H1705=H1704,H1705=H1706)),NA(), H1705)</f>
        <v>0</v>
      </c>
      <c r="K2427">
        <f>IF(ISNA(L2427),NA(),K1705)</f>
        <v>0</v>
      </c>
      <c r="L2427">
        <f>IF(OR(L1705="",AND(L1705=L1704,L1705=L1706)),NA(), L1705)</f>
        <v>0</v>
      </c>
      <c r="M2427">
        <f>IF(ISNA(N2427),NA(),M1705)</f>
        <v>0</v>
      </c>
      <c r="N2427">
        <f>IF(OR(N1705="",AND(N1705=N1704,N1705=N1706)),NA(), N1705)</f>
        <v>0</v>
      </c>
    </row>
    <row r="2428" spans="5:14">
      <c r="E2428">
        <f>IF(ISNA(F2428),NA(),E1706)</f>
        <v>0</v>
      </c>
      <c r="F2428">
        <f>IF(OR(F1706="",AND(F1706=F1705,F1706=F1707)),NA(), F1706)</f>
        <v>0</v>
      </c>
      <c r="G2428">
        <f>IF(ISNA(H2428),NA(),G1706)</f>
        <v>0</v>
      </c>
      <c r="H2428">
        <f>IF(OR(H1706="",AND(H1706=H1705,H1706=H1707)),NA(), H1706)</f>
        <v>0</v>
      </c>
      <c r="K2428">
        <f>IF(ISNA(L2428),NA(),K1706)</f>
        <v>0</v>
      </c>
      <c r="L2428">
        <f>IF(OR(L1706="",AND(L1706=L1705,L1706=L1707)),NA(), L1706)</f>
        <v>0</v>
      </c>
      <c r="M2428">
        <f>IF(ISNA(N2428),NA(),M1706)</f>
        <v>0</v>
      </c>
      <c r="N2428">
        <f>IF(OR(N1706="",AND(N1706=N1705,N1706=N1707)),NA(), N1706)</f>
        <v>0</v>
      </c>
    </row>
    <row r="2429" spans="5:14">
      <c r="E2429">
        <f>IF(ISNA(F2429),NA(),E1707)</f>
        <v>0</v>
      </c>
      <c r="F2429">
        <f>IF(OR(F1707="",AND(F1707=F1706,F1707=F1708)),NA(), F1707)</f>
        <v>0</v>
      </c>
      <c r="G2429">
        <f>IF(ISNA(H2429),NA(),G1707)</f>
        <v>0</v>
      </c>
      <c r="H2429">
        <f>IF(OR(H1707="",AND(H1707=H1706,H1707=H1708)),NA(), H1707)</f>
        <v>0</v>
      </c>
      <c r="K2429">
        <f>IF(ISNA(L2429),NA(),K1707)</f>
        <v>0</v>
      </c>
      <c r="L2429">
        <f>IF(OR(L1707="",AND(L1707=L1706,L1707=L1708)),NA(), L1707)</f>
        <v>0</v>
      </c>
      <c r="M2429">
        <f>IF(ISNA(N2429),NA(),M1707)</f>
        <v>0</v>
      </c>
      <c r="N2429">
        <f>IF(OR(N1707="",AND(N1707=N1706,N1707=N1708)),NA(), N1707)</f>
        <v>0</v>
      </c>
    </row>
    <row r="2430" spans="5:14">
      <c r="E2430">
        <f>IF(ISNA(F2430),NA(),E1708)</f>
        <v>0</v>
      </c>
      <c r="F2430">
        <f>IF(OR(F1708="",AND(F1708=F1707,F1708=F1709)),NA(), F1708)</f>
        <v>0</v>
      </c>
      <c r="G2430">
        <f>IF(ISNA(H2430),NA(),G1708)</f>
        <v>0</v>
      </c>
      <c r="H2430">
        <f>IF(OR(H1708="",AND(H1708=H1707,H1708=H1709)),NA(), H1708)</f>
        <v>0</v>
      </c>
      <c r="K2430">
        <f>IF(ISNA(L2430),NA(),K1708)</f>
        <v>0</v>
      </c>
      <c r="L2430">
        <f>IF(OR(L1708="",AND(L1708=L1707,L1708=L1709)),NA(), L1708)</f>
        <v>0</v>
      </c>
      <c r="M2430">
        <f>IF(ISNA(N2430),NA(),M1708)</f>
        <v>0</v>
      </c>
      <c r="N2430">
        <f>IF(OR(N1708="",AND(N1708=N1707,N1708=N1709)),NA(), N1708)</f>
        <v>0</v>
      </c>
    </row>
    <row r="2431" spans="5:14">
      <c r="E2431">
        <f>IF(ISNA(F2431),NA(),E1709)</f>
        <v>0</v>
      </c>
      <c r="F2431">
        <f>IF(OR(F1709="",AND(F1709=F1708,F1709=F1710)),NA(), F1709)</f>
        <v>0</v>
      </c>
      <c r="G2431">
        <f>IF(ISNA(H2431),NA(),G1709)</f>
        <v>0</v>
      </c>
      <c r="H2431">
        <f>IF(OR(H1709="",AND(H1709=H1708,H1709=H1710)),NA(), H1709)</f>
        <v>0</v>
      </c>
      <c r="K2431">
        <f>IF(ISNA(L2431),NA(),K1709)</f>
        <v>0</v>
      </c>
      <c r="L2431">
        <f>IF(OR(L1709="",AND(L1709=L1708,L1709=L1710)),NA(), L1709)</f>
        <v>0</v>
      </c>
      <c r="M2431">
        <f>IF(ISNA(N2431),NA(),M1709)</f>
        <v>0</v>
      </c>
      <c r="N2431">
        <f>IF(OR(N1709="",AND(N1709=N1708,N1709=N1710)),NA(), N1709)</f>
        <v>0</v>
      </c>
    </row>
    <row r="2432" spans="5:14">
      <c r="E2432">
        <f>IF(ISNA(F2432),NA(),E1710)</f>
        <v>0</v>
      </c>
      <c r="F2432">
        <f>IF(OR(F1710="",AND(F1710=F1709,F1710=F1711)),NA(), F1710)</f>
        <v>0</v>
      </c>
      <c r="G2432">
        <f>IF(ISNA(H2432),NA(),G1710)</f>
        <v>0</v>
      </c>
      <c r="H2432">
        <f>IF(OR(H1710="",AND(H1710=H1709,H1710=H1711)),NA(), H1710)</f>
        <v>0</v>
      </c>
      <c r="K2432">
        <f>IF(ISNA(L2432),NA(),K1710)</f>
        <v>0</v>
      </c>
      <c r="L2432">
        <f>IF(OR(L1710="",AND(L1710=L1709,L1710=L1711)),NA(), L1710)</f>
        <v>0</v>
      </c>
      <c r="M2432">
        <f>IF(ISNA(N2432),NA(),M1710)</f>
        <v>0</v>
      </c>
      <c r="N2432">
        <f>IF(OR(N1710="",AND(N1710=N1709,N1710=N1711)),NA(), N1710)</f>
        <v>0</v>
      </c>
    </row>
    <row r="2433" spans="5:14">
      <c r="E2433">
        <f>IF(ISNA(F2433),NA(),E1711)</f>
        <v>0</v>
      </c>
      <c r="F2433">
        <f>IF(OR(F1711="",AND(F1711=F1710,F1711=F1712)),NA(), F1711)</f>
        <v>0</v>
      </c>
      <c r="G2433">
        <f>IF(ISNA(H2433),NA(),G1711)</f>
        <v>0</v>
      </c>
      <c r="H2433">
        <f>IF(OR(H1711="",AND(H1711=H1710,H1711=H1712)),NA(), H1711)</f>
        <v>0</v>
      </c>
      <c r="K2433">
        <f>IF(ISNA(L2433),NA(),K1711)</f>
        <v>0</v>
      </c>
      <c r="L2433">
        <f>IF(OR(L1711="",AND(L1711=L1710,L1711=L1712)),NA(), L1711)</f>
        <v>0</v>
      </c>
      <c r="M2433">
        <f>IF(ISNA(N2433),NA(),M1711)</f>
        <v>0</v>
      </c>
      <c r="N2433">
        <f>IF(OR(N1711="",AND(N1711=N1710,N1711=N1712)),NA(), N1711)</f>
        <v>0</v>
      </c>
    </row>
    <row r="2434" spans="5:14">
      <c r="E2434">
        <f>IF(ISNA(F2434),NA(),E1712)</f>
        <v>0</v>
      </c>
      <c r="F2434">
        <f>IF(OR(F1712="",AND(F1712=F1711,F1712=F1713)),NA(), F1712)</f>
        <v>0</v>
      </c>
      <c r="G2434">
        <f>IF(ISNA(H2434),NA(),G1712)</f>
        <v>0</v>
      </c>
      <c r="H2434">
        <f>IF(OR(H1712="",AND(H1712=H1711,H1712=H1713)),NA(), H1712)</f>
        <v>0</v>
      </c>
      <c r="K2434">
        <f>IF(ISNA(L2434),NA(),K1712)</f>
        <v>0</v>
      </c>
      <c r="L2434">
        <f>IF(OR(L1712="",AND(L1712=L1711,L1712=L1713)),NA(), L1712)</f>
        <v>0</v>
      </c>
      <c r="M2434">
        <f>IF(ISNA(N2434),NA(),M1712)</f>
        <v>0</v>
      </c>
      <c r="N2434">
        <f>IF(OR(N1712="",AND(N1712=N1711,N1712=N1713)),NA(), N1712)</f>
        <v>0</v>
      </c>
    </row>
    <row r="2435" spans="5:14">
      <c r="E2435">
        <f>IF(ISNA(F2435),NA(),E1713)</f>
        <v>0</v>
      </c>
      <c r="F2435">
        <f>IF(OR(F1713="",AND(F1713=F1712,F1713=F1714)),NA(), F1713)</f>
        <v>0</v>
      </c>
      <c r="G2435">
        <f>IF(ISNA(H2435),NA(),G1713)</f>
        <v>0</v>
      </c>
      <c r="H2435">
        <f>IF(OR(H1713="",AND(H1713=H1712,H1713=H1714)),NA(), H1713)</f>
        <v>0</v>
      </c>
      <c r="K2435">
        <f>IF(ISNA(L2435),NA(),K1713)</f>
        <v>0</v>
      </c>
      <c r="L2435">
        <f>IF(OR(L1713="",AND(L1713=L1712,L1713=L1714)),NA(), L1713)</f>
        <v>0</v>
      </c>
      <c r="M2435">
        <f>IF(ISNA(N2435),NA(),M1713)</f>
        <v>0</v>
      </c>
      <c r="N2435">
        <f>IF(OR(N1713="",AND(N1713=N1712,N1713=N1714)),NA(), N1713)</f>
        <v>0</v>
      </c>
    </row>
    <row r="2436" spans="5:14">
      <c r="E2436">
        <f>IF(ISNA(F2436),NA(),E1714)</f>
        <v>0</v>
      </c>
      <c r="F2436">
        <f>IF(OR(F1714="",AND(F1714=F1713,F1714=F1715)),NA(), F1714)</f>
        <v>0</v>
      </c>
      <c r="G2436">
        <f>IF(ISNA(H2436),NA(),G1714)</f>
        <v>0</v>
      </c>
      <c r="H2436">
        <f>IF(OR(H1714="",AND(H1714=H1713,H1714=H1715)),NA(), H1714)</f>
        <v>0</v>
      </c>
      <c r="K2436">
        <f>IF(ISNA(L2436),NA(),K1714)</f>
        <v>0</v>
      </c>
      <c r="L2436">
        <f>IF(OR(L1714="",AND(L1714=L1713,L1714=L1715)),NA(), L1714)</f>
        <v>0</v>
      </c>
      <c r="M2436">
        <f>IF(ISNA(N2436),NA(),M1714)</f>
        <v>0</v>
      </c>
      <c r="N2436">
        <f>IF(OR(N1714="",AND(N1714=N1713,N1714=N1715)),NA(), N1714)</f>
        <v>0</v>
      </c>
    </row>
    <row r="2437" spans="5:14">
      <c r="E2437">
        <f>IF(ISNA(F2437),NA(),E1715)</f>
        <v>0</v>
      </c>
      <c r="F2437">
        <f>IF(OR(F1715="",AND(F1715=F1714,F1715=F1716)),NA(), F1715)</f>
        <v>0</v>
      </c>
      <c r="G2437">
        <f>IF(ISNA(H2437),NA(),G1715)</f>
        <v>0</v>
      </c>
      <c r="H2437">
        <f>IF(OR(H1715="",AND(H1715=H1714,H1715=H1716)),NA(), H1715)</f>
        <v>0</v>
      </c>
      <c r="K2437">
        <f>IF(ISNA(L2437),NA(),K1715)</f>
        <v>0</v>
      </c>
      <c r="L2437">
        <f>IF(OR(L1715="",AND(L1715=L1714,L1715=L1716)),NA(), L1715)</f>
        <v>0</v>
      </c>
      <c r="M2437">
        <f>IF(ISNA(N2437),NA(),M1715)</f>
        <v>0</v>
      </c>
      <c r="N2437">
        <f>IF(OR(N1715="",AND(N1715=N1714,N1715=N1716)),NA(), N1715)</f>
        <v>0</v>
      </c>
    </row>
    <row r="2438" spans="5:14">
      <c r="E2438">
        <f>IF(ISNA(F2438),NA(),E1716)</f>
        <v>0</v>
      </c>
      <c r="F2438">
        <f>IF(OR(F1716="",AND(F1716=F1715,F1716=F1717)),NA(), F1716)</f>
        <v>0</v>
      </c>
      <c r="G2438">
        <f>IF(ISNA(H2438),NA(),G1716)</f>
        <v>0</v>
      </c>
      <c r="H2438">
        <f>IF(OR(H1716="",AND(H1716=H1715,H1716=H1717)),NA(), H1716)</f>
        <v>0</v>
      </c>
      <c r="K2438">
        <f>IF(ISNA(L2438),NA(),K1716)</f>
        <v>0</v>
      </c>
      <c r="L2438">
        <f>IF(OR(L1716="",AND(L1716=L1715,L1716=L1717)),NA(), L1716)</f>
        <v>0</v>
      </c>
      <c r="M2438">
        <f>IF(ISNA(N2438),NA(),M1716)</f>
        <v>0</v>
      </c>
      <c r="N2438">
        <f>IF(OR(N1716="",AND(N1716=N1715,N1716=N1717)),NA(), N1716)</f>
        <v>0</v>
      </c>
    </row>
    <row r="2439" spans="5:14">
      <c r="E2439">
        <f>IF(ISNA(F2439),NA(),E1717)</f>
        <v>0</v>
      </c>
      <c r="F2439">
        <f>IF(OR(F1717="",AND(F1717=F1716,F1717=F1718)),NA(), F1717)</f>
        <v>0</v>
      </c>
      <c r="G2439">
        <f>IF(ISNA(H2439),NA(),G1717)</f>
        <v>0</v>
      </c>
      <c r="H2439">
        <f>IF(OR(H1717="",AND(H1717=H1716,H1717=H1718)),NA(), H1717)</f>
        <v>0</v>
      </c>
      <c r="K2439">
        <f>IF(ISNA(L2439),NA(),K1717)</f>
        <v>0</v>
      </c>
      <c r="L2439">
        <f>IF(OR(L1717="",AND(L1717=L1716,L1717=L1718)),NA(), L1717)</f>
        <v>0</v>
      </c>
      <c r="M2439">
        <f>IF(ISNA(N2439),NA(),M1717)</f>
        <v>0</v>
      </c>
      <c r="N2439">
        <f>IF(OR(N1717="",AND(N1717=N1716,N1717=N1718)),NA(), N1717)</f>
        <v>0</v>
      </c>
    </row>
    <row r="2440" spans="5:14">
      <c r="E2440">
        <f>IF(ISNA(F2440),NA(),E1718)</f>
        <v>0</v>
      </c>
      <c r="F2440">
        <f>IF(OR(F1718="",AND(F1718=F1717,F1718=F1719)),NA(), F1718)</f>
        <v>0</v>
      </c>
      <c r="G2440">
        <f>IF(ISNA(H2440),NA(),G1718)</f>
        <v>0</v>
      </c>
      <c r="H2440">
        <f>IF(OR(H1718="",AND(H1718=H1717,H1718=H1719)),NA(), H1718)</f>
        <v>0</v>
      </c>
      <c r="K2440">
        <f>IF(ISNA(L2440),NA(),K1718)</f>
        <v>0</v>
      </c>
      <c r="L2440">
        <f>IF(OR(L1718="",AND(L1718=L1717,L1718=L1719)),NA(), L1718)</f>
        <v>0</v>
      </c>
      <c r="M2440">
        <f>IF(ISNA(N2440),NA(),M1718)</f>
        <v>0</v>
      </c>
      <c r="N2440">
        <f>IF(OR(N1718="",AND(N1718=N1717,N1718=N1719)),NA(), N1718)</f>
        <v>0</v>
      </c>
    </row>
    <row r="2441" spans="5:14">
      <c r="E2441">
        <f>IF(ISNA(F2441),NA(),E1719)</f>
        <v>0</v>
      </c>
      <c r="F2441">
        <f>IF(OR(F1719="",AND(F1719=F1718,F1719=F1720)),NA(), F1719)</f>
        <v>0</v>
      </c>
      <c r="G2441">
        <f>IF(ISNA(H2441),NA(),G1719)</f>
        <v>0</v>
      </c>
      <c r="H2441">
        <f>IF(OR(H1719="",AND(H1719=H1718,H1719=H1720)),NA(), H1719)</f>
        <v>0</v>
      </c>
      <c r="K2441">
        <f>IF(ISNA(L2441),NA(),K1719)</f>
        <v>0</v>
      </c>
      <c r="L2441">
        <f>IF(OR(L1719="",AND(L1719=L1718,L1719=L1720)),NA(), L1719)</f>
        <v>0</v>
      </c>
      <c r="M2441">
        <f>IF(ISNA(N2441),NA(),M1719)</f>
        <v>0</v>
      </c>
      <c r="N2441">
        <f>IF(OR(N1719="",AND(N1719=N1718,N1719=N1720)),NA(), N1719)</f>
        <v>0</v>
      </c>
    </row>
    <row r="2442" spans="5:14">
      <c r="E2442">
        <f>IF(ISNA(F2442),NA(),E1720)</f>
        <v>0</v>
      </c>
      <c r="F2442">
        <f>IF(OR(F1720="",AND(F1720=F1719,F1720=F1721)),NA(), F1720)</f>
        <v>0</v>
      </c>
      <c r="G2442">
        <f>IF(ISNA(H2442),NA(),G1720)</f>
        <v>0</v>
      </c>
      <c r="H2442">
        <f>IF(OR(H1720="",AND(H1720=H1719,H1720=H1721)),NA(), H1720)</f>
        <v>0</v>
      </c>
      <c r="K2442">
        <f>IF(ISNA(L2442),NA(),K1720)</f>
        <v>0</v>
      </c>
      <c r="L2442">
        <f>IF(OR(L1720="",AND(L1720=L1719,L1720=L1721)),NA(), L1720)</f>
        <v>0</v>
      </c>
      <c r="M2442">
        <f>IF(ISNA(N2442),NA(),M1720)</f>
        <v>0</v>
      </c>
      <c r="N2442">
        <f>IF(OR(N1720="",AND(N1720=N1719,N1720=N1721)),NA(), N1720)</f>
        <v>0</v>
      </c>
    </row>
    <row r="2443" spans="5:14">
      <c r="E2443">
        <f>IF(ISNA(F2443),NA(),E1721)</f>
        <v>0</v>
      </c>
      <c r="F2443">
        <f>IF(OR(F1721="",AND(F1721=F1720,F1721=F1722)),NA(), F1721)</f>
        <v>0</v>
      </c>
      <c r="G2443">
        <f>IF(ISNA(H2443),NA(),G1721)</f>
        <v>0</v>
      </c>
      <c r="H2443">
        <f>IF(OR(H1721="",AND(H1721=H1720,H1721=H1722)),NA(), H1721)</f>
        <v>0</v>
      </c>
      <c r="K2443">
        <f>IF(ISNA(L2443),NA(),K1721)</f>
        <v>0</v>
      </c>
      <c r="L2443">
        <f>IF(OR(L1721="",AND(L1721=L1720,L1721=L1722)),NA(), L1721)</f>
        <v>0</v>
      </c>
      <c r="M2443">
        <f>IF(ISNA(N2443),NA(),M1721)</f>
        <v>0</v>
      </c>
      <c r="N2443">
        <f>IF(OR(N1721="",AND(N1721=N1720,N1721=N1722)),NA(), N1721)</f>
        <v>0</v>
      </c>
    </row>
    <row r="2444" spans="5:14">
      <c r="E2444">
        <f>IF(ISNA(F2444),NA(),E1722)</f>
        <v>0</v>
      </c>
      <c r="F2444">
        <f>IF(OR(F1722="",AND(F1722=F1721,F1722=F1723)),NA(), F1722)</f>
        <v>0</v>
      </c>
      <c r="G2444">
        <f>IF(ISNA(H2444),NA(),G1722)</f>
        <v>0</v>
      </c>
      <c r="H2444">
        <f>IF(OR(H1722="",AND(H1722=H1721,H1722=H1723)),NA(), H1722)</f>
        <v>0</v>
      </c>
      <c r="K2444">
        <f>IF(ISNA(L2444),NA(),K1722)</f>
        <v>0</v>
      </c>
      <c r="L2444">
        <f>IF(OR(L1722="",AND(L1722=L1721,L1722=L1723)),NA(), L1722)</f>
        <v>0</v>
      </c>
      <c r="M2444">
        <f>IF(ISNA(N2444),NA(),M1722)</f>
        <v>0</v>
      </c>
      <c r="N2444">
        <f>IF(OR(N1722="",AND(N1722=N1721,N1722=N1723)),NA(), N1722)</f>
        <v>0</v>
      </c>
    </row>
    <row r="2445" spans="5:14">
      <c r="E2445">
        <f>IF(ISNA(F2445),NA(),E1723)</f>
        <v>0</v>
      </c>
      <c r="F2445">
        <f>IF(OR(F1723="",AND(F1723=F1722,F1723=F1724)),NA(), F1723)</f>
        <v>0</v>
      </c>
      <c r="G2445">
        <f>IF(ISNA(H2445),NA(),G1723)</f>
        <v>0</v>
      </c>
      <c r="H2445">
        <f>IF(OR(H1723="",AND(H1723=H1722,H1723=H1724)),NA(), H1723)</f>
        <v>0</v>
      </c>
      <c r="K2445">
        <f>IF(ISNA(L2445),NA(),K1723)</f>
        <v>0</v>
      </c>
      <c r="L2445">
        <f>IF(OR(L1723="",AND(L1723=L1722,L1723=L1724)),NA(), L1723)</f>
        <v>0</v>
      </c>
      <c r="M2445">
        <f>IF(ISNA(N2445),NA(),M1723)</f>
        <v>0</v>
      </c>
      <c r="N2445">
        <f>IF(OR(N1723="",AND(N1723=N1722,N1723=N1724)),NA(), N1723)</f>
        <v>0</v>
      </c>
    </row>
    <row r="2446" spans="5:14">
      <c r="E2446">
        <f>IF(ISNA(F2446),NA(),E1724)</f>
        <v>0</v>
      </c>
      <c r="F2446">
        <f>IF(OR(F1724="",AND(F1724=F1723,F1724=F1725)),NA(), F1724)</f>
        <v>0</v>
      </c>
      <c r="G2446">
        <f>IF(ISNA(H2446),NA(),G1724)</f>
        <v>0</v>
      </c>
      <c r="H2446">
        <f>IF(OR(H1724="",AND(H1724=H1723,H1724=H1725)),NA(), H1724)</f>
        <v>0</v>
      </c>
      <c r="K2446">
        <f>IF(ISNA(L2446),NA(),K1724)</f>
        <v>0</v>
      </c>
      <c r="L2446">
        <f>IF(OR(L1724="",AND(L1724=L1723,L1724=L1725)),NA(), L1724)</f>
        <v>0</v>
      </c>
      <c r="M2446">
        <f>IF(ISNA(N2446),NA(),M1724)</f>
        <v>0</v>
      </c>
      <c r="N2446">
        <f>IF(OR(N1724="",AND(N1724=N1723,N1724=N1725)),NA(), N1724)</f>
        <v>0</v>
      </c>
    </row>
    <row r="2447" spans="5:14">
      <c r="E2447">
        <f>IF(ISNA(F2447),NA(),E1725)</f>
        <v>0</v>
      </c>
      <c r="F2447">
        <f>IF(OR(F1725="",AND(F1725=F1724,F1725=F1726)),NA(), F1725)</f>
        <v>0</v>
      </c>
      <c r="G2447">
        <f>IF(ISNA(H2447),NA(),G1725)</f>
        <v>0</v>
      </c>
      <c r="H2447">
        <f>IF(OR(H1725="",AND(H1725=H1724,H1725=H1726)),NA(), H1725)</f>
        <v>0</v>
      </c>
      <c r="K2447">
        <f>IF(ISNA(L2447),NA(),K1725)</f>
        <v>0</v>
      </c>
      <c r="L2447">
        <f>IF(OR(L1725="",AND(L1725=L1724,L1725=L1726)),NA(), L1725)</f>
        <v>0</v>
      </c>
      <c r="M2447">
        <f>IF(ISNA(N2447),NA(),M1725)</f>
        <v>0</v>
      </c>
      <c r="N2447">
        <f>IF(OR(N1725="",AND(N1725=N1724,N1725=N1726)),NA(), N1725)</f>
        <v>0</v>
      </c>
    </row>
    <row r="2448" spans="5:14">
      <c r="E2448">
        <f>IF(ISNA(F2448),NA(),E1726)</f>
        <v>0</v>
      </c>
      <c r="F2448">
        <f>IF(OR(F1726="",AND(F1726=F1725,F1726=F1727)),NA(), F1726)</f>
        <v>0</v>
      </c>
      <c r="G2448">
        <f>IF(ISNA(H2448),NA(),G1726)</f>
        <v>0</v>
      </c>
      <c r="H2448">
        <f>IF(OR(H1726="",AND(H1726=H1725,H1726=H1727)),NA(), H1726)</f>
        <v>0</v>
      </c>
      <c r="K2448">
        <f>IF(ISNA(L2448),NA(),K1726)</f>
        <v>0</v>
      </c>
      <c r="L2448">
        <f>IF(OR(L1726="",AND(L1726=L1725,L1726=L1727)),NA(), L1726)</f>
        <v>0</v>
      </c>
      <c r="M2448">
        <f>IF(ISNA(N2448),NA(),M1726)</f>
        <v>0</v>
      </c>
      <c r="N2448">
        <f>IF(OR(N1726="",AND(N1726=N1725,N1726=N1727)),NA(), N1726)</f>
        <v>0</v>
      </c>
    </row>
    <row r="2449" spans="5:14">
      <c r="E2449">
        <f>IF(ISNA(F2449),NA(),E1727)</f>
        <v>0</v>
      </c>
      <c r="F2449">
        <f>IF(OR(F1727="",AND(F1727=F1726,F1727=F1728)),NA(), F1727)</f>
        <v>0</v>
      </c>
      <c r="G2449">
        <f>IF(ISNA(H2449),NA(),G1727)</f>
        <v>0</v>
      </c>
      <c r="H2449">
        <f>IF(OR(H1727="",AND(H1727=H1726,H1727=H1728)),NA(), H1727)</f>
        <v>0</v>
      </c>
      <c r="K2449">
        <f>IF(ISNA(L2449),NA(),K1727)</f>
        <v>0</v>
      </c>
      <c r="L2449">
        <f>IF(OR(L1727="",AND(L1727=L1726,L1727=L1728)),NA(), L1727)</f>
        <v>0</v>
      </c>
      <c r="M2449">
        <f>IF(ISNA(N2449),NA(),M1727)</f>
        <v>0</v>
      </c>
      <c r="N2449">
        <f>IF(OR(N1727="",AND(N1727=N1726,N1727=N1728)),NA(), N1727)</f>
        <v>0</v>
      </c>
    </row>
    <row r="2450" spans="5:14">
      <c r="E2450">
        <f>IF(ISNA(F2450),NA(),E1728)</f>
        <v>0</v>
      </c>
      <c r="F2450">
        <f>IF(OR(F1728="",AND(F1728=F1727,F1728=F1729)),NA(), F1728)</f>
        <v>0</v>
      </c>
      <c r="G2450">
        <f>IF(ISNA(H2450),NA(),G1728)</f>
        <v>0</v>
      </c>
      <c r="H2450">
        <f>IF(OR(H1728="",AND(H1728=H1727,H1728=H1729)),NA(), H1728)</f>
        <v>0</v>
      </c>
      <c r="K2450">
        <f>IF(ISNA(L2450),NA(),K1728)</f>
        <v>0</v>
      </c>
      <c r="L2450">
        <f>IF(OR(L1728="",AND(L1728=L1727,L1728=L1729)),NA(), L1728)</f>
        <v>0</v>
      </c>
      <c r="M2450">
        <f>IF(ISNA(N2450),NA(),M1728)</f>
        <v>0</v>
      </c>
      <c r="N2450">
        <f>IF(OR(N1728="",AND(N1728=N1727,N1728=N1729)),NA(), N1728)</f>
        <v>0</v>
      </c>
    </row>
    <row r="2451" spans="5:14">
      <c r="E2451">
        <f>IF(ISNA(F2451),NA(),E1729)</f>
        <v>0</v>
      </c>
      <c r="F2451">
        <f>IF(OR(F1729="",AND(F1729=F1728,F1729=F1730)),NA(), F1729)</f>
        <v>0</v>
      </c>
      <c r="G2451">
        <f>IF(ISNA(H2451),NA(),G1729)</f>
        <v>0</v>
      </c>
      <c r="H2451">
        <f>IF(OR(H1729="",AND(H1729=H1728,H1729=H1730)),NA(), H1729)</f>
        <v>0</v>
      </c>
      <c r="K2451">
        <f>IF(ISNA(L2451),NA(),K1729)</f>
        <v>0</v>
      </c>
      <c r="L2451">
        <f>IF(OR(L1729="",AND(L1729=L1728,L1729=L1730)),NA(), L1729)</f>
        <v>0</v>
      </c>
      <c r="M2451">
        <f>IF(ISNA(N2451),NA(),M1729)</f>
        <v>0</v>
      </c>
      <c r="N2451">
        <f>IF(OR(N1729="",AND(N1729=N1728,N1729=N1730)),NA(), N1729)</f>
        <v>0</v>
      </c>
    </row>
    <row r="2452" spans="5:14">
      <c r="E2452">
        <f>IF(ISNA(F2452),NA(),E1730)</f>
        <v>0</v>
      </c>
      <c r="F2452">
        <f>IF(OR(F1730="",AND(F1730=F1729,F1730=F1731)),NA(), F1730)</f>
        <v>0</v>
      </c>
      <c r="G2452">
        <f>IF(ISNA(H2452),NA(),G1730)</f>
        <v>0</v>
      </c>
      <c r="H2452">
        <f>IF(OR(H1730="",AND(H1730=H1729,H1730=H1731)),NA(), H1730)</f>
        <v>0</v>
      </c>
      <c r="K2452">
        <f>IF(ISNA(L2452),NA(),K1730)</f>
        <v>0</v>
      </c>
      <c r="L2452">
        <f>IF(OR(L1730="",AND(L1730=L1729,L1730=L1731)),NA(), L1730)</f>
        <v>0</v>
      </c>
      <c r="M2452">
        <f>IF(ISNA(N2452),NA(),M1730)</f>
        <v>0</v>
      </c>
      <c r="N2452">
        <f>IF(OR(N1730="",AND(N1730=N1729,N1730=N1731)),NA(), N1730)</f>
        <v>0</v>
      </c>
    </row>
    <row r="2453" spans="5:14">
      <c r="E2453">
        <f>IF(ISNA(F2453),NA(),E1731)</f>
        <v>0</v>
      </c>
      <c r="F2453">
        <f>IF(OR(F1731="",AND(F1731=F1730,F1731=F1732)),NA(), F1731)</f>
        <v>0</v>
      </c>
      <c r="G2453">
        <f>IF(ISNA(H2453),NA(),G1731)</f>
        <v>0</v>
      </c>
      <c r="H2453">
        <f>IF(OR(H1731="",AND(H1731=H1730,H1731=H1732)),NA(), H1731)</f>
        <v>0</v>
      </c>
      <c r="K2453">
        <f>IF(ISNA(L2453),NA(),K1731)</f>
        <v>0</v>
      </c>
      <c r="L2453">
        <f>IF(OR(L1731="",AND(L1731=L1730,L1731=L1732)),NA(), L1731)</f>
        <v>0</v>
      </c>
      <c r="M2453">
        <f>IF(ISNA(N2453),NA(),M1731)</f>
        <v>0</v>
      </c>
      <c r="N2453">
        <f>IF(OR(N1731="",AND(N1731=N1730,N1731=N1732)),NA(), N1731)</f>
        <v>0</v>
      </c>
    </row>
    <row r="2454" spans="5:14">
      <c r="E2454">
        <f>IF(ISNA(F2454),NA(),E1732)</f>
        <v>0</v>
      </c>
      <c r="F2454">
        <f>IF(OR(F1732="",AND(F1732=F1731,F1732=F1733)),NA(), F1732)</f>
        <v>0</v>
      </c>
      <c r="G2454">
        <f>IF(ISNA(H2454),NA(),G1732)</f>
        <v>0</v>
      </c>
      <c r="H2454">
        <f>IF(OR(H1732="",AND(H1732=H1731,H1732=H1733)),NA(), H1732)</f>
        <v>0</v>
      </c>
      <c r="K2454">
        <f>IF(ISNA(L2454),NA(),K1732)</f>
        <v>0</v>
      </c>
      <c r="L2454">
        <f>IF(OR(L1732="",AND(L1732=L1731,L1732=L1733)),NA(), L1732)</f>
        <v>0</v>
      </c>
      <c r="M2454">
        <f>IF(ISNA(N2454),NA(),M1732)</f>
        <v>0</v>
      </c>
      <c r="N2454">
        <f>IF(OR(N1732="",AND(N1732=N1731,N1732=N1733)),NA(), N1732)</f>
        <v>0</v>
      </c>
    </row>
    <row r="2455" spans="5:14">
      <c r="E2455">
        <f>IF(ISNA(F2455),NA(),E1733)</f>
        <v>0</v>
      </c>
      <c r="F2455">
        <f>IF(OR(F1733="",AND(F1733=F1732,F1733=F1734)),NA(), F1733)</f>
        <v>0</v>
      </c>
      <c r="G2455">
        <f>IF(ISNA(H2455),NA(),G1733)</f>
        <v>0</v>
      </c>
      <c r="H2455">
        <f>IF(OR(H1733="",AND(H1733=H1732,H1733=H1734)),NA(), H1733)</f>
        <v>0</v>
      </c>
      <c r="K2455">
        <f>IF(ISNA(L2455),NA(),K1733)</f>
        <v>0</v>
      </c>
      <c r="L2455">
        <f>IF(OR(L1733="",AND(L1733=L1732,L1733=L1734)),NA(), L1733)</f>
        <v>0</v>
      </c>
      <c r="M2455">
        <f>IF(ISNA(N2455),NA(),M1733)</f>
        <v>0</v>
      </c>
      <c r="N2455">
        <f>IF(OR(N1733="",AND(N1733=N1732,N1733=N1734)),NA(), N1733)</f>
        <v>0</v>
      </c>
    </row>
    <row r="2456" spans="5:14">
      <c r="E2456">
        <f>IF(ISNA(F2456),NA(),E1734)</f>
        <v>0</v>
      </c>
      <c r="F2456">
        <f>IF(OR(F1734="",AND(F1734=F1733,F1734=F1735)),NA(), F1734)</f>
        <v>0</v>
      </c>
      <c r="G2456">
        <f>IF(ISNA(H2456),NA(),G1734)</f>
        <v>0</v>
      </c>
      <c r="H2456">
        <f>IF(OR(H1734="",AND(H1734=H1733,H1734=H1735)),NA(), H1734)</f>
        <v>0</v>
      </c>
      <c r="K2456">
        <f>IF(ISNA(L2456),NA(),K1734)</f>
        <v>0</v>
      </c>
      <c r="L2456">
        <f>IF(OR(L1734="",AND(L1734=L1733,L1734=L1735)),NA(), L1734)</f>
        <v>0</v>
      </c>
      <c r="M2456">
        <f>IF(ISNA(N2456),NA(),M1734)</f>
        <v>0</v>
      </c>
      <c r="N2456">
        <f>IF(OR(N1734="",AND(N1734=N1733,N1734=N1735)),NA(), N1734)</f>
        <v>0</v>
      </c>
    </row>
    <row r="2457" spans="5:14">
      <c r="E2457">
        <f>IF(ISNA(F2457),NA(),E1735)</f>
        <v>0</v>
      </c>
      <c r="F2457">
        <f>IF(OR(F1735="",AND(F1735=F1734,F1735=F1736)),NA(), F1735)</f>
        <v>0</v>
      </c>
      <c r="G2457">
        <f>IF(ISNA(H2457),NA(),G1735)</f>
        <v>0</v>
      </c>
      <c r="H2457">
        <f>IF(OR(H1735="",AND(H1735=H1734,H1735=H1736)),NA(), H1735)</f>
        <v>0</v>
      </c>
      <c r="K2457">
        <f>IF(ISNA(L2457),NA(),K1735)</f>
        <v>0</v>
      </c>
      <c r="L2457">
        <f>IF(OR(L1735="",AND(L1735=L1734,L1735=L1736)),NA(), L1735)</f>
        <v>0</v>
      </c>
      <c r="M2457">
        <f>IF(ISNA(N2457),NA(),M1735)</f>
        <v>0</v>
      </c>
      <c r="N2457">
        <f>IF(OR(N1735="",AND(N1735=N1734,N1735=N1736)),NA(), N1735)</f>
        <v>0</v>
      </c>
    </row>
    <row r="2458" spans="5:14">
      <c r="E2458">
        <f>IF(ISNA(F2458),NA(),E1736)</f>
        <v>0</v>
      </c>
      <c r="F2458">
        <f>IF(OR(F1736="",AND(F1736=F1735,F1736=F1737)),NA(), F1736)</f>
        <v>0</v>
      </c>
      <c r="G2458">
        <f>IF(ISNA(H2458),NA(),G1736)</f>
        <v>0</v>
      </c>
      <c r="H2458">
        <f>IF(OR(H1736="",AND(H1736=H1735,H1736=H1737)),NA(), H1736)</f>
        <v>0</v>
      </c>
      <c r="K2458">
        <f>IF(ISNA(L2458),NA(),K1736)</f>
        <v>0</v>
      </c>
      <c r="L2458">
        <f>IF(OR(L1736="",AND(L1736=L1735,L1736=L1737)),NA(), L1736)</f>
        <v>0</v>
      </c>
      <c r="M2458">
        <f>IF(ISNA(N2458),NA(),M1736)</f>
        <v>0</v>
      </c>
      <c r="N2458">
        <f>IF(OR(N1736="",AND(N1736=N1735,N1736=N1737)),NA(), N1736)</f>
        <v>0</v>
      </c>
    </row>
    <row r="2459" spans="5:14">
      <c r="E2459">
        <f>IF(ISNA(F2459),NA(),E1737)</f>
        <v>0</v>
      </c>
      <c r="F2459">
        <f>IF(OR(F1737="",AND(F1737=F1736,F1737=F1738)),NA(), F1737)</f>
        <v>0</v>
      </c>
      <c r="G2459">
        <f>IF(ISNA(H2459),NA(),G1737)</f>
        <v>0</v>
      </c>
      <c r="H2459">
        <f>IF(OR(H1737="",AND(H1737=H1736,H1737=H1738)),NA(), H1737)</f>
        <v>0</v>
      </c>
      <c r="K2459">
        <f>IF(ISNA(L2459),NA(),K1737)</f>
        <v>0</v>
      </c>
      <c r="L2459">
        <f>IF(OR(L1737="",AND(L1737=L1736,L1737=L1738)),NA(), L1737)</f>
        <v>0</v>
      </c>
      <c r="M2459">
        <f>IF(ISNA(N2459),NA(),M1737)</f>
        <v>0</v>
      </c>
      <c r="N2459">
        <f>IF(OR(N1737="",AND(N1737=N1736,N1737=N1738)),NA(), N1737)</f>
        <v>0</v>
      </c>
    </row>
    <row r="2460" spans="5:14">
      <c r="E2460">
        <f>IF(ISNA(F2460),NA(),E1738)</f>
        <v>0</v>
      </c>
      <c r="F2460">
        <f>IF(OR(F1738="",AND(F1738=F1737,F1738=F1739)),NA(), F1738)</f>
        <v>0</v>
      </c>
      <c r="G2460">
        <f>IF(ISNA(H2460),NA(),G1738)</f>
        <v>0</v>
      </c>
      <c r="H2460">
        <f>IF(OR(H1738="",AND(H1738=H1737,H1738=H1739)),NA(), H1738)</f>
        <v>0</v>
      </c>
      <c r="K2460">
        <f>IF(ISNA(L2460),NA(),K1738)</f>
        <v>0</v>
      </c>
      <c r="L2460">
        <f>IF(OR(L1738="",AND(L1738=L1737,L1738=L1739)),NA(), L1738)</f>
        <v>0</v>
      </c>
      <c r="M2460">
        <f>IF(ISNA(N2460),NA(),M1738)</f>
        <v>0</v>
      </c>
      <c r="N2460">
        <f>IF(OR(N1738="",AND(N1738=N1737,N1738=N1739)),NA(), N1738)</f>
        <v>0</v>
      </c>
    </row>
    <row r="2461" spans="5:14">
      <c r="E2461">
        <f>IF(ISNA(F2461),NA(),E1739)</f>
        <v>0</v>
      </c>
      <c r="F2461">
        <f>IF(OR(F1739="",AND(F1739=F1738,F1739=F1740)),NA(), F1739)</f>
        <v>0</v>
      </c>
      <c r="G2461">
        <f>IF(ISNA(H2461),NA(),G1739)</f>
        <v>0</v>
      </c>
      <c r="H2461">
        <f>IF(OR(H1739="",AND(H1739=H1738,H1739=H1740)),NA(), H1739)</f>
        <v>0</v>
      </c>
      <c r="K2461">
        <f>IF(ISNA(L2461),NA(),K1739)</f>
        <v>0</v>
      </c>
      <c r="L2461">
        <f>IF(OR(L1739="",AND(L1739=L1738,L1739=L1740)),NA(), L1739)</f>
        <v>0</v>
      </c>
      <c r="M2461">
        <f>IF(ISNA(N2461),NA(),M1739)</f>
        <v>0</v>
      </c>
      <c r="N2461">
        <f>IF(OR(N1739="",AND(N1739=N1738,N1739=N1740)),NA(), N1739)</f>
        <v>0</v>
      </c>
    </row>
    <row r="2462" spans="5:14">
      <c r="E2462">
        <f>IF(ISNA(F2462),NA(),E1740)</f>
        <v>0</v>
      </c>
      <c r="F2462">
        <f>IF(OR(F1740="",AND(F1740=F1739,F1740=F1741)),NA(), F1740)</f>
        <v>0</v>
      </c>
      <c r="G2462">
        <f>IF(ISNA(H2462),NA(),G1740)</f>
        <v>0</v>
      </c>
      <c r="H2462">
        <f>IF(OR(H1740="",AND(H1740=H1739,H1740=H1741)),NA(), H1740)</f>
        <v>0</v>
      </c>
      <c r="K2462">
        <f>IF(ISNA(L2462),NA(),K1740)</f>
        <v>0</v>
      </c>
      <c r="L2462">
        <f>IF(OR(L1740="",AND(L1740=L1739,L1740=L1741)),NA(), L1740)</f>
        <v>0</v>
      </c>
      <c r="M2462">
        <f>IF(ISNA(N2462),NA(),M1740)</f>
        <v>0</v>
      </c>
      <c r="N2462">
        <f>IF(OR(N1740="",AND(N1740=N1739,N1740=N1741)),NA(), N1740)</f>
        <v>0</v>
      </c>
    </row>
    <row r="2463" spans="5:14">
      <c r="E2463">
        <f>IF(ISNA(F2463),NA(),E1741)</f>
        <v>0</v>
      </c>
      <c r="F2463">
        <f>IF(OR(F1741="",AND(F1741=F1740,F1741=F1742)),NA(), F1741)</f>
        <v>0</v>
      </c>
      <c r="G2463">
        <f>IF(ISNA(H2463),NA(),G1741)</f>
        <v>0</v>
      </c>
      <c r="H2463">
        <f>IF(OR(H1741="",AND(H1741=H1740,H1741=H1742)),NA(), H1741)</f>
        <v>0</v>
      </c>
      <c r="K2463">
        <f>IF(ISNA(L2463),NA(),K1741)</f>
        <v>0</v>
      </c>
      <c r="L2463">
        <f>IF(OR(L1741="",AND(L1741=L1740,L1741=L1742)),NA(), L1741)</f>
        <v>0</v>
      </c>
      <c r="M2463">
        <f>IF(ISNA(N2463),NA(),M1741)</f>
        <v>0</v>
      </c>
      <c r="N2463">
        <f>IF(OR(N1741="",AND(N1741=N1740,N1741=N1742)),NA(), N1741)</f>
        <v>0</v>
      </c>
    </row>
    <row r="2464" spans="5:14">
      <c r="E2464">
        <f>IF(ISNA(F2464),NA(),E1742)</f>
        <v>0</v>
      </c>
      <c r="F2464">
        <f>IF(OR(F1742="",AND(F1742=F1741,F1742=F1743)),NA(), F1742)</f>
        <v>0</v>
      </c>
      <c r="G2464">
        <f>IF(ISNA(H2464),NA(),G1742)</f>
        <v>0</v>
      </c>
      <c r="H2464">
        <f>IF(OR(H1742="",AND(H1742=H1741,H1742=H1743)),NA(), H1742)</f>
        <v>0</v>
      </c>
      <c r="K2464">
        <f>IF(ISNA(L2464),NA(),K1742)</f>
        <v>0</v>
      </c>
      <c r="L2464">
        <f>IF(OR(L1742="",AND(L1742=L1741,L1742=L1743)),NA(), L1742)</f>
        <v>0</v>
      </c>
      <c r="M2464">
        <f>IF(ISNA(N2464),NA(),M1742)</f>
        <v>0</v>
      </c>
      <c r="N2464">
        <f>IF(OR(N1742="",AND(N1742=N1741,N1742=N1743)),NA(), N1742)</f>
        <v>0</v>
      </c>
    </row>
    <row r="2465" spans="5:14">
      <c r="E2465">
        <f>IF(ISNA(F2465),NA(),E1743)</f>
        <v>0</v>
      </c>
      <c r="F2465">
        <f>IF(OR(F1743="",AND(F1743=F1742,F1743=F1744)),NA(), F1743)</f>
        <v>0</v>
      </c>
      <c r="G2465">
        <f>IF(ISNA(H2465),NA(),G1743)</f>
        <v>0</v>
      </c>
      <c r="H2465">
        <f>IF(OR(H1743="",AND(H1743=H1742,H1743=H1744)),NA(), H1743)</f>
        <v>0</v>
      </c>
      <c r="K2465">
        <f>IF(ISNA(L2465),NA(),K1743)</f>
        <v>0</v>
      </c>
      <c r="L2465">
        <f>IF(OR(L1743="",AND(L1743=L1742,L1743=L1744)),NA(), L1743)</f>
        <v>0</v>
      </c>
      <c r="M2465">
        <f>IF(ISNA(N2465),NA(),M1743)</f>
        <v>0</v>
      </c>
      <c r="N2465">
        <f>IF(OR(N1743="",AND(N1743=N1742,N1743=N1744)),NA(), N1743)</f>
        <v>0</v>
      </c>
    </row>
    <row r="2466" spans="5:14">
      <c r="E2466">
        <f>IF(ISNA(F2466),NA(),E1744)</f>
        <v>0</v>
      </c>
      <c r="F2466">
        <f>IF(OR(F1744="",AND(F1744=F1743,F1744=F1745)),NA(), F1744)</f>
        <v>0</v>
      </c>
      <c r="G2466">
        <f>IF(ISNA(H2466),NA(),G1744)</f>
        <v>0</v>
      </c>
      <c r="H2466">
        <f>IF(OR(H1744="",AND(H1744=H1743,H1744=H1745)),NA(), H1744)</f>
        <v>0</v>
      </c>
      <c r="K2466">
        <f>IF(ISNA(L2466),NA(),K1744)</f>
        <v>0</v>
      </c>
      <c r="L2466">
        <f>IF(OR(L1744="",AND(L1744=L1743,L1744=L1745)),NA(), L1744)</f>
        <v>0</v>
      </c>
      <c r="M2466">
        <f>IF(ISNA(N2466),NA(),M1744)</f>
        <v>0</v>
      </c>
      <c r="N2466">
        <f>IF(OR(N1744="",AND(N1744=N1743,N1744=N1745)),NA(), N1744)</f>
        <v>0</v>
      </c>
    </row>
    <row r="2467" spans="5:14">
      <c r="E2467">
        <f>IF(ISNA(F2467),NA(),E1745)</f>
        <v>0</v>
      </c>
      <c r="F2467">
        <f>IF(OR(F1745="",AND(F1745=F1744,F1745=F1746)),NA(), F1745)</f>
        <v>0</v>
      </c>
      <c r="G2467">
        <f>IF(ISNA(H2467),NA(),G1745)</f>
        <v>0</v>
      </c>
      <c r="H2467">
        <f>IF(OR(H1745="",AND(H1745=H1744,H1745=H1746)),NA(), H1745)</f>
        <v>0</v>
      </c>
      <c r="K2467">
        <f>IF(ISNA(L2467),NA(),K1745)</f>
        <v>0</v>
      </c>
      <c r="L2467">
        <f>IF(OR(L1745="",AND(L1745=L1744,L1745=L1746)),NA(), L1745)</f>
        <v>0</v>
      </c>
      <c r="M2467">
        <f>IF(ISNA(N2467),NA(),M1745)</f>
        <v>0</v>
      </c>
      <c r="N2467">
        <f>IF(OR(N1745="",AND(N1745=N1744,N1745=N1746)),NA(), N1745)</f>
        <v>0</v>
      </c>
    </row>
    <row r="2468" spans="5:14">
      <c r="E2468">
        <f>IF(ISNA(F2468),NA(),E1746)</f>
        <v>0</v>
      </c>
      <c r="F2468">
        <f>IF(OR(F1746="",AND(F1746=F1745,F1746=F1747)),NA(), F1746)</f>
        <v>0</v>
      </c>
      <c r="G2468">
        <f>IF(ISNA(H2468),NA(),G1746)</f>
        <v>0</v>
      </c>
      <c r="H2468">
        <f>IF(OR(H1746="",AND(H1746=H1745,H1746=H1747)),NA(), H1746)</f>
        <v>0</v>
      </c>
      <c r="K2468">
        <f>IF(ISNA(L2468),NA(),K1746)</f>
        <v>0</v>
      </c>
      <c r="L2468">
        <f>IF(OR(L1746="",AND(L1746=L1745,L1746=L1747)),NA(), L1746)</f>
        <v>0</v>
      </c>
      <c r="M2468">
        <f>IF(ISNA(N2468),NA(),M1746)</f>
        <v>0</v>
      </c>
      <c r="N2468">
        <f>IF(OR(N1746="",AND(N1746=N1745,N1746=N1747)),NA(), N1746)</f>
        <v>0</v>
      </c>
    </row>
    <row r="2469" spans="5:14">
      <c r="E2469">
        <f>IF(ISNA(F2469),NA(),E1747)</f>
        <v>0</v>
      </c>
      <c r="F2469">
        <f>IF(OR(F1747="",AND(F1747=F1746,F1747=F1748)),NA(), F1747)</f>
        <v>0</v>
      </c>
      <c r="G2469">
        <f>IF(ISNA(H2469),NA(),G1747)</f>
        <v>0</v>
      </c>
      <c r="H2469">
        <f>IF(OR(H1747="",AND(H1747=H1746,H1747=H1748)),NA(), H1747)</f>
        <v>0</v>
      </c>
      <c r="K2469">
        <f>IF(ISNA(L2469),NA(),K1747)</f>
        <v>0</v>
      </c>
      <c r="L2469">
        <f>IF(OR(L1747="",AND(L1747=L1746,L1747=L1748)),NA(), L1747)</f>
        <v>0</v>
      </c>
      <c r="M2469">
        <f>IF(ISNA(N2469),NA(),M1747)</f>
        <v>0</v>
      </c>
      <c r="N2469">
        <f>IF(OR(N1747="",AND(N1747=N1746,N1747=N1748)),NA(), N1747)</f>
        <v>0</v>
      </c>
    </row>
    <row r="2470" spans="5:14">
      <c r="E2470">
        <f>IF(ISNA(F2470),NA(),E1748)</f>
        <v>0</v>
      </c>
      <c r="F2470">
        <f>IF(OR(F1748="",AND(F1748=F1747,F1748=F1749)),NA(), F1748)</f>
        <v>0</v>
      </c>
      <c r="G2470">
        <f>IF(ISNA(H2470),NA(),G1748)</f>
        <v>0</v>
      </c>
      <c r="H2470">
        <f>IF(OR(H1748="",AND(H1748=H1747,H1748=H1749)),NA(), H1748)</f>
        <v>0</v>
      </c>
      <c r="K2470">
        <f>IF(ISNA(L2470),NA(),K1748)</f>
        <v>0</v>
      </c>
      <c r="L2470">
        <f>IF(OR(L1748="",AND(L1748=L1747,L1748=L1749)),NA(), L1748)</f>
        <v>0</v>
      </c>
      <c r="M2470">
        <f>IF(ISNA(N2470),NA(),M1748)</f>
        <v>0</v>
      </c>
      <c r="N2470">
        <f>IF(OR(N1748="",AND(N1748=N1747,N1748=N1749)),NA(), N1748)</f>
        <v>0</v>
      </c>
    </row>
    <row r="2471" spans="5:14">
      <c r="E2471">
        <f>IF(ISNA(F2471),NA(),E1749)</f>
        <v>0</v>
      </c>
      <c r="F2471">
        <f>IF(OR(F1749="",AND(F1749=F1748,F1749=F1750)),NA(), F1749)</f>
        <v>0</v>
      </c>
      <c r="G2471">
        <f>IF(ISNA(H2471),NA(),G1749)</f>
        <v>0</v>
      </c>
      <c r="H2471">
        <f>IF(OR(H1749="",AND(H1749=H1748,H1749=H1750)),NA(), H1749)</f>
        <v>0</v>
      </c>
      <c r="K2471">
        <f>IF(ISNA(L2471),NA(),K1749)</f>
        <v>0</v>
      </c>
      <c r="L2471">
        <f>IF(OR(L1749="",AND(L1749=L1748,L1749=L1750)),NA(), L1749)</f>
        <v>0</v>
      </c>
      <c r="M2471">
        <f>IF(ISNA(N2471),NA(),M1749)</f>
        <v>0</v>
      </c>
      <c r="N2471">
        <f>IF(OR(N1749="",AND(N1749=N1748,N1749=N1750)),NA(), N1749)</f>
        <v>0</v>
      </c>
    </row>
    <row r="2472" spans="5:14">
      <c r="E2472">
        <f>IF(ISNA(F2472),NA(),E1750)</f>
        <v>0</v>
      </c>
      <c r="F2472">
        <f>IF(OR(F1750="",AND(F1750=F1749,F1750=F1751)),NA(), F1750)</f>
        <v>0</v>
      </c>
      <c r="G2472">
        <f>IF(ISNA(H2472),NA(),G1750)</f>
        <v>0</v>
      </c>
      <c r="H2472">
        <f>IF(OR(H1750="",AND(H1750=H1749,H1750=H1751)),NA(), H1750)</f>
        <v>0</v>
      </c>
      <c r="K2472">
        <f>IF(ISNA(L2472),NA(),K1750)</f>
        <v>0</v>
      </c>
      <c r="L2472">
        <f>IF(OR(L1750="",AND(L1750=L1749,L1750=L1751)),NA(), L1750)</f>
        <v>0</v>
      </c>
      <c r="M2472">
        <f>IF(ISNA(N2472),NA(),M1750)</f>
        <v>0</v>
      </c>
      <c r="N2472">
        <f>IF(OR(N1750="",AND(N1750=N1749,N1750=N1751)),NA(), N1750)</f>
        <v>0</v>
      </c>
    </row>
    <row r="2473" spans="5:14">
      <c r="E2473">
        <f>IF(ISNA(F2473),NA(),E1751)</f>
        <v>0</v>
      </c>
      <c r="F2473">
        <f>IF(OR(F1751="",AND(F1751=F1750,F1751=F1752)),NA(), F1751)</f>
        <v>0</v>
      </c>
      <c r="G2473">
        <f>IF(ISNA(H2473),NA(),G1751)</f>
        <v>0</v>
      </c>
      <c r="H2473">
        <f>IF(OR(H1751="",AND(H1751=H1750,H1751=H1752)),NA(), H1751)</f>
        <v>0</v>
      </c>
      <c r="K2473">
        <f>IF(ISNA(L2473),NA(),K1751)</f>
        <v>0</v>
      </c>
      <c r="L2473">
        <f>IF(OR(L1751="",AND(L1751=L1750,L1751=L1752)),NA(), L1751)</f>
        <v>0</v>
      </c>
      <c r="M2473">
        <f>IF(ISNA(N2473),NA(),M1751)</f>
        <v>0</v>
      </c>
      <c r="N2473">
        <f>IF(OR(N1751="",AND(N1751=N1750,N1751=N1752)),NA(), N1751)</f>
        <v>0</v>
      </c>
    </row>
    <row r="2474" spans="5:14">
      <c r="E2474">
        <f>IF(ISNA(F2474),NA(),E1752)</f>
        <v>0</v>
      </c>
      <c r="F2474">
        <f>IF(OR(F1752="",AND(F1752=F1751,F1752=F1753)),NA(), F1752)</f>
        <v>0</v>
      </c>
      <c r="G2474">
        <f>IF(ISNA(H2474),NA(),G1752)</f>
        <v>0</v>
      </c>
      <c r="H2474">
        <f>IF(OR(H1752="",AND(H1752=H1751,H1752=H1753)),NA(), H1752)</f>
        <v>0</v>
      </c>
      <c r="K2474">
        <f>IF(ISNA(L2474),NA(),K1752)</f>
        <v>0</v>
      </c>
      <c r="L2474">
        <f>IF(OR(L1752="",AND(L1752=L1751,L1752=L1753)),NA(), L1752)</f>
        <v>0</v>
      </c>
      <c r="M2474">
        <f>IF(ISNA(N2474),NA(),M1752)</f>
        <v>0</v>
      </c>
      <c r="N2474">
        <f>IF(OR(N1752="",AND(N1752=N1751,N1752=N1753)),NA(), N1752)</f>
        <v>0</v>
      </c>
    </row>
    <row r="2475" spans="5:14">
      <c r="E2475">
        <f>IF(ISNA(F2475),NA(),E1753)</f>
        <v>0</v>
      </c>
      <c r="F2475">
        <f>IF(OR(F1753="",AND(F1753=F1752,F1753=F1754)),NA(), F1753)</f>
        <v>0</v>
      </c>
      <c r="G2475">
        <f>IF(ISNA(H2475),NA(),G1753)</f>
        <v>0</v>
      </c>
      <c r="H2475">
        <f>IF(OR(H1753="",AND(H1753=H1752,H1753=H1754)),NA(), H1753)</f>
        <v>0</v>
      </c>
      <c r="K2475">
        <f>IF(ISNA(L2475),NA(),K1753)</f>
        <v>0</v>
      </c>
      <c r="L2475">
        <f>IF(OR(L1753="",AND(L1753=L1752,L1753=L1754)),NA(), L1753)</f>
        <v>0</v>
      </c>
      <c r="M2475">
        <f>IF(ISNA(N2475),NA(),M1753)</f>
        <v>0</v>
      </c>
      <c r="N2475">
        <f>IF(OR(N1753="",AND(N1753=N1752,N1753=N1754)),NA(), N1753)</f>
        <v>0</v>
      </c>
    </row>
    <row r="2476" spans="5:14">
      <c r="E2476">
        <f>IF(ISNA(F2476),NA(),E1754)</f>
        <v>0</v>
      </c>
      <c r="F2476">
        <f>IF(OR(F1754="",AND(F1754=F1753,F1754=F1755)),NA(), F1754)</f>
        <v>0</v>
      </c>
      <c r="G2476">
        <f>IF(ISNA(H2476),NA(),G1754)</f>
        <v>0</v>
      </c>
      <c r="H2476">
        <f>IF(OR(H1754="",AND(H1754=H1753,H1754=H1755)),NA(), H1754)</f>
        <v>0</v>
      </c>
      <c r="K2476">
        <f>IF(ISNA(L2476),NA(),K1754)</f>
        <v>0</v>
      </c>
      <c r="L2476">
        <f>IF(OR(L1754="",AND(L1754=L1753,L1754=L1755)),NA(), L1754)</f>
        <v>0</v>
      </c>
      <c r="M2476">
        <f>IF(ISNA(N2476),NA(),M1754)</f>
        <v>0</v>
      </c>
      <c r="N2476">
        <f>IF(OR(N1754="",AND(N1754=N1753,N1754=N1755)),NA(), N1754)</f>
        <v>0</v>
      </c>
    </row>
    <row r="2477" spans="5:14">
      <c r="E2477">
        <f>IF(ISNA(F2477),NA(),E1755)</f>
        <v>0</v>
      </c>
      <c r="F2477">
        <f>IF(OR(F1755="",AND(F1755=F1754,F1755=F1756)),NA(), F1755)</f>
        <v>0</v>
      </c>
      <c r="G2477">
        <f>IF(ISNA(H2477),NA(),G1755)</f>
        <v>0</v>
      </c>
      <c r="H2477">
        <f>IF(OR(H1755="",AND(H1755=H1754,H1755=H1756)),NA(), H1755)</f>
        <v>0</v>
      </c>
      <c r="K2477">
        <f>IF(ISNA(L2477),NA(),K1755)</f>
        <v>0</v>
      </c>
      <c r="L2477">
        <f>IF(OR(L1755="",AND(L1755=L1754,L1755=L1756)),NA(), L1755)</f>
        <v>0</v>
      </c>
      <c r="M2477">
        <f>IF(ISNA(N2477),NA(),M1755)</f>
        <v>0</v>
      </c>
      <c r="N2477">
        <f>IF(OR(N1755="",AND(N1755=N1754,N1755=N1756)),NA(), N1755)</f>
        <v>0</v>
      </c>
    </row>
    <row r="2478" spans="5:14">
      <c r="E2478">
        <f>IF(ISNA(F2478),NA(),E1756)</f>
        <v>0</v>
      </c>
      <c r="F2478">
        <f>IF(OR(F1756="",AND(F1756=F1755,F1756=F1757)),NA(), F1756)</f>
        <v>0</v>
      </c>
      <c r="G2478">
        <f>IF(ISNA(H2478),NA(),G1756)</f>
        <v>0</v>
      </c>
      <c r="H2478">
        <f>IF(OR(H1756="",AND(H1756=H1755,H1756=H1757)),NA(), H1756)</f>
        <v>0</v>
      </c>
      <c r="K2478">
        <f>IF(ISNA(L2478),NA(),K1756)</f>
        <v>0</v>
      </c>
      <c r="L2478">
        <f>IF(OR(L1756="",AND(L1756=L1755,L1756=L1757)),NA(), L1756)</f>
        <v>0</v>
      </c>
      <c r="M2478">
        <f>IF(ISNA(N2478),NA(),M1756)</f>
        <v>0</v>
      </c>
      <c r="N2478">
        <f>IF(OR(N1756="",AND(N1756=N1755,N1756=N1757)),NA(), N1756)</f>
        <v>0</v>
      </c>
    </row>
    <row r="2479" spans="5:14">
      <c r="E2479">
        <f>IF(ISNA(F2479),NA(),E1757)</f>
        <v>0</v>
      </c>
      <c r="F2479">
        <f>IF(OR(F1757="",AND(F1757=F1756,F1757=F1758)),NA(), F1757)</f>
        <v>0</v>
      </c>
      <c r="G2479">
        <f>IF(ISNA(H2479),NA(),G1757)</f>
        <v>0</v>
      </c>
      <c r="H2479">
        <f>IF(OR(H1757="",AND(H1757=H1756,H1757=H1758)),NA(), H1757)</f>
        <v>0</v>
      </c>
      <c r="K2479">
        <f>IF(ISNA(L2479),NA(),K1757)</f>
        <v>0</v>
      </c>
      <c r="L2479">
        <f>IF(OR(L1757="",AND(L1757=L1756,L1757=L1758)),NA(), L1757)</f>
        <v>0</v>
      </c>
      <c r="M2479">
        <f>IF(ISNA(N2479),NA(),M1757)</f>
        <v>0</v>
      </c>
      <c r="N2479">
        <f>IF(OR(N1757="",AND(N1757=N1756,N1757=N1758)),NA(), N1757)</f>
        <v>0</v>
      </c>
    </row>
    <row r="2480" spans="5:14">
      <c r="E2480">
        <f>IF(ISNA(F2480),NA(),E1758)</f>
        <v>0</v>
      </c>
      <c r="F2480">
        <f>IF(OR(F1758="",AND(F1758=F1757,F1758=F1759)),NA(), F1758)</f>
        <v>0</v>
      </c>
      <c r="G2480">
        <f>IF(ISNA(H2480),NA(),G1758)</f>
        <v>0</v>
      </c>
      <c r="H2480">
        <f>IF(OR(H1758="",AND(H1758=H1757,H1758=H1759)),NA(), H1758)</f>
        <v>0</v>
      </c>
      <c r="K2480">
        <f>IF(ISNA(L2480),NA(),K1758)</f>
        <v>0</v>
      </c>
      <c r="L2480">
        <f>IF(OR(L1758="",AND(L1758=L1757,L1758=L1759)),NA(), L1758)</f>
        <v>0</v>
      </c>
      <c r="M2480">
        <f>IF(ISNA(N2480),NA(),M1758)</f>
        <v>0</v>
      </c>
      <c r="N2480">
        <f>IF(OR(N1758="",AND(N1758=N1757,N1758=N1759)),NA(), N1758)</f>
        <v>0</v>
      </c>
    </row>
    <row r="2481" spans="5:14">
      <c r="E2481">
        <f>IF(ISNA(F2481),NA(),E1759)</f>
        <v>0</v>
      </c>
      <c r="F2481">
        <f>IF(OR(F1759="",AND(F1759=F1758,F1759=F1760)),NA(), F1759)</f>
        <v>0</v>
      </c>
      <c r="G2481">
        <f>IF(ISNA(H2481),NA(),G1759)</f>
        <v>0</v>
      </c>
      <c r="H2481">
        <f>IF(OR(H1759="",AND(H1759=H1758,H1759=H1760)),NA(), H1759)</f>
        <v>0</v>
      </c>
      <c r="K2481">
        <f>IF(ISNA(L2481),NA(),K1759)</f>
        <v>0</v>
      </c>
      <c r="L2481">
        <f>IF(OR(L1759="",AND(L1759=L1758,L1759=L1760)),NA(), L1759)</f>
        <v>0</v>
      </c>
      <c r="M2481">
        <f>IF(ISNA(N2481),NA(),M1759)</f>
        <v>0</v>
      </c>
      <c r="N2481">
        <f>IF(OR(N1759="",AND(N1759=N1758,N1759=N1760)),NA(), N1759)</f>
        <v>0</v>
      </c>
    </row>
    <row r="2482" spans="5:14">
      <c r="E2482">
        <f>IF(ISNA(F2482),NA(),E1760)</f>
        <v>0</v>
      </c>
      <c r="F2482">
        <f>IF(OR(F1760="",AND(F1760=F1759,F1760=F1761)),NA(), F1760)</f>
        <v>0</v>
      </c>
      <c r="G2482">
        <f>IF(ISNA(H2482),NA(),G1760)</f>
        <v>0</v>
      </c>
      <c r="H2482">
        <f>IF(OR(H1760="",AND(H1760=H1759,H1760=H1761)),NA(), H1760)</f>
        <v>0</v>
      </c>
      <c r="K2482">
        <f>IF(ISNA(L2482),NA(),K1760)</f>
        <v>0</v>
      </c>
      <c r="L2482">
        <f>IF(OR(L1760="",AND(L1760=L1759,L1760=L1761)),NA(), L1760)</f>
        <v>0</v>
      </c>
      <c r="M2482">
        <f>IF(ISNA(N2482),NA(),M1760)</f>
        <v>0</v>
      </c>
      <c r="N2482">
        <f>IF(OR(N1760="",AND(N1760=N1759,N1760=N1761)),NA(), N1760)</f>
        <v>0</v>
      </c>
    </row>
    <row r="2483" spans="5:14">
      <c r="E2483">
        <f>IF(ISNA(F2483),NA(),E1761)</f>
        <v>0</v>
      </c>
      <c r="F2483">
        <f>IF(OR(F1761="",AND(F1761=F1760,F1761=F1762)),NA(), F1761)</f>
        <v>0</v>
      </c>
      <c r="G2483">
        <f>IF(ISNA(H2483),NA(),G1761)</f>
        <v>0</v>
      </c>
      <c r="H2483">
        <f>IF(OR(H1761="",AND(H1761=H1760,H1761=H1762)),NA(), H1761)</f>
        <v>0</v>
      </c>
      <c r="K2483">
        <f>IF(ISNA(L2483),NA(),K1761)</f>
        <v>0</v>
      </c>
      <c r="L2483">
        <f>IF(OR(L1761="",AND(L1761=L1760,L1761=L1762)),NA(), L1761)</f>
        <v>0</v>
      </c>
      <c r="M2483">
        <f>IF(ISNA(N2483),NA(),M1761)</f>
        <v>0</v>
      </c>
      <c r="N2483">
        <f>IF(OR(N1761="",AND(N1761=N1760,N1761=N1762)),NA(), N1761)</f>
        <v>0</v>
      </c>
    </row>
    <row r="2484" spans="5:14">
      <c r="E2484">
        <f>IF(ISNA(F2484),NA(),E1762)</f>
        <v>0</v>
      </c>
      <c r="F2484">
        <f>IF(OR(F1762="",AND(F1762=F1761,F1762=F1763)),NA(), F1762)</f>
        <v>0</v>
      </c>
      <c r="G2484">
        <f>IF(ISNA(H2484),NA(),G1762)</f>
        <v>0</v>
      </c>
      <c r="H2484">
        <f>IF(OR(H1762="",AND(H1762=H1761,H1762=H1763)),NA(), H1762)</f>
        <v>0</v>
      </c>
      <c r="K2484">
        <f>IF(ISNA(L2484),NA(),K1762)</f>
        <v>0</v>
      </c>
      <c r="L2484">
        <f>IF(OR(L1762="",AND(L1762=L1761,L1762=L1763)),NA(), L1762)</f>
        <v>0</v>
      </c>
      <c r="M2484">
        <f>IF(ISNA(N2484),NA(),M1762)</f>
        <v>0</v>
      </c>
      <c r="N2484">
        <f>IF(OR(N1762="",AND(N1762=N1761,N1762=N1763)),NA(), N1762)</f>
        <v>0</v>
      </c>
    </row>
    <row r="2485" spans="5:14">
      <c r="E2485">
        <f>IF(ISNA(F2485),NA(),E1763)</f>
        <v>0</v>
      </c>
      <c r="F2485">
        <f>IF(OR(F1763="",AND(F1763=F1762,F1763=F1764)),NA(), F1763)</f>
        <v>0</v>
      </c>
      <c r="G2485">
        <f>IF(ISNA(H2485),NA(),G1763)</f>
        <v>0</v>
      </c>
      <c r="H2485">
        <f>IF(OR(H1763="",AND(H1763=H1762,H1763=H1764)),NA(), H1763)</f>
        <v>0</v>
      </c>
      <c r="K2485">
        <f>IF(ISNA(L2485),NA(),K1763)</f>
        <v>0</v>
      </c>
      <c r="L2485">
        <f>IF(OR(L1763="",AND(L1763=L1762,L1763=L1764)),NA(), L1763)</f>
        <v>0</v>
      </c>
      <c r="M2485">
        <f>IF(ISNA(N2485),NA(),M1763)</f>
        <v>0</v>
      </c>
      <c r="N2485">
        <f>IF(OR(N1763="",AND(N1763=N1762,N1763=N1764)),NA(), N1763)</f>
        <v>0</v>
      </c>
    </row>
    <row r="2486" spans="5:14">
      <c r="E2486">
        <f>IF(ISNA(F2486),NA(),E1764)</f>
        <v>0</v>
      </c>
      <c r="F2486">
        <f>IF(OR(F1764="",AND(F1764=F1763,F1764=F1765)),NA(), F1764)</f>
        <v>0</v>
      </c>
      <c r="G2486">
        <f>IF(ISNA(H2486),NA(),G1764)</f>
        <v>0</v>
      </c>
      <c r="H2486">
        <f>IF(OR(H1764="",AND(H1764=H1763,H1764=H1765)),NA(), H1764)</f>
        <v>0</v>
      </c>
      <c r="K2486">
        <f>IF(ISNA(L2486),NA(),K1764)</f>
        <v>0</v>
      </c>
      <c r="L2486">
        <f>IF(OR(L1764="",AND(L1764=L1763,L1764=L1765)),NA(), L1764)</f>
        <v>0</v>
      </c>
      <c r="M2486">
        <f>IF(ISNA(N2486),NA(),M1764)</f>
        <v>0</v>
      </c>
      <c r="N2486">
        <f>IF(OR(N1764="",AND(N1764=N1763,N1764=N1765)),NA(), N1764)</f>
        <v>0</v>
      </c>
    </row>
    <row r="2487" spans="5:14">
      <c r="E2487">
        <f>IF(ISNA(F2487),NA(),E1765)</f>
        <v>0</v>
      </c>
      <c r="F2487">
        <f>IF(OR(F1765="",AND(F1765=F1764,F1765=F1766)),NA(), F1765)</f>
        <v>0</v>
      </c>
      <c r="G2487">
        <f>IF(ISNA(H2487),NA(),G1765)</f>
        <v>0</v>
      </c>
      <c r="H2487">
        <f>IF(OR(H1765="",AND(H1765=H1764,H1765=H1766)),NA(), H1765)</f>
        <v>0</v>
      </c>
      <c r="K2487">
        <f>IF(ISNA(L2487),NA(),K1765)</f>
        <v>0</v>
      </c>
      <c r="L2487">
        <f>IF(OR(L1765="",AND(L1765=L1764,L1765=L1766)),NA(), L1765)</f>
        <v>0</v>
      </c>
      <c r="M2487">
        <f>IF(ISNA(N2487),NA(),M1765)</f>
        <v>0</v>
      </c>
      <c r="N2487">
        <f>IF(OR(N1765="",AND(N1765=N1764,N1765=N1766)),NA(), N1765)</f>
        <v>0</v>
      </c>
    </row>
    <row r="2488" spans="5:14">
      <c r="E2488">
        <f>IF(ISNA(F2488),NA(),E1766)</f>
        <v>0</v>
      </c>
      <c r="F2488">
        <f>IF(OR(F1766="",AND(F1766=F1765,F1766=F1767)),NA(), F1766)</f>
        <v>0</v>
      </c>
      <c r="G2488">
        <f>IF(ISNA(H2488),NA(),G1766)</f>
        <v>0</v>
      </c>
      <c r="H2488">
        <f>IF(OR(H1766="",AND(H1766=H1765,H1766=H1767)),NA(), H1766)</f>
        <v>0</v>
      </c>
      <c r="K2488">
        <f>IF(ISNA(L2488),NA(),K1766)</f>
        <v>0</v>
      </c>
      <c r="L2488">
        <f>IF(OR(L1766="",AND(L1766=L1765,L1766=L1767)),NA(), L1766)</f>
        <v>0</v>
      </c>
      <c r="M2488">
        <f>IF(ISNA(N2488),NA(),M1766)</f>
        <v>0</v>
      </c>
      <c r="N2488">
        <f>IF(OR(N1766="",AND(N1766=N1765,N1766=N1767)),NA(), N1766)</f>
        <v>0</v>
      </c>
    </row>
    <row r="2489" spans="5:14">
      <c r="E2489">
        <f>IF(ISNA(F2489),NA(),E1767)</f>
        <v>0</v>
      </c>
      <c r="F2489">
        <f>IF(OR(F1767="",AND(F1767=F1766,F1767=F1768)),NA(), F1767)</f>
        <v>0</v>
      </c>
      <c r="G2489">
        <f>IF(ISNA(H2489),NA(),G1767)</f>
        <v>0</v>
      </c>
      <c r="H2489">
        <f>IF(OR(H1767="",AND(H1767=H1766,H1767=H1768)),NA(), H1767)</f>
        <v>0</v>
      </c>
      <c r="K2489">
        <f>IF(ISNA(L2489),NA(),K1767)</f>
        <v>0</v>
      </c>
      <c r="L2489">
        <f>IF(OR(L1767="",AND(L1767=L1766,L1767=L1768)),NA(), L1767)</f>
        <v>0</v>
      </c>
      <c r="M2489">
        <f>IF(ISNA(N2489),NA(),M1767)</f>
        <v>0</v>
      </c>
      <c r="N2489">
        <f>IF(OR(N1767="",AND(N1767=N1766,N1767=N1768)),NA(), N1767)</f>
        <v>0</v>
      </c>
    </row>
    <row r="2490" spans="5:14">
      <c r="E2490">
        <f>IF(ISNA(F2490),NA(),E1768)</f>
        <v>0</v>
      </c>
      <c r="F2490">
        <f>IF(OR(F1768="",AND(F1768=F1767,F1768=F1769)),NA(), F1768)</f>
        <v>0</v>
      </c>
      <c r="G2490">
        <f>IF(ISNA(H2490),NA(),G1768)</f>
        <v>0</v>
      </c>
      <c r="H2490">
        <f>IF(OR(H1768="",AND(H1768=H1767,H1768=H1769)),NA(), H1768)</f>
        <v>0</v>
      </c>
      <c r="K2490">
        <f>IF(ISNA(L2490),NA(),K1768)</f>
        <v>0</v>
      </c>
      <c r="L2490">
        <f>IF(OR(L1768="",AND(L1768=L1767,L1768=L1769)),NA(), L1768)</f>
        <v>0</v>
      </c>
      <c r="M2490">
        <f>IF(ISNA(N2490),NA(),M1768)</f>
        <v>0</v>
      </c>
      <c r="N2490">
        <f>IF(OR(N1768="",AND(N1768=N1767,N1768=N1769)),NA(), N1768)</f>
        <v>0</v>
      </c>
    </row>
    <row r="2491" spans="5:14">
      <c r="E2491">
        <f>IF(ISNA(F2491),NA(),E1769)</f>
        <v>0</v>
      </c>
      <c r="F2491">
        <f>IF(OR(F1769="",AND(F1769=F1768,F1769=F1770)),NA(), F1769)</f>
        <v>0</v>
      </c>
      <c r="G2491">
        <f>IF(ISNA(H2491),NA(),G1769)</f>
        <v>0</v>
      </c>
      <c r="H2491">
        <f>IF(OR(H1769="",AND(H1769=H1768,H1769=H1770)),NA(), H1769)</f>
        <v>0</v>
      </c>
      <c r="K2491">
        <f>IF(ISNA(L2491),NA(),K1769)</f>
        <v>0</v>
      </c>
      <c r="L2491">
        <f>IF(OR(L1769="",AND(L1769=L1768,L1769=L1770)),NA(), L1769)</f>
        <v>0</v>
      </c>
      <c r="M2491">
        <f>IF(ISNA(N2491),NA(),M1769)</f>
        <v>0</v>
      </c>
      <c r="N2491">
        <f>IF(OR(N1769="",AND(N1769=N1768,N1769=N1770)),NA(), N1769)</f>
        <v>0</v>
      </c>
    </row>
    <row r="2492" spans="5:14">
      <c r="E2492">
        <f>IF(ISNA(F2492),NA(),E1770)</f>
        <v>0</v>
      </c>
      <c r="F2492">
        <f>IF(OR(F1770="",AND(F1770=F1769,F1770=F1771)),NA(), F1770)</f>
        <v>0</v>
      </c>
      <c r="G2492">
        <f>IF(ISNA(H2492),NA(),G1770)</f>
        <v>0</v>
      </c>
      <c r="H2492">
        <f>IF(OR(H1770="",AND(H1770=H1769,H1770=H1771)),NA(), H1770)</f>
        <v>0</v>
      </c>
      <c r="K2492">
        <f>IF(ISNA(L2492),NA(),K1770)</f>
        <v>0</v>
      </c>
      <c r="L2492">
        <f>IF(OR(L1770="",AND(L1770=L1769,L1770=L1771)),NA(), L1770)</f>
        <v>0</v>
      </c>
      <c r="M2492">
        <f>IF(ISNA(N2492),NA(),M1770)</f>
        <v>0</v>
      </c>
      <c r="N2492">
        <f>IF(OR(N1770="",AND(N1770=N1769,N1770=N1771)),NA(), N1770)</f>
        <v>0</v>
      </c>
    </row>
    <row r="2493" spans="5:14">
      <c r="E2493">
        <f>IF(ISNA(F2493),NA(),E1771)</f>
        <v>0</v>
      </c>
      <c r="F2493">
        <f>IF(OR(F1771="",AND(F1771=F1770,F1771=F1772)),NA(), F1771)</f>
        <v>0</v>
      </c>
      <c r="G2493">
        <f>IF(ISNA(H2493),NA(),G1771)</f>
        <v>0</v>
      </c>
      <c r="H2493">
        <f>IF(OR(H1771="",AND(H1771=H1770,H1771=H1772)),NA(), H1771)</f>
        <v>0</v>
      </c>
      <c r="K2493">
        <f>IF(ISNA(L2493),NA(),K1771)</f>
        <v>0</v>
      </c>
      <c r="L2493">
        <f>IF(OR(L1771="",AND(L1771=L1770,L1771=L1772)),NA(), L1771)</f>
        <v>0</v>
      </c>
      <c r="M2493">
        <f>IF(ISNA(N2493),NA(),M1771)</f>
        <v>0</v>
      </c>
      <c r="N2493">
        <f>IF(OR(N1771="",AND(N1771=N1770,N1771=N1772)),NA(), N1771)</f>
        <v>0</v>
      </c>
    </row>
    <row r="2494" spans="5:14">
      <c r="E2494">
        <f>IF(ISNA(F2494),NA(),E1772)</f>
        <v>0</v>
      </c>
      <c r="F2494">
        <f>IF(OR(F1772="",AND(F1772=F1771,F1772=F1773)),NA(), F1772)</f>
        <v>0</v>
      </c>
      <c r="G2494">
        <f>IF(ISNA(H2494),NA(),G1772)</f>
        <v>0</v>
      </c>
      <c r="H2494">
        <f>IF(OR(H1772="",AND(H1772=H1771,H1772=H1773)),NA(), H1772)</f>
        <v>0</v>
      </c>
      <c r="K2494">
        <f>IF(ISNA(L2494),NA(),K1772)</f>
        <v>0</v>
      </c>
      <c r="L2494">
        <f>IF(OR(L1772="",AND(L1772=L1771,L1772=L1773)),NA(), L1772)</f>
        <v>0</v>
      </c>
      <c r="M2494">
        <f>IF(ISNA(N2494),NA(),M1772)</f>
        <v>0</v>
      </c>
      <c r="N2494">
        <f>IF(OR(N1772="",AND(N1772=N1771,N1772=N1773)),NA(), N1772)</f>
        <v>0</v>
      </c>
    </row>
    <row r="2495" spans="5:14">
      <c r="E2495">
        <f>IF(ISNA(F2495),NA(),E1773)</f>
        <v>0</v>
      </c>
      <c r="F2495">
        <f>IF(OR(F1773="",AND(F1773=F1772,F1773=F1774)),NA(), F1773)</f>
        <v>0</v>
      </c>
      <c r="G2495">
        <f>IF(ISNA(H2495),NA(),G1773)</f>
        <v>0</v>
      </c>
      <c r="H2495">
        <f>IF(OR(H1773="",AND(H1773=H1772,H1773=H1774)),NA(), H1773)</f>
        <v>0</v>
      </c>
      <c r="K2495">
        <f>IF(ISNA(L2495),NA(),K1773)</f>
        <v>0</v>
      </c>
      <c r="L2495">
        <f>IF(OR(L1773="",AND(L1773=L1772,L1773=L1774)),NA(), L1773)</f>
        <v>0</v>
      </c>
      <c r="M2495">
        <f>IF(ISNA(N2495),NA(),M1773)</f>
        <v>0</v>
      </c>
      <c r="N2495">
        <f>IF(OR(N1773="",AND(N1773=N1772,N1773=N1774)),NA(), N1773)</f>
        <v>0</v>
      </c>
    </row>
    <row r="2496" spans="5:14">
      <c r="E2496">
        <f>IF(ISNA(F2496),NA(),E1774)</f>
        <v>0</v>
      </c>
      <c r="F2496">
        <f>IF(OR(F1774="",AND(F1774=F1773,F1774=F1775)),NA(), F1774)</f>
        <v>0</v>
      </c>
      <c r="G2496">
        <f>IF(ISNA(H2496),NA(),G1774)</f>
        <v>0</v>
      </c>
      <c r="H2496">
        <f>IF(OR(H1774="",AND(H1774=H1773,H1774=H1775)),NA(), H1774)</f>
        <v>0</v>
      </c>
      <c r="K2496">
        <f>IF(ISNA(L2496),NA(),K1774)</f>
        <v>0</v>
      </c>
      <c r="L2496">
        <f>IF(OR(L1774="",AND(L1774=L1773,L1774=L1775)),NA(), L1774)</f>
        <v>0</v>
      </c>
      <c r="M2496">
        <f>IF(ISNA(N2496),NA(),M1774)</f>
        <v>0</v>
      </c>
      <c r="N2496">
        <f>IF(OR(N1774="",AND(N1774=N1773,N1774=N1775)),NA(), N1774)</f>
        <v>0</v>
      </c>
    </row>
    <row r="2497" spans="5:14">
      <c r="E2497">
        <f>IF(ISNA(F2497),NA(),E1775)</f>
        <v>0</v>
      </c>
      <c r="F2497">
        <f>IF(OR(F1775="",AND(F1775=F1774,F1775=F1776)),NA(), F1775)</f>
        <v>0</v>
      </c>
      <c r="G2497">
        <f>IF(ISNA(H2497),NA(),G1775)</f>
        <v>0</v>
      </c>
      <c r="H2497">
        <f>IF(OR(H1775="",AND(H1775=H1774,H1775=H1776)),NA(), H1775)</f>
        <v>0</v>
      </c>
      <c r="K2497">
        <f>IF(ISNA(L2497),NA(),K1775)</f>
        <v>0</v>
      </c>
      <c r="L2497">
        <f>IF(OR(L1775="",AND(L1775=L1774,L1775=L1776)),NA(), L1775)</f>
        <v>0</v>
      </c>
      <c r="M2497">
        <f>IF(ISNA(N2497),NA(),M1775)</f>
        <v>0</v>
      </c>
      <c r="N2497">
        <f>IF(OR(N1775="",AND(N1775=N1774,N1775=N1776)),NA(), N1775)</f>
        <v>0</v>
      </c>
    </row>
    <row r="2498" spans="5:14">
      <c r="E2498">
        <f>IF(ISNA(F2498),NA(),E1776)</f>
        <v>0</v>
      </c>
      <c r="F2498">
        <f>IF(OR(F1776="",AND(F1776=F1775,F1776=F1777)),NA(), F1776)</f>
        <v>0</v>
      </c>
      <c r="G2498">
        <f>IF(ISNA(H2498),NA(),G1776)</f>
        <v>0</v>
      </c>
      <c r="H2498">
        <f>IF(OR(H1776="",AND(H1776=H1775,H1776=H1777)),NA(), H1776)</f>
        <v>0</v>
      </c>
      <c r="K2498">
        <f>IF(ISNA(L2498),NA(),K1776)</f>
        <v>0</v>
      </c>
      <c r="L2498">
        <f>IF(OR(L1776="",AND(L1776=L1775,L1776=L1777)),NA(), L1776)</f>
        <v>0</v>
      </c>
      <c r="M2498">
        <f>IF(ISNA(N2498),NA(),M1776)</f>
        <v>0</v>
      </c>
      <c r="N2498">
        <f>IF(OR(N1776="",AND(N1776=N1775,N1776=N1777)),NA(), N1776)</f>
        <v>0</v>
      </c>
    </row>
    <row r="2499" spans="5:14">
      <c r="E2499">
        <f>IF(ISNA(F2499),NA(),E1777)</f>
        <v>0</v>
      </c>
      <c r="F2499">
        <f>IF(OR(F1777="",AND(F1777=F1776,F1777=F1778)),NA(), F1777)</f>
        <v>0</v>
      </c>
      <c r="G2499">
        <f>IF(ISNA(H2499),NA(),G1777)</f>
        <v>0</v>
      </c>
      <c r="H2499">
        <f>IF(OR(H1777="",AND(H1777=H1776,H1777=H1778)),NA(), H1777)</f>
        <v>0</v>
      </c>
      <c r="K2499">
        <f>IF(ISNA(L2499),NA(),K1777)</f>
        <v>0</v>
      </c>
      <c r="L2499">
        <f>IF(OR(L1777="",AND(L1777=L1776,L1777=L1778)),NA(), L1777)</f>
        <v>0</v>
      </c>
      <c r="M2499">
        <f>IF(ISNA(N2499),NA(),M1777)</f>
        <v>0</v>
      </c>
      <c r="N2499">
        <f>IF(OR(N1777="",AND(N1777=N1776,N1777=N1778)),NA(), N1777)</f>
        <v>0</v>
      </c>
    </row>
    <row r="2500" spans="5:14">
      <c r="E2500">
        <f>IF(ISNA(F2500),NA(),E1778)</f>
        <v>0</v>
      </c>
      <c r="F2500">
        <f>IF(OR(F1778="",AND(F1778=F1777,F1778=F1779)),NA(), F1778)</f>
        <v>0</v>
      </c>
      <c r="G2500">
        <f>IF(ISNA(H2500),NA(),G1778)</f>
        <v>0</v>
      </c>
      <c r="H2500">
        <f>IF(OR(H1778="",AND(H1778=H1777,H1778=H1779)),NA(), H1778)</f>
        <v>0</v>
      </c>
      <c r="K2500">
        <f>IF(ISNA(L2500),NA(),K1778)</f>
        <v>0</v>
      </c>
      <c r="L2500">
        <f>IF(OR(L1778="",AND(L1778=L1777,L1778=L1779)),NA(), L1778)</f>
        <v>0</v>
      </c>
      <c r="M2500">
        <f>IF(ISNA(N2500),NA(),M1778)</f>
        <v>0</v>
      </c>
      <c r="N2500">
        <f>IF(OR(N1778="",AND(N1778=N1777,N1778=N1779)),NA(), N1778)</f>
        <v>0</v>
      </c>
    </row>
    <row r="2501" spans="5:14">
      <c r="E2501">
        <f>IF(ISNA(F2501),NA(),E1779)</f>
        <v>0</v>
      </c>
      <c r="F2501">
        <f>IF(OR(F1779="",AND(F1779=F1778,F1779=F1780)),NA(), F1779)</f>
        <v>0</v>
      </c>
      <c r="G2501">
        <f>IF(ISNA(H2501),NA(),G1779)</f>
        <v>0</v>
      </c>
      <c r="H2501">
        <f>IF(OR(H1779="",AND(H1779=H1778,H1779=H1780)),NA(), H1779)</f>
        <v>0</v>
      </c>
      <c r="K2501">
        <f>IF(ISNA(L2501),NA(),K1779)</f>
        <v>0</v>
      </c>
      <c r="L2501">
        <f>IF(OR(L1779="",AND(L1779=L1778,L1779=L1780)),NA(), L1779)</f>
        <v>0</v>
      </c>
      <c r="M2501">
        <f>IF(ISNA(N2501),NA(),M1779)</f>
        <v>0</v>
      </c>
      <c r="N2501">
        <f>IF(OR(N1779="",AND(N1779=N1778,N1779=N1780)),NA(), N1779)</f>
        <v>0</v>
      </c>
    </row>
    <row r="2502" spans="5:14">
      <c r="E2502">
        <f>IF(ISNA(F2502),NA(),E1780)</f>
        <v>0</v>
      </c>
      <c r="F2502">
        <f>IF(OR(F1780="",AND(F1780=F1779,F1780=F1781)),NA(), F1780)</f>
        <v>0</v>
      </c>
      <c r="G2502">
        <f>IF(ISNA(H2502),NA(),G1780)</f>
        <v>0</v>
      </c>
      <c r="H2502">
        <f>IF(OR(H1780="",AND(H1780=H1779,H1780=H1781)),NA(), H1780)</f>
        <v>0</v>
      </c>
      <c r="K2502">
        <f>IF(ISNA(L2502),NA(),K1780)</f>
        <v>0</v>
      </c>
      <c r="L2502">
        <f>IF(OR(L1780="",AND(L1780=L1779,L1780=L1781)),NA(), L1780)</f>
        <v>0</v>
      </c>
      <c r="M2502">
        <f>IF(ISNA(N2502),NA(),M1780)</f>
        <v>0</v>
      </c>
      <c r="N2502">
        <f>IF(OR(N1780="",AND(N1780=N1779,N1780=N1781)),NA(), N1780)</f>
        <v>0</v>
      </c>
    </row>
    <row r="2503" spans="5:14">
      <c r="E2503">
        <f>IF(ISNA(F2503),NA(),E1781)</f>
        <v>0</v>
      </c>
      <c r="F2503">
        <f>IF(OR(F1781="",AND(F1781=F1780,F1781=F1782)),NA(), F1781)</f>
        <v>0</v>
      </c>
      <c r="G2503">
        <f>IF(ISNA(H2503),NA(),G1781)</f>
        <v>0</v>
      </c>
      <c r="H2503">
        <f>IF(OR(H1781="",AND(H1781=H1780,H1781=H1782)),NA(), H1781)</f>
        <v>0</v>
      </c>
      <c r="K2503">
        <f>IF(ISNA(L2503),NA(),K1781)</f>
        <v>0</v>
      </c>
      <c r="L2503">
        <f>IF(OR(L1781="",AND(L1781=L1780,L1781=L1782)),NA(), L1781)</f>
        <v>0</v>
      </c>
      <c r="M2503">
        <f>IF(ISNA(N2503),NA(),M1781)</f>
        <v>0</v>
      </c>
      <c r="N2503">
        <f>IF(OR(N1781="",AND(N1781=N1780,N1781=N1782)),NA(), N1781)</f>
        <v>0</v>
      </c>
    </row>
    <row r="2504" spans="5:14">
      <c r="E2504">
        <f>IF(ISNA(F2504),NA(),E1782)</f>
        <v>0</v>
      </c>
      <c r="F2504">
        <f>IF(OR(F1782="",AND(F1782=F1781,F1782=F1783)),NA(), F1782)</f>
        <v>0</v>
      </c>
      <c r="G2504">
        <f>IF(ISNA(H2504),NA(),G1782)</f>
        <v>0</v>
      </c>
      <c r="H2504">
        <f>IF(OR(H1782="",AND(H1782=H1781,H1782=H1783)),NA(), H1782)</f>
        <v>0</v>
      </c>
      <c r="K2504">
        <f>IF(ISNA(L2504),NA(),K1782)</f>
        <v>0</v>
      </c>
      <c r="L2504">
        <f>IF(OR(L1782="",AND(L1782=L1781,L1782=L1783)),NA(), L1782)</f>
        <v>0</v>
      </c>
      <c r="M2504">
        <f>IF(ISNA(N2504),NA(),M1782)</f>
        <v>0</v>
      </c>
      <c r="N2504">
        <f>IF(OR(N1782="",AND(N1782=N1781,N1782=N1783)),NA(), N1782)</f>
        <v>0</v>
      </c>
    </row>
    <row r="2505" spans="5:14">
      <c r="E2505">
        <f>IF(ISNA(F2505),NA(),E1783)</f>
        <v>0</v>
      </c>
      <c r="F2505">
        <f>IF(OR(F1783="",AND(F1783=F1782,F1783=F1784)),NA(), F1783)</f>
        <v>0</v>
      </c>
      <c r="G2505">
        <f>IF(ISNA(H2505),NA(),G1783)</f>
        <v>0</v>
      </c>
      <c r="H2505">
        <f>IF(OR(H1783="",AND(H1783=H1782,H1783=H1784)),NA(), H1783)</f>
        <v>0</v>
      </c>
      <c r="K2505">
        <f>IF(ISNA(L2505),NA(),K1783)</f>
        <v>0</v>
      </c>
      <c r="L2505">
        <f>IF(OR(L1783="",AND(L1783=L1782,L1783=L1784)),NA(), L1783)</f>
        <v>0</v>
      </c>
      <c r="M2505">
        <f>IF(ISNA(N2505),NA(),M1783)</f>
        <v>0</v>
      </c>
      <c r="N2505">
        <f>IF(OR(N1783="",AND(N1783=N1782,N1783=N1784)),NA(), N1783)</f>
        <v>0</v>
      </c>
    </row>
    <row r="2506" spans="5:14">
      <c r="E2506">
        <f>IF(ISNA(F2506),NA(),E1784)</f>
        <v>0</v>
      </c>
      <c r="F2506">
        <f>IF(OR(F1784="",AND(F1784=F1783,F1784=F1785)),NA(), F1784)</f>
        <v>0</v>
      </c>
      <c r="G2506">
        <f>IF(ISNA(H2506),NA(),G1784)</f>
        <v>0</v>
      </c>
      <c r="H2506">
        <f>IF(OR(H1784="",AND(H1784=H1783,H1784=H1785)),NA(), H1784)</f>
        <v>0</v>
      </c>
      <c r="K2506">
        <f>IF(ISNA(L2506),NA(),K1784)</f>
        <v>0</v>
      </c>
      <c r="L2506">
        <f>IF(OR(L1784="",AND(L1784=L1783,L1784=L1785)),NA(), L1784)</f>
        <v>0</v>
      </c>
      <c r="M2506">
        <f>IF(ISNA(N2506),NA(),M1784)</f>
        <v>0</v>
      </c>
      <c r="N2506">
        <f>IF(OR(N1784="",AND(N1784=N1783,N1784=N1785)),NA(), N1784)</f>
        <v>0</v>
      </c>
    </row>
    <row r="2507" spans="5:14">
      <c r="E2507">
        <f>IF(ISNA(F2507),NA(),E1785)</f>
        <v>0</v>
      </c>
      <c r="F2507">
        <f>IF(OR(F1785="",AND(F1785=F1784,F1785=F1786)),NA(), F1785)</f>
        <v>0</v>
      </c>
      <c r="G2507">
        <f>IF(ISNA(H2507),NA(),G1785)</f>
        <v>0</v>
      </c>
      <c r="H2507">
        <f>IF(OR(H1785="",AND(H1785=H1784,H1785=H1786)),NA(), H1785)</f>
        <v>0</v>
      </c>
      <c r="K2507">
        <f>IF(ISNA(L2507),NA(),K1785)</f>
        <v>0</v>
      </c>
      <c r="L2507">
        <f>IF(OR(L1785="",AND(L1785=L1784,L1785=L1786)),NA(), L1785)</f>
        <v>0</v>
      </c>
      <c r="M2507">
        <f>IF(ISNA(N2507),NA(),M1785)</f>
        <v>0</v>
      </c>
      <c r="N2507">
        <f>IF(OR(N1785="",AND(N1785=N1784,N1785=N1786)),NA(), N1785)</f>
        <v>0</v>
      </c>
    </row>
    <row r="2508" spans="5:14">
      <c r="E2508">
        <f>IF(ISNA(F2508),NA(),E1786)</f>
        <v>0</v>
      </c>
      <c r="F2508">
        <f>IF(OR(F1786="",AND(F1786=F1785,F1786=F1787)),NA(), F1786)</f>
        <v>0</v>
      </c>
      <c r="G2508">
        <f>IF(ISNA(H2508),NA(),G1786)</f>
        <v>0</v>
      </c>
      <c r="H2508">
        <f>IF(OR(H1786="",AND(H1786=H1785,H1786=H1787)),NA(), H1786)</f>
        <v>0</v>
      </c>
      <c r="K2508">
        <f>IF(ISNA(L2508),NA(),K1786)</f>
        <v>0</v>
      </c>
      <c r="L2508">
        <f>IF(OR(L1786="",AND(L1786=L1785,L1786=L1787)),NA(), L1786)</f>
        <v>0</v>
      </c>
      <c r="M2508">
        <f>IF(ISNA(N2508),NA(),M1786)</f>
        <v>0</v>
      </c>
      <c r="N2508">
        <f>IF(OR(N1786="",AND(N1786=N1785,N1786=N1787)),NA(), N1786)</f>
        <v>0</v>
      </c>
    </row>
    <row r="2509" spans="5:14">
      <c r="E2509">
        <f>IF(ISNA(F2509),NA(),E1787)</f>
        <v>0</v>
      </c>
      <c r="F2509">
        <f>IF(OR(F1787="",AND(F1787=F1786,F1787=F1788)),NA(), F1787)</f>
        <v>0</v>
      </c>
      <c r="G2509">
        <f>IF(ISNA(H2509),NA(),G1787)</f>
        <v>0</v>
      </c>
      <c r="H2509">
        <f>IF(OR(H1787="",AND(H1787=H1786,H1787=H1788)),NA(), H1787)</f>
        <v>0</v>
      </c>
      <c r="K2509">
        <f>IF(ISNA(L2509),NA(),K1787)</f>
        <v>0</v>
      </c>
      <c r="L2509">
        <f>IF(OR(L1787="",AND(L1787=L1786,L1787=L1788)),NA(), L1787)</f>
        <v>0</v>
      </c>
      <c r="M2509">
        <f>IF(ISNA(N2509),NA(),M1787)</f>
        <v>0</v>
      </c>
      <c r="N2509">
        <f>IF(OR(N1787="",AND(N1787=N1786,N1787=N1788)),NA(), N1787)</f>
        <v>0</v>
      </c>
    </row>
    <row r="2510" spans="5:14">
      <c r="E2510">
        <f>IF(ISNA(F2510),NA(),E1788)</f>
        <v>0</v>
      </c>
      <c r="F2510">
        <f>IF(OR(F1788="",AND(F1788=F1787,F1788=F1789)),NA(), F1788)</f>
        <v>0</v>
      </c>
      <c r="G2510">
        <f>IF(ISNA(H2510),NA(),G1788)</f>
        <v>0</v>
      </c>
      <c r="H2510">
        <f>IF(OR(H1788="",AND(H1788=H1787,H1788=H1789)),NA(), H1788)</f>
        <v>0</v>
      </c>
      <c r="K2510">
        <f>IF(ISNA(L2510),NA(),K1788)</f>
        <v>0</v>
      </c>
      <c r="L2510">
        <f>IF(OR(L1788="",AND(L1788=L1787,L1788=L1789)),NA(), L1788)</f>
        <v>0</v>
      </c>
      <c r="M2510">
        <f>IF(ISNA(N2510),NA(),M1788)</f>
        <v>0</v>
      </c>
      <c r="N2510">
        <f>IF(OR(N1788="",AND(N1788=N1787,N1788=N1789)),NA(), N1788)</f>
        <v>0</v>
      </c>
    </row>
    <row r="2511" spans="5:14">
      <c r="E2511">
        <f>IF(ISNA(F2511),NA(),E1789)</f>
        <v>0</v>
      </c>
      <c r="F2511">
        <f>IF(OR(F1789="",AND(F1789=F1788,F1789=F1790)),NA(), F1789)</f>
        <v>0</v>
      </c>
      <c r="G2511">
        <f>IF(ISNA(H2511),NA(),G1789)</f>
        <v>0</v>
      </c>
      <c r="H2511">
        <f>IF(OR(H1789="",AND(H1789=H1788,H1789=H1790)),NA(), H1789)</f>
        <v>0</v>
      </c>
      <c r="K2511">
        <f>IF(ISNA(L2511),NA(),K1789)</f>
        <v>0</v>
      </c>
      <c r="L2511">
        <f>IF(OR(L1789="",AND(L1789=L1788,L1789=L1790)),NA(), L1789)</f>
        <v>0</v>
      </c>
      <c r="M2511">
        <f>IF(ISNA(N2511),NA(),M1789)</f>
        <v>0</v>
      </c>
      <c r="N2511">
        <f>IF(OR(N1789="",AND(N1789=N1788,N1789=N1790)),NA(), N1789)</f>
        <v>0</v>
      </c>
    </row>
    <row r="2512" spans="5:14">
      <c r="E2512">
        <f>IF(ISNA(F2512),NA(),E1790)</f>
        <v>0</v>
      </c>
      <c r="F2512">
        <f>IF(OR(F1790="",AND(F1790=F1789,F1790=F1791)),NA(), F1790)</f>
        <v>0</v>
      </c>
      <c r="G2512">
        <f>IF(ISNA(H2512),NA(),G1790)</f>
        <v>0</v>
      </c>
      <c r="H2512">
        <f>IF(OR(H1790="",AND(H1790=H1789,H1790=H1791)),NA(), H1790)</f>
        <v>0</v>
      </c>
      <c r="K2512">
        <f>IF(ISNA(L2512),NA(),K1790)</f>
        <v>0</v>
      </c>
      <c r="L2512">
        <f>IF(OR(L1790="",AND(L1790=L1789,L1790=L1791)),NA(), L1790)</f>
        <v>0</v>
      </c>
      <c r="M2512">
        <f>IF(ISNA(N2512),NA(),M1790)</f>
        <v>0</v>
      </c>
      <c r="N2512">
        <f>IF(OR(N1790="",AND(N1790=N1789,N1790=N1791)),NA(), N1790)</f>
        <v>0</v>
      </c>
    </row>
    <row r="2513" spans="5:14">
      <c r="E2513">
        <f>IF(ISNA(F2513),NA(),E1791)</f>
        <v>0</v>
      </c>
      <c r="F2513">
        <f>IF(OR(F1791="",AND(F1791=F1790,F1791=F1792)),NA(), F1791)</f>
        <v>0</v>
      </c>
      <c r="G2513">
        <f>IF(ISNA(H2513),NA(),G1791)</f>
        <v>0</v>
      </c>
      <c r="H2513">
        <f>IF(OR(H1791="",AND(H1791=H1790,H1791=H1792)),NA(), H1791)</f>
        <v>0</v>
      </c>
      <c r="K2513">
        <f>IF(ISNA(L2513),NA(),K1791)</f>
        <v>0</v>
      </c>
      <c r="L2513">
        <f>IF(OR(L1791="",AND(L1791=L1790,L1791=L1792)),NA(), L1791)</f>
        <v>0</v>
      </c>
      <c r="M2513">
        <f>IF(ISNA(N2513),NA(),M1791)</f>
        <v>0</v>
      </c>
      <c r="N2513">
        <f>IF(OR(N1791="",AND(N1791=N1790,N1791=N1792)),NA(), N1791)</f>
        <v>0</v>
      </c>
    </row>
    <row r="2514" spans="5:14">
      <c r="E2514">
        <f>IF(ISNA(F2514),NA(),E1792)</f>
        <v>0</v>
      </c>
      <c r="F2514">
        <f>IF(OR(F1792="",AND(F1792=F1791,F1792=F1793)),NA(), F1792)</f>
        <v>0</v>
      </c>
      <c r="G2514">
        <f>IF(ISNA(H2514),NA(),G1792)</f>
        <v>0</v>
      </c>
      <c r="H2514">
        <f>IF(OR(H1792="",AND(H1792=H1791,H1792=H1793)),NA(), H1792)</f>
        <v>0</v>
      </c>
      <c r="K2514">
        <f>IF(ISNA(L2514),NA(),K1792)</f>
        <v>0</v>
      </c>
      <c r="L2514">
        <f>IF(OR(L1792="",AND(L1792=L1791,L1792=L1793)),NA(), L1792)</f>
        <v>0</v>
      </c>
      <c r="M2514">
        <f>IF(ISNA(N2514),NA(),M1792)</f>
        <v>0</v>
      </c>
      <c r="N2514">
        <f>IF(OR(N1792="",AND(N1792=N1791,N1792=N1793)),NA(), N1792)</f>
        <v>0</v>
      </c>
    </row>
    <row r="2515" spans="5:14">
      <c r="E2515">
        <f>IF(ISNA(F2515),NA(),E1793)</f>
        <v>0</v>
      </c>
      <c r="F2515">
        <f>IF(OR(F1793="",AND(F1793=F1792,F1793=F1794)),NA(), F1793)</f>
        <v>0</v>
      </c>
      <c r="G2515">
        <f>IF(ISNA(H2515),NA(),G1793)</f>
        <v>0</v>
      </c>
      <c r="H2515">
        <f>IF(OR(H1793="",AND(H1793=H1792,H1793=H1794)),NA(), H1793)</f>
        <v>0</v>
      </c>
      <c r="K2515">
        <f>IF(ISNA(L2515),NA(),K1793)</f>
        <v>0</v>
      </c>
      <c r="L2515">
        <f>IF(OR(L1793="",AND(L1793=L1792,L1793=L1794)),NA(), L1793)</f>
        <v>0</v>
      </c>
      <c r="M2515">
        <f>IF(ISNA(N2515),NA(),M1793)</f>
        <v>0</v>
      </c>
      <c r="N2515">
        <f>IF(OR(N1793="",AND(N1793=N1792,N1793=N1794)),NA(), N1793)</f>
        <v>0</v>
      </c>
    </row>
    <row r="2516" spans="5:14">
      <c r="E2516">
        <f>IF(ISNA(F2516),NA(),E1794)</f>
        <v>0</v>
      </c>
      <c r="F2516">
        <f>IF(OR(F1794="",AND(F1794=F1793,F1794=F1795)),NA(), F1794)</f>
        <v>0</v>
      </c>
      <c r="G2516">
        <f>IF(ISNA(H2516),NA(),G1794)</f>
        <v>0</v>
      </c>
      <c r="H2516">
        <f>IF(OR(H1794="",AND(H1794=H1793,H1794=H1795)),NA(), H1794)</f>
        <v>0</v>
      </c>
      <c r="K2516">
        <f>IF(ISNA(L2516),NA(),K1794)</f>
        <v>0</v>
      </c>
      <c r="L2516">
        <f>IF(OR(L1794="",AND(L1794=L1793,L1794=L1795)),NA(), L1794)</f>
        <v>0</v>
      </c>
      <c r="M2516">
        <f>IF(ISNA(N2516),NA(),M1794)</f>
        <v>0</v>
      </c>
      <c r="N2516">
        <f>IF(OR(N1794="",AND(N1794=N1793,N1794=N1795)),NA(), N1794)</f>
        <v>0</v>
      </c>
    </row>
    <row r="2517" spans="5:14">
      <c r="E2517">
        <f>IF(ISNA(F2517),NA(),E1795)</f>
        <v>0</v>
      </c>
      <c r="F2517">
        <f>IF(OR(F1795="",AND(F1795=F1794,F1795=F1796)),NA(), F1795)</f>
        <v>0</v>
      </c>
      <c r="G2517">
        <f>IF(ISNA(H2517),NA(),G1795)</f>
        <v>0</v>
      </c>
      <c r="H2517">
        <f>IF(OR(H1795="",AND(H1795=H1794,H1795=H1796)),NA(), H1795)</f>
        <v>0</v>
      </c>
      <c r="K2517">
        <f>IF(ISNA(L2517),NA(),K1795)</f>
        <v>0</v>
      </c>
      <c r="L2517">
        <f>IF(OR(L1795="",AND(L1795=L1794,L1795=L1796)),NA(), L1795)</f>
        <v>0</v>
      </c>
      <c r="M2517">
        <f>IF(ISNA(N2517),NA(),M1795)</f>
        <v>0</v>
      </c>
      <c r="N2517">
        <f>IF(OR(N1795="",AND(N1795=N1794,N1795=N1796)),NA(), N1795)</f>
        <v>0</v>
      </c>
    </row>
    <row r="2518" spans="5:14">
      <c r="E2518">
        <f>IF(ISNA(F2518),NA(),E1796)</f>
        <v>0</v>
      </c>
      <c r="F2518">
        <f>IF(OR(F1796="",AND(F1796=F1795,F1796=F1797)),NA(), F1796)</f>
        <v>0</v>
      </c>
      <c r="G2518">
        <f>IF(ISNA(H2518),NA(),G1796)</f>
        <v>0</v>
      </c>
      <c r="H2518">
        <f>IF(OR(H1796="",AND(H1796=H1795,H1796=H1797)),NA(), H1796)</f>
        <v>0</v>
      </c>
      <c r="K2518">
        <f>IF(ISNA(L2518),NA(),K1796)</f>
        <v>0</v>
      </c>
      <c r="L2518">
        <f>IF(OR(L1796="",AND(L1796=L1795,L1796=L1797)),NA(), L1796)</f>
        <v>0</v>
      </c>
      <c r="M2518">
        <f>IF(ISNA(N2518),NA(),M1796)</f>
        <v>0</v>
      </c>
      <c r="N2518">
        <f>IF(OR(N1796="",AND(N1796=N1795,N1796=N1797)),NA(), N1796)</f>
        <v>0</v>
      </c>
    </row>
    <row r="2519" spans="5:14">
      <c r="E2519">
        <f>IF(ISNA(F2519),NA(),E1797)</f>
        <v>0</v>
      </c>
      <c r="F2519">
        <f>IF(OR(F1797="",AND(F1797=F1796,F1797=F1798)),NA(), F1797)</f>
        <v>0</v>
      </c>
      <c r="G2519">
        <f>IF(ISNA(H2519),NA(),G1797)</f>
        <v>0</v>
      </c>
      <c r="H2519">
        <f>IF(OR(H1797="",AND(H1797=H1796,H1797=H1798)),NA(), H1797)</f>
        <v>0</v>
      </c>
      <c r="K2519">
        <f>IF(ISNA(L2519),NA(),K1797)</f>
        <v>0</v>
      </c>
      <c r="L2519">
        <f>IF(OR(L1797="",AND(L1797=L1796,L1797=L1798)),NA(), L1797)</f>
        <v>0</v>
      </c>
      <c r="M2519">
        <f>IF(ISNA(N2519),NA(),M1797)</f>
        <v>0</v>
      </c>
      <c r="N2519">
        <f>IF(OR(N1797="",AND(N1797=N1796,N1797=N1798)),NA(), N1797)</f>
        <v>0</v>
      </c>
    </row>
    <row r="2520" spans="5:14">
      <c r="E2520">
        <f>IF(ISNA(F2520),NA(),E1798)</f>
        <v>0</v>
      </c>
      <c r="F2520">
        <f>IF(OR(F1798="",AND(F1798=F1797,F1798=F1799)),NA(), F1798)</f>
        <v>0</v>
      </c>
      <c r="G2520">
        <f>IF(ISNA(H2520),NA(),G1798)</f>
        <v>0</v>
      </c>
      <c r="H2520">
        <f>IF(OR(H1798="",AND(H1798=H1797,H1798=H1799)),NA(), H1798)</f>
        <v>0</v>
      </c>
      <c r="K2520">
        <f>IF(ISNA(L2520),NA(),K1798)</f>
        <v>0</v>
      </c>
      <c r="L2520">
        <f>IF(OR(L1798="",AND(L1798=L1797,L1798=L1799)),NA(), L1798)</f>
        <v>0</v>
      </c>
      <c r="M2520">
        <f>IF(ISNA(N2520),NA(),M1798)</f>
        <v>0</v>
      </c>
      <c r="N2520">
        <f>IF(OR(N1798="",AND(N1798=N1797,N1798=N1799)),NA(), N1798)</f>
        <v>0</v>
      </c>
    </row>
    <row r="2521" spans="5:14">
      <c r="E2521">
        <f>IF(ISNA(F2521),NA(),E1799)</f>
        <v>0</v>
      </c>
      <c r="F2521">
        <f>IF(OR(F1799="",AND(F1799=F1798,F1799=F1800)),NA(), F1799)</f>
        <v>0</v>
      </c>
      <c r="G2521">
        <f>IF(ISNA(H2521),NA(),G1799)</f>
        <v>0</v>
      </c>
      <c r="H2521">
        <f>IF(OR(H1799="",AND(H1799=H1798,H1799=H1800)),NA(), H1799)</f>
        <v>0</v>
      </c>
      <c r="K2521">
        <f>IF(ISNA(L2521),NA(),K1799)</f>
        <v>0</v>
      </c>
      <c r="L2521">
        <f>IF(OR(L1799="",AND(L1799=L1798,L1799=L1800)),NA(), L1799)</f>
        <v>0</v>
      </c>
      <c r="M2521">
        <f>IF(ISNA(N2521),NA(),M1799)</f>
        <v>0</v>
      </c>
      <c r="N2521">
        <f>IF(OR(N1799="",AND(N1799=N1798,N1799=N1800)),NA(), N1799)</f>
        <v>0</v>
      </c>
    </row>
    <row r="2522" spans="5:14">
      <c r="E2522">
        <f>IF(ISNA(F2522),NA(),E1800)</f>
        <v>0</v>
      </c>
      <c r="F2522">
        <f>IF(OR(F1800="",AND(F1800=F1799,F1800=F1801)),NA(), F1800)</f>
        <v>0</v>
      </c>
      <c r="G2522">
        <f>IF(ISNA(H2522),NA(),G1800)</f>
        <v>0</v>
      </c>
      <c r="H2522">
        <f>IF(OR(H1800="",AND(H1800=H1799,H1800=H1801)),NA(), H1800)</f>
        <v>0</v>
      </c>
      <c r="K2522">
        <f>IF(ISNA(L2522),NA(),K1800)</f>
        <v>0</v>
      </c>
      <c r="L2522">
        <f>IF(OR(L1800="",AND(L1800=L1799,L1800=L1801)),NA(), L1800)</f>
        <v>0</v>
      </c>
      <c r="M2522">
        <f>IF(ISNA(N2522),NA(),M1800)</f>
        <v>0</v>
      </c>
      <c r="N2522">
        <f>IF(OR(N1800="",AND(N1800=N1799,N1800=N1801)),NA(), N1800)</f>
        <v>0</v>
      </c>
    </row>
    <row r="2523" spans="5:14">
      <c r="E2523">
        <f>IF(ISNA(F2523),NA(),E1801)</f>
        <v>0</v>
      </c>
      <c r="F2523">
        <f>IF(OR(F1801="",AND(F1801=F1800,F1801=F1802)),NA(), F1801)</f>
        <v>0</v>
      </c>
      <c r="G2523">
        <f>IF(ISNA(H2523),NA(),G1801)</f>
        <v>0</v>
      </c>
      <c r="H2523">
        <f>IF(OR(H1801="",AND(H1801=H1800,H1801=H1802)),NA(), H1801)</f>
        <v>0</v>
      </c>
      <c r="K2523">
        <f>IF(ISNA(L2523),NA(),K1801)</f>
        <v>0</v>
      </c>
      <c r="L2523">
        <f>IF(OR(L1801="",AND(L1801=L1800,L1801=L1802)),NA(), L1801)</f>
        <v>0</v>
      </c>
      <c r="M2523">
        <f>IF(ISNA(N2523),NA(),M1801)</f>
        <v>0</v>
      </c>
      <c r="N2523">
        <f>IF(OR(N1801="",AND(N1801=N1800,N1801=N1802)),NA(), N1801)</f>
        <v>0</v>
      </c>
    </row>
    <row r="2524" spans="5:14">
      <c r="E2524">
        <f>IF(ISNA(F2524),NA(),E1802)</f>
        <v>0</v>
      </c>
      <c r="F2524">
        <f>IF(OR(F1802="",AND(F1802=F1801,F1802=F1803)),NA(), F1802)</f>
        <v>0</v>
      </c>
      <c r="G2524">
        <f>IF(ISNA(H2524),NA(),G1802)</f>
        <v>0</v>
      </c>
      <c r="H2524">
        <f>IF(OR(H1802="",AND(H1802=H1801,H1802=H1803)),NA(), H1802)</f>
        <v>0</v>
      </c>
      <c r="K2524">
        <f>IF(ISNA(L2524),NA(),K1802)</f>
        <v>0</v>
      </c>
      <c r="L2524">
        <f>IF(OR(L1802="",AND(L1802=L1801,L1802=L1803)),NA(), L1802)</f>
        <v>0</v>
      </c>
      <c r="M2524">
        <f>IF(ISNA(N2524),NA(),M1802)</f>
        <v>0</v>
      </c>
      <c r="N2524">
        <f>IF(OR(N1802="",AND(N1802=N1801,N1802=N1803)),NA(), N1802)</f>
        <v>0</v>
      </c>
    </row>
    <row r="2525" spans="5:14">
      <c r="E2525">
        <f>IF(ISNA(F2525),NA(),E1803)</f>
        <v>0</v>
      </c>
      <c r="F2525">
        <f>IF(OR(F1803="",AND(F1803=F1802,F1803=F1804)),NA(), F1803)</f>
        <v>0</v>
      </c>
      <c r="G2525">
        <f>IF(ISNA(H2525),NA(),G1803)</f>
        <v>0</v>
      </c>
      <c r="H2525">
        <f>IF(OR(H1803="",AND(H1803=H1802,H1803=H1804)),NA(), H1803)</f>
        <v>0</v>
      </c>
      <c r="K2525">
        <f>IF(ISNA(L2525),NA(),K1803)</f>
        <v>0</v>
      </c>
      <c r="L2525">
        <f>IF(OR(L1803="",AND(L1803=L1802,L1803=L1804)),NA(), L1803)</f>
        <v>0</v>
      </c>
      <c r="M2525">
        <f>IF(ISNA(N2525),NA(),M1803)</f>
        <v>0</v>
      </c>
      <c r="N2525">
        <f>IF(OR(N1803="",AND(N1803=N1802,N1803=N1804)),NA(), N1803)</f>
        <v>0</v>
      </c>
    </row>
    <row r="2526" spans="5:14">
      <c r="E2526">
        <f>IF(ISNA(F2526),NA(),E1804)</f>
        <v>0</v>
      </c>
      <c r="F2526">
        <f>IF(OR(F1804="",AND(F1804=F1803,F1804=F1805)),NA(), F1804)</f>
        <v>0</v>
      </c>
      <c r="G2526">
        <f>IF(ISNA(H2526),NA(),G1804)</f>
        <v>0</v>
      </c>
      <c r="H2526">
        <f>IF(OR(H1804="",AND(H1804=H1803,H1804=H1805)),NA(), H1804)</f>
        <v>0</v>
      </c>
      <c r="K2526">
        <f>IF(ISNA(L2526),NA(),K1804)</f>
        <v>0</v>
      </c>
      <c r="L2526">
        <f>IF(OR(L1804="",AND(L1804=L1803,L1804=L1805)),NA(), L1804)</f>
        <v>0</v>
      </c>
      <c r="M2526">
        <f>IF(ISNA(N2526),NA(),M1804)</f>
        <v>0</v>
      </c>
      <c r="N2526">
        <f>IF(OR(N1804="",AND(N1804=N1803,N1804=N1805)),NA(), N1804)</f>
        <v>0</v>
      </c>
    </row>
    <row r="2527" spans="5:14">
      <c r="E2527">
        <f>IF(ISNA(F2527),NA(),E1805)</f>
        <v>0</v>
      </c>
      <c r="F2527">
        <f>IF(OR(F1805="",AND(F1805=F1804,F1805=F1806)),NA(), F1805)</f>
        <v>0</v>
      </c>
      <c r="G2527">
        <f>IF(ISNA(H2527),NA(),G1805)</f>
        <v>0</v>
      </c>
      <c r="H2527">
        <f>IF(OR(H1805="",AND(H1805=H1804,H1805=H1806)),NA(), H1805)</f>
        <v>0</v>
      </c>
      <c r="K2527">
        <f>IF(ISNA(L2527),NA(),K1805)</f>
        <v>0</v>
      </c>
      <c r="L2527">
        <f>IF(OR(L1805="",AND(L1805=L1804,L1805=L1806)),NA(), L1805)</f>
        <v>0</v>
      </c>
      <c r="M2527">
        <f>IF(ISNA(N2527),NA(),M1805)</f>
        <v>0</v>
      </c>
      <c r="N2527">
        <f>IF(OR(N1805="",AND(N1805=N1804,N1805=N1806)),NA(), N1805)</f>
        <v>0</v>
      </c>
    </row>
    <row r="2528" spans="5:14">
      <c r="E2528">
        <f>IF(ISNA(F2528),NA(),E1806)</f>
        <v>0</v>
      </c>
      <c r="F2528">
        <f>IF(OR(F1806="",AND(F1806=F1805,F1806=F1807)),NA(), F1806)</f>
        <v>0</v>
      </c>
      <c r="G2528">
        <f>IF(ISNA(H2528),NA(),G1806)</f>
        <v>0</v>
      </c>
      <c r="H2528">
        <f>IF(OR(H1806="",AND(H1806=H1805,H1806=H1807)),NA(), H1806)</f>
        <v>0</v>
      </c>
      <c r="K2528">
        <f>IF(ISNA(L2528),NA(),K1806)</f>
        <v>0</v>
      </c>
      <c r="L2528">
        <f>IF(OR(L1806="",AND(L1806=L1805,L1806=L1807)),NA(), L1806)</f>
        <v>0</v>
      </c>
      <c r="M2528">
        <f>IF(ISNA(N2528),NA(),M1806)</f>
        <v>0</v>
      </c>
      <c r="N2528">
        <f>IF(OR(N1806="",AND(N1806=N1805,N1806=N1807)),NA(), N1806)</f>
        <v>0</v>
      </c>
    </row>
    <row r="2529" spans="5:14">
      <c r="E2529">
        <f>IF(ISNA(F2529),NA(),E1807)</f>
        <v>0</v>
      </c>
      <c r="F2529">
        <f>IF(OR(F1807="",AND(F1807=F1806,F1807=F1808)),NA(), F1807)</f>
        <v>0</v>
      </c>
      <c r="G2529">
        <f>IF(ISNA(H2529),NA(),G1807)</f>
        <v>0</v>
      </c>
      <c r="H2529">
        <f>IF(OR(H1807="",AND(H1807=H1806,H1807=H1808)),NA(), H1807)</f>
        <v>0</v>
      </c>
      <c r="K2529">
        <f>IF(ISNA(L2529),NA(),K1807)</f>
        <v>0</v>
      </c>
      <c r="L2529">
        <f>IF(OR(L1807="",AND(L1807=L1806,L1807=L1808)),NA(), L1807)</f>
        <v>0</v>
      </c>
      <c r="M2529">
        <f>IF(ISNA(N2529),NA(),M1807)</f>
        <v>0</v>
      </c>
      <c r="N2529">
        <f>IF(OR(N1807="",AND(N1807=N1806,N1807=N1808)),NA(), N1807)</f>
        <v>0</v>
      </c>
    </row>
    <row r="2530" spans="5:14">
      <c r="E2530">
        <f>IF(ISNA(F2530),NA(),E1808)</f>
        <v>0</v>
      </c>
      <c r="F2530">
        <f>IF(OR(F1808="",AND(F1808=F1807,F1808=F1809)),NA(), F1808)</f>
        <v>0</v>
      </c>
      <c r="G2530">
        <f>IF(ISNA(H2530),NA(),G1808)</f>
        <v>0</v>
      </c>
      <c r="H2530">
        <f>IF(OR(H1808="",AND(H1808=H1807,H1808=H1809)),NA(), H1808)</f>
        <v>0</v>
      </c>
      <c r="K2530">
        <f>IF(ISNA(L2530),NA(),K1808)</f>
        <v>0</v>
      </c>
      <c r="L2530">
        <f>IF(OR(L1808="",AND(L1808=L1807,L1808=L1809)),NA(), L1808)</f>
        <v>0</v>
      </c>
      <c r="M2530">
        <f>IF(ISNA(N2530),NA(),M1808)</f>
        <v>0</v>
      </c>
      <c r="N2530">
        <f>IF(OR(N1808="",AND(N1808=N1807,N1808=N1809)),NA(), N1808)</f>
        <v>0</v>
      </c>
    </row>
    <row r="2531" spans="5:14">
      <c r="E2531">
        <f>IF(ISNA(F2531),NA(),E1809)</f>
        <v>0</v>
      </c>
      <c r="F2531">
        <f>IF(F1809="",NA(),F1809)</f>
        <v>0</v>
      </c>
      <c r="G2531">
        <f>IF(ISNA(H2531),NA(),G1809)</f>
        <v>0</v>
      </c>
      <c r="H2531">
        <f>IF(H1809="",NA(),H1809)</f>
        <v>0</v>
      </c>
      <c r="K2531">
        <f>IF(ISNA(L2531),NA(),K1809)</f>
        <v>0</v>
      </c>
      <c r="L2531">
        <f>IF(L1809="",NA(),L1809)</f>
        <v>0</v>
      </c>
      <c r="M2531">
        <f>IF(ISNA(N2531),NA(),M1809)</f>
        <v>0</v>
      </c>
      <c r="N2531">
        <f>IF(N1809="",NA(),N1809)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411</v>
      </c>
      <c r="F2" t="s">
        <v>413</v>
      </c>
    </row>
    <row r="3" spans="2:6">
      <c r="B3" s="2" t="s">
        <v>412</v>
      </c>
      <c r="F3" s="2" t="s">
        <v>369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"choices,conflicts,constraints,error,mem,memout,models,overall-time,par2,restarts,rules,solving-time,time,timeout,variables"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2026-05-15T08:02:57Z</dcterms:created>
  <dcterms:modified xsi:type="dcterms:W3CDTF">2026-05-15T08:02:57Z</dcterms:modified>
</cp:coreProperties>
</file>