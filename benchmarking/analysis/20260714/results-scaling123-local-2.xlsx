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<sst xmlns="http://schemas.openxmlformats.org/spreadsheetml/2006/main" count="203" uniqueCount="33">
  <si>
    <t>/Level_0</t>
  </si>
  <si>
    <t>/Level_1</t>
  </si>
  <si>
    <t>/Level_2</t>
  </si>
  <si>
    <t>/Level_3</t>
  </si>
  <si>
    <t>/Level_4</t>
  </si>
  <si>
    <t>/Level_5</t>
  </si>
  <si>
    <t>/Level_6</t>
  </si>
  <si>
    <t>/Level_7</t>
  </si>
  <si>
    <t>/Level_8</t>
  </si>
  <si>
    <t>/Level_9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</si>
  <si>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</si>
  <si>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</si>
  <si>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</si>
  <si>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</si>
  <si>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</si>
  <si>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</si>
  <si>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</si>
  <si>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</si>
  <si>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clingo-5.8.0/default</t>
  </si>
  <si>
    <t>error</t>
  </si>
  <si>
    <t>mem</t>
  </si>
  <si>
    <t>memout</t>
  </si>
  <si>
    <t>par2</t>
  </si>
  <si>
    <t>rstatus</t>
  </si>
  <si>
    <t>signal(9)</t>
  </si>
  <si>
    <t>ok</t>
  </si>
  <si>
    <t>out of memory</t>
  </si>
  <si>
    <t>time</t>
  </si>
  <si>
    <t>timeout</t>
  </si>
  <si>
    <t>min</t>
  </si>
  <si>
    <t>median</t>
  </si>
  <si>
    <t>max</t>
  </si>
  <si>
    <t>Merge criteria: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</si>
</sst>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5" width="11.42578125" customWidth="1"/>
    <col min="6" max="6" width="14.140625" customWidth="1"/>
    <col min="7" max="26" width="11.42578125" customWidth="1"/>
  </cols>
  <sheetData>
    <row r="1" spans="1:26">
      <c r="A1" s="1"/>
      <c r="B1" s="1" t="s">
        <v>18</v>
      </c>
      <c r="C1" s="1"/>
      <c r="D1" s="1"/>
      <c r="E1" s="1"/>
      <c r="F1" s="1"/>
      <c r="G1" s="1"/>
      <c r="H1" s="1"/>
      <c r="I1" s="1" t="s">
        <v>29</v>
      </c>
      <c r="J1" s="1"/>
      <c r="K1" s="1"/>
      <c r="L1" s="1"/>
      <c r="M1" s="1"/>
      <c r="N1" s="1"/>
      <c r="O1" s="1" t="s">
        <v>30</v>
      </c>
      <c r="P1" s="1"/>
      <c r="Q1" s="1"/>
      <c r="R1" s="1"/>
      <c r="S1" s="1"/>
      <c r="T1" s="1"/>
      <c r="U1" s="1" t="s">
        <v>31</v>
      </c>
      <c r="V1" s="1"/>
      <c r="W1" s="1"/>
      <c r="X1" s="1"/>
      <c r="Y1" s="1"/>
      <c r="Z1" s="1"/>
    </row>
    <row r="2" spans="1:26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27</v>
      </c>
      <c r="H2" s="1" t="s">
        <v>28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27</v>
      </c>
      <c r="N2" s="1" t="s">
        <v>28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27</v>
      </c>
      <c r="T2" s="1" t="s">
        <v>28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27</v>
      </c>
      <c r="Z2" s="1" t="s">
        <v>28</v>
      </c>
    </row>
    <row r="3" spans="1:26">
      <c r="A3" s="1" t="s">
        <v>0</v>
      </c>
      <c r="B3" s="1">
        <v>1</v>
      </c>
      <c r="C3" s="1">
        <v>6407</v>
      </c>
      <c r="D3" s="1">
        <v>0</v>
      </c>
      <c r="E3" s="1">
        <v>3600</v>
      </c>
      <c r="F3" s="1" t="s">
        <v>24</v>
      </c>
      <c r="G3" s="1">
        <v>1800</v>
      </c>
      <c r="H3" s="1">
        <v>1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1</v>
      </c>
      <c r="B4" s="1">
        <v>1</v>
      </c>
      <c r="C4" s="1">
        <v>11179</v>
      </c>
      <c r="D4" s="1">
        <v>0</v>
      </c>
      <c r="E4" s="1">
        <v>3600</v>
      </c>
      <c r="F4" s="1" t="s">
        <v>24</v>
      </c>
      <c r="G4" s="1">
        <v>1800</v>
      </c>
      <c r="H4" s="1">
        <v>1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2</v>
      </c>
      <c r="B5" s="1">
        <v>1</v>
      </c>
      <c r="C5" s="1">
        <v>9397</v>
      </c>
      <c r="D5" s="1">
        <v>0</v>
      </c>
      <c r="E5" s="1">
        <v>3600</v>
      </c>
      <c r="F5" s="1" t="s">
        <v>24</v>
      </c>
      <c r="G5" s="1">
        <v>1800</v>
      </c>
      <c r="H5" s="1">
        <v>1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</v>
      </c>
      <c r="B6" s="1">
        <v>1</v>
      </c>
      <c r="C6" s="1">
        <v>11758</v>
      </c>
      <c r="D6" s="1">
        <v>0</v>
      </c>
      <c r="E6" s="1">
        <v>3600</v>
      </c>
      <c r="F6" s="1" t="s">
        <v>24</v>
      </c>
      <c r="G6" s="1">
        <v>1800</v>
      </c>
      <c r="H6" s="1">
        <v>1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4</v>
      </c>
      <c r="B7" s="1">
        <v>1</v>
      </c>
      <c r="C7" s="1">
        <v>7940</v>
      </c>
      <c r="D7" s="1">
        <v>0</v>
      </c>
      <c r="E7" s="1">
        <v>3600</v>
      </c>
      <c r="F7" s="1" t="s">
        <v>24</v>
      </c>
      <c r="G7" s="1">
        <v>1800</v>
      </c>
      <c r="H7" s="1">
        <v>1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5</v>
      </c>
      <c r="B8" s="1">
        <v>1</v>
      </c>
      <c r="C8" s="1">
        <v>10019</v>
      </c>
      <c r="D8" s="1">
        <v>0</v>
      </c>
      <c r="E8" s="1">
        <v>3600</v>
      </c>
      <c r="F8" s="1" t="s">
        <v>24</v>
      </c>
      <c r="G8" s="1">
        <v>1800</v>
      </c>
      <c r="H8" s="1">
        <v>1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6</v>
      </c>
      <c r="B9" s="1">
        <v>1</v>
      </c>
      <c r="C9" s="1">
        <v>6936</v>
      </c>
      <c r="D9" s="1">
        <v>0</v>
      </c>
      <c r="E9" s="1">
        <v>3600</v>
      </c>
      <c r="F9" s="1" t="s">
        <v>24</v>
      </c>
      <c r="G9" s="1">
        <v>1800</v>
      </c>
      <c r="H9" s="1">
        <v>1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7</v>
      </c>
      <c r="B10" s="1">
        <v>1</v>
      </c>
      <c r="C10" s="1">
        <v>6554</v>
      </c>
      <c r="D10" s="1">
        <v>0</v>
      </c>
      <c r="E10" s="1">
        <v>3600</v>
      </c>
      <c r="F10" s="1" t="s">
        <v>24</v>
      </c>
      <c r="G10" s="1">
        <v>1800</v>
      </c>
      <c r="H10" s="1">
        <v>1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8</v>
      </c>
      <c r="B11" s="1">
        <v>1</v>
      </c>
      <c r="C11" s="1">
        <v>8760</v>
      </c>
      <c r="D11" s="1">
        <v>0</v>
      </c>
      <c r="E11" s="1">
        <v>3600</v>
      </c>
      <c r="F11" s="1" t="s">
        <v>24</v>
      </c>
      <c r="G11" s="1">
        <v>1800</v>
      </c>
      <c r="H11" s="1">
        <v>1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9</v>
      </c>
      <c r="B12" s="1">
        <v>1</v>
      </c>
      <c r="C12" s="1">
        <v>7557</v>
      </c>
      <c r="D12" s="1">
        <v>0</v>
      </c>
      <c r="E12" s="1">
        <v>3600</v>
      </c>
      <c r="F12" s="1" t="s">
        <v>24</v>
      </c>
      <c r="G12" s="1">
        <v>1800</v>
      </c>
      <c r="H12" s="1">
        <v>1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 t="s">
        <v>0</v>
      </c>
      <c r="B13" s="1">
        <v>0</v>
      </c>
      <c r="C13" s="1">
        <v>3279</v>
      </c>
      <c r="D13" s="1">
        <v>0</v>
      </c>
      <c r="E13" s="1">
        <v>348.17</v>
      </c>
      <c r="F13" s="1" t="s">
        <v>25</v>
      </c>
      <c r="G13" s="1">
        <v>348.17</v>
      </c>
      <c r="H13" s="1">
        <v>0</v>
      </c>
      <c r="I13" s="1">
        <f>MIN($B13)</f>
        <v>0</v>
      </c>
      <c r="J13" s="1">
        <f>MIN($C13)</f>
        <v>0</v>
      </c>
      <c r="K13" s="1">
        <f>MIN($D13)</f>
        <v>0</v>
      </c>
      <c r="L13" s="1">
        <f>MIN($E13)</f>
        <v>0</v>
      </c>
      <c r="M13" s="1">
        <f>MIN($G13)</f>
        <v>0</v>
      </c>
      <c r="N13" s="1">
        <f>MIN($H13)</f>
        <v>0</v>
      </c>
      <c r="O13" s="1">
        <f>MEDIAN($B13)</f>
        <v>0</v>
      </c>
      <c r="P13" s="1">
        <f>MEDIAN($C13)</f>
        <v>0</v>
      </c>
      <c r="Q13" s="1">
        <f>MEDIAN($D13)</f>
        <v>0</v>
      </c>
      <c r="R13" s="1">
        <f>MEDIAN($E13)</f>
        <v>0</v>
      </c>
      <c r="S13" s="1">
        <f>MEDIAN($G13)</f>
        <v>0</v>
      </c>
      <c r="T13" s="1">
        <f>MEDIAN($H13)</f>
        <v>0</v>
      </c>
      <c r="U13" s="1">
        <f>MAX($B13)</f>
        <v>0</v>
      </c>
      <c r="V13" s="1">
        <f>MAX($C13)</f>
        <v>0</v>
      </c>
      <c r="W13" s="1">
        <f>MAX($D13)</f>
        <v>0</v>
      </c>
      <c r="X13" s="1">
        <f>MAX($E13)</f>
        <v>0</v>
      </c>
      <c r="Y13" s="1">
        <f>MAX($G13)</f>
        <v>0</v>
      </c>
      <c r="Z13" s="1">
        <f>MAX($H13)</f>
        <v>0</v>
      </c>
    </row>
    <row r="14" spans="1:26">
      <c r="A14" s="1" t="s">
        <v>1</v>
      </c>
      <c r="B14" s="1">
        <v>0</v>
      </c>
      <c r="C14" s="1">
        <v>2587</v>
      </c>
      <c r="D14" s="1">
        <v>0</v>
      </c>
      <c r="E14" s="1">
        <v>537.09</v>
      </c>
      <c r="F14" s="1" t="s">
        <v>25</v>
      </c>
      <c r="G14" s="1">
        <v>537.09</v>
      </c>
      <c r="H14" s="1">
        <v>0</v>
      </c>
      <c r="I14" s="1">
        <f>MIN($B14)</f>
        <v>0</v>
      </c>
      <c r="J14" s="1">
        <f>MIN($C14)</f>
        <v>0</v>
      </c>
      <c r="K14" s="1">
        <f>MIN($D14)</f>
        <v>0</v>
      </c>
      <c r="L14" s="1">
        <f>MIN($E14)</f>
        <v>0</v>
      </c>
      <c r="M14" s="1">
        <f>MIN($G14)</f>
        <v>0</v>
      </c>
      <c r="N14" s="1">
        <f>MIN($H14)</f>
        <v>0</v>
      </c>
      <c r="O14" s="1">
        <f>MEDIAN($B14)</f>
        <v>0</v>
      </c>
      <c r="P14" s="1">
        <f>MEDIAN($C14)</f>
        <v>0</v>
      </c>
      <c r="Q14" s="1">
        <f>MEDIAN($D14)</f>
        <v>0</v>
      </c>
      <c r="R14" s="1">
        <f>MEDIAN($E14)</f>
        <v>0</v>
      </c>
      <c r="S14" s="1">
        <f>MEDIAN($G14)</f>
        <v>0</v>
      </c>
      <c r="T14" s="1">
        <f>MEDIAN($H14)</f>
        <v>0</v>
      </c>
      <c r="U14" s="1">
        <f>MAX($B14)</f>
        <v>0</v>
      </c>
      <c r="V14" s="1">
        <f>MAX($C14)</f>
        <v>0</v>
      </c>
      <c r="W14" s="1">
        <f>MAX($D14)</f>
        <v>0</v>
      </c>
      <c r="X14" s="1">
        <f>MAX($E14)</f>
        <v>0</v>
      </c>
      <c r="Y14" s="1">
        <f>MAX($G14)</f>
        <v>0</v>
      </c>
      <c r="Z14" s="1">
        <f>MAX($H14)</f>
        <v>0</v>
      </c>
    </row>
    <row r="15" spans="1:26">
      <c r="A15" s="1" t="s">
        <v>2</v>
      </c>
      <c r="B15" s="1">
        <v>1</v>
      </c>
      <c r="C15" s="1">
        <v>10169</v>
      </c>
      <c r="D15" s="1">
        <v>0</v>
      </c>
      <c r="E15" s="1">
        <v>3600</v>
      </c>
      <c r="F15" s="1" t="s">
        <v>24</v>
      </c>
      <c r="G15" s="1">
        <v>1800</v>
      </c>
      <c r="H15" s="1">
        <v>1</v>
      </c>
      <c r="I15" s="1">
        <f>MIN($B15)</f>
        <v>0</v>
      </c>
      <c r="J15" s="1">
        <f>MIN($C15)</f>
        <v>0</v>
      </c>
      <c r="K15" s="1">
        <f>MIN($D15)</f>
        <v>0</v>
      </c>
      <c r="L15" s="1">
        <f>MIN($E15)</f>
        <v>0</v>
      </c>
      <c r="M15" s="1">
        <f>MIN($G15)</f>
        <v>0</v>
      </c>
      <c r="N15" s="1">
        <f>MIN($H15)</f>
        <v>0</v>
      </c>
      <c r="O15" s="1">
        <f>MEDIAN($B15)</f>
        <v>0</v>
      </c>
      <c r="P15" s="1">
        <f>MEDIAN($C15)</f>
        <v>0</v>
      </c>
      <c r="Q15" s="1">
        <f>MEDIAN($D15)</f>
        <v>0</v>
      </c>
      <c r="R15" s="1">
        <f>MEDIAN($E15)</f>
        <v>0</v>
      </c>
      <c r="S15" s="1">
        <f>MEDIAN($G15)</f>
        <v>0</v>
      </c>
      <c r="T15" s="1">
        <f>MEDIAN($H15)</f>
        <v>0</v>
      </c>
      <c r="U15" s="1">
        <f>MAX($B15)</f>
        <v>0</v>
      </c>
      <c r="V15" s="1">
        <f>MAX($C15)</f>
        <v>0</v>
      </c>
      <c r="W15" s="1">
        <f>MAX($D15)</f>
        <v>0</v>
      </c>
      <c r="X15" s="1">
        <f>MAX($E15)</f>
        <v>0</v>
      </c>
      <c r="Y15" s="1">
        <f>MAX($G15)</f>
        <v>0</v>
      </c>
      <c r="Z15" s="1">
        <f>MAX($H15)</f>
        <v>0</v>
      </c>
    </row>
    <row r="16" spans="1:26">
      <c r="A16" s="1" t="s">
        <v>3</v>
      </c>
      <c r="B16" s="1">
        <v>0</v>
      </c>
      <c r="C16" s="1">
        <v>2454</v>
      </c>
      <c r="D16" s="1">
        <v>0</v>
      </c>
      <c r="E16" s="1">
        <v>522.25</v>
      </c>
      <c r="F16" s="1" t="s">
        <v>25</v>
      </c>
      <c r="G16" s="1">
        <v>522.25</v>
      </c>
      <c r="H16" s="1">
        <v>0</v>
      </c>
      <c r="I16" s="1">
        <f>MIN($B16)</f>
        <v>0</v>
      </c>
      <c r="J16" s="1">
        <f>MIN($C16)</f>
        <v>0</v>
      </c>
      <c r="K16" s="1">
        <f>MIN($D16)</f>
        <v>0</v>
      </c>
      <c r="L16" s="1">
        <f>MIN($E16)</f>
        <v>0</v>
      </c>
      <c r="M16" s="1">
        <f>MIN($G16)</f>
        <v>0</v>
      </c>
      <c r="N16" s="1">
        <f>MIN($H16)</f>
        <v>0</v>
      </c>
      <c r="O16" s="1">
        <f>MEDIAN($B16)</f>
        <v>0</v>
      </c>
      <c r="P16" s="1">
        <f>MEDIAN($C16)</f>
        <v>0</v>
      </c>
      <c r="Q16" s="1">
        <f>MEDIAN($D16)</f>
        <v>0</v>
      </c>
      <c r="R16" s="1">
        <f>MEDIAN($E16)</f>
        <v>0</v>
      </c>
      <c r="S16" s="1">
        <f>MEDIAN($G16)</f>
        <v>0</v>
      </c>
      <c r="T16" s="1">
        <f>MEDIAN($H16)</f>
        <v>0</v>
      </c>
      <c r="U16" s="1">
        <f>MAX($B16)</f>
        <v>0</v>
      </c>
      <c r="V16" s="1">
        <f>MAX($C16)</f>
        <v>0</v>
      </c>
      <c r="W16" s="1">
        <f>MAX($D16)</f>
        <v>0</v>
      </c>
      <c r="X16" s="1">
        <f>MAX($E16)</f>
        <v>0</v>
      </c>
      <c r="Y16" s="1">
        <f>MAX($G16)</f>
        <v>0</v>
      </c>
      <c r="Z16" s="1">
        <f>MAX($H16)</f>
        <v>0</v>
      </c>
    </row>
    <row r="17" spans="1:26">
      <c r="A17" s="1" t="s">
        <v>4</v>
      </c>
      <c r="B17" s="1">
        <v>1</v>
      </c>
      <c r="C17" s="1">
        <v>9592</v>
      </c>
      <c r="D17" s="1">
        <v>0</v>
      </c>
      <c r="E17" s="1">
        <v>3600</v>
      </c>
      <c r="F17" s="1" t="s">
        <v>24</v>
      </c>
      <c r="G17" s="1">
        <v>1800</v>
      </c>
      <c r="H17" s="1">
        <v>1</v>
      </c>
      <c r="I17" s="1">
        <f>MIN($B17)</f>
        <v>0</v>
      </c>
      <c r="J17" s="1">
        <f>MIN($C17)</f>
        <v>0</v>
      </c>
      <c r="K17" s="1">
        <f>MIN($D17)</f>
        <v>0</v>
      </c>
      <c r="L17" s="1">
        <f>MIN($E17)</f>
        <v>0</v>
      </c>
      <c r="M17" s="1">
        <f>MIN($G17)</f>
        <v>0</v>
      </c>
      <c r="N17" s="1">
        <f>MIN($H17)</f>
        <v>0</v>
      </c>
      <c r="O17" s="1">
        <f>MEDIAN($B17)</f>
        <v>0</v>
      </c>
      <c r="P17" s="1">
        <f>MEDIAN($C17)</f>
        <v>0</v>
      </c>
      <c r="Q17" s="1">
        <f>MEDIAN($D17)</f>
        <v>0</v>
      </c>
      <c r="R17" s="1">
        <f>MEDIAN($E17)</f>
        <v>0</v>
      </c>
      <c r="S17" s="1">
        <f>MEDIAN($G17)</f>
        <v>0</v>
      </c>
      <c r="T17" s="1">
        <f>MEDIAN($H17)</f>
        <v>0</v>
      </c>
      <c r="U17" s="1">
        <f>MAX($B17)</f>
        <v>0</v>
      </c>
      <c r="V17" s="1">
        <f>MAX($C17)</f>
        <v>0</v>
      </c>
      <c r="W17" s="1">
        <f>MAX($D17)</f>
        <v>0</v>
      </c>
      <c r="X17" s="1">
        <f>MAX($E17)</f>
        <v>0</v>
      </c>
      <c r="Y17" s="1">
        <f>MAX($G17)</f>
        <v>0</v>
      </c>
      <c r="Z17" s="1">
        <f>MAX($H17)</f>
        <v>0</v>
      </c>
    </row>
    <row r="18" spans="1:26">
      <c r="A18" s="1" t="s">
        <v>5</v>
      </c>
      <c r="B18" s="1">
        <v>1</v>
      </c>
      <c r="C18" s="1">
        <v>11963</v>
      </c>
      <c r="D18" s="1">
        <v>0</v>
      </c>
      <c r="E18" s="1">
        <v>3600</v>
      </c>
      <c r="F18" s="1" t="s">
        <v>24</v>
      </c>
      <c r="G18" s="1">
        <v>1800</v>
      </c>
      <c r="H18" s="1">
        <v>1</v>
      </c>
      <c r="I18" s="1">
        <f>MIN($B18)</f>
        <v>0</v>
      </c>
      <c r="J18" s="1">
        <f>MIN($C18)</f>
        <v>0</v>
      </c>
      <c r="K18" s="1">
        <f>MIN($D18)</f>
        <v>0</v>
      </c>
      <c r="L18" s="1">
        <f>MIN($E18)</f>
        <v>0</v>
      </c>
      <c r="M18" s="1">
        <f>MIN($G18)</f>
        <v>0</v>
      </c>
      <c r="N18" s="1">
        <f>MIN($H18)</f>
        <v>0</v>
      </c>
      <c r="O18" s="1">
        <f>MEDIAN($B18)</f>
        <v>0</v>
      </c>
      <c r="P18" s="1">
        <f>MEDIAN($C18)</f>
        <v>0</v>
      </c>
      <c r="Q18" s="1">
        <f>MEDIAN($D18)</f>
        <v>0</v>
      </c>
      <c r="R18" s="1">
        <f>MEDIAN($E18)</f>
        <v>0</v>
      </c>
      <c r="S18" s="1">
        <f>MEDIAN($G18)</f>
        <v>0</v>
      </c>
      <c r="T18" s="1">
        <f>MEDIAN($H18)</f>
        <v>0</v>
      </c>
      <c r="U18" s="1">
        <f>MAX($B18)</f>
        <v>0</v>
      </c>
      <c r="V18" s="1">
        <f>MAX($C18)</f>
        <v>0</v>
      </c>
      <c r="W18" s="1">
        <f>MAX($D18)</f>
        <v>0</v>
      </c>
      <c r="X18" s="1">
        <f>MAX($E18)</f>
        <v>0</v>
      </c>
      <c r="Y18" s="1">
        <f>MAX($G18)</f>
        <v>0</v>
      </c>
      <c r="Z18" s="1">
        <f>MAX($H18)</f>
        <v>0</v>
      </c>
    </row>
    <row r="19" spans="1:26">
      <c r="A19" s="1" t="s">
        <v>6</v>
      </c>
      <c r="B19" s="1">
        <v>1</v>
      </c>
      <c r="C19" s="1">
        <v>11344</v>
      </c>
      <c r="D19" s="1">
        <v>0</v>
      </c>
      <c r="E19" s="1">
        <v>3600</v>
      </c>
      <c r="F19" s="1" t="s">
        <v>24</v>
      </c>
      <c r="G19" s="1">
        <v>1800</v>
      </c>
      <c r="H19" s="1">
        <v>1</v>
      </c>
      <c r="I19" s="1">
        <f>MIN($B19)</f>
        <v>0</v>
      </c>
      <c r="J19" s="1">
        <f>MIN($C19)</f>
        <v>0</v>
      </c>
      <c r="K19" s="1">
        <f>MIN($D19)</f>
        <v>0</v>
      </c>
      <c r="L19" s="1">
        <f>MIN($E19)</f>
        <v>0</v>
      </c>
      <c r="M19" s="1">
        <f>MIN($G19)</f>
        <v>0</v>
      </c>
      <c r="N19" s="1">
        <f>MIN($H19)</f>
        <v>0</v>
      </c>
      <c r="O19" s="1">
        <f>MEDIAN($B19)</f>
        <v>0</v>
      </c>
      <c r="P19" s="1">
        <f>MEDIAN($C19)</f>
        <v>0</v>
      </c>
      <c r="Q19" s="1">
        <f>MEDIAN($D19)</f>
        <v>0</v>
      </c>
      <c r="R19" s="1">
        <f>MEDIAN($E19)</f>
        <v>0</v>
      </c>
      <c r="S19" s="1">
        <f>MEDIAN($G19)</f>
        <v>0</v>
      </c>
      <c r="T19" s="1">
        <f>MEDIAN($H19)</f>
        <v>0</v>
      </c>
      <c r="U19" s="1">
        <f>MAX($B19)</f>
        <v>0</v>
      </c>
      <c r="V19" s="1">
        <f>MAX($C19)</f>
        <v>0</v>
      </c>
      <c r="W19" s="1">
        <f>MAX($D19)</f>
        <v>0</v>
      </c>
      <c r="X19" s="1">
        <f>MAX($E19)</f>
        <v>0</v>
      </c>
      <c r="Y19" s="1">
        <f>MAX($G19)</f>
        <v>0</v>
      </c>
      <c r="Z19" s="1">
        <f>MAX($H19)</f>
        <v>0</v>
      </c>
    </row>
    <row r="20" spans="1:26">
      <c r="A20" s="1" t="s">
        <v>7</v>
      </c>
      <c r="B20" s="1">
        <v>1</v>
      </c>
      <c r="C20" s="1">
        <v>10458</v>
      </c>
      <c r="D20" s="1">
        <v>0</v>
      </c>
      <c r="E20" s="1">
        <v>3600</v>
      </c>
      <c r="F20" s="1" t="s">
        <v>24</v>
      </c>
      <c r="G20" s="1">
        <v>1800</v>
      </c>
      <c r="H20" s="1">
        <v>1</v>
      </c>
      <c r="I20" s="1">
        <f>MIN($B20)</f>
        <v>0</v>
      </c>
      <c r="J20" s="1">
        <f>MIN($C20)</f>
        <v>0</v>
      </c>
      <c r="K20" s="1">
        <f>MIN($D20)</f>
        <v>0</v>
      </c>
      <c r="L20" s="1">
        <f>MIN($E20)</f>
        <v>0</v>
      </c>
      <c r="M20" s="1">
        <f>MIN($G20)</f>
        <v>0</v>
      </c>
      <c r="N20" s="1">
        <f>MIN($H20)</f>
        <v>0</v>
      </c>
      <c r="O20" s="1">
        <f>MEDIAN($B20)</f>
        <v>0</v>
      </c>
      <c r="P20" s="1">
        <f>MEDIAN($C20)</f>
        <v>0</v>
      </c>
      <c r="Q20" s="1">
        <f>MEDIAN($D20)</f>
        <v>0</v>
      </c>
      <c r="R20" s="1">
        <f>MEDIAN($E20)</f>
        <v>0</v>
      </c>
      <c r="S20" s="1">
        <f>MEDIAN($G20)</f>
        <v>0</v>
      </c>
      <c r="T20" s="1">
        <f>MEDIAN($H20)</f>
        <v>0</v>
      </c>
      <c r="U20" s="1">
        <f>MAX($B20)</f>
        <v>0</v>
      </c>
      <c r="V20" s="1">
        <f>MAX($C20)</f>
        <v>0</v>
      </c>
      <c r="W20" s="1">
        <f>MAX($D20)</f>
        <v>0</v>
      </c>
      <c r="X20" s="1">
        <f>MAX($E20)</f>
        <v>0</v>
      </c>
      <c r="Y20" s="1">
        <f>MAX($G20)</f>
        <v>0</v>
      </c>
      <c r="Z20" s="1">
        <f>MAX($H20)</f>
        <v>0</v>
      </c>
    </row>
    <row r="21" spans="1:26">
      <c r="A21" s="1" t="s">
        <v>8</v>
      </c>
      <c r="B21" s="1">
        <v>1</v>
      </c>
      <c r="C21" s="1">
        <v>11758</v>
      </c>
      <c r="D21" s="1">
        <v>0</v>
      </c>
      <c r="E21" s="1">
        <v>3600</v>
      </c>
      <c r="F21" s="1" t="s">
        <v>24</v>
      </c>
      <c r="G21" s="1">
        <v>1800</v>
      </c>
      <c r="H21" s="1">
        <v>1</v>
      </c>
      <c r="I21" s="1">
        <f>MIN($B21)</f>
        <v>0</v>
      </c>
      <c r="J21" s="1">
        <f>MIN($C21)</f>
        <v>0</v>
      </c>
      <c r="K21" s="1">
        <f>MIN($D21)</f>
        <v>0</v>
      </c>
      <c r="L21" s="1">
        <f>MIN($E21)</f>
        <v>0</v>
      </c>
      <c r="M21" s="1">
        <f>MIN($G21)</f>
        <v>0</v>
      </c>
      <c r="N21" s="1">
        <f>MIN($H21)</f>
        <v>0</v>
      </c>
      <c r="O21" s="1">
        <f>MEDIAN($B21)</f>
        <v>0</v>
      </c>
      <c r="P21" s="1">
        <f>MEDIAN($C21)</f>
        <v>0</v>
      </c>
      <c r="Q21" s="1">
        <f>MEDIAN($D21)</f>
        <v>0</v>
      </c>
      <c r="R21" s="1">
        <f>MEDIAN($E21)</f>
        <v>0</v>
      </c>
      <c r="S21" s="1">
        <f>MEDIAN($G21)</f>
        <v>0</v>
      </c>
      <c r="T21" s="1">
        <f>MEDIAN($H21)</f>
        <v>0</v>
      </c>
      <c r="U21" s="1">
        <f>MAX($B21)</f>
        <v>0</v>
      </c>
      <c r="V21" s="1">
        <f>MAX($C21)</f>
        <v>0</v>
      </c>
      <c r="W21" s="1">
        <f>MAX($D21)</f>
        <v>0</v>
      </c>
      <c r="X21" s="1">
        <f>MAX($E21)</f>
        <v>0</v>
      </c>
      <c r="Y21" s="1">
        <f>MAX($G21)</f>
        <v>0</v>
      </c>
      <c r="Z21" s="1">
        <f>MAX($H21)</f>
        <v>0</v>
      </c>
    </row>
    <row r="22" spans="1:26">
      <c r="A22" s="1" t="s">
        <v>9</v>
      </c>
      <c r="B22" s="1">
        <v>1</v>
      </c>
      <c r="C22" s="1">
        <v>10319</v>
      </c>
      <c r="D22" s="1">
        <v>0</v>
      </c>
      <c r="E22" s="1">
        <v>3600</v>
      </c>
      <c r="F22" s="1" t="s">
        <v>24</v>
      </c>
      <c r="G22" s="1">
        <v>1800</v>
      </c>
      <c r="H22" s="1">
        <v>1</v>
      </c>
      <c r="I22" s="1">
        <f>MIN($B22)</f>
        <v>0</v>
      </c>
      <c r="J22" s="1">
        <f>MIN($C22)</f>
        <v>0</v>
      </c>
      <c r="K22" s="1">
        <f>MIN($D22)</f>
        <v>0</v>
      </c>
      <c r="L22" s="1">
        <f>MIN($E22)</f>
        <v>0</v>
      </c>
      <c r="M22" s="1">
        <f>MIN($G22)</f>
        <v>0</v>
      </c>
      <c r="N22" s="1">
        <f>MIN($H22)</f>
        <v>0</v>
      </c>
      <c r="O22" s="1">
        <f>MEDIAN($B22)</f>
        <v>0</v>
      </c>
      <c r="P22" s="1">
        <f>MEDIAN($C22)</f>
        <v>0</v>
      </c>
      <c r="Q22" s="1">
        <f>MEDIAN($D22)</f>
        <v>0</v>
      </c>
      <c r="R22" s="1">
        <f>MEDIAN($E22)</f>
        <v>0</v>
      </c>
      <c r="S22" s="1">
        <f>MEDIAN($G22)</f>
        <v>0</v>
      </c>
      <c r="T22" s="1">
        <f>MEDIAN($H22)</f>
        <v>0</v>
      </c>
      <c r="U22" s="1">
        <f>MAX($B22)</f>
        <v>0</v>
      </c>
      <c r="V22" s="1">
        <f>MAX($C22)</f>
        <v>0</v>
      </c>
      <c r="W22" s="1">
        <f>MAX($D22)</f>
        <v>0</v>
      </c>
      <c r="X22" s="1">
        <f>MAX($E22)</f>
        <v>0</v>
      </c>
      <c r="Y22" s="1">
        <f>MAX($G22)</f>
        <v>0</v>
      </c>
      <c r="Z22" s="1">
        <f>MAX($H22)</f>
        <v>0</v>
      </c>
    </row>
    <row r="23" spans="1:26">
      <c r="A23" s="1" t="s">
        <v>0</v>
      </c>
      <c r="B23" s="1">
        <v>1</v>
      </c>
      <c r="C23" s="1">
        <v>10526</v>
      </c>
      <c r="D23" s="1">
        <v>0</v>
      </c>
      <c r="E23" s="1">
        <v>3600</v>
      </c>
      <c r="F23" s="1" t="s">
        <v>24</v>
      </c>
      <c r="G23" s="1">
        <v>1800</v>
      </c>
      <c r="H23" s="1">
        <v>1</v>
      </c>
      <c r="I23" s="1">
        <f>MIN($B23)</f>
        <v>0</v>
      </c>
      <c r="J23" s="1">
        <f>MIN($C23)</f>
        <v>0</v>
      </c>
      <c r="K23" s="1">
        <f>MIN($D23)</f>
        <v>0</v>
      </c>
      <c r="L23" s="1">
        <f>MIN($E23)</f>
        <v>0</v>
      </c>
      <c r="M23" s="1">
        <f>MIN($G23)</f>
        <v>0</v>
      </c>
      <c r="N23" s="1">
        <f>MIN($H23)</f>
        <v>0</v>
      </c>
      <c r="O23" s="1">
        <f>MEDIAN($B23)</f>
        <v>0</v>
      </c>
      <c r="P23" s="1">
        <f>MEDIAN($C23)</f>
        <v>0</v>
      </c>
      <c r="Q23" s="1">
        <f>MEDIAN($D23)</f>
        <v>0</v>
      </c>
      <c r="R23" s="1">
        <f>MEDIAN($E23)</f>
        <v>0</v>
      </c>
      <c r="S23" s="1">
        <f>MEDIAN($G23)</f>
        <v>0</v>
      </c>
      <c r="T23" s="1">
        <f>MEDIAN($H23)</f>
        <v>0</v>
      </c>
      <c r="U23" s="1">
        <f>MAX($B23)</f>
        <v>0</v>
      </c>
      <c r="V23" s="1">
        <f>MAX($C23)</f>
        <v>0</v>
      </c>
      <c r="W23" s="1">
        <f>MAX($D23)</f>
        <v>0</v>
      </c>
      <c r="X23" s="1">
        <f>MAX($E23)</f>
        <v>0</v>
      </c>
      <c r="Y23" s="1">
        <f>MAX($G23)</f>
        <v>0</v>
      </c>
      <c r="Z23" s="1">
        <f>MAX($H23)</f>
        <v>0</v>
      </c>
    </row>
    <row r="24" spans="1:26">
      <c r="A24" s="1" t="s">
        <v>1</v>
      </c>
      <c r="B24" s="1">
        <v>1</v>
      </c>
      <c r="C24" s="1">
        <v>10181</v>
      </c>
      <c r="D24" s="1">
        <v>0</v>
      </c>
      <c r="E24" s="1">
        <v>3600</v>
      </c>
      <c r="F24" s="1" t="s">
        <v>24</v>
      </c>
      <c r="G24" s="1">
        <v>1800</v>
      </c>
      <c r="H24" s="1">
        <v>1</v>
      </c>
      <c r="I24" s="1">
        <f>MIN($B24)</f>
        <v>0</v>
      </c>
      <c r="J24" s="1">
        <f>MIN($C24)</f>
        <v>0</v>
      </c>
      <c r="K24" s="1">
        <f>MIN($D24)</f>
        <v>0</v>
      </c>
      <c r="L24" s="1">
        <f>MIN($E24)</f>
        <v>0</v>
      </c>
      <c r="M24" s="1">
        <f>MIN($G24)</f>
        <v>0</v>
      </c>
      <c r="N24" s="1">
        <f>MIN($H24)</f>
        <v>0</v>
      </c>
      <c r="O24" s="1">
        <f>MEDIAN($B24)</f>
        <v>0</v>
      </c>
      <c r="P24" s="1">
        <f>MEDIAN($C24)</f>
        <v>0</v>
      </c>
      <c r="Q24" s="1">
        <f>MEDIAN($D24)</f>
        <v>0</v>
      </c>
      <c r="R24" s="1">
        <f>MEDIAN($E24)</f>
        <v>0</v>
      </c>
      <c r="S24" s="1">
        <f>MEDIAN($G24)</f>
        <v>0</v>
      </c>
      <c r="T24" s="1">
        <f>MEDIAN($H24)</f>
        <v>0</v>
      </c>
      <c r="U24" s="1">
        <f>MAX($B24)</f>
        <v>0</v>
      </c>
      <c r="V24" s="1">
        <f>MAX($C24)</f>
        <v>0</v>
      </c>
      <c r="W24" s="1">
        <f>MAX($D24)</f>
        <v>0</v>
      </c>
      <c r="X24" s="1">
        <f>MAX($E24)</f>
        <v>0</v>
      </c>
      <c r="Y24" s="1">
        <f>MAX($G24)</f>
        <v>0</v>
      </c>
      <c r="Z24" s="1">
        <f>MAX($H24)</f>
        <v>0</v>
      </c>
    </row>
    <row r="25" spans="1:26">
      <c r="A25" s="1" t="s">
        <v>2</v>
      </c>
      <c r="B25" s="1">
        <v>1</v>
      </c>
      <c r="C25" s="1">
        <v>9840</v>
      </c>
      <c r="D25" s="1">
        <v>0</v>
      </c>
      <c r="E25" s="1">
        <v>3600</v>
      </c>
      <c r="F25" s="1" t="s">
        <v>24</v>
      </c>
      <c r="G25" s="1">
        <v>1800</v>
      </c>
      <c r="H25" s="1">
        <v>1</v>
      </c>
      <c r="I25" s="1">
        <f>MIN($B25)</f>
        <v>0</v>
      </c>
      <c r="J25" s="1">
        <f>MIN($C25)</f>
        <v>0</v>
      </c>
      <c r="K25" s="1">
        <f>MIN($D25)</f>
        <v>0</v>
      </c>
      <c r="L25" s="1">
        <f>MIN($E25)</f>
        <v>0</v>
      </c>
      <c r="M25" s="1">
        <f>MIN($G25)</f>
        <v>0</v>
      </c>
      <c r="N25" s="1">
        <f>MIN($H25)</f>
        <v>0</v>
      </c>
      <c r="O25" s="1">
        <f>MEDIAN($B25)</f>
        <v>0</v>
      </c>
      <c r="P25" s="1">
        <f>MEDIAN($C25)</f>
        <v>0</v>
      </c>
      <c r="Q25" s="1">
        <f>MEDIAN($D25)</f>
        <v>0</v>
      </c>
      <c r="R25" s="1">
        <f>MEDIAN($E25)</f>
        <v>0</v>
      </c>
      <c r="S25" s="1">
        <f>MEDIAN($G25)</f>
        <v>0</v>
      </c>
      <c r="T25" s="1">
        <f>MEDIAN($H25)</f>
        <v>0</v>
      </c>
      <c r="U25" s="1">
        <f>MAX($B25)</f>
        <v>0</v>
      </c>
      <c r="V25" s="1">
        <f>MAX($C25)</f>
        <v>0</v>
      </c>
      <c r="W25" s="1">
        <f>MAX($D25)</f>
        <v>0</v>
      </c>
      <c r="X25" s="1">
        <f>MAX($E25)</f>
        <v>0</v>
      </c>
      <c r="Y25" s="1">
        <f>MAX($G25)</f>
        <v>0</v>
      </c>
      <c r="Z25" s="1">
        <f>MAX($H25)</f>
        <v>0</v>
      </c>
    </row>
    <row r="26" spans="1:26">
      <c r="A26" s="1" t="s">
        <v>3</v>
      </c>
      <c r="B26" s="1">
        <v>0</v>
      </c>
      <c r="C26" s="1">
        <v>20002</v>
      </c>
      <c r="D26" s="1">
        <v>1</v>
      </c>
      <c r="E26" s="1">
        <v>3600</v>
      </c>
      <c r="F26" s="1" t="s">
        <v>26</v>
      </c>
      <c r="G26" s="1">
        <v>1800</v>
      </c>
      <c r="H26" s="1">
        <v>1</v>
      </c>
      <c r="I26" s="1">
        <f>MIN($B26)</f>
        <v>0</v>
      </c>
      <c r="J26" s="1">
        <f>MIN($C26)</f>
        <v>0</v>
      </c>
      <c r="K26" s="1">
        <f>MIN($D26)</f>
        <v>0</v>
      </c>
      <c r="L26" s="1">
        <f>MIN($E26)</f>
        <v>0</v>
      </c>
      <c r="M26" s="1">
        <f>MIN($G26)</f>
        <v>0</v>
      </c>
      <c r="N26" s="1">
        <f>MIN($H26)</f>
        <v>0</v>
      </c>
      <c r="O26" s="1">
        <f>MEDIAN($B26)</f>
        <v>0</v>
      </c>
      <c r="P26" s="1">
        <f>MEDIAN($C26)</f>
        <v>0</v>
      </c>
      <c r="Q26" s="1">
        <f>MEDIAN($D26)</f>
        <v>0</v>
      </c>
      <c r="R26" s="1">
        <f>MEDIAN($E26)</f>
        <v>0</v>
      </c>
      <c r="S26" s="1">
        <f>MEDIAN($G26)</f>
        <v>0</v>
      </c>
      <c r="T26" s="1">
        <f>MEDIAN($H26)</f>
        <v>0</v>
      </c>
      <c r="U26" s="1">
        <f>MAX($B26)</f>
        <v>0</v>
      </c>
      <c r="V26" s="1">
        <f>MAX($C26)</f>
        <v>0</v>
      </c>
      <c r="W26" s="1">
        <f>MAX($D26)</f>
        <v>0</v>
      </c>
      <c r="X26" s="1">
        <f>MAX($E26)</f>
        <v>0</v>
      </c>
      <c r="Y26" s="1">
        <f>MAX($G26)</f>
        <v>0</v>
      </c>
      <c r="Z26" s="1">
        <f>MAX($H26)</f>
        <v>0</v>
      </c>
    </row>
    <row r="27" spans="1:26">
      <c r="A27" s="1" t="s">
        <v>4</v>
      </c>
      <c r="B27" s="1">
        <v>1</v>
      </c>
      <c r="C27" s="1">
        <v>10555</v>
      </c>
      <c r="D27" s="1">
        <v>0</v>
      </c>
      <c r="E27" s="1">
        <v>3600</v>
      </c>
      <c r="F27" s="1" t="s">
        <v>24</v>
      </c>
      <c r="G27" s="1">
        <v>1800</v>
      </c>
      <c r="H27" s="1">
        <v>1</v>
      </c>
      <c r="I27" s="1">
        <f>MIN($B27)</f>
        <v>0</v>
      </c>
      <c r="J27" s="1">
        <f>MIN($C27)</f>
        <v>0</v>
      </c>
      <c r="K27" s="1">
        <f>MIN($D27)</f>
        <v>0</v>
      </c>
      <c r="L27" s="1">
        <f>MIN($E27)</f>
        <v>0</v>
      </c>
      <c r="M27" s="1">
        <f>MIN($G27)</f>
        <v>0</v>
      </c>
      <c r="N27" s="1">
        <f>MIN($H27)</f>
        <v>0</v>
      </c>
      <c r="O27" s="1">
        <f>MEDIAN($B27)</f>
        <v>0</v>
      </c>
      <c r="P27" s="1">
        <f>MEDIAN($C27)</f>
        <v>0</v>
      </c>
      <c r="Q27" s="1">
        <f>MEDIAN($D27)</f>
        <v>0</v>
      </c>
      <c r="R27" s="1">
        <f>MEDIAN($E27)</f>
        <v>0</v>
      </c>
      <c r="S27" s="1">
        <f>MEDIAN($G27)</f>
        <v>0</v>
      </c>
      <c r="T27" s="1">
        <f>MEDIAN($H27)</f>
        <v>0</v>
      </c>
      <c r="U27" s="1">
        <f>MAX($B27)</f>
        <v>0</v>
      </c>
      <c r="V27" s="1">
        <f>MAX($C27)</f>
        <v>0</v>
      </c>
      <c r="W27" s="1">
        <f>MAX($D27)</f>
        <v>0</v>
      </c>
      <c r="X27" s="1">
        <f>MAX($E27)</f>
        <v>0</v>
      </c>
      <c r="Y27" s="1">
        <f>MAX($G27)</f>
        <v>0</v>
      </c>
      <c r="Z27" s="1">
        <f>MAX($H27)</f>
        <v>0</v>
      </c>
    </row>
    <row r="28" spans="1:26">
      <c r="A28" s="1" t="s">
        <v>5</v>
      </c>
      <c r="B28" s="1">
        <v>0</v>
      </c>
      <c r="C28" s="1">
        <v>20002</v>
      </c>
      <c r="D28" s="1">
        <v>1</v>
      </c>
      <c r="E28" s="1">
        <v>3600</v>
      </c>
      <c r="F28" s="1" t="s">
        <v>26</v>
      </c>
      <c r="G28" s="1">
        <v>1800</v>
      </c>
      <c r="H28" s="1">
        <v>1</v>
      </c>
      <c r="I28" s="1">
        <f>MIN($B28)</f>
        <v>0</v>
      </c>
      <c r="J28" s="1">
        <f>MIN($C28)</f>
        <v>0</v>
      </c>
      <c r="K28" s="1">
        <f>MIN($D28)</f>
        <v>0</v>
      </c>
      <c r="L28" s="1">
        <f>MIN($E28)</f>
        <v>0</v>
      </c>
      <c r="M28" s="1">
        <f>MIN($G28)</f>
        <v>0</v>
      </c>
      <c r="N28" s="1">
        <f>MIN($H28)</f>
        <v>0</v>
      </c>
      <c r="O28" s="1">
        <f>MEDIAN($B28)</f>
        <v>0</v>
      </c>
      <c r="P28" s="1">
        <f>MEDIAN($C28)</f>
        <v>0</v>
      </c>
      <c r="Q28" s="1">
        <f>MEDIAN($D28)</f>
        <v>0</v>
      </c>
      <c r="R28" s="1">
        <f>MEDIAN($E28)</f>
        <v>0</v>
      </c>
      <c r="S28" s="1">
        <f>MEDIAN($G28)</f>
        <v>0</v>
      </c>
      <c r="T28" s="1">
        <f>MEDIAN($H28)</f>
        <v>0</v>
      </c>
      <c r="U28" s="1">
        <f>MAX($B28)</f>
        <v>0</v>
      </c>
      <c r="V28" s="1">
        <f>MAX($C28)</f>
        <v>0</v>
      </c>
      <c r="W28" s="1">
        <f>MAX($D28)</f>
        <v>0</v>
      </c>
      <c r="X28" s="1">
        <f>MAX($E28)</f>
        <v>0</v>
      </c>
      <c r="Y28" s="1">
        <f>MAX($G28)</f>
        <v>0</v>
      </c>
      <c r="Z28" s="1">
        <f>MAX($H28)</f>
        <v>0</v>
      </c>
    </row>
    <row r="29" spans="1:26">
      <c r="A29" s="1" t="s">
        <v>6</v>
      </c>
      <c r="B29" s="1">
        <v>1</v>
      </c>
      <c r="C29" s="1">
        <v>9732</v>
      </c>
      <c r="D29" s="1">
        <v>0</v>
      </c>
      <c r="E29" s="1">
        <v>3600</v>
      </c>
      <c r="F29" s="1" t="s">
        <v>24</v>
      </c>
      <c r="G29" s="1">
        <v>1800</v>
      </c>
      <c r="H29" s="1">
        <v>1</v>
      </c>
      <c r="I29" s="1">
        <f>MIN($B29)</f>
        <v>0</v>
      </c>
      <c r="J29" s="1">
        <f>MIN($C29)</f>
        <v>0</v>
      </c>
      <c r="K29" s="1">
        <f>MIN($D29)</f>
        <v>0</v>
      </c>
      <c r="L29" s="1">
        <f>MIN($E29)</f>
        <v>0</v>
      </c>
      <c r="M29" s="1">
        <f>MIN($G29)</f>
        <v>0</v>
      </c>
      <c r="N29" s="1">
        <f>MIN($H29)</f>
        <v>0</v>
      </c>
      <c r="O29" s="1">
        <f>MEDIAN($B29)</f>
        <v>0</v>
      </c>
      <c r="P29" s="1">
        <f>MEDIAN($C29)</f>
        <v>0</v>
      </c>
      <c r="Q29" s="1">
        <f>MEDIAN($D29)</f>
        <v>0</v>
      </c>
      <c r="R29" s="1">
        <f>MEDIAN($E29)</f>
        <v>0</v>
      </c>
      <c r="S29" s="1">
        <f>MEDIAN($G29)</f>
        <v>0</v>
      </c>
      <c r="T29" s="1">
        <f>MEDIAN($H29)</f>
        <v>0</v>
      </c>
      <c r="U29" s="1">
        <f>MAX($B29)</f>
        <v>0</v>
      </c>
      <c r="V29" s="1">
        <f>MAX($C29)</f>
        <v>0</v>
      </c>
      <c r="W29" s="1">
        <f>MAX($D29)</f>
        <v>0</v>
      </c>
      <c r="X29" s="1">
        <f>MAX($E29)</f>
        <v>0</v>
      </c>
      <c r="Y29" s="1">
        <f>MAX($G29)</f>
        <v>0</v>
      </c>
      <c r="Z29" s="1">
        <f>MAX($H29)</f>
        <v>0</v>
      </c>
    </row>
    <row r="30" spans="1:26">
      <c r="A30" s="1" t="s">
        <v>7</v>
      </c>
      <c r="B30" s="1">
        <v>1</v>
      </c>
      <c r="C30" s="1">
        <v>14310</v>
      </c>
      <c r="D30" s="1">
        <v>0</v>
      </c>
      <c r="E30" s="1">
        <v>3600</v>
      </c>
      <c r="F30" s="1" t="s">
        <v>24</v>
      </c>
      <c r="G30" s="1">
        <v>1800</v>
      </c>
      <c r="H30" s="1">
        <v>1</v>
      </c>
      <c r="I30" s="1">
        <f>MIN($B30)</f>
        <v>0</v>
      </c>
      <c r="J30" s="1">
        <f>MIN($C30)</f>
        <v>0</v>
      </c>
      <c r="K30" s="1">
        <f>MIN($D30)</f>
        <v>0</v>
      </c>
      <c r="L30" s="1">
        <f>MIN($E30)</f>
        <v>0</v>
      </c>
      <c r="M30" s="1">
        <f>MIN($G30)</f>
        <v>0</v>
      </c>
      <c r="N30" s="1">
        <f>MIN($H30)</f>
        <v>0</v>
      </c>
      <c r="O30" s="1">
        <f>MEDIAN($B30)</f>
        <v>0</v>
      </c>
      <c r="P30" s="1">
        <f>MEDIAN($C30)</f>
        <v>0</v>
      </c>
      <c r="Q30" s="1">
        <f>MEDIAN($D30)</f>
        <v>0</v>
      </c>
      <c r="R30" s="1">
        <f>MEDIAN($E30)</f>
        <v>0</v>
      </c>
      <c r="S30" s="1">
        <f>MEDIAN($G30)</f>
        <v>0</v>
      </c>
      <c r="T30" s="1">
        <f>MEDIAN($H30)</f>
        <v>0</v>
      </c>
      <c r="U30" s="1">
        <f>MAX($B30)</f>
        <v>0</v>
      </c>
      <c r="V30" s="1">
        <f>MAX($C30)</f>
        <v>0</v>
      </c>
      <c r="W30" s="1">
        <f>MAX($D30)</f>
        <v>0</v>
      </c>
      <c r="X30" s="1">
        <f>MAX($E30)</f>
        <v>0</v>
      </c>
      <c r="Y30" s="1">
        <f>MAX($G30)</f>
        <v>0</v>
      </c>
      <c r="Z30" s="1">
        <f>MAX($H30)</f>
        <v>0</v>
      </c>
    </row>
    <row r="31" spans="1:26">
      <c r="A31" s="1" t="s">
        <v>8</v>
      </c>
      <c r="B31" s="1">
        <v>1</v>
      </c>
      <c r="C31" s="1">
        <v>15836</v>
      </c>
      <c r="D31" s="1">
        <v>0</v>
      </c>
      <c r="E31" s="1">
        <v>3600</v>
      </c>
      <c r="F31" s="1" t="s">
        <v>24</v>
      </c>
      <c r="G31" s="1">
        <v>1800</v>
      </c>
      <c r="H31" s="1">
        <v>1</v>
      </c>
      <c r="I31" s="1">
        <f>MIN($B31)</f>
        <v>0</v>
      </c>
      <c r="J31" s="1">
        <f>MIN($C31)</f>
        <v>0</v>
      </c>
      <c r="K31" s="1">
        <f>MIN($D31)</f>
        <v>0</v>
      </c>
      <c r="L31" s="1">
        <f>MIN($E31)</f>
        <v>0</v>
      </c>
      <c r="M31" s="1">
        <f>MIN($G31)</f>
        <v>0</v>
      </c>
      <c r="N31" s="1">
        <f>MIN($H31)</f>
        <v>0</v>
      </c>
      <c r="O31" s="1">
        <f>MEDIAN($B31)</f>
        <v>0</v>
      </c>
      <c r="P31" s="1">
        <f>MEDIAN($C31)</f>
        <v>0</v>
      </c>
      <c r="Q31" s="1">
        <f>MEDIAN($D31)</f>
        <v>0</v>
      </c>
      <c r="R31" s="1">
        <f>MEDIAN($E31)</f>
        <v>0</v>
      </c>
      <c r="S31" s="1">
        <f>MEDIAN($G31)</f>
        <v>0</v>
      </c>
      <c r="T31" s="1">
        <f>MEDIAN($H31)</f>
        <v>0</v>
      </c>
      <c r="U31" s="1">
        <f>MAX($B31)</f>
        <v>0</v>
      </c>
      <c r="V31" s="1">
        <f>MAX($C31)</f>
        <v>0</v>
      </c>
      <c r="W31" s="1">
        <f>MAX($D31)</f>
        <v>0</v>
      </c>
      <c r="X31" s="1">
        <f>MAX($E31)</f>
        <v>0</v>
      </c>
      <c r="Y31" s="1">
        <f>MAX($G31)</f>
        <v>0</v>
      </c>
      <c r="Z31" s="1">
        <f>MAX($H31)</f>
        <v>0</v>
      </c>
    </row>
    <row r="32" spans="1:26">
      <c r="A32" s="1" t="s">
        <v>9</v>
      </c>
      <c r="B32" s="1">
        <v>0</v>
      </c>
      <c r="C32" s="1">
        <v>20004</v>
      </c>
      <c r="D32" s="1">
        <v>1</v>
      </c>
      <c r="E32" s="1">
        <v>3600</v>
      </c>
      <c r="F32" s="1" t="s">
        <v>26</v>
      </c>
      <c r="G32" s="1">
        <v>1800</v>
      </c>
      <c r="H32" s="1">
        <v>1</v>
      </c>
      <c r="I32" s="1">
        <f>MIN($B32)</f>
        <v>0</v>
      </c>
      <c r="J32" s="1">
        <f>MIN($C32)</f>
        <v>0</v>
      </c>
      <c r="K32" s="1">
        <f>MIN($D32)</f>
        <v>0</v>
      </c>
      <c r="L32" s="1">
        <f>MIN($E32)</f>
        <v>0</v>
      </c>
      <c r="M32" s="1">
        <f>MIN($G32)</f>
        <v>0</v>
      </c>
      <c r="N32" s="1">
        <f>MIN($H32)</f>
        <v>0</v>
      </c>
      <c r="O32" s="1">
        <f>MEDIAN($B32)</f>
        <v>0</v>
      </c>
      <c r="P32" s="1">
        <f>MEDIAN($C32)</f>
        <v>0</v>
      </c>
      <c r="Q32" s="1">
        <f>MEDIAN($D32)</f>
        <v>0</v>
      </c>
      <c r="R32" s="1">
        <f>MEDIAN($E32)</f>
        <v>0</v>
      </c>
      <c r="S32" s="1">
        <f>MEDIAN($G32)</f>
        <v>0</v>
      </c>
      <c r="T32" s="1">
        <f>MEDIAN($H32)</f>
        <v>0</v>
      </c>
      <c r="U32" s="1">
        <f>MAX($B32)</f>
        <v>0</v>
      </c>
      <c r="V32" s="1">
        <f>MAX($C32)</f>
        <v>0</v>
      </c>
      <c r="W32" s="1">
        <f>MAX($D32)</f>
        <v>0</v>
      </c>
      <c r="X32" s="1">
        <f>MAX($E32)</f>
        <v>0</v>
      </c>
      <c r="Y32" s="1">
        <f>MAX($G32)</f>
        <v>0</v>
      </c>
      <c r="Z32" s="1">
        <f>MAX($H32)</f>
        <v>0</v>
      </c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/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>
        <f>SUM(L$3:L$32)</f>
        <v>0</v>
      </c>
      <c r="M34" s="1">
        <f>SUM(M$3:M$32)</f>
        <v>0</v>
      </c>
      <c r="N34" s="1">
        <f>SUM(N$3:N$32)</f>
        <v>0</v>
      </c>
      <c r="O34" s="1">
        <f>SUM(O$3:O$32)</f>
        <v>0</v>
      </c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</row>
    <row r="35" spans="1:26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/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>
        <f>AVERAGE(L$3:L$32)</f>
        <v>0</v>
      </c>
      <c r="M35" s="1">
        <f>AVERAGE(M$3:M$32)</f>
        <v>0</v>
      </c>
      <c r="N35" s="1">
        <f>AVERAGE(N$3:N$32)</f>
        <v>0</v>
      </c>
      <c r="O35" s="1">
        <f>AVERAGE(O$3:O$32)</f>
        <v>0</v>
      </c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</row>
    <row r="36" spans="1:26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/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>
        <f>STDEV(L$3:L$32)</f>
        <v>0</v>
      </c>
      <c r="M36" s="1">
        <f>STDEV(M$3:M$32)</f>
        <v>0</v>
      </c>
      <c r="N36" s="1">
        <f>STDEV(N$3:N$32)</f>
        <v>0</v>
      </c>
      <c r="O36" s="1">
        <f>STDEV(O$3:O$32)</f>
        <v>0</v>
      </c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</row>
    <row r="37" spans="1:26">
      <c r="A37" s="1" t="s">
        <v>13</v>
      </c>
      <c r="B37" s="1">
        <f>SUMPRODUCT(--(B$3:B$32-$I$3:$I$32)^2)^0.5</f>
        <v>0</v>
      </c>
      <c r="C37" s="1">
        <f>SUMPRODUCT(--(C$3:C$32-$J$3:$J$32)^2)^0.5</f>
        <v>0</v>
      </c>
      <c r="D37" s="1">
        <f>SUMPRODUCT(--(D$3:D$32-$K$3:$K$32)^2)^0.5</f>
        <v>0</v>
      </c>
      <c r="E37" s="1">
        <f>SUMPRODUCT(--(E$3:E$32-$L$3:$L$32)^2)^0.5</f>
        <v>0</v>
      </c>
      <c r="F37" s="1"/>
      <c r="G37" s="1">
        <f>SUMPRODUCT(--(G$3:G$32-$M$3:$M$32)^2)^0.5</f>
        <v>0</v>
      </c>
      <c r="H37" s="1">
        <f>SUMPRODUCT(--(H$3:H$32-$N$3:$N$32)^2)^0.5</f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 t="s">
        <v>14</v>
      </c>
      <c r="B38" s="1">
        <f>SUMPRODUCT(NOT(ISBLANK(B$3:B$32))*(B$3:B$32=$I$3:$I$32))</f>
        <v>0</v>
      </c>
      <c r="C38" s="1">
        <f>SUMPRODUCT(NOT(ISBLANK(C$3:C$32))*(C$3:C$32=$J$3:$J$32))</f>
        <v>0</v>
      </c>
      <c r="D38" s="1">
        <f>SUMPRODUCT(NOT(ISBLANK(D$3:D$32))*(D$3:D$32=$K$3:$K$32))</f>
        <v>0</v>
      </c>
      <c r="E38" s="1">
        <f>SUMPRODUCT(NOT(ISBLANK(E$3:E$32))*(E$3:E$32=$L$3:$L$32))</f>
        <v>0</v>
      </c>
      <c r="F38" s="1"/>
      <c r="G38" s="1">
        <f>SUMPRODUCT(NOT(ISBLANK(G$3:G$32))*(G$3:G$32=$M$3:$M$32))</f>
        <v>0</v>
      </c>
      <c r="H38" s="1">
        <f>SUMPRODUCT(NOT(ISBLANK(H$3:H$32))*(H$3:H$32=$N$3:$N$32))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15</v>
      </c>
      <c r="B39" s="1">
        <f>SUMPRODUCT(NOT(ISBLANK(B$3:B$32))*(B$3:B$32&lt;$O$3:$O$32))</f>
        <v>0</v>
      </c>
      <c r="C39" s="1">
        <f>SUMPRODUCT(NOT(ISBLANK(C$3:C$32))*(C$3:C$32&lt;$P$3:$P$32))</f>
        <v>0</v>
      </c>
      <c r="D39" s="1">
        <f>SUMPRODUCT(NOT(ISBLANK(D$3:D$32))*(D$3:D$32&lt;$Q$3:$Q$32))</f>
        <v>0</v>
      </c>
      <c r="E39" s="1">
        <f>SUMPRODUCT(NOT(ISBLANK(E$3:E$32))*(E$3:E$32&lt;$R$3:$R$32))</f>
        <v>0</v>
      </c>
      <c r="F39" s="1"/>
      <c r="G39" s="1">
        <f>SUMPRODUCT(NOT(ISBLANK(G$3:G$32))*(G$3:G$32&lt;$S$3:$S$32))</f>
        <v>0</v>
      </c>
      <c r="H39" s="1">
        <f>SUMPRODUCT(NOT(ISBLANK(H$3:H$32))*(H$3:H$32&lt;$T$3:$T$32))</f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 t="s">
        <v>16</v>
      </c>
      <c r="B40" s="1">
        <f>SUMPRODUCT((NOT(ISBLANK(B$3:B$32))*(B$3:B$32&gt;$O$3:$O$32))+ISBLANK(B$3:B$32))</f>
        <v>0</v>
      </c>
      <c r="C40" s="1">
        <f>SUMPRODUCT((NOT(ISBLANK(C$3:C$32))*(C$3:C$32&gt;$P$3:$P$32))+ISBLANK(C$3:C$32))</f>
        <v>0</v>
      </c>
      <c r="D40" s="1">
        <f>SUMPRODUCT((NOT(ISBLANK(D$3:D$32))*(D$3:D$32&gt;$Q$3:$Q$32))+ISBLANK(D$3:D$32))</f>
        <v>0</v>
      </c>
      <c r="E40" s="1">
        <f>SUMPRODUCT((NOT(ISBLANK(E$3:E$32))*(E$3:E$32&gt;$R$3:$R$32))+ISBLANK(E$3:E$32))</f>
        <v>0</v>
      </c>
      <c r="F40" s="1"/>
      <c r="G40" s="1">
        <f>SUMPRODUCT((NOT(ISBLANK(G$3:G$32))*(G$3:G$32&gt;$S$3:$S$32))+ISBLANK(G$3:G$32))</f>
        <v>0</v>
      </c>
      <c r="H40" s="1">
        <f>SUMPRODUCT((NOT(ISBLANK(H$3:H$32))*(H$3:H$32&gt;$T$3:$T$32))+ISBLANK(H$3:H$32))</f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 t="s">
        <v>17</v>
      </c>
      <c r="B41" s="1">
        <f>SUMPRODUCT((NOT(ISBLANK(B$3:B$32))*(B$3:B$32=$U$3:$U$32))+ISBLANK(B$3:B$32))</f>
        <v>0</v>
      </c>
      <c r="C41" s="1">
        <f>SUMPRODUCT((NOT(ISBLANK(C$3:C$32))*(C$3:C$32=$V$3:$V$32))+ISBLANK(C$3:C$32))</f>
        <v>0</v>
      </c>
      <c r="D41" s="1">
        <f>SUMPRODUCT((NOT(ISBLANK(D$3:D$32))*(D$3:D$32=$W$3:$W$32))+ISBLANK(D$3:D$32))</f>
        <v>0</v>
      </c>
      <c r="E41" s="1">
        <f>SUMPRODUCT((NOT(ISBLANK(E$3:E$32))*(E$3:E$32=$X$3:$X$32))+ISBLANK(E$3:E$32))</f>
        <v>0</v>
      </c>
      <c r="F41" s="1"/>
      <c r="G41" s="1">
        <f>SUMPRODUCT((NOT(ISBLANK(G$3:G$32))*(G$3:G$32=$Y$3:$Y$32))+ISBLANK(G$3:G$32))</f>
        <v>0</v>
      </c>
      <c r="H41" s="1">
        <f>SUMPRODUCT((NOT(ISBLANK(H$3:H$32))*(H$3:H$32=$Z$3:$Z$32))+ISBLANK(H$3:H$32))</f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6" width="11.42578125" customWidth="1"/>
  </cols>
  <sheetData>
    <row r="1" spans="1:26">
      <c r="A1" s="1" t="s">
        <v>32</v>
      </c>
      <c r="B1" s="1" t="s">
        <v>18</v>
      </c>
      <c r="C1" s="1"/>
      <c r="D1" s="1"/>
      <c r="E1" s="1"/>
      <c r="F1" s="1"/>
      <c r="G1" s="1"/>
      <c r="H1" s="1"/>
      <c r="I1" s="1" t="s">
        <v>29</v>
      </c>
      <c r="J1" s="1"/>
      <c r="K1" s="1"/>
      <c r="L1" s="1"/>
      <c r="M1" s="1"/>
      <c r="N1" s="1"/>
      <c r="O1" s="1" t="s">
        <v>30</v>
      </c>
      <c r="P1" s="1"/>
      <c r="Q1" s="1"/>
      <c r="R1" s="1"/>
      <c r="S1" s="1"/>
      <c r="T1" s="1"/>
      <c r="U1" s="1" t="s">
        <v>31</v>
      </c>
      <c r="V1" s="1"/>
      <c r="W1" s="1"/>
      <c r="X1" s="1"/>
      <c r="Y1" s="1"/>
      <c r="Z1" s="1"/>
    </row>
    <row r="2" spans="1:26">
      <c r="A2" s="2" t="s">
        <v>30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27</v>
      </c>
      <c r="H2" s="1" t="s">
        <v>28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27</v>
      </c>
      <c r="N2" s="1" t="s">
        <v>28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27</v>
      </c>
      <c r="T2" s="1" t="s">
        <v>28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27</v>
      </c>
      <c r="Z2" s="1" t="s">
        <v>28</v>
      </c>
    </row>
    <row r="3" spans="1:26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/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/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/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/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/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/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/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/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/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/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 t="s">
        <v>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/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>
        <f>MIN($B13)</f>
        <v>0</v>
      </c>
      <c r="J13" s="1">
        <f>MIN($C13)</f>
        <v>0</v>
      </c>
      <c r="K13" s="1">
        <f>MIN($D13)</f>
        <v>0</v>
      </c>
      <c r="L13" s="1">
        <f>MIN($E13)</f>
        <v>0</v>
      </c>
      <c r="M13" s="1">
        <f>MIN($G13)</f>
        <v>0</v>
      </c>
      <c r="N13" s="1">
        <f>MIN($H13)</f>
        <v>0</v>
      </c>
      <c r="O13" s="1">
        <f>MEDIAN($B13)</f>
        <v>0</v>
      </c>
      <c r="P13" s="1">
        <f>MEDIAN($C13)</f>
        <v>0</v>
      </c>
      <c r="Q13" s="1">
        <f>MEDIAN($D13)</f>
        <v>0</v>
      </c>
      <c r="R13" s="1">
        <f>MEDIAN($E13)</f>
        <v>0</v>
      </c>
      <c r="S13" s="1">
        <f>MEDIAN($G13)</f>
        <v>0</v>
      </c>
      <c r="T13" s="1">
        <f>MEDIAN($H13)</f>
        <v>0</v>
      </c>
      <c r="U13" s="1">
        <f>MAX($B13)</f>
        <v>0</v>
      </c>
      <c r="V13" s="1">
        <f>MAX($C13)</f>
        <v>0</v>
      </c>
      <c r="W13" s="1">
        <f>MAX($D13)</f>
        <v>0</v>
      </c>
      <c r="X13" s="1">
        <f>MAX($E13)</f>
        <v>0</v>
      </c>
      <c r="Y13" s="1">
        <f>MAX($G13)</f>
        <v>0</v>
      </c>
      <c r="Z13" s="1">
        <f>MAX($H13)</f>
        <v>0</v>
      </c>
    </row>
    <row r="14" spans="1:26">
      <c r="A14" s="1" t="s">
        <v>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/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>
        <f>MIN($B14)</f>
        <v>0</v>
      </c>
      <c r="J14" s="1">
        <f>MIN($C14)</f>
        <v>0</v>
      </c>
      <c r="K14" s="1">
        <f>MIN($D14)</f>
        <v>0</v>
      </c>
      <c r="L14" s="1">
        <f>MIN($E14)</f>
        <v>0</v>
      </c>
      <c r="M14" s="1">
        <f>MIN($G14)</f>
        <v>0</v>
      </c>
      <c r="N14" s="1">
        <f>MIN($H14)</f>
        <v>0</v>
      </c>
      <c r="O14" s="1">
        <f>MEDIAN($B14)</f>
        <v>0</v>
      </c>
      <c r="P14" s="1">
        <f>MEDIAN($C14)</f>
        <v>0</v>
      </c>
      <c r="Q14" s="1">
        <f>MEDIAN($D14)</f>
        <v>0</v>
      </c>
      <c r="R14" s="1">
        <f>MEDIAN($E14)</f>
        <v>0</v>
      </c>
      <c r="S14" s="1">
        <f>MEDIAN($G14)</f>
        <v>0</v>
      </c>
      <c r="T14" s="1">
        <f>MEDIAN($H14)</f>
        <v>0</v>
      </c>
      <c r="U14" s="1">
        <f>MAX($B14)</f>
        <v>0</v>
      </c>
      <c r="V14" s="1">
        <f>MAX($C14)</f>
        <v>0</v>
      </c>
      <c r="W14" s="1">
        <f>MAX($D14)</f>
        <v>0</v>
      </c>
      <c r="X14" s="1">
        <f>MAX($E14)</f>
        <v>0</v>
      </c>
      <c r="Y14" s="1">
        <f>MAX($G14)</f>
        <v>0</v>
      </c>
      <c r="Z14" s="1">
        <f>MAX($H14)</f>
        <v>0</v>
      </c>
    </row>
    <row r="15" spans="1:26">
      <c r="A15" s="1" t="s">
        <v>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/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>
        <f>MIN($B15)</f>
        <v>0</v>
      </c>
      <c r="J15" s="1">
        <f>MIN($C15)</f>
        <v>0</v>
      </c>
      <c r="K15" s="1">
        <f>MIN($D15)</f>
        <v>0</v>
      </c>
      <c r="L15" s="1">
        <f>MIN($E15)</f>
        <v>0</v>
      </c>
      <c r="M15" s="1">
        <f>MIN($G15)</f>
        <v>0</v>
      </c>
      <c r="N15" s="1">
        <f>MIN($H15)</f>
        <v>0</v>
      </c>
      <c r="O15" s="1">
        <f>MEDIAN($B15)</f>
        <v>0</v>
      </c>
      <c r="P15" s="1">
        <f>MEDIAN($C15)</f>
        <v>0</v>
      </c>
      <c r="Q15" s="1">
        <f>MEDIAN($D15)</f>
        <v>0</v>
      </c>
      <c r="R15" s="1">
        <f>MEDIAN($E15)</f>
        <v>0</v>
      </c>
      <c r="S15" s="1">
        <f>MEDIAN($G15)</f>
        <v>0</v>
      </c>
      <c r="T15" s="1">
        <f>MEDIAN($H15)</f>
        <v>0</v>
      </c>
      <c r="U15" s="1">
        <f>MAX($B15)</f>
        <v>0</v>
      </c>
      <c r="V15" s="1">
        <f>MAX($C15)</f>
        <v>0</v>
      </c>
      <c r="W15" s="1">
        <f>MAX($D15)</f>
        <v>0</v>
      </c>
      <c r="X15" s="1">
        <f>MAX($E15)</f>
        <v>0</v>
      </c>
      <c r="Y15" s="1">
        <f>MAX($G15)</f>
        <v>0</v>
      </c>
      <c r="Z15" s="1">
        <f>MAX($H15)</f>
        <v>0</v>
      </c>
    </row>
    <row r="16" spans="1:26">
      <c r="A16" s="1" t="s">
        <v>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/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>
        <f>MIN($B16)</f>
        <v>0</v>
      </c>
      <c r="J16" s="1">
        <f>MIN($C16)</f>
        <v>0</v>
      </c>
      <c r="K16" s="1">
        <f>MIN($D16)</f>
        <v>0</v>
      </c>
      <c r="L16" s="1">
        <f>MIN($E16)</f>
        <v>0</v>
      </c>
      <c r="M16" s="1">
        <f>MIN($G16)</f>
        <v>0</v>
      </c>
      <c r="N16" s="1">
        <f>MIN($H16)</f>
        <v>0</v>
      </c>
      <c r="O16" s="1">
        <f>MEDIAN($B16)</f>
        <v>0</v>
      </c>
      <c r="P16" s="1">
        <f>MEDIAN($C16)</f>
        <v>0</v>
      </c>
      <c r="Q16" s="1">
        <f>MEDIAN($D16)</f>
        <v>0</v>
      </c>
      <c r="R16" s="1">
        <f>MEDIAN($E16)</f>
        <v>0</v>
      </c>
      <c r="S16" s="1">
        <f>MEDIAN($G16)</f>
        <v>0</v>
      </c>
      <c r="T16" s="1">
        <f>MEDIAN($H16)</f>
        <v>0</v>
      </c>
      <c r="U16" s="1">
        <f>MAX($B16)</f>
        <v>0</v>
      </c>
      <c r="V16" s="1">
        <f>MAX($C16)</f>
        <v>0</v>
      </c>
      <c r="W16" s="1">
        <f>MAX($D16)</f>
        <v>0</v>
      </c>
      <c r="X16" s="1">
        <f>MAX($E16)</f>
        <v>0</v>
      </c>
      <c r="Y16" s="1">
        <f>MAX($G16)</f>
        <v>0</v>
      </c>
      <c r="Z16" s="1">
        <f>MAX($H16)</f>
        <v>0</v>
      </c>
    </row>
    <row r="17" spans="1:26">
      <c r="A17" s="1" t="s">
        <v>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/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>
        <f>MIN($B17)</f>
        <v>0</v>
      </c>
      <c r="J17" s="1">
        <f>MIN($C17)</f>
        <v>0</v>
      </c>
      <c r="K17" s="1">
        <f>MIN($D17)</f>
        <v>0</v>
      </c>
      <c r="L17" s="1">
        <f>MIN($E17)</f>
        <v>0</v>
      </c>
      <c r="M17" s="1">
        <f>MIN($G17)</f>
        <v>0</v>
      </c>
      <c r="N17" s="1">
        <f>MIN($H17)</f>
        <v>0</v>
      </c>
      <c r="O17" s="1">
        <f>MEDIAN($B17)</f>
        <v>0</v>
      </c>
      <c r="P17" s="1">
        <f>MEDIAN($C17)</f>
        <v>0</v>
      </c>
      <c r="Q17" s="1">
        <f>MEDIAN($D17)</f>
        <v>0</v>
      </c>
      <c r="R17" s="1">
        <f>MEDIAN($E17)</f>
        <v>0</v>
      </c>
      <c r="S17" s="1">
        <f>MEDIAN($G17)</f>
        <v>0</v>
      </c>
      <c r="T17" s="1">
        <f>MEDIAN($H17)</f>
        <v>0</v>
      </c>
      <c r="U17" s="1">
        <f>MAX($B17)</f>
        <v>0</v>
      </c>
      <c r="V17" s="1">
        <f>MAX($C17)</f>
        <v>0</v>
      </c>
      <c r="W17" s="1">
        <f>MAX($D17)</f>
        <v>0</v>
      </c>
      <c r="X17" s="1">
        <f>MAX($E17)</f>
        <v>0</v>
      </c>
      <c r="Y17" s="1">
        <f>MAX($G17)</f>
        <v>0</v>
      </c>
      <c r="Z17" s="1">
        <f>MAX($H17)</f>
        <v>0</v>
      </c>
    </row>
    <row r="18" spans="1:26">
      <c r="A18" s="1" t="s">
        <v>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/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>
        <f>MIN($B18)</f>
        <v>0</v>
      </c>
      <c r="J18" s="1">
        <f>MIN($C18)</f>
        <v>0</v>
      </c>
      <c r="K18" s="1">
        <f>MIN($D18)</f>
        <v>0</v>
      </c>
      <c r="L18" s="1">
        <f>MIN($E18)</f>
        <v>0</v>
      </c>
      <c r="M18" s="1">
        <f>MIN($G18)</f>
        <v>0</v>
      </c>
      <c r="N18" s="1">
        <f>MIN($H18)</f>
        <v>0</v>
      </c>
      <c r="O18" s="1">
        <f>MEDIAN($B18)</f>
        <v>0</v>
      </c>
      <c r="P18" s="1">
        <f>MEDIAN($C18)</f>
        <v>0</v>
      </c>
      <c r="Q18" s="1">
        <f>MEDIAN($D18)</f>
        <v>0</v>
      </c>
      <c r="R18" s="1">
        <f>MEDIAN($E18)</f>
        <v>0</v>
      </c>
      <c r="S18" s="1">
        <f>MEDIAN($G18)</f>
        <v>0</v>
      </c>
      <c r="T18" s="1">
        <f>MEDIAN($H18)</f>
        <v>0</v>
      </c>
      <c r="U18" s="1">
        <f>MAX($B18)</f>
        <v>0</v>
      </c>
      <c r="V18" s="1">
        <f>MAX($C18)</f>
        <v>0</v>
      </c>
      <c r="W18" s="1">
        <f>MAX($D18)</f>
        <v>0</v>
      </c>
      <c r="X18" s="1">
        <f>MAX($E18)</f>
        <v>0</v>
      </c>
      <c r="Y18" s="1">
        <f>MAX($G18)</f>
        <v>0</v>
      </c>
      <c r="Z18" s="1">
        <f>MAX($H18)</f>
        <v>0</v>
      </c>
    </row>
    <row r="19" spans="1:26">
      <c r="A19" s="1" t="s">
        <v>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/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>
        <f>MIN($B19)</f>
        <v>0</v>
      </c>
      <c r="J19" s="1">
        <f>MIN($C19)</f>
        <v>0</v>
      </c>
      <c r="K19" s="1">
        <f>MIN($D19)</f>
        <v>0</v>
      </c>
      <c r="L19" s="1">
        <f>MIN($E19)</f>
        <v>0</v>
      </c>
      <c r="M19" s="1">
        <f>MIN($G19)</f>
        <v>0</v>
      </c>
      <c r="N19" s="1">
        <f>MIN($H19)</f>
        <v>0</v>
      </c>
      <c r="O19" s="1">
        <f>MEDIAN($B19)</f>
        <v>0</v>
      </c>
      <c r="P19" s="1">
        <f>MEDIAN($C19)</f>
        <v>0</v>
      </c>
      <c r="Q19" s="1">
        <f>MEDIAN($D19)</f>
        <v>0</v>
      </c>
      <c r="R19" s="1">
        <f>MEDIAN($E19)</f>
        <v>0</v>
      </c>
      <c r="S19" s="1">
        <f>MEDIAN($G19)</f>
        <v>0</v>
      </c>
      <c r="T19" s="1">
        <f>MEDIAN($H19)</f>
        <v>0</v>
      </c>
      <c r="U19" s="1">
        <f>MAX($B19)</f>
        <v>0</v>
      </c>
      <c r="V19" s="1">
        <f>MAX($C19)</f>
        <v>0</v>
      </c>
      <c r="W19" s="1">
        <f>MAX($D19)</f>
        <v>0</v>
      </c>
      <c r="X19" s="1">
        <f>MAX($E19)</f>
        <v>0</v>
      </c>
      <c r="Y19" s="1">
        <f>MAX($G19)</f>
        <v>0</v>
      </c>
      <c r="Z19" s="1">
        <f>MAX($H19)</f>
        <v>0</v>
      </c>
    </row>
    <row r="20" spans="1:26">
      <c r="A20" s="1" t="s">
        <v>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/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>
        <f>MIN($B20)</f>
        <v>0</v>
      </c>
      <c r="J20" s="1">
        <f>MIN($C20)</f>
        <v>0</v>
      </c>
      <c r="K20" s="1">
        <f>MIN($D20)</f>
        <v>0</v>
      </c>
      <c r="L20" s="1">
        <f>MIN($E20)</f>
        <v>0</v>
      </c>
      <c r="M20" s="1">
        <f>MIN($G20)</f>
        <v>0</v>
      </c>
      <c r="N20" s="1">
        <f>MIN($H20)</f>
        <v>0</v>
      </c>
      <c r="O20" s="1">
        <f>MEDIAN($B20)</f>
        <v>0</v>
      </c>
      <c r="P20" s="1">
        <f>MEDIAN($C20)</f>
        <v>0</v>
      </c>
      <c r="Q20" s="1">
        <f>MEDIAN($D20)</f>
        <v>0</v>
      </c>
      <c r="R20" s="1">
        <f>MEDIAN($E20)</f>
        <v>0</v>
      </c>
      <c r="S20" s="1">
        <f>MEDIAN($G20)</f>
        <v>0</v>
      </c>
      <c r="T20" s="1">
        <f>MEDIAN($H20)</f>
        <v>0</v>
      </c>
      <c r="U20" s="1">
        <f>MAX($B20)</f>
        <v>0</v>
      </c>
      <c r="V20" s="1">
        <f>MAX($C20)</f>
        <v>0</v>
      </c>
      <c r="W20" s="1">
        <f>MAX($D20)</f>
        <v>0</v>
      </c>
      <c r="X20" s="1">
        <f>MAX($E20)</f>
        <v>0</v>
      </c>
      <c r="Y20" s="1">
        <f>MAX($G20)</f>
        <v>0</v>
      </c>
      <c r="Z20" s="1">
        <f>MAX($H20)</f>
        <v>0</v>
      </c>
    </row>
    <row r="21" spans="1:26">
      <c r="A21" s="1" t="s">
        <v>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/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>
        <f>MIN($B21)</f>
        <v>0</v>
      </c>
      <c r="J21" s="1">
        <f>MIN($C21)</f>
        <v>0</v>
      </c>
      <c r="K21" s="1">
        <f>MIN($D21)</f>
        <v>0</v>
      </c>
      <c r="L21" s="1">
        <f>MIN($E21)</f>
        <v>0</v>
      </c>
      <c r="M21" s="1">
        <f>MIN($G21)</f>
        <v>0</v>
      </c>
      <c r="N21" s="1">
        <f>MIN($H21)</f>
        <v>0</v>
      </c>
      <c r="O21" s="1">
        <f>MEDIAN($B21)</f>
        <v>0</v>
      </c>
      <c r="P21" s="1">
        <f>MEDIAN($C21)</f>
        <v>0</v>
      </c>
      <c r="Q21" s="1">
        <f>MEDIAN($D21)</f>
        <v>0</v>
      </c>
      <c r="R21" s="1">
        <f>MEDIAN($E21)</f>
        <v>0</v>
      </c>
      <c r="S21" s="1">
        <f>MEDIAN($G21)</f>
        <v>0</v>
      </c>
      <c r="T21" s="1">
        <f>MEDIAN($H21)</f>
        <v>0</v>
      </c>
      <c r="U21" s="1">
        <f>MAX($B21)</f>
        <v>0</v>
      </c>
      <c r="V21" s="1">
        <f>MAX($C21)</f>
        <v>0</v>
      </c>
      <c r="W21" s="1">
        <f>MAX($D21)</f>
        <v>0</v>
      </c>
      <c r="X21" s="1">
        <f>MAX($E21)</f>
        <v>0</v>
      </c>
      <c r="Y21" s="1">
        <f>MAX($G21)</f>
        <v>0</v>
      </c>
      <c r="Z21" s="1">
        <f>MAX($H21)</f>
        <v>0</v>
      </c>
    </row>
    <row r="22" spans="1:26">
      <c r="A22" s="1" t="s">
        <v>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/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>
        <f>MIN($B22)</f>
        <v>0</v>
      </c>
      <c r="J22" s="1">
        <f>MIN($C22)</f>
        <v>0</v>
      </c>
      <c r="K22" s="1">
        <f>MIN($D22)</f>
        <v>0</v>
      </c>
      <c r="L22" s="1">
        <f>MIN($E22)</f>
        <v>0</v>
      </c>
      <c r="M22" s="1">
        <f>MIN($G22)</f>
        <v>0</v>
      </c>
      <c r="N22" s="1">
        <f>MIN($H22)</f>
        <v>0</v>
      </c>
      <c r="O22" s="1">
        <f>MEDIAN($B22)</f>
        <v>0</v>
      </c>
      <c r="P22" s="1">
        <f>MEDIAN($C22)</f>
        <v>0</v>
      </c>
      <c r="Q22" s="1">
        <f>MEDIAN($D22)</f>
        <v>0</v>
      </c>
      <c r="R22" s="1">
        <f>MEDIAN($E22)</f>
        <v>0</v>
      </c>
      <c r="S22" s="1">
        <f>MEDIAN($G22)</f>
        <v>0</v>
      </c>
      <c r="T22" s="1">
        <f>MEDIAN($H22)</f>
        <v>0</v>
      </c>
      <c r="U22" s="1">
        <f>MAX($B22)</f>
        <v>0</v>
      </c>
      <c r="V22" s="1">
        <f>MAX($C22)</f>
        <v>0</v>
      </c>
      <c r="W22" s="1">
        <f>MAX($D22)</f>
        <v>0</v>
      </c>
      <c r="X22" s="1">
        <f>MAX($E22)</f>
        <v>0</v>
      </c>
      <c r="Y22" s="1">
        <f>MAX($G22)</f>
        <v>0</v>
      </c>
      <c r="Z22" s="1">
        <f>MAX($H22)</f>
        <v>0</v>
      </c>
    </row>
    <row r="23" spans="1:26">
      <c r="A23" s="1" t="s">
        <v>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/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>
        <f>MIN($B23)</f>
        <v>0</v>
      </c>
      <c r="J23" s="1">
        <f>MIN($C23)</f>
        <v>0</v>
      </c>
      <c r="K23" s="1">
        <f>MIN($D23)</f>
        <v>0</v>
      </c>
      <c r="L23" s="1">
        <f>MIN($E23)</f>
        <v>0</v>
      </c>
      <c r="M23" s="1">
        <f>MIN($G23)</f>
        <v>0</v>
      </c>
      <c r="N23" s="1">
        <f>MIN($H23)</f>
        <v>0</v>
      </c>
      <c r="O23" s="1">
        <f>MEDIAN($B23)</f>
        <v>0</v>
      </c>
      <c r="P23" s="1">
        <f>MEDIAN($C23)</f>
        <v>0</v>
      </c>
      <c r="Q23" s="1">
        <f>MEDIAN($D23)</f>
        <v>0</v>
      </c>
      <c r="R23" s="1">
        <f>MEDIAN($E23)</f>
        <v>0</v>
      </c>
      <c r="S23" s="1">
        <f>MEDIAN($G23)</f>
        <v>0</v>
      </c>
      <c r="T23" s="1">
        <f>MEDIAN($H23)</f>
        <v>0</v>
      </c>
      <c r="U23" s="1">
        <f>MAX($B23)</f>
        <v>0</v>
      </c>
      <c r="V23" s="1">
        <f>MAX($C23)</f>
        <v>0</v>
      </c>
      <c r="W23" s="1">
        <f>MAX($D23)</f>
        <v>0</v>
      </c>
      <c r="X23" s="1">
        <f>MAX($E23)</f>
        <v>0</v>
      </c>
      <c r="Y23" s="1">
        <f>MAX($G23)</f>
        <v>0</v>
      </c>
      <c r="Z23" s="1">
        <f>MAX($H23)</f>
        <v>0</v>
      </c>
    </row>
    <row r="24" spans="1:26">
      <c r="A24" s="1" t="s">
        <v>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/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>
        <f>MIN($B24)</f>
        <v>0</v>
      </c>
      <c r="J24" s="1">
        <f>MIN($C24)</f>
        <v>0</v>
      </c>
      <c r="K24" s="1">
        <f>MIN($D24)</f>
        <v>0</v>
      </c>
      <c r="L24" s="1">
        <f>MIN($E24)</f>
        <v>0</v>
      </c>
      <c r="M24" s="1">
        <f>MIN($G24)</f>
        <v>0</v>
      </c>
      <c r="N24" s="1">
        <f>MIN($H24)</f>
        <v>0</v>
      </c>
      <c r="O24" s="1">
        <f>MEDIAN($B24)</f>
        <v>0</v>
      </c>
      <c r="P24" s="1">
        <f>MEDIAN($C24)</f>
        <v>0</v>
      </c>
      <c r="Q24" s="1">
        <f>MEDIAN($D24)</f>
        <v>0</v>
      </c>
      <c r="R24" s="1">
        <f>MEDIAN($E24)</f>
        <v>0</v>
      </c>
      <c r="S24" s="1">
        <f>MEDIAN($G24)</f>
        <v>0</v>
      </c>
      <c r="T24" s="1">
        <f>MEDIAN($H24)</f>
        <v>0</v>
      </c>
      <c r="U24" s="1">
        <f>MAX($B24)</f>
        <v>0</v>
      </c>
      <c r="V24" s="1">
        <f>MAX($C24)</f>
        <v>0</v>
      </c>
      <c r="W24" s="1">
        <f>MAX($D24)</f>
        <v>0</v>
      </c>
      <c r="X24" s="1">
        <f>MAX($E24)</f>
        <v>0</v>
      </c>
      <c r="Y24" s="1">
        <f>MAX($G24)</f>
        <v>0</v>
      </c>
      <c r="Z24" s="1">
        <f>MAX($H24)</f>
        <v>0</v>
      </c>
    </row>
    <row r="25" spans="1:26">
      <c r="A25" s="1" t="s">
        <v>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/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>
        <f>MIN($B25)</f>
        <v>0</v>
      </c>
      <c r="J25" s="1">
        <f>MIN($C25)</f>
        <v>0</v>
      </c>
      <c r="K25" s="1">
        <f>MIN($D25)</f>
        <v>0</v>
      </c>
      <c r="L25" s="1">
        <f>MIN($E25)</f>
        <v>0</v>
      </c>
      <c r="M25" s="1">
        <f>MIN($G25)</f>
        <v>0</v>
      </c>
      <c r="N25" s="1">
        <f>MIN($H25)</f>
        <v>0</v>
      </c>
      <c r="O25" s="1">
        <f>MEDIAN($B25)</f>
        <v>0</v>
      </c>
      <c r="P25" s="1">
        <f>MEDIAN($C25)</f>
        <v>0</v>
      </c>
      <c r="Q25" s="1">
        <f>MEDIAN($D25)</f>
        <v>0</v>
      </c>
      <c r="R25" s="1">
        <f>MEDIAN($E25)</f>
        <v>0</v>
      </c>
      <c r="S25" s="1">
        <f>MEDIAN($G25)</f>
        <v>0</v>
      </c>
      <c r="T25" s="1">
        <f>MEDIAN($H25)</f>
        <v>0</v>
      </c>
      <c r="U25" s="1">
        <f>MAX($B25)</f>
        <v>0</v>
      </c>
      <c r="V25" s="1">
        <f>MAX($C25)</f>
        <v>0</v>
      </c>
      <c r="W25" s="1">
        <f>MAX($D25)</f>
        <v>0</v>
      </c>
      <c r="X25" s="1">
        <f>MAX($E25)</f>
        <v>0</v>
      </c>
      <c r="Y25" s="1">
        <f>MAX($G25)</f>
        <v>0</v>
      </c>
      <c r="Z25" s="1">
        <f>MAX($H25)</f>
        <v>0</v>
      </c>
    </row>
    <row r="26" spans="1:26">
      <c r="A26" s="1" t="s">
        <v>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/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>
        <f>MIN($B26)</f>
        <v>0</v>
      </c>
      <c r="J26" s="1">
        <f>MIN($C26)</f>
        <v>0</v>
      </c>
      <c r="K26" s="1">
        <f>MIN($D26)</f>
        <v>0</v>
      </c>
      <c r="L26" s="1">
        <f>MIN($E26)</f>
        <v>0</v>
      </c>
      <c r="M26" s="1">
        <f>MIN($G26)</f>
        <v>0</v>
      </c>
      <c r="N26" s="1">
        <f>MIN($H26)</f>
        <v>0</v>
      </c>
      <c r="O26" s="1">
        <f>MEDIAN($B26)</f>
        <v>0</v>
      </c>
      <c r="P26" s="1">
        <f>MEDIAN($C26)</f>
        <v>0</v>
      </c>
      <c r="Q26" s="1">
        <f>MEDIAN($D26)</f>
        <v>0</v>
      </c>
      <c r="R26" s="1">
        <f>MEDIAN($E26)</f>
        <v>0</v>
      </c>
      <c r="S26" s="1">
        <f>MEDIAN($G26)</f>
        <v>0</v>
      </c>
      <c r="T26" s="1">
        <f>MEDIAN($H26)</f>
        <v>0</v>
      </c>
      <c r="U26" s="1">
        <f>MAX($B26)</f>
        <v>0</v>
      </c>
      <c r="V26" s="1">
        <f>MAX($C26)</f>
        <v>0</v>
      </c>
      <c r="W26" s="1">
        <f>MAX($D26)</f>
        <v>0</v>
      </c>
      <c r="X26" s="1">
        <f>MAX($E26)</f>
        <v>0</v>
      </c>
      <c r="Y26" s="1">
        <f>MAX($G26)</f>
        <v>0</v>
      </c>
      <c r="Z26" s="1">
        <f>MAX($H26)</f>
        <v>0</v>
      </c>
    </row>
    <row r="27" spans="1:26">
      <c r="A27" s="1" t="s">
        <v>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/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>
        <f>MIN($B27)</f>
        <v>0</v>
      </c>
      <c r="J27" s="1">
        <f>MIN($C27)</f>
        <v>0</v>
      </c>
      <c r="K27" s="1">
        <f>MIN($D27)</f>
        <v>0</v>
      </c>
      <c r="L27" s="1">
        <f>MIN($E27)</f>
        <v>0</v>
      </c>
      <c r="M27" s="1">
        <f>MIN($G27)</f>
        <v>0</v>
      </c>
      <c r="N27" s="1">
        <f>MIN($H27)</f>
        <v>0</v>
      </c>
      <c r="O27" s="1">
        <f>MEDIAN($B27)</f>
        <v>0</v>
      </c>
      <c r="P27" s="1">
        <f>MEDIAN($C27)</f>
        <v>0</v>
      </c>
      <c r="Q27" s="1">
        <f>MEDIAN($D27)</f>
        <v>0</v>
      </c>
      <c r="R27" s="1">
        <f>MEDIAN($E27)</f>
        <v>0</v>
      </c>
      <c r="S27" s="1">
        <f>MEDIAN($G27)</f>
        <v>0</v>
      </c>
      <c r="T27" s="1">
        <f>MEDIAN($H27)</f>
        <v>0</v>
      </c>
      <c r="U27" s="1">
        <f>MAX($B27)</f>
        <v>0</v>
      </c>
      <c r="V27" s="1">
        <f>MAX($C27)</f>
        <v>0</v>
      </c>
      <c r="W27" s="1">
        <f>MAX($D27)</f>
        <v>0</v>
      </c>
      <c r="X27" s="1">
        <f>MAX($E27)</f>
        <v>0</v>
      </c>
      <c r="Y27" s="1">
        <f>MAX($G27)</f>
        <v>0</v>
      </c>
      <c r="Z27" s="1">
        <f>MAX($H27)</f>
        <v>0</v>
      </c>
    </row>
    <row r="28" spans="1:26">
      <c r="A28" s="1" t="s">
        <v>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/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>
        <f>MIN($B28)</f>
        <v>0</v>
      </c>
      <c r="J28" s="1">
        <f>MIN($C28)</f>
        <v>0</v>
      </c>
      <c r="K28" s="1">
        <f>MIN($D28)</f>
        <v>0</v>
      </c>
      <c r="L28" s="1">
        <f>MIN($E28)</f>
        <v>0</v>
      </c>
      <c r="M28" s="1">
        <f>MIN($G28)</f>
        <v>0</v>
      </c>
      <c r="N28" s="1">
        <f>MIN($H28)</f>
        <v>0</v>
      </c>
      <c r="O28" s="1">
        <f>MEDIAN($B28)</f>
        <v>0</v>
      </c>
      <c r="P28" s="1">
        <f>MEDIAN($C28)</f>
        <v>0</v>
      </c>
      <c r="Q28" s="1">
        <f>MEDIAN($D28)</f>
        <v>0</v>
      </c>
      <c r="R28" s="1">
        <f>MEDIAN($E28)</f>
        <v>0</v>
      </c>
      <c r="S28" s="1">
        <f>MEDIAN($G28)</f>
        <v>0</v>
      </c>
      <c r="T28" s="1">
        <f>MEDIAN($H28)</f>
        <v>0</v>
      </c>
      <c r="U28" s="1">
        <f>MAX($B28)</f>
        <v>0</v>
      </c>
      <c r="V28" s="1">
        <f>MAX($C28)</f>
        <v>0</v>
      </c>
      <c r="W28" s="1">
        <f>MAX($D28)</f>
        <v>0</v>
      </c>
      <c r="X28" s="1">
        <f>MAX($E28)</f>
        <v>0</v>
      </c>
      <c r="Y28" s="1">
        <f>MAX($G28)</f>
        <v>0</v>
      </c>
      <c r="Z28" s="1">
        <f>MAX($H28)</f>
        <v>0</v>
      </c>
    </row>
    <row r="29" spans="1:26">
      <c r="A29" s="1" t="s">
        <v>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/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>
        <f>MIN($B29)</f>
        <v>0</v>
      </c>
      <c r="J29" s="1">
        <f>MIN($C29)</f>
        <v>0</v>
      </c>
      <c r="K29" s="1">
        <f>MIN($D29)</f>
        <v>0</v>
      </c>
      <c r="L29" s="1">
        <f>MIN($E29)</f>
        <v>0</v>
      </c>
      <c r="M29" s="1">
        <f>MIN($G29)</f>
        <v>0</v>
      </c>
      <c r="N29" s="1">
        <f>MIN($H29)</f>
        <v>0</v>
      </c>
      <c r="O29" s="1">
        <f>MEDIAN($B29)</f>
        <v>0</v>
      </c>
      <c r="P29" s="1">
        <f>MEDIAN($C29)</f>
        <v>0</v>
      </c>
      <c r="Q29" s="1">
        <f>MEDIAN($D29)</f>
        <v>0</v>
      </c>
      <c r="R29" s="1">
        <f>MEDIAN($E29)</f>
        <v>0</v>
      </c>
      <c r="S29" s="1">
        <f>MEDIAN($G29)</f>
        <v>0</v>
      </c>
      <c r="T29" s="1">
        <f>MEDIAN($H29)</f>
        <v>0</v>
      </c>
      <c r="U29" s="1">
        <f>MAX($B29)</f>
        <v>0</v>
      </c>
      <c r="V29" s="1">
        <f>MAX($C29)</f>
        <v>0</v>
      </c>
      <c r="W29" s="1">
        <f>MAX($D29)</f>
        <v>0</v>
      </c>
      <c r="X29" s="1">
        <f>MAX($E29)</f>
        <v>0</v>
      </c>
      <c r="Y29" s="1">
        <f>MAX($G29)</f>
        <v>0</v>
      </c>
      <c r="Z29" s="1">
        <f>MAX($H29)</f>
        <v>0</v>
      </c>
    </row>
    <row r="30" spans="1:26">
      <c r="A30" s="1" t="s">
        <v>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/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>
        <f>MIN($B30)</f>
        <v>0</v>
      </c>
      <c r="J30" s="1">
        <f>MIN($C30)</f>
        <v>0</v>
      </c>
      <c r="K30" s="1">
        <f>MIN($D30)</f>
        <v>0</v>
      </c>
      <c r="L30" s="1">
        <f>MIN($E30)</f>
        <v>0</v>
      </c>
      <c r="M30" s="1">
        <f>MIN($G30)</f>
        <v>0</v>
      </c>
      <c r="N30" s="1">
        <f>MIN($H30)</f>
        <v>0</v>
      </c>
      <c r="O30" s="1">
        <f>MEDIAN($B30)</f>
        <v>0</v>
      </c>
      <c r="P30" s="1">
        <f>MEDIAN($C30)</f>
        <v>0</v>
      </c>
      <c r="Q30" s="1">
        <f>MEDIAN($D30)</f>
        <v>0</v>
      </c>
      <c r="R30" s="1">
        <f>MEDIAN($E30)</f>
        <v>0</v>
      </c>
      <c r="S30" s="1">
        <f>MEDIAN($G30)</f>
        <v>0</v>
      </c>
      <c r="T30" s="1">
        <f>MEDIAN($H30)</f>
        <v>0</v>
      </c>
      <c r="U30" s="1">
        <f>MAX($B30)</f>
        <v>0</v>
      </c>
      <c r="V30" s="1">
        <f>MAX($C30)</f>
        <v>0</v>
      </c>
      <c r="W30" s="1">
        <f>MAX($D30)</f>
        <v>0</v>
      </c>
      <c r="X30" s="1">
        <f>MAX($E30)</f>
        <v>0</v>
      </c>
      <c r="Y30" s="1">
        <f>MAX($G30)</f>
        <v>0</v>
      </c>
      <c r="Z30" s="1">
        <f>MAX($H30)</f>
        <v>0</v>
      </c>
    </row>
    <row r="31" spans="1:26">
      <c r="A31" s="1" t="s">
        <v>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/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>
        <f>MIN($B31)</f>
        <v>0</v>
      </c>
      <c r="J31" s="1">
        <f>MIN($C31)</f>
        <v>0</v>
      </c>
      <c r="K31" s="1">
        <f>MIN($D31)</f>
        <v>0</v>
      </c>
      <c r="L31" s="1">
        <f>MIN($E31)</f>
        <v>0</v>
      </c>
      <c r="M31" s="1">
        <f>MIN($G31)</f>
        <v>0</v>
      </c>
      <c r="N31" s="1">
        <f>MIN($H31)</f>
        <v>0</v>
      </c>
      <c r="O31" s="1">
        <f>MEDIAN($B31)</f>
        <v>0</v>
      </c>
      <c r="P31" s="1">
        <f>MEDIAN($C31)</f>
        <v>0</v>
      </c>
      <c r="Q31" s="1">
        <f>MEDIAN($D31)</f>
        <v>0</v>
      </c>
      <c r="R31" s="1">
        <f>MEDIAN($E31)</f>
        <v>0</v>
      </c>
      <c r="S31" s="1">
        <f>MEDIAN($G31)</f>
        <v>0</v>
      </c>
      <c r="T31" s="1">
        <f>MEDIAN($H31)</f>
        <v>0</v>
      </c>
      <c r="U31" s="1">
        <f>MAX($B31)</f>
        <v>0</v>
      </c>
      <c r="V31" s="1">
        <f>MAX($C31)</f>
        <v>0</v>
      </c>
      <c r="W31" s="1">
        <f>MAX($D31)</f>
        <v>0</v>
      </c>
      <c r="X31" s="1">
        <f>MAX($E31)</f>
        <v>0</v>
      </c>
      <c r="Y31" s="1">
        <f>MAX($G31)</f>
        <v>0</v>
      </c>
      <c r="Z31" s="1">
        <f>MAX($H31)</f>
        <v>0</v>
      </c>
    </row>
    <row r="32" spans="1:26">
      <c r="A32" s="1" t="s">
        <v>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/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>
        <f>MIN($B32)</f>
        <v>0</v>
      </c>
      <c r="J32" s="1">
        <f>MIN($C32)</f>
        <v>0</v>
      </c>
      <c r="K32" s="1">
        <f>MIN($D32)</f>
        <v>0</v>
      </c>
      <c r="L32" s="1">
        <f>MIN($E32)</f>
        <v>0</v>
      </c>
      <c r="M32" s="1">
        <f>MIN($G32)</f>
        <v>0</v>
      </c>
      <c r="N32" s="1">
        <f>MIN($H32)</f>
        <v>0</v>
      </c>
      <c r="O32" s="1">
        <f>MEDIAN($B32)</f>
        <v>0</v>
      </c>
      <c r="P32" s="1">
        <f>MEDIAN($C32)</f>
        <v>0</v>
      </c>
      <c r="Q32" s="1">
        <f>MEDIAN($D32)</f>
        <v>0</v>
      </c>
      <c r="R32" s="1">
        <f>MEDIAN($E32)</f>
        <v>0</v>
      </c>
      <c r="S32" s="1">
        <f>MEDIAN($G32)</f>
        <v>0</v>
      </c>
      <c r="T32" s="1">
        <f>MEDIAN($H32)</f>
        <v>0</v>
      </c>
      <c r="U32" s="1">
        <f>MAX($B32)</f>
        <v>0</v>
      </c>
      <c r="V32" s="1">
        <f>MAX($C32)</f>
        <v>0</v>
      </c>
      <c r="W32" s="1">
        <f>MAX($D32)</f>
        <v>0</v>
      </c>
      <c r="X32" s="1">
        <f>MAX($E32)</f>
        <v>0</v>
      </c>
      <c r="Y32" s="1">
        <f>MAX($G32)</f>
        <v>0</v>
      </c>
      <c r="Z32" s="1">
        <f>MAX($H32)</f>
        <v>0</v>
      </c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/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>
        <f>SUM(L$3:L$32)</f>
        <v>0</v>
      </c>
      <c r="M34" s="1">
        <f>SUM(M$3:M$32)</f>
        <v>0</v>
      </c>
      <c r="N34" s="1">
        <f>SUM(N$3:N$32)</f>
        <v>0</v>
      </c>
      <c r="O34" s="1">
        <f>SUM(O$3:O$32)</f>
        <v>0</v>
      </c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</row>
    <row r="35" spans="1:26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/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>
        <f>AVERAGE(L$3:L$32)</f>
        <v>0</v>
      </c>
      <c r="M35" s="1">
        <f>AVERAGE(M$3:M$32)</f>
        <v>0</v>
      </c>
      <c r="N35" s="1">
        <f>AVERAGE(N$3:N$32)</f>
        <v>0</v>
      </c>
      <c r="O35" s="1">
        <f>AVERAGE(O$3:O$32)</f>
        <v>0</v>
      </c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</row>
    <row r="36" spans="1:26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/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>
        <f>STDEV(L$3:L$32)</f>
        <v>0</v>
      </c>
      <c r="M36" s="1">
        <f>STDEV(M$3:M$32)</f>
        <v>0</v>
      </c>
      <c r="N36" s="1">
        <f>STDEV(N$3:N$32)</f>
        <v>0</v>
      </c>
      <c r="O36" s="1">
        <f>STDEV(O$3:O$32)</f>
        <v>0</v>
      </c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</row>
    <row r="37" spans="1:26">
      <c r="A37" s="1" t="s">
        <v>13</v>
      </c>
      <c r="B37" s="1">
        <f>SUMPRODUCT(--(B$3:B$32-$I$3:$I$32)^2)^0.5</f>
        <v>0</v>
      </c>
      <c r="C37" s="1">
        <f>SUMPRODUCT(--(C$3:C$32-$J$3:$J$32)^2)^0.5</f>
        <v>0</v>
      </c>
      <c r="D37" s="1">
        <f>SUMPRODUCT(--(D$3:D$32-$K$3:$K$32)^2)^0.5</f>
        <v>0</v>
      </c>
      <c r="E37" s="1">
        <f>SUMPRODUCT(--(E$3:E$32-$L$3:$L$32)^2)^0.5</f>
        <v>0</v>
      </c>
      <c r="F37" s="1"/>
      <c r="G37" s="1">
        <f>SUMPRODUCT(--(G$3:G$32-$M$3:$M$32)^2)^0.5</f>
        <v>0</v>
      </c>
      <c r="H37" s="1">
        <f>SUMPRODUCT(--(H$3:H$32-$N$3:$N$32)^2)^0.5</f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 t="s">
        <v>14</v>
      </c>
      <c r="B38" s="1">
        <f>SUMPRODUCT(NOT(ISBLANK(B$3:B$32))*(B$3:B$32=$I$3:$I$32))</f>
        <v>0</v>
      </c>
      <c r="C38" s="1">
        <f>SUMPRODUCT(NOT(ISBLANK(C$3:C$32))*(C$3:C$32=$J$3:$J$32))</f>
        <v>0</v>
      </c>
      <c r="D38" s="1">
        <f>SUMPRODUCT(NOT(ISBLANK(D$3:D$32))*(D$3:D$32=$K$3:$K$32))</f>
        <v>0</v>
      </c>
      <c r="E38" s="1">
        <f>SUMPRODUCT(NOT(ISBLANK(E$3:E$32))*(E$3:E$32=$L$3:$L$32))</f>
        <v>0</v>
      </c>
      <c r="F38" s="1"/>
      <c r="G38" s="1">
        <f>SUMPRODUCT(NOT(ISBLANK(G$3:G$32))*(G$3:G$32=$M$3:$M$32))</f>
        <v>0</v>
      </c>
      <c r="H38" s="1">
        <f>SUMPRODUCT(NOT(ISBLANK(H$3:H$32))*(H$3:H$32=$N$3:$N$32))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15</v>
      </c>
      <c r="B39" s="1">
        <f>SUMPRODUCT(NOT(ISBLANK(B$3:B$32))*(B$3:B$32&lt;$O$3:$O$32))</f>
        <v>0</v>
      </c>
      <c r="C39" s="1">
        <f>SUMPRODUCT(NOT(ISBLANK(C$3:C$32))*(C$3:C$32&lt;$P$3:$P$32))</f>
        <v>0</v>
      </c>
      <c r="D39" s="1">
        <f>SUMPRODUCT(NOT(ISBLANK(D$3:D$32))*(D$3:D$32&lt;$Q$3:$Q$32))</f>
        <v>0</v>
      </c>
      <c r="E39" s="1">
        <f>SUMPRODUCT(NOT(ISBLANK(E$3:E$32))*(E$3:E$32&lt;$R$3:$R$32))</f>
        <v>0</v>
      </c>
      <c r="F39" s="1"/>
      <c r="G39" s="1">
        <f>SUMPRODUCT(NOT(ISBLANK(G$3:G$32))*(G$3:G$32&lt;$S$3:$S$32))</f>
        <v>0</v>
      </c>
      <c r="H39" s="1">
        <f>SUMPRODUCT(NOT(ISBLANK(H$3:H$32))*(H$3:H$32&lt;$T$3:$T$32))</f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 t="s">
        <v>16</v>
      </c>
      <c r="B40" s="1">
        <f>SUMPRODUCT((NOT(ISBLANK(B$3:B$32))*(B$3:B$32&gt;$O$3:$O$32))+ISBLANK(B$3:B$32))</f>
        <v>0</v>
      </c>
      <c r="C40" s="1">
        <f>SUMPRODUCT((NOT(ISBLANK(C$3:C$32))*(C$3:C$32&gt;$P$3:$P$32))+ISBLANK(C$3:C$32))</f>
        <v>0</v>
      </c>
      <c r="D40" s="1">
        <f>SUMPRODUCT((NOT(ISBLANK(D$3:D$32))*(D$3:D$32&gt;$Q$3:$Q$32))+ISBLANK(D$3:D$32))</f>
        <v>0</v>
      </c>
      <c r="E40" s="1">
        <f>SUMPRODUCT((NOT(ISBLANK(E$3:E$32))*(E$3:E$32&gt;$R$3:$R$32))+ISBLANK(E$3:E$32))</f>
        <v>0</v>
      </c>
      <c r="F40" s="1"/>
      <c r="G40" s="1">
        <f>SUMPRODUCT((NOT(ISBLANK(G$3:G$32))*(G$3:G$32&gt;$S$3:$S$32))+ISBLANK(G$3:G$32))</f>
        <v>0</v>
      </c>
      <c r="H40" s="1">
        <f>SUMPRODUCT((NOT(ISBLANK(H$3:H$32))*(H$3:H$32&gt;$T$3:$T$32))+ISBLANK(H$3:H$32))</f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 t="s">
        <v>17</v>
      </c>
      <c r="B41" s="1">
        <f>SUMPRODUCT((NOT(ISBLANK(B$3:B$32))*(B$3:B$32=$U$3:$U$32))+ISBLANK(B$3:B$32))</f>
        <v>0</v>
      </c>
      <c r="C41" s="1">
        <f>SUMPRODUCT((NOT(ISBLANK(C$3:C$32))*(C$3:C$32=$V$3:$V$32))+ISBLANK(C$3:C$32))</f>
        <v>0</v>
      </c>
      <c r="D41" s="1">
        <f>SUMPRODUCT((NOT(ISBLANK(D$3:D$32))*(D$3:D$32=$W$3:$W$32))+ISBLANK(D$3:D$32))</f>
        <v>0</v>
      </c>
      <c r="E41" s="1">
        <f>SUMPRODUCT((NOT(ISBLANK(E$3:E$32))*(E$3:E$32=$X$3:$X$32))+ISBLANK(E$3:E$32))</f>
        <v>0</v>
      </c>
      <c r="F41" s="1"/>
      <c r="G41" s="1">
        <f>SUMPRODUCT((NOT(ISBLANK(G$3:G$32))*(G$3:G$32=$Y$3:$Y$32))+ISBLANK(G$3:G$32))</f>
        <v>0</v>
      </c>
      <c r="H41" s="1">
        <f>SUMPRODUCT((NOT(ISBLANK(H$3:H$32))*(H$3:H$32=$Z$3:$Z$32))+ISBLANK(H$3:H$32))</f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6" width="11.42578125" customWidth="1"/>
  </cols>
  <sheetData>
    <row r="1" spans="1:26">
      <c r="A1" s="1"/>
      <c r="B1" s="1" t="s">
        <v>18</v>
      </c>
      <c r="C1" s="1"/>
      <c r="D1" s="1"/>
      <c r="E1" s="1"/>
      <c r="F1" s="1"/>
      <c r="G1" s="1"/>
      <c r="H1" s="1"/>
      <c r="I1" s="1" t="s">
        <v>29</v>
      </c>
      <c r="J1" s="1"/>
      <c r="K1" s="1"/>
      <c r="L1" s="1"/>
      <c r="M1" s="1"/>
      <c r="N1" s="1"/>
      <c r="O1" s="1" t="s">
        <v>30</v>
      </c>
      <c r="P1" s="1"/>
      <c r="Q1" s="1"/>
      <c r="R1" s="1"/>
      <c r="S1" s="1"/>
      <c r="T1" s="1"/>
      <c r="U1" s="1" t="s">
        <v>31</v>
      </c>
      <c r="V1" s="1"/>
      <c r="W1" s="1"/>
      <c r="X1" s="1"/>
      <c r="Y1" s="1"/>
      <c r="Z1" s="1"/>
    </row>
    <row r="2" spans="1:26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27</v>
      </c>
      <c r="H2" s="1" t="s">
        <v>28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27</v>
      </c>
      <c r="N2" s="1" t="s">
        <v>28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27</v>
      </c>
      <c r="T2" s="1" t="s">
        <v>28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27</v>
      </c>
      <c r="Z2" s="1" t="s">
        <v>28</v>
      </c>
    </row>
    <row r="3" spans="1:26">
      <c r="A3" s="1"/>
      <c r="B3" s="1">
        <f>AVERAGE(Instances!B3:Instances!B12)</f>
        <v>0</v>
      </c>
      <c r="C3" s="1">
        <f>AVERAGE(Instances!C3:Instances!C12)</f>
        <v>0</v>
      </c>
      <c r="D3" s="1">
        <f>AVERAGE(Instances!D3:Instances!D12)</f>
        <v>0</v>
      </c>
      <c r="E3" s="1">
        <f>AVERAGE(Instances!E3:Instances!E12)</f>
        <v>0</v>
      </c>
      <c r="F3" s="1"/>
      <c r="G3" s="1">
        <f>AVERAGE(Instances!G3:Instances!G12)</f>
        <v>0</v>
      </c>
      <c r="H3" s="1">
        <f>SUM(Instances!H3:Instances!H12)</f>
        <v>0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/>
      <c r="B4" s="1">
        <f>AVERAGE(Instances!B13:Instances!B22)</f>
        <v>0</v>
      </c>
      <c r="C4" s="1">
        <f>AVERAGE(Instances!C13:Instances!C22)</f>
        <v>0</v>
      </c>
      <c r="D4" s="1">
        <f>AVERAGE(Instances!D13:Instances!D22)</f>
        <v>0</v>
      </c>
      <c r="E4" s="1">
        <f>AVERAGE(Instances!E13:Instances!E22)</f>
        <v>0</v>
      </c>
      <c r="F4" s="1"/>
      <c r="G4" s="1">
        <f>AVERAGE(Instances!G13:Instances!G22)</f>
        <v>0</v>
      </c>
      <c r="H4" s="1">
        <f>SUM(Instances!H13:Instances!H22)</f>
        <v>0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/>
      <c r="B5" s="1">
        <f>AVERAGE(Instances!B23:Instances!B32)</f>
        <v>0</v>
      </c>
      <c r="C5" s="1">
        <f>AVERAGE(Instances!C23:Instances!C32)</f>
        <v>0</v>
      </c>
      <c r="D5" s="1">
        <f>AVERAGE(Instances!D23:Instances!D32)</f>
        <v>0</v>
      </c>
      <c r="E5" s="1">
        <f>AVERAGE(Instances!E23:Instances!E32)</f>
        <v>0</v>
      </c>
      <c r="F5" s="1"/>
      <c r="G5" s="1">
        <f>AVERAGE(Instances!G23:Instances!G32)</f>
        <v>0</v>
      </c>
      <c r="H5" s="1">
        <f>SUM(Instances!H23:Instances!H32)</f>
        <v>0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10</v>
      </c>
      <c r="B7" s="1">
        <f>SUM(B$3:B$5)</f>
        <v>0</v>
      </c>
      <c r="C7" s="1">
        <f>SUM(C$3:C$5)</f>
        <v>0</v>
      </c>
      <c r="D7" s="1">
        <f>SUM(D$3:D$5)</f>
        <v>0</v>
      </c>
      <c r="E7" s="1">
        <f>SUM(E$3:E$5)</f>
        <v>0</v>
      </c>
      <c r="F7" s="1"/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>
        <f>SUM(K$3:K$5)</f>
        <v>0</v>
      </c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>
        <f>SUM(R$3:R$5)</f>
        <v>0</v>
      </c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>
        <f>SUM(Y$3:Y$5)</f>
        <v>0</v>
      </c>
      <c r="Z7" s="1">
        <f>SUM(Z$3:Z$5)</f>
        <v>0</v>
      </c>
    </row>
    <row r="8" spans="1:26">
      <c r="A8" s="1" t="s">
        <v>11</v>
      </c>
      <c r="B8" s="1">
        <f>AVERAGE(B$3:B$5)</f>
        <v>0</v>
      </c>
      <c r="C8" s="1">
        <f>AVERAGE(C$3:C$5)</f>
        <v>0</v>
      </c>
      <c r="D8" s="1">
        <f>AVERAGE(D$3:D$5)</f>
        <v>0</v>
      </c>
      <c r="E8" s="1">
        <f>AVERAGE(E$3:E$5)</f>
        <v>0</v>
      </c>
      <c r="F8" s="1"/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>
        <f>AVERAGE(K$3:K$5)</f>
        <v>0</v>
      </c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>
        <f>AVERAGE(R$3:R$5)</f>
        <v>0</v>
      </c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>
        <f>AVERAGE(Y$3:Y$5)</f>
        <v>0</v>
      </c>
      <c r="Z8" s="1">
        <f>AVERAGE(Z$3:Z$5)</f>
        <v>0</v>
      </c>
    </row>
    <row r="9" spans="1:26">
      <c r="A9" s="1" t="s">
        <v>12</v>
      </c>
      <c r="B9" s="1">
        <f>STDEV(B$3:B$5)</f>
        <v>0</v>
      </c>
      <c r="C9" s="1">
        <f>STDEV(C$3:C$5)</f>
        <v>0</v>
      </c>
      <c r="D9" s="1">
        <f>STDEV(D$3:D$5)</f>
        <v>0</v>
      </c>
      <c r="E9" s="1">
        <f>STDEV(E$3:E$5)</f>
        <v>0</v>
      </c>
      <c r="F9" s="1"/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>
        <f>STDEV(K$3:K$5)</f>
        <v>0</v>
      </c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>
        <f>STDEV(R$3:R$5)</f>
        <v>0</v>
      </c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>
        <f>STDEV(Y$3:Y$5)</f>
        <v>0</v>
      </c>
      <c r="Z9" s="1">
        <f>STDEV(Z$3:Z$5)</f>
        <v>0</v>
      </c>
    </row>
    <row r="10" spans="1:26">
      <c r="A10" s="1" t="s">
        <v>13</v>
      </c>
      <c r="B10" s="1">
        <f>SUMPRODUCT(--(B$3:B$5-$I$3:$I$5)^2)^0.5</f>
        <v>0</v>
      </c>
      <c r="C10" s="1">
        <f>SUMPRODUCT(--(C$3:C$5-$J$3:$J$5)^2)^0.5</f>
        <v>0</v>
      </c>
      <c r="D10" s="1">
        <f>SUMPRODUCT(--(D$3:D$5-$K$3:$K$5)^2)^0.5</f>
        <v>0</v>
      </c>
      <c r="E10" s="1">
        <f>SUMPRODUCT(--(E$3:E$5-$L$3:$L$5)^2)^0.5</f>
        <v>0</v>
      </c>
      <c r="F10" s="1"/>
      <c r="G10" s="1">
        <f>SUMPRODUCT(--(G$3:G$5-$M$3:$M$5)^2)^0.5</f>
        <v>0</v>
      </c>
      <c r="H10" s="1">
        <f>SUMPRODUCT(--(H$3:H$5-$N$3:$N$5)^2)^0.5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14</v>
      </c>
      <c r="B11" s="1">
        <f>SUMPRODUCT(NOT(ISBLANK(B$3:B$5))*(B$3:B$5=$I$3:$I$5))</f>
        <v>0</v>
      </c>
      <c r="C11" s="1">
        <f>SUMPRODUCT(NOT(ISBLANK(C$3:C$5))*(C$3:C$5=$J$3:$J$5))</f>
        <v>0</v>
      </c>
      <c r="D11" s="1">
        <f>SUMPRODUCT(NOT(ISBLANK(D$3:D$5))*(D$3:D$5=$K$3:$K$5))</f>
        <v>0</v>
      </c>
      <c r="E11" s="1">
        <f>SUMPRODUCT(NOT(ISBLANK(E$3:E$5))*(E$3:E$5=$L$3:$L$5))</f>
        <v>0</v>
      </c>
      <c r="F11" s="1"/>
      <c r="G11" s="1">
        <f>SUMPRODUCT(NOT(ISBLANK(G$3:G$5))*(G$3:G$5=$M$3:$M$5))</f>
        <v>0</v>
      </c>
      <c r="H11" s="1">
        <f>SUMPRODUCT(NOT(ISBLANK(H$3:H$5))*(H$3:H$5=$N$3:$N$5))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15</v>
      </c>
      <c r="B12" s="1">
        <f>SUMPRODUCT(NOT(ISBLANK(B$3:B$5))*(B$3:B$5&lt;$O$3:$O$5))</f>
        <v>0</v>
      </c>
      <c r="C12" s="1">
        <f>SUMPRODUCT(NOT(ISBLANK(C$3:C$5))*(C$3:C$5&lt;$P$3:$P$5))</f>
        <v>0</v>
      </c>
      <c r="D12" s="1">
        <f>SUMPRODUCT(NOT(ISBLANK(D$3:D$5))*(D$3:D$5&lt;$Q$3:$Q$5))</f>
        <v>0</v>
      </c>
      <c r="E12" s="1">
        <f>SUMPRODUCT(NOT(ISBLANK(E$3:E$5))*(E$3:E$5&lt;$R$3:$R$5))</f>
        <v>0</v>
      </c>
      <c r="F12" s="1"/>
      <c r="G12" s="1">
        <f>SUMPRODUCT(NOT(ISBLANK(G$3:G$5))*(G$3:G$5&lt;$S$3:$S$5))</f>
        <v>0</v>
      </c>
      <c r="H12" s="1">
        <f>SUMPRODUCT(NOT(ISBLANK(H$3:H$5))*(H$3:H$5&lt;$T$3:$T$5))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16</v>
      </c>
      <c r="B13" s="1">
        <f>SUMPRODUCT((NOT(ISBLANK(B$3:B$5))*(B$3:B$5&gt;$O$3:$O$5))+ISBLANK(B$3:B$5))</f>
        <v>0</v>
      </c>
      <c r="C13" s="1">
        <f>SUMPRODUCT((NOT(ISBLANK(C$3:C$5))*(C$3:C$5&gt;$P$3:$P$5))+ISBLANK(C$3:C$5))</f>
        <v>0</v>
      </c>
      <c r="D13" s="1">
        <f>SUMPRODUCT((NOT(ISBLANK(D$3:D$5))*(D$3:D$5&gt;$Q$3:$Q$5))+ISBLANK(D$3:D$5))</f>
        <v>0</v>
      </c>
      <c r="E13" s="1">
        <f>SUMPRODUCT((NOT(ISBLANK(E$3:E$5))*(E$3:E$5&gt;$R$3:$R$5))+ISBLANK(E$3:E$5))</f>
        <v>0</v>
      </c>
      <c r="F13" s="1"/>
      <c r="G13" s="1">
        <f>SUMPRODUCT((NOT(ISBLANK(G$3:G$5))*(G$3:G$5&gt;$S$3:$S$5))+ISBLANK(G$3:G$5))</f>
        <v>0</v>
      </c>
      <c r="H13" s="1">
        <f>SUMPRODUCT((NOT(ISBLANK(H$3:H$5))*(H$3:H$5&gt;$T$3:$T$5))+ISBLANK(H$3:H$5))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17</v>
      </c>
      <c r="B14" s="1">
        <f>SUMPRODUCT((NOT(ISBLANK(B$3:B$5))*(B$3:B$5=$U$3:$U$5))+ISBLANK(B$3:B$5))</f>
        <v>0</v>
      </c>
      <c r="C14" s="1">
        <f>SUMPRODUCT((NOT(ISBLANK(C$3:C$5))*(C$3:C$5=$V$3:$V$5))+ISBLANK(C$3:C$5))</f>
        <v>0</v>
      </c>
      <c r="D14" s="1">
        <f>SUMPRODUCT((NOT(ISBLANK(D$3:D$5))*(D$3:D$5=$W$3:$W$5))+ISBLANK(D$3:D$5))</f>
        <v>0</v>
      </c>
      <c r="E14" s="1">
        <f>SUMPRODUCT((NOT(ISBLANK(E$3:E$5))*(E$3:E$5=$X$3:$X$5))+ISBLANK(E$3:E$5))</f>
        <v>0</v>
      </c>
      <c r="F14" s="1"/>
      <c r="G14" s="1">
        <f>SUMPRODUCT((NOT(ISBLANK(G$3:G$5))*(G$3:G$5=$Y$3:$Y$5))+ISBLANK(G$3:G$5))</f>
        <v>0</v>
      </c>
      <c r="H14" s="1">
        <f>SUMPRODUCT((NOT(ISBLANK(H$3:H$5))*(H$3:H$5=$Z$3:$Z$5))+ISBLANK(H$3:H$5))</f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2026-07-14T11:48:14Z</dcterms:created>
  <dcterms:modified xsi:type="dcterms:W3CDTF">2026-07-14T11:48:14Z</dcterms:modified>
</cp:coreProperties>
</file>