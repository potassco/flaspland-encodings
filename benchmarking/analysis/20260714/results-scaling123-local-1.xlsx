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<sst xmlns="http://schemas.openxmlformats.org/spreadsheetml/2006/main" count="344" uniqueCount="46">
  <si>
    <t>/Level_0</t>
  </si>
  <si>
    <t>/Level_1</t>
  </si>
  <si>
    <t>/Level_2</t>
  </si>
  <si>
    <t>/Level_3</t>
  </si>
  <si>
    <t>/Level_4</t>
  </si>
  <si>
    <t>/Level_5</t>
  </si>
  <si>
    <t>/Level_6</t>
  </si>
  <si>
    <t>/Level_7</t>
  </si>
  <si>
    <t>/Level_8</t>
  </si>
  <si>
    <t>/Level_9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</si>
  <si>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</si>
  <si>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</si>
  <si>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</si>
  <si>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</si>
  <si>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</si>
  <si>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</si>
  <si>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</si>
  <si>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</si>
  <si>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clingo-5.8.0/default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</si>
  <si>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</si>
  <si>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</si>
  <si>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</si>
  <si>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</si>
  <si>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</si>
  <si>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</si>
  <si>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</si>
  <si>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</si>
  <si>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</si>
  <si>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</si>
  <si>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</si>
  <si>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out of time</t>
  </si>
  <si>
    <t>out of memory</t>
  </si>
  <si>
    <t>ok</t>
  </si>
  <si>
    <t>rules</t>
  </si>
  <si>
    <t>solving-time</t>
  </si>
  <si>
    <t>status</t>
  </si>
  <si>
    <t>UNKNOWN</t>
  </si>
  <si>
    <t>SATISFIABLE</t>
  </si>
  <si>
    <t>UNSATISFIABLE</t>
  </si>
  <si>
    <t>time</t>
  </si>
  <si>
    <t>timeout</t>
  </si>
  <si>
    <t>variables</t>
  </si>
  <si>
    <t>min</t>
  </si>
  <si>
    <t>median</t>
  </si>
  <si>
    <t>max</t>
  </si>
  <si>
    <t>Merge criteria: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</si>
</sst>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1" width="11.42578125" customWidth="1"/>
    <col min="12" max="12" width="14.140625" customWidth="1"/>
    <col min="13" max="13" width="11.42578125" customWidth="1"/>
    <col min="14" max="14" width="12.140625" customWidth="1"/>
    <col min="15" max="15" width="14.4257812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42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43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44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33</v>
      </c>
      <c r="N2" s="1" t="s">
        <v>34</v>
      </c>
      <c r="O2" s="1" t="s">
        <v>35</v>
      </c>
      <c r="P2" s="1" t="s">
        <v>39</v>
      </c>
      <c r="Q2" s="1" t="s">
        <v>40</v>
      </c>
      <c r="R2" s="1" t="s">
        <v>41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33</v>
      </c>
      <c r="AD2" s="1" t="s">
        <v>34</v>
      </c>
      <c r="AE2" s="1" t="s">
        <v>39</v>
      </c>
      <c r="AF2" s="1" t="s">
        <v>40</v>
      </c>
      <c r="AG2" s="1" t="s">
        <v>41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  <c r="AO2" s="1" t="s">
        <v>26</v>
      </c>
      <c r="AP2" s="1" t="s">
        <v>27</v>
      </c>
      <c r="AQ2" s="1" t="s">
        <v>28</v>
      </c>
      <c r="AR2" s="1" t="s">
        <v>33</v>
      </c>
      <c r="AS2" s="1" t="s">
        <v>34</v>
      </c>
      <c r="AT2" s="1" t="s">
        <v>39</v>
      </c>
      <c r="AU2" s="1" t="s">
        <v>40</v>
      </c>
      <c r="AV2" s="1" t="s">
        <v>41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B2" s="1" t="s">
        <v>24</v>
      </c>
      <c r="BC2" s="1" t="s">
        <v>25</v>
      </c>
      <c r="BD2" s="1" t="s">
        <v>26</v>
      </c>
      <c r="BE2" s="1" t="s">
        <v>27</v>
      </c>
      <c r="BF2" s="1" t="s">
        <v>28</v>
      </c>
      <c r="BG2" s="1" t="s">
        <v>33</v>
      </c>
      <c r="BH2" s="1" t="s">
        <v>34</v>
      </c>
      <c r="BI2" s="1" t="s">
        <v>39</v>
      </c>
      <c r="BJ2" s="1" t="s">
        <v>40</v>
      </c>
      <c r="BK2" s="1" t="s">
        <v>41</v>
      </c>
    </row>
    <row r="3" spans="1:63">
      <c r="A3" s="1" t="s">
        <v>0</v>
      </c>
      <c r="B3" s="1">
        <v>4197452</v>
      </c>
      <c r="C3" s="1">
        <v>294148</v>
      </c>
      <c r="D3" s="1">
        <v>56458665</v>
      </c>
      <c r="E3" s="1">
        <v>0</v>
      </c>
      <c r="F3" s="1">
        <v>9469</v>
      </c>
      <c r="G3" s="1">
        <v>0</v>
      </c>
      <c r="H3" s="1">
        <v>0</v>
      </c>
      <c r="I3" s="1">
        <v>899.998</v>
      </c>
      <c r="J3" s="1">
        <v>1800</v>
      </c>
      <c r="K3" s="1">
        <v>672</v>
      </c>
      <c r="L3" s="1" t="s">
        <v>30</v>
      </c>
      <c r="M3" s="1">
        <v>50968280</v>
      </c>
      <c r="N3" s="1">
        <v>539.86</v>
      </c>
      <c r="O3" s="1" t="s">
        <v>36</v>
      </c>
      <c r="P3" s="1">
        <v>900</v>
      </c>
      <c r="Q3" s="1">
        <v>1</v>
      </c>
      <c r="R3" s="1">
        <v>2720069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0</v>
      </c>
      <c r="C4" s="1">
        <v>0</v>
      </c>
      <c r="D4" s="1">
        <v>0</v>
      </c>
      <c r="E4" s="1">
        <v>0</v>
      </c>
      <c r="F4" s="1">
        <v>10006</v>
      </c>
      <c r="G4" s="1">
        <v>1</v>
      </c>
      <c r="H4" s="1">
        <v>0</v>
      </c>
      <c r="I4" s="1">
        <v>363.098</v>
      </c>
      <c r="J4" s="1">
        <v>1800</v>
      </c>
      <c r="K4" s="1">
        <v>0</v>
      </c>
      <c r="L4" s="1" t="s">
        <v>31</v>
      </c>
      <c r="M4" s="1">
        <v>0</v>
      </c>
      <c r="N4" s="1">
        <v>0</v>
      </c>
      <c r="O4" s="1" t="s">
        <v>36</v>
      </c>
      <c r="P4" s="1">
        <v>900</v>
      </c>
      <c r="Q4" s="1">
        <v>1</v>
      </c>
      <c r="R4" s="1">
        <v>2823800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0</v>
      </c>
      <c r="C5" s="1">
        <v>0</v>
      </c>
      <c r="D5" s="1">
        <v>0</v>
      </c>
      <c r="E5" s="1">
        <v>0</v>
      </c>
      <c r="F5" s="1">
        <v>10003</v>
      </c>
      <c r="G5" s="1">
        <v>1</v>
      </c>
      <c r="H5" s="1">
        <v>0</v>
      </c>
      <c r="I5" s="1">
        <v>420.599</v>
      </c>
      <c r="J5" s="1">
        <v>1800</v>
      </c>
      <c r="K5" s="1">
        <v>0</v>
      </c>
      <c r="L5" s="1" t="s">
        <v>31</v>
      </c>
      <c r="M5" s="1">
        <v>0</v>
      </c>
      <c r="N5" s="1">
        <v>0</v>
      </c>
      <c r="O5" s="1" t="s">
        <v>36</v>
      </c>
      <c r="P5" s="1">
        <v>900</v>
      </c>
      <c r="Q5" s="1">
        <v>1</v>
      </c>
      <c r="R5" s="1">
        <v>3662800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0</v>
      </c>
      <c r="C6" s="1">
        <v>0</v>
      </c>
      <c r="D6" s="1">
        <v>0</v>
      </c>
      <c r="E6" s="1">
        <v>0</v>
      </c>
      <c r="F6" s="1">
        <v>10002</v>
      </c>
      <c r="G6" s="1">
        <v>1</v>
      </c>
      <c r="H6" s="1">
        <v>0</v>
      </c>
      <c r="I6" s="1">
        <v>297.062</v>
      </c>
      <c r="J6" s="1">
        <v>1800</v>
      </c>
      <c r="K6" s="1">
        <v>0</v>
      </c>
      <c r="L6" s="1" t="s">
        <v>31</v>
      </c>
      <c r="M6" s="1">
        <v>0</v>
      </c>
      <c r="N6" s="1">
        <v>0</v>
      </c>
      <c r="O6" s="1" t="s">
        <v>36</v>
      </c>
      <c r="P6" s="1">
        <v>900</v>
      </c>
      <c r="Q6" s="1">
        <v>1</v>
      </c>
      <c r="R6" s="1">
        <v>5439818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0</v>
      </c>
      <c r="C7" s="1">
        <v>0</v>
      </c>
      <c r="D7" s="1">
        <v>0</v>
      </c>
      <c r="E7" s="1">
        <v>0</v>
      </c>
      <c r="F7" s="1">
        <v>10010</v>
      </c>
      <c r="G7" s="1">
        <v>1</v>
      </c>
      <c r="H7" s="1">
        <v>0</v>
      </c>
      <c r="I7" s="1">
        <v>447.799</v>
      </c>
      <c r="J7" s="1">
        <v>1800</v>
      </c>
      <c r="K7" s="1">
        <v>0</v>
      </c>
      <c r="L7" s="1" t="s">
        <v>31</v>
      </c>
      <c r="M7" s="1">
        <v>0</v>
      </c>
      <c r="N7" s="1">
        <v>0</v>
      </c>
      <c r="O7" s="1" t="s">
        <v>36</v>
      </c>
      <c r="P7" s="1">
        <v>900</v>
      </c>
      <c r="Q7" s="1">
        <v>1</v>
      </c>
      <c r="R7" s="1">
        <v>5444414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3771461</v>
      </c>
      <c r="C8" s="1">
        <v>339953</v>
      </c>
      <c r="D8" s="1">
        <v>59979952</v>
      </c>
      <c r="E8" s="1">
        <v>0</v>
      </c>
      <c r="F8" s="1">
        <v>9954</v>
      </c>
      <c r="G8" s="1">
        <v>0</v>
      </c>
      <c r="H8" s="1">
        <v>0</v>
      </c>
      <c r="I8" s="1">
        <v>900.016</v>
      </c>
      <c r="J8" s="1">
        <v>1800</v>
      </c>
      <c r="K8" s="1">
        <v>828</v>
      </c>
      <c r="L8" s="1" t="s">
        <v>30</v>
      </c>
      <c r="M8" s="1">
        <v>55249802</v>
      </c>
      <c r="N8" s="1">
        <v>527.72</v>
      </c>
      <c r="O8" s="1" t="s">
        <v>36</v>
      </c>
      <c r="P8" s="1">
        <v>900</v>
      </c>
      <c r="Q8" s="1">
        <v>1</v>
      </c>
      <c r="R8" s="1">
        <v>2366009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1916060</v>
      </c>
      <c r="C9" s="1">
        <v>155043</v>
      </c>
      <c r="D9" s="1">
        <v>43293347</v>
      </c>
      <c r="E9" s="1">
        <v>0</v>
      </c>
      <c r="F9" s="1">
        <v>7158</v>
      </c>
      <c r="G9" s="1">
        <v>0</v>
      </c>
      <c r="H9" s="1">
        <v>1</v>
      </c>
      <c r="I9" s="1">
        <v>522.139</v>
      </c>
      <c r="J9" s="1">
        <v>523.96</v>
      </c>
      <c r="K9" s="1">
        <v>407</v>
      </c>
      <c r="L9" s="1" t="s">
        <v>32</v>
      </c>
      <c r="M9" s="1">
        <v>38850980</v>
      </c>
      <c r="N9" s="1">
        <v>288.08</v>
      </c>
      <c r="O9" s="1" t="s">
        <v>37</v>
      </c>
      <c r="P9" s="1">
        <v>523.96</v>
      </c>
      <c r="Q9" s="1">
        <v>0</v>
      </c>
      <c r="R9" s="1">
        <v>2135013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0</v>
      </c>
      <c r="C10" s="1">
        <v>0</v>
      </c>
      <c r="D10" s="1">
        <v>0</v>
      </c>
      <c r="E10" s="1">
        <v>0</v>
      </c>
      <c r="F10" s="1">
        <v>10012</v>
      </c>
      <c r="G10" s="1">
        <v>1</v>
      </c>
      <c r="H10" s="1">
        <v>0</v>
      </c>
      <c r="I10" s="1">
        <v>206.409</v>
      </c>
      <c r="J10" s="1">
        <v>1800</v>
      </c>
      <c r="K10" s="1">
        <v>0</v>
      </c>
      <c r="L10" s="1" t="s">
        <v>31</v>
      </c>
      <c r="M10" s="1">
        <v>0</v>
      </c>
      <c r="N10" s="1">
        <v>0</v>
      </c>
      <c r="O10" s="1" t="s">
        <v>36</v>
      </c>
      <c r="P10" s="1">
        <v>900</v>
      </c>
      <c r="Q10" s="1">
        <v>1</v>
      </c>
      <c r="R10" s="1"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4180604</v>
      </c>
      <c r="C11" s="1">
        <v>373097</v>
      </c>
      <c r="D11" s="1">
        <v>40493233</v>
      </c>
      <c r="E11" s="1">
        <v>0</v>
      </c>
      <c r="F11" s="1">
        <v>7086</v>
      </c>
      <c r="G11" s="1">
        <v>0</v>
      </c>
      <c r="H11" s="1">
        <v>1</v>
      </c>
      <c r="I11" s="1">
        <v>773.373</v>
      </c>
      <c r="J11" s="1">
        <v>775.09</v>
      </c>
      <c r="K11" s="1">
        <v>952</v>
      </c>
      <c r="L11" s="1" t="s">
        <v>32</v>
      </c>
      <c r="M11" s="1">
        <v>37877646</v>
      </c>
      <c r="N11" s="1">
        <v>546.62</v>
      </c>
      <c r="O11" s="1" t="s">
        <v>37</v>
      </c>
      <c r="P11" s="1">
        <v>775.09</v>
      </c>
      <c r="Q11" s="1">
        <v>0</v>
      </c>
      <c r="R11" s="1">
        <v>2120532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0</v>
      </c>
      <c r="C12" s="1">
        <v>1</v>
      </c>
      <c r="D12" s="1">
        <v>0</v>
      </c>
      <c r="E12" s="1">
        <v>0</v>
      </c>
      <c r="F12" s="1">
        <v>429</v>
      </c>
      <c r="G12" s="1">
        <v>0</v>
      </c>
      <c r="H12" s="1">
        <v>0</v>
      </c>
      <c r="I12" s="1">
        <v>26.31</v>
      </c>
      <c r="J12" s="1">
        <v>26.51</v>
      </c>
      <c r="K12" s="1">
        <v>0</v>
      </c>
      <c r="L12" s="1" t="s">
        <v>32</v>
      </c>
      <c r="M12" s="1">
        <v>2089143</v>
      </c>
      <c r="N12" s="1">
        <v>0</v>
      </c>
      <c r="O12" s="1" t="s">
        <v>38</v>
      </c>
      <c r="P12" s="1">
        <v>26.51</v>
      </c>
      <c r="Q12" s="1">
        <v>0</v>
      </c>
      <c r="R12" s="1"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0</v>
      </c>
      <c r="B13" s="1">
        <v>0</v>
      </c>
      <c r="C13" s="1">
        <v>1</v>
      </c>
      <c r="D13" s="1">
        <v>0</v>
      </c>
      <c r="E13" s="1">
        <v>0</v>
      </c>
      <c r="F13" s="1">
        <v>3321</v>
      </c>
      <c r="G13" s="1">
        <v>0</v>
      </c>
      <c r="H13" s="1">
        <v>0</v>
      </c>
      <c r="I13" s="1">
        <v>213.469</v>
      </c>
      <c r="J13" s="1">
        <v>214.81</v>
      </c>
      <c r="K13" s="1">
        <v>0</v>
      </c>
      <c r="L13" s="1" t="s">
        <v>32</v>
      </c>
      <c r="M13" s="1">
        <v>17725596</v>
      </c>
      <c r="N13" s="1">
        <v>0</v>
      </c>
      <c r="O13" s="1" t="s">
        <v>38</v>
      </c>
      <c r="P13" s="1">
        <v>214.81</v>
      </c>
      <c r="Q13" s="1">
        <v>0</v>
      </c>
      <c r="R13" s="1"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</v>
      </c>
      <c r="B14" s="1">
        <v>0</v>
      </c>
      <c r="C14" s="1">
        <v>1</v>
      </c>
      <c r="D14" s="1">
        <v>0</v>
      </c>
      <c r="E14" s="1">
        <v>0</v>
      </c>
      <c r="F14" s="1">
        <v>2750</v>
      </c>
      <c r="G14" s="1">
        <v>0</v>
      </c>
      <c r="H14" s="1">
        <v>0</v>
      </c>
      <c r="I14" s="1">
        <v>291.795</v>
      </c>
      <c r="J14" s="1">
        <v>292.69</v>
      </c>
      <c r="K14" s="1">
        <v>0</v>
      </c>
      <c r="L14" s="1" t="s">
        <v>32</v>
      </c>
      <c r="M14" s="1">
        <v>16537605</v>
      </c>
      <c r="N14" s="1">
        <v>0</v>
      </c>
      <c r="O14" s="1" t="s">
        <v>38</v>
      </c>
      <c r="P14" s="1">
        <v>292.69</v>
      </c>
      <c r="Q14" s="1">
        <v>0</v>
      </c>
      <c r="R14" s="1"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2</v>
      </c>
      <c r="B15" s="1">
        <v>0</v>
      </c>
      <c r="C15" s="1">
        <v>0</v>
      </c>
      <c r="D15" s="1">
        <v>0</v>
      </c>
      <c r="E15" s="1">
        <v>0</v>
      </c>
      <c r="F15" s="1">
        <v>10002</v>
      </c>
      <c r="G15" s="1">
        <v>1</v>
      </c>
      <c r="H15" s="1">
        <v>0</v>
      </c>
      <c r="I15" s="1">
        <v>190.618</v>
      </c>
      <c r="J15" s="1">
        <v>1800</v>
      </c>
      <c r="K15" s="1">
        <v>0</v>
      </c>
      <c r="L15" s="1" t="s">
        <v>31</v>
      </c>
      <c r="M15" s="1">
        <v>0</v>
      </c>
      <c r="N15" s="1">
        <v>0</v>
      </c>
      <c r="O15" s="1" t="s">
        <v>36</v>
      </c>
      <c r="P15" s="1">
        <v>900</v>
      </c>
      <c r="Q15" s="1">
        <v>1</v>
      </c>
      <c r="R15" s="1"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3</v>
      </c>
      <c r="B16" s="1">
        <v>0</v>
      </c>
      <c r="C16" s="1">
        <v>1</v>
      </c>
      <c r="D16" s="1">
        <v>0</v>
      </c>
      <c r="E16" s="1">
        <v>0</v>
      </c>
      <c r="F16" s="1">
        <v>2590</v>
      </c>
      <c r="G16" s="1">
        <v>0</v>
      </c>
      <c r="H16" s="1">
        <v>0</v>
      </c>
      <c r="I16" s="1">
        <v>281.792</v>
      </c>
      <c r="J16" s="1">
        <v>282.5</v>
      </c>
      <c r="K16" s="1">
        <v>0</v>
      </c>
      <c r="L16" s="1" t="s">
        <v>32</v>
      </c>
      <c r="M16" s="1">
        <v>14954913</v>
      </c>
      <c r="N16" s="1">
        <v>0</v>
      </c>
      <c r="O16" s="1" t="s">
        <v>38</v>
      </c>
      <c r="P16" s="1">
        <v>282.5</v>
      </c>
      <c r="Q16" s="1">
        <v>0</v>
      </c>
      <c r="R16" s="1"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4</v>
      </c>
      <c r="B17" s="1">
        <v>0</v>
      </c>
      <c r="C17" s="1">
        <v>0</v>
      </c>
      <c r="D17" s="1">
        <v>0</v>
      </c>
      <c r="E17" s="1">
        <v>0</v>
      </c>
      <c r="F17" s="1">
        <v>10003</v>
      </c>
      <c r="G17" s="1">
        <v>1</v>
      </c>
      <c r="H17" s="1">
        <v>0</v>
      </c>
      <c r="I17" s="1">
        <v>182.215</v>
      </c>
      <c r="J17" s="1">
        <v>1800</v>
      </c>
      <c r="K17" s="1">
        <v>0</v>
      </c>
      <c r="L17" s="1" t="s">
        <v>31</v>
      </c>
      <c r="M17" s="1">
        <v>0</v>
      </c>
      <c r="N17" s="1">
        <v>0</v>
      </c>
      <c r="O17" s="1" t="s">
        <v>36</v>
      </c>
      <c r="P17" s="1">
        <v>900</v>
      </c>
      <c r="Q17" s="1">
        <v>1</v>
      </c>
      <c r="R17" s="1"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5</v>
      </c>
      <c r="B18" s="1">
        <v>0</v>
      </c>
      <c r="C18" s="1">
        <v>0</v>
      </c>
      <c r="D18" s="1">
        <v>0</v>
      </c>
      <c r="E18" s="1">
        <v>0</v>
      </c>
      <c r="F18" s="1">
        <v>10004</v>
      </c>
      <c r="G18" s="1">
        <v>1</v>
      </c>
      <c r="H18" s="1">
        <v>0</v>
      </c>
      <c r="I18" s="1">
        <v>166.516</v>
      </c>
      <c r="J18" s="1">
        <v>1800</v>
      </c>
      <c r="K18" s="1">
        <v>0</v>
      </c>
      <c r="L18" s="1" t="s">
        <v>31</v>
      </c>
      <c r="M18" s="1">
        <v>0</v>
      </c>
      <c r="N18" s="1">
        <v>0</v>
      </c>
      <c r="O18" s="1" t="s">
        <v>36</v>
      </c>
      <c r="P18" s="1">
        <v>900</v>
      </c>
      <c r="Q18" s="1">
        <v>1</v>
      </c>
      <c r="R18" s="1"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6</v>
      </c>
      <c r="B19" s="1">
        <v>0</v>
      </c>
      <c r="C19" s="1">
        <v>0</v>
      </c>
      <c r="D19" s="1">
        <v>0</v>
      </c>
      <c r="E19" s="1">
        <v>0</v>
      </c>
      <c r="F19" s="1">
        <v>10001</v>
      </c>
      <c r="G19" s="1">
        <v>1</v>
      </c>
      <c r="H19" s="1">
        <v>0</v>
      </c>
      <c r="I19" s="1">
        <v>193.816</v>
      </c>
      <c r="J19" s="1">
        <v>1800</v>
      </c>
      <c r="K19" s="1">
        <v>0</v>
      </c>
      <c r="L19" s="1" t="s">
        <v>31</v>
      </c>
      <c r="M19" s="1">
        <v>0</v>
      </c>
      <c r="N19" s="1">
        <v>0</v>
      </c>
      <c r="O19" s="1" t="s">
        <v>36</v>
      </c>
      <c r="P19" s="1">
        <v>900</v>
      </c>
      <c r="Q19" s="1">
        <v>1</v>
      </c>
      <c r="R19" s="1"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7</v>
      </c>
      <c r="B20" s="1">
        <v>0</v>
      </c>
      <c r="C20" s="1">
        <v>0</v>
      </c>
      <c r="D20" s="1">
        <v>0</v>
      </c>
      <c r="E20" s="1">
        <v>0</v>
      </c>
      <c r="F20" s="1">
        <v>10005</v>
      </c>
      <c r="G20" s="1">
        <v>1</v>
      </c>
      <c r="H20" s="1">
        <v>0</v>
      </c>
      <c r="I20" s="1">
        <v>182.114</v>
      </c>
      <c r="J20" s="1">
        <v>1800</v>
      </c>
      <c r="K20" s="1">
        <v>0</v>
      </c>
      <c r="L20" s="1" t="s">
        <v>31</v>
      </c>
      <c r="M20" s="1">
        <v>0</v>
      </c>
      <c r="N20" s="1">
        <v>0</v>
      </c>
      <c r="O20" s="1" t="s">
        <v>36</v>
      </c>
      <c r="P20" s="1">
        <v>900</v>
      </c>
      <c r="Q20" s="1">
        <v>1</v>
      </c>
      <c r="R20" s="1"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8</v>
      </c>
      <c r="B21" s="1">
        <v>0</v>
      </c>
      <c r="C21" s="1">
        <v>0</v>
      </c>
      <c r="D21" s="1">
        <v>0</v>
      </c>
      <c r="E21" s="1">
        <v>0</v>
      </c>
      <c r="F21" s="1">
        <v>10004</v>
      </c>
      <c r="G21" s="1">
        <v>1</v>
      </c>
      <c r="H21" s="1">
        <v>0</v>
      </c>
      <c r="I21" s="1">
        <v>180.617</v>
      </c>
      <c r="J21" s="1">
        <v>1800</v>
      </c>
      <c r="K21" s="1">
        <v>0</v>
      </c>
      <c r="L21" s="1" t="s">
        <v>31</v>
      </c>
      <c r="M21" s="1">
        <v>0</v>
      </c>
      <c r="N21" s="1">
        <v>0</v>
      </c>
      <c r="O21" s="1" t="s">
        <v>36</v>
      </c>
      <c r="P21" s="1">
        <v>900</v>
      </c>
      <c r="Q21" s="1">
        <v>1</v>
      </c>
      <c r="R21" s="1"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9</v>
      </c>
      <c r="B22" s="1">
        <v>0</v>
      </c>
      <c r="C22" s="1">
        <v>0</v>
      </c>
      <c r="D22" s="1">
        <v>0</v>
      </c>
      <c r="E22" s="1">
        <v>0</v>
      </c>
      <c r="F22" s="1">
        <v>10001</v>
      </c>
      <c r="G22" s="1">
        <v>1</v>
      </c>
      <c r="H22" s="1">
        <v>0</v>
      </c>
      <c r="I22" s="1">
        <v>187.116</v>
      </c>
      <c r="J22" s="1">
        <v>1800</v>
      </c>
      <c r="K22" s="1">
        <v>0</v>
      </c>
      <c r="L22" s="1" t="s">
        <v>31</v>
      </c>
      <c r="M22" s="1">
        <v>0</v>
      </c>
      <c r="N22" s="1">
        <v>0</v>
      </c>
      <c r="O22" s="1" t="s">
        <v>36</v>
      </c>
      <c r="P22" s="1">
        <v>900</v>
      </c>
      <c r="Q22" s="1">
        <v>1</v>
      </c>
      <c r="R22" s="1"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0</v>
      </c>
      <c r="B23" s="1">
        <v>0</v>
      </c>
      <c r="C23" s="1">
        <v>0</v>
      </c>
      <c r="D23" s="1">
        <v>0</v>
      </c>
      <c r="E23" s="1">
        <v>0</v>
      </c>
      <c r="F23" s="1">
        <v>10004</v>
      </c>
      <c r="G23" s="1">
        <v>1</v>
      </c>
      <c r="H23" s="1">
        <v>0</v>
      </c>
      <c r="I23" s="1">
        <v>134.416</v>
      </c>
      <c r="J23" s="1">
        <v>1800</v>
      </c>
      <c r="K23" s="1">
        <v>0</v>
      </c>
      <c r="L23" s="1" t="s">
        <v>31</v>
      </c>
      <c r="M23" s="1">
        <v>0</v>
      </c>
      <c r="N23" s="1">
        <v>0</v>
      </c>
      <c r="O23" s="1" t="s">
        <v>36</v>
      </c>
      <c r="P23" s="1">
        <v>900</v>
      </c>
      <c r="Q23" s="1">
        <v>1</v>
      </c>
      <c r="R23" s="1"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1</v>
      </c>
      <c r="B24" s="1">
        <v>0</v>
      </c>
      <c r="C24" s="1">
        <v>0</v>
      </c>
      <c r="D24" s="1">
        <v>0</v>
      </c>
      <c r="E24" s="1">
        <v>0</v>
      </c>
      <c r="F24" s="1">
        <v>10001</v>
      </c>
      <c r="G24" s="1">
        <v>1</v>
      </c>
      <c r="H24" s="1">
        <v>0</v>
      </c>
      <c r="I24" s="1">
        <v>126.615</v>
      </c>
      <c r="J24" s="1">
        <v>1800</v>
      </c>
      <c r="K24" s="1">
        <v>0</v>
      </c>
      <c r="L24" s="1" t="s">
        <v>31</v>
      </c>
      <c r="M24" s="1">
        <v>0</v>
      </c>
      <c r="N24" s="1">
        <v>0</v>
      </c>
      <c r="O24" s="1" t="s">
        <v>36</v>
      </c>
      <c r="P24" s="1">
        <v>900</v>
      </c>
      <c r="Q24" s="1">
        <v>1</v>
      </c>
      <c r="R24" s="1"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</v>
      </c>
      <c r="B25" s="1">
        <v>0</v>
      </c>
      <c r="C25" s="1">
        <v>0</v>
      </c>
      <c r="D25" s="1">
        <v>0</v>
      </c>
      <c r="E25" s="1">
        <v>0</v>
      </c>
      <c r="F25" s="1">
        <v>10003</v>
      </c>
      <c r="G25" s="1">
        <v>1</v>
      </c>
      <c r="H25" s="1">
        <v>0</v>
      </c>
      <c r="I25" s="1">
        <v>126.513</v>
      </c>
      <c r="J25" s="1">
        <v>1800</v>
      </c>
      <c r="K25" s="1">
        <v>0</v>
      </c>
      <c r="L25" s="1" t="s">
        <v>31</v>
      </c>
      <c r="M25" s="1">
        <v>0</v>
      </c>
      <c r="N25" s="1">
        <v>0</v>
      </c>
      <c r="O25" s="1" t="s">
        <v>36</v>
      </c>
      <c r="P25" s="1">
        <v>900</v>
      </c>
      <c r="Q25" s="1">
        <v>1</v>
      </c>
      <c r="R25" s="1"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3</v>
      </c>
      <c r="B26" s="1">
        <v>0</v>
      </c>
      <c r="C26" s="1">
        <v>0</v>
      </c>
      <c r="D26" s="1">
        <v>0</v>
      </c>
      <c r="E26" s="1">
        <v>0</v>
      </c>
      <c r="F26" s="1">
        <v>10005</v>
      </c>
      <c r="G26" s="1">
        <v>1</v>
      </c>
      <c r="H26" s="1">
        <v>0</v>
      </c>
      <c r="I26" s="1">
        <v>122.014</v>
      </c>
      <c r="J26" s="1">
        <v>1800</v>
      </c>
      <c r="K26" s="1">
        <v>0</v>
      </c>
      <c r="L26" s="1" t="s">
        <v>31</v>
      </c>
      <c r="M26" s="1">
        <v>0</v>
      </c>
      <c r="N26" s="1">
        <v>0</v>
      </c>
      <c r="O26" s="1" t="s">
        <v>36</v>
      </c>
      <c r="P26" s="1">
        <v>900</v>
      </c>
      <c r="Q26" s="1">
        <v>1</v>
      </c>
      <c r="R26" s="1"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4</v>
      </c>
      <c r="B27" s="1">
        <v>0</v>
      </c>
      <c r="C27" s="1">
        <v>0</v>
      </c>
      <c r="D27" s="1">
        <v>0</v>
      </c>
      <c r="E27" s="1">
        <v>0</v>
      </c>
      <c r="F27" s="1">
        <v>10143</v>
      </c>
      <c r="G27" s="1">
        <v>1</v>
      </c>
      <c r="H27" s="1">
        <v>0</v>
      </c>
      <c r="I27" s="1">
        <v>110.414</v>
      </c>
      <c r="J27" s="1">
        <v>1800</v>
      </c>
      <c r="K27" s="1">
        <v>0</v>
      </c>
      <c r="L27" s="1" t="s">
        <v>31</v>
      </c>
      <c r="M27" s="1">
        <v>0</v>
      </c>
      <c r="N27" s="1">
        <v>0</v>
      </c>
      <c r="O27" s="1" t="s">
        <v>36</v>
      </c>
      <c r="P27" s="1">
        <v>900</v>
      </c>
      <c r="Q27" s="1">
        <v>1</v>
      </c>
      <c r="R27" s="1"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5</v>
      </c>
      <c r="B28" s="1">
        <v>0</v>
      </c>
      <c r="C28" s="1">
        <v>0</v>
      </c>
      <c r="D28" s="1">
        <v>0</v>
      </c>
      <c r="E28" s="1">
        <v>0</v>
      </c>
      <c r="F28" s="1">
        <v>10005</v>
      </c>
      <c r="G28" s="1">
        <v>1</v>
      </c>
      <c r="H28" s="1">
        <v>0</v>
      </c>
      <c r="I28" s="1">
        <v>117.513</v>
      </c>
      <c r="J28" s="1">
        <v>1800</v>
      </c>
      <c r="K28" s="1">
        <v>0</v>
      </c>
      <c r="L28" s="1" t="s">
        <v>31</v>
      </c>
      <c r="M28" s="1">
        <v>0</v>
      </c>
      <c r="N28" s="1">
        <v>0</v>
      </c>
      <c r="O28" s="1" t="s">
        <v>36</v>
      </c>
      <c r="P28" s="1">
        <v>900</v>
      </c>
      <c r="Q28" s="1">
        <v>1</v>
      </c>
      <c r="R28" s="1"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6</v>
      </c>
      <c r="B29" s="1">
        <v>0</v>
      </c>
      <c r="C29" s="1">
        <v>0</v>
      </c>
      <c r="D29" s="1">
        <v>0</v>
      </c>
      <c r="E29" s="1">
        <v>0</v>
      </c>
      <c r="F29" s="1">
        <v>10001</v>
      </c>
      <c r="G29" s="1">
        <v>1</v>
      </c>
      <c r="H29" s="1">
        <v>0</v>
      </c>
      <c r="I29" s="1">
        <v>137.82</v>
      </c>
      <c r="J29" s="1">
        <v>1800</v>
      </c>
      <c r="K29" s="1">
        <v>0</v>
      </c>
      <c r="L29" s="1" t="s">
        <v>31</v>
      </c>
      <c r="M29" s="1">
        <v>0</v>
      </c>
      <c r="N29" s="1">
        <v>0</v>
      </c>
      <c r="O29" s="1" t="s">
        <v>36</v>
      </c>
      <c r="P29" s="1">
        <v>900</v>
      </c>
      <c r="Q29" s="1">
        <v>1</v>
      </c>
      <c r="R29" s="1"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7</v>
      </c>
      <c r="B30" s="1">
        <v>0</v>
      </c>
      <c r="C30" s="1">
        <v>0</v>
      </c>
      <c r="D30" s="1">
        <v>0</v>
      </c>
      <c r="E30" s="1">
        <v>0</v>
      </c>
      <c r="F30" s="1">
        <v>10001</v>
      </c>
      <c r="G30" s="1">
        <v>1</v>
      </c>
      <c r="H30" s="1">
        <v>0</v>
      </c>
      <c r="I30" s="1">
        <v>153.819</v>
      </c>
      <c r="J30" s="1">
        <v>1800</v>
      </c>
      <c r="K30" s="1">
        <v>0</v>
      </c>
      <c r="L30" s="1" t="s">
        <v>31</v>
      </c>
      <c r="M30" s="1">
        <v>0</v>
      </c>
      <c r="N30" s="1">
        <v>0</v>
      </c>
      <c r="O30" s="1" t="s">
        <v>36</v>
      </c>
      <c r="P30" s="1">
        <v>900</v>
      </c>
      <c r="Q30" s="1">
        <v>1</v>
      </c>
      <c r="R30" s="1"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8</v>
      </c>
      <c r="B31" s="1">
        <v>0</v>
      </c>
      <c r="C31" s="1">
        <v>0</v>
      </c>
      <c r="D31" s="1">
        <v>0</v>
      </c>
      <c r="E31" s="1">
        <v>0</v>
      </c>
      <c r="F31" s="1">
        <v>10099</v>
      </c>
      <c r="G31" s="1">
        <v>1</v>
      </c>
      <c r="H31" s="1">
        <v>0</v>
      </c>
      <c r="I31" s="1">
        <v>126.219</v>
      </c>
      <c r="J31" s="1">
        <v>1800</v>
      </c>
      <c r="K31" s="1">
        <v>0</v>
      </c>
      <c r="L31" s="1" t="s">
        <v>31</v>
      </c>
      <c r="M31" s="1">
        <v>0</v>
      </c>
      <c r="N31" s="1">
        <v>0</v>
      </c>
      <c r="O31" s="1" t="s">
        <v>36</v>
      </c>
      <c r="P31" s="1">
        <v>900</v>
      </c>
      <c r="Q31" s="1">
        <v>1</v>
      </c>
      <c r="R31" s="1"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9</v>
      </c>
      <c r="B32" s="1">
        <v>0</v>
      </c>
      <c r="C32" s="1">
        <v>0</v>
      </c>
      <c r="D32" s="1">
        <v>0</v>
      </c>
      <c r="E32" s="1">
        <v>0</v>
      </c>
      <c r="F32" s="1">
        <v>10002</v>
      </c>
      <c r="G32" s="1">
        <v>1</v>
      </c>
      <c r="H32" s="1">
        <v>0</v>
      </c>
      <c r="I32" s="1">
        <v>121.913</v>
      </c>
      <c r="J32" s="1">
        <v>1800</v>
      </c>
      <c r="K32" s="1">
        <v>0</v>
      </c>
      <c r="L32" s="1" t="s">
        <v>31</v>
      </c>
      <c r="M32" s="1">
        <v>0</v>
      </c>
      <c r="N32" s="1">
        <v>0</v>
      </c>
      <c r="O32" s="1" t="s">
        <v>36</v>
      </c>
      <c r="P32" s="1">
        <v>900</v>
      </c>
      <c r="Q32" s="1">
        <v>1</v>
      </c>
      <c r="R32" s="1"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>
      <c r="A34" s="1" t="s">
        <v>10</v>
      </c>
      <c r="B34" s="1">
        <f>SUM(B$3:B$32)</f>
        <v>0</v>
      </c>
      <c r="C34" s="1">
        <f>SUM(C$3:C$32)</f>
        <v>0</v>
      </c>
      <c r="D34" s="1">
        <f>SUM(D$3:D$32)</f>
        <v>0</v>
      </c>
      <c r="E34" s="1">
        <f>SUM(E$3:E$32)</f>
        <v>0</v>
      </c>
      <c r="F34" s="1">
        <f>SUM(F$3:F$32)</f>
        <v>0</v>
      </c>
      <c r="G34" s="1">
        <f>SUM(G$3:G$32)</f>
        <v>0</v>
      </c>
      <c r="H34" s="1">
        <f>SUM(H$3:H$32)</f>
        <v>0</v>
      </c>
      <c r="I34" s="1">
        <f>SUM(I$3:I$32)</f>
        <v>0</v>
      </c>
      <c r="J34" s="1">
        <f>SUM(J$3:J$32)</f>
        <v>0</v>
      </c>
      <c r="K34" s="1">
        <f>SUM(K$3:K$32)</f>
        <v>0</v>
      </c>
      <c r="L34" s="1"/>
      <c r="M34" s="1">
        <f>SUM(M$3:M$32)</f>
        <v>0</v>
      </c>
      <c r="N34" s="1">
        <f>SUM(N$3:N$32)</f>
        <v>0</v>
      </c>
      <c r="O34" s="1"/>
      <c r="P34" s="1">
        <f>SUM(P$3:P$32)</f>
        <v>0</v>
      </c>
      <c r="Q34" s="1">
        <f>SUM(Q$3:Q$32)</f>
        <v>0</v>
      </c>
      <c r="R34" s="1">
        <f>SUM(R$3:R$32)</f>
        <v>0</v>
      </c>
      <c r="S34" s="1">
        <f>SUM(S$3:S$32)</f>
        <v>0</v>
      </c>
      <c r="T34" s="1">
        <f>SUM(T$3:T$32)</f>
        <v>0</v>
      </c>
      <c r="U34" s="1">
        <f>SUM(U$3:U$32)</f>
        <v>0</v>
      </c>
      <c r="V34" s="1">
        <f>SUM(V$3:V$32)</f>
        <v>0</v>
      </c>
      <c r="W34" s="1">
        <f>SUM(W$3:W$32)</f>
        <v>0</v>
      </c>
      <c r="X34" s="1">
        <f>SUM(X$3:X$32)</f>
        <v>0</v>
      </c>
      <c r="Y34" s="1">
        <f>SUM(Y$3:Y$32)</f>
        <v>0</v>
      </c>
      <c r="Z34" s="1">
        <f>SUM(Z$3:Z$32)</f>
        <v>0</v>
      </c>
      <c r="AA34" s="1">
        <f>SUM(AA$3:AA$32)</f>
        <v>0</v>
      </c>
      <c r="AB34" s="1">
        <f>SUM(AB$3:AB$32)</f>
        <v>0</v>
      </c>
      <c r="AC34" s="1">
        <f>SUM(AC$3:AC$32)</f>
        <v>0</v>
      </c>
      <c r="AD34" s="1">
        <f>SUM(AD$3:AD$32)</f>
        <v>0</v>
      </c>
      <c r="AE34" s="1">
        <f>SUM(AE$3:AE$32)</f>
        <v>0</v>
      </c>
      <c r="AF34" s="1">
        <f>SUM(AF$3:AF$32)</f>
        <v>0</v>
      </c>
      <c r="AG34" s="1">
        <f>SUM(AG$3:AG$32)</f>
        <v>0</v>
      </c>
      <c r="AH34" s="1">
        <f>SUM(AH$3:AH$32)</f>
        <v>0</v>
      </c>
      <c r="AI34" s="1">
        <f>SUM(AI$3:AI$32)</f>
        <v>0</v>
      </c>
      <c r="AJ34" s="1">
        <f>SUM(AJ$3:AJ$32)</f>
        <v>0</v>
      </c>
      <c r="AK34" s="1">
        <f>SUM(AK$3:AK$32)</f>
        <v>0</v>
      </c>
      <c r="AL34" s="1">
        <f>SUM(AL$3:AL$32)</f>
        <v>0</v>
      </c>
      <c r="AM34" s="1">
        <f>SUM(AM$3:AM$32)</f>
        <v>0</v>
      </c>
      <c r="AN34" s="1">
        <f>SUM(AN$3:AN$32)</f>
        <v>0</v>
      </c>
      <c r="AO34" s="1">
        <f>SUM(AO$3:AO$32)</f>
        <v>0</v>
      </c>
      <c r="AP34" s="1">
        <f>SUM(AP$3:AP$32)</f>
        <v>0</v>
      </c>
      <c r="AQ34" s="1">
        <f>SUM(AQ$3:AQ$32)</f>
        <v>0</v>
      </c>
      <c r="AR34" s="1">
        <f>SUM(AR$3:AR$32)</f>
        <v>0</v>
      </c>
      <c r="AS34" s="1">
        <f>SUM(AS$3:AS$32)</f>
        <v>0</v>
      </c>
      <c r="AT34" s="1">
        <f>SUM(AT$3:AT$32)</f>
        <v>0</v>
      </c>
      <c r="AU34" s="1">
        <f>SUM(AU$3:AU$32)</f>
        <v>0</v>
      </c>
      <c r="AV34" s="1">
        <f>SUM(AV$3:AV$32)</f>
        <v>0</v>
      </c>
      <c r="AW34" s="1">
        <f>SUM(AW$3:AW$32)</f>
        <v>0</v>
      </c>
      <c r="AX34" s="1">
        <f>SUM(AX$3:AX$32)</f>
        <v>0</v>
      </c>
      <c r="AY34" s="1">
        <f>SUM(AY$3:AY$32)</f>
        <v>0</v>
      </c>
      <c r="AZ34" s="1">
        <f>SUM(AZ$3:AZ$32)</f>
        <v>0</v>
      </c>
      <c r="BA34" s="1">
        <f>SUM(BA$3:BA$32)</f>
        <v>0</v>
      </c>
      <c r="BB34" s="1">
        <f>SUM(BB$3:BB$32)</f>
        <v>0</v>
      </c>
      <c r="BC34" s="1">
        <f>SUM(BC$3:BC$32)</f>
        <v>0</v>
      </c>
      <c r="BD34" s="1">
        <f>SUM(BD$3:BD$32)</f>
        <v>0</v>
      </c>
      <c r="BE34" s="1">
        <f>SUM(BE$3:BE$32)</f>
        <v>0</v>
      </c>
      <c r="BF34" s="1">
        <f>SUM(BF$3:BF$32)</f>
        <v>0</v>
      </c>
      <c r="BG34" s="1">
        <f>SUM(BG$3:BG$32)</f>
        <v>0</v>
      </c>
      <c r="BH34" s="1">
        <f>SUM(BH$3:BH$32)</f>
        <v>0</v>
      </c>
      <c r="BI34" s="1">
        <f>SUM(BI$3:BI$32)</f>
        <v>0</v>
      </c>
      <c r="BJ34" s="1">
        <f>SUM(BJ$3:BJ$32)</f>
        <v>0</v>
      </c>
      <c r="BK34" s="1">
        <f>SUM(BK$3:BK$32)</f>
        <v>0</v>
      </c>
    </row>
    <row r="35" spans="1:63">
      <c r="A35" s="1" t="s">
        <v>11</v>
      </c>
      <c r="B35" s="1">
        <f>AVERAGE(B$3:B$32)</f>
        <v>0</v>
      </c>
      <c r="C35" s="1">
        <f>AVERAGE(C$3:C$32)</f>
        <v>0</v>
      </c>
      <c r="D35" s="1">
        <f>AVERAGE(D$3:D$32)</f>
        <v>0</v>
      </c>
      <c r="E35" s="1">
        <f>AVERAGE(E$3:E$32)</f>
        <v>0</v>
      </c>
      <c r="F35" s="1">
        <f>AVERAGE(F$3:F$32)</f>
        <v>0</v>
      </c>
      <c r="G35" s="1">
        <f>AVERAGE(G$3:G$32)</f>
        <v>0</v>
      </c>
      <c r="H35" s="1">
        <f>AVERAGE(H$3:H$32)</f>
        <v>0</v>
      </c>
      <c r="I35" s="1">
        <f>AVERAGE(I$3:I$32)</f>
        <v>0</v>
      </c>
      <c r="J35" s="1">
        <f>AVERAGE(J$3:J$32)</f>
        <v>0</v>
      </c>
      <c r="K35" s="1">
        <f>AVERAGE(K$3:K$32)</f>
        <v>0</v>
      </c>
      <c r="L35" s="1"/>
      <c r="M35" s="1">
        <f>AVERAGE(M$3:M$32)</f>
        <v>0</v>
      </c>
      <c r="N35" s="1">
        <f>AVERAGE(N$3:N$32)</f>
        <v>0</v>
      </c>
      <c r="O35" s="1"/>
      <c r="P35" s="1">
        <f>AVERAGE(P$3:P$32)</f>
        <v>0</v>
      </c>
      <c r="Q35" s="1">
        <f>AVERAGE(Q$3:Q$32)</f>
        <v>0</v>
      </c>
      <c r="R35" s="1">
        <f>AVERAGE(R$3:R$32)</f>
        <v>0</v>
      </c>
      <c r="S35" s="1">
        <f>AVERAGE(S$3:S$32)</f>
        <v>0</v>
      </c>
      <c r="T35" s="1">
        <f>AVERAGE(T$3:T$32)</f>
        <v>0</v>
      </c>
      <c r="U35" s="1">
        <f>AVERAGE(U$3:U$32)</f>
        <v>0</v>
      </c>
      <c r="V35" s="1">
        <f>AVERAGE(V$3:V$32)</f>
        <v>0</v>
      </c>
      <c r="W35" s="1">
        <f>AVERAGE(W$3:W$32)</f>
        <v>0</v>
      </c>
      <c r="X35" s="1">
        <f>AVERAGE(X$3:X$32)</f>
        <v>0</v>
      </c>
      <c r="Y35" s="1">
        <f>AVERAGE(Y$3:Y$32)</f>
        <v>0</v>
      </c>
      <c r="Z35" s="1">
        <f>AVERAGE(Z$3:Z$32)</f>
        <v>0</v>
      </c>
      <c r="AA35" s="1">
        <f>AVERAGE(AA$3:AA$32)</f>
        <v>0</v>
      </c>
      <c r="AB35" s="1">
        <f>AVERAGE(AB$3:AB$32)</f>
        <v>0</v>
      </c>
      <c r="AC35" s="1">
        <f>AVERAGE(AC$3:AC$32)</f>
        <v>0</v>
      </c>
      <c r="AD35" s="1">
        <f>AVERAGE(AD$3:AD$32)</f>
        <v>0</v>
      </c>
      <c r="AE35" s="1">
        <f>AVERAGE(AE$3:AE$32)</f>
        <v>0</v>
      </c>
      <c r="AF35" s="1">
        <f>AVERAGE(AF$3:AF$32)</f>
        <v>0</v>
      </c>
      <c r="AG35" s="1">
        <f>AVERAGE(AG$3:AG$32)</f>
        <v>0</v>
      </c>
      <c r="AH35" s="1">
        <f>AVERAGE(AH$3:AH$32)</f>
        <v>0</v>
      </c>
      <c r="AI35" s="1">
        <f>AVERAGE(AI$3:AI$32)</f>
        <v>0</v>
      </c>
      <c r="AJ35" s="1">
        <f>AVERAGE(AJ$3:AJ$32)</f>
        <v>0</v>
      </c>
      <c r="AK35" s="1">
        <f>AVERAGE(AK$3:AK$32)</f>
        <v>0</v>
      </c>
      <c r="AL35" s="1">
        <f>AVERAGE(AL$3:AL$32)</f>
        <v>0</v>
      </c>
      <c r="AM35" s="1">
        <f>AVERAGE(AM$3:AM$32)</f>
        <v>0</v>
      </c>
      <c r="AN35" s="1">
        <f>AVERAGE(AN$3:AN$32)</f>
        <v>0</v>
      </c>
      <c r="AO35" s="1">
        <f>AVERAGE(AO$3:AO$32)</f>
        <v>0</v>
      </c>
      <c r="AP35" s="1">
        <f>AVERAGE(AP$3:AP$32)</f>
        <v>0</v>
      </c>
      <c r="AQ35" s="1">
        <f>AVERAGE(AQ$3:AQ$32)</f>
        <v>0</v>
      </c>
      <c r="AR35" s="1">
        <f>AVERAGE(AR$3:AR$32)</f>
        <v>0</v>
      </c>
      <c r="AS35" s="1">
        <f>AVERAGE(AS$3:AS$32)</f>
        <v>0</v>
      </c>
      <c r="AT35" s="1">
        <f>AVERAGE(AT$3:AT$32)</f>
        <v>0</v>
      </c>
      <c r="AU35" s="1">
        <f>AVERAGE(AU$3:AU$32)</f>
        <v>0</v>
      </c>
      <c r="AV35" s="1">
        <f>AVERAGE(AV$3:AV$32)</f>
        <v>0</v>
      </c>
      <c r="AW35" s="1">
        <f>AVERAGE(AW$3:AW$32)</f>
        <v>0</v>
      </c>
      <c r="AX35" s="1">
        <f>AVERAGE(AX$3:AX$32)</f>
        <v>0</v>
      </c>
      <c r="AY35" s="1">
        <f>AVERAGE(AY$3:AY$32)</f>
        <v>0</v>
      </c>
      <c r="AZ35" s="1">
        <f>AVERAGE(AZ$3:AZ$32)</f>
        <v>0</v>
      </c>
      <c r="BA35" s="1">
        <f>AVERAGE(BA$3:BA$32)</f>
        <v>0</v>
      </c>
      <c r="BB35" s="1">
        <f>AVERAGE(BB$3:BB$32)</f>
        <v>0</v>
      </c>
      <c r="BC35" s="1">
        <f>AVERAGE(BC$3:BC$32)</f>
        <v>0</v>
      </c>
      <c r="BD35" s="1">
        <f>AVERAGE(BD$3:BD$32)</f>
        <v>0</v>
      </c>
      <c r="BE35" s="1">
        <f>AVERAGE(BE$3:BE$32)</f>
        <v>0</v>
      </c>
      <c r="BF35" s="1">
        <f>AVERAGE(BF$3:BF$32)</f>
        <v>0</v>
      </c>
      <c r="BG35" s="1">
        <f>AVERAGE(BG$3:BG$32)</f>
        <v>0</v>
      </c>
      <c r="BH35" s="1">
        <f>AVERAGE(BH$3:BH$32)</f>
        <v>0</v>
      </c>
      <c r="BI35" s="1">
        <f>AVERAGE(BI$3:BI$32)</f>
        <v>0</v>
      </c>
      <c r="BJ35" s="1">
        <f>AVERAGE(BJ$3:BJ$32)</f>
        <v>0</v>
      </c>
      <c r="BK35" s="1">
        <f>AVERAGE(BK$3:BK$32)</f>
        <v>0</v>
      </c>
    </row>
    <row r="36" spans="1:63">
      <c r="A36" s="1" t="s">
        <v>12</v>
      </c>
      <c r="B36" s="1">
        <f>STDEV(B$3:B$32)</f>
        <v>0</v>
      </c>
      <c r="C36" s="1">
        <f>STDEV(C$3:C$32)</f>
        <v>0</v>
      </c>
      <c r="D36" s="1">
        <f>STDEV(D$3:D$32)</f>
        <v>0</v>
      </c>
      <c r="E36" s="1">
        <f>STDEV(E$3:E$32)</f>
        <v>0</v>
      </c>
      <c r="F36" s="1">
        <f>STDEV(F$3:F$32)</f>
        <v>0</v>
      </c>
      <c r="G36" s="1">
        <f>STDEV(G$3:G$32)</f>
        <v>0</v>
      </c>
      <c r="H36" s="1">
        <f>STDEV(H$3:H$32)</f>
        <v>0</v>
      </c>
      <c r="I36" s="1">
        <f>STDEV(I$3:I$32)</f>
        <v>0</v>
      </c>
      <c r="J36" s="1">
        <f>STDEV(J$3:J$32)</f>
        <v>0</v>
      </c>
      <c r="K36" s="1">
        <f>STDEV(K$3:K$32)</f>
        <v>0</v>
      </c>
      <c r="L36" s="1"/>
      <c r="M36" s="1">
        <f>STDEV(M$3:M$32)</f>
        <v>0</v>
      </c>
      <c r="N36" s="1">
        <f>STDEV(N$3:N$32)</f>
        <v>0</v>
      </c>
      <c r="O36" s="1"/>
      <c r="P36" s="1">
        <f>STDEV(P$3:P$32)</f>
        <v>0</v>
      </c>
      <c r="Q36" s="1">
        <f>STDEV(Q$3:Q$32)</f>
        <v>0</v>
      </c>
      <c r="R36" s="1">
        <f>STDEV(R$3:R$32)</f>
        <v>0</v>
      </c>
      <c r="S36" s="1">
        <f>STDEV(S$3:S$32)</f>
        <v>0</v>
      </c>
      <c r="T36" s="1">
        <f>STDEV(T$3:T$32)</f>
        <v>0</v>
      </c>
      <c r="U36" s="1">
        <f>STDEV(U$3:U$32)</f>
        <v>0</v>
      </c>
      <c r="V36" s="1">
        <f>STDEV(V$3:V$32)</f>
        <v>0</v>
      </c>
      <c r="W36" s="1">
        <f>STDEV(W$3:W$32)</f>
        <v>0</v>
      </c>
      <c r="X36" s="1">
        <f>STDEV(X$3:X$32)</f>
        <v>0</v>
      </c>
      <c r="Y36" s="1">
        <f>STDEV(Y$3:Y$32)</f>
        <v>0</v>
      </c>
      <c r="Z36" s="1">
        <f>STDEV(Z$3:Z$32)</f>
        <v>0</v>
      </c>
      <c r="AA36" s="1">
        <f>STDEV(AA$3:AA$32)</f>
        <v>0</v>
      </c>
      <c r="AB36" s="1">
        <f>STDEV(AB$3:AB$32)</f>
        <v>0</v>
      </c>
      <c r="AC36" s="1">
        <f>STDEV(AC$3:AC$32)</f>
        <v>0</v>
      </c>
      <c r="AD36" s="1">
        <f>STDEV(AD$3:AD$32)</f>
        <v>0</v>
      </c>
      <c r="AE36" s="1">
        <f>STDEV(AE$3:AE$32)</f>
        <v>0</v>
      </c>
      <c r="AF36" s="1">
        <f>STDEV(AF$3:AF$32)</f>
        <v>0</v>
      </c>
      <c r="AG36" s="1">
        <f>STDEV(AG$3:AG$32)</f>
        <v>0</v>
      </c>
      <c r="AH36" s="1">
        <f>STDEV(AH$3:AH$32)</f>
        <v>0</v>
      </c>
      <c r="AI36" s="1">
        <f>STDEV(AI$3:AI$32)</f>
        <v>0</v>
      </c>
      <c r="AJ36" s="1">
        <f>STDEV(AJ$3:AJ$32)</f>
        <v>0</v>
      </c>
      <c r="AK36" s="1">
        <f>STDEV(AK$3:AK$32)</f>
        <v>0</v>
      </c>
      <c r="AL36" s="1">
        <f>STDEV(AL$3:AL$32)</f>
        <v>0</v>
      </c>
      <c r="AM36" s="1">
        <f>STDEV(AM$3:AM$32)</f>
        <v>0</v>
      </c>
      <c r="AN36" s="1">
        <f>STDEV(AN$3:AN$32)</f>
        <v>0</v>
      </c>
      <c r="AO36" s="1">
        <f>STDEV(AO$3:AO$32)</f>
        <v>0</v>
      </c>
      <c r="AP36" s="1">
        <f>STDEV(AP$3:AP$32)</f>
        <v>0</v>
      </c>
      <c r="AQ36" s="1">
        <f>STDEV(AQ$3:AQ$32)</f>
        <v>0</v>
      </c>
      <c r="AR36" s="1">
        <f>STDEV(AR$3:AR$32)</f>
        <v>0</v>
      </c>
      <c r="AS36" s="1">
        <f>STDEV(AS$3:AS$32)</f>
        <v>0</v>
      </c>
      <c r="AT36" s="1">
        <f>STDEV(AT$3:AT$32)</f>
        <v>0</v>
      </c>
      <c r="AU36" s="1">
        <f>STDEV(AU$3:AU$32)</f>
        <v>0</v>
      </c>
      <c r="AV36" s="1">
        <f>STDEV(AV$3:AV$32)</f>
        <v>0</v>
      </c>
      <c r="AW36" s="1">
        <f>STDEV(AW$3:AW$32)</f>
        <v>0</v>
      </c>
      <c r="AX36" s="1">
        <f>STDEV(AX$3:AX$32)</f>
        <v>0</v>
      </c>
      <c r="AY36" s="1">
        <f>STDEV(AY$3:AY$32)</f>
        <v>0</v>
      </c>
      <c r="AZ36" s="1">
        <f>STDEV(AZ$3:AZ$32)</f>
        <v>0</v>
      </c>
      <c r="BA36" s="1">
        <f>STDEV(BA$3:BA$32)</f>
        <v>0</v>
      </c>
      <c r="BB36" s="1">
        <f>STDEV(BB$3:BB$32)</f>
        <v>0</v>
      </c>
      <c r="BC36" s="1">
        <f>STDEV(BC$3:BC$32)</f>
        <v>0</v>
      </c>
      <c r="BD36" s="1">
        <f>STDEV(BD$3:BD$32)</f>
        <v>0</v>
      </c>
      <c r="BE36" s="1">
        <f>STDEV(BE$3:BE$32)</f>
        <v>0</v>
      </c>
      <c r="BF36" s="1">
        <f>STDEV(BF$3:BF$32)</f>
        <v>0</v>
      </c>
      <c r="BG36" s="1">
        <f>STDEV(BG$3:BG$32)</f>
        <v>0</v>
      </c>
      <c r="BH36" s="1">
        <f>STDEV(BH$3:BH$32)</f>
        <v>0</v>
      </c>
      <c r="BI36" s="1">
        <f>STDEV(BI$3:BI$32)</f>
        <v>0</v>
      </c>
      <c r="BJ36" s="1">
        <f>STDEV(BJ$3:BJ$32)</f>
        <v>0</v>
      </c>
      <c r="BK36" s="1">
        <f>STDEV(BK$3:BK$32)</f>
        <v>0</v>
      </c>
    </row>
    <row r="37" spans="1:63">
      <c r="A37" s="1" t="s">
        <v>13</v>
      </c>
      <c r="B37" s="1">
        <f>SUMPRODUCT(--(B$3:B$32-$S$3:$S$32)^2)^0.5</f>
        <v>0</v>
      </c>
      <c r="C37" s="1">
        <f>SUMPRODUCT(--(C$3:C$32-$T$3:$T$32)^2)^0.5</f>
        <v>0</v>
      </c>
      <c r="D37" s="1">
        <f>SUMPRODUCT(--(D$3:D$32-$U$3:$U$32)^2)^0.5</f>
        <v>0</v>
      </c>
      <c r="E37" s="1">
        <f>SUMPRODUCT(--(E$3:E$32-$V$3:$V$32)^2)^0.5</f>
        <v>0</v>
      </c>
      <c r="F37" s="1">
        <f>SUMPRODUCT(--(F$3:F$32-$W$3:$W$32)^2)^0.5</f>
        <v>0</v>
      </c>
      <c r="G37" s="1">
        <f>SUMPRODUCT(--(G$3:G$32-$X$3:$X$32)^2)^0.5</f>
        <v>0</v>
      </c>
      <c r="H37" s="1">
        <f>SUMPRODUCT(--(H$3:H$32-$Y$3:$Y$32)^2)^0.5</f>
        <v>0</v>
      </c>
      <c r="I37" s="1">
        <f>SUMPRODUCT(--(I$3:I$32-$Z$3:$Z$32)^2)^0.5</f>
        <v>0</v>
      </c>
      <c r="J37" s="1">
        <f>SUMPRODUCT(--(J$3:J$32-$AA$3:$AA$32)^2)^0.5</f>
        <v>0</v>
      </c>
      <c r="K37" s="1">
        <f>SUMPRODUCT(--(K$3:K$32-$AB$3:$AB$32)^2)^0.5</f>
        <v>0</v>
      </c>
      <c r="L37" s="1"/>
      <c r="M37" s="1">
        <f>SUMPRODUCT(--(M$3:M$32-$AC$3:$AC$32)^2)^0.5</f>
        <v>0</v>
      </c>
      <c r="N37" s="1">
        <f>SUMPRODUCT(--(N$3:N$32-$AD$3:$AD$32)^2)^0.5</f>
        <v>0</v>
      </c>
      <c r="O37" s="1"/>
      <c r="P37" s="1">
        <f>SUMPRODUCT(--(P$3:P$32-$AE$3:$AE$32)^2)^0.5</f>
        <v>0</v>
      </c>
      <c r="Q37" s="1">
        <f>SUMPRODUCT(--(Q$3:Q$32-$AF$3:$AF$32)^2)^0.5</f>
        <v>0</v>
      </c>
      <c r="R37" s="1">
        <f>SUMPRODUCT(--(R$3:R$32-$AG$3:$AG$32)^2)^0.5</f>
        <v>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spans="1:63">
      <c r="A38" s="1" t="s">
        <v>14</v>
      </c>
      <c r="B38" s="1">
        <f>SUMPRODUCT(NOT(ISBLANK(B$3:B$32))*(B$3:B$32=$S$3:$S$32))</f>
        <v>0</v>
      </c>
      <c r="C38" s="1">
        <f>SUMPRODUCT(NOT(ISBLANK(C$3:C$32))*(C$3:C$32=$T$3:$T$32))</f>
        <v>0</v>
      </c>
      <c r="D38" s="1">
        <f>SUMPRODUCT(NOT(ISBLANK(D$3:D$32))*(D$3:D$32=$U$3:$U$32))</f>
        <v>0</v>
      </c>
      <c r="E38" s="1">
        <f>SUMPRODUCT(NOT(ISBLANK(E$3:E$32))*(E$3:E$32=$V$3:$V$32))</f>
        <v>0</v>
      </c>
      <c r="F38" s="1">
        <f>SUMPRODUCT(NOT(ISBLANK(F$3:F$32))*(F$3:F$32=$W$3:$W$32))</f>
        <v>0</v>
      </c>
      <c r="G38" s="1">
        <f>SUMPRODUCT(NOT(ISBLANK(G$3:G$32))*(G$3:G$32=$X$3:$X$32))</f>
        <v>0</v>
      </c>
      <c r="H38" s="1">
        <f>SUMPRODUCT(NOT(ISBLANK(H$3:H$32))*(H$3:H$32=$Y$3:$Y$32))</f>
        <v>0</v>
      </c>
      <c r="I38" s="1">
        <f>SUMPRODUCT(NOT(ISBLANK(I$3:I$32))*(I$3:I$32=$Z$3:$Z$32))</f>
        <v>0</v>
      </c>
      <c r="J38" s="1">
        <f>SUMPRODUCT(NOT(ISBLANK(J$3:J$32))*(J$3:J$32=$AA$3:$AA$32))</f>
        <v>0</v>
      </c>
      <c r="K38" s="1">
        <f>SUMPRODUCT(NOT(ISBLANK(K$3:K$32))*(K$3:K$32=$AB$3:$AB$32))</f>
        <v>0</v>
      </c>
      <c r="L38" s="1"/>
      <c r="M38" s="1">
        <f>SUMPRODUCT(NOT(ISBLANK(M$3:M$32))*(M$3:M$32=$AC$3:$AC$32))</f>
        <v>0</v>
      </c>
      <c r="N38" s="1">
        <f>SUMPRODUCT(NOT(ISBLANK(N$3:N$32))*(N$3:N$32=$AD$3:$AD$32))</f>
        <v>0</v>
      </c>
      <c r="O38" s="1"/>
      <c r="P38" s="1">
        <f>SUMPRODUCT(NOT(ISBLANK(P$3:P$32))*(P$3:P$32=$AE$3:$AE$32))</f>
        <v>0</v>
      </c>
      <c r="Q38" s="1">
        <f>SUMPRODUCT(NOT(ISBLANK(Q$3:Q$32))*(Q$3:Q$32=$AF$3:$AF$32))</f>
        <v>0</v>
      </c>
      <c r="R38" s="1">
        <f>SUMPRODUCT(NOT(ISBLANK(R$3:R$32))*(R$3:R$32=$AG$3:$AG$32))</f>
        <v>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spans="1:63">
      <c r="A39" s="1" t="s">
        <v>15</v>
      </c>
      <c r="B39" s="1">
        <f>SUMPRODUCT(NOT(ISBLANK(B$3:B$32))*(B$3:B$32&lt;$AH$3:$AH$32))</f>
        <v>0</v>
      </c>
      <c r="C39" s="1">
        <f>SUMPRODUCT(NOT(ISBLANK(C$3:C$32))*(C$3:C$32&lt;$AI$3:$AI$32))</f>
        <v>0</v>
      </c>
      <c r="D39" s="1">
        <f>SUMPRODUCT(NOT(ISBLANK(D$3:D$32))*(D$3:D$32&lt;$AJ$3:$AJ$32))</f>
        <v>0</v>
      </c>
      <c r="E39" s="1">
        <f>SUMPRODUCT(NOT(ISBLANK(E$3:E$32))*(E$3:E$32&lt;$AK$3:$AK$32))</f>
        <v>0</v>
      </c>
      <c r="F39" s="1">
        <f>SUMPRODUCT(NOT(ISBLANK(F$3:F$32))*(F$3:F$32&lt;$AL$3:$AL$32))</f>
        <v>0</v>
      </c>
      <c r="G39" s="1">
        <f>SUMPRODUCT(NOT(ISBLANK(G$3:G$32))*(G$3:G$32&lt;$AM$3:$AM$32))</f>
        <v>0</v>
      </c>
      <c r="H39" s="1">
        <f>SUMPRODUCT(NOT(ISBLANK(H$3:H$32))*(H$3:H$32&lt;$AN$3:$AN$32))</f>
        <v>0</v>
      </c>
      <c r="I39" s="1">
        <f>SUMPRODUCT(NOT(ISBLANK(I$3:I$32))*(I$3:I$32&lt;$AO$3:$AO$32))</f>
        <v>0</v>
      </c>
      <c r="J39" s="1">
        <f>SUMPRODUCT(NOT(ISBLANK(J$3:J$32))*(J$3:J$32&lt;$AP$3:$AP$32))</f>
        <v>0</v>
      </c>
      <c r="K39" s="1">
        <f>SUMPRODUCT(NOT(ISBLANK(K$3:K$32))*(K$3:K$32&lt;$AQ$3:$AQ$32))</f>
        <v>0</v>
      </c>
      <c r="L39" s="1"/>
      <c r="M39" s="1">
        <f>SUMPRODUCT(NOT(ISBLANK(M$3:M$32))*(M$3:M$32&lt;$AR$3:$AR$32))</f>
        <v>0</v>
      </c>
      <c r="N39" s="1">
        <f>SUMPRODUCT(NOT(ISBLANK(N$3:N$32))*(N$3:N$32&lt;$AS$3:$AS$32))</f>
        <v>0</v>
      </c>
      <c r="O39" s="1"/>
      <c r="P39" s="1">
        <f>SUMPRODUCT(NOT(ISBLANK(P$3:P$32))*(P$3:P$32&lt;$AT$3:$AT$32))</f>
        <v>0</v>
      </c>
      <c r="Q39" s="1">
        <f>SUMPRODUCT(NOT(ISBLANK(Q$3:Q$32))*(Q$3:Q$32&lt;$AU$3:$AU$32))</f>
        <v>0</v>
      </c>
      <c r="R39" s="1">
        <f>SUMPRODUCT(NOT(ISBLANK(R$3:R$32))*(R$3:R$32&lt;$AV$3:$AV$32))</f>
        <v>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1:63">
      <c r="A40" s="1" t="s">
        <v>16</v>
      </c>
      <c r="B40" s="1">
        <f>SUMPRODUCT((NOT(ISBLANK(B$3:B$32))*(B$3:B$32&gt;$AH$3:$AH$32))+ISBLANK(B$3:B$32))</f>
        <v>0</v>
      </c>
      <c r="C40" s="1">
        <f>SUMPRODUCT((NOT(ISBLANK(C$3:C$32))*(C$3:C$32&gt;$AI$3:$AI$32))+ISBLANK(C$3:C$32))</f>
        <v>0</v>
      </c>
      <c r="D40" s="1">
        <f>SUMPRODUCT((NOT(ISBLANK(D$3:D$32))*(D$3:D$32&gt;$AJ$3:$AJ$32))+ISBLANK(D$3:D$32))</f>
        <v>0</v>
      </c>
      <c r="E40" s="1">
        <f>SUMPRODUCT((NOT(ISBLANK(E$3:E$32))*(E$3:E$32&gt;$AK$3:$AK$32))+ISBLANK(E$3:E$32))</f>
        <v>0</v>
      </c>
      <c r="F40" s="1">
        <f>SUMPRODUCT((NOT(ISBLANK(F$3:F$32))*(F$3:F$32&gt;$AL$3:$AL$32))+ISBLANK(F$3:F$32))</f>
        <v>0</v>
      </c>
      <c r="G40" s="1">
        <f>SUMPRODUCT((NOT(ISBLANK(G$3:G$32))*(G$3:G$32&gt;$AM$3:$AM$32))+ISBLANK(G$3:G$32))</f>
        <v>0</v>
      </c>
      <c r="H40" s="1">
        <f>SUMPRODUCT((NOT(ISBLANK(H$3:H$32))*(H$3:H$32&gt;$AN$3:$AN$32))+ISBLANK(H$3:H$32))</f>
        <v>0</v>
      </c>
      <c r="I40" s="1">
        <f>SUMPRODUCT((NOT(ISBLANK(I$3:I$32))*(I$3:I$32&gt;$AO$3:$AO$32))+ISBLANK(I$3:I$32))</f>
        <v>0</v>
      </c>
      <c r="J40" s="1">
        <f>SUMPRODUCT((NOT(ISBLANK(J$3:J$32))*(J$3:J$32&gt;$AP$3:$AP$32))+ISBLANK(J$3:J$32))</f>
        <v>0</v>
      </c>
      <c r="K40" s="1">
        <f>SUMPRODUCT((NOT(ISBLANK(K$3:K$32))*(K$3:K$32&gt;$AQ$3:$AQ$32))+ISBLANK(K$3:K$32))</f>
        <v>0</v>
      </c>
      <c r="L40" s="1"/>
      <c r="M40" s="1">
        <f>SUMPRODUCT((NOT(ISBLANK(M$3:M$32))*(M$3:M$32&gt;$AR$3:$AR$32))+ISBLANK(M$3:M$32))</f>
        <v>0</v>
      </c>
      <c r="N40" s="1">
        <f>SUMPRODUCT((NOT(ISBLANK(N$3:N$32))*(N$3:N$32&gt;$AS$3:$AS$32))+ISBLANK(N$3:N$32))</f>
        <v>0</v>
      </c>
      <c r="O40" s="1"/>
      <c r="P40" s="1">
        <f>SUMPRODUCT((NOT(ISBLANK(P$3:P$32))*(P$3:P$32&gt;$AT$3:$AT$32))+ISBLANK(P$3:P$32))</f>
        <v>0</v>
      </c>
      <c r="Q40" s="1">
        <f>SUMPRODUCT((NOT(ISBLANK(Q$3:Q$32))*(Q$3:Q$32&gt;$AU$3:$AU$32))+ISBLANK(Q$3:Q$32))</f>
        <v>0</v>
      </c>
      <c r="R40" s="1">
        <f>SUMPRODUCT((NOT(ISBLANK(R$3:R$32))*(R$3:R$32&gt;$AV$3:$AV$32))+ISBLANK(R$3:R$32))</f>
        <v>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1:63">
      <c r="A41" s="1" t="s">
        <v>17</v>
      </c>
      <c r="B41" s="1">
        <f>SUMPRODUCT((NOT(ISBLANK(B$3:B$32))*(B$3:B$32=$AW$3:$AW$32))+ISBLANK(B$3:B$32))</f>
        <v>0</v>
      </c>
      <c r="C41" s="1">
        <f>SUMPRODUCT((NOT(ISBLANK(C$3:C$32))*(C$3:C$32=$AX$3:$AX$32))+ISBLANK(C$3:C$32))</f>
        <v>0</v>
      </c>
      <c r="D41" s="1">
        <f>SUMPRODUCT((NOT(ISBLANK(D$3:D$32))*(D$3:D$32=$AY$3:$AY$32))+ISBLANK(D$3:D$32))</f>
        <v>0</v>
      </c>
      <c r="E41" s="1">
        <f>SUMPRODUCT((NOT(ISBLANK(E$3:E$32))*(E$3:E$32=$AZ$3:$AZ$32))+ISBLANK(E$3:E$32))</f>
        <v>0</v>
      </c>
      <c r="F41" s="1">
        <f>SUMPRODUCT((NOT(ISBLANK(F$3:F$32))*(F$3:F$32=$BA$3:$BA$32))+ISBLANK(F$3:F$32))</f>
        <v>0</v>
      </c>
      <c r="G41" s="1">
        <f>SUMPRODUCT((NOT(ISBLANK(G$3:G$32))*(G$3:G$32=$BB$3:$BB$32))+ISBLANK(G$3:G$32))</f>
        <v>0</v>
      </c>
      <c r="H41" s="1">
        <f>SUMPRODUCT((NOT(ISBLANK(H$3:H$32))*(H$3:H$32=$BC$3:$BC$32))+ISBLANK(H$3:H$32))</f>
        <v>0</v>
      </c>
      <c r="I41" s="1">
        <f>SUMPRODUCT((NOT(ISBLANK(I$3:I$32))*(I$3:I$32=$BD$3:$BD$32))+ISBLANK(I$3:I$32))</f>
        <v>0</v>
      </c>
      <c r="J41" s="1">
        <f>SUMPRODUCT((NOT(ISBLANK(J$3:J$32))*(J$3:J$32=$BE$3:$BE$32))+ISBLANK(J$3:J$32))</f>
        <v>0</v>
      </c>
      <c r="K41" s="1">
        <f>SUMPRODUCT((NOT(ISBLANK(K$3:K$32))*(K$3:K$32=$BF$3:$BF$32))+ISBLANK(K$3:K$32))</f>
        <v>0</v>
      </c>
      <c r="L41" s="1"/>
      <c r="M41" s="1">
        <f>SUMPRODUCT((NOT(ISBLANK(M$3:M$32))*(M$3:M$32=$BG$3:$BG$32))+ISBLANK(M$3:M$32))</f>
        <v>0</v>
      </c>
      <c r="N41" s="1">
        <f>SUMPRODUCT((NOT(ISBLANK(N$3:N$32))*(N$3:N$32=$BH$3:$BH$32))+ISBLANK(N$3:N$32))</f>
        <v>0</v>
      </c>
      <c r="O41" s="1"/>
      <c r="P41" s="1">
        <f>SUMPRODUCT((NOT(ISBLANK(P$3:P$32))*(P$3:P$32=$BI$3:$BI$32))+ISBLANK(P$3:P$32))</f>
        <v>0</v>
      </c>
      <c r="Q41" s="1">
        <f>SUMPRODUCT((NOT(ISBLANK(Q$3:Q$32))*(Q$3:Q$32=$BJ$3:$BJ$32))+ISBLANK(Q$3:Q$32))</f>
        <v>0</v>
      </c>
      <c r="R41" s="1">
        <f>SUMPRODUCT((NOT(ISBLANK(R$3:R$32))*(R$3:R$32=$BK$3:$BK$32))+ISBLANK(R$3:R$32))</f>
        <v>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45</v>
      </c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42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43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44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43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33</v>
      </c>
      <c r="N2" s="1" t="s">
        <v>34</v>
      </c>
      <c r="O2" s="1" t="s">
        <v>35</v>
      </c>
      <c r="P2" s="1" t="s">
        <v>39</v>
      </c>
      <c r="Q2" s="1" t="s">
        <v>40</v>
      </c>
      <c r="R2" s="1" t="s">
        <v>41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33</v>
      </c>
      <c r="AD2" s="1" t="s">
        <v>34</v>
      </c>
      <c r="AE2" s="1" t="s">
        <v>39</v>
      </c>
      <c r="AF2" s="1" t="s">
        <v>40</v>
      </c>
      <c r="AG2" s="1" t="s">
        <v>41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  <c r="AO2" s="1" t="s">
        <v>26</v>
      </c>
      <c r="AP2" s="1" t="s">
        <v>27</v>
      </c>
      <c r="AQ2" s="1" t="s">
        <v>28</v>
      </c>
      <c r="AR2" s="1" t="s">
        <v>33</v>
      </c>
      <c r="AS2" s="1" t="s">
        <v>34</v>
      </c>
      <c r="AT2" s="1" t="s">
        <v>39</v>
      </c>
      <c r="AU2" s="1" t="s">
        <v>40</v>
      </c>
      <c r="AV2" s="1" t="s">
        <v>41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B2" s="1" t="s">
        <v>24</v>
      </c>
      <c r="BC2" s="1" t="s">
        <v>25</v>
      </c>
      <c r="BD2" s="1" t="s">
        <v>26</v>
      </c>
      <c r="BE2" s="1" t="s">
        <v>27</v>
      </c>
      <c r="BF2" s="1" t="s">
        <v>28</v>
      </c>
      <c r="BG2" s="1" t="s">
        <v>33</v>
      </c>
      <c r="BH2" s="1" t="s">
        <v>34</v>
      </c>
      <c r="BI2" s="1" t="s">
        <v>39</v>
      </c>
      <c r="BJ2" s="1" t="s">
        <v>40</v>
      </c>
      <c r="BK2" s="1" t="s">
        <v>41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>
      <c r="A34" s="1" t="s">
        <v>10</v>
      </c>
      <c r="B34" s="1">
        <f>SUM(B$3:B$32)</f>
        <v>0</v>
      </c>
      <c r="C34" s="1">
        <f>SUM(C$3:C$32)</f>
        <v>0</v>
      </c>
      <c r="D34" s="1">
        <f>SUM(D$3:D$32)</f>
        <v>0</v>
      </c>
      <c r="E34" s="1">
        <f>SUM(E$3:E$32)</f>
        <v>0</v>
      </c>
      <c r="F34" s="1">
        <f>SUM(F$3:F$32)</f>
        <v>0</v>
      </c>
      <c r="G34" s="1">
        <f>SUM(G$3:G$32)</f>
        <v>0</v>
      </c>
      <c r="H34" s="1">
        <f>SUM(H$3:H$32)</f>
        <v>0</v>
      </c>
      <c r="I34" s="1">
        <f>SUM(I$3:I$32)</f>
        <v>0</v>
      </c>
      <c r="J34" s="1">
        <f>SUM(J$3:J$32)</f>
        <v>0</v>
      </c>
      <c r="K34" s="1">
        <f>SUM(K$3:K$32)</f>
        <v>0</v>
      </c>
      <c r="L34" s="1"/>
      <c r="M34" s="1">
        <f>SUM(M$3:M$32)</f>
        <v>0</v>
      </c>
      <c r="N34" s="1">
        <f>SUM(N$3:N$32)</f>
        <v>0</v>
      </c>
      <c r="O34" s="1"/>
      <c r="P34" s="1">
        <f>SUM(P$3:P$32)</f>
        <v>0</v>
      </c>
      <c r="Q34" s="1">
        <f>SUM(Q$3:Q$32)</f>
        <v>0</v>
      </c>
      <c r="R34" s="1">
        <f>SUM(R$3:R$32)</f>
        <v>0</v>
      </c>
      <c r="S34" s="1">
        <f>SUM(S$3:S$32)</f>
        <v>0</v>
      </c>
      <c r="T34" s="1">
        <f>SUM(T$3:T$32)</f>
        <v>0</v>
      </c>
      <c r="U34" s="1">
        <f>SUM(U$3:U$32)</f>
        <v>0</v>
      </c>
      <c r="V34" s="1">
        <f>SUM(V$3:V$32)</f>
        <v>0</v>
      </c>
      <c r="W34" s="1">
        <f>SUM(W$3:W$32)</f>
        <v>0</v>
      </c>
      <c r="X34" s="1">
        <f>SUM(X$3:X$32)</f>
        <v>0</v>
      </c>
      <c r="Y34" s="1">
        <f>SUM(Y$3:Y$32)</f>
        <v>0</v>
      </c>
      <c r="Z34" s="1">
        <f>SUM(Z$3:Z$32)</f>
        <v>0</v>
      </c>
      <c r="AA34" s="1">
        <f>SUM(AA$3:AA$32)</f>
        <v>0</v>
      </c>
      <c r="AB34" s="1">
        <f>SUM(AB$3:AB$32)</f>
        <v>0</v>
      </c>
      <c r="AC34" s="1">
        <f>SUM(AC$3:AC$32)</f>
        <v>0</v>
      </c>
      <c r="AD34" s="1">
        <f>SUM(AD$3:AD$32)</f>
        <v>0</v>
      </c>
      <c r="AE34" s="1">
        <f>SUM(AE$3:AE$32)</f>
        <v>0</v>
      </c>
      <c r="AF34" s="1">
        <f>SUM(AF$3:AF$32)</f>
        <v>0</v>
      </c>
      <c r="AG34" s="1">
        <f>SUM(AG$3:AG$32)</f>
        <v>0</v>
      </c>
      <c r="AH34" s="1">
        <f>SUM(AH$3:AH$32)</f>
        <v>0</v>
      </c>
      <c r="AI34" s="1">
        <f>SUM(AI$3:AI$32)</f>
        <v>0</v>
      </c>
      <c r="AJ34" s="1">
        <f>SUM(AJ$3:AJ$32)</f>
        <v>0</v>
      </c>
      <c r="AK34" s="1">
        <f>SUM(AK$3:AK$32)</f>
        <v>0</v>
      </c>
      <c r="AL34" s="1">
        <f>SUM(AL$3:AL$32)</f>
        <v>0</v>
      </c>
      <c r="AM34" s="1">
        <f>SUM(AM$3:AM$32)</f>
        <v>0</v>
      </c>
      <c r="AN34" s="1">
        <f>SUM(AN$3:AN$32)</f>
        <v>0</v>
      </c>
      <c r="AO34" s="1">
        <f>SUM(AO$3:AO$32)</f>
        <v>0</v>
      </c>
      <c r="AP34" s="1">
        <f>SUM(AP$3:AP$32)</f>
        <v>0</v>
      </c>
      <c r="AQ34" s="1">
        <f>SUM(AQ$3:AQ$32)</f>
        <v>0</v>
      </c>
      <c r="AR34" s="1">
        <f>SUM(AR$3:AR$32)</f>
        <v>0</v>
      </c>
      <c r="AS34" s="1">
        <f>SUM(AS$3:AS$32)</f>
        <v>0</v>
      </c>
      <c r="AT34" s="1">
        <f>SUM(AT$3:AT$32)</f>
        <v>0</v>
      </c>
      <c r="AU34" s="1">
        <f>SUM(AU$3:AU$32)</f>
        <v>0</v>
      </c>
      <c r="AV34" s="1">
        <f>SUM(AV$3:AV$32)</f>
        <v>0</v>
      </c>
      <c r="AW34" s="1">
        <f>SUM(AW$3:AW$32)</f>
        <v>0</v>
      </c>
      <c r="AX34" s="1">
        <f>SUM(AX$3:AX$32)</f>
        <v>0</v>
      </c>
      <c r="AY34" s="1">
        <f>SUM(AY$3:AY$32)</f>
        <v>0</v>
      </c>
      <c r="AZ34" s="1">
        <f>SUM(AZ$3:AZ$32)</f>
        <v>0</v>
      </c>
      <c r="BA34" s="1">
        <f>SUM(BA$3:BA$32)</f>
        <v>0</v>
      </c>
      <c r="BB34" s="1">
        <f>SUM(BB$3:BB$32)</f>
        <v>0</v>
      </c>
      <c r="BC34" s="1">
        <f>SUM(BC$3:BC$32)</f>
        <v>0</v>
      </c>
      <c r="BD34" s="1">
        <f>SUM(BD$3:BD$32)</f>
        <v>0</v>
      </c>
      <c r="BE34" s="1">
        <f>SUM(BE$3:BE$32)</f>
        <v>0</v>
      </c>
      <c r="BF34" s="1">
        <f>SUM(BF$3:BF$32)</f>
        <v>0</v>
      </c>
      <c r="BG34" s="1">
        <f>SUM(BG$3:BG$32)</f>
        <v>0</v>
      </c>
      <c r="BH34" s="1">
        <f>SUM(BH$3:BH$32)</f>
        <v>0</v>
      </c>
      <c r="BI34" s="1">
        <f>SUM(BI$3:BI$32)</f>
        <v>0</v>
      </c>
      <c r="BJ34" s="1">
        <f>SUM(BJ$3:BJ$32)</f>
        <v>0</v>
      </c>
      <c r="BK34" s="1">
        <f>SUM(BK$3:BK$32)</f>
        <v>0</v>
      </c>
    </row>
    <row r="35" spans="1:63">
      <c r="A35" s="1" t="s">
        <v>11</v>
      </c>
      <c r="B35" s="1">
        <f>AVERAGE(B$3:B$32)</f>
        <v>0</v>
      </c>
      <c r="C35" s="1">
        <f>AVERAGE(C$3:C$32)</f>
        <v>0</v>
      </c>
      <c r="D35" s="1">
        <f>AVERAGE(D$3:D$32)</f>
        <v>0</v>
      </c>
      <c r="E35" s="1">
        <f>AVERAGE(E$3:E$32)</f>
        <v>0</v>
      </c>
      <c r="F35" s="1">
        <f>AVERAGE(F$3:F$32)</f>
        <v>0</v>
      </c>
      <c r="G35" s="1">
        <f>AVERAGE(G$3:G$32)</f>
        <v>0</v>
      </c>
      <c r="H35" s="1">
        <f>AVERAGE(H$3:H$32)</f>
        <v>0</v>
      </c>
      <c r="I35" s="1">
        <f>AVERAGE(I$3:I$32)</f>
        <v>0</v>
      </c>
      <c r="J35" s="1">
        <f>AVERAGE(J$3:J$32)</f>
        <v>0</v>
      </c>
      <c r="K35" s="1">
        <f>AVERAGE(K$3:K$32)</f>
        <v>0</v>
      </c>
      <c r="L35" s="1"/>
      <c r="M35" s="1">
        <f>AVERAGE(M$3:M$32)</f>
        <v>0</v>
      </c>
      <c r="N35" s="1">
        <f>AVERAGE(N$3:N$32)</f>
        <v>0</v>
      </c>
      <c r="O35" s="1"/>
      <c r="P35" s="1">
        <f>AVERAGE(P$3:P$32)</f>
        <v>0</v>
      </c>
      <c r="Q35" s="1">
        <f>AVERAGE(Q$3:Q$32)</f>
        <v>0</v>
      </c>
      <c r="R35" s="1">
        <f>AVERAGE(R$3:R$32)</f>
        <v>0</v>
      </c>
      <c r="S35" s="1">
        <f>AVERAGE(S$3:S$32)</f>
        <v>0</v>
      </c>
      <c r="T35" s="1">
        <f>AVERAGE(T$3:T$32)</f>
        <v>0</v>
      </c>
      <c r="U35" s="1">
        <f>AVERAGE(U$3:U$32)</f>
        <v>0</v>
      </c>
      <c r="V35" s="1">
        <f>AVERAGE(V$3:V$32)</f>
        <v>0</v>
      </c>
      <c r="W35" s="1">
        <f>AVERAGE(W$3:W$32)</f>
        <v>0</v>
      </c>
      <c r="X35" s="1">
        <f>AVERAGE(X$3:X$32)</f>
        <v>0</v>
      </c>
      <c r="Y35" s="1">
        <f>AVERAGE(Y$3:Y$32)</f>
        <v>0</v>
      </c>
      <c r="Z35" s="1">
        <f>AVERAGE(Z$3:Z$32)</f>
        <v>0</v>
      </c>
      <c r="AA35" s="1">
        <f>AVERAGE(AA$3:AA$32)</f>
        <v>0</v>
      </c>
      <c r="AB35" s="1">
        <f>AVERAGE(AB$3:AB$32)</f>
        <v>0</v>
      </c>
      <c r="AC35" s="1">
        <f>AVERAGE(AC$3:AC$32)</f>
        <v>0</v>
      </c>
      <c r="AD35" s="1">
        <f>AVERAGE(AD$3:AD$32)</f>
        <v>0</v>
      </c>
      <c r="AE35" s="1">
        <f>AVERAGE(AE$3:AE$32)</f>
        <v>0</v>
      </c>
      <c r="AF35" s="1">
        <f>AVERAGE(AF$3:AF$32)</f>
        <v>0</v>
      </c>
      <c r="AG35" s="1">
        <f>AVERAGE(AG$3:AG$32)</f>
        <v>0</v>
      </c>
      <c r="AH35" s="1">
        <f>AVERAGE(AH$3:AH$32)</f>
        <v>0</v>
      </c>
      <c r="AI35" s="1">
        <f>AVERAGE(AI$3:AI$32)</f>
        <v>0</v>
      </c>
      <c r="AJ35" s="1">
        <f>AVERAGE(AJ$3:AJ$32)</f>
        <v>0</v>
      </c>
      <c r="AK35" s="1">
        <f>AVERAGE(AK$3:AK$32)</f>
        <v>0</v>
      </c>
      <c r="AL35" s="1">
        <f>AVERAGE(AL$3:AL$32)</f>
        <v>0</v>
      </c>
      <c r="AM35" s="1">
        <f>AVERAGE(AM$3:AM$32)</f>
        <v>0</v>
      </c>
      <c r="AN35" s="1">
        <f>AVERAGE(AN$3:AN$32)</f>
        <v>0</v>
      </c>
      <c r="AO35" s="1">
        <f>AVERAGE(AO$3:AO$32)</f>
        <v>0</v>
      </c>
      <c r="AP35" s="1">
        <f>AVERAGE(AP$3:AP$32)</f>
        <v>0</v>
      </c>
      <c r="AQ35" s="1">
        <f>AVERAGE(AQ$3:AQ$32)</f>
        <v>0</v>
      </c>
      <c r="AR35" s="1">
        <f>AVERAGE(AR$3:AR$32)</f>
        <v>0</v>
      </c>
      <c r="AS35" s="1">
        <f>AVERAGE(AS$3:AS$32)</f>
        <v>0</v>
      </c>
      <c r="AT35" s="1">
        <f>AVERAGE(AT$3:AT$32)</f>
        <v>0</v>
      </c>
      <c r="AU35" s="1">
        <f>AVERAGE(AU$3:AU$32)</f>
        <v>0</v>
      </c>
      <c r="AV35" s="1">
        <f>AVERAGE(AV$3:AV$32)</f>
        <v>0</v>
      </c>
      <c r="AW35" s="1">
        <f>AVERAGE(AW$3:AW$32)</f>
        <v>0</v>
      </c>
      <c r="AX35" s="1">
        <f>AVERAGE(AX$3:AX$32)</f>
        <v>0</v>
      </c>
      <c r="AY35" s="1">
        <f>AVERAGE(AY$3:AY$32)</f>
        <v>0</v>
      </c>
      <c r="AZ35" s="1">
        <f>AVERAGE(AZ$3:AZ$32)</f>
        <v>0</v>
      </c>
      <c r="BA35" s="1">
        <f>AVERAGE(BA$3:BA$32)</f>
        <v>0</v>
      </c>
      <c r="BB35" s="1">
        <f>AVERAGE(BB$3:BB$32)</f>
        <v>0</v>
      </c>
      <c r="BC35" s="1">
        <f>AVERAGE(BC$3:BC$32)</f>
        <v>0</v>
      </c>
      <c r="BD35" s="1">
        <f>AVERAGE(BD$3:BD$32)</f>
        <v>0</v>
      </c>
      <c r="BE35" s="1">
        <f>AVERAGE(BE$3:BE$32)</f>
        <v>0</v>
      </c>
      <c r="BF35" s="1">
        <f>AVERAGE(BF$3:BF$32)</f>
        <v>0</v>
      </c>
      <c r="BG35" s="1">
        <f>AVERAGE(BG$3:BG$32)</f>
        <v>0</v>
      </c>
      <c r="BH35" s="1">
        <f>AVERAGE(BH$3:BH$32)</f>
        <v>0</v>
      </c>
      <c r="BI35" s="1">
        <f>AVERAGE(BI$3:BI$32)</f>
        <v>0</v>
      </c>
      <c r="BJ35" s="1">
        <f>AVERAGE(BJ$3:BJ$32)</f>
        <v>0</v>
      </c>
      <c r="BK35" s="1">
        <f>AVERAGE(BK$3:BK$32)</f>
        <v>0</v>
      </c>
    </row>
    <row r="36" spans="1:63">
      <c r="A36" s="1" t="s">
        <v>12</v>
      </c>
      <c r="B36" s="1">
        <f>STDEV(B$3:B$32)</f>
        <v>0</v>
      </c>
      <c r="C36" s="1">
        <f>STDEV(C$3:C$32)</f>
        <v>0</v>
      </c>
      <c r="D36" s="1">
        <f>STDEV(D$3:D$32)</f>
        <v>0</v>
      </c>
      <c r="E36" s="1">
        <f>STDEV(E$3:E$32)</f>
        <v>0</v>
      </c>
      <c r="F36" s="1">
        <f>STDEV(F$3:F$32)</f>
        <v>0</v>
      </c>
      <c r="G36" s="1">
        <f>STDEV(G$3:G$32)</f>
        <v>0</v>
      </c>
      <c r="H36" s="1">
        <f>STDEV(H$3:H$32)</f>
        <v>0</v>
      </c>
      <c r="I36" s="1">
        <f>STDEV(I$3:I$32)</f>
        <v>0</v>
      </c>
      <c r="J36" s="1">
        <f>STDEV(J$3:J$32)</f>
        <v>0</v>
      </c>
      <c r="K36" s="1">
        <f>STDEV(K$3:K$32)</f>
        <v>0</v>
      </c>
      <c r="L36" s="1"/>
      <c r="M36" s="1">
        <f>STDEV(M$3:M$32)</f>
        <v>0</v>
      </c>
      <c r="N36" s="1">
        <f>STDEV(N$3:N$32)</f>
        <v>0</v>
      </c>
      <c r="O36" s="1"/>
      <c r="P36" s="1">
        <f>STDEV(P$3:P$32)</f>
        <v>0</v>
      </c>
      <c r="Q36" s="1">
        <f>STDEV(Q$3:Q$32)</f>
        <v>0</v>
      </c>
      <c r="R36" s="1">
        <f>STDEV(R$3:R$32)</f>
        <v>0</v>
      </c>
      <c r="S36" s="1">
        <f>STDEV(S$3:S$32)</f>
        <v>0</v>
      </c>
      <c r="T36" s="1">
        <f>STDEV(T$3:T$32)</f>
        <v>0</v>
      </c>
      <c r="U36" s="1">
        <f>STDEV(U$3:U$32)</f>
        <v>0</v>
      </c>
      <c r="V36" s="1">
        <f>STDEV(V$3:V$32)</f>
        <v>0</v>
      </c>
      <c r="W36" s="1">
        <f>STDEV(W$3:W$32)</f>
        <v>0</v>
      </c>
      <c r="X36" s="1">
        <f>STDEV(X$3:X$32)</f>
        <v>0</v>
      </c>
      <c r="Y36" s="1">
        <f>STDEV(Y$3:Y$32)</f>
        <v>0</v>
      </c>
      <c r="Z36" s="1">
        <f>STDEV(Z$3:Z$32)</f>
        <v>0</v>
      </c>
      <c r="AA36" s="1">
        <f>STDEV(AA$3:AA$32)</f>
        <v>0</v>
      </c>
      <c r="AB36" s="1">
        <f>STDEV(AB$3:AB$32)</f>
        <v>0</v>
      </c>
      <c r="AC36" s="1">
        <f>STDEV(AC$3:AC$32)</f>
        <v>0</v>
      </c>
      <c r="AD36" s="1">
        <f>STDEV(AD$3:AD$32)</f>
        <v>0</v>
      </c>
      <c r="AE36" s="1">
        <f>STDEV(AE$3:AE$32)</f>
        <v>0</v>
      </c>
      <c r="AF36" s="1">
        <f>STDEV(AF$3:AF$32)</f>
        <v>0</v>
      </c>
      <c r="AG36" s="1">
        <f>STDEV(AG$3:AG$32)</f>
        <v>0</v>
      </c>
      <c r="AH36" s="1">
        <f>STDEV(AH$3:AH$32)</f>
        <v>0</v>
      </c>
      <c r="AI36" s="1">
        <f>STDEV(AI$3:AI$32)</f>
        <v>0</v>
      </c>
      <c r="AJ36" s="1">
        <f>STDEV(AJ$3:AJ$32)</f>
        <v>0</v>
      </c>
      <c r="AK36" s="1">
        <f>STDEV(AK$3:AK$32)</f>
        <v>0</v>
      </c>
      <c r="AL36" s="1">
        <f>STDEV(AL$3:AL$32)</f>
        <v>0</v>
      </c>
      <c r="AM36" s="1">
        <f>STDEV(AM$3:AM$32)</f>
        <v>0</v>
      </c>
      <c r="AN36" s="1">
        <f>STDEV(AN$3:AN$32)</f>
        <v>0</v>
      </c>
      <c r="AO36" s="1">
        <f>STDEV(AO$3:AO$32)</f>
        <v>0</v>
      </c>
      <c r="AP36" s="1">
        <f>STDEV(AP$3:AP$32)</f>
        <v>0</v>
      </c>
      <c r="AQ36" s="1">
        <f>STDEV(AQ$3:AQ$32)</f>
        <v>0</v>
      </c>
      <c r="AR36" s="1">
        <f>STDEV(AR$3:AR$32)</f>
        <v>0</v>
      </c>
      <c r="AS36" s="1">
        <f>STDEV(AS$3:AS$32)</f>
        <v>0</v>
      </c>
      <c r="AT36" s="1">
        <f>STDEV(AT$3:AT$32)</f>
        <v>0</v>
      </c>
      <c r="AU36" s="1">
        <f>STDEV(AU$3:AU$32)</f>
        <v>0</v>
      </c>
      <c r="AV36" s="1">
        <f>STDEV(AV$3:AV$32)</f>
        <v>0</v>
      </c>
      <c r="AW36" s="1">
        <f>STDEV(AW$3:AW$32)</f>
        <v>0</v>
      </c>
      <c r="AX36" s="1">
        <f>STDEV(AX$3:AX$32)</f>
        <v>0</v>
      </c>
      <c r="AY36" s="1">
        <f>STDEV(AY$3:AY$32)</f>
        <v>0</v>
      </c>
      <c r="AZ36" s="1">
        <f>STDEV(AZ$3:AZ$32)</f>
        <v>0</v>
      </c>
      <c r="BA36" s="1">
        <f>STDEV(BA$3:BA$32)</f>
        <v>0</v>
      </c>
      <c r="BB36" s="1">
        <f>STDEV(BB$3:BB$32)</f>
        <v>0</v>
      </c>
      <c r="BC36" s="1">
        <f>STDEV(BC$3:BC$32)</f>
        <v>0</v>
      </c>
      <c r="BD36" s="1">
        <f>STDEV(BD$3:BD$32)</f>
        <v>0</v>
      </c>
      <c r="BE36" s="1">
        <f>STDEV(BE$3:BE$32)</f>
        <v>0</v>
      </c>
      <c r="BF36" s="1">
        <f>STDEV(BF$3:BF$32)</f>
        <v>0</v>
      </c>
      <c r="BG36" s="1">
        <f>STDEV(BG$3:BG$32)</f>
        <v>0</v>
      </c>
      <c r="BH36" s="1">
        <f>STDEV(BH$3:BH$32)</f>
        <v>0</v>
      </c>
      <c r="BI36" s="1">
        <f>STDEV(BI$3:BI$32)</f>
        <v>0</v>
      </c>
      <c r="BJ36" s="1">
        <f>STDEV(BJ$3:BJ$32)</f>
        <v>0</v>
      </c>
      <c r="BK36" s="1">
        <f>STDEV(BK$3:BK$32)</f>
        <v>0</v>
      </c>
    </row>
    <row r="37" spans="1:63">
      <c r="A37" s="1" t="s">
        <v>13</v>
      </c>
      <c r="B37" s="1">
        <f>SUMPRODUCT(--(B$3:B$32-$S$3:$S$32)^2)^0.5</f>
        <v>0</v>
      </c>
      <c r="C37" s="1">
        <f>SUMPRODUCT(--(C$3:C$32-$T$3:$T$32)^2)^0.5</f>
        <v>0</v>
      </c>
      <c r="D37" s="1">
        <f>SUMPRODUCT(--(D$3:D$32-$U$3:$U$32)^2)^0.5</f>
        <v>0</v>
      </c>
      <c r="E37" s="1">
        <f>SUMPRODUCT(--(E$3:E$32-$V$3:$V$32)^2)^0.5</f>
        <v>0</v>
      </c>
      <c r="F37" s="1">
        <f>SUMPRODUCT(--(F$3:F$32-$W$3:$W$32)^2)^0.5</f>
        <v>0</v>
      </c>
      <c r="G37" s="1">
        <f>SUMPRODUCT(--(G$3:G$32-$X$3:$X$32)^2)^0.5</f>
        <v>0</v>
      </c>
      <c r="H37" s="1">
        <f>SUMPRODUCT(--(H$3:H$32-$Y$3:$Y$32)^2)^0.5</f>
        <v>0</v>
      </c>
      <c r="I37" s="1">
        <f>SUMPRODUCT(--(I$3:I$32-$Z$3:$Z$32)^2)^0.5</f>
        <v>0</v>
      </c>
      <c r="J37" s="1">
        <f>SUMPRODUCT(--(J$3:J$32-$AA$3:$AA$32)^2)^0.5</f>
        <v>0</v>
      </c>
      <c r="K37" s="1">
        <f>SUMPRODUCT(--(K$3:K$32-$AB$3:$AB$32)^2)^0.5</f>
        <v>0</v>
      </c>
      <c r="L37" s="1"/>
      <c r="M37" s="1">
        <f>SUMPRODUCT(--(M$3:M$32-$AC$3:$AC$32)^2)^0.5</f>
        <v>0</v>
      </c>
      <c r="N37" s="1">
        <f>SUMPRODUCT(--(N$3:N$32-$AD$3:$AD$32)^2)^0.5</f>
        <v>0</v>
      </c>
      <c r="O37" s="1"/>
      <c r="P37" s="1">
        <f>SUMPRODUCT(--(P$3:P$32-$AE$3:$AE$32)^2)^0.5</f>
        <v>0</v>
      </c>
      <c r="Q37" s="1">
        <f>SUMPRODUCT(--(Q$3:Q$32-$AF$3:$AF$32)^2)^0.5</f>
        <v>0</v>
      </c>
      <c r="R37" s="1">
        <f>SUMPRODUCT(--(R$3:R$32-$AG$3:$AG$32)^2)^0.5</f>
        <v>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spans="1:63">
      <c r="A38" s="1" t="s">
        <v>14</v>
      </c>
      <c r="B38" s="1">
        <f>SUMPRODUCT(NOT(ISBLANK(B$3:B$32))*(B$3:B$32=$S$3:$S$32))</f>
        <v>0</v>
      </c>
      <c r="C38" s="1">
        <f>SUMPRODUCT(NOT(ISBLANK(C$3:C$32))*(C$3:C$32=$T$3:$T$32))</f>
        <v>0</v>
      </c>
      <c r="D38" s="1">
        <f>SUMPRODUCT(NOT(ISBLANK(D$3:D$32))*(D$3:D$32=$U$3:$U$32))</f>
        <v>0</v>
      </c>
      <c r="E38" s="1">
        <f>SUMPRODUCT(NOT(ISBLANK(E$3:E$32))*(E$3:E$32=$V$3:$V$32))</f>
        <v>0</v>
      </c>
      <c r="F38" s="1">
        <f>SUMPRODUCT(NOT(ISBLANK(F$3:F$32))*(F$3:F$32=$W$3:$W$32))</f>
        <v>0</v>
      </c>
      <c r="G38" s="1">
        <f>SUMPRODUCT(NOT(ISBLANK(G$3:G$32))*(G$3:G$32=$X$3:$X$32))</f>
        <v>0</v>
      </c>
      <c r="H38" s="1">
        <f>SUMPRODUCT(NOT(ISBLANK(H$3:H$32))*(H$3:H$32=$Y$3:$Y$32))</f>
        <v>0</v>
      </c>
      <c r="I38" s="1">
        <f>SUMPRODUCT(NOT(ISBLANK(I$3:I$32))*(I$3:I$32=$Z$3:$Z$32))</f>
        <v>0</v>
      </c>
      <c r="J38" s="1">
        <f>SUMPRODUCT(NOT(ISBLANK(J$3:J$32))*(J$3:J$32=$AA$3:$AA$32))</f>
        <v>0</v>
      </c>
      <c r="K38" s="1">
        <f>SUMPRODUCT(NOT(ISBLANK(K$3:K$32))*(K$3:K$32=$AB$3:$AB$32))</f>
        <v>0</v>
      </c>
      <c r="L38" s="1"/>
      <c r="M38" s="1">
        <f>SUMPRODUCT(NOT(ISBLANK(M$3:M$32))*(M$3:M$32=$AC$3:$AC$32))</f>
        <v>0</v>
      </c>
      <c r="N38" s="1">
        <f>SUMPRODUCT(NOT(ISBLANK(N$3:N$32))*(N$3:N$32=$AD$3:$AD$32))</f>
        <v>0</v>
      </c>
      <c r="O38" s="1"/>
      <c r="P38" s="1">
        <f>SUMPRODUCT(NOT(ISBLANK(P$3:P$32))*(P$3:P$32=$AE$3:$AE$32))</f>
        <v>0</v>
      </c>
      <c r="Q38" s="1">
        <f>SUMPRODUCT(NOT(ISBLANK(Q$3:Q$32))*(Q$3:Q$32=$AF$3:$AF$32))</f>
        <v>0</v>
      </c>
      <c r="R38" s="1">
        <f>SUMPRODUCT(NOT(ISBLANK(R$3:R$32))*(R$3:R$32=$AG$3:$AG$32))</f>
        <v>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spans="1:63">
      <c r="A39" s="1" t="s">
        <v>15</v>
      </c>
      <c r="B39" s="1">
        <f>SUMPRODUCT(NOT(ISBLANK(B$3:B$32))*(B$3:B$32&lt;$AH$3:$AH$32))</f>
        <v>0</v>
      </c>
      <c r="C39" s="1">
        <f>SUMPRODUCT(NOT(ISBLANK(C$3:C$32))*(C$3:C$32&lt;$AI$3:$AI$32))</f>
        <v>0</v>
      </c>
      <c r="D39" s="1">
        <f>SUMPRODUCT(NOT(ISBLANK(D$3:D$32))*(D$3:D$32&lt;$AJ$3:$AJ$32))</f>
        <v>0</v>
      </c>
      <c r="E39" s="1">
        <f>SUMPRODUCT(NOT(ISBLANK(E$3:E$32))*(E$3:E$32&lt;$AK$3:$AK$32))</f>
        <v>0</v>
      </c>
      <c r="F39" s="1">
        <f>SUMPRODUCT(NOT(ISBLANK(F$3:F$32))*(F$3:F$32&lt;$AL$3:$AL$32))</f>
        <v>0</v>
      </c>
      <c r="G39" s="1">
        <f>SUMPRODUCT(NOT(ISBLANK(G$3:G$32))*(G$3:G$32&lt;$AM$3:$AM$32))</f>
        <v>0</v>
      </c>
      <c r="H39" s="1">
        <f>SUMPRODUCT(NOT(ISBLANK(H$3:H$32))*(H$3:H$32&lt;$AN$3:$AN$32))</f>
        <v>0</v>
      </c>
      <c r="I39" s="1">
        <f>SUMPRODUCT(NOT(ISBLANK(I$3:I$32))*(I$3:I$32&lt;$AO$3:$AO$32))</f>
        <v>0</v>
      </c>
      <c r="J39" s="1">
        <f>SUMPRODUCT(NOT(ISBLANK(J$3:J$32))*(J$3:J$32&lt;$AP$3:$AP$32))</f>
        <v>0</v>
      </c>
      <c r="K39" s="1">
        <f>SUMPRODUCT(NOT(ISBLANK(K$3:K$32))*(K$3:K$32&lt;$AQ$3:$AQ$32))</f>
        <v>0</v>
      </c>
      <c r="L39" s="1"/>
      <c r="M39" s="1">
        <f>SUMPRODUCT(NOT(ISBLANK(M$3:M$32))*(M$3:M$32&lt;$AR$3:$AR$32))</f>
        <v>0</v>
      </c>
      <c r="N39" s="1">
        <f>SUMPRODUCT(NOT(ISBLANK(N$3:N$32))*(N$3:N$32&lt;$AS$3:$AS$32))</f>
        <v>0</v>
      </c>
      <c r="O39" s="1"/>
      <c r="P39" s="1">
        <f>SUMPRODUCT(NOT(ISBLANK(P$3:P$32))*(P$3:P$32&lt;$AT$3:$AT$32))</f>
        <v>0</v>
      </c>
      <c r="Q39" s="1">
        <f>SUMPRODUCT(NOT(ISBLANK(Q$3:Q$32))*(Q$3:Q$32&lt;$AU$3:$AU$32))</f>
        <v>0</v>
      </c>
      <c r="R39" s="1">
        <f>SUMPRODUCT(NOT(ISBLANK(R$3:R$32))*(R$3:R$32&lt;$AV$3:$AV$32))</f>
        <v>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1:63">
      <c r="A40" s="1" t="s">
        <v>16</v>
      </c>
      <c r="B40" s="1">
        <f>SUMPRODUCT((NOT(ISBLANK(B$3:B$32))*(B$3:B$32&gt;$AH$3:$AH$32))+ISBLANK(B$3:B$32))</f>
        <v>0</v>
      </c>
      <c r="C40" s="1">
        <f>SUMPRODUCT((NOT(ISBLANK(C$3:C$32))*(C$3:C$32&gt;$AI$3:$AI$32))+ISBLANK(C$3:C$32))</f>
        <v>0</v>
      </c>
      <c r="D40" s="1">
        <f>SUMPRODUCT((NOT(ISBLANK(D$3:D$32))*(D$3:D$32&gt;$AJ$3:$AJ$32))+ISBLANK(D$3:D$32))</f>
        <v>0</v>
      </c>
      <c r="E40" s="1">
        <f>SUMPRODUCT((NOT(ISBLANK(E$3:E$32))*(E$3:E$32&gt;$AK$3:$AK$32))+ISBLANK(E$3:E$32))</f>
        <v>0</v>
      </c>
      <c r="F40" s="1">
        <f>SUMPRODUCT((NOT(ISBLANK(F$3:F$32))*(F$3:F$32&gt;$AL$3:$AL$32))+ISBLANK(F$3:F$32))</f>
        <v>0</v>
      </c>
      <c r="G40" s="1">
        <f>SUMPRODUCT((NOT(ISBLANK(G$3:G$32))*(G$3:G$32&gt;$AM$3:$AM$32))+ISBLANK(G$3:G$32))</f>
        <v>0</v>
      </c>
      <c r="H40" s="1">
        <f>SUMPRODUCT((NOT(ISBLANK(H$3:H$32))*(H$3:H$32&gt;$AN$3:$AN$32))+ISBLANK(H$3:H$32))</f>
        <v>0</v>
      </c>
      <c r="I40" s="1">
        <f>SUMPRODUCT((NOT(ISBLANK(I$3:I$32))*(I$3:I$32&gt;$AO$3:$AO$32))+ISBLANK(I$3:I$32))</f>
        <v>0</v>
      </c>
      <c r="J40" s="1">
        <f>SUMPRODUCT((NOT(ISBLANK(J$3:J$32))*(J$3:J$32&gt;$AP$3:$AP$32))+ISBLANK(J$3:J$32))</f>
        <v>0</v>
      </c>
      <c r="K40" s="1">
        <f>SUMPRODUCT((NOT(ISBLANK(K$3:K$32))*(K$3:K$32&gt;$AQ$3:$AQ$32))+ISBLANK(K$3:K$32))</f>
        <v>0</v>
      </c>
      <c r="L40" s="1"/>
      <c r="M40" s="1">
        <f>SUMPRODUCT((NOT(ISBLANK(M$3:M$32))*(M$3:M$32&gt;$AR$3:$AR$32))+ISBLANK(M$3:M$32))</f>
        <v>0</v>
      </c>
      <c r="N40" s="1">
        <f>SUMPRODUCT((NOT(ISBLANK(N$3:N$32))*(N$3:N$32&gt;$AS$3:$AS$32))+ISBLANK(N$3:N$32))</f>
        <v>0</v>
      </c>
      <c r="O40" s="1"/>
      <c r="P40" s="1">
        <f>SUMPRODUCT((NOT(ISBLANK(P$3:P$32))*(P$3:P$32&gt;$AT$3:$AT$32))+ISBLANK(P$3:P$32))</f>
        <v>0</v>
      </c>
      <c r="Q40" s="1">
        <f>SUMPRODUCT((NOT(ISBLANK(Q$3:Q$32))*(Q$3:Q$32&gt;$AU$3:$AU$32))+ISBLANK(Q$3:Q$32))</f>
        <v>0</v>
      </c>
      <c r="R40" s="1">
        <f>SUMPRODUCT((NOT(ISBLANK(R$3:R$32))*(R$3:R$32&gt;$AV$3:$AV$32))+ISBLANK(R$3:R$32))</f>
        <v>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1:63">
      <c r="A41" s="1" t="s">
        <v>17</v>
      </c>
      <c r="B41" s="1">
        <f>SUMPRODUCT((NOT(ISBLANK(B$3:B$32))*(B$3:B$32=$AW$3:$AW$32))+ISBLANK(B$3:B$32))</f>
        <v>0</v>
      </c>
      <c r="C41" s="1">
        <f>SUMPRODUCT((NOT(ISBLANK(C$3:C$32))*(C$3:C$32=$AX$3:$AX$32))+ISBLANK(C$3:C$32))</f>
        <v>0</v>
      </c>
      <c r="D41" s="1">
        <f>SUMPRODUCT((NOT(ISBLANK(D$3:D$32))*(D$3:D$32=$AY$3:$AY$32))+ISBLANK(D$3:D$32))</f>
        <v>0</v>
      </c>
      <c r="E41" s="1">
        <f>SUMPRODUCT((NOT(ISBLANK(E$3:E$32))*(E$3:E$32=$AZ$3:$AZ$32))+ISBLANK(E$3:E$32))</f>
        <v>0</v>
      </c>
      <c r="F41" s="1">
        <f>SUMPRODUCT((NOT(ISBLANK(F$3:F$32))*(F$3:F$32=$BA$3:$BA$32))+ISBLANK(F$3:F$32))</f>
        <v>0</v>
      </c>
      <c r="G41" s="1">
        <f>SUMPRODUCT((NOT(ISBLANK(G$3:G$32))*(G$3:G$32=$BB$3:$BB$32))+ISBLANK(G$3:G$32))</f>
        <v>0</v>
      </c>
      <c r="H41" s="1">
        <f>SUMPRODUCT((NOT(ISBLANK(H$3:H$32))*(H$3:H$32=$BC$3:$BC$32))+ISBLANK(H$3:H$32))</f>
        <v>0</v>
      </c>
      <c r="I41" s="1">
        <f>SUMPRODUCT((NOT(ISBLANK(I$3:I$32))*(I$3:I$32=$BD$3:$BD$32))+ISBLANK(I$3:I$32))</f>
        <v>0</v>
      </c>
      <c r="J41" s="1">
        <f>SUMPRODUCT((NOT(ISBLANK(J$3:J$32))*(J$3:J$32=$BE$3:$BE$32))+ISBLANK(J$3:J$32))</f>
        <v>0</v>
      </c>
      <c r="K41" s="1">
        <f>SUMPRODUCT((NOT(ISBLANK(K$3:K$32))*(K$3:K$32=$BF$3:$BF$32))+ISBLANK(K$3:K$32))</f>
        <v>0</v>
      </c>
      <c r="L41" s="1"/>
      <c r="M41" s="1">
        <f>SUMPRODUCT((NOT(ISBLANK(M$3:M$32))*(M$3:M$32=$BG$3:$BG$32))+ISBLANK(M$3:M$32))</f>
        <v>0</v>
      </c>
      <c r="N41" s="1">
        <f>SUMPRODUCT((NOT(ISBLANK(N$3:N$32))*(N$3:N$32=$BH$3:$BH$32))+ISBLANK(N$3:N$32))</f>
        <v>0</v>
      </c>
      <c r="O41" s="1"/>
      <c r="P41" s="1">
        <f>SUMPRODUCT((NOT(ISBLANK(P$3:P$32))*(P$3:P$32=$BI$3:$BI$32))+ISBLANK(P$3:P$32))</f>
        <v>0</v>
      </c>
      <c r="Q41" s="1">
        <f>SUMPRODUCT((NOT(ISBLANK(Q$3:Q$32))*(Q$3:Q$32=$BJ$3:$BJ$32))+ISBLANK(Q$3:Q$32))</f>
        <v>0</v>
      </c>
      <c r="R41" s="1">
        <f>SUMPRODUCT((NOT(ISBLANK(R$3:R$32))*(R$3:R$32=$BK$3:$BK$32))+ISBLANK(R$3:R$32))</f>
        <v>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42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43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44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33</v>
      </c>
      <c r="N2" s="1" t="s">
        <v>34</v>
      </c>
      <c r="O2" s="1" t="s">
        <v>35</v>
      </c>
      <c r="P2" s="1" t="s">
        <v>39</v>
      </c>
      <c r="Q2" s="1" t="s">
        <v>40</v>
      </c>
      <c r="R2" s="1" t="s">
        <v>41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33</v>
      </c>
      <c r="AD2" s="1" t="s">
        <v>34</v>
      </c>
      <c r="AE2" s="1" t="s">
        <v>39</v>
      </c>
      <c r="AF2" s="1" t="s">
        <v>40</v>
      </c>
      <c r="AG2" s="1" t="s">
        <v>41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  <c r="AO2" s="1" t="s">
        <v>26</v>
      </c>
      <c r="AP2" s="1" t="s">
        <v>27</v>
      </c>
      <c r="AQ2" s="1" t="s">
        <v>28</v>
      </c>
      <c r="AR2" s="1" t="s">
        <v>33</v>
      </c>
      <c r="AS2" s="1" t="s">
        <v>34</v>
      </c>
      <c r="AT2" s="1" t="s">
        <v>39</v>
      </c>
      <c r="AU2" s="1" t="s">
        <v>40</v>
      </c>
      <c r="AV2" s="1" t="s">
        <v>41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B2" s="1" t="s">
        <v>24</v>
      </c>
      <c r="BC2" s="1" t="s">
        <v>25</v>
      </c>
      <c r="BD2" s="1" t="s">
        <v>26</v>
      </c>
      <c r="BE2" s="1" t="s">
        <v>27</v>
      </c>
      <c r="BF2" s="1" t="s">
        <v>28</v>
      </c>
      <c r="BG2" s="1" t="s">
        <v>33</v>
      </c>
      <c r="BH2" s="1" t="s">
        <v>34</v>
      </c>
      <c r="BI2" s="1" t="s">
        <v>39</v>
      </c>
      <c r="BJ2" s="1" t="s">
        <v>40</v>
      </c>
      <c r="BK2" s="1" t="s">
        <v>41</v>
      </c>
    </row>
    <row r="3" spans="1:63">
      <c r="A3" s="1"/>
      <c r="B3" s="1">
        <f>AVERAGE(Instances!B3:Instances!B12)</f>
        <v>0</v>
      </c>
      <c r="C3" s="1">
        <f>AVERAGE(Instances!C3:Instances!C12)</f>
        <v>0</v>
      </c>
      <c r="D3" s="1">
        <f>AVERAGE(Instances!D3:Instances!D12)</f>
        <v>0</v>
      </c>
      <c r="E3" s="1">
        <f>AVERAGE(Instances!E3:Instances!E12)</f>
        <v>0</v>
      </c>
      <c r="F3" s="1">
        <f>AVERAGE(Instances!F3:Instances!F12)</f>
        <v>0</v>
      </c>
      <c r="G3" s="1">
        <f>AVERAGE(Instances!G3:Instances!G12)</f>
        <v>0</v>
      </c>
      <c r="H3" s="1">
        <f>AVERAGE(Instances!H3:Instances!H12)</f>
        <v>0</v>
      </c>
      <c r="I3" s="1">
        <f>AVERAGE(Instances!I3:Instances!I12)</f>
        <v>0</v>
      </c>
      <c r="J3" s="1">
        <f>AVERAGE(Instances!J3:Instances!J12)</f>
        <v>0</v>
      </c>
      <c r="K3" s="1">
        <f>AVERAGE(Instances!K3:Instances!K12)</f>
        <v>0</v>
      </c>
      <c r="L3" s="1"/>
      <c r="M3" s="1">
        <f>AVERAGE(Instances!M3:Instances!M12)</f>
        <v>0</v>
      </c>
      <c r="N3" s="1">
        <f>AVERAGE(Instances!N3:Instances!N12)</f>
        <v>0</v>
      </c>
      <c r="O3" s="1"/>
      <c r="P3" s="1">
        <f>AVERAGE(Instances!P3:Instances!P12)</f>
        <v>0</v>
      </c>
      <c r="Q3" s="1">
        <f>SUM(Instances!Q3:Instances!Q12)</f>
        <v>0</v>
      </c>
      <c r="R3" s="1">
        <f>AVERAGE(Instances!R3:Instances!R12)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/>
      <c r="B4" s="1">
        <f>AVERAGE(Instances!B13:Instances!B22)</f>
        <v>0</v>
      </c>
      <c r="C4" s="1">
        <f>AVERAGE(Instances!C13:Instances!C22)</f>
        <v>0</v>
      </c>
      <c r="D4" s="1">
        <f>AVERAGE(Instances!D13:Instances!D22)</f>
        <v>0</v>
      </c>
      <c r="E4" s="1">
        <f>AVERAGE(Instances!E13:Instances!E22)</f>
        <v>0</v>
      </c>
      <c r="F4" s="1">
        <f>AVERAGE(Instances!F13:Instances!F22)</f>
        <v>0</v>
      </c>
      <c r="G4" s="1">
        <f>AVERAGE(Instances!G13:Instances!G22)</f>
        <v>0</v>
      </c>
      <c r="H4" s="1">
        <f>AVERAGE(Instances!H13:Instances!H22)</f>
        <v>0</v>
      </c>
      <c r="I4" s="1">
        <f>AVERAGE(Instances!I13:Instances!I22)</f>
        <v>0</v>
      </c>
      <c r="J4" s="1">
        <f>AVERAGE(Instances!J13:Instances!J22)</f>
        <v>0</v>
      </c>
      <c r="K4" s="1">
        <f>AVERAGE(Instances!K13:Instances!K22)</f>
        <v>0</v>
      </c>
      <c r="L4" s="1"/>
      <c r="M4" s="1">
        <f>AVERAGE(Instances!M13:Instances!M22)</f>
        <v>0</v>
      </c>
      <c r="N4" s="1">
        <f>AVERAGE(Instances!N13:Instances!N22)</f>
        <v>0</v>
      </c>
      <c r="O4" s="1"/>
      <c r="P4" s="1">
        <f>AVERAGE(Instances!P13:Instances!P22)</f>
        <v>0</v>
      </c>
      <c r="Q4" s="1">
        <f>SUM(Instances!Q13:Instances!Q22)</f>
        <v>0</v>
      </c>
      <c r="R4" s="1">
        <f>AVERAGE(Instances!R13:Instances!R22)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/>
      <c r="B5" s="1">
        <f>AVERAGE(Instances!B23:Instances!B32)</f>
        <v>0</v>
      </c>
      <c r="C5" s="1">
        <f>AVERAGE(Instances!C23:Instances!C32)</f>
        <v>0</v>
      </c>
      <c r="D5" s="1">
        <f>AVERAGE(Instances!D23:Instances!D32)</f>
        <v>0</v>
      </c>
      <c r="E5" s="1">
        <f>AVERAGE(Instances!E23:Instances!E32)</f>
        <v>0</v>
      </c>
      <c r="F5" s="1">
        <f>AVERAGE(Instances!F23:Instances!F32)</f>
        <v>0</v>
      </c>
      <c r="G5" s="1">
        <f>AVERAGE(Instances!G23:Instances!G32)</f>
        <v>0</v>
      </c>
      <c r="H5" s="1">
        <f>AVERAGE(Instances!H23:Instances!H32)</f>
        <v>0</v>
      </c>
      <c r="I5" s="1">
        <f>AVERAGE(Instances!I23:Instances!I32)</f>
        <v>0</v>
      </c>
      <c r="J5" s="1">
        <f>AVERAGE(Instances!J23:Instances!J32)</f>
        <v>0</v>
      </c>
      <c r="K5" s="1">
        <f>AVERAGE(Instances!K23:Instances!K32)</f>
        <v>0</v>
      </c>
      <c r="L5" s="1"/>
      <c r="M5" s="1">
        <f>AVERAGE(Instances!M23:Instances!M32)</f>
        <v>0</v>
      </c>
      <c r="N5" s="1">
        <f>AVERAGE(Instances!N23:Instances!N32)</f>
        <v>0</v>
      </c>
      <c r="O5" s="1"/>
      <c r="P5" s="1">
        <f>AVERAGE(Instances!P23:Instances!P32)</f>
        <v>0</v>
      </c>
      <c r="Q5" s="1">
        <f>SUM(Instances!Q23:Instances!Q32)</f>
        <v>0</v>
      </c>
      <c r="R5" s="1">
        <f>AVERAGE(Instances!R23:Instances!R32)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1:63">
      <c r="A7" s="1" t="s">
        <v>10</v>
      </c>
      <c r="B7" s="1">
        <f>SUM(B$3:B$5)</f>
        <v>0</v>
      </c>
      <c r="C7" s="1">
        <f>SUM(C$3:C$5)</f>
        <v>0</v>
      </c>
      <c r="D7" s="1">
        <f>SUM(D$3:D$5)</f>
        <v>0</v>
      </c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>
        <f>SUM(K$3:K$5)</f>
        <v>0</v>
      </c>
      <c r="L7" s="1"/>
      <c r="M7" s="1">
        <f>SUM(M$3:M$5)</f>
        <v>0</v>
      </c>
      <c r="N7" s="1">
        <f>SUM(N$3:N$5)</f>
        <v>0</v>
      </c>
      <c r="O7" s="1"/>
      <c r="P7" s="1">
        <f>SUM(P$3:P$5)</f>
        <v>0</v>
      </c>
      <c r="Q7" s="1">
        <f>SUM(Q$3:Q$5)</f>
        <v>0</v>
      </c>
      <c r="R7" s="1">
        <f>SUM(R$3:R$5)</f>
        <v>0</v>
      </c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>
        <f>SUM(Y$3:Y$5)</f>
        <v>0</v>
      </c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>
        <f>SUM(AF$3:AF$5)</f>
        <v>0</v>
      </c>
      <c r="AG7" s="1">
        <f>SUM(AG$3:AG$5)</f>
        <v>0</v>
      </c>
      <c r="AH7" s="1">
        <f>SUM(AH$3:AH$5)</f>
        <v>0</v>
      </c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>
        <f>SUM(AM$3:AM$5)</f>
        <v>0</v>
      </c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>
        <f>SUM(AT$3:AT$5)</f>
        <v>0</v>
      </c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>
        <f>SUM(AZ$3:AZ$5)</f>
        <v>0</v>
      </c>
      <c r="BA7" s="1">
        <f>SUM(BA$3:BA$5)</f>
        <v>0</v>
      </c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>
        <f>SUM(BH$3:BH$5)</f>
        <v>0</v>
      </c>
      <c r="BI7" s="1">
        <f>SUM(BI$3:BI$5)</f>
        <v>0</v>
      </c>
      <c r="BJ7" s="1">
        <f>SUM(BJ$3:BJ$5)</f>
        <v>0</v>
      </c>
      <c r="BK7" s="1">
        <f>SUM(BK$3:BK$5)</f>
        <v>0</v>
      </c>
    </row>
    <row r="8" spans="1:63">
      <c r="A8" s="1" t="s">
        <v>11</v>
      </c>
      <c r="B8" s="1">
        <f>AVERAGE(B$3:B$5)</f>
        <v>0</v>
      </c>
      <c r="C8" s="1">
        <f>AVERAGE(C$3:C$5)</f>
        <v>0</v>
      </c>
      <c r="D8" s="1">
        <f>AVERAGE(D$3:D$5)</f>
        <v>0</v>
      </c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>
        <f>AVERAGE(K$3:K$5)</f>
        <v>0</v>
      </c>
      <c r="L8" s="1"/>
      <c r="M8" s="1">
        <f>AVERAGE(M$3:M$5)</f>
        <v>0</v>
      </c>
      <c r="N8" s="1">
        <f>AVERAGE(N$3:N$5)</f>
        <v>0</v>
      </c>
      <c r="O8" s="1"/>
      <c r="P8" s="1">
        <f>AVERAGE(P$3:P$5)</f>
        <v>0</v>
      </c>
      <c r="Q8" s="1">
        <f>AVERAGE(Q$3:Q$5)</f>
        <v>0</v>
      </c>
      <c r="R8" s="1">
        <f>AVERAGE(R$3:R$5)</f>
        <v>0</v>
      </c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>
        <f>AVERAGE(Y$3:Y$5)</f>
        <v>0</v>
      </c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>
        <f>AVERAGE(AF$3:AF$5)</f>
        <v>0</v>
      </c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>
        <f>AVERAGE(AM$3:AM$5)</f>
        <v>0</v>
      </c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>
        <f>AVERAGE(AT$3:AT$5)</f>
        <v>0</v>
      </c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>
        <f>AVERAGE(BA$3:BA$5)</f>
        <v>0</v>
      </c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>
        <f>AVERAGE(BH$3:BH$5)</f>
        <v>0</v>
      </c>
      <c r="BI8" s="1">
        <f>AVERAGE(BI$3:BI$5)</f>
        <v>0</v>
      </c>
      <c r="BJ8" s="1">
        <f>AVERAGE(BJ$3:BJ$5)</f>
        <v>0</v>
      </c>
      <c r="BK8" s="1">
        <f>AVERAGE(BK$3:BK$5)</f>
        <v>0</v>
      </c>
    </row>
    <row r="9" spans="1:63">
      <c r="A9" s="1" t="s">
        <v>12</v>
      </c>
      <c r="B9" s="1">
        <f>STDEV(B$3:B$5)</f>
        <v>0</v>
      </c>
      <c r="C9" s="1">
        <f>STDEV(C$3:C$5)</f>
        <v>0</v>
      </c>
      <c r="D9" s="1">
        <f>STDEV(D$3:D$5)</f>
        <v>0</v>
      </c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>
        <f>STDEV(K$3:K$5)</f>
        <v>0</v>
      </c>
      <c r="L9" s="1"/>
      <c r="M9" s="1">
        <f>STDEV(M$3:M$5)</f>
        <v>0</v>
      </c>
      <c r="N9" s="1">
        <f>STDEV(N$3:N$5)</f>
        <v>0</v>
      </c>
      <c r="O9" s="1"/>
      <c r="P9" s="1">
        <f>STDEV(P$3:P$5)</f>
        <v>0</v>
      </c>
      <c r="Q9" s="1">
        <f>STDEV(Q$3:Q$5)</f>
        <v>0</v>
      </c>
      <c r="R9" s="1">
        <f>STDEV(R$3:R$5)</f>
        <v>0</v>
      </c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>
        <f>STDEV(Y$3:Y$5)</f>
        <v>0</v>
      </c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>
        <f>STDEV(AF$3:AF$5)</f>
        <v>0</v>
      </c>
      <c r="AG9" s="1">
        <f>STDEV(AG$3:AG$5)</f>
        <v>0</v>
      </c>
      <c r="AH9" s="1">
        <f>STDEV(AH$3:AH$5)</f>
        <v>0</v>
      </c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>
        <f>STDEV(AM$3:AM$5)</f>
        <v>0</v>
      </c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>
        <f>STDEV(AT$3:AT$5)</f>
        <v>0</v>
      </c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>
        <f>STDEV(AZ$3:AZ$5)</f>
        <v>0</v>
      </c>
      <c r="BA9" s="1">
        <f>STDEV(BA$3:BA$5)</f>
        <v>0</v>
      </c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>
        <f>STDEV(BH$3:BH$5)</f>
        <v>0</v>
      </c>
      <c r="BI9" s="1">
        <f>STDEV(BI$3:BI$5)</f>
        <v>0</v>
      </c>
      <c r="BJ9" s="1">
        <f>STDEV(BJ$3:BJ$5)</f>
        <v>0</v>
      </c>
      <c r="BK9" s="1">
        <f>STDEV(BK$3:BK$5)</f>
        <v>0</v>
      </c>
    </row>
    <row r="10" spans="1:63">
      <c r="A10" s="1" t="s">
        <v>13</v>
      </c>
      <c r="B10" s="1">
        <f>SUMPRODUCT(--(B$3:B$5-$S$3:$S$5)^2)^0.5</f>
        <v>0</v>
      </c>
      <c r="C10" s="1">
        <f>SUMPRODUCT(--(C$3:C$5-$T$3:$T$5)^2)^0.5</f>
        <v>0</v>
      </c>
      <c r="D10" s="1">
        <f>SUMPRODUCT(--(D$3:D$5-$U$3:$U$5)^2)^0.5</f>
        <v>0</v>
      </c>
      <c r="E10" s="1">
        <f>SUMPRODUCT(--(E$3:E$5-$V$3:$V$5)^2)^0.5</f>
        <v>0</v>
      </c>
      <c r="F10" s="1">
        <f>SUMPRODUCT(--(F$3:F$5-$W$3:$W$5)^2)^0.5</f>
        <v>0</v>
      </c>
      <c r="G10" s="1">
        <f>SUMPRODUCT(--(G$3:G$5-$X$3:$X$5)^2)^0.5</f>
        <v>0</v>
      </c>
      <c r="H10" s="1">
        <f>SUMPRODUCT(--(H$3:H$5-$Y$3:$Y$5)^2)^0.5</f>
        <v>0</v>
      </c>
      <c r="I10" s="1">
        <f>SUMPRODUCT(--(I$3:I$5-$Z$3:$Z$5)^2)^0.5</f>
        <v>0</v>
      </c>
      <c r="J10" s="1">
        <f>SUMPRODUCT(--(J$3:J$5-$AA$3:$AA$5)^2)^0.5</f>
        <v>0</v>
      </c>
      <c r="K10" s="1">
        <f>SUMPRODUCT(--(K$3:K$5-$AB$3:$AB$5)^2)^0.5</f>
        <v>0</v>
      </c>
      <c r="L10" s="1"/>
      <c r="M10" s="1">
        <f>SUMPRODUCT(--(M$3:M$5-$AC$3:$AC$5)^2)^0.5</f>
        <v>0</v>
      </c>
      <c r="N10" s="1">
        <f>SUMPRODUCT(--(N$3:N$5-$AD$3:$AD$5)^2)^0.5</f>
        <v>0</v>
      </c>
      <c r="O10" s="1"/>
      <c r="P10" s="1">
        <f>SUMPRODUCT(--(P$3:P$5-$AE$3:$AE$5)^2)^0.5</f>
        <v>0</v>
      </c>
      <c r="Q10" s="1">
        <f>SUMPRODUCT(--(Q$3:Q$5-$AF$3:$AF$5)^2)^0.5</f>
        <v>0</v>
      </c>
      <c r="R10" s="1">
        <f>SUMPRODUCT(--(R$3:R$5-$AG$3:$AG$5)^2)^0.5</f>
        <v>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1:63">
      <c r="A11" s="1" t="s">
        <v>14</v>
      </c>
      <c r="B11" s="1">
        <f>SUMPRODUCT(NOT(ISBLANK(B$3:B$5))*(B$3:B$5=$S$3:$S$5))</f>
        <v>0</v>
      </c>
      <c r="C11" s="1">
        <f>SUMPRODUCT(NOT(ISBLANK(C$3:C$5))*(C$3:C$5=$T$3:$T$5))</f>
        <v>0</v>
      </c>
      <c r="D11" s="1">
        <f>SUMPRODUCT(NOT(ISBLANK(D$3:D$5))*(D$3:D$5=$U$3:$U$5))</f>
        <v>0</v>
      </c>
      <c r="E11" s="1">
        <f>SUMPRODUCT(NOT(ISBLANK(E$3:E$5))*(E$3:E$5=$V$3:$V$5))</f>
        <v>0</v>
      </c>
      <c r="F11" s="1">
        <f>SUMPRODUCT(NOT(ISBLANK(F$3:F$5))*(F$3:F$5=$W$3:$W$5))</f>
        <v>0</v>
      </c>
      <c r="G11" s="1">
        <f>SUMPRODUCT(NOT(ISBLANK(G$3:G$5))*(G$3:G$5=$X$3:$X$5))</f>
        <v>0</v>
      </c>
      <c r="H11" s="1">
        <f>SUMPRODUCT(NOT(ISBLANK(H$3:H$5))*(H$3:H$5=$Y$3:$Y$5))</f>
        <v>0</v>
      </c>
      <c r="I11" s="1">
        <f>SUMPRODUCT(NOT(ISBLANK(I$3:I$5))*(I$3:I$5=$Z$3:$Z$5))</f>
        <v>0</v>
      </c>
      <c r="J11" s="1">
        <f>SUMPRODUCT(NOT(ISBLANK(J$3:J$5))*(J$3:J$5=$AA$3:$AA$5))</f>
        <v>0</v>
      </c>
      <c r="K11" s="1">
        <f>SUMPRODUCT(NOT(ISBLANK(K$3:K$5))*(K$3:K$5=$AB$3:$AB$5))</f>
        <v>0</v>
      </c>
      <c r="L11" s="1"/>
      <c r="M11" s="1">
        <f>SUMPRODUCT(NOT(ISBLANK(M$3:M$5))*(M$3:M$5=$AC$3:$AC$5))</f>
        <v>0</v>
      </c>
      <c r="N11" s="1">
        <f>SUMPRODUCT(NOT(ISBLANK(N$3:N$5))*(N$3:N$5=$AD$3:$AD$5))</f>
        <v>0</v>
      </c>
      <c r="O11" s="1"/>
      <c r="P11" s="1">
        <f>SUMPRODUCT(NOT(ISBLANK(P$3:P$5))*(P$3:P$5=$AE$3:$AE$5))</f>
        <v>0</v>
      </c>
      <c r="Q11" s="1">
        <f>SUMPRODUCT(NOT(ISBLANK(Q$3:Q$5))*(Q$3:Q$5=$AF$3:$AF$5))</f>
        <v>0</v>
      </c>
      <c r="R11" s="1">
        <f>SUMPRODUCT(NOT(ISBLANK(R$3:R$5))*(R$3:R$5=$AG$3:$AG$5))</f>
        <v>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3">
      <c r="A12" s="1" t="s">
        <v>15</v>
      </c>
      <c r="B12" s="1">
        <f>SUMPRODUCT(NOT(ISBLANK(B$3:B$5))*(B$3:B$5&lt;$AH$3:$AH$5))</f>
        <v>0</v>
      </c>
      <c r="C12" s="1">
        <f>SUMPRODUCT(NOT(ISBLANK(C$3:C$5))*(C$3:C$5&lt;$AI$3:$AI$5))</f>
        <v>0</v>
      </c>
      <c r="D12" s="1">
        <f>SUMPRODUCT(NOT(ISBLANK(D$3:D$5))*(D$3:D$5&lt;$AJ$3:$AJ$5))</f>
        <v>0</v>
      </c>
      <c r="E12" s="1">
        <f>SUMPRODUCT(NOT(ISBLANK(E$3:E$5))*(E$3:E$5&lt;$AK$3:$AK$5))</f>
        <v>0</v>
      </c>
      <c r="F12" s="1">
        <f>SUMPRODUCT(NOT(ISBLANK(F$3:F$5))*(F$3:F$5&lt;$AL$3:$AL$5))</f>
        <v>0</v>
      </c>
      <c r="G12" s="1">
        <f>SUMPRODUCT(NOT(ISBLANK(G$3:G$5))*(G$3:G$5&lt;$AM$3:$AM$5))</f>
        <v>0</v>
      </c>
      <c r="H12" s="1">
        <f>SUMPRODUCT(NOT(ISBLANK(H$3:H$5))*(H$3:H$5&lt;$AN$3:$AN$5))</f>
        <v>0</v>
      </c>
      <c r="I12" s="1">
        <f>SUMPRODUCT(NOT(ISBLANK(I$3:I$5))*(I$3:I$5&lt;$AO$3:$AO$5))</f>
        <v>0</v>
      </c>
      <c r="J12" s="1">
        <f>SUMPRODUCT(NOT(ISBLANK(J$3:J$5))*(J$3:J$5&lt;$AP$3:$AP$5))</f>
        <v>0</v>
      </c>
      <c r="K12" s="1">
        <f>SUMPRODUCT(NOT(ISBLANK(K$3:K$5))*(K$3:K$5&lt;$AQ$3:$AQ$5))</f>
        <v>0</v>
      </c>
      <c r="L12" s="1"/>
      <c r="M12" s="1">
        <f>SUMPRODUCT(NOT(ISBLANK(M$3:M$5))*(M$3:M$5&lt;$AR$3:$AR$5))</f>
        <v>0</v>
      </c>
      <c r="N12" s="1">
        <f>SUMPRODUCT(NOT(ISBLANK(N$3:N$5))*(N$3:N$5&lt;$AS$3:$AS$5))</f>
        <v>0</v>
      </c>
      <c r="O12" s="1"/>
      <c r="P12" s="1">
        <f>SUMPRODUCT(NOT(ISBLANK(P$3:P$5))*(P$3:P$5&lt;$AT$3:$AT$5))</f>
        <v>0</v>
      </c>
      <c r="Q12" s="1">
        <f>SUMPRODUCT(NOT(ISBLANK(Q$3:Q$5))*(Q$3:Q$5&lt;$AU$3:$AU$5))</f>
        <v>0</v>
      </c>
      <c r="R12" s="1">
        <f>SUMPRODUCT(NOT(ISBLANK(R$3:R$5))*(R$3:R$5&lt;$AV$3:$AV$5))</f>
        <v>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3">
      <c r="A13" s="1" t="s">
        <v>16</v>
      </c>
      <c r="B13" s="1">
        <f>SUMPRODUCT((NOT(ISBLANK(B$3:B$5))*(B$3:B$5&gt;$AH$3:$AH$5))+ISBLANK(B$3:B$5))</f>
        <v>0</v>
      </c>
      <c r="C13" s="1">
        <f>SUMPRODUCT((NOT(ISBLANK(C$3:C$5))*(C$3:C$5&gt;$AI$3:$AI$5))+ISBLANK(C$3:C$5))</f>
        <v>0</v>
      </c>
      <c r="D13" s="1">
        <f>SUMPRODUCT((NOT(ISBLANK(D$3:D$5))*(D$3:D$5&gt;$AJ$3:$AJ$5))+ISBLANK(D$3:D$5))</f>
        <v>0</v>
      </c>
      <c r="E13" s="1">
        <f>SUMPRODUCT((NOT(ISBLANK(E$3:E$5))*(E$3:E$5&gt;$AK$3:$AK$5))+ISBLANK(E$3:E$5))</f>
        <v>0</v>
      </c>
      <c r="F13" s="1">
        <f>SUMPRODUCT((NOT(ISBLANK(F$3:F$5))*(F$3:F$5&gt;$AL$3:$AL$5))+ISBLANK(F$3:F$5))</f>
        <v>0</v>
      </c>
      <c r="G13" s="1">
        <f>SUMPRODUCT((NOT(ISBLANK(G$3:G$5))*(G$3:G$5&gt;$AM$3:$AM$5))+ISBLANK(G$3:G$5))</f>
        <v>0</v>
      </c>
      <c r="H13" s="1">
        <f>SUMPRODUCT((NOT(ISBLANK(H$3:H$5))*(H$3:H$5&gt;$AN$3:$AN$5))+ISBLANK(H$3:H$5))</f>
        <v>0</v>
      </c>
      <c r="I13" s="1">
        <f>SUMPRODUCT((NOT(ISBLANK(I$3:I$5))*(I$3:I$5&gt;$AO$3:$AO$5))+ISBLANK(I$3:I$5))</f>
        <v>0</v>
      </c>
      <c r="J13" s="1">
        <f>SUMPRODUCT((NOT(ISBLANK(J$3:J$5))*(J$3:J$5&gt;$AP$3:$AP$5))+ISBLANK(J$3:J$5))</f>
        <v>0</v>
      </c>
      <c r="K13" s="1">
        <f>SUMPRODUCT((NOT(ISBLANK(K$3:K$5))*(K$3:K$5&gt;$AQ$3:$AQ$5))+ISBLANK(K$3:K$5))</f>
        <v>0</v>
      </c>
      <c r="L13" s="1"/>
      <c r="M13" s="1">
        <f>SUMPRODUCT((NOT(ISBLANK(M$3:M$5))*(M$3:M$5&gt;$AR$3:$AR$5))+ISBLANK(M$3:M$5))</f>
        <v>0</v>
      </c>
      <c r="N13" s="1">
        <f>SUMPRODUCT((NOT(ISBLANK(N$3:N$5))*(N$3:N$5&gt;$AS$3:$AS$5))+ISBLANK(N$3:N$5))</f>
        <v>0</v>
      </c>
      <c r="O13" s="1"/>
      <c r="P13" s="1">
        <f>SUMPRODUCT((NOT(ISBLANK(P$3:P$5))*(P$3:P$5&gt;$AT$3:$AT$5))+ISBLANK(P$3:P$5))</f>
        <v>0</v>
      </c>
      <c r="Q13" s="1">
        <f>SUMPRODUCT((NOT(ISBLANK(Q$3:Q$5))*(Q$3:Q$5&gt;$AU$3:$AU$5))+ISBLANK(Q$3:Q$5))</f>
        <v>0</v>
      </c>
      <c r="R13" s="1">
        <f>SUMPRODUCT((NOT(ISBLANK(R$3:R$5))*(R$3:R$5&gt;$AV$3:$AV$5))+ISBLANK(R$3:R$5))</f>
        <v>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17</v>
      </c>
      <c r="B14" s="1">
        <f>SUMPRODUCT((NOT(ISBLANK(B$3:B$5))*(B$3:B$5=$AW$3:$AW$5))+ISBLANK(B$3:B$5))</f>
        <v>0</v>
      </c>
      <c r="C14" s="1">
        <f>SUMPRODUCT((NOT(ISBLANK(C$3:C$5))*(C$3:C$5=$AX$3:$AX$5))+ISBLANK(C$3:C$5))</f>
        <v>0</v>
      </c>
      <c r="D14" s="1">
        <f>SUMPRODUCT((NOT(ISBLANK(D$3:D$5))*(D$3:D$5=$AY$3:$AY$5))+ISBLANK(D$3:D$5))</f>
        <v>0</v>
      </c>
      <c r="E14" s="1">
        <f>SUMPRODUCT((NOT(ISBLANK(E$3:E$5))*(E$3:E$5=$AZ$3:$AZ$5))+ISBLANK(E$3:E$5))</f>
        <v>0</v>
      </c>
      <c r="F14" s="1">
        <f>SUMPRODUCT((NOT(ISBLANK(F$3:F$5))*(F$3:F$5=$BA$3:$BA$5))+ISBLANK(F$3:F$5))</f>
        <v>0</v>
      </c>
      <c r="G14" s="1">
        <f>SUMPRODUCT((NOT(ISBLANK(G$3:G$5))*(G$3:G$5=$BB$3:$BB$5))+ISBLANK(G$3:G$5))</f>
        <v>0</v>
      </c>
      <c r="H14" s="1">
        <f>SUMPRODUCT((NOT(ISBLANK(H$3:H$5))*(H$3:H$5=$BC$3:$BC$5))+ISBLANK(H$3:H$5))</f>
        <v>0</v>
      </c>
      <c r="I14" s="1">
        <f>SUMPRODUCT((NOT(ISBLANK(I$3:I$5))*(I$3:I$5=$BD$3:$BD$5))+ISBLANK(I$3:I$5))</f>
        <v>0</v>
      </c>
      <c r="J14" s="1">
        <f>SUMPRODUCT((NOT(ISBLANK(J$3:J$5))*(J$3:J$5=$BE$3:$BE$5))+ISBLANK(J$3:J$5))</f>
        <v>0</v>
      </c>
      <c r="K14" s="1">
        <f>SUMPRODUCT((NOT(ISBLANK(K$3:K$5))*(K$3:K$5=$BF$3:$BF$5))+ISBLANK(K$3:K$5))</f>
        <v>0</v>
      </c>
      <c r="L14" s="1"/>
      <c r="M14" s="1">
        <f>SUMPRODUCT((NOT(ISBLANK(M$3:M$5))*(M$3:M$5=$BG$3:$BG$5))+ISBLANK(M$3:M$5))</f>
        <v>0</v>
      </c>
      <c r="N14" s="1">
        <f>SUMPRODUCT((NOT(ISBLANK(N$3:N$5))*(N$3:N$5=$BH$3:$BH$5))+ISBLANK(N$3:N$5))</f>
        <v>0</v>
      </c>
      <c r="O14" s="1"/>
      <c r="P14" s="1">
        <f>SUMPRODUCT((NOT(ISBLANK(P$3:P$5))*(P$3:P$5=$BI$3:$BI$5))+ISBLANK(P$3:P$5))</f>
        <v>0</v>
      </c>
      <c r="Q14" s="1">
        <f>SUMPRODUCT((NOT(ISBLANK(Q$3:Q$5))*(Q$3:Q$5=$BJ$3:$BJ$5))+ISBLANK(Q$3:Q$5))</f>
        <v>0</v>
      </c>
      <c r="R14" s="1">
        <f>SUMPRODUCT((NOT(ISBLANK(R$3:R$5))*(R$3:R$5=$BK$3:$BK$5))+ISBLANK(R$3:R$5))</f>
        <v>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2026-07-14T11:17:21Z</dcterms:created>
  <dcterms:modified xsi:type="dcterms:W3CDTF">2026-07-14T11:17:21Z</dcterms:modified>
</cp:coreProperties>
</file>