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<sst xmlns="http://schemas.openxmlformats.org/spreadsheetml/2006/main" count="323" uniqueCount="45">
  <si>
    <t>/Level_0</t>
  </si>
  <si>
    <t>/Level_1</t>
  </si>
  <si>
    <t>/Level_2</t>
  </si>
  <si>
    <t>/Level_3</t>
  </si>
  <si>
    <t>/Level_4</t>
  </si>
  <si>
    <t>/Level_5</t>
  </si>
  <si>
    <t>/Level_6</t>
  </si>
  <si>
    <t>/Level_7</t>
  </si>
  <si>
    <t>/Level_8</t>
  </si>
  <si>
    <t>/Level_9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</si>
  <si>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</si>
  <si>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</si>
  <si>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</si>
  <si>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</si>
  <si>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</si>
  <si>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</si>
  <si>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</si>
  <si>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</si>
  <si>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clingo-5.8.0/default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</si>
  <si>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</si>
  <si>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</si>
  <si>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</si>
  <si>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</si>
  <si>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</si>
  <si>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</si>
  <si>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</si>
  <si>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</si>
  <si>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</si>
  <si>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</si>
  <si>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</si>
  <si>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</si>
  <si>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signal(9)</t>
  </si>
  <si>
    <t>out of memory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</si>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</sst>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1" width="11.42578125" customWidth="1"/>
    <col min="12" max="12" width="14.140625" customWidth="1"/>
    <col min="13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42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43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33</v>
      </c>
      <c r="N2" s="1" t="s">
        <v>34</v>
      </c>
      <c r="O2" s="1" t="s">
        <v>35</v>
      </c>
      <c r="P2" s="1" t="s">
        <v>38</v>
      </c>
      <c r="Q2" s="1" t="s">
        <v>39</v>
      </c>
      <c r="R2" s="1" t="s">
        <v>40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33</v>
      </c>
      <c r="AD2" s="1" t="s">
        <v>34</v>
      </c>
      <c r="AE2" s="1" t="s">
        <v>38</v>
      </c>
      <c r="AF2" s="1" t="s">
        <v>39</v>
      </c>
      <c r="AG2" s="1" t="s">
        <v>40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33</v>
      </c>
      <c r="AS2" s="1" t="s">
        <v>34</v>
      </c>
      <c r="AT2" s="1" t="s">
        <v>38</v>
      </c>
      <c r="AU2" s="1" t="s">
        <v>39</v>
      </c>
      <c r="AV2" s="1" t="s">
        <v>40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33</v>
      </c>
      <c r="BH2" s="1" t="s">
        <v>34</v>
      </c>
      <c r="BI2" s="1" t="s">
        <v>38</v>
      </c>
      <c r="BJ2" s="1" t="s">
        <v>39</v>
      </c>
      <c r="BK2" s="1" t="s">
        <v>40</v>
      </c>
    </row>
    <row r="3" spans="1:63">
      <c r="A3" s="1" t="s">
        <v>0</v>
      </c>
      <c r="B3" s="1">
        <v>570267</v>
      </c>
      <c r="C3" s="1">
        <v>35341</v>
      </c>
      <c r="D3" s="1">
        <v>32870440</v>
      </c>
      <c r="E3" s="1">
        <v>0</v>
      </c>
      <c r="F3" s="1">
        <v>5594</v>
      </c>
      <c r="G3" s="1">
        <v>0</v>
      </c>
      <c r="H3" s="1">
        <v>1</v>
      </c>
      <c r="I3" s="1">
        <v>257.593</v>
      </c>
      <c r="J3" s="1">
        <v>259.43</v>
      </c>
      <c r="K3" s="1">
        <v>122</v>
      </c>
      <c r="L3" s="1" t="s">
        <v>30</v>
      </c>
      <c r="M3" s="1">
        <v>30901515</v>
      </c>
      <c r="N3" s="1">
        <v>76.70999999999999</v>
      </c>
      <c r="O3" s="1" t="s">
        <v>36</v>
      </c>
      <c r="P3" s="1">
        <v>259.43</v>
      </c>
      <c r="Q3" s="1">
        <v>0</v>
      </c>
      <c r="R3" s="1">
        <v>1233449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155097</v>
      </c>
      <c r="C4" s="1">
        <v>10950</v>
      </c>
      <c r="D4" s="1">
        <v>33163011</v>
      </c>
      <c r="E4" s="1">
        <v>0</v>
      </c>
      <c r="F4" s="1">
        <v>5647</v>
      </c>
      <c r="G4" s="1">
        <v>0</v>
      </c>
      <c r="H4" s="1">
        <v>1</v>
      </c>
      <c r="I4" s="1">
        <v>199.271</v>
      </c>
      <c r="J4" s="1">
        <v>200.74</v>
      </c>
      <c r="K4" s="1">
        <v>45</v>
      </c>
      <c r="L4" s="1" t="s">
        <v>30</v>
      </c>
      <c r="M4" s="1">
        <v>31240755</v>
      </c>
      <c r="N4" s="1">
        <v>22.57</v>
      </c>
      <c r="O4" s="1" t="s">
        <v>36</v>
      </c>
      <c r="P4" s="1">
        <v>200.74</v>
      </c>
      <c r="Q4" s="1">
        <v>0</v>
      </c>
      <c r="R4" s="1">
        <v>1158173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/>
      <c r="C5" s="1"/>
      <c r="D5" s="1"/>
      <c r="E5" s="1">
        <v>1</v>
      </c>
      <c r="F5" s="1">
        <v>8575</v>
      </c>
      <c r="G5" s="1">
        <v>0</v>
      </c>
      <c r="H5" s="1"/>
      <c r="I5" s="1"/>
      <c r="J5" s="1">
        <v>3600</v>
      </c>
      <c r="K5" s="1"/>
      <c r="L5" s="1" t="s">
        <v>31</v>
      </c>
      <c r="M5" s="1"/>
      <c r="N5" s="1"/>
      <c r="O5" s="1"/>
      <c r="P5" s="1">
        <v>1800</v>
      </c>
      <c r="Q5" s="1">
        <v>1</v>
      </c>
      <c r="R5" s="1"/>
      <c r="S5" s="1"/>
      <c r="T5" s="1"/>
      <c r="U5" s="1"/>
      <c r="V5" s="1">
        <f>MIN($E5)</f>
        <v>0</v>
      </c>
      <c r="W5" s="1">
        <f>MIN($F5)</f>
        <v>0</v>
      </c>
      <c r="X5" s="1">
        <f>MIN($G5)</f>
        <v>0</v>
      </c>
      <c r="Y5" s="1"/>
      <c r="Z5" s="1"/>
      <c r="AA5" s="1">
        <f>MIN($J5)</f>
        <v>0</v>
      </c>
      <c r="AB5" s="1"/>
      <c r="AC5" s="1"/>
      <c r="AD5" s="1"/>
      <c r="AE5" s="1">
        <f>MIN($P5)</f>
        <v>0</v>
      </c>
      <c r="AF5" s="1">
        <f>MIN($Q5)</f>
        <v>0</v>
      </c>
      <c r="AG5" s="1"/>
      <c r="AH5" s="1"/>
      <c r="AI5" s="1"/>
      <c r="AJ5" s="1"/>
      <c r="AK5" s="1">
        <f>MEDIAN($E5)</f>
        <v>0</v>
      </c>
      <c r="AL5" s="1">
        <f>MEDIAN($F5)</f>
        <v>0</v>
      </c>
      <c r="AM5" s="1">
        <f>MEDIAN($G5)</f>
        <v>0</v>
      </c>
      <c r="AN5" s="1"/>
      <c r="AO5" s="1"/>
      <c r="AP5" s="1">
        <f>MEDIAN($J5)</f>
        <v>0</v>
      </c>
      <c r="AQ5" s="1"/>
      <c r="AR5" s="1"/>
      <c r="AS5" s="1"/>
      <c r="AT5" s="1">
        <f>MEDIAN($P5)</f>
        <v>0</v>
      </c>
      <c r="AU5" s="1">
        <f>MEDIAN($Q5)</f>
        <v>0</v>
      </c>
      <c r="AV5" s="1"/>
      <c r="AW5" s="1"/>
      <c r="AX5" s="1"/>
      <c r="AY5" s="1"/>
      <c r="AZ5" s="1">
        <f>MAX($E5)</f>
        <v>0</v>
      </c>
      <c r="BA5" s="1">
        <f>MAX($F5)</f>
        <v>0</v>
      </c>
      <c r="BB5" s="1">
        <f>MAX($G5)</f>
        <v>0</v>
      </c>
      <c r="BC5" s="1"/>
      <c r="BD5" s="1"/>
      <c r="BE5" s="1">
        <f>MAX($J5)</f>
        <v>0</v>
      </c>
      <c r="BF5" s="1"/>
      <c r="BG5" s="1"/>
      <c r="BH5" s="1"/>
      <c r="BI5" s="1">
        <f>MAX($P5)</f>
        <v>0</v>
      </c>
      <c r="BJ5" s="1">
        <f>MAX($Q5)</f>
        <v>0</v>
      </c>
      <c r="BK5" s="1"/>
    </row>
    <row r="6" spans="1:63">
      <c r="A6" s="1" t="s">
        <v>3</v>
      </c>
      <c r="B6" s="1"/>
      <c r="C6" s="1"/>
      <c r="D6" s="1"/>
      <c r="E6" s="1">
        <v>1</v>
      </c>
      <c r="F6" s="1">
        <v>9833</v>
      </c>
      <c r="G6" s="1">
        <v>0</v>
      </c>
      <c r="H6" s="1"/>
      <c r="I6" s="1"/>
      <c r="J6" s="1">
        <v>3600</v>
      </c>
      <c r="K6" s="1"/>
      <c r="L6" s="1" t="s">
        <v>31</v>
      </c>
      <c r="M6" s="1"/>
      <c r="N6" s="1"/>
      <c r="O6" s="1"/>
      <c r="P6" s="1">
        <v>1800</v>
      </c>
      <c r="Q6" s="1">
        <v>1</v>
      </c>
      <c r="R6" s="1"/>
      <c r="S6" s="1"/>
      <c r="T6" s="1"/>
      <c r="U6" s="1"/>
      <c r="V6" s="1">
        <f>MIN($E6)</f>
        <v>0</v>
      </c>
      <c r="W6" s="1">
        <f>MIN($F6)</f>
        <v>0</v>
      </c>
      <c r="X6" s="1">
        <f>MIN($G6)</f>
        <v>0</v>
      </c>
      <c r="Y6" s="1"/>
      <c r="Z6" s="1"/>
      <c r="AA6" s="1">
        <f>MIN($J6)</f>
        <v>0</v>
      </c>
      <c r="AB6" s="1"/>
      <c r="AC6" s="1"/>
      <c r="AD6" s="1"/>
      <c r="AE6" s="1">
        <f>MIN($P6)</f>
        <v>0</v>
      </c>
      <c r="AF6" s="1">
        <f>MIN($Q6)</f>
        <v>0</v>
      </c>
      <c r="AG6" s="1"/>
      <c r="AH6" s="1"/>
      <c r="AI6" s="1"/>
      <c r="AJ6" s="1"/>
      <c r="AK6" s="1">
        <f>MEDIAN($E6)</f>
        <v>0</v>
      </c>
      <c r="AL6" s="1">
        <f>MEDIAN($F6)</f>
        <v>0</v>
      </c>
      <c r="AM6" s="1">
        <f>MEDIAN($G6)</f>
        <v>0</v>
      </c>
      <c r="AN6" s="1"/>
      <c r="AO6" s="1"/>
      <c r="AP6" s="1">
        <f>MEDIAN($J6)</f>
        <v>0</v>
      </c>
      <c r="AQ6" s="1"/>
      <c r="AR6" s="1"/>
      <c r="AS6" s="1"/>
      <c r="AT6" s="1">
        <f>MEDIAN($P6)</f>
        <v>0</v>
      </c>
      <c r="AU6" s="1">
        <f>MEDIAN($Q6)</f>
        <v>0</v>
      </c>
      <c r="AV6" s="1"/>
      <c r="AW6" s="1"/>
      <c r="AX6" s="1"/>
      <c r="AY6" s="1"/>
      <c r="AZ6" s="1">
        <f>MAX($E6)</f>
        <v>0</v>
      </c>
      <c r="BA6" s="1">
        <f>MAX($F6)</f>
        <v>0</v>
      </c>
      <c r="BB6" s="1">
        <f>MAX($G6)</f>
        <v>0</v>
      </c>
      <c r="BC6" s="1"/>
      <c r="BD6" s="1"/>
      <c r="BE6" s="1">
        <f>MAX($J6)</f>
        <v>0</v>
      </c>
      <c r="BF6" s="1"/>
      <c r="BG6" s="1"/>
      <c r="BH6" s="1"/>
      <c r="BI6" s="1">
        <f>MAX($P6)</f>
        <v>0</v>
      </c>
      <c r="BJ6" s="1">
        <f>MAX($Q6)</f>
        <v>0</v>
      </c>
      <c r="BK6" s="1"/>
    </row>
    <row r="7" spans="1:63">
      <c r="A7" s="1" t="s">
        <v>4</v>
      </c>
      <c r="B7" s="1">
        <v>2101514</v>
      </c>
      <c r="C7" s="1">
        <v>283007</v>
      </c>
      <c r="D7" s="1">
        <v>30308585</v>
      </c>
      <c r="E7" s="1">
        <v>0</v>
      </c>
      <c r="F7" s="1">
        <v>5080</v>
      </c>
      <c r="G7" s="1">
        <v>0</v>
      </c>
      <c r="H7" s="1">
        <v>1</v>
      </c>
      <c r="I7" s="1">
        <v>551.252</v>
      </c>
      <c r="J7" s="1">
        <v>553.8</v>
      </c>
      <c r="K7" s="1">
        <v>637</v>
      </c>
      <c r="L7" s="1" t="s">
        <v>30</v>
      </c>
      <c r="M7" s="1">
        <v>27903586</v>
      </c>
      <c r="N7" s="1">
        <v>386.74</v>
      </c>
      <c r="O7" s="1" t="s">
        <v>36</v>
      </c>
      <c r="P7" s="1">
        <v>553.8</v>
      </c>
      <c r="Q7" s="1">
        <v>0</v>
      </c>
      <c r="R7" s="1">
        <v>1119738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567246</v>
      </c>
      <c r="C8" s="1">
        <v>48096</v>
      </c>
      <c r="D8" s="1">
        <v>40876397</v>
      </c>
      <c r="E8" s="1">
        <v>0</v>
      </c>
      <c r="F8" s="1">
        <v>6983</v>
      </c>
      <c r="G8" s="1">
        <v>0</v>
      </c>
      <c r="H8" s="1">
        <v>1</v>
      </c>
      <c r="I8" s="1">
        <v>337.089</v>
      </c>
      <c r="J8" s="1">
        <v>339.69</v>
      </c>
      <c r="K8" s="1">
        <v>141</v>
      </c>
      <c r="L8" s="1" t="s">
        <v>30</v>
      </c>
      <c r="M8" s="1">
        <v>39189548</v>
      </c>
      <c r="N8" s="1">
        <v>100.31</v>
      </c>
      <c r="O8" s="1" t="s">
        <v>36</v>
      </c>
      <c r="P8" s="1">
        <v>339.69</v>
      </c>
      <c r="Q8" s="1">
        <v>0</v>
      </c>
      <c r="R8" s="1">
        <v>1506064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2248583</v>
      </c>
      <c r="C9" s="1">
        <v>233999</v>
      </c>
      <c r="D9" s="1">
        <v>50592044</v>
      </c>
      <c r="E9" s="1">
        <v>0</v>
      </c>
      <c r="F9" s="1">
        <v>8179</v>
      </c>
      <c r="G9" s="1">
        <v>0</v>
      </c>
      <c r="H9" s="1">
        <v>1</v>
      </c>
      <c r="I9" s="1">
        <v>1223.592</v>
      </c>
      <c r="J9" s="1">
        <v>1231.84</v>
      </c>
      <c r="K9" s="1">
        <v>569</v>
      </c>
      <c r="L9" s="1" t="s">
        <v>30</v>
      </c>
      <c r="M9" s="1">
        <v>45051637</v>
      </c>
      <c r="N9" s="1">
        <v>948.55</v>
      </c>
      <c r="O9" s="1" t="s">
        <v>36</v>
      </c>
      <c r="P9" s="1">
        <v>1231.84</v>
      </c>
      <c r="Q9" s="1">
        <v>0</v>
      </c>
      <c r="R9" s="1">
        <v>2568549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/>
      <c r="C10" s="1"/>
      <c r="D10" s="1"/>
      <c r="E10" s="1">
        <v>1</v>
      </c>
      <c r="F10" s="1">
        <v>10128</v>
      </c>
      <c r="G10" s="1">
        <v>0</v>
      </c>
      <c r="H10" s="1"/>
      <c r="I10" s="1"/>
      <c r="J10" s="1">
        <v>3600</v>
      </c>
      <c r="K10" s="1"/>
      <c r="L10" s="1" t="s">
        <v>31</v>
      </c>
      <c r="M10" s="1"/>
      <c r="N10" s="1"/>
      <c r="O10" s="1"/>
      <c r="P10" s="1">
        <v>1800</v>
      </c>
      <c r="Q10" s="1">
        <v>1</v>
      </c>
      <c r="R10" s="1"/>
      <c r="S10" s="1"/>
      <c r="T10" s="1"/>
      <c r="U10" s="1"/>
      <c r="V10" s="1">
        <f>MIN($E10)</f>
        <v>0</v>
      </c>
      <c r="W10" s="1">
        <f>MIN($F10)</f>
        <v>0</v>
      </c>
      <c r="X10" s="1">
        <f>MIN($G10)</f>
        <v>0</v>
      </c>
      <c r="Y10" s="1"/>
      <c r="Z10" s="1"/>
      <c r="AA10" s="1">
        <f>MIN($J10)</f>
        <v>0</v>
      </c>
      <c r="AB10" s="1"/>
      <c r="AC10" s="1"/>
      <c r="AD10" s="1"/>
      <c r="AE10" s="1">
        <f>MIN($P10)</f>
        <v>0</v>
      </c>
      <c r="AF10" s="1">
        <f>MIN($Q10)</f>
        <v>0</v>
      </c>
      <c r="AG10" s="1"/>
      <c r="AH10" s="1"/>
      <c r="AI10" s="1"/>
      <c r="AJ10" s="1"/>
      <c r="AK10" s="1">
        <f>MEDIAN($E10)</f>
        <v>0</v>
      </c>
      <c r="AL10" s="1">
        <f>MEDIAN($F10)</f>
        <v>0</v>
      </c>
      <c r="AM10" s="1">
        <f>MEDIAN($G10)</f>
        <v>0</v>
      </c>
      <c r="AN10" s="1"/>
      <c r="AO10" s="1"/>
      <c r="AP10" s="1">
        <f>MEDIAN($J10)</f>
        <v>0</v>
      </c>
      <c r="AQ10" s="1"/>
      <c r="AR10" s="1"/>
      <c r="AS10" s="1"/>
      <c r="AT10" s="1">
        <f>MEDIAN($P10)</f>
        <v>0</v>
      </c>
      <c r="AU10" s="1">
        <f>MEDIAN($Q10)</f>
        <v>0</v>
      </c>
      <c r="AV10" s="1"/>
      <c r="AW10" s="1"/>
      <c r="AX10" s="1"/>
      <c r="AY10" s="1"/>
      <c r="AZ10" s="1">
        <f>MAX($E10)</f>
        <v>0</v>
      </c>
      <c r="BA10" s="1">
        <f>MAX($F10)</f>
        <v>0</v>
      </c>
      <c r="BB10" s="1">
        <f>MAX($G10)</f>
        <v>0</v>
      </c>
      <c r="BC10" s="1"/>
      <c r="BD10" s="1"/>
      <c r="BE10" s="1">
        <f>MAX($J10)</f>
        <v>0</v>
      </c>
      <c r="BF10" s="1"/>
      <c r="BG10" s="1"/>
      <c r="BH10" s="1"/>
      <c r="BI10" s="1">
        <f>MAX($P10)</f>
        <v>0</v>
      </c>
      <c r="BJ10" s="1">
        <f>MAX($Q10)</f>
        <v>0</v>
      </c>
      <c r="BK10" s="1"/>
    </row>
    <row r="11" spans="1:63">
      <c r="A11" s="1" t="s">
        <v>8</v>
      </c>
      <c r="B11" s="1">
        <v>6824492</v>
      </c>
      <c r="C11" s="1">
        <v>690817</v>
      </c>
      <c r="D11" s="1">
        <v>40033348</v>
      </c>
      <c r="E11" s="1">
        <v>0</v>
      </c>
      <c r="F11" s="1">
        <v>6954</v>
      </c>
      <c r="G11" s="1">
        <v>0</v>
      </c>
      <c r="H11" s="1">
        <v>1</v>
      </c>
      <c r="I11" s="1">
        <v>1543.118</v>
      </c>
      <c r="J11" s="1">
        <v>1546.11</v>
      </c>
      <c r="K11" s="1">
        <v>1480</v>
      </c>
      <c r="L11" s="1" t="s">
        <v>30</v>
      </c>
      <c r="M11" s="1">
        <v>37432639</v>
      </c>
      <c r="N11" s="1">
        <v>1319.15</v>
      </c>
      <c r="O11" s="1" t="s">
        <v>36</v>
      </c>
      <c r="P11" s="1">
        <v>1546.11</v>
      </c>
      <c r="Q11" s="1">
        <v>0</v>
      </c>
      <c r="R11" s="1">
        <v>2089703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/>
      <c r="C12" s="1"/>
      <c r="D12" s="1"/>
      <c r="E12" s="1">
        <v>1</v>
      </c>
      <c r="F12" s="1">
        <v>9581</v>
      </c>
      <c r="G12" s="1">
        <v>0</v>
      </c>
      <c r="H12" s="1"/>
      <c r="I12" s="1"/>
      <c r="J12" s="1">
        <v>3600</v>
      </c>
      <c r="K12" s="1"/>
      <c r="L12" s="1" t="s">
        <v>31</v>
      </c>
      <c r="M12" s="1"/>
      <c r="N12" s="1"/>
      <c r="O12" s="1"/>
      <c r="P12" s="1">
        <v>1800</v>
      </c>
      <c r="Q12" s="1">
        <v>1</v>
      </c>
      <c r="R12" s="1"/>
      <c r="S12" s="1"/>
      <c r="T12" s="1"/>
      <c r="U12" s="1"/>
      <c r="V12" s="1">
        <f>MIN($E12)</f>
        <v>0</v>
      </c>
      <c r="W12" s="1">
        <f>MIN($F12)</f>
        <v>0</v>
      </c>
      <c r="X12" s="1">
        <f>MIN($G12)</f>
        <v>0</v>
      </c>
      <c r="Y12" s="1"/>
      <c r="Z12" s="1"/>
      <c r="AA12" s="1">
        <f>MIN($J12)</f>
        <v>0</v>
      </c>
      <c r="AB12" s="1"/>
      <c r="AC12" s="1"/>
      <c r="AD12" s="1"/>
      <c r="AE12" s="1">
        <f>MIN($P12)</f>
        <v>0</v>
      </c>
      <c r="AF12" s="1">
        <f>MIN($Q12)</f>
        <v>0</v>
      </c>
      <c r="AG12" s="1"/>
      <c r="AH12" s="1"/>
      <c r="AI12" s="1"/>
      <c r="AJ12" s="1"/>
      <c r="AK12" s="1">
        <f>MEDIAN($E12)</f>
        <v>0</v>
      </c>
      <c r="AL12" s="1">
        <f>MEDIAN($F12)</f>
        <v>0</v>
      </c>
      <c r="AM12" s="1">
        <f>MEDIAN($G12)</f>
        <v>0</v>
      </c>
      <c r="AN12" s="1"/>
      <c r="AO12" s="1"/>
      <c r="AP12" s="1">
        <f>MEDIAN($J12)</f>
        <v>0</v>
      </c>
      <c r="AQ12" s="1"/>
      <c r="AR12" s="1"/>
      <c r="AS12" s="1"/>
      <c r="AT12" s="1">
        <f>MEDIAN($P12)</f>
        <v>0</v>
      </c>
      <c r="AU12" s="1">
        <f>MEDIAN($Q12)</f>
        <v>0</v>
      </c>
      <c r="AV12" s="1"/>
      <c r="AW12" s="1"/>
      <c r="AX12" s="1"/>
      <c r="AY12" s="1"/>
      <c r="AZ12" s="1">
        <f>MAX($E12)</f>
        <v>0</v>
      </c>
      <c r="BA12" s="1">
        <f>MAX($F12)</f>
        <v>0</v>
      </c>
      <c r="BB12" s="1">
        <f>MAX($G12)</f>
        <v>0</v>
      </c>
      <c r="BC12" s="1"/>
      <c r="BD12" s="1"/>
      <c r="BE12" s="1">
        <f>MAX($J12)</f>
        <v>0</v>
      </c>
      <c r="BF12" s="1"/>
      <c r="BG12" s="1"/>
      <c r="BH12" s="1"/>
      <c r="BI12" s="1">
        <f>MAX($P12)</f>
        <v>0</v>
      </c>
      <c r="BJ12" s="1">
        <f>MAX($Q12)</f>
        <v>0</v>
      </c>
      <c r="BK12" s="1"/>
    </row>
    <row r="13" spans="1:63">
      <c r="A13" s="1" t="s">
        <v>0</v>
      </c>
      <c r="B13" s="1"/>
      <c r="C13" s="1"/>
      <c r="D13" s="1"/>
      <c r="E13" s="1">
        <v>1</v>
      </c>
      <c r="F13" s="1">
        <v>10004</v>
      </c>
      <c r="G13" s="1">
        <v>0</v>
      </c>
      <c r="H13" s="1"/>
      <c r="I13" s="1"/>
      <c r="J13" s="1">
        <v>3600</v>
      </c>
      <c r="K13" s="1"/>
      <c r="L13" s="1" t="s">
        <v>31</v>
      </c>
      <c r="M13" s="1"/>
      <c r="N13" s="1"/>
      <c r="O13" s="1"/>
      <c r="P13" s="1">
        <v>1800</v>
      </c>
      <c r="Q13" s="1">
        <v>1</v>
      </c>
      <c r="R13" s="1"/>
      <c r="S13" s="1"/>
      <c r="T13" s="1"/>
      <c r="U13" s="1"/>
      <c r="V13" s="1">
        <f>MIN($E13)</f>
        <v>0</v>
      </c>
      <c r="W13" s="1">
        <f>MIN($F13)</f>
        <v>0</v>
      </c>
      <c r="X13" s="1">
        <f>MIN($G13)</f>
        <v>0</v>
      </c>
      <c r="Y13" s="1"/>
      <c r="Z13" s="1"/>
      <c r="AA13" s="1">
        <f>MIN($J13)</f>
        <v>0</v>
      </c>
      <c r="AB13" s="1"/>
      <c r="AC13" s="1"/>
      <c r="AD13" s="1"/>
      <c r="AE13" s="1">
        <f>MIN($P13)</f>
        <v>0</v>
      </c>
      <c r="AF13" s="1">
        <f>MIN($Q13)</f>
        <v>0</v>
      </c>
      <c r="AG13" s="1"/>
      <c r="AH13" s="1"/>
      <c r="AI13" s="1"/>
      <c r="AJ13" s="1"/>
      <c r="AK13" s="1">
        <f>MEDIAN($E13)</f>
        <v>0</v>
      </c>
      <c r="AL13" s="1">
        <f>MEDIAN($F13)</f>
        <v>0</v>
      </c>
      <c r="AM13" s="1">
        <f>MEDIAN($G13)</f>
        <v>0</v>
      </c>
      <c r="AN13" s="1"/>
      <c r="AO13" s="1"/>
      <c r="AP13" s="1">
        <f>MEDIAN($J13)</f>
        <v>0</v>
      </c>
      <c r="AQ13" s="1"/>
      <c r="AR13" s="1"/>
      <c r="AS13" s="1"/>
      <c r="AT13" s="1">
        <f>MEDIAN($P13)</f>
        <v>0</v>
      </c>
      <c r="AU13" s="1">
        <f>MEDIAN($Q13)</f>
        <v>0</v>
      </c>
      <c r="AV13" s="1"/>
      <c r="AW13" s="1"/>
      <c r="AX13" s="1"/>
      <c r="AY13" s="1"/>
      <c r="AZ13" s="1">
        <f>MAX($E13)</f>
        <v>0</v>
      </c>
      <c r="BA13" s="1">
        <f>MAX($F13)</f>
        <v>0</v>
      </c>
      <c r="BB13" s="1">
        <f>MAX($G13)</f>
        <v>0</v>
      </c>
      <c r="BC13" s="1"/>
      <c r="BD13" s="1"/>
      <c r="BE13" s="1">
        <f>MAX($J13)</f>
        <v>0</v>
      </c>
      <c r="BF13" s="1"/>
      <c r="BG13" s="1"/>
      <c r="BH13" s="1"/>
      <c r="BI13" s="1">
        <f>MAX($P13)</f>
        <v>0</v>
      </c>
      <c r="BJ13" s="1">
        <f>MAX($Q13)</f>
        <v>0</v>
      </c>
      <c r="BK13" s="1"/>
    </row>
    <row r="14" spans="1:63">
      <c r="A14" s="1" t="s">
        <v>1</v>
      </c>
      <c r="B14" s="1"/>
      <c r="C14" s="1"/>
      <c r="D14" s="1"/>
      <c r="E14" s="1">
        <v>1</v>
      </c>
      <c r="F14" s="1">
        <v>10542</v>
      </c>
      <c r="G14" s="1">
        <v>0</v>
      </c>
      <c r="H14" s="1"/>
      <c r="I14" s="1"/>
      <c r="J14" s="1">
        <v>3600</v>
      </c>
      <c r="K14" s="1"/>
      <c r="L14" s="1" t="s">
        <v>31</v>
      </c>
      <c r="M14" s="1"/>
      <c r="N14" s="1"/>
      <c r="O14" s="1"/>
      <c r="P14" s="1">
        <v>1800</v>
      </c>
      <c r="Q14" s="1">
        <v>1</v>
      </c>
      <c r="R14" s="1"/>
      <c r="S14" s="1"/>
      <c r="T14" s="1"/>
      <c r="U14" s="1"/>
      <c r="V14" s="1">
        <f>MIN($E14)</f>
        <v>0</v>
      </c>
      <c r="W14" s="1">
        <f>MIN($F14)</f>
        <v>0</v>
      </c>
      <c r="X14" s="1">
        <f>MIN($G14)</f>
        <v>0</v>
      </c>
      <c r="Y14" s="1"/>
      <c r="Z14" s="1"/>
      <c r="AA14" s="1">
        <f>MIN($J14)</f>
        <v>0</v>
      </c>
      <c r="AB14" s="1"/>
      <c r="AC14" s="1"/>
      <c r="AD14" s="1"/>
      <c r="AE14" s="1">
        <f>MIN($P14)</f>
        <v>0</v>
      </c>
      <c r="AF14" s="1">
        <f>MIN($Q14)</f>
        <v>0</v>
      </c>
      <c r="AG14" s="1"/>
      <c r="AH14" s="1"/>
      <c r="AI14" s="1"/>
      <c r="AJ14" s="1"/>
      <c r="AK14" s="1">
        <f>MEDIAN($E14)</f>
        <v>0</v>
      </c>
      <c r="AL14" s="1">
        <f>MEDIAN($F14)</f>
        <v>0</v>
      </c>
      <c r="AM14" s="1">
        <f>MEDIAN($G14)</f>
        <v>0</v>
      </c>
      <c r="AN14" s="1"/>
      <c r="AO14" s="1"/>
      <c r="AP14" s="1">
        <f>MEDIAN($J14)</f>
        <v>0</v>
      </c>
      <c r="AQ14" s="1"/>
      <c r="AR14" s="1"/>
      <c r="AS14" s="1"/>
      <c r="AT14" s="1">
        <f>MEDIAN($P14)</f>
        <v>0</v>
      </c>
      <c r="AU14" s="1">
        <f>MEDIAN($Q14)</f>
        <v>0</v>
      </c>
      <c r="AV14" s="1"/>
      <c r="AW14" s="1"/>
      <c r="AX14" s="1"/>
      <c r="AY14" s="1"/>
      <c r="AZ14" s="1">
        <f>MAX($E14)</f>
        <v>0</v>
      </c>
      <c r="BA14" s="1">
        <f>MAX($F14)</f>
        <v>0</v>
      </c>
      <c r="BB14" s="1">
        <f>MAX($G14)</f>
        <v>0</v>
      </c>
      <c r="BC14" s="1"/>
      <c r="BD14" s="1"/>
      <c r="BE14" s="1">
        <f>MAX($J14)</f>
        <v>0</v>
      </c>
      <c r="BF14" s="1"/>
      <c r="BG14" s="1"/>
      <c r="BH14" s="1"/>
      <c r="BI14" s="1">
        <f>MAX($P14)</f>
        <v>0</v>
      </c>
      <c r="BJ14" s="1">
        <f>MAX($Q14)</f>
        <v>0</v>
      </c>
      <c r="BK14" s="1"/>
    </row>
    <row r="15" spans="1:63">
      <c r="A15" s="1" t="s">
        <v>2</v>
      </c>
      <c r="B15" s="1"/>
      <c r="C15" s="1"/>
      <c r="D15" s="1"/>
      <c r="E15" s="1">
        <v>1</v>
      </c>
      <c r="F15" s="1">
        <v>9788</v>
      </c>
      <c r="G15" s="1">
        <v>0</v>
      </c>
      <c r="H15" s="1"/>
      <c r="I15" s="1"/>
      <c r="J15" s="1">
        <v>3600</v>
      </c>
      <c r="K15" s="1"/>
      <c r="L15" s="1" t="s">
        <v>31</v>
      </c>
      <c r="M15" s="1"/>
      <c r="N15" s="1"/>
      <c r="O15" s="1"/>
      <c r="P15" s="1">
        <v>1800</v>
      </c>
      <c r="Q15" s="1">
        <v>1</v>
      </c>
      <c r="R15" s="1"/>
      <c r="S15" s="1"/>
      <c r="T15" s="1"/>
      <c r="U15" s="1"/>
      <c r="V15" s="1">
        <f>MIN($E15)</f>
        <v>0</v>
      </c>
      <c r="W15" s="1">
        <f>MIN($F15)</f>
        <v>0</v>
      </c>
      <c r="X15" s="1">
        <f>MIN($G15)</f>
        <v>0</v>
      </c>
      <c r="Y15" s="1"/>
      <c r="Z15" s="1"/>
      <c r="AA15" s="1">
        <f>MIN($J15)</f>
        <v>0</v>
      </c>
      <c r="AB15" s="1"/>
      <c r="AC15" s="1"/>
      <c r="AD15" s="1"/>
      <c r="AE15" s="1">
        <f>MIN($P15)</f>
        <v>0</v>
      </c>
      <c r="AF15" s="1">
        <f>MIN($Q15)</f>
        <v>0</v>
      </c>
      <c r="AG15" s="1"/>
      <c r="AH15" s="1"/>
      <c r="AI15" s="1"/>
      <c r="AJ15" s="1"/>
      <c r="AK15" s="1">
        <f>MEDIAN($E15)</f>
        <v>0</v>
      </c>
      <c r="AL15" s="1">
        <f>MEDIAN($F15)</f>
        <v>0</v>
      </c>
      <c r="AM15" s="1">
        <f>MEDIAN($G15)</f>
        <v>0</v>
      </c>
      <c r="AN15" s="1"/>
      <c r="AO15" s="1"/>
      <c r="AP15" s="1">
        <f>MEDIAN($J15)</f>
        <v>0</v>
      </c>
      <c r="AQ15" s="1"/>
      <c r="AR15" s="1"/>
      <c r="AS15" s="1"/>
      <c r="AT15" s="1">
        <f>MEDIAN($P15)</f>
        <v>0</v>
      </c>
      <c r="AU15" s="1">
        <f>MEDIAN($Q15)</f>
        <v>0</v>
      </c>
      <c r="AV15" s="1"/>
      <c r="AW15" s="1"/>
      <c r="AX15" s="1"/>
      <c r="AY15" s="1"/>
      <c r="AZ15" s="1">
        <f>MAX($E15)</f>
        <v>0</v>
      </c>
      <c r="BA15" s="1">
        <f>MAX($F15)</f>
        <v>0</v>
      </c>
      <c r="BB15" s="1">
        <f>MAX($G15)</f>
        <v>0</v>
      </c>
      <c r="BC15" s="1"/>
      <c r="BD15" s="1"/>
      <c r="BE15" s="1">
        <f>MAX($J15)</f>
        <v>0</v>
      </c>
      <c r="BF15" s="1"/>
      <c r="BG15" s="1"/>
      <c r="BH15" s="1"/>
      <c r="BI15" s="1">
        <f>MAX($P15)</f>
        <v>0</v>
      </c>
      <c r="BJ15" s="1">
        <f>MAX($Q15)</f>
        <v>0</v>
      </c>
      <c r="BK15" s="1"/>
    </row>
    <row r="16" spans="1:63">
      <c r="A16" s="1" t="s">
        <v>3</v>
      </c>
      <c r="B16" s="1"/>
      <c r="C16" s="1"/>
      <c r="D16" s="1"/>
      <c r="E16" s="1">
        <v>1</v>
      </c>
      <c r="F16" s="1">
        <v>12215</v>
      </c>
      <c r="G16" s="1">
        <v>0</v>
      </c>
      <c r="H16" s="1"/>
      <c r="I16" s="1"/>
      <c r="J16" s="1">
        <v>3600</v>
      </c>
      <c r="K16" s="1"/>
      <c r="L16" s="1" t="s">
        <v>31</v>
      </c>
      <c r="M16" s="1"/>
      <c r="N16" s="1"/>
      <c r="O16" s="1"/>
      <c r="P16" s="1">
        <v>1800</v>
      </c>
      <c r="Q16" s="1">
        <v>1</v>
      </c>
      <c r="R16" s="1"/>
      <c r="S16" s="1"/>
      <c r="T16" s="1"/>
      <c r="U16" s="1"/>
      <c r="V16" s="1">
        <f>MIN($E16)</f>
        <v>0</v>
      </c>
      <c r="W16" s="1">
        <f>MIN($F16)</f>
        <v>0</v>
      </c>
      <c r="X16" s="1">
        <f>MIN($G16)</f>
        <v>0</v>
      </c>
      <c r="Y16" s="1"/>
      <c r="Z16" s="1"/>
      <c r="AA16" s="1">
        <f>MIN($J16)</f>
        <v>0</v>
      </c>
      <c r="AB16" s="1"/>
      <c r="AC16" s="1"/>
      <c r="AD16" s="1"/>
      <c r="AE16" s="1">
        <f>MIN($P16)</f>
        <v>0</v>
      </c>
      <c r="AF16" s="1">
        <f>MIN($Q16)</f>
        <v>0</v>
      </c>
      <c r="AG16" s="1"/>
      <c r="AH16" s="1"/>
      <c r="AI16" s="1"/>
      <c r="AJ16" s="1"/>
      <c r="AK16" s="1">
        <f>MEDIAN($E16)</f>
        <v>0</v>
      </c>
      <c r="AL16" s="1">
        <f>MEDIAN($F16)</f>
        <v>0</v>
      </c>
      <c r="AM16" s="1">
        <f>MEDIAN($G16)</f>
        <v>0</v>
      </c>
      <c r="AN16" s="1"/>
      <c r="AO16" s="1"/>
      <c r="AP16" s="1">
        <f>MEDIAN($J16)</f>
        <v>0</v>
      </c>
      <c r="AQ16" s="1"/>
      <c r="AR16" s="1"/>
      <c r="AS16" s="1"/>
      <c r="AT16" s="1">
        <f>MEDIAN($P16)</f>
        <v>0</v>
      </c>
      <c r="AU16" s="1">
        <f>MEDIAN($Q16)</f>
        <v>0</v>
      </c>
      <c r="AV16" s="1"/>
      <c r="AW16" s="1"/>
      <c r="AX16" s="1"/>
      <c r="AY16" s="1"/>
      <c r="AZ16" s="1">
        <f>MAX($E16)</f>
        <v>0</v>
      </c>
      <c r="BA16" s="1">
        <f>MAX($F16)</f>
        <v>0</v>
      </c>
      <c r="BB16" s="1">
        <f>MAX($G16)</f>
        <v>0</v>
      </c>
      <c r="BC16" s="1"/>
      <c r="BD16" s="1"/>
      <c r="BE16" s="1">
        <f>MAX($J16)</f>
        <v>0</v>
      </c>
      <c r="BF16" s="1"/>
      <c r="BG16" s="1"/>
      <c r="BH16" s="1"/>
      <c r="BI16" s="1">
        <f>MAX($P16)</f>
        <v>0</v>
      </c>
      <c r="BJ16" s="1">
        <f>MAX($Q16)</f>
        <v>0</v>
      </c>
      <c r="BK16" s="1"/>
    </row>
    <row r="17" spans="1:63">
      <c r="A17" s="1" t="s">
        <v>4</v>
      </c>
      <c r="B17" s="1"/>
      <c r="C17" s="1"/>
      <c r="D17" s="1"/>
      <c r="E17" s="1">
        <v>1</v>
      </c>
      <c r="F17" s="1">
        <v>9983</v>
      </c>
      <c r="G17" s="1">
        <v>0</v>
      </c>
      <c r="H17" s="1"/>
      <c r="I17" s="1"/>
      <c r="J17" s="1">
        <v>3600</v>
      </c>
      <c r="K17" s="1"/>
      <c r="L17" s="1" t="s">
        <v>31</v>
      </c>
      <c r="M17" s="1"/>
      <c r="N17" s="1"/>
      <c r="O17" s="1"/>
      <c r="P17" s="1">
        <v>1800</v>
      </c>
      <c r="Q17" s="1">
        <v>1</v>
      </c>
      <c r="R17" s="1"/>
      <c r="S17" s="1"/>
      <c r="T17" s="1"/>
      <c r="U17" s="1"/>
      <c r="V17" s="1">
        <f>MIN($E17)</f>
        <v>0</v>
      </c>
      <c r="W17" s="1">
        <f>MIN($F17)</f>
        <v>0</v>
      </c>
      <c r="X17" s="1">
        <f>MIN($G17)</f>
        <v>0</v>
      </c>
      <c r="Y17" s="1"/>
      <c r="Z17" s="1"/>
      <c r="AA17" s="1">
        <f>MIN($J17)</f>
        <v>0</v>
      </c>
      <c r="AB17" s="1"/>
      <c r="AC17" s="1"/>
      <c r="AD17" s="1"/>
      <c r="AE17" s="1">
        <f>MIN($P17)</f>
        <v>0</v>
      </c>
      <c r="AF17" s="1">
        <f>MIN($Q17)</f>
        <v>0</v>
      </c>
      <c r="AG17" s="1"/>
      <c r="AH17" s="1"/>
      <c r="AI17" s="1"/>
      <c r="AJ17" s="1"/>
      <c r="AK17" s="1">
        <f>MEDIAN($E17)</f>
        <v>0</v>
      </c>
      <c r="AL17" s="1">
        <f>MEDIAN($F17)</f>
        <v>0</v>
      </c>
      <c r="AM17" s="1">
        <f>MEDIAN($G17)</f>
        <v>0</v>
      </c>
      <c r="AN17" s="1"/>
      <c r="AO17" s="1"/>
      <c r="AP17" s="1">
        <f>MEDIAN($J17)</f>
        <v>0</v>
      </c>
      <c r="AQ17" s="1"/>
      <c r="AR17" s="1"/>
      <c r="AS17" s="1"/>
      <c r="AT17" s="1">
        <f>MEDIAN($P17)</f>
        <v>0</v>
      </c>
      <c r="AU17" s="1">
        <f>MEDIAN($Q17)</f>
        <v>0</v>
      </c>
      <c r="AV17" s="1"/>
      <c r="AW17" s="1"/>
      <c r="AX17" s="1"/>
      <c r="AY17" s="1"/>
      <c r="AZ17" s="1">
        <f>MAX($E17)</f>
        <v>0</v>
      </c>
      <c r="BA17" s="1">
        <f>MAX($F17)</f>
        <v>0</v>
      </c>
      <c r="BB17" s="1">
        <f>MAX($G17)</f>
        <v>0</v>
      </c>
      <c r="BC17" s="1"/>
      <c r="BD17" s="1"/>
      <c r="BE17" s="1">
        <f>MAX($J17)</f>
        <v>0</v>
      </c>
      <c r="BF17" s="1"/>
      <c r="BG17" s="1"/>
      <c r="BH17" s="1"/>
      <c r="BI17" s="1">
        <f>MAX($P17)</f>
        <v>0</v>
      </c>
      <c r="BJ17" s="1">
        <f>MAX($Q17)</f>
        <v>0</v>
      </c>
      <c r="BK17" s="1"/>
    </row>
    <row r="18" spans="1:63">
      <c r="A18" s="1" t="s">
        <v>5</v>
      </c>
      <c r="B18" s="1"/>
      <c r="C18" s="1"/>
      <c r="D18" s="1"/>
      <c r="E18" s="1">
        <v>1</v>
      </c>
      <c r="F18" s="1">
        <v>10213</v>
      </c>
      <c r="G18" s="1">
        <v>0</v>
      </c>
      <c r="H18" s="1"/>
      <c r="I18" s="1"/>
      <c r="J18" s="1">
        <v>3600</v>
      </c>
      <c r="K18" s="1"/>
      <c r="L18" s="1" t="s">
        <v>31</v>
      </c>
      <c r="M18" s="1"/>
      <c r="N18" s="1"/>
      <c r="O18" s="1"/>
      <c r="P18" s="1">
        <v>1800</v>
      </c>
      <c r="Q18" s="1">
        <v>1</v>
      </c>
      <c r="R18" s="1"/>
      <c r="S18" s="1"/>
      <c r="T18" s="1"/>
      <c r="U18" s="1"/>
      <c r="V18" s="1">
        <f>MIN($E18)</f>
        <v>0</v>
      </c>
      <c r="W18" s="1">
        <f>MIN($F18)</f>
        <v>0</v>
      </c>
      <c r="X18" s="1">
        <f>MIN($G18)</f>
        <v>0</v>
      </c>
      <c r="Y18" s="1"/>
      <c r="Z18" s="1"/>
      <c r="AA18" s="1">
        <f>MIN($J18)</f>
        <v>0</v>
      </c>
      <c r="AB18" s="1"/>
      <c r="AC18" s="1"/>
      <c r="AD18" s="1"/>
      <c r="AE18" s="1">
        <f>MIN($P18)</f>
        <v>0</v>
      </c>
      <c r="AF18" s="1">
        <f>MIN($Q18)</f>
        <v>0</v>
      </c>
      <c r="AG18" s="1"/>
      <c r="AH18" s="1"/>
      <c r="AI18" s="1"/>
      <c r="AJ18" s="1"/>
      <c r="AK18" s="1">
        <f>MEDIAN($E18)</f>
        <v>0</v>
      </c>
      <c r="AL18" s="1">
        <f>MEDIAN($F18)</f>
        <v>0</v>
      </c>
      <c r="AM18" s="1">
        <f>MEDIAN($G18)</f>
        <v>0</v>
      </c>
      <c r="AN18" s="1"/>
      <c r="AO18" s="1"/>
      <c r="AP18" s="1">
        <f>MEDIAN($J18)</f>
        <v>0</v>
      </c>
      <c r="AQ18" s="1"/>
      <c r="AR18" s="1"/>
      <c r="AS18" s="1"/>
      <c r="AT18" s="1">
        <f>MEDIAN($P18)</f>
        <v>0</v>
      </c>
      <c r="AU18" s="1">
        <f>MEDIAN($Q18)</f>
        <v>0</v>
      </c>
      <c r="AV18" s="1"/>
      <c r="AW18" s="1"/>
      <c r="AX18" s="1"/>
      <c r="AY18" s="1"/>
      <c r="AZ18" s="1">
        <f>MAX($E18)</f>
        <v>0</v>
      </c>
      <c r="BA18" s="1">
        <f>MAX($F18)</f>
        <v>0</v>
      </c>
      <c r="BB18" s="1">
        <f>MAX($G18)</f>
        <v>0</v>
      </c>
      <c r="BC18" s="1"/>
      <c r="BD18" s="1"/>
      <c r="BE18" s="1">
        <f>MAX($J18)</f>
        <v>0</v>
      </c>
      <c r="BF18" s="1"/>
      <c r="BG18" s="1"/>
      <c r="BH18" s="1"/>
      <c r="BI18" s="1">
        <f>MAX($P18)</f>
        <v>0</v>
      </c>
      <c r="BJ18" s="1">
        <f>MAX($Q18)</f>
        <v>0</v>
      </c>
      <c r="BK18" s="1"/>
    </row>
    <row r="19" spans="1:63">
      <c r="A19" s="1" t="s">
        <v>6</v>
      </c>
      <c r="B19" s="1"/>
      <c r="C19" s="1"/>
      <c r="D19" s="1"/>
      <c r="E19" s="1">
        <v>1</v>
      </c>
      <c r="F19" s="1">
        <v>9003</v>
      </c>
      <c r="G19" s="1">
        <v>0</v>
      </c>
      <c r="H19" s="1"/>
      <c r="I19" s="1"/>
      <c r="J19" s="1">
        <v>3600</v>
      </c>
      <c r="K19" s="1"/>
      <c r="L19" s="1" t="s">
        <v>31</v>
      </c>
      <c r="M19" s="1"/>
      <c r="N19" s="1"/>
      <c r="O19" s="1"/>
      <c r="P19" s="1">
        <v>1800</v>
      </c>
      <c r="Q19" s="1">
        <v>1</v>
      </c>
      <c r="R19" s="1"/>
      <c r="S19" s="1"/>
      <c r="T19" s="1"/>
      <c r="U19" s="1"/>
      <c r="V19" s="1">
        <f>MIN($E19)</f>
        <v>0</v>
      </c>
      <c r="W19" s="1">
        <f>MIN($F19)</f>
        <v>0</v>
      </c>
      <c r="X19" s="1">
        <f>MIN($G19)</f>
        <v>0</v>
      </c>
      <c r="Y19" s="1"/>
      <c r="Z19" s="1"/>
      <c r="AA19" s="1">
        <f>MIN($J19)</f>
        <v>0</v>
      </c>
      <c r="AB19" s="1"/>
      <c r="AC19" s="1"/>
      <c r="AD19" s="1"/>
      <c r="AE19" s="1">
        <f>MIN($P19)</f>
        <v>0</v>
      </c>
      <c r="AF19" s="1">
        <f>MIN($Q19)</f>
        <v>0</v>
      </c>
      <c r="AG19" s="1"/>
      <c r="AH19" s="1"/>
      <c r="AI19" s="1"/>
      <c r="AJ19" s="1"/>
      <c r="AK19" s="1">
        <f>MEDIAN($E19)</f>
        <v>0</v>
      </c>
      <c r="AL19" s="1">
        <f>MEDIAN($F19)</f>
        <v>0</v>
      </c>
      <c r="AM19" s="1">
        <f>MEDIAN($G19)</f>
        <v>0</v>
      </c>
      <c r="AN19" s="1"/>
      <c r="AO19" s="1"/>
      <c r="AP19" s="1">
        <f>MEDIAN($J19)</f>
        <v>0</v>
      </c>
      <c r="AQ19" s="1"/>
      <c r="AR19" s="1"/>
      <c r="AS19" s="1"/>
      <c r="AT19" s="1">
        <f>MEDIAN($P19)</f>
        <v>0</v>
      </c>
      <c r="AU19" s="1">
        <f>MEDIAN($Q19)</f>
        <v>0</v>
      </c>
      <c r="AV19" s="1"/>
      <c r="AW19" s="1"/>
      <c r="AX19" s="1"/>
      <c r="AY19" s="1"/>
      <c r="AZ19" s="1">
        <f>MAX($E19)</f>
        <v>0</v>
      </c>
      <c r="BA19" s="1">
        <f>MAX($F19)</f>
        <v>0</v>
      </c>
      <c r="BB19" s="1">
        <f>MAX($G19)</f>
        <v>0</v>
      </c>
      <c r="BC19" s="1"/>
      <c r="BD19" s="1"/>
      <c r="BE19" s="1">
        <f>MAX($J19)</f>
        <v>0</v>
      </c>
      <c r="BF19" s="1"/>
      <c r="BG19" s="1"/>
      <c r="BH19" s="1"/>
      <c r="BI19" s="1">
        <f>MAX($P19)</f>
        <v>0</v>
      </c>
      <c r="BJ19" s="1">
        <f>MAX($Q19)</f>
        <v>0</v>
      </c>
      <c r="BK19" s="1"/>
    </row>
    <row r="20" spans="1:63">
      <c r="A20" s="1" t="s">
        <v>7</v>
      </c>
      <c r="B20" s="1"/>
      <c r="C20" s="1"/>
      <c r="D20" s="1"/>
      <c r="E20" s="1">
        <v>1</v>
      </c>
      <c r="F20" s="1">
        <v>9617</v>
      </c>
      <c r="G20" s="1">
        <v>0</v>
      </c>
      <c r="H20" s="1"/>
      <c r="I20" s="1"/>
      <c r="J20" s="1">
        <v>3600</v>
      </c>
      <c r="K20" s="1"/>
      <c r="L20" s="1" t="s">
        <v>31</v>
      </c>
      <c r="M20" s="1"/>
      <c r="N20" s="1"/>
      <c r="O20" s="1"/>
      <c r="P20" s="1">
        <v>1800</v>
      </c>
      <c r="Q20" s="1">
        <v>1</v>
      </c>
      <c r="R20" s="1"/>
      <c r="S20" s="1"/>
      <c r="T20" s="1"/>
      <c r="U20" s="1"/>
      <c r="V20" s="1">
        <f>MIN($E20)</f>
        <v>0</v>
      </c>
      <c r="W20" s="1">
        <f>MIN($F20)</f>
        <v>0</v>
      </c>
      <c r="X20" s="1">
        <f>MIN($G20)</f>
        <v>0</v>
      </c>
      <c r="Y20" s="1"/>
      <c r="Z20" s="1"/>
      <c r="AA20" s="1">
        <f>MIN($J20)</f>
        <v>0</v>
      </c>
      <c r="AB20" s="1"/>
      <c r="AC20" s="1"/>
      <c r="AD20" s="1"/>
      <c r="AE20" s="1">
        <f>MIN($P20)</f>
        <v>0</v>
      </c>
      <c r="AF20" s="1">
        <f>MIN($Q20)</f>
        <v>0</v>
      </c>
      <c r="AG20" s="1"/>
      <c r="AH20" s="1"/>
      <c r="AI20" s="1"/>
      <c r="AJ20" s="1"/>
      <c r="AK20" s="1">
        <f>MEDIAN($E20)</f>
        <v>0</v>
      </c>
      <c r="AL20" s="1">
        <f>MEDIAN($F20)</f>
        <v>0</v>
      </c>
      <c r="AM20" s="1">
        <f>MEDIAN($G20)</f>
        <v>0</v>
      </c>
      <c r="AN20" s="1"/>
      <c r="AO20" s="1"/>
      <c r="AP20" s="1">
        <f>MEDIAN($J20)</f>
        <v>0</v>
      </c>
      <c r="AQ20" s="1"/>
      <c r="AR20" s="1"/>
      <c r="AS20" s="1"/>
      <c r="AT20" s="1">
        <f>MEDIAN($P20)</f>
        <v>0</v>
      </c>
      <c r="AU20" s="1">
        <f>MEDIAN($Q20)</f>
        <v>0</v>
      </c>
      <c r="AV20" s="1"/>
      <c r="AW20" s="1"/>
      <c r="AX20" s="1"/>
      <c r="AY20" s="1"/>
      <c r="AZ20" s="1">
        <f>MAX($E20)</f>
        <v>0</v>
      </c>
      <c r="BA20" s="1">
        <f>MAX($F20)</f>
        <v>0</v>
      </c>
      <c r="BB20" s="1">
        <f>MAX($G20)</f>
        <v>0</v>
      </c>
      <c r="BC20" s="1"/>
      <c r="BD20" s="1"/>
      <c r="BE20" s="1">
        <f>MAX($J20)</f>
        <v>0</v>
      </c>
      <c r="BF20" s="1"/>
      <c r="BG20" s="1"/>
      <c r="BH20" s="1"/>
      <c r="BI20" s="1">
        <f>MAX($P20)</f>
        <v>0</v>
      </c>
      <c r="BJ20" s="1">
        <f>MAX($Q20)</f>
        <v>0</v>
      </c>
      <c r="BK20" s="1"/>
    </row>
    <row r="21" spans="1:63">
      <c r="A21" s="1" t="s">
        <v>8</v>
      </c>
      <c r="B21" s="1"/>
      <c r="C21" s="1"/>
      <c r="D21" s="1"/>
      <c r="E21" s="1">
        <v>1</v>
      </c>
      <c r="F21" s="1">
        <v>9089</v>
      </c>
      <c r="G21" s="1">
        <v>0</v>
      </c>
      <c r="H21" s="1"/>
      <c r="I21" s="1"/>
      <c r="J21" s="1">
        <v>3600</v>
      </c>
      <c r="K21" s="1"/>
      <c r="L21" s="1" t="s">
        <v>31</v>
      </c>
      <c r="M21" s="1"/>
      <c r="N21" s="1"/>
      <c r="O21" s="1"/>
      <c r="P21" s="1">
        <v>1800</v>
      </c>
      <c r="Q21" s="1">
        <v>1</v>
      </c>
      <c r="R21" s="1"/>
      <c r="S21" s="1"/>
      <c r="T21" s="1"/>
      <c r="U21" s="1"/>
      <c r="V21" s="1">
        <f>MIN($E21)</f>
        <v>0</v>
      </c>
      <c r="W21" s="1">
        <f>MIN($F21)</f>
        <v>0</v>
      </c>
      <c r="X21" s="1">
        <f>MIN($G21)</f>
        <v>0</v>
      </c>
      <c r="Y21" s="1"/>
      <c r="Z21" s="1"/>
      <c r="AA21" s="1">
        <f>MIN($J21)</f>
        <v>0</v>
      </c>
      <c r="AB21" s="1"/>
      <c r="AC21" s="1"/>
      <c r="AD21" s="1"/>
      <c r="AE21" s="1">
        <f>MIN($P21)</f>
        <v>0</v>
      </c>
      <c r="AF21" s="1">
        <f>MIN($Q21)</f>
        <v>0</v>
      </c>
      <c r="AG21" s="1"/>
      <c r="AH21" s="1"/>
      <c r="AI21" s="1"/>
      <c r="AJ21" s="1"/>
      <c r="AK21" s="1">
        <f>MEDIAN($E21)</f>
        <v>0</v>
      </c>
      <c r="AL21" s="1">
        <f>MEDIAN($F21)</f>
        <v>0</v>
      </c>
      <c r="AM21" s="1">
        <f>MEDIAN($G21)</f>
        <v>0</v>
      </c>
      <c r="AN21" s="1"/>
      <c r="AO21" s="1"/>
      <c r="AP21" s="1">
        <f>MEDIAN($J21)</f>
        <v>0</v>
      </c>
      <c r="AQ21" s="1"/>
      <c r="AR21" s="1"/>
      <c r="AS21" s="1"/>
      <c r="AT21" s="1">
        <f>MEDIAN($P21)</f>
        <v>0</v>
      </c>
      <c r="AU21" s="1">
        <f>MEDIAN($Q21)</f>
        <v>0</v>
      </c>
      <c r="AV21" s="1"/>
      <c r="AW21" s="1"/>
      <c r="AX21" s="1"/>
      <c r="AY21" s="1"/>
      <c r="AZ21" s="1">
        <f>MAX($E21)</f>
        <v>0</v>
      </c>
      <c r="BA21" s="1">
        <f>MAX($F21)</f>
        <v>0</v>
      </c>
      <c r="BB21" s="1">
        <f>MAX($G21)</f>
        <v>0</v>
      </c>
      <c r="BC21" s="1"/>
      <c r="BD21" s="1"/>
      <c r="BE21" s="1">
        <f>MAX($J21)</f>
        <v>0</v>
      </c>
      <c r="BF21" s="1"/>
      <c r="BG21" s="1"/>
      <c r="BH21" s="1"/>
      <c r="BI21" s="1">
        <f>MAX($P21)</f>
        <v>0</v>
      </c>
      <c r="BJ21" s="1">
        <f>MAX($Q21)</f>
        <v>0</v>
      </c>
      <c r="BK21" s="1"/>
    </row>
    <row r="22" spans="1:63">
      <c r="A22" s="1" t="s">
        <v>9</v>
      </c>
      <c r="B22" s="1"/>
      <c r="C22" s="1"/>
      <c r="D22" s="1"/>
      <c r="E22" s="1">
        <v>1</v>
      </c>
      <c r="F22" s="1">
        <v>9351</v>
      </c>
      <c r="G22" s="1">
        <v>0</v>
      </c>
      <c r="H22" s="1"/>
      <c r="I22" s="1"/>
      <c r="J22" s="1">
        <v>3600</v>
      </c>
      <c r="K22" s="1"/>
      <c r="L22" s="1" t="s">
        <v>31</v>
      </c>
      <c r="M22" s="1"/>
      <c r="N22" s="1"/>
      <c r="O22" s="1"/>
      <c r="P22" s="1">
        <v>1800</v>
      </c>
      <c r="Q22" s="1">
        <v>1</v>
      </c>
      <c r="R22" s="1"/>
      <c r="S22" s="1"/>
      <c r="T22" s="1"/>
      <c r="U22" s="1"/>
      <c r="V22" s="1">
        <f>MIN($E22)</f>
        <v>0</v>
      </c>
      <c r="W22" s="1">
        <f>MIN($F22)</f>
        <v>0</v>
      </c>
      <c r="X22" s="1">
        <f>MIN($G22)</f>
        <v>0</v>
      </c>
      <c r="Y22" s="1"/>
      <c r="Z22" s="1"/>
      <c r="AA22" s="1">
        <f>MIN($J22)</f>
        <v>0</v>
      </c>
      <c r="AB22" s="1"/>
      <c r="AC22" s="1"/>
      <c r="AD22" s="1"/>
      <c r="AE22" s="1">
        <f>MIN($P22)</f>
        <v>0</v>
      </c>
      <c r="AF22" s="1">
        <f>MIN($Q22)</f>
        <v>0</v>
      </c>
      <c r="AG22" s="1"/>
      <c r="AH22" s="1"/>
      <c r="AI22" s="1"/>
      <c r="AJ22" s="1"/>
      <c r="AK22" s="1">
        <f>MEDIAN($E22)</f>
        <v>0</v>
      </c>
      <c r="AL22" s="1">
        <f>MEDIAN($F22)</f>
        <v>0</v>
      </c>
      <c r="AM22" s="1">
        <f>MEDIAN($G22)</f>
        <v>0</v>
      </c>
      <c r="AN22" s="1"/>
      <c r="AO22" s="1"/>
      <c r="AP22" s="1">
        <f>MEDIAN($J22)</f>
        <v>0</v>
      </c>
      <c r="AQ22" s="1"/>
      <c r="AR22" s="1"/>
      <c r="AS22" s="1"/>
      <c r="AT22" s="1">
        <f>MEDIAN($P22)</f>
        <v>0</v>
      </c>
      <c r="AU22" s="1">
        <f>MEDIAN($Q22)</f>
        <v>0</v>
      </c>
      <c r="AV22" s="1"/>
      <c r="AW22" s="1"/>
      <c r="AX22" s="1"/>
      <c r="AY22" s="1"/>
      <c r="AZ22" s="1">
        <f>MAX($E22)</f>
        <v>0</v>
      </c>
      <c r="BA22" s="1">
        <f>MAX($F22)</f>
        <v>0</v>
      </c>
      <c r="BB22" s="1">
        <f>MAX($G22)</f>
        <v>0</v>
      </c>
      <c r="BC22" s="1"/>
      <c r="BD22" s="1"/>
      <c r="BE22" s="1">
        <f>MAX($J22)</f>
        <v>0</v>
      </c>
      <c r="BF22" s="1"/>
      <c r="BG22" s="1"/>
      <c r="BH22" s="1"/>
      <c r="BI22" s="1">
        <f>MAX($P22)</f>
        <v>0</v>
      </c>
      <c r="BJ22" s="1">
        <f>MAX($Q22)</f>
        <v>0</v>
      </c>
      <c r="BK22" s="1"/>
    </row>
    <row r="23" spans="1:63">
      <c r="A23" s="1" t="s">
        <v>0</v>
      </c>
      <c r="B23" s="1"/>
      <c r="C23" s="1"/>
      <c r="D23" s="1"/>
      <c r="E23" s="1">
        <v>1</v>
      </c>
      <c r="F23" s="1">
        <v>15904</v>
      </c>
      <c r="G23" s="1">
        <v>0</v>
      </c>
      <c r="H23" s="1"/>
      <c r="I23" s="1"/>
      <c r="J23" s="1">
        <v>3600</v>
      </c>
      <c r="K23" s="1"/>
      <c r="L23" s="1" t="s">
        <v>31</v>
      </c>
      <c r="M23" s="1"/>
      <c r="N23" s="1"/>
      <c r="O23" s="1"/>
      <c r="P23" s="1">
        <v>1800</v>
      </c>
      <c r="Q23" s="1">
        <v>1</v>
      </c>
      <c r="R23" s="1"/>
      <c r="S23" s="1"/>
      <c r="T23" s="1"/>
      <c r="U23" s="1"/>
      <c r="V23" s="1">
        <f>MIN($E23)</f>
        <v>0</v>
      </c>
      <c r="W23" s="1">
        <f>MIN($F23)</f>
        <v>0</v>
      </c>
      <c r="X23" s="1">
        <f>MIN($G23)</f>
        <v>0</v>
      </c>
      <c r="Y23" s="1"/>
      <c r="Z23" s="1"/>
      <c r="AA23" s="1">
        <f>MIN($J23)</f>
        <v>0</v>
      </c>
      <c r="AB23" s="1"/>
      <c r="AC23" s="1"/>
      <c r="AD23" s="1"/>
      <c r="AE23" s="1">
        <f>MIN($P23)</f>
        <v>0</v>
      </c>
      <c r="AF23" s="1">
        <f>MIN($Q23)</f>
        <v>0</v>
      </c>
      <c r="AG23" s="1"/>
      <c r="AH23" s="1"/>
      <c r="AI23" s="1"/>
      <c r="AJ23" s="1"/>
      <c r="AK23" s="1">
        <f>MEDIAN($E23)</f>
        <v>0</v>
      </c>
      <c r="AL23" s="1">
        <f>MEDIAN($F23)</f>
        <v>0</v>
      </c>
      <c r="AM23" s="1">
        <f>MEDIAN($G23)</f>
        <v>0</v>
      </c>
      <c r="AN23" s="1"/>
      <c r="AO23" s="1"/>
      <c r="AP23" s="1">
        <f>MEDIAN($J23)</f>
        <v>0</v>
      </c>
      <c r="AQ23" s="1"/>
      <c r="AR23" s="1"/>
      <c r="AS23" s="1"/>
      <c r="AT23" s="1">
        <f>MEDIAN($P23)</f>
        <v>0</v>
      </c>
      <c r="AU23" s="1">
        <f>MEDIAN($Q23)</f>
        <v>0</v>
      </c>
      <c r="AV23" s="1"/>
      <c r="AW23" s="1"/>
      <c r="AX23" s="1"/>
      <c r="AY23" s="1"/>
      <c r="AZ23" s="1">
        <f>MAX($E23)</f>
        <v>0</v>
      </c>
      <c r="BA23" s="1">
        <f>MAX($F23)</f>
        <v>0</v>
      </c>
      <c r="BB23" s="1">
        <f>MAX($G23)</f>
        <v>0</v>
      </c>
      <c r="BC23" s="1"/>
      <c r="BD23" s="1"/>
      <c r="BE23" s="1">
        <f>MAX($J23)</f>
        <v>0</v>
      </c>
      <c r="BF23" s="1"/>
      <c r="BG23" s="1"/>
      <c r="BH23" s="1"/>
      <c r="BI23" s="1">
        <f>MAX($P23)</f>
        <v>0</v>
      </c>
      <c r="BJ23" s="1">
        <f>MAX($Q23)</f>
        <v>0</v>
      </c>
      <c r="BK23" s="1"/>
    </row>
    <row r="24" spans="1:63">
      <c r="A24" s="1" t="s">
        <v>1</v>
      </c>
      <c r="B24" s="1"/>
      <c r="C24" s="1"/>
      <c r="D24" s="1"/>
      <c r="E24" s="1">
        <v>1</v>
      </c>
      <c r="F24" s="1">
        <v>9095</v>
      </c>
      <c r="G24" s="1">
        <v>0</v>
      </c>
      <c r="H24" s="1"/>
      <c r="I24" s="1"/>
      <c r="J24" s="1">
        <v>3600</v>
      </c>
      <c r="K24" s="1"/>
      <c r="L24" s="1" t="s">
        <v>31</v>
      </c>
      <c r="M24" s="1"/>
      <c r="N24" s="1"/>
      <c r="O24" s="1"/>
      <c r="P24" s="1">
        <v>1800</v>
      </c>
      <c r="Q24" s="1">
        <v>1</v>
      </c>
      <c r="R24" s="1"/>
      <c r="S24" s="1"/>
      <c r="T24" s="1"/>
      <c r="U24" s="1"/>
      <c r="V24" s="1">
        <f>MIN($E24)</f>
        <v>0</v>
      </c>
      <c r="W24" s="1">
        <f>MIN($F24)</f>
        <v>0</v>
      </c>
      <c r="X24" s="1">
        <f>MIN($G24)</f>
        <v>0</v>
      </c>
      <c r="Y24" s="1"/>
      <c r="Z24" s="1"/>
      <c r="AA24" s="1">
        <f>MIN($J24)</f>
        <v>0</v>
      </c>
      <c r="AB24" s="1"/>
      <c r="AC24" s="1"/>
      <c r="AD24" s="1"/>
      <c r="AE24" s="1">
        <f>MIN($P24)</f>
        <v>0</v>
      </c>
      <c r="AF24" s="1">
        <f>MIN($Q24)</f>
        <v>0</v>
      </c>
      <c r="AG24" s="1"/>
      <c r="AH24" s="1"/>
      <c r="AI24" s="1"/>
      <c r="AJ24" s="1"/>
      <c r="AK24" s="1">
        <f>MEDIAN($E24)</f>
        <v>0</v>
      </c>
      <c r="AL24" s="1">
        <f>MEDIAN($F24)</f>
        <v>0</v>
      </c>
      <c r="AM24" s="1">
        <f>MEDIAN($G24)</f>
        <v>0</v>
      </c>
      <c r="AN24" s="1"/>
      <c r="AO24" s="1"/>
      <c r="AP24" s="1">
        <f>MEDIAN($J24)</f>
        <v>0</v>
      </c>
      <c r="AQ24" s="1"/>
      <c r="AR24" s="1"/>
      <c r="AS24" s="1"/>
      <c r="AT24" s="1">
        <f>MEDIAN($P24)</f>
        <v>0</v>
      </c>
      <c r="AU24" s="1">
        <f>MEDIAN($Q24)</f>
        <v>0</v>
      </c>
      <c r="AV24" s="1"/>
      <c r="AW24" s="1"/>
      <c r="AX24" s="1"/>
      <c r="AY24" s="1"/>
      <c r="AZ24" s="1">
        <f>MAX($E24)</f>
        <v>0</v>
      </c>
      <c r="BA24" s="1">
        <f>MAX($F24)</f>
        <v>0</v>
      </c>
      <c r="BB24" s="1">
        <f>MAX($G24)</f>
        <v>0</v>
      </c>
      <c r="BC24" s="1"/>
      <c r="BD24" s="1"/>
      <c r="BE24" s="1">
        <f>MAX($J24)</f>
        <v>0</v>
      </c>
      <c r="BF24" s="1"/>
      <c r="BG24" s="1"/>
      <c r="BH24" s="1"/>
      <c r="BI24" s="1">
        <f>MAX($P24)</f>
        <v>0</v>
      </c>
      <c r="BJ24" s="1">
        <f>MAX($Q24)</f>
        <v>0</v>
      </c>
      <c r="BK24" s="1"/>
    </row>
    <row r="25" spans="1:63">
      <c r="A25" s="1" t="s">
        <v>2</v>
      </c>
      <c r="B25" s="1"/>
      <c r="C25" s="1"/>
      <c r="D25" s="1"/>
      <c r="E25" s="1">
        <v>1</v>
      </c>
      <c r="F25" s="1">
        <v>10971</v>
      </c>
      <c r="G25" s="1">
        <v>0</v>
      </c>
      <c r="H25" s="1"/>
      <c r="I25" s="1"/>
      <c r="J25" s="1">
        <v>3600</v>
      </c>
      <c r="K25" s="1"/>
      <c r="L25" s="1" t="s">
        <v>31</v>
      </c>
      <c r="M25" s="1"/>
      <c r="N25" s="1"/>
      <c r="O25" s="1"/>
      <c r="P25" s="1">
        <v>1800</v>
      </c>
      <c r="Q25" s="1">
        <v>1</v>
      </c>
      <c r="R25" s="1"/>
      <c r="S25" s="1"/>
      <c r="T25" s="1"/>
      <c r="U25" s="1"/>
      <c r="V25" s="1">
        <f>MIN($E25)</f>
        <v>0</v>
      </c>
      <c r="W25" s="1">
        <f>MIN($F25)</f>
        <v>0</v>
      </c>
      <c r="X25" s="1">
        <f>MIN($G25)</f>
        <v>0</v>
      </c>
      <c r="Y25" s="1"/>
      <c r="Z25" s="1"/>
      <c r="AA25" s="1">
        <f>MIN($J25)</f>
        <v>0</v>
      </c>
      <c r="AB25" s="1"/>
      <c r="AC25" s="1"/>
      <c r="AD25" s="1"/>
      <c r="AE25" s="1">
        <f>MIN($P25)</f>
        <v>0</v>
      </c>
      <c r="AF25" s="1">
        <f>MIN($Q25)</f>
        <v>0</v>
      </c>
      <c r="AG25" s="1"/>
      <c r="AH25" s="1"/>
      <c r="AI25" s="1"/>
      <c r="AJ25" s="1"/>
      <c r="AK25" s="1">
        <f>MEDIAN($E25)</f>
        <v>0</v>
      </c>
      <c r="AL25" s="1">
        <f>MEDIAN($F25)</f>
        <v>0</v>
      </c>
      <c r="AM25" s="1">
        <f>MEDIAN($G25)</f>
        <v>0</v>
      </c>
      <c r="AN25" s="1"/>
      <c r="AO25" s="1"/>
      <c r="AP25" s="1">
        <f>MEDIAN($J25)</f>
        <v>0</v>
      </c>
      <c r="AQ25" s="1"/>
      <c r="AR25" s="1"/>
      <c r="AS25" s="1"/>
      <c r="AT25" s="1">
        <f>MEDIAN($P25)</f>
        <v>0</v>
      </c>
      <c r="AU25" s="1">
        <f>MEDIAN($Q25)</f>
        <v>0</v>
      </c>
      <c r="AV25" s="1"/>
      <c r="AW25" s="1"/>
      <c r="AX25" s="1"/>
      <c r="AY25" s="1"/>
      <c r="AZ25" s="1">
        <f>MAX($E25)</f>
        <v>0</v>
      </c>
      <c r="BA25" s="1">
        <f>MAX($F25)</f>
        <v>0</v>
      </c>
      <c r="BB25" s="1">
        <f>MAX($G25)</f>
        <v>0</v>
      </c>
      <c r="BC25" s="1"/>
      <c r="BD25" s="1"/>
      <c r="BE25" s="1">
        <f>MAX($J25)</f>
        <v>0</v>
      </c>
      <c r="BF25" s="1"/>
      <c r="BG25" s="1"/>
      <c r="BH25" s="1"/>
      <c r="BI25" s="1">
        <f>MAX($P25)</f>
        <v>0</v>
      </c>
      <c r="BJ25" s="1">
        <f>MAX($Q25)</f>
        <v>0</v>
      </c>
      <c r="BK25" s="1"/>
    </row>
    <row r="26" spans="1:63">
      <c r="A26" s="1" t="s">
        <v>3</v>
      </c>
      <c r="B26" s="1"/>
      <c r="C26" s="1"/>
      <c r="D26" s="1"/>
      <c r="E26" s="1">
        <v>1</v>
      </c>
      <c r="F26" s="1">
        <v>10202</v>
      </c>
      <c r="G26" s="1">
        <v>0</v>
      </c>
      <c r="H26" s="1"/>
      <c r="I26" s="1"/>
      <c r="J26" s="1">
        <v>3600</v>
      </c>
      <c r="K26" s="1"/>
      <c r="L26" s="1" t="s">
        <v>31</v>
      </c>
      <c r="M26" s="1"/>
      <c r="N26" s="1"/>
      <c r="O26" s="1"/>
      <c r="P26" s="1">
        <v>1800</v>
      </c>
      <c r="Q26" s="1">
        <v>1</v>
      </c>
      <c r="R26" s="1"/>
      <c r="S26" s="1"/>
      <c r="T26" s="1"/>
      <c r="U26" s="1"/>
      <c r="V26" s="1">
        <f>MIN($E26)</f>
        <v>0</v>
      </c>
      <c r="W26" s="1">
        <f>MIN($F26)</f>
        <v>0</v>
      </c>
      <c r="X26" s="1">
        <f>MIN($G26)</f>
        <v>0</v>
      </c>
      <c r="Y26" s="1"/>
      <c r="Z26" s="1"/>
      <c r="AA26" s="1">
        <f>MIN($J26)</f>
        <v>0</v>
      </c>
      <c r="AB26" s="1"/>
      <c r="AC26" s="1"/>
      <c r="AD26" s="1"/>
      <c r="AE26" s="1">
        <f>MIN($P26)</f>
        <v>0</v>
      </c>
      <c r="AF26" s="1">
        <f>MIN($Q26)</f>
        <v>0</v>
      </c>
      <c r="AG26" s="1"/>
      <c r="AH26" s="1"/>
      <c r="AI26" s="1"/>
      <c r="AJ26" s="1"/>
      <c r="AK26" s="1">
        <f>MEDIAN($E26)</f>
        <v>0</v>
      </c>
      <c r="AL26" s="1">
        <f>MEDIAN($F26)</f>
        <v>0</v>
      </c>
      <c r="AM26" s="1">
        <f>MEDIAN($G26)</f>
        <v>0</v>
      </c>
      <c r="AN26" s="1"/>
      <c r="AO26" s="1"/>
      <c r="AP26" s="1">
        <f>MEDIAN($J26)</f>
        <v>0</v>
      </c>
      <c r="AQ26" s="1"/>
      <c r="AR26" s="1"/>
      <c r="AS26" s="1"/>
      <c r="AT26" s="1">
        <f>MEDIAN($P26)</f>
        <v>0</v>
      </c>
      <c r="AU26" s="1">
        <f>MEDIAN($Q26)</f>
        <v>0</v>
      </c>
      <c r="AV26" s="1"/>
      <c r="AW26" s="1"/>
      <c r="AX26" s="1"/>
      <c r="AY26" s="1"/>
      <c r="AZ26" s="1">
        <f>MAX($E26)</f>
        <v>0</v>
      </c>
      <c r="BA26" s="1">
        <f>MAX($F26)</f>
        <v>0</v>
      </c>
      <c r="BB26" s="1">
        <f>MAX($G26)</f>
        <v>0</v>
      </c>
      <c r="BC26" s="1"/>
      <c r="BD26" s="1"/>
      <c r="BE26" s="1">
        <f>MAX($J26)</f>
        <v>0</v>
      </c>
      <c r="BF26" s="1"/>
      <c r="BG26" s="1"/>
      <c r="BH26" s="1"/>
      <c r="BI26" s="1">
        <f>MAX($P26)</f>
        <v>0</v>
      </c>
      <c r="BJ26" s="1">
        <f>MAX($Q26)</f>
        <v>0</v>
      </c>
      <c r="BK26" s="1"/>
    </row>
    <row r="27" spans="1:63">
      <c r="A27" s="1" t="s">
        <v>4</v>
      </c>
      <c r="B27" s="1"/>
      <c r="C27" s="1"/>
      <c r="D27" s="1"/>
      <c r="E27" s="1">
        <v>1</v>
      </c>
      <c r="F27" s="1">
        <v>8946</v>
      </c>
      <c r="G27" s="1">
        <v>0</v>
      </c>
      <c r="H27" s="1"/>
      <c r="I27" s="1"/>
      <c r="J27" s="1">
        <v>3600</v>
      </c>
      <c r="K27" s="1"/>
      <c r="L27" s="1" t="s">
        <v>31</v>
      </c>
      <c r="M27" s="1"/>
      <c r="N27" s="1"/>
      <c r="O27" s="1"/>
      <c r="P27" s="1">
        <v>1800</v>
      </c>
      <c r="Q27" s="1">
        <v>1</v>
      </c>
      <c r="R27" s="1"/>
      <c r="S27" s="1"/>
      <c r="T27" s="1"/>
      <c r="U27" s="1"/>
      <c r="V27" s="1">
        <f>MIN($E27)</f>
        <v>0</v>
      </c>
      <c r="W27" s="1">
        <f>MIN($F27)</f>
        <v>0</v>
      </c>
      <c r="X27" s="1">
        <f>MIN($G27)</f>
        <v>0</v>
      </c>
      <c r="Y27" s="1"/>
      <c r="Z27" s="1"/>
      <c r="AA27" s="1">
        <f>MIN($J27)</f>
        <v>0</v>
      </c>
      <c r="AB27" s="1"/>
      <c r="AC27" s="1"/>
      <c r="AD27" s="1"/>
      <c r="AE27" s="1">
        <f>MIN($P27)</f>
        <v>0</v>
      </c>
      <c r="AF27" s="1">
        <f>MIN($Q27)</f>
        <v>0</v>
      </c>
      <c r="AG27" s="1"/>
      <c r="AH27" s="1"/>
      <c r="AI27" s="1"/>
      <c r="AJ27" s="1"/>
      <c r="AK27" s="1">
        <f>MEDIAN($E27)</f>
        <v>0</v>
      </c>
      <c r="AL27" s="1">
        <f>MEDIAN($F27)</f>
        <v>0</v>
      </c>
      <c r="AM27" s="1">
        <f>MEDIAN($G27)</f>
        <v>0</v>
      </c>
      <c r="AN27" s="1"/>
      <c r="AO27" s="1"/>
      <c r="AP27" s="1">
        <f>MEDIAN($J27)</f>
        <v>0</v>
      </c>
      <c r="AQ27" s="1"/>
      <c r="AR27" s="1"/>
      <c r="AS27" s="1"/>
      <c r="AT27" s="1">
        <f>MEDIAN($P27)</f>
        <v>0</v>
      </c>
      <c r="AU27" s="1">
        <f>MEDIAN($Q27)</f>
        <v>0</v>
      </c>
      <c r="AV27" s="1"/>
      <c r="AW27" s="1"/>
      <c r="AX27" s="1"/>
      <c r="AY27" s="1"/>
      <c r="AZ27" s="1">
        <f>MAX($E27)</f>
        <v>0</v>
      </c>
      <c r="BA27" s="1">
        <f>MAX($F27)</f>
        <v>0</v>
      </c>
      <c r="BB27" s="1">
        <f>MAX($G27)</f>
        <v>0</v>
      </c>
      <c r="BC27" s="1"/>
      <c r="BD27" s="1"/>
      <c r="BE27" s="1">
        <f>MAX($J27)</f>
        <v>0</v>
      </c>
      <c r="BF27" s="1"/>
      <c r="BG27" s="1"/>
      <c r="BH27" s="1"/>
      <c r="BI27" s="1">
        <f>MAX($P27)</f>
        <v>0</v>
      </c>
      <c r="BJ27" s="1">
        <f>MAX($Q27)</f>
        <v>0</v>
      </c>
      <c r="BK27" s="1"/>
    </row>
    <row r="28" spans="1:63">
      <c r="A28" s="1" t="s">
        <v>5</v>
      </c>
      <c r="B28" s="1"/>
      <c r="C28" s="1"/>
      <c r="D28" s="1"/>
      <c r="E28" s="1">
        <v>1</v>
      </c>
      <c r="F28" s="1">
        <v>10697</v>
      </c>
      <c r="G28" s="1">
        <v>0</v>
      </c>
      <c r="H28" s="1"/>
      <c r="I28" s="1"/>
      <c r="J28" s="1">
        <v>3600</v>
      </c>
      <c r="K28" s="1"/>
      <c r="L28" s="1" t="s">
        <v>31</v>
      </c>
      <c r="M28" s="1"/>
      <c r="N28" s="1"/>
      <c r="O28" s="1"/>
      <c r="P28" s="1">
        <v>1800</v>
      </c>
      <c r="Q28" s="1">
        <v>1</v>
      </c>
      <c r="R28" s="1"/>
      <c r="S28" s="1"/>
      <c r="T28" s="1"/>
      <c r="U28" s="1"/>
      <c r="V28" s="1">
        <f>MIN($E28)</f>
        <v>0</v>
      </c>
      <c r="W28" s="1">
        <f>MIN($F28)</f>
        <v>0</v>
      </c>
      <c r="X28" s="1">
        <f>MIN($G28)</f>
        <v>0</v>
      </c>
      <c r="Y28" s="1"/>
      <c r="Z28" s="1"/>
      <c r="AA28" s="1">
        <f>MIN($J28)</f>
        <v>0</v>
      </c>
      <c r="AB28" s="1"/>
      <c r="AC28" s="1"/>
      <c r="AD28" s="1"/>
      <c r="AE28" s="1">
        <f>MIN($P28)</f>
        <v>0</v>
      </c>
      <c r="AF28" s="1">
        <f>MIN($Q28)</f>
        <v>0</v>
      </c>
      <c r="AG28" s="1"/>
      <c r="AH28" s="1"/>
      <c r="AI28" s="1"/>
      <c r="AJ28" s="1"/>
      <c r="AK28" s="1">
        <f>MEDIAN($E28)</f>
        <v>0</v>
      </c>
      <c r="AL28" s="1">
        <f>MEDIAN($F28)</f>
        <v>0</v>
      </c>
      <c r="AM28" s="1">
        <f>MEDIAN($G28)</f>
        <v>0</v>
      </c>
      <c r="AN28" s="1"/>
      <c r="AO28" s="1"/>
      <c r="AP28" s="1">
        <f>MEDIAN($J28)</f>
        <v>0</v>
      </c>
      <c r="AQ28" s="1"/>
      <c r="AR28" s="1"/>
      <c r="AS28" s="1"/>
      <c r="AT28" s="1">
        <f>MEDIAN($P28)</f>
        <v>0</v>
      </c>
      <c r="AU28" s="1">
        <f>MEDIAN($Q28)</f>
        <v>0</v>
      </c>
      <c r="AV28" s="1"/>
      <c r="AW28" s="1"/>
      <c r="AX28" s="1"/>
      <c r="AY28" s="1"/>
      <c r="AZ28" s="1">
        <f>MAX($E28)</f>
        <v>0</v>
      </c>
      <c r="BA28" s="1">
        <f>MAX($F28)</f>
        <v>0</v>
      </c>
      <c r="BB28" s="1">
        <f>MAX($G28)</f>
        <v>0</v>
      </c>
      <c r="BC28" s="1"/>
      <c r="BD28" s="1"/>
      <c r="BE28" s="1">
        <f>MAX($J28)</f>
        <v>0</v>
      </c>
      <c r="BF28" s="1"/>
      <c r="BG28" s="1"/>
      <c r="BH28" s="1"/>
      <c r="BI28" s="1">
        <f>MAX($P28)</f>
        <v>0</v>
      </c>
      <c r="BJ28" s="1">
        <f>MAX($Q28)</f>
        <v>0</v>
      </c>
      <c r="BK28" s="1"/>
    </row>
    <row r="29" spans="1:63">
      <c r="A29" s="1" t="s">
        <v>6</v>
      </c>
      <c r="B29" s="1">
        <v>0</v>
      </c>
      <c r="C29" s="1">
        <v>0</v>
      </c>
      <c r="D29" s="1">
        <v>0</v>
      </c>
      <c r="E29" s="1">
        <v>0</v>
      </c>
      <c r="F29" s="1">
        <v>20002</v>
      </c>
      <c r="G29" s="1">
        <v>1</v>
      </c>
      <c r="H29" s="1">
        <v>0</v>
      </c>
      <c r="I29" s="1">
        <v>645.0309999999999</v>
      </c>
      <c r="J29" s="1">
        <v>3600</v>
      </c>
      <c r="K29" s="1">
        <v>0</v>
      </c>
      <c r="L29" s="1" t="s">
        <v>32</v>
      </c>
      <c r="M29" s="1">
        <v>0</v>
      </c>
      <c r="N29" s="1">
        <v>0</v>
      </c>
      <c r="O29" s="1" t="s">
        <v>37</v>
      </c>
      <c r="P29" s="1">
        <v>1800</v>
      </c>
      <c r="Q29" s="1">
        <v>1</v>
      </c>
      <c r="R29" s="1"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7</v>
      </c>
      <c r="B30" s="1">
        <v>0</v>
      </c>
      <c r="C30" s="1">
        <v>0</v>
      </c>
      <c r="D30" s="1">
        <v>0</v>
      </c>
      <c r="E30" s="1">
        <v>0</v>
      </c>
      <c r="F30" s="1">
        <v>20006</v>
      </c>
      <c r="G30" s="1">
        <v>1</v>
      </c>
      <c r="H30" s="1">
        <v>0</v>
      </c>
      <c r="I30" s="1">
        <v>837.029</v>
      </c>
      <c r="J30" s="1">
        <v>3600</v>
      </c>
      <c r="K30" s="1">
        <v>0</v>
      </c>
      <c r="L30" s="1" t="s">
        <v>32</v>
      </c>
      <c r="M30" s="1">
        <v>0</v>
      </c>
      <c r="N30" s="1">
        <v>0</v>
      </c>
      <c r="O30" s="1" t="s">
        <v>37</v>
      </c>
      <c r="P30" s="1">
        <v>1800</v>
      </c>
      <c r="Q30" s="1">
        <v>1</v>
      </c>
      <c r="R30" s="1"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8</v>
      </c>
      <c r="B31" s="1"/>
      <c r="C31" s="1"/>
      <c r="D31" s="1"/>
      <c r="E31" s="1">
        <v>1</v>
      </c>
      <c r="F31" s="1">
        <v>14426</v>
      </c>
      <c r="G31" s="1">
        <v>0</v>
      </c>
      <c r="H31" s="1"/>
      <c r="I31" s="1"/>
      <c r="J31" s="1">
        <v>3600</v>
      </c>
      <c r="K31" s="1"/>
      <c r="L31" s="1" t="s">
        <v>31</v>
      </c>
      <c r="M31" s="1"/>
      <c r="N31" s="1"/>
      <c r="O31" s="1"/>
      <c r="P31" s="1">
        <v>1800</v>
      </c>
      <c r="Q31" s="1">
        <v>1</v>
      </c>
      <c r="R31" s="1"/>
      <c r="S31" s="1"/>
      <c r="T31" s="1"/>
      <c r="U31" s="1"/>
      <c r="V31" s="1">
        <f>MIN($E31)</f>
        <v>0</v>
      </c>
      <c r="W31" s="1">
        <f>MIN($F31)</f>
        <v>0</v>
      </c>
      <c r="X31" s="1">
        <f>MIN($G31)</f>
        <v>0</v>
      </c>
      <c r="Y31" s="1"/>
      <c r="Z31" s="1"/>
      <c r="AA31" s="1">
        <f>MIN($J31)</f>
        <v>0</v>
      </c>
      <c r="AB31" s="1"/>
      <c r="AC31" s="1"/>
      <c r="AD31" s="1"/>
      <c r="AE31" s="1">
        <f>MIN($P31)</f>
        <v>0</v>
      </c>
      <c r="AF31" s="1">
        <f>MIN($Q31)</f>
        <v>0</v>
      </c>
      <c r="AG31" s="1"/>
      <c r="AH31" s="1"/>
      <c r="AI31" s="1"/>
      <c r="AJ31" s="1"/>
      <c r="AK31" s="1">
        <f>MEDIAN($E31)</f>
        <v>0</v>
      </c>
      <c r="AL31" s="1">
        <f>MEDIAN($F31)</f>
        <v>0</v>
      </c>
      <c r="AM31" s="1">
        <f>MEDIAN($G31)</f>
        <v>0</v>
      </c>
      <c r="AN31" s="1"/>
      <c r="AO31" s="1"/>
      <c r="AP31" s="1">
        <f>MEDIAN($J31)</f>
        <v>0</v>
      </c>
      <c r="AQ31" s="1"/>
      <c r="AR31" s="1"/>
      <c r="AS31" s="1"/>
      <c r="AT31" s="1">
        <f>MEDIAN($P31)</f>
        <v>0</v>
      </c>
      <c r="AU31" s="1">
        <f>MEDIAN($Q31)</f>
        <v>0</v>
      </c>
      <c r="AV31" s="1"/>
      <c r="AW31" s="1"/>
      <c r="AX31" s="1"/>
      <c r="AY31" s="1"/>
      <c r="AZ31" s="1">
        <f>MAX($E31)</f>
        <v>0</v>
      </c>
      <c r="BA31" s="1">
        <f>MAX($F31)</f>
        <v>0</v>
      </c>
      <c r="BB31" s="1">
        <f>MAX($G31)</f>
        <v>0</v>
      </c>
      <c r="BC31" s="1"/>
      <c r="BD31" s="1"/>
      <c r="BE31" s="1">
        <f>MAX($J31)</f>
        <v>0</v>
      </c>
      <c r="BF31" s="1"/>
      <c r="BG31" s="1"/>
      <c r="BH31" s="1"/>
      <c r="BI31" s="1">
        <f>MAX($P31)</f>
        <v>0</v>
      </c>
      <c r="BJ31" s="1">
        <f>MAX($Q31)</f>
        <v>0</v>
      </c>
      <c r="BK31" s="1"/>
    </row>
    <row r="32" spans="1:63">
      <c r="A32" s="1" t="s">
        <v>9</v>
      </c>
      <c r="B32" s="1">
        <v>0</v>
      </c>
      <c r="C32" s="1">
        <v>0</v>
      </c>
      <c r="D32" s="1">
        <v>0</v>
      </c>
      <c r="E32" s="1">
        <v>0</v>
      </c>
      <c r="F32" s="1">
        <v>20003</v>
      </c>
      <c r="G32" s="1">
        <v>1</v>
      </c>
      <c r="H32" s="1">
        <v>0</v>
      </c>
      <c r="I32" s="1">
        <v>299.228</v>
      </c>
      <c r="J32" s="1">
        <v>3600</v>
      </c>
      <c r="K32" s="1">
        <v>0</v>
      </c>
      <c r="L32" s="1" t="s">
        <v>32</v>
      </c>
      <c r="M32" s="1">
        <v>0</v>
      </c>
      <c r="N32" s="1">
        <v>0</v>
      </c>
      <c r="O32" s="1" t="s">
        <v>37</v>
      </c>
      <c r="P32" s="1">
        <v>1800</v>
      </c>
      <c r="Q32" s="1">
        <v>1</v>
      </c>
      <c r="R32" s="1"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>
        <f>SUM(F$3:F$32)</f>
        <v>0</v>
      </c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/>
      <c r="M34" s="1">
        <f>SUM(M$3:M$32)</f>
        <v>0</v>
      </c>
      <c r="N34" s="1">
        <f>SUM(N$3:N$32)</f>
        <v>0</v>
      </c>
      <c r="O34" s="1"/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  <c r="AA34" s="1">
        <f>SUM(AA$3:AA$32)</f>
        <v>0</v>
      </c>
      <c r="AB34" s="1">
        <f>SUM(AB$3:AB$32)</f>
        <v>0</v>
      </c>
      <c r="AC34" s="1">
        <f>SUM(AC$3:AC$32)</f>
        <v>0</v>
      </c>
      <c r="AD34" s="1">
        <f>SUM(AD$3:AD$32)</f>
        <v>0</v>
      </c>
      <c r="AE34" s="1">
        <f>SUM(AE$3:AE$32)</f>
        <v>0</v>
      </c>
      <c r="AF34" s="1">
        <f>SUM(AF$3:AF$32)</f>
        <v>0</v>
      </c>
      <c r="AG34" s="1">
        <f>SUM(AG$3:AG$32)</f>
        <v>0</v>
      </c>
      <c r="AH34" s="1">
        <f>SUM(AH$3:AH$32)</f>
        <v>0</v>
      </c>
      <c r="AI34" s="1">
        <f>SUM(AI$3:AI$32)</f>
        <v>0</v>
      </c>
      <c r="AJ34" s="1">
        <f>SUM(AJ$3:AJ$32)</f>
        <v>0</v>
      </c>
      <c r="AK34" s="1">
        <f>SUM(AK$3:AK$32)</f>
        <v>0</v>
      </c>
      <c r="AL34" s="1">
        <f>SUM(AL$3:AL$32)</f>
        <v>0</v>
      </c>
      <c r="AM34" s="1">
        <f>SUM(AM$3:AM$32)</f>
        <v>0</v>
      </c>
      <c r="AN34" s="1">
        <f>SUM(AN$3:AN$32)</f>
        <v>0</v>
      </c>
      <c r="AO34" s="1">
        <f>SUM(AO$3:AO$32)</f>
        <v>0</v>
      </c>
      <c r="AP34" s="1">
        <f>SUM(AP$3:AP$32)</f>
        <v>0</v>
      </c>
      <c r="AQ34" s="1">
        <f>SUM(AQ$3:AQ$32)</f>
        <v>0</v>
      </c>
      <c r="AR34" s="1">
        <f>SUM(AR$3:AR$32)</f>
        <v>0</v>
      </c>
      <c r="AS34" s="1">
        <f>SUM(AS$3:AS$32)</f>
        <v>0</v>
      </c>
      <c r="AT34" s="1">
        <f>SUM(AT$3:AT$32)</f>
        <v>0</v>
      </c>
      <c r="AU34" s="1">
        <f>SUM(AU$3:AU$32)</f>
        <v>0</v>
      </c>
      <c r="AV34" s="1">
        <f>SUM(AV$3:AV$32)</f>
        <v>0</v>
      </c>
      <c r="AW34" s="1">
        <f>SUM(AW$3:AW$32)</f>
        <v>0</v>
      </c>
      <c r="AX34" s="1">
        <f>SUM(AX$3:AX$32)</f>
        <v>0</v>
      </c>
      <c r="AY34" s="1">
        <f>SUM(AY$3:AY$32)</f>
        <v>0</v>
      </c>
      <c r="AZ34" s="1">
        <f>SUM(AZ$3:AZ$32)</f>
        <v>0</v>
      </c>
      <c r="BA34" s="1">
        <f>SUM(BA$3:BA$32)</f>
        <v>0</v>
      </c>
      <c r="BB34" s="1">
        <f>SUM(BB$3:BB$32)</f>
        <v>0</v>
      </c>
      <c r="BC34" s="1">
        <f>SUM(BC$3:BC$32)</f>
        <v>0</v>
      </c>
      <c r="BD34" s="1">
        <f>SUM(BD$3:BD$32)</f>
        <v>0</v>
      </c>
      <c r="BE34" s="1">
        <f>SUM(BE$3:BE$32)</f>
        <v>0</v>
      </c>
      <c r="BF34" s="1">
        <f>SUM(BF$3:BF$32)</f>
        <v>0</v>
      </c>
      <c r="BG34" s="1">
        <f>SUM(BG$3:BG$32)</f>
        <v>0</v>
      </c>
      <c r="BH34" s="1">
        <f>SUM(BH$3:BH$32)</f>
        <v>0</v>
      </c>
      <c r="BI34" s="1">
        <f>SUM(BI$3:BI$32)</f>
        <v>0</v>
      </c>
      <c r="BJ34" s="1">
        <f>SUM(BJ$3:BJ$32)</f>
        <v>0</v>
      </c>
      <c r="BK34" s="1">
        <f>SUM(BK$3:BK$32)</f>
        <v>0</v>
      </c>
    </row>
    <row r="35" spans="1:63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>
        <f>AVERAGE(F$3:F$32)</f>
        <v>0</v>
      </c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/>
      <c r="M35" s="1">
        <f>AVERAGE(M$3:M$32)</f>
        <v>0</v>
      </c>
      <c r="N35" s="1">
        <f>AVERAGE(N$3:N$32)</f>
        <v>0</v>
      </c>
      <c r="O35" s="1"/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  <c r="AA35" s="1">
        <f>AVERAGE(AA$3:AA$32)</f>
        <v>0</v>
      </c>
      <c r="AB35" s="1">
        <f>AVERAGE(AB$3:AB$32)</f>
        <v>0</v>
      </c>
      <c r="AC35" s="1">
        <f>AVERAGE(AC$3:AC$32)</f>
        <v>0</v>
      </c>
      <c r="AD35" s="1">
        <f>AVERAGE(AD$3:AD$32)</f>
        <v>0</v>
      </c>
      <c r="AE35" s="1">
        <f>AVERAGE(AE$3:AE$32)</f>
        <v>0</v>
      </c>
      <c r="AF35" s="1">
        <f>AVERAGE(AF$3:AF$32)</f>
        <v>0</v>
      </c>
      <c r="AG35" s="1">
        <f>AVERAGE(AG$3:AG$32)</f>
        <v>0</v>
      </c>
      <c r="AH35" s="1">
        <f>AVERAGE(AH$3:AH$32)</f>
        <v>0</v>
      </c>
      <c r="AI35" s="1">
        <f>AVERAGE(AI$3:AI$32)</f>
        <v>0</v>
      </c>
      <c r="AJ35" s="1">
        <f>AVERAGE(AJ$3:AJ$32)</f>
        <v>0</v>
      </c>
      <c r="AK35" s="1">
        <f>AVERAGE(AK$3:AK$32)</f>
        <v>0</v>
      </c>
      <c r="AL35" s="1">
        <f>AVERAGE(AL$3:AL$32)</f>
        <v>0</v>
      </c>
      <c r="AM35" s="1">
        <f>AVERAGE(AM$3:AM$32)</f>
        <v>0</v>
      </c>
      <c r="AN35" s="1">
        <f>AVERAGE(AN$3:AN$32)</f>
        <v>0</v>
      </c>
      <c r="AO35" s="1">
        <f>AVERAGE(AO$3:AO$32)</f>
        <v>0</v>
      </c>
      <c r="AP35" s="1">
        <f>AVERAGE(AP$3:AP$32)</f>
        <v>0</v>
      </c>
      <c r="AQ35" s="1">
        <f>AVERAGE(AQ$3:AQ$32)</f>
        <v>0</v>
      </c>
      <c r="AR35" s="1">
        <f>AVERAGE(AR$3:AR$32)</f>
        <v>0</v>
      </c>
      <c r="AS35" s="1">
        <f>AVERAGE(AS$3:AS$32)</f>
        <v>0</v>
      </c>
      <c r="AT35" s="1">
        <f>AVERAGE(AT$3:AT$32)</f>
        <v>0</v>
      </c>
      <c r="AU35" s="1">
        <f>AVERAGE(AU$3:AU$32)</f>
        <v>0</v>
      </c>
      <c r="AV35" s="1">
        <f>AVERAGE(AV$3:AV$32)</f>
        <v>0</v>
      </c>
      <c r="AW35" s="1">
        <f>AVERAGE(AW$3:AW$32)</f>
        <v>0</v>
      </c>
      <c r="AX35" s="1">
        <f>AVERAGE(AX$3:AX$32)</f>
        <v>0</v>
      </c>
      <c r="AY35" s="1">
        <f>AVERAGE(AY$3:AY$32)</f>
        <v>0</v>
      </c>
      <c r="AZ35" s="1">
        <f>AVERAGE(AZ$3:AZ$32)</f>
        <v>0</v>
      </c>
      <c r="BA35" s="1">
        <f>AVERAGE(BA$3:BA$32)</f>
        <v>0</v>
      </c>
      <c r="BB35" s="1">
        <f>AVERAGE(BB$3:BB$32)</f>
        <v>0</v>
      </c>
      <c r="BC35" s="1">
        <f>AVERAGE(BC$3:BC$32)</f>
        <v>0</v>
      </c>
      <c r="BD35" s="1">
        <f>AVERAGE(BD$3:BD$32)</f>
        <v>0</v>
      </c>
      <c r="BE35" s="1">
        <f>AVERAGE(BE$3:BE$32)</f>
        <v>0</v>
      </c>
      <c r="BF35" s="1">
        <f>AVERAGE(BF$3:BF$32)</f>
        <v>0</v>
      </c>
      <c r="BG35" s="1">
        <f>AVERAGE(BG$3:BG$32)</f>
        <v>0</v>
      </c>
      <c r="BH35" s="1">
        <f>AVERAGE(BH$3:BH$32)</f>
        <v>0</v>
      </c>
      <c r="BI35" s="1">
        <f>AVERAGE(BI$3:BI$32)</f>
        <v>0</v>
      </c>
      <c r="BJ35" s="1">
        <f>AVERAGE(BJ$3:BJ$32)</f>
        <v>0</v>
      </c>
      <c r="BK35" s="1">
        <f>AVERAGE(BK$3:BK$32)</f>
        <v>0</v>
      </c>
    </row>
    <row r="36" spans="1:63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>
        <f>STDEV(F$3:F$32)</f>
        <v>0</v>
      </c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/>
      <c r="M36" s="1">
        <f>STDEV(M$3:M$32)</f>
        <v>0</v>
      </c>
      <c r="N36" s="1">
        <f>STDEV(N$3:N$32)</f>
        <v>0</v>
      </c>
      <c r="O36" s="1"/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  <c r="AA36" s="1">
        <f>STDEV(AA$3:AA$32)</f>
        <v>0</v>
      </c>
      <c r="AB36" s="1">
        <f>STDEV(AB$3:AB$32)</f>
        <v>0</v>
      </c>
      <c r="AC36" s="1">
        <f>STDEV(AC$3:AC$32)</f>
        <v>0</v>
      </c>
      <c r="AD36" s="1">
        <f>STDEV(AD$3:AD$32)</f>
        <v>0</v>
      </c>
      <c r="AE36" s="1">
        <f>STDEV(AE$3:AE$32)</f>
        <v>0</v>
      </c>
      <c r="AF36" s="1">
        <f>STDEV(AF$3:AF$32)</f>
        <v>0</v>
      </c>
      <c r="AG36" s="1">
        <f>STDEV(AG$3:AG$32)</f>
        <v>0</v>
      </c>
      <c r="AH36" s="1">
        <f>STDEV(AH$3:AH$32)</f>
        <v>0</v>
      </c>
      <c r="AI36" s="1">
        <f>STDEV(AI$3:AI$32)</f>
        <v>0</v>
      </c>
      <c r="AJ36" s="1">
        <f>STDEV(AJ$3:AJ$32)</f>
        <v>0</v>
      </c>
      <c r="AK36" s="1">
        <f>STDEV(AK$3:AK$32)</f>
        <v>0</v>
      </c>
      <c r="AL36" s="1">
        <f>STDEV(AL$3:AL$32)</f>
        <v>0</v>
      </c>
      <c r="AM36" s="1">
        <f>STDEV(AM$3:AM$32)</f>
        <v>0</v>
      </c>
      <c r="AN36" s="1">
        <f>STDEV(AN$3:AN$32)</f>
        <v>0</v>
      </c>
      <c r="AO36" s="1">
        <f>STDEV(AO$3:AO$32)</f>
        <v>0</v>
      </c>
      <c r="AP36" s="1">
        <f>STDEV(AP$3:AP$32)</f>
        <v>0</v>
      </c>
      <c r="AQ36" s="1">
        <f>STDEV(AQ$3:AQ$32)</f>
        <v>0</v>
      </c>
      <c r="AR36" s="1">
        <f>STDEV(AR$3:AR$32)</f>
        <v>0</v>
      </c>
      <c r="AS36" s="1">
        <f>STDEV(AS$3:AS$32)</f>
        <v>0</v>
      </c>
      <c r="AT36" s="1">
        <f>STDEV(AT$3:AT$32)</f>
        <v>0</v>
      </c>
      <c r="AU36" s="1">
        <f>STDEV(AU$3:AU$32)</f>
        <v>0</v>
      </c>
      <c r="AV36" s="1">
        <f>STDEV(AV$3:AV$32)</f>
        <v>0</v>
      </c>
      <c r="AW36" s="1">
        <f>STDEV(AW$3:AW$32)</f>
        <v>0</v>
      </c>
      <c r="AX36" s="1">
        <f>STDEV(AX$3:AX$32)</f>
        <v>0</v>
      </c>
      <c r="AY36" s="1">
        <f>STDEV(AY$3:AY$32)</f>
        <v>0</v>
      </c>
      <c r="AZ36" s="1">
        <f>STDEV(AZ$3:AZ$32)</f>
        <v>0</v>
      </c>
      <c r="BA36" s="1">
        <f>STDEV(BA$3:BA$32)</f>
        <v>0</v>
      </c>
      <c r="BB36" s="1">
        <f>STDEV(BB$3:BB$32)</f>
        <v>0</v>
      </c>
      <c r="BC36" s="1">
        <f>STDEV(BC$3:BC$32)</f>
        <v>0</v>
      </c>
      <c r="BD36" s="1">
        <f>STDEV(BD$3:BD$32)</f>
        <v>0</v>
      </c>
      <c r="BE36" s="1">
        <f>STDEV(BE$3:BE$32)</f>
        <v>0</v>
      </c>
      <c r="BF36" s="1">
        <f>STDEV(BF$3:BF$32)</f>
        <v>0</v>
      </c>
      <c r="BG36" s="1">
        <f>STDEV(BG$3:BG$32)</f>
        <v>0</v>
      </c>
      <c r="BH36" s="1">
        <f>STDEV(BH$3:BH$32)</f>
        <v>0</v>
      </c>
      <c r="BI36" s="1">
        <f>STDEV(BI$3:BI$32)</f>
        <v>0</v>
      </c>
      <c r="BJ36" s="1">
        <f>STDEV(BJ$3:BJ$32)</f>
        <v>0</v>
      </c>
      <c r="BK36" s="1">
        <f>STDEV(BK$3:BK$32)</f>
        <v>0</v>
      </c>
    </row>
    <row r="37" spans="1:63">
      <c r="A37" s="1" t="s">
        <v>13</v>
      </c>
      <c r="B37" s="1">
        <f>SUMPRODUCT(--(B$3:B$32-$S$3:$S$32)^2)^0.5</f>
        <v>0</v>
      </c>
      <c r="C37" s="1">
        <f>SUMPRODUCT(--(C$3:C$32-$T$3:$T$32)^2)^0.5</f>
        <v>0</v>
      </c>
      <c r="D37" s="1">
        <f>SUMPRODUCT(--(D$3:D$32-$U$3:$U$32)^2)^0.5</f>
        <v>0</v>
      </c>
      <c r="E37" s="1">
        <f>SUMPRODUCT(--(E$3:E$32-$V$3:$V$32)^2)^0.5</f>
        <v>0</v>
      </c>
      <c r="F37" s="1">
        <f>SUMPRODUCT(--(F$3:F$32-$W$3:$W$32)^2)^0.5</f>
        <v>0</v>
      </c>
      <c r="G37" s="1">
        <f>SUMPRODUCT(--(G$3:G$32-$X$3:$X$32)^2)^0.5</f>
        <v>0</v>
      </c>
      <c r="H37" s="1">
        <f>SUMPRODUCT(--(H$3:H$32-$Y$3:$Y$32)^2)^0.5</f>
        <v>0</v>
      </c>
      <c r="I37" s="1">
        <f>SUMPRODUCT(--(I$3:I$32-$Z$3:$Z$32)^2)^0.5</f>
        <v>0</v>
      </c>
      <c r="J37" s="1">
        <f>SUMPRODUCT(--(J$3:J$32-$AA$3:$AA$32)^2)^0.5</f>
        <v>0</v>
      </c>
      <c r="K37" s="1">
        <f>SUMPRODUCT(--(K$3:K$32-$AB$3:$AB$32)^2)^0.5</f>
        <v>0</v>
      </c>
      <c r="L37" s="1"/>
      <c r="M37" s="1">
        <f>SUMPRODUCT(--(M$3:M$32-$AC$3:$AC$32)^2)^0.5</f>
        <v>0</v>
      </c>
      <c r="N37" s="1">
        <f>SUMPRODUCT(--(N$3:N$32-$AD$3:$AD$32)^2)^0.5</f>
        <v>0</v>
      </c>
      <c r="O37" s="1"/>
      <c r="P37" s="1">
        <f>SUMPRODUCT(--(P$3:P$32-$AE$3:$AE$32)^2)^0.5</f>
        <v>0</v>
      </c>
      <c r="Q37" s="1">
        <f>SUMPRODUCT(--(Q$3:Q$32-$AF$3:$AF$32)^2)^0.5</f>
        <v>0</v>
      </c>
      <c r="R37" s="1">
        <f>SUMPRODUCT(--(R$3:R$32-$AG$3:$AG$32)^2)^0.5</f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>
      <c r="A38" s="1" t="s">
        <v>14</v>
      </c>
      <c r="B38" s="1">
        <f>SUMPRODUCT(NOT(ISBLANK(B$3:B$32))*(B$3:B$32=$S$3:$S$32))</f>
        <v>0</v>
      </c>
      <c r="C38" s="1">
        <f>SUMPRODUCT(NOT(ISBLANK(C$3:C$32))*(C$3:C$32=$T$3:$T$32))</f>
        <v>0</v>
      </c>
      <c r="D38" s="1">
        <f>SUMPRODUCT(NOT(ISBLANK(D$3:D$32))*(D$3:D$32=$U$3:$U$32))</f>
        <v>0</v>
      </c>
      <c r="E38" s="1">
        <f>SUMPRODUCT(NOT(ISBLANK(E$3:E$32))*(E$3:E$32=$V$3:$V$32))</f>
        <v>0</v>
      </c>
      <c r="F38" s="1">
        <f>SUMPRODUCT(NOT(ISBLANK(F$3:F$32))*(F$3:F$32=$W$3:$W$32))</f>
        <v>0</v>
      </c>
      <c r="G38" s="1">
        <f>SUMPRODUCT(NOT(ISBLANK(G$3:G$32))*(G$3:G$32=$X$3:$X$32))</f>
        <v>0</v>
      </c>
      <c r="H38" s="1">
        <f>SUMPRODUCT(NOT(ISBLANK(H$3:H$32))*(H$3:H$32=$Y$3:$Y$32))</f>
        <v>0</v>
      </c>
      <c r="I38" s="1">
        <f>SUMPRODUCT(NOT(ISBLANK(I$3:I$32))*(I$3:I$32=$Z$3:$Z$32))</f>
        <v>0</v>
      </c>
      <c r="J38" s="1">
        <f>SUMPRODUCT(NOT(ISBLANK(J$3:J$32))*(J$3:J$32=$AA$3:$AA$32))</f>
        <v>0</v>
      </c>
      <c r="K38" s="1">
        <f>SUMPRODUCT(NOT(ISBLANK(K$3:K$32))*(K$3:K$32=$AB$3:$AB$32))</f>
        <v>0</v>
      </c>
      <c r="L38" s="1"/>
      <c r="M38" s="1">
        <f>SUMPRODUCT(NOT(ISBLANK(M$3:M$32))*(M$3:M$32=$AC$3:$AC$32))</f>
        <v>0</v>
      </c>
      <c r="N38" s="1">
        <f>SUMPRODUCT(NOT(ISBLANK(N$3:N$32))*(N$3:N$32=$AD$3:$AD$32))</f>
        <v>0</v>
      </c>
      <c r="O38" s="1"/>
      <c r="P38" s="1">
        <f>SUMPRODUCT(NOT(ISBLANK(P$3:P$32))*(P$3:P$32=$AE$3:$AE$32))</f>
        <v>0</v>
      </c>
      <c r="Q38" s="1">
        <f>SUMPRODUCT(NOT(ISBLANK(Q$3:Q$32))*(Q$3:Q$32=$AF$3:$AF$32))</f>
        <v>0</v>
      </c>
      <c r="R38" s="1">
        <f>SUMPRODUCT(NOT(ISBLANK(R$3:R$32))*(R$3:R$32=$AG$3:$AG$32))</f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>
      <c r="A39" s="1" t="s">
        <v>15</v>
      </c>
      <c r="B39" s="1">
        <f>SUMPRODUCT(NOT(ISBLANK(B$3:B$32))*(B$3:B$32&lt;$AH$3:$AH$32))</f>
        <v>0</v>
      </c>
      <c r="C39" s="1">
        <f>SUMPRODUCT(NOT(ISBLANK(C$3:C$32))*(C$3:C$32&lt;$AI$3:$AI$32))</f>
        <v>0</v>
      </c>
      <c r="D39" s="1">
        <f>SUMPRODUCT(NOT(ISBLANK(D$3:D$32))*(D$3:D$32&lt;$AJ$3:$AJ$32))</f>
        <v>0</v>
      </c>
      <c r="E39" s="1">
        <f>SUMPRODUCT(NOT(ISBLANK(E$3:E$32))*(E$3:E$32&lt;$AK$3:$AK$32))</f>
        <v>0</v>
      </c>
      <c r="F39" s="1">
        <f>SUMPRODUCT(NOT(ISBLANK(F$3:F$32))*(F$3:F$32&lt;$AL$3:$AL$32))</f>
        <v>0</v>
      </c>
      <c r="G39" s="1">
        <f>SUMPRODUCT(NOT(ISBLANK(G$3:G$32))*(G$3:G$32&lt;$AM$3:$AM$32))</f>
        <v>0</v>
      </c>
      <c r="H39" s="1">
        <f>SUMPRODUCT(NOT(ISBLANK(H$3:H$32))*(H$3:H$32&lt;$AN$3:$AN$32))</f>
        <v>0</v>
      </c>
      <c r="I39" s="1">
        <f>SUMPRODUCT(NOT(ISBLANK(I$3:I$32))*(I$3:I$32&lt;$AO$3:$AO$32))</f>
        <v>0</v>
      </c>
      <c r="J39" s="1">
        <f>SUMPRODUCT(NOT(ISBLANK(J$3:J$32))*(J$3:J$32&lt;$AP$3:$AP$32))</f>
        <v>0</v>
      </c>
      <c r="K39" s="1">
        <f>SUMPRODUCT(NOT(ISBLANK(K$3:K$32))*(K$3:K$32&lt;$AQ$3:$AQ$32))</f>
        <v>0</v>
      </c>
      <c r="L39" s="1"/>
      <c r="M39" s="1">
        <f>SUMPRODUCT(NOT(ISBLANK(M$3:M$32))*(M$3:M$32&lt;$AR$3:$AR$32))</f>
        <v>0</v>
      </c>
      <c r="N39" s="1">
        <f>SUMPRODUCT(NOT(ISBLANK(N$3:N$32))*(N$3:N$32&lt;$AS$3:$AS$32))</f>
        <v>0</v>
      </c>
      <c r="O39" s="1"/>
      <c r="P39" s="1">
        <f>SUMPRODUCT(NOT(ISBLANK(P$3:P$32))*(P$3:P$32&lt;$AT$3:$AT$32))</f>
        <v>0</v>
      </c>
      <c r="Q39" s="1">
        <f>SUMPRODUCT(NOT(ISBLANK(Q$3:Q$32))*(Q$3:Q$32&lt;$AU$3:$AU$32))</f>
        <v>0</v>
      </c>
      <c r="R39" s="1">
        <f>SUMPRODUCT(NOT(ISBLANK(R$3:R$32))*(R$3:R$32&lt;$AV$3:$AV$32))</f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>
      <c r="A40" s="1" t="s">
        <v>16</v>
      </c>
      <c r="B40" s="1">
        <f>SUMPRODUCT((NOT(ISBLANK(B$3:B$32))*(B$3:B$32&gt;$AH$3:$AH$32))+ISBLANK(B$3:B$32))</f>
        <v>0</v>
      </c>
      <c r="C40" s="1">
        <f>SUMPRODUCT((NOT(ISBLANK(C$3:C$32))*(C$3:C$32&gt;$AI$3:$AI$32))+ISBLANK(C$3:C$32))</f>
        <v>0</v>
      </c>
      <c r="D40" s="1">
        <f>SUMPRODUCT((NOT(ISBLANK(D$3:D$32))*(D$3:D$32&gt;$AJ$3:$AJ$32))+ISBLANK(D$3:D$32))</f>
        <v>0</v>
      </c>
      <c r="E40" s="1">
        <f>SUMPRODUCT((NOT(ISBLANK(E$3:E$32))*(E$3:E$32&gt;$AK$3:$AK$32))+ISBLANK(E$3:E$32))</f>
        <v>0</v>
      </c>
      <c r="F40" s="1">
        <f>SUMPRODUCT((NOT(ISBLANK(F$3:F$32))*(F$3:F$32&gt;$AL$3:$AL$32))+ISBLANK(F$3:F$32))</f>
        <v>0</v>
      </c>
      <c r="G40" s="1">
        <f>SUMPRODUCT((NOT(ISBLANK(G$3:G$32))*(G$3:G$32&gt;$AM$3:$AM$32))+ISBLANK(G$3:G$32))</f>
        <v>0</v>
      </c>
      <c r="H40" s="1">
        <f>SUMPRODUCT((NOT(ISBLANK(H$3:H$32))*(H$3:H$32&gt;$AN$3:$AN$32))+ISBLANK(H$3:H$32))</f>
        <v>0</v>
      </c>
      <c r="I40" s="1">
        <f>SUMPRODUCT((NOT(ISBLANK(I$3:I$32))*(I$3:I$32&gt;$AO$3:$AO$32))+ISBLANK(I$3:I$32))</f>
        <v>0</v>
      </c>
      <c r="J40" s="1">
        <f>SUMPRODUCT((NOT(ISBLANK(J$3:J$32))*(J$3:J$32&gt;$AP$3:$AP$32))+ISBLANK(J$3:J$32))</f>
        <v>0</v>
      </c>
      <c r="K40" s="1">
        <f>SUMPRODUCT((NOT(ISBLANK(K$3:K$32))*(K$3:K$32&gt;$AQ$3:$AQ$32))+ISBLANK(K$3:K$32))</f>
        <v>0</v>
      </c>
      <c r="L40" s="1"/>
      <c r="M40" s="1">
        <f>SUMPRODUCT((NOT(ISBLANK(M$3:M$32))*(M$3:M$32&gt;$AR$3:$AR$32))+ISBLANK(M$3:M$32))</f>
        <v>0</v>
      </c>
      <c r="N40" s="1">
        <f>SUMPRODUCT((NOT(ISBLANK(N$3:N$32))*(N$3:N$32&gt;$AS$3:$AS$32))+ISBLANK(N$3:N$32))</f>
        <v>0</v>
      </c>
      <c r="O40" s="1"/>
      <c r="P40" s="1">
        <f>SUMPRODUCT((NOT(ISBLANK(P$3:P$32))*(P$3:P$32&gt;$AT$3:$AT$32))+ISBLANK(P$3:P$32))</f>
        <v>0</v>
      </c>
      <c r="Q40" s="1">
        <f>SUMPRODUCT((NOT(ISBLANK(Q$3:Q$32))*(Q$3:Q$32&gt;$AU$3:$AU$32))+ISBLANK(Q$3:Q$32))</f>
        <v>0</v>
      </c>
      <c r="R40" s="1">
        <f>SUMPRODUCT((NOT(ISBLANK(R$3:R$32))*(R$3:R$32&gt;$AV$3:$AV$32))+ISBLANK(R$3:R$32))</f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>
      <c r="A41" s="1" t="s">
        <v>17</v>
      </c>
      <c r="B41" s="1">
        <f>SUMPRODUCT((NOT(ISBLANK(B$3:B$32))*(B$3:B$32=$AW$3:$AW$32))+ISBLANK(B$3:B$32))</f>
        <v>0</v>
      </c>
      <c r="C41" s="1">
        <f>SUMPRODUCT((NOT(ISBLANK(C$3:C$32))*(C$3:C$32=$AX$3:$AX$32))+ISBLANK(C$3:C$32))</f>
        <v>0</v>
      </c>
      <c r="D41" s="1">
        <f>SUMPRODUCT((NOT(ISBLANK(D$3:D$32))*(D$3:D$32=$AY$3:$AY$32))+ISBLANK(D$3:D$32))</f>
        <v>0</v>
      </c>
      <c r="E41" s="1">
        <f>SUMPRODUCT((NOT(ISBLANK(E$3:E$32))*(E$3:E$32=$AZ$3:$AZ$32))+ISBLANK(E$3:E$32))</f>
        <v>0</v>
      </c>
      <c r="F41" s="1">
        <f>SUMPRODUCT((NOT(ISBLANK(F$3:F$32))*(F$3:F$32=$BA$3:$BA$32))+ISBLANK(F$3:F$32))</f>
        <v>0</v>
      </c>
      <c r="G41" s="1">
        <f>SUMPRODUCT((NOT(ISBLANK(G$3:G$32))*(G$3:G$32=$BB$3:$BB$32))+ISBLANK(G$3:G$32))</f>
        <v>0</v>
      </c>
      <c r="H41" s="1">
        <f>SUMPRODUCT((NOT(ISBLANK(H$3:H$32))*(H$3:H$32=$BC$3:$BC$32))+ISBLANK(H$3:H$32))</f>
        <v>0</v>
      </c>
      <c r="I41" s="1">
        <f>SUMPRODUCT((NOT(ISBLANK(I$3:I$32))*(I$3:I$32=$BD$3:$BD$32))+ISBLANK(I$3:I$32))</f>
        <v>0</v>
      </c>
      <c r="J41" s="1">
        <f>SUMPRODUCT((NOT(ISBLANK(J$3:J$32))*(J$3:J$32=$BE$3:$BE$32))+ISBLANK(J$3:J$32))</f>
        <v>0</v>
      </c>
      <c r="K41" s="1">
        <f>SUMPRODUCT((NOT(ISBLANK(K$3:K$32))*(K$3:K$32=$BF$3:$BF$32))+ISBLANK(K$3:K$32))</f>
        <v>0</v>
      </c>
      <c r="L41" s="1"/>
      <c r="M41" s="1">
        <f>SUMPRODUCT((NOT(ISBLANK(M$3:M$32))*(M$3:M$32=$BG$3:$BG$32))+ISBLANK(M$3:M$32))</f>
        <v>0</v>
      </c>
      <c r="N41" s="1">
        <f>SUMPRODUCT((NOT(ISBLANK(N$3:N$32))*(N$3:N$32=$BH$3:$BH$32))+ISBLANK(N$3:N$32))</f>
        <v>0</v>
      </c>
      <c r="O41" s="1"/>
      <c r="P41" s="1">
        <f>SUMPRODUCT((NOT(ISBLANK(P$3:P$32))*(P$3:P$32=$BI$3:$BI$32))+ISBLANK(P$3:P$32))</f>
        <v>0</v>
      </c>
      <c r="Q41" s="1">
        <f>SUMPRODUCT((NOT(ISBLANK(Q$3:Q$32))*(Q$3:Q$32=$BJ$3:$BJ$32))+ISBLANK(Q$3:Q$32))</f>
        <v>0</v>
      </c>
      <c r="R41" s="1">
        <f>SUMPRODUCT((NOT(ISBLANK(R$3:R$32))*(R$3:R$32=$BK$3:$BK$32))+ISBLANK(R$3:R$32))</f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4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44</v>
      </c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42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43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42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33</v>
      </c>
      <c r="N2" s="1" t="s">
        <v>34</v>
      </c>
      <c r="O2" s="1" t="s">
        <v>35</v>
      </c>
      <c r="P2" s="1" t="s">
        <v>38</v>
      </c>
      <c r="Q2" s="1" t="s">
        <v>39</v>
      </c>
      <c r="R2" s="1" t="s">
        <v>40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33</v>
      </c>
      <c r="AD2" s="1" t="s">
        <v>34</v>
      </c>
      <c r="AE2" s="1" t="s">
        <v>38</v>
      </c>
      <c r="AF2" s="1" t="s">
        <v>39</v>
      </c>
      <c r="AG2" s="1" t="s">
        <v>40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33</v>
      </c>
      <c r="AS2" s="1" t="s">
        <v>34</v>
      </c>
      <c r="AT2" s="1" t="s">
        <v>38</v>
      </c>
      <c r="AU2" s="1" t="s">
        <v>39</v>
      </c>
      <c r="AV2" s="1" t="s">
        <v>40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33</v>
      </c>
      <c r="BH2" s="1" t="s">
        <v>34</v>
      </c>
      <c r="BI2" s="1" t="s">
        <v>38</v>
      </c>
      <c r="BJ2" s="1" t="s">
        <v>39</v>
      </c>
      <c r="BK2" s="1" t="s">
        <v>40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/>
      <c r="C5" s="1"/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/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/>
      <c r="M5" s="1"/>
      <c r="N5" s="1"/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/>
      <c r="T5" s="1"/>
      <c r="U5" s="1"/>
      <c r="V5" s="1">
        <f>MIN($E5)</f>
        <v>0</v>
      </c>
      <c r="W5" s="1">
        <f>MIN($F5)</f>
        <v>0</v>
      </c>
      <c r="X5" s="1">
        <f>MIN($G5)</f>
        <v>0</v>
      </c>
      <c r="Y5" s="1"/>
      <c r="Z5" s="1"/>
      <c r="AA5" s="1">
        <f>MIN($J5)</f>
        <v>0</v>
      </c>
      <c r="AB5" s="1"/>
      <c r="AC5" s="1"/>
      <c r="AD5" s="1"/>
      <c r="AE5" s="1">
        <f>MIN($P5)</f>
        <v>0</v>
      </c>
      <c r="AF5" s="1">
        <f>MIN($Q5)</f>
        <v>0</v>
      </c>
      <c r="AG5" s="1"/>
      <c r="AH5" s="1"/>
      <c r="AI5" s="1"/>
      <c r="AJ5" s="1"/>
      <c r="AK5" s="1">
        <f>MEDIAN($E5)</f>
        <v>0</v>
      </c>
      <c r="AL5" s="1">
        <f>MEDIAN($F5)</f>
        <v>0</v>
      </c>
      <c r="AM5" s="1">
        <f>MEDIAN($G5)</f>
        <v>0</v>
      </c>
      <c r="AN5" s="1"/>
      <c r="AO5" s="1"/>
      <c r="AP5" s="1">
        <f>MEDIAN($J5)</f>
        <v>0</v>
      </c>
      <c r="AQ5" s="1"/>
      <c r="AR5" s="1"/>
      <c r="AS5" s="1"/>
      <c r="AT5" s="1">
        <f>MEDIAN($P5)</f>
        <v>0</v>
      </c>
      <c r="AU5" s="1">
        <f>MEDIAN($Q5)</f>
        <v>0</v>
      </c>
      <c r="AV5" s="1"/>
      <c r="AW5" s="1"/>
      <c r="AX5" s="1"/>
      <c r="AY5" s="1"/>
      <c r="AZ5" s="1">
        <f>MAX($E5)</f>
        <v>0</v>
      </c>
      <c r="BA5" s="1">
        <f>MAX($F5)</f>
        <v>0</v>
      </c>
      <c r="BB5" s="1">
        <f>MAX($G5)</f>
        <v>0</v>
      </c>
      <c r="BC5" s="1"/>
      <c r="BD5" s="1"/>
      <c r="BE5" s="1">
        <f>MAX($J5)</f>
        <v>0</v>
      </c>
      <c r="BF5" s="1"/>
      <c r="BG5" s="1"/>
      <c r="BH5" s="1"/>
      <c r="BI5" s="1">
        <f>MAX($P5)</f>
        <v>0</v>
      </c>
      <c r="BJ5" s="1">
        <f>MAX($Q5)</f>
        <v>0</v>
      </c>
      <c r="BK5" s="1"/>
    </row>
    <row r="6" spans="1:63">
      <c r="A6" s="1" t="s">
        <v>3</v>
      </c>
      <c r="B6" s="1"/>
      <c r="C6" s="1"/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/>
      <c r="I6" s="1"/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/>
      <c r="M6" s="1"/>
      <c r="N6" s="1"/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/>
      <c r="T6" s="1"/>
      <c r="U6" s="1"/>
      <c r="V6" s="1">
        <f>MIN($E6)</f>
        <v>0</v>
      </c>
      <c r="W6" s="1">
        <f>MIN($F6)</f>
        <v>0</v>
      </c>
      <c r="X6" s="1">
        <f>MIN($G6)</f>
        <v>0</v>
      </c>
      <c r="Y6" s="1"/>
      <c r="Z6" s="1"/>
      <c r="AA6" s="1">
        <f>MIN($J6)</f>
        <v>0</v>
      </c>
      <c r="AB6" s="1"/>
      <c r="AC6" s="1"/>
      <c r="AD6" s="1"/>
      <c r="AE6" s="1">
        <f>MIN($P6)</f>
        <v>0</v>
      </c>
      <c r="AF6" s="1">
        <f>MIN($Q6)</f>
        <v>0</v>
      </c>
      <c r="AG6" s="1"/>
      <c r="AH6" s="1"/>
      <c r="AI6" s="1"/>
      <c r="AJ6" s="1"/>
      <c r="AK6" s="1">
        <f>MEDIAN($E6)</f>
        <v>0</v>
      </c>
      <c r="AL6" s="1">
        <f>MEDIAN($F6)</f>
        <v>0</v>
      </c>
      <c r="AM6" s="1">
        <f>MEDIAN($G6)</f>
        <v>0</v>
      </c>
      <c r="AN6" s="1"/>
      <c r="AO6" s="1"/>
      <c r="AP6" s="1">
        <f>MEDIAN($J6)</f>
        <v>0</v>
      </c>
      <c r="AQ6" s="1"/>
      <c r="AR6" s="1"/>
      <c r="AS6" s="1"/>
      <c r="AT6" s="1">
        <f>MEDIAN($P6)</f>
        <v>0</v>
      </c>
      <c r="AU6" s="1">
        <f>MEDIAN($Q6)</f>
        <v>0</v>
      </c>
      <c r="AV6" s="1"/>
      <c r="AW6" s="1"/>
      <c r="AX6" s="1"/>
      <c r="AY6" s="1"/>
      <c r="AZ6" s="1">
        <f>MAX($E6)</f>
        <v>0</v>
      </c>
      <c r="BA6" s="1">
        <f>MAX($F6)</f>
        <v>0</v>
      </c>
      <c r="BB6" s="1">
        <f>MAX($G6)</f>
        <v>0</v>
      </c>
      <c r="BC6" s="1"/>
      <c r="BD6" s="1"/>
      <c r="BE6" s="1">
        <f>MAX($J6)</f>
        <v>0</v>
      </c>
      <c r="BF6" s="1"/>
      <c r="BG6" s="1"/>
      <c r="BH6" s="1"/>
      <c r="BI6" s="1">
        <f>MAX($P6)</f>
        <v>0</v>
      </c>
      <c r="BJ6" s="1">
        <f>MAX($Q6)</f>
        <v>0</v>
      </c>
      <c r="BK6" s="1"/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/>
      <c r="C10" s="1"/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/>
      <c r="I10" s="1"/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/>
      <c r="M10" s="1"/>
      <c r="N10" s="1"/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/>
      <c r="T10" s="1"/>
      <c r="U10" s="1"/>
      <c r="V10" s="1">
        <f>MIN($E10)</f>
        <v>0</v>
      </c>
      <c r="W10" s="1">
        <f>MIN($F10)</f>
        <v>0</v>
      </c>
      <c r="X10" s="1">
        <f>MIN($G10)</f>
        <v>0</v>
      </c>
      <c r="Y10" s="1"/>
      <c r="Z10" s="1"/>
      <c r="AA10" s="1">
        <f>MIN($J10)</f>
        <v>0</v>
      </c>
      <c r="AB10" s="1"/>
      <c r="AC10" s="1"/>
      <c r="AD10" s="1"/>
      <c r="AE10" s="1">
        <f>MIN($P10)</f>
        <v>0</v>
      </c>
      <c r="AF10" s="1">
        <f>MIN($Q10)</f>
        <v>0</v>
      </c>
      <c r="AG10" s="1"/>
      <c r="AH10" s="1"/>
      <c r="AI10" s="1"/>
      <c r="AJ10" s="1"/>
      <c r="AK10" s="1">
        <f>MEDIAN($E10)</f>
        <v>0</v>
      </c>
      <c r="AL10" s="1">
        <f>MEDIAN($F10)</f>
        <v>0</v>
      </c>
      <c r="AM10" s="1">
        <f>MEDIAN($G10)</f>
        <v>0</v>
      </c>
      <c r="AN10" s="1"/>
      <c r="AO10" s="1"/>
      <c r="AP10" s="1">
        <f>MEDIAN($J10)</f>
        <v>0</v>
      </c>
      <c r="AQ10" s="1"/>
      <c r="AR10" s="1"/>
      <c r="AS10" s="1"/>
      <c r="AT10" s="1">
        <f>MEDIAN($P10)</f>
        <v>0</v>
      </c>
      <c r="AU10" s="1">
        <f>MEDIAN($Q10)</f>
        <v>0</v>
      </c>
      <c r="AV10" s="1"/>
      <c r="AW10" s="1"/>
      <c r="AX10" s="1"/>
      <c r="AY10" s="1"/>
      <c r="AZ10" s="1">
        <f>MAX($E10)</f>
        <v>0</v>
      </c>
      <c r="BA10" s="1">
        <f>MAX($F10)</f>
        <v>0</v>
      </c>
      <c r="BB10" s="1">
        <f>MAX($G10)</f>
        <v>0</v>
      </c>
      <c r="BC10" s="1"/>
      <c r="BD10" s="1"/>
      <c r="BE10" s="1">
        <f>MAX($J10)</f>
        <v>0</v>
      </c>
      <c r="BF10" s="1"/>
      <c r="BG10" s="1"/>
      <c r="BH10" s="1"/>
      <c r="BI10" s="1">
        <f>MAX($P10)</f>
        <v>0</v>
      </c>
      <c r="BJ10" s="1">
        <f>MAX($Q10)</f>
        <v>0</v>
      </c>
      <c r="BK10" s="1"/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/>
      <c r="C12" s="1"/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/>
      <c r="I12" s="1"/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/>
      <c r="M12" s="1"/>
      <c r="N12" s="1"/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/>
      <c r="T12" s="1"/>
      <c r="U12" s="1"/>
      <c r="V12" s="1">
        <f>MIN($E12)</f>
        <v>0</v>
      </c>
      <c r="W12" s="1">
        <f>MIN($F12)</f>
        <v>0</v>
      </c>
      <c r="X12" s="1">
        <f>MIN($G12)</f>
        <v>0</v>
      </c>
      <c r="Y12" s="1"/>
      <c r="Z12" s="1"/>
      <c r="AA12" s="1">
        <f>MIN($J12)</f>
        <v>0</v>
      </c>
      <c r="AB12" s="1"/>
      <c r="AC12" s="1"/>
      <c r="AD12" s="1"/>
      <c r="AE12" s="1">
        <f>MIN($P12)</f>
        <v>0</v>
      </c>
      <c r="AF12" s="1">
        <f>MIN($Q12)</f>
        <v>0</v>
      </c>
      <c r="AG12" s="1"/>
      <c r="AH12" s="1"/>
      <c r="AI12" s="1"/>
      <c r="AJ12" s="1"/>
      <c r="AK12" s="1">
        <f>MEDIAN($E12)</f>
        <v>0</v>
      </c>
      <c r="AL12" s="1">
        <f>MEDIAN($F12)</f>
        <v>0</v>
      </c>
      <c r="AM12" s="1">
        <f>MEDIAN($G12)</f>
        <v>0</v>
      </c>
      <c r="AN12" s="1"/>
      <c r="AO12" s="1"/>
      <c r="AP12" s="1">
        <f>MEDIAN($J12)</f>
        <v>0</v>
      </c>
      <c r="AQ12" s="1"/>
      <c r="AR12" s="1"/>
      <c r="AS12" s="1"/>
      <c r="AT12" s="1">
        <f>MEDIAN($P12)</f>
        <v>0</v>
      </c>
      <c r="AU12" s="1">
        <f>MEDIAN($Q12)</f>
        <v>0</v>
      </c>
      <c r="AV12" s="1"/>
      <c r="AW12" s="1"/>
      <c r="AX12" s="1"/>
      <c r="AY12" s="1"/>
      <c r="AZ12" s="1">
        <f>MAX($E12)</f>
        <v>0</v>
      </c>
      <c r="BA12" s="1">
        <f>MAX($F12)</f>
        <v>0</v>
      </c>
      <c r="BB12" s="1">
        <f>MAX($G12)</f>
        <v>0</v>
      </c>
      <c r="BC12" s="1"/>
      <c r="BD12" s="1"/>
      <c r="BE12" s="1">
        <f>MAX($J12)</f>
        <v>0</v>
      </c>
      <c r="BF12" s="1"/>
      <c r="BG12" s="1"/>
      <c r="BH12" s="1"/>
      <c r="BI12" s="1">
        <f>MAX($P12)</f>
        <v>0</v>
      </c>
      <c r="BJ12" s="1">
        <f>MAX($Q12)</f>
        <v>0</v>
      </c>
      <c r="BK12" s="1"/>
    </row>
    <row r="13" spans="1:63">
      <c r="A13" s="1" t="s">
        <v>0</v>
      </c>
      <c r="B13" s="1"/>
      <c r="C13" s="1"/>
      <c r="D13" s="1"/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/>
      <c r="I13" s="1"/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/>
      <c r="L13" s="1"/>
      <c r="M13" s="1"/>
      <c r="N13" s="1"/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/>
      <c r="S13" s="1"/>
      <c r="T13" s="1"/>
      <c r="U13" s="1"/>
      <c r="V13" s="1">
        <f>MIN($E13)</f>
        <v>0</v>
      </c>
      <c r="W13" s="1">
        <f>MIN($F13)</f>
        <v>0</v>
      </c>
      <c r="X13" s="1">
        <f>MIN($G13)</f>
        <v>0</v>
      </c>
      <c r="Y13" s="1"/>
      <c r="Z13" s="1"/>
      <c r="AA13" s="1">
        <f>MIN($J13)</f>
        <v>0</v>
      </c>
      <c r="AB13" s="1"/>
      <c r="AC13" s="1"/>
      <c r="AD13" s="1"/>
      <c r="AE13" s="1">
        <f>MIN($P13)</f>
        <v>0</v>
      </c>
      <c r="AF13" s="1">
        <f>MIN($Q13)</f>
        <v>0</v>
      </c>
      <c r="AG13" s="1"/>
      <c r="AH13" s="1"/>
      <c r="AI13" s="1"/>
      <c r="AJ13" s="1"/>
      <c r="AK13" s="1">
        <f>MEDIAN($E13)</f>
        <v>0</v>
      </c>
      <c r="AL13" s="1">
        <f>MEDIAN($F13)</f>
        <v>0</v>
      </c>
      <c r="AM13" s="1">
        <f>MEDIAN($G13)</f>
        <v>0</v>
      </c>
      <c r="AN13" s="1"/>
      <c r="AO13" s="1"/>
      <c r="AP13" s="1">
        <f>MEDIAN($J13)</f>
        <v>0</v>
      </c>
      <c r="AQ13" s="1"/>
      <c r="AR13" s="1"/>
      <c r="AS13" s="1"/>
      <c r="AT13" s="1">
        <f>MEDIAN($P13)</f>
        <v>0</v>
      </c>
      <c r="AU13" s="1">
        <f>MEDIAN($Q13)</f>
        <v>0</v>
      </c>
      <c r="AV13" s="1"/>
      <c r="AW13" s="1"/>
      <c r="AX13" s="1"/>
      <c r="AY13" s="1"/>
      <c r="AZ13" s="1">
        <f>MAX($E13)</f>
        <v>0</v>
      </c>
      <c r="BA13" s="1">
        <f>MAX($F13)</f>
        <v>0</v>
      </c>
      <c r="BB13" s="1">
        <f>MAX($G13)</f>
        <v>0</v>
      </c>
      <c r="BC13" s="1"/>
      <c r="BD13" s="1"/>
      <c r="BE13" s="1">
        <f>MAX($J13)</f>
        <v>0</v>
      </c>
      <c r="BF13" s="1"/>
      <c r="BG13" s="1"/>
      <c r="BH13" s="1"/>
      <c r="BI13" s="1">
        <f>MAX($P13)</f>
        <v>0</v>
      </c>
      <c r="BJ13" s="1">
        <f>MAX($Q13)</f>
        <v>0</v>
      </c>
      <c r="BK13" s="1"/>
    </row>
    <row r="14" spans="1:63">
      <c r="A14" s="1" t="s">
        <v>1</v>
      </c>
      <c r="B14" s="1"/>
      <c r="C14" s="1"/>
      <c r="D14" s="1"/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/>
      <c r="I14" s="1"/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/>
      <c r="L14" s="1"/>
      <c r="M14" s="1"/>
      <c r="N14" s="1"/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/>
      <c r="S14" s="1"/>
      <c r="T14" s="1"/>
      <c r="U14" s="1"/>
      <c r="V14" s="1">
        <f>MIN($E14)</f>
        <v>0</v>
      </c>
      <c r="W14" s="1">
        <f>MIN($F14)</f>
        <v>0</v>
      </c>
      <c r="X14" s="1">
        <f>MIN($G14)</f>
        <v>0</v>
      </c>
      <c r="Y14" s="1"/>
      <c r="Z14" s="1"/>
      <c r="AA14" s="1">
        <f>MIN($J14)</f>
        <v>0</v>
      </c>
      <c r="AB14" s="1"/>
      <c r="AC14" s="1"/>
      <c r="AD14" s="1"/>
      <c r="AE14" s="1">
        <f>MIN($P14)</f>
        <v>0</v>
      </c>
      <c r="AF14" s="1">
        <f>MIN($Q14)</f>
        <v>0</v>
      </c>
      <c r="AG14" s="1"/>
      <c r="AH14" s="1"/>
      <c r="AI14" s="1"/>
      <c r="AJ14" s="1"/>
      <c r="AK14" s="1">
        <f>MEDIAN($E14)</f>
        <v>0</v>
      </c>
      <c r="AL14" s="1">
        <f>MEDIAN($F14)</f>
        <v>0</v>
      </c>
      <c r="AM14" s="1">
        <f>MEDIAN($G14)</f>
        <v>0</v>
      </c>
      <c r="AN14" s="1"/>
      <c r="AO14" s="1"/>
      <c r="AP14" s="1">
        <f>MEDIAN($J14)</f>
        <v>0</v>
      </c>
      <c r="AQ14" s="1"/>
      <c r="AR14" s="1"/>
      <c r="AS14" s="1"/>
      <c r="AT14" s="1">
        <f>MEDIAN($P14)</f>
        <v>0</v>
      </c>
      <c r="AU14" s="1">
        <f>MEDIAN($Q14)</f>
        <v>0</v>
      </c>
      <c r="AV14" s="1"/>
      <c r="AW14" s="1"/>
      <c r="AX14" s="1"/>
      <c r="AY14" s="1"/>
      <c r="AZ14" s="1">
        <f>MAX($E14)</f>
        <v>0</v>
      </c>
      <c r="BA14" s="1">
        <f>MAX($F14)</f>
        <v>0</v>
      </c>
      <c r="BB14" s="1">
        <f>MAX($G14)</f>
        <v>0</v>
      </c>
      <c r="BC14" s="1"/>
      <c r="BD14" s="1"/>
      <c r="BE14" s="1">
        <f>MAX($J14)</f>
        <v>0</v>
      </c>
      <c r="BF14" s="1"/>
      <c r="BG14" s="1"/>
      <c r="BH14" s="1"/>
      <c r="BI14" s="1">
        <f>MAX($P14)</f>
        <v>0</v>
      </c>
      <c r="BJ14" s="1">
        <f>MAX($Q14)</f>
        <v>0</v>
      </c>
      <c r="BK14" s="1"/>
    </row>
    <row r="15" spans="1:63">
      <c r="A15" s="1" t="s">
        <v>2</v>
      </c>
      <c r="B15" s="1"/>
      <c r="C15" s="1"/>
      <c r="D15" s="1"/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/>
      <c r="I15" s="1"/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/>
      <c r="L15" s="1"/>
      <c r="M15" s="1"/>
      <c r="N15" s="1"/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/>
      <c r="S15" s="1"/>
      <c r="T15" s="1"/>
      <c r="U15" s="1"/>
      <c r="V15" s="1">
        <f>MIN($E15)</f>
        <v>0</v>
      </c>
      <c r="W15" s="1">
        <f>MIN($F15)</f>
        <v>0</v>
      </c>
      <c r="X15" s="1">
        <f>MIN($G15)</f>
        <v>0</v>
      </c>
      <c r="Y15" s="1"/>
      <c r="Z15" s="1"/>
      <c r="AA15" s="1">
        <f>MIN($J15)</f>
        <v>0</v>
      </c>
      <c r="AB15" s="1"/>
      <c r="AC15" s="1"/>
      <c r="AD15" s="1"/>
      <c r="AE15" s="1">
        <f>MIN($P15)</f>
        <v>0</v>
      </c>
      <c r="AF15" s="1">
        <f>MIN($Q15)</f>
        <v>0</v>
      </c>
      <c r="AG15" s="1"/>
      <c r="AH15" s="1"/>
      <c r="AI15" s="1"/>
      <c r="AJ15" s="1"/>
      <c r="AK15" s="1">
        <f>MEDIAN($E15)</f>
        <v>0</v>
      </c>
      <c r="AL15" s="1">
        <f>MEDIAN($F15)</f>
        <v>0</v>
      </c>
      <c r="AM15" s="1">
        <f>MEDIAN($G15)</f>
        <v>0</v>
      </c>
      <c r="AN15" s="1"/>
      <c r="AO15" s="1"/>
      <c r="AP15" s="1">
        <f>MEDIAN($J15)</f>
        <v>0</v>
      </c>
      <c r="AQ15" s="1"/>
      <c r="AR15" s="1"/>
      <c r="AS15" s="1"/>
      <c r="AT15" s="1">
        <f>MEDIAN($P15)</f>
        <v>0</v>
      </c>
      <c r="AU15" s="1">
        <f>MEDIAN($Q15)</f>
        <v>0</v>
      </c>
      <c r="AV15" s="1"/>
      <c r="AW15" s="1"/>
      <c r="AX15" s="1"/>
      <c r="AY15" s="1"/>
      <c r="AZ15" s="1">
        <f>MAX($E15)</f>
        <v>0</v>
      </c>
      <c r="BA15" s="1">
        <f>MAX($F15)</f>
        <v>0</v>
      </c>
      <c r="BB15" s="1">
        <f>MAX($G15)</f>
        <v>0</v>
      </c>
      <c r="BC15" s="1"/>
      <c r="BD15" s="1"/>
      <c r="BE15" s="1">
        <f>MAX($J15)</f>
        <v>0</v>
      </c>
      <c r="BF15" s="1"/>
      <c r="BG15" s="1"/>
      <c r="BH15" s="1"/>
      <c r="BI15" s="1">
        <f>MAX($P15)</f>
        <v>0</v>
      </c>
      <c r="BJ15" s="1">
        <f>MAX($Q15)</f>
        <v>0</v>
      </c>
      <c r="BK15" s="1"/>
    </row>
    <row r="16" spans="1:63">
      <c r="A16" s="1" t="s">
        <v>3</v>
      </c>
      <c r="B16" s="1"/>
      <c r="C16" s="1"/>
      <c r="D16" s="1"/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/>
      <c r="I16" s="1"/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/>
      <c r="L16" s="1"/>
      <c r="M16" s="1"/>
      <c r="N16" s="1"/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/>
      <c r="S16" s="1"/>
      <c r="T16" s="1"/>
      <c r="U16" s="1"/>
      <c r="V16" s="1">
        <f>MIN($E16)</f>
        <v>0</v>
      </c>
      <c r="W16" s="1">
        <f>MIN($F16)</f>
        <v>0</v>
      </c>
      <c r="X16" s="1">
        <f>MIN($G16)</f>
        <v>0</v>
      </c>
      <c r="Y16" s="1"/>
      <c r="Z16" s="1"/>
      <c r="AA16" s="1">
        <f>MIN($J16)</f>
        <v>0</v>
      </c>
      <c r="AB16" s="1"/>
      <c r="AC16" s="1"/>
      <c r="AD16" s="1"/>
      <c r="AE16" s="1">
        <f>MIN($P16)</f>
        <v>0</v>
      </c>
      <c r="AF16" s="1">
        <f>MIN($Q16)</f>
        <v>0</v>
      </c>
      <c r="AG16" s="1"/>
      <c r="AH16" s="1"/>
      <c r="AI16" s="1"/>
      <c r="AJ16" s="1"/>
      <c r="AK16" s="1">
        <f>MEDIAN($E16)</f>
        <v>0</v>
      </c>
      <c r="AL16" s="1">
        <f>MEDIAN($F16)</f>
        <v>0</v>
      </c>
      <c r="AM16" s="1">
        <f>MEDIAN($G16)</f>
        <v>0</v>
      </c>
      <c r="AN16" s="1"/>
      <c r="AO16" s="1"/>
      <c r="AP16" s="1">
        <f>MEDIAN($J16)</f>
        <v>0</v>
      </c>
      <c r="AQ16" s="1"/>
      <c r="AR16" s="1"/>
      <c r="AS16" s="1"/>
      <c r="AT16" s="1">
        <f>MEDIAN($P16)</f>
        <v>0</v>
      </c>
      <c r="AU16" s="1">
        <f>MEDIAN($Q16)</f>
        <v>0</v>
      </c>
      <c r="AV16" s="1"/>
      <c r="AW16" s="1"/>
      <c r="AX16" s="1"/>
      <c r="AY16" s="1"/>
      <c r="AZ16" s="1">
        <f>MAX($E16)</f>
        <v>0</v>
      </c>
      <c r="BA16" s="1">
        <f>MAX($F16)</f>
        <v>0</v>
      </c>
      <c r="BB16" s="1">
        <f>MAX($G16)</f>
        <v>0</v>
      </c>
      <c r="BC16" s="1"/>
      <c r="BD16" s="1"/>
      <c r="BE16" s="1">
        <f>MAX($J16)</f>
        <v>0</v>
      </c>
      <c r="BF16" s="1"/>
      <c r="BG16" s="1"/>
      <c r="BH16" s="1"/>
      <c r="BI16" s="1">
        <f>MAX($P16)</f>
        <v>0</v>
      </c>
      <c r="BJ16" s="1">
        <f>MAX($Q16)</f>
        <v>0</v>
      </c>
      <c r="BK16" s="1"/>
    </row>
    <row r="17" spans="1:63">
      <c r="A17" s="1" t="s">
        <v>4</v>
      </c>
      <c r="B17" s="1"/>
      <c r="C17" s="1"/>
      <c r="D17" s="1"/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/>
      <c r="I17" s="1"/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/>
      <c r="L17" s="1"/>
      <c r="M17" s="1"/>
      <c r="N17" s="1"/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/>
      <c r="S17" s="1"/>
      <c r="T17" s="1"/>
      <c r="U17" s="1"/>
      <c r="V17" s="1">
        <f>MIN($E17)</f>
        <v>0</v>
      </c>
      <c r="W17" s="1">
        <f>MIN($F17)</f>
        <v>0</v>
      </c>
      <c r="X17" s="1">
        <f>MIN($G17)</f>
        <v>0</v>
      </c>
      <c r="Y17" s="1"/>
      <c r="Z17" s="1"/>
      <c r="AA17" s="1">
        <f>MIN($J17)</f>
        <v>0</v>
      </c>
      <c r="AB17" s="1"/>
      <c r="AC17" s="1"/>
      <c r="AD17" s="1"/>
      <c r="AE17" s="1">
        <f>MIN($P17)</f>
        <v>0</v>
      </c>
      <c r="AF17" s="1">
        <f>MIN($Q17)</f>
        <v>0</v>
      </c>
      <c r="AG17" s="1"/>
      <c r="AH17" s="1"/>
      <c r="AI17" s="1"/>
      <c r="AJ17" s="1"/>
      <c r="AK17" s="1">
        <f>MEDIAN($E17)</f>
        <v>0</v>
      </c>
      <c r="AL17" s="1">
        <f>MEDIAN($F17)</f>
        <v>0</v>
      </c>
      <c r="AM17" s="1">
        <f>MEDIAN($G17)</f>
        <v>0</v>
      </c>
      <c r="AN17" s="1"/>
      <c r="AO17" s="1"/>
      <c r="AP17" s="1">
        <f>MEDIAN($J17)</f>
        <v>0</v>
      </c>
      <c r="AQ17" s="1"/>
      <c r="AR17" s="1"/>
      <c r="AS17" s="1"/>
      <c r="AT17" s="1">
        <f>MEDIAN($P17)</f>
        <v>0</v>
      </c>
      <c r="AU17" s="1">
        <f>MEDIAN($Q17)</f>
        <v>0</v>
      </c>
      <c r="AV17" s="1"/>
      <c r="AW17" s="1"/>
      <c r="AX17" s="1"/>
      <c r="AY17" s="1"/>
      <c r="AZ17" s="1">
        <f>MAX($E17)</f>
        <v>0</v>
      </c>
      <c r="BA17" s="1">
        <f>MAX($F17)</f>
        <v>0</v>
      </c>
      <c r="BB17" s="1">
        <f>MAX($G17)</f>
        <v>0</v>
      </c>
      <c r="BC17" s="1"/>
      <c r="BD17" s="1"/>
      <c r="BE17" s="1">
        <f>MAX($J17)</f>
        <v>0</v>
      </c>
      <c r="BF17" s="1"/>
      <c r="BG17" s="1"/>
      <c r="BH17" s="1"/>
      <c r="BI17" s="1">
        <f>MAX($P17)</f>
        <v>0</v>
      </c>
      <c r="BJ17" s="1">
        <f>MAX($Q17)</f>
        <v>0</v>
      </c>
      <c r="BK17" s="1"/>
    </row>
    <row r="18" spans="1:63">
      <c r="A18" s="1" t="s">
        <v>5</v>
      </c>
      <c r="B18" s="1"/>
      <c r="C18" s="1"/>
      <c r="D18" s="1"/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/>
      <c r="I18" s="1"/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/>
      <c r="L18" s="1"/>
      <c r="M18" s="1"/>
      <c r="N18" s="1"/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/>
      <c r="S18" s="1"/>
      <c r="T18" s="1"/>
      <c r="U18" s="1"/>
      <c r="V18" s="1">
        <f>MIN($E18)</f>
        <v>0</v>
      </c>
      <c r="W18" s="1">
        <f>MIN($F18)</f>
        <v>0</v>
      </c>
      <c r="X18" s="1">
        <f>MIN($G18)</f>
        <v>0</v>
      </c>
      <c r="Y18" s="1"/>
      <c r="Z18" s="1"/>
      <c r="AA18" s="1">
        <f>MIN($J18)</f>
        <v>0</v>
      </c>
      <c r="AB18" s="1"/>
      <c r="AC18" s="1"/>
      <c r="AD18" s="1"/>
      <c r="AE18" s="1">
        <f>MIN($P18)</f>
        <v>0</v>
      </c>
      <c r="AF18" s="1">
        <f>MIN($Q18)</f>
        <v>0</v>
      </c>
      <c r="AG18" s="1"/>
      <c r="AH18" s="1"/>
      <c r="AI18" s="1"/>
      <c r="AJ18" s="1"/>
      <c r="AK18" s="1">
        <f>MEDIAN($E18)</f>
        <v>0</v>
      </c>
      <c r="AL18" s="1">
        <f>MEDIAN($F18)</f>
        <v>0</v>
      </c>
      <c r="AM18" s="1">
        <f>MEDIAN($G18)</f>
        <v>0</v>
      </c>
      <c r="AN18" s="1"/>
      <c r="AO18" s="1"/>
      <c r="AP18" s="1">
        <f>MEDIAN($J18)</f>
        <v>0</v>
      </c>
      <c r="AQ18" s="1"/>
      <c r="AR18" s="1"/>
      <c r="AS18" s="1"/>
      <c r="AT18" s="1">
        <f>MEDIAN($P18)</f>
        <v>0</v>
      </c>
      <c r="AU18" s="1">
        <f>MEDIAN($Q18)</f>
        <v>0</v>
      </c>
      <c r="AV18" s="1"/>
      <c r="AW18" s="1"/>
      <c r="AX18" s="1"/>
      <c r="AY18" s="1"/>
      <c r="AZ18" s="1">
        <f>MAX($E18)</f>
        <v>0</v>
      </c>
      <c r="BA18" s="1">
        <f>MAX($F18)</f>
        <v>0</v>
      </c>
      <c r="BB18" s="1">
        <f>MAX($G18)</f>
        <v>0</v>
      </c>
      <c r="BC18" s="1"/>
      <c r="BD18" s="1"/>
      <c r="BE18" s="1">
        <f>MAX($J18)</f>
        <v>0</v>
      </c>
      <c r="BF18" s="1"/>
      <c r="BG18" s="1"/>
      <c r="BH18" s="1"/>
      <c r="BI18" s="1">
        <f>MAX($P18)</f>
        <v>0</v>
      </c>
      <c r="BJ18" s="1">
        <f>MAX($Q18)</f>
        <v>0</v>
      </c>
      <c r="BK18" s="1"/>
    </row>
    <row r="19" spans="1:63">
      <c r="A19" s="1" t="s">
        <v>6</v>
      </c>
      <c r="B19" s="1"/>
      <c r="C19" s="1"/>
      <c r="D19" s="1"/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/>
      <c r="I19" s="1"/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/>
      <c r="L19" s="1"/>
      <c r="M19" s="1"/>
      <c r="N19" s="1"/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/>
      <c r="S19" s="1"/>
      <c r="T19" s="1"/>
      <c r="U19" s="1"/>
      <c r="V19" s="1">
        <f>MIN($E19)</f>
        <v>0</v>
      </c>
      <c r="W19" s="1">
        <f>MIN($F19)</f>
        <v>0</v>
      </c>
      <c r="X19" s="1">
        <f>MIN($G19)</f>
        <v>0</v>
      </c>
      <c r="Y19" s="1"/>
      <c r="Z19" s="1"/>
      <c r="AA19" s="1">
        <f>MIN($J19)</f>
        <v>0</v>
      </c>
      <c r="AB19" s="1"/>
      <c r="AC19" s="1"/>
      <c r="AD19" s="1"/>
      <c r="AE19" s="1">
        <f>MIN($P19)</f>
        <v>0</v>
      </c>
      <c r="AF19" s="1">
        <f>MIN($Q19)</f>
        <v>0</v>
      </c>
      <c r="AG19" s="1"/>
      <c r="AH19" s="1"/>
      <c r="AI19" s="1"/>
      <c r="AJ19" s="1"/>
      <c r="AK19" s="1">
        <f>MEDIAN($E19)</f>
        <v>0</v>
      </c>
      <c r="AL19" s="1">
        <f>MEDIAN($F19)</f>
        <v>0</v>
      </c>
      <c r="AM19" s="1">
        <f>MEDIAN($G19)</f>
        <v>0</v>
      </c>
      <c r="AN19" s="1"/>
      <c r="AO19" s="1"/>
      <c r="AP19" s="1">
        <f>MEDIAN($J19)</f>
        <v>0</v>
      </c>
      <c r="AQ19" s="1"/>
      <c r="AR19" s="1"/>
      <c r="AS19" s="1"/>
      <c r="AT19" s="1">
        <f>MEDIAN($P19)</f>
        <v>0</v>
      </c>
      <c r="AU19" s="1">
        <f>MEDIAN($Q19)</f>
        <v>0</v>
      </c>
      <c r="AV19" s="1"/>
      <c r="AW19" s="1"/>
      <c r="AX19" s="1"/>
      <c r="AY19" s="1"/>
      <c r="AZ19" s="1">
        <f>MAX($E19)</f>
        <v>0</v>
      </c>
      <c r="BA19" s="1">
        <f>MAX($F19)</f>
        <v>0</v>
      </c>
      <c r="BB19" s="1">
        <f>MAX($G19)</f>
        <v>0</v>
      </c>
      <c r="BC19" s="1"/>
      <c r="BD19" s="1"/>
      <c r="BE19" s="1">
        <f>MAX($J19)</f>
        <v>0</v>
      </c>
      <c r="BF19" s="1"/>
      <c r="BG19" s="1"/>
      <c r="BH19" s="1"/>
      <c r="BI19" s="1">
        <f>MAX($P19)</f>
        <v>0</v>
      </c>
      <c r="BJ19" s="1">
        <f>MAX($Q19)</f>
        <v>0</v>
      </c>
      <c r="BK19" s="1"/>
    </row>
    <row r="20" spans="1:63">
      <c r="A20" s="1" t="s">
        <v>7</v>
      </c>
      <c r="B20" s="1"/>
      <c r="C20" s="1"/>
      <c r="D20" s="1"/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/>
      <c r="I20" s="1"/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/>
      <c r="L20" s="1"/>
      <c r="M20" s="1"/>
      <c r="N20" s="1"/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/>
      <c r="S20" s="1"/>
      <c r="T20" s="1"/>
      <c r="U20" s="1"/>
      <c r="V20" s="1">
        <f>MIN($E20)</f>
        <v>0</v>
      </c>
      <c r="W20" s="1">
        <f>MIN($F20)</f>
        <v>0</v>
      </c>
      <c r="X20" s="1">
        <f>MIN($G20)</f>
        <v>0</v>
      </c>
      <c r="Y20" s="1"/>
      <c r="Z20" s="1"/>
      <c r="AA20" s="1">
        <f>MIN($J20)</f>
        <v>0</v>
      </c>
      <c r="AB20" s="1"/>
      <c r="AC20" s="1"/>
      <c r="AD20" s="1"/>
      <c r="AE20" s="1">
        <f>MIN($P20)</f>
        <v>0</v>
      </c>
      <c r="AF20" s="1">
        <f>MIN($Q20)</f>
        <v>0</v>
      </c>
      <c r="AG20" s="1"/>
      <c r="AH20" s="1"/>
      <c r="AI20" s="1"/>
      <c r="AJ20" s="1"/>
      <c r="AK20" s="1">
        <f>MEDIAN($E20)</f>
        <v>0</v>
      </c>
      <c r="AL20" s="1">
        <f>MEDIAN($F20)</f>
        <v>0</v>
      </c>
      <c r="AM20" s="1">
        <f>MEDIAN($G20)</f>
        <v>0</v>
      </c>
      <c r="AN20" s="1"/>
      <c r="AO20" s="1"/>
      <c r="AP20" s="1">
        <f>MEDIAN($J20)</f>
        <v>0</v>
      </c>
      <c r="AQ20" s="1"/>
      <c r="AR20" s="1"/>
      <c r="AS20" s="1"/>
      <c r="AT20" s="1">
        <f>MEDIAN($P20)</f>
        <v>0</v>
      </c>
      <c r="AU20" s="1">
        <f>MEDIAN($Q20)</f>
        <v>0</v>
      </c>
      <c r="AV20" s="1"/>
      <c r="AW20" s="1"/>
      <c r="AX20" s="1"/>
      <c r="AY20" s="1"/>
      <c r="AZ20" s="1">
        <f>MAX($E20)</f>
        <v>0</v>
      </c>
      <c r="BA20" s="1">
        <f>MAX($F20)</f>
        <v>0</v>
      </c>
      <c r="BB20" s="1">
        <f>MAX($G20)</f>
        <v>0</v>
      </c>
      <c r="BC20" s="1"/>
      <c r="BD20" s="1"/>
      <c r="BE20" s="1">
        <f>MAX($J20)</f>
        <v>0</v>
      </c>
      <c r="BF20" s="1"/>
      <c r="BG20" s="1"/>
      <c r="BH20" s="1"/>
      <c r="BI20" s="1">
        <f>MAX($P20)</f>
        <v>0</v>
      </c>
      <c r="BJ20" s="1">
        <f>MAX($Q20)</f>
        <v>0</v>
      </c>
      <c r="BK20" s="1"/>
    </row>
    <row r="21" spans="1:63">
      <c r="A21" s="1" t="s">
        <v>8</v>
      </c>
      <c r="B21" s="1"/>
      <c r="C21" s="1"/>
      <c r="D21" s="1"/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/>
      <c r="I21" s="1"/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/>
      <c r="L21" s="1"/>
      <c r="M21" s="1"/>
      <c r="N21" s="1"/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/>
      <c r="S21" s="1"/>
      <c r="T21" s="1"/>
      <c r="U21" s="1"/>
      <c r="V21" s="1">
        <f>MIN($E21)</f>
        <v>0</v>
      </c>
      <c r="W21" s="1">
        <f>MIN($F21)</f>
        <v>0</v>
      </c>
      <c r="X21" s="1">
        <f>MIN($G21)</f>
        <v>0</v>
      </c>
      <c r="Y21" s="1"/>
      <c r="Z21" s="1"/>
      <c r="AA21" s="1">
        <f>MIN($J21)</f>
        <v>0</v>
      </c>
      <c r="AB21" s="1"/>
      <c r="AC21" s="1"/>
      <c r="AD21" s="1"/>
      <c r="AE21" s="1">
        <f>MIN($P21)</f>
        <v>0</v>
      </c>
      <c r="AF21" s="1">
        <f>MIN($Q21)</f>
        <v>0</v>
      </c>
      <c r="AG21" s="1"/>
      <c r="AH21" s="1"/>
      <c r="AI21" s="1"/>
      <c r="AJ21" s="1"/>
      <c r="AK21" s="1">
        <f>MEDIAN($E21)</f>
        <v>0</v>
      </c>
      <c r="AL21" s="1">
        <f>MEDIAN($F21)</f>
        <v>0</v>
      </c>
      <c r="AM21" s="1">
        <f>MEDIAN($G21)</f>
        <v>0</v>
      </c>
      <c r="AN21" s="1"/>
      <c r="AO21" s="1"/>
      <c r="AP21" s="1">
        <f>MEDIAN($J21)</f>
        <v>0</v>
      </c>
      <c r="AQ21" s="1"/>
      <c r="AR21" s="1"/>
      <c r="AS21" s="1"/>
      <c r="AT21" s="1">
        <f>MEDIAN($P21)</f>
        <v>0</v>
      </c>
      <c r="AU21" s="1">
        <f>MEDIAN($Q21)</f>
        <v>0</v>
      </c>
      <c r="AV21" s="1"/>
      <c r="AW21" s="1"/>
      <c r="AX21" s="1"/>
      <c r="AY21" s="1"/>
      <c r="AZ21" s="1">
        <f>MAX($E21)</f>
        <v>0</v>
      </c>
      <c r="BA21" s="1">
        <f>MAX($F21)</f>
        <v>0</v>
      </c>
      <c r="BB21" s="1">
        <f>MAX($G21)</f>
        <v>0</v>
      </c>
      <c r="BC21" s="1"/>
      <c r="BD21" s="1"/>
      <c r="BE21" s="1">
        <f>MAX($J21)</f>
        <v>0</v>
      </c>
      <c r="BF21" s="1"/>
      <c r="BG21" s="1"/>
      <c r="BH21" s="1"/>
      <c r="BI21" s="1">
        <f>MAX($P21)</f>
        <v>0</v>
      </c>
      <c r="BJ21" s="1">
        <f>MAX($Q21)</f>
        <v>0</v>
      </c>
      <c r="BK21" s="1"/>
    </row>
    <row r="22" spans="1:63">
      <c r="A22" s="1" t="s">
        <v>9</v>
      </c>
      <c r="B22" s="1"/>
      <c r="C22" s="1"/>
      <c r="D22" s="1"/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/>
      <c r="I22" s="1"/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/>
      <c r="L22" s="1"/>
      <c r="M22" s="1"/>
      <c r="N22" s="1"/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/>
      <c r="S22" s="1"/>
      <c r="T22" s="1"/>
      <c r="U22" s="1"/>
      <c r="V22" s="1">
        <f>MIN($E22)</f>
        <v>0</v>
      </c>
      <c r="W22" s="1">
        <f>MIN($F22)</f>
        <v>0</v>
      </c>
      <c r="X22" s="1">
        <f>MIN($G22)</f>
        <v>0</v>
      </c>
      <c r="Y22" s="1"/>
      <c r="Z22" s="1"/>
      <c r="AA22" s="1">
        <f>MIN($J22)</f>
        <v>0</v>
      </c>
      <c r="AB22" s="1"/>
      <c r="AC22" s="1"/>
      <c r="AD22" s="1"/>
      <c r="AE22" s="1">
        <f>MIN($P22)</f>
        <v>0</v>
      </c>
      <c r="AF22" s="1">
        <f>MIN($Q22)</f>
        <v>0</v>
      </c>
      <c r="AG22" s="1"/>
      <c r="AH22" s="1"/>
      <c r="AI22" s="1"/>
      <c r="AJ22" s="1"/>
      <c r="AK22" s="1">
        <f>MEDIAN($E22)</f>
        <v>0</v>
      </c>
      <c r="AL22" s="1">
        <f>MEDIAN($F22)</f>
        <v>0</v>
      </c>
      <c r="AM22" s="1">
        <f>MEDIAN($G22)</f>
        <v>0</v>
      </c>
      <c r="AN22" s="1"/>
      <c r="AO22" s="1"/>
      <c r="AP22" s="1">
        <f>MEDIAN($J22)</f>
        <v>0</v>
      </c>
      <c r="AQ22" s="1"/>
      <c r="AR22" s="1"/>
      <c r="AS22" s="1"/>
      <c r="AT22" s="1">
        <f>MEDIAN($P22)</f>
        <v>0</v>
      </c>
      <c r="AU22" s="1">
        <f>MEDIAN($Q22)</f>
        <v>0</v>
      </c>
      <c r="AV22" s="1"/>
      <c r="AW22" s="1"/>
      <c r="AX22" s="1"/>
      <c r="AY22" s="1"/>
      <c r="AZ22" s="1">
        <f>MAX($E22)</f>
        <v>0</v>
      </c>
      <c r="BA22" s="1">
        <f>MAX($F22)</f>
        <v>0</v>
      </c>
      <c r="BB22" s="1">
        <f>MAX($G22)</f>
        <v>0</v>
      </c>
      <c r="BC22" s="1"/>
      <c r="BD22" s="1"/>
      <c r="BE22" s="1">
        <f>MAX($J22)</f>
        <v>0</v>
      </c>
      <c r="BF22" s="1"/>
      <c r="BG22" s="1"/>
      <c r="BH22" s="1"/>
      <c r="BI22" s="1">
        <f>MAX($P22)</f>
        <v>0</v>
      </c>
      <c r="BJ22" s="1">
        <f>MAX($Q22)</f>
        <v>0</v>
      </c>
      <c r="BK22" s="1"/>
    </row>
    <row r="23" spans="1:63">
      <c r="A23" s="1" t="s">
        <v>0</v>
      </c>
      <c r="B23" s="1"/>
      <c r="C23" s="1"/>
      <c r="D23" s="1"/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/>
      <c r="I23" s="1"/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/>
      <c r="L23" s="1"/>
      <c r="M23" s="1"/>
      <c r="N23" s="1"/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/>
      <c r="S23" s="1"/>
      <c r="T23" s="1"/>
      <c r="U23" s="1"/>
      <c r="V23" s="1">
        <f>MIN($E23)</f>
        <v>0</v>
      </c>
      <c r="W23" s="1">
        <f>MIN($F23)</f>
        <v>0</v>
      </c>
      <c r="X23" s="1">
        <f>MIN($G23)</f>
        <v>0</v>
      </c>
      <c r="Y23" s="1"/>
      <c r="Z23" s="1"/>
      <c r="AA23" s="1">
        <f>MIN($J23)</f>
        <v>0</v>
      </c>
      <c r="AB23" s="1"/>
      <c r="AC23" s="1"/>
      <c r="AD23" s="1"/>
      <c r="AE23" s="1">
        <f>MIN($P23)</f>
        <v>0</v>
      </c>
      <c r="AF23" s="1">
        <f>MIN($Q23)</f>
        <v>0</v>
      </c>
      <c r="AG23" s="1"/>
      <c r="AH23" s="1"/>
      <c r="AI23" s="1"/>
      <c r="AJ23" s="1"/>
      <c r="AK23" s="1">
        <f>MEDIAN($E23)</f>
        <v>0</v>
      </c>
      <c r="AL23" s="1">
        <f>MEDIAN($F23)</f>
        <v>0</v>
      </c>
      <c r="AM23" s="1">
        <f>MEDIAN($G23)</f>
        <v>0</v>
      </c>
      <c r="AN23" s="1"/>
      <c r="AO23" s="1"/>
      <c r="AP23" s="1">
        <f>MEDIAN($J23)</f>
        <v>0</v>
      </c>
      <c r="AQ23" s="1"/>
      <c r="AR23" s="1"/>
      <c r="AS23" s="1"/>
      <c r="AT23" s="1">
        <f>MEDIAN($P23)</f>
        <v>0</v>
      </c>
      <c r="AU23" s="1">
        <f>MEDIAN($Q23)</f>
        <v>0</v>
      </c>
      <c r="AV23" s="1"/>
      <c r="AW23" s="1"/>
      <c r="AX23" s="1"/>
      <c r="AY23" s="1"/>
      <c r="AZ23" s="1">
        <f>MAX($E23)</f>
        <v>0</v>
      </c>
      <c r="BA23" s="1">
        <f>MAX($F23)</f>
        <v>0</v>
      </c>
      <c r="BB23" s="1">
        <f>MAX($G23)</f>
        <v>0</v>
      </c>
      <c r="BC23" s="1"/>
      <c r="BD23" s="1"/>
      <c r="BE23" s="1">
        <f>MAX($J23)</f>
        <v>0</v>
      </c>
      <c r="BF23" s="1"/>
      <c r="BG23" s="1"/>
      <c r="BH23" s="1"/>
      <c r="BI23" s="1">
        <f>MAX($P23)</f>
        <v>0</v>
      </c>
      <c r="BJ23" s="1">
        <f>MAX($Q23)</f>
        <v>0</v>
      </c>
      <c r="BK23" s="1"/>
    </row>
    <row r="24" spans="1:63">
      <c r="A24" s="1" t="s">
        <v>1</v>
      </c>
      <c r="B24" s="1"/>
      <c r="C24" s="1"/>
      <c r="D24" s="1"/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/>
      <c r="I24" s="1"/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/>
      <c r="L24" s="1"/>
      <c r="M24" s="1"/>
      <c r="N24" s="1"/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/>
      <c r="S24" s="1"/>
      <c r="T24" s="1"/>
      <c r="U24" s="1"/>
      <c r="V24" s="1">
        <f>MIN($E24)</f>
        <v>0</v>
      </c>
      <c r="W24" s="1">
        <f>MIN($F24)</f>
        <v>0</v>
      </c>
      <c r="X24" s="1">
        <f>MIN($G24)</f>
        <v>0</v>
      </c>
      <c r="Y24" s="1"/>
      <c r="Z24" s="1"/>
      <c r="AA24" s="1">
        <f>MIN($J24)</f>
        <v>0</v>
      </c>
      <c r="AB24" s="1"/>
      <c r="AC24" s="1"/>
      <c r="AD24" s="1"/>
      <c r="AE24" s="1">
        <f>MIN($P24)</f>
        <v>0</v>
      </c>
      <c r="AF24" s="1">
        <f>MIN($Q24)</f>
        <v>0</v>
      </c>
      <c r="AG24" s="1"/>
      <c r="AH24" s="1"/>
      <c r="AI24" s="1"/>
      <c r="AJ24" s="1"/>
      <c r="AK24" s="1">
        <f>MEDIAN($E24)</f>
        <v>0</v>
      </c>
      <c r="AL24" s="1">
        <f>MEDIAN($F24)</f>
        <v>0</v>
      </c>
      <c r="AM24" s="1">
        <f>MEDIAN($G24)</f>
        <v>0</v>
      </c>
      <c r="AN24" s="1"/>
      <c r="AO24" s="1"/>
      <c r="AP24" s="1">
        <f>MEDIAN($J24)</f>
        <v>0</v>
      </c>
      <c r="AQ24" s="1"/>
      <c r="AR24" s="1"/>
      <c r="AS24" s="1"/>
      <c r="AT24" s="1">
        <f>MEDIAN($P24)</f>
        <v>0</v>
      </c>
      <c r="AU24" s="1">
        <f>MEDIAN($Q24)</f>
        <v>0</v>
      </c>
      <c r="AV24" s="1"/>
      <c r="AW24" s="1"/>
      <c r="AX24" s="1"/>
      <c r="AY24" s="1"/>
      <c r="AZ24" s="1">
        <f>MAX($E24)</f>
        <v>0</v>
      </c>
      <c r="BA24" s="1">
        <f>MAX($F24)</f>
        <v>0</v>
      </c>
      <c r="BB24" s="1">
        <f>MAX($G24)</f>
        <v>0</v>
      </c>
      <c r="BC24" s="1"/>
      <c r="BD24" s="1"/>
      <c r="BE24" s="1">
        <f>MAX($J24)</f>
        <v>0</v>
      </c>
      <c r="BF24" s="1"/>
      <c r="BG24" s="1"/>
      <c r="BH24" s="1"/>
      <c r="BI24" s="1">
        <f>MAX($P24)</f>
        <v>0</v>
      </c>
      <c r="BJ24" s="1">
        <f>MAX($Q24)</f>
        <v>0</v>
      </c>
      <c r="BK24" s="1"/>
    </row>
    <row r="25" spans="1:63">
      <c r="A25" s="1" t="s">
        <v>2</v>
      </c>
      <c r="B25" s="1"/>
      <c r="C25" s="1"/>
      <c r="D25" s="1"/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/>
      <c r="I25" s="1"/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/>
      <c r="L25" s="1"/>
      <c r="M25" s="1"/>
      <c r="N25" s="1"/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/>
      <c r="S25" s="1"/>
      <c r="T25" s="1"/>
      <c r="U25" s="1"/>
      <c r="V25" s="1">
        <f>MIN($E25)</f>
        <v>0</v>
      </c>
      <c r="W25" s="1">
        <f>MIN($F25)</f>
        <v>0</v>
      </c>
      <c r="X25" s="1">
        <f>MIN($G25)</f>
        <v>0</v>
      </c>
      <c r="Y25" s="1"/>
      <c r="Z25" s="1"/>
      <c r="AA25" s="1">
        <f>MIN($J25)</f>
        <v>0</v>
      </c>
      <c r="AB25" s="1"/>
      <c r="AC25" s="1"/>
      <c r="AD25" s="1"/>
      <c r="AE25" s="1">
        <f>MIN($P25)</f>
        <v>0</v>
      </c>
      <c r="AF25" s="1">
        <f>MIN($Q25)</f>
        <v>0</v>
      </c>
      <c r="AG25" s="1"/>
      <c r="AH25" s="1"/>
      <c r="AI25" s="1"/>
      <c r="AJ25" s="1"/>
      <c r="AK25" s="1">
        <f>MEDIAN($E25)</f>
        <v>0</v>
      </c>
      <c r="AL25" s="1">
        <f>MEDIAN($F25)</f>
        <v>0</v>
      </c>
      <c r="AM25" s="1">
        <f>MEDIAN($G25)</f>
        <v>0</v>
      </c>
      <c r="AN25" s="1"/>
      <c r="AO25" s="1"/>
      <c r="AP25" s="1">
        <f>MEDIAN($J25)</f>
        <v>0</v>
      </c>
      <c r="AQ25" s="1"/>
      <c r="AR25" s="1"/>
      <c r="AS25" s="1"/>
      <c r="AT25" s="1">
        <f>MEDIAN($P25)</f>
        <v>0</v>
      </c>
      <c r="AU25" s="1">
        <f>MEDIAN($Q25)</f>
        <v>0</v>
      </c>
      <c r="AV25" s="1"/>
      <c r="AW25" s="1"/>
      <c r="AX25" s="1"/>
      <c r="AY25" s="1"/>
      <c r="AZ25" s="1">
        <f>MAX($E25)</f>
        <v>0</v>
      </c>
      <c r="BA25" s="1">
        <f>MAX($F25)</f>
        <v>0</v>
      </c>
      <c r="BB25" s="1">
        <f>MAX($G25)</f>
        <v>0</v>
      </c>
      <c r="BC25" s="1"/>
      <c r="BD25" s="1"/>
      <c r="BE25" s="1">
        <f>MAX($J25)</f>
        <v>0</v>
      </c>
      <c r="BF25" s="1"/>
      <c r="BG25" s="1"/>
      <c r="BH25" s="1"/>
      <c r="BI25" s="1">
        <f>MAX($P25)</f>
        <v>0</v>
      </c>
      <c r="BJ25" s="1">
        <f>MAX($Q25)</f>
        <v>0</v>
      </c>
      <c r="BK25" s="1"/>
    </row>
    <row r="26" spans="1:63">
      <c r="A26" s="1" t="s">
        <v>3</v>
      </c>
      <c r="B26" s="1"/>
      <c r="C26" s="1"/>
      <c r="D26" s="1"/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/>
      <c r="I26" s="1"/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/>
      <c r="L26" s="1"/>
      <c r="M26" s="1"/>
      <c r="N26" s="1"/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/>
      <c r="S26" s="1"/>
      <c r="T26" s="1"/>
      <c r="U26" s="1"/>
      <c r="V26" s="1">
        <f>MIN($E26)</f>
        <v>0</v>
      </c>
      <c r="W26" s="1">
        <f>MIN($F26)</f>
        <v>0</v>
      </c>
      <c r="X26" s="1">
        <f>MIN($G26)</f>
        <v>0</v>
      </c>
      <c r="Y26" s="1"/>
      <c r="Z26" s="1"/>
      <c r="AA26" s="1">
        <f>MIN($J26)</f>
        <v>0</v>
      </c>
      <c r="AB26" s="1"/>
      <c r="AC26" s="1"/>
      <c r="AD26" s="1"/>
      <c r="AE26" s="1">
        <f>MIN($P26)</f>
        <v>0</v>
      </c>
      <c r="AF26" s="1">
        <f>MIN($Q26)</f>
        <v>0</v>
      </c>
      <c r="AG26" s="1"/>
      <c r="AH26" s="1"/>
      <c r="AI26" s="1"/>
      <c r="AJ26" s="1"/>
      <c r="AK26" s="1">
        <f>MEDIAN($E26)</f>
        <v>0</v>
      </c>
      <c r="AL26" s="1">
        <f>MEDIAN($F26)</f>
        <v>0</v>
      </c>
      <c r="AM26" s="1">
        <f>MEDIAN($G26)</f>
        <v>0</v>
      </c>
      <c r="AN26" s="1"/>
      <c r="AO26" s="1"/>
      <c r="AP26" s="1">
        <f>MEDIAN($J26)</f>
        <v>0</v>
      </c>
      <c r="AQ26" s="1"/>
      <c r="AR26" s="1"/>
      <c r="AS26" s="1"/>
      <c r="AT26" s="1">
        <f>MEDIAN($P26)</f>
        <v>0</v>
      </c>
      <c r="AU26" s="1">
        <f>MEDIAN($Q26)</f>
        <v>0</v>
      </c>
      <c r="AV26" s="1"/>
      <c r="AW26" s="1"/>
      <c r="AX26" s="1"/>
      <c r="AY26" s="1"/>
      <c r="AZ26" s="1">
        <f>MAX($E26)</f>
        <v>0</v>
      </c>
      <c r="BA26" s="1">
        <f>MAX($F26)</f>
        <v>0</v>
      </c>
      <c r="BB26" s="1">
        <f>MAX($G26)</f>
        <v>0</v>
      </c>
      <c r="BC26" s="1"/>
      <c r="BD26" s="1"/>
      <c r="BE26" s="1">
        <f>MAX($J26)</f>
        <v>0</v>
      </c>
      <c r="BF26" s="1"/>
      <c r="BG26" s="1"/>
      <c r="BH26" s="1"/>
      <c r="BI26" s="1">
        <f>MAX($P26)</f>
        <v>0</v>
      </c>
      <c r="BJ26" s="1">
        <f>MAX($Q26)</f>
        <v>0</v>
      </c>
      <c r="BK26" s="1"/>
    </row>
    <row r="27" spans="1:63">
      <c r="A27" s="1" t="s">
        <v>4</v>
      </c>
      <c r="B27" s="1"/>
      <c r="C27" s="1"/>
      <c r="D27" s="1"/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/>
      <c r="I27" s="1"/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/>
      <c r="L27" s="1"/>
      <c r="M27" s="1"/>
      <c r="N27" s="1"/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/>
      <c r="S27" s="1"/>
      <c r="T27" s="1"/>
      <c r="U27" s="1"/>
      <c r="V27" s="1">
        <f>MIN($E27)</f>
        <v>0</v>
      </c>
      <c r="W27" s="1">
        <f>MIN($F27)</f>
        <v>0</v>
      </c>
      <c r="X27" s="1">
        <f>MIN($G27)</f>
        <v>0</v>
      </c>
      <c r="Y27" s="1"/>
      <c r="Z27" s="1"/>
      <c r="AA27" s="1">
        <f>MIN($J27)</f>
        <v>0</v>
      </c>
      <c r="AB27" s="1"/>
      <c r="AC27" s="1"/>
      <c r="AD27" s="1"/>
      <c r="AE27" s="1">
        <f>MIN($P27)</f>
        <v>0</v>
      </c>
      <c r="AF27" s="1">
        <f>MIN($Q27)</f>
        <v>0</v>
      </c>
      <c r="AG27" s="1"/>
      <c r="AH27" s="1"/>
      <c r="AI27" s="1"/>
      <c r="AJ27" s="1"/>
      <c r="AK27" s="1">
        <f>MEDIAN($E27)</f>
        <v>0</v>
      </c>
      <c r="AL27" s="1">
        <f>MEDIAN($F27)</f>
        <v>0</v>
      </c>
      <c r="AM27" s="1">
        <f>MEDIAN($G27)</f>
        <v>0</v>
      </c>
      <c r="AN27" s="1"/>
      <c r="AO27" s="1"/>
      <c r="AP27" s="1">
        <f>MEDIAN($J27)</f>
        <v>0</v>
      </c>
      <c r="AQ27" s="1"/>
      <c r="AR27" s="1"/>
      <c r="AS27" s="1"/>
      <c r="AT27" s="1">
        <f>MEDIAN($P27)</f>
        <v>0</v>
      </c>
      <c r="AU27" s="1">
        <f>MEDIAN($Q27)</f>
        <v>0</v>
      </c>
      <c r="AV27" s="1"/>
      <c r="AW27" s="1"/>
      <c r="AX27" s="1"/>
      <c r="AY27" s="1"/>
      <c r="AZ27" s="1">
        <f>MAX($E27)</f>
        <v>0</v>
      </c>
      <c r="BA27" s="1">
        <f>MAX($F27)</f>
        <v>0</v>
      </c>
      <c r="BB27" s="1">
        <f>MAX($G27)</f>
        <v>0</v>
      </c>
      <c r="BC27" s="1"/>
      <c r="BD27" s="1"/>
      <c r="BE27" s="1">
        <f>MAX($J27)</f>
        <v>0</v>
      </c>
      <c r="BF27" s="1"/>
      <c r="BG27" s="1"/>
      <c r="BH27" s="1"/>
      <c r="BI27" s="1">
        <f>MAX($P27)</f>
        <v>0</v>
      </c>
      <c r="BJ27" s="1">
        <f>MAX($Q27)</f>
        <v>0</v>
      </c>
      <c r="BK27" s="1"/>
    </row>
    <row r="28" spans="1:63">
      <c r="A28" s="1" t="s">
        <v>5</v>
      </c>
      <c r="B28" s="1"/>
      <c r="C28" s="1"/>
      <c r="D28" s="1"/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/>
      <c r="I28" s="1"/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/>
      <c r="L28" s="1"/>
      <c r="M28" s="1"/>
      <c r="N28" s="1"/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/>
      <c r="S28" s="1"/>
      <c r="T28" s="1"/>
      <c r="U28" s="1"/>
      <c r="V28" s="1">
        <f>MIN($E28)</f>
        <v>0</v>
      </c>
      <c r="W28" s="1">
        <f>MIN($F28)</f>
        <v>0</v>
      </c>
      <c r="X28" s="1">
        <f>MIN($G28)</f>
        <v>0</v>
      </c>
      <c r="Y28" s="1"/>
      <c r="Z28" s="1"/>
      <c r="AA28" s="1">
        <f>MIN($J28)</f>
        <v>0</v>
      </c>
      <c r="AB28" s="1"/>
      <c r="AC28" s="1"/>
      <c r="AD28" s="1"/>
      <c r="AE28" s="1">
        <f>MIN($P28)</f>
        <v>0</v>
      </c>
      <c r="AF28" s="1">
        <f>MIN($Q28)</f>
        <v>0</v>
      </c>
      <c r="AG28" s="1"/>
      <c r="AH28" s="1"/>
      <c r="AI28" s="1"/>
      <c r="AJ28" s="1"/>
      <c r="AK28" s="1">
        <f>MEDIAN($E28)</f>
        <v>0</v>
      </c>
      <c r="AL28" s="1">
        <f>MEDIAN($F28)</f>
        <v>0</v>
      </c>
      <c r="AM28" s="1">
        <f>MEDIAN($G28)</f>
        <v>0</v>
      </c>
      <c r="AN28" s="1"/>
      <c r="AO28" s="1"/>
      <c r="AP28" s="1">
        <f>MEDIAN($J28)</f>
        <v>0</v>
      </c>
      <c r="AQ28" s="1"/>
      <c r="AR28" s="1"/>
      <c r="AS28" s="1"/>
      <c r="AT28" s="1">
        <f>MEDIAN($P28)</f>
        <v>0</v>
      </c>
      <c r="AU28" s="1">
        <f>MEDIAN($Q28)</f>
        <v>0</v>
      </c>
      <c r="AV28" s="1"/>
      <c r="AW28" s="1"/>
      <c r="AX28" s="1"/>
      <c r="AY28" s="1"/>
      <c r="AZ28" s="1">
        <f>MAX($E28)</f>
        <v>0</v>
      </c>
      <c r="BA28" s="1">
        <f>MAX($F28)</f>
        <v>0</v>
      </c>
      <c r="BB28" s="1">
        <f>MAX($G28)</f>
        <v>0</v>
      </c>
      <c r="BC28" s="1"/>
      <c r="BD28" s="1"/>
      <c r="BE28" s="1">
        <f>MAX($J28)</f>
        <v>0</v>
      </c>
      <c r="BF28" s="1"/>
      <c r="BG28" s="1"/>
      <c r="BH28" s="1"/>
      <c r="BI28" s="1">
        <f>MAX($P28)</f>
        <v>0</v>
      </c>
      <c r="BJ28" s="1">
        <f>MAX($Q28)</f>
        <v>0</v>
      </c>
      <c r="BK28" s="1"/>
    </row>
    <row r="29" spans="1:63">
      <c r="A29" s="1" t="s">
        <v>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8</v>
      </c>
      <c r="B31" s="1"/>
      <c r="C31" s="1"/>
      <c r="D31" s="1"/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/>
      <c r="I31" s="1"/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/>
      <c r="L31" s="1"/>
      <c r="M31" s="1"/>
      <c r="N31" s="1"/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/>
      <c r="S31" s="1"/>
      <c r="T31" s="1"/>
      <c r="U31" s="1"/>
      <c r="V31" s="1">
        <f>MIN($E31)</f>
        <v>0</v>
      </c>
      <c r="W31" s="1">
        <f>MIN($F31)</f>
        <v>0</v>
      </c>
      <c r="X31" s="1">
        <f>MIN($G31)</f>
        <v>0</v>
      </c>
      <c r="Y31" s="1"/>
      <c r="Z31" s="1"/>
      <c r="AA31" s="1">
        <f>MIN($J31)</f>
        <v>0</v>
      </c>
      <c r="AB31" s="1"/>
      <c r="AC31" s="1"/>
      <c r="AD31" s="1"/>
      <c r="AE31" s="1">
        <f>MIN($P31)</f>
        <v>0</v>
      </c>
      <c r="AF31" s="1">
        <f>MIN($Q31)</f>
        <v>0</v>
      </c>
      <c r="AG31" s="1"/>
      <c r="AH31" s="1"/>
      <c r="AI31" s="1"/>
      <c r="AJ31" s="1"/>
      <c r="AK31" s="1">
        <f>MEDIAN($E31)</f>
        <v>0</v>
      </c>
      <c r="AL31" s="1">
        <f>MEDIAN($F31)</f>
        <v>0</v>
      </c>
      <c r="AM31" s="1">
        <f>MEDIAN($G31)</f>
        <v>0</v>
      </c>
      <c r="AN31" s="1"/>
      <c r="AO31" s="1"/>
      <c r="AP31" s="1">
        <f>MEDIAN($J31)</f>
        <v>0</v>
      </c>
      <c r="AQ31" s="1"/>
      <c r="AR31" s="1"/>
      <c r="AS31" s="1"/>
      <c r="AT31" s="1">
        <f>MEDIAN($P31)</f>
        <v>0</v>
      </c>
      <c r="AU31" s="1">
        <f>MEDIAN($Q31)</f>
        <v>0</v>
      </c>
      <c r="AV31" s="1"/>
      <c r="AW31" s="1"/>
      <c r="AX31" s="1"/>
      <c r="AY31" s="1"/>
      <c r="AZ31" s="1">
        <f>MAX($E31)</f>
        <v>0</v>
      </c>
      <c r="BA31" s="1">
        <f>MAX($F31)</f>
        <v>0</v>
      </c>
      <c r="BB31" s="1">
        <f>MAX($G31)</f>
        <v>0</v>
      </c>
      <c r="BC31" s="1"/>
      <c r="BD31" s="1"/>
      <c r="BE31" s="1">
        <f>MAX($J31)</f>
        <v>0</v>
      </c>
      <c r="BF31" s="1"/>
      <c r="BG31" s="1"/>
      <c r="BH31" s="1"/>
      <c r="BI31" s="1">
        <f>MAX($P31)</f>
        <v>0</v>
      </c>
      <c r="BJ31" s="1">
        <f>MAX($Q31)</f>
        <v>0</v>
      </c>
      <c r="BK31" s="1"/>
    </row>
    <row r="32" spans="1:63">
      <c r="A32" s="1" t="s">
        <v>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>
      <c r="A34" s="1" t="s">
        <v>10</v>
      </c>
      <c r="B34" s="1">
        <f>SUM(B$3:B$32)</f>
        <v>0</v>
      </c>
      <c r="C34" s="1">
        <f>SUM(C$3:C$32)</f>
        <v>0</v>
      </c>
      <c r="D34" s="1">
        <f>SUM(D$3:D$32)</f>
        <v>0</v>
      </c>
      <c r="E34" s="1">
        <f>SUM(E$3:E$32)</f>
        <v>0</v>
      </c>
      <c r="F34" s="1">
        <f>SUM(F$3:F$32)</f>
        <v>0</v>
      </c>
      <c r="G34" s="1">
        <f>SUM(G$3:G$32)</f>
        <v>0</v>
      </c>
      <c r="H34" s="1">
        <f>SUM(H$3:H$32)</f>
        <v>0</v>
      </c>
      <c r="I34" s="1">
        <f>SUM(I$3:I$32)</f>
        <v>0</v>
      </c>
      <c r="J34" s="1">
        <f>SUM(J$3:J$32)</f>
        <v>0</v>
      </c>
      <c r="K34" s="1">
        <f>SUM(K$3:K$32)</f>
        <v>0</v>
      </c>
      <c r="L34" s="1"/>
      <c r="M34" s="1">
        <f>SUM(M$3:M$32)</f>
        <v>0</v>
      </c>
      <c r="N34" s="1">
        <f>SUM(N$3:N$32)</f>
        <v>0</v>
      </c>
      <c r="O34" s="1"/>
      <c r="P34" s="1">
        <f>SUM(P$3:P$32)</f>
        <v>0</v>
      </c>
      <c r="Q34" s="1">
        <f>SUM(Q$3:Q$32)</f>
        <v>0</v>
      </c>
      <c r="R34" s="1">
        <f>SUM(R$3:R$32)</f>
        <v>0</v>
      </c>
      <c r="S34" s="1">
        <f>SUM(S$3:S$32)</f>
        <v>0</v>
      </c>
      <c r="T34" s="1">
        <f>SUM(T$3:T$32)</f>
        <v>0</v>
      </c>
      <c r="U34" s="1">
        <f>SUM(U$3:U$32)</f>
        <v>0</v>
      </c>
      <c r="V34" s="1">
        <f>SUM(V$3:V$32)</f>
        <v>0</v>
      </c>
      <c r="W34" s="1">
        <f>SUM(W$3:W$32)</f>
        <v>0</v>
      </c>
      <c r="X34" s="1">
        <f>SUM(X$3:X$32)</f>
        <v>0</v>
      </c>
      <c r="Y34" s="1">
        <f>SUM(Y$3:Y$32)</f>
        <v>0</v>
      </c>
      <c r="Z34" s="1">
        <f>SUM(Z$3:Z$32)</f>
        <v>0</v>
      </c>
      <c r="AA34" s="1">
        <f>SUM(AA$3:AA$32)</f>
        <v>0</v>
      </c>
      <c r="AB34" s="1">
        <f>SUM(AB$3:AB$32)</f>
        <v>0</v>
      </c>
      <c r="AC34" s="1">
        <f>SUM(AC$3:AC$32)</f>
        <v>0</v>
      </c>
      <c r="AD34" s="1">
        <f>SUM(AD$3:AD$32)</f>
        <v>0</v>
      </c>
      <c r="AE34" s="1">
        <f>SUM(AE$3:AE$32)</f>
        <v>0</v>
      </c>
      <c r="AF34" s="1">
        <f>SUM(AF$3:AF$32)</f>
        <v>0</v>
      </c>
      <c r="AG34" s="1">
        <f>SUM(AG$3:AG$32)</f>
        <v>0</v>
      </c>
      <c r="AH34" s="1">
        <f>SUM(AH$3:AH$32)</f>
        <v>0</v>
      </c>
      <c r="AI34" s="1">
        <f>SUM(AI$3:AI$32)</f>
        <v>0</v>
      </c>
      <c r="AJ34" s="1">
        <f>SUM(AJ$3:AJ$32)</f>
        <v>0</v>
      </c>
      <c r="AK34" s="1">
        <f>SUM(AK$3:AK$32)</f>
        <v>0</v>
      </c>
      <c r="AL34" s="1">
        <f>SUM(AL$3:AL$32)</f>
        <v>0</v>
      </c>
      <c r="AM34" s="1">
        <f>SUM(AM$3:AM$32)</f>
        <v>0</v>
      </c>
      <c r="AN34" s="1">
        <f>SUM(AN$3:AN$32)</f>
        <v>0</v>
      </c>
      <c r="AO34" s="1">
        <f>SUM(AO$3:AO$32)</f>
        <v>0</v>
      </c>
      <c r="AP34" s="1">
        <f>SUM(AP$3:AP$32)</f>
        <v>0</v>
      </c>
      <c r="AQ34" s="1">
        <f>SUM(AQ$3:AQ$32)</f>
        <v>0</v>
      </c>
      <c r="AR34" s="1">
        <f>SUM(AR$3:AR$32)</f>
        <v>0</v>
      </c>
      <c r="AS34" s="1">
        <f>SUM(AS$3:AS$32)</f>
        <v>0</v>
      </c>
      <c r="AT34" s="1">
        <f>SUM(AT$3:AT$32)</f>
        <v>0</v>
      </c>
      <c r="AU34" s="1">
        <f>SUM(AU$3:AU$32)</f>
        <v>0</v>
      </c>
      <c r="AV34" s="1">
        <f>SUM(AV$3:AV$32)</f>
        <v>0</v>
      </c>
      <c r="AW34" s="1">
        <f>SUM(AW$3:AW$32)</f>
        <v>0</v>
      </c>
      <c r="AX34" s="1">
        <f>SUM(AX$3:AX$32)</f>
        <v>0</v>
      </c>
      <c r="AY34" s="1">
        <f>SUM(AY$3:AY$32)</f>
        <v>0</v>
      </c>
      <c r="AZ34" s="1">
        <f>SUM(AZ$3:AZ$32)</f>
        <v>0</v>
      </c>
      <c r="BA34" s="1">
        <f>SUM(BA$3:BA$32)</f>
        <v>0</v>
      </c>
      <c r="BB34" s="1">
        <f>SUM(BB$3:BB$32)</f>
        <v>0</v>
      </c>
      <c r="BC34" s="1">
        <f>SUM(BC$3:BC$32)</f>
        <v>0</v>
      </c>
      <c r="BD34" s="1">
        <f>SUM(BD$3:BD$32)</f>
        <v>0</v>
      </c>
      <c r="BE34" s="1">
        <f>SUM(BE$3:BE$32)</f>
        <v>0</v>
      </c>
      <c r="BF34" s="1">
        <f>SUM(BF$3:BF$32)</f>
        <v>0</v>
      </c>
      <c r="BG34" s="1">
        <f>SUM(BG$3:BG$32)</f>
        <v>0</v>
      </c>
      <c r="BH34" s="1">
        <f>SUM(BH$3:BH$32)</f>
        <v>0</v>
      </c>
      <c r="BI34" s="1">
        <f>SUM(BI$3:BI$32)</f>
        <v>0</v>
      </c>
      <c r="BJ34" s="1">
        <f>SUM(BJ$3:BJ$32)</f>
        <v>0</v>
      </c>
      <c r="BK34" s="1">
        <f>SUM(BK$3:BK$32)</f>
        <v>0</v>
      </c>
    </row>
    <row r="35" spans="1:63">
      <c r="A35" s="1" t="s">
        <v>11</v>
      </c>
      <c r="B35" s="1">
        <f>AVERAGE(B$3:B$32)</f>
        <v>0</v>
      </c>
      <c r="C35" s="1">
        <f>AVERAGE(C$3:C$32)</f>
        <v>0</v>
      </c>
      <c r="D35" s="1">
        <f>AVERAGE(D$3:D$32)</f>
        <v>0</v>
      </c>
      <c r="E35" s="1">
        <f>AVERAGE(E$3:E$32)</f>
        <v>0</v>
      </c>
      <c r="F35" s="1">
        <f>AVERAGE(F$3:F$32)</f>
        <v>0</v>
      </c>
      <c r="G35" s="1">
        <f>AVERAGE(G$3:G$32)</f>
        <v>0</v>
      </c>
      <c r="H35" s="1">
        <f>AVERAGE(H$3:H$32)</f>
        <v>0</v>
      </c>
      <c r="I35" s="1">
        <f>AVERAGE(I$3:I$32)</f>
        <v>0</v>
      </c>
      <c r="J35" s="1">
        <f>AVERAGE(J$3:J$32)</f>
        <v>0</v>
      </c>
      <c r="K35" s="1">
        <f>AVERAGE(K$3:K$32)</f>
        <v>0</v>
      </c>
      <c r="L35" s="1"/>
      <c r="M35" s="1">
        <f>AVERAGE(M$3:M$32)</f>
        <v>0</v>
      </c>
      <c r="N35" s="1">
        <f>AVERAGE(N$3:N$32)</f>
        <v>0</v>
      </c>
      <c r="O35" s="1"/>
      <c r="P35" s="1">
        <f>AVERAGE(P$3:P$32)</f>
        <v>0</v>
      </c>
      <c r="Q35" s="1">
        <f>AVERAGE(Q$3:Q$32)</f>
        <v>0</v>
      </c>
      <c r="R35" s="1">
        <f>AVERAGE(R$3:R$32)</f>
        <v>0</v>
      </c>
      <c r="S35" s="1">
        <f>AVERAGE(S$3:S$32)</f>
        <v>0</v>
      </c>
      <c r="T35" s="1">
        <f>AVERAGE(T$3:T$32)</f>
        <v>0</v>
      </c>
      <c r="U35" s="1">
        <f>AVERAGE(U$3:U$32)</f>
        <v>0</v>
      </c>
      <c r="V35" s="1">
        <f>AVERAGE(V$3:V$32)</f>
        <v>0</v>
      </c>
      <c r="W35" s="1">
        <f>AVERAGE(W$3:W$32)</f>
        <v>0</v>
      </c>
      <c r="X35" s="1">
        <f>AVERAGE(X$3:X$32)</f>
        <v>0</v>
      </c>
      <c r="Y35" s="1">
        <f>AVERAGE(Y$3:Y$32)</f>
        <v>0</v>
      </c>
      <c r="Z35" s="1">
        <f>AVERAGE(Z$3:Z$32)</f>
        <v>0</v>
      </c>
      <c r="AA35" s="1">
        <f>AVERAGE(AA$3:AA$32)</f>
        <v>0</v>
      </c>
      <c r="AB35" s="1">
        <f>AVERAGE(AB$3:AB$32)</f>
        <v>0</v>
      </c>
      <c r="AC35" s="1">
        <f>AVERAGE(AC$3:AC$32)</f>
        <v>0</v>
      </c>
      <c r="AD35" s="1">
        <f>AVERAGE(AD$3:AD$32)</f>
        <v>0</v>
      </c>
      <c r="AE35" s="1">
        <f>AVERAGE(AE$3:AE$32)</f>
        <v>0</v>
      </c>
      <c r="AF35" s="1">
        <f>AVERAGE(AF$3:AF$32)</f>
        <v>0</v>
      </c>
      <c r="AG35" s="1">
        <f>AVERAGE(AG$3:AG$32)</f>
        <v>0</v>
      </c>
      <c r="AH35" s="1">
        <f>AVERAGE(AH$3:AH$32)</f>
        <v>0</v>
      </c>
      <c r="AI35" s="1">
        <f>AVERAGE(AI$3:AI$32)</f>
        <v>0</v>
      </c>
      <c r="AJ35" s="1">
        <f>AVERAGE(AJ$3:AJ$32)</f>
        <v>0</v>
      </c>
      <c r="AK35" s="1">
        <f>AVERAGE(AK$3:AK$32)</f>
        <v>0</v>
      </c>
      <c r="AL35" s="1">
        <f>AVERAGE(AL$3:AL$32)</f>
        <v>0</v>
      </c>
      <c r="AM35" s="1">
        <f>AVERAGE(AM$3:AM$32)</f>
        <v>0</v>
      </c>
      <c r="AN35" s="1">
        <f>AVERAGE(AN$3:AN$32)</f>
        <v>0</v>
      </c>
      <c r="AO35" s="1">
        <f>AVERAGE(AO$3:AO$32)</f>
        <v>0</v>
      </c>
      <c r="AP35" s="1">
        <f>AVERAGE(AP$3:AP$32)</f>
        <v>0</v>
      </c>
      <c r="AQ35" s="1">
        <f>AVERAGE(AQ$3:AQ$32)</f>
        <v>0</v>
      </c>
      <c r="AR35" s="1">
        <f>AVERAGE(AR$3:AR$32)</f>
        <v>0</v>
      </c>
      <c r="AS35" s="1">
        <f>AVERAGE(AS$3:AS$32)</f>
        <v>0</v>
      </c>
      <c r="AT35" s="1">
        <f>AVERAGE(AT$3:AT$32)</f>
        <v>0</v>
      </c>
      <c r="AU35" s="1">
        <f>AVERAGE(AU$3:AU$32)</f>
        <v>0</v>
      </c>
      <c r="AV35" s="1">
        <f>AVERAGE(AV$3:AV$32)</f>
        <v>0</v>
      </c>
      <c r="AW35" s="1">
        <f>AVERAGE(AW$3:AW$32)</f>
        <v>0</v>
      </c>
      <c r="AX35" s="1">
        <f>AVERAGE(AX$3:AX$32)</f>
        <v>0</v>
      </c>
      <c r="AY35" s="1">
        <f>AVERAGE(AY$3:AY$32)</f>
        <v>0</v>
      </c>
      <c r="AZ35" s="1">
        <f>AVERAGE(AZ$3:AZ$32)</f>
        <v>0</v>
      </c>
      <c r="BA35" s="1">
        <f>AVERAGE(BA$3:BA$32)</f>
        <v>0</v>
      </c>
      <c r="BB35" s="1">
        <f>AVERAGE(BB$3:BB$32)</f>
        <v>0</v>
      </c>
      <c r="BC35" s="1">
        <f>AVERAGE(BC$3:BC$32)</f>
        <v>0</v>
      </c>
      <c r="BD35" s="1">
        <f>AVERAGE(BD$3:BD$32)</f>
        <v>0</v>
      </c>
      <c r="BE35" s="1">
        <f>AVERAGE(BE$3:BE$32)</f>
        <v>0</v>
      </c>
      <c r="BF35" s="1">
        <f>AVERAGE(BF$3:BF$32)</f>
        <v>0</v>
      </c>
      <c r="BG35" s="1">
        <f>AVERAGE(BG$3:BG$32)</f>
        <v>0</v>
      </c>
      <c r="BH35" s="1">
        <f>AVERAGE(BH$3:BH$32)</f>
        <v>0</v>
      </c>
      <c r="BI35" s="1">
        <f>AVERAGE(BI$3:BI$32)</f>
        <v>0</v>
      </c>
      <c r="BJ35" s="1">
        <f>AVERAGE(BJ$3:BJ$32)</f>
        <v>0</v>
      </c>
      <c r="BK35" s="1">
        <f>AVERAGE(BK$3:BK$32)</f>
        <v>0</v>
      </c>
    </row>
    <row r="36" spans="1:63">
      <c r="A36" s="1" t="s">
        <v>12</v>
      </c>
      <c r="B36" s="1">
        <f>STDEV(B$3:B$32)</f>
        <v>0</v>
      </c>
      <c r="C36" s="1">
        <f>STDEV(C$3:C$32)</f>
        <v>0</v>
      </c>
      <c r="D36" s="1">
        <f>STDEV(D$3:D$32)</f>
        <v>0</v>
      </c>
      <c r="E36" s="1">
        <f>STDEV(E$3:E$32)</f>
        <v>0</v>
      </c>
      <c r="F36" s="1">
        <f>STDEV(F$3:F$32)</f>
        <v>0</v>
      </c>
      <c r="G36" s="1">
        <f>STDEV(G$3:G$32)</f>
        <v>0</v>
      </c>
      <c r="H36" s="1">
        <f>STDEV(H$3:H$32)</f>
        <v>0</v>
      </c>
      <c r="I36" s="1">
        <f>STDEV(I$3:I$32)</f>
        <v>0</v>
      </c>
      <c r="J36" s="1">
        <f>STDEV(J$3:J$32)</f>
        <v>0</v>
      </c>
      <c r="K36" s="1">
        <f>STDEV(K$3:K$32)</f>
        <v>0</v>
      </c>
      <c r="L36" s="1"/>
      <c r="M36" s="1">
        <f>STDEV(M$3:M$32)</f>
        <v>0</v>
      </c>
      <c r="N36" s="1">
        <f>STDEV(N$3:N$32)</f>
        <v>0</v>
      </c>
      <c r="O36" s="1"/>
      <c r="P36" s="1">
        <f>STDEV(P$3:P$32)</f>
        <v>0</v>
      </c>
      <c r="Q36" s="1">
        <f>STDEV(Q$3:Q$32)</f>
        <v>0</v>
      </c>
      <c r="R36" s="1">
        <f>STDEV(R$3:R$32)</f>
        <v>0</v>
      </c>
      <c r="S36" s="1">
        <f>STDEV(S$3:S$32)</f>
        <v>0</v>
      </c>
      <c r="T36" s="1">
        <f>STDEV(T$3:T$32)</f>
        <v>0</v>
      </c>
      <c r="U36" s="1">
        <f>STDEV(U$3:U$32)</f>
        <v>0</v>
      </c>
      <c r="V36" s="1">
        <f>STDEV(V$3:V$32)</f>
        <v>0</v>
      </c>
      <c r="W36" s="1">
        <f>STDEV(W$3:W$32)</f>
        <v>0</v>
      </c>
      <c r="X36" s="1">
        <f>STDEV(X$3:X$32)</f>
        <v>0</v>
      </c>
      <c r="Y36" s="1">
        <f>STDEV(Y$3:Y$32)</f>
        <v>0</v>
      </c>
      <c r="Z36" s="1">
        <f>STDEV(Z$3:Z$32)</f>
        <v>0</v>
      </c>
      <c r="AA36" s="1">
        <f>STDEV(AA$3:AA$32)</f>
        <v>0</v>
      </c>
      <c r="AB36" s="1">
        <f>STDEV(AB$3:AB$32)</f>
        <v>0</v>
      </c>
      <c r="AC36" s="1">
        <f>STDEV(AC$3:AC$32)</f>
        <v>0</v>
      </c>
      <c r="AD36" s="1">
        <f>STDEV(AD$3:AD$32)</f>
        <v>0</v>
      </c>
      <c r="AE36" s="1">
        <f>STDEV(AE$3:AE$32)</f>
        <v>0</v>
      </c>
      <c r="AF36" s="1">
        <f>STDEV(AF$3:AF$32)</f>
        <v>0</v>
      </c>
      <c r="AG36" s="1">
        <f>STDEV(AG$3:AG$32)</f>
        <v>0</v>
      </c>
      <c r="AH36" s="1">
        <f>STDEV(AH$3:AH$32)</f>
        <v>0</v>
      </c>
      <c r="AI36" s="1">
        <f>STDEV(AI$3:AI$32)</f>
        <v>0</v>
      </c>
      <c r="AJ36" s="1">
        <f>STDEV(AJ$3:AJ$32)</f>
        <v>0</v>
      </c>
      <c r="AK36" s="1">
        <f>STDEV(AK$3:AK$32)</f>
        <v>0</v>
      </c>
      <c r="AL36" s="1">
        <f>STDEV(AL$3:AL$32)</f>
        <v>0</v>
      </c>
      <c r="AM36" s="1">
        <f>STDEV(AM$3:AM$32)</f>
        <v>0</v>
      </c>
      <c r="AN36" s="1">
        <f>STDEV(AN$3:AN$32)</f>
        <v>0</v>
      </c>
      <c r="AO36" s="1">
        <f>STDEV(AO$3:AO$32)</f>
        <v>0</v>
      </c>
      <c r="AP36" s="1">
        <f>STDEV(AP$3:AP$32)</f>
        <v>0</v>
      </c>
      <c r="AQ36" s="1">
        <f>STDEV(AQ$3:AQ$32)</f>
        <v>0</v>
      </c>
      <c r="AR36" s="1">
        <f>STDEV(AR$3:AR$32)</f>
        <v>0</v>
      </c>
      <c r="AS36" s="1">
        <f>STDEV(AS$3:AS$32)</f>
        <v>0</v>
      </c>
      <c r="AT36" s="1">
        <f>STDEV(AT$3:AT$32)</f>
        <v>0</v>
      </c>
      <c r="AU36" s="1">
        <f>STDEV(AU$3:AU$32)</f>
        <v>0</v>
      </c>
      <c r="AV36" s="1">
        <f>STDEV(AV$3:AV$32)</f>
        <v>0</v>
      </c>
      <c r="AW36" s="1">
        <f>STDEV(AW$3:AW$32)</f>
        <v>0</v>
      </c>
      <c r="AX36" s="1">
        <f>STDEV(AX$3:AX$32)</f>
        <v>0</v>
      </c>
      <c r="AY36" s="1">
        <f>STDEV(AY$3:AY$32)</f>
        <v>0</v>
      </c>
      <c r="AZ36" s="1">
        <f>STDEV(AZ$3:AZ$32)</f>
        <v>0</v>
      </c>
      <c r="BA36" s="1">
        <f>STDEV(BA$3:BA$32)</f>
        <v>0</v>
      </c>
      <c r="BB36" s="1">
        <f>STDEV(BB$3:BB$32)</f>
        <v>0</v>
      </c>
      <c r="BC36" s="1">
        <f>STDEV(BC$3:BC$32)</f>
        <v>0</v>
      </c>
      <c r="BD36" s="1">
        <f>STDEV(BD$3:BD$32)</f>
        <v>0</v>
      </c>
      <c r="BE36" s="1">
        <f>STDEV(BE$3:BE$32)</f>
        <v>0</v>
      </c>
      <c r="BF36" s="1">
        <f>STDEV(BF$3:BF$32)</f>
        <v>0</v>
      </c>
      <c r="BG36" s="1">
        <f>STDEV(BG$3:BG$32)</f>
        <v>0</v>
      </c>
      <c r="BH36" s="1">
        <f>STDEV(BH$3:BH$32)</f>
        <v>0</v>
      </c>
      <c r="BI36" s="1">
        <f>STDEV(BI$3:BI$32)</f>
        <v>0</v>
      </c>
      <c r="BJ36" s="1">
        <f>STDEV(BJ$3:BJ$32)</f>
        <v>0</v>
      </c>
      <c r="BK36" s="1">
        <f>STDEV(BK$3:BK$32)</f>
        <v>0</v>
      </c>
    </row>
    <row r="37" spans="1:63">
      <c r="A37" s="1" t="s">
        <v>13</v>
      </c>
      <c r="B37" s="1">
        <f>SUMPRODUCT(--(B$3:B$32-$S$3:$S$32)^2)^0.5</f>
        <v>0</v>
      </c>
      <c r="C37" s="1">
        <f>SUMPRODUCT(--(C$3:C$32-$T$3:$T$32)^2)^0.5</f>
        <v>0</v>
      </c>
      <c r="D37" s="1">
        <f>SUMPRODUCT(--(D$3:D$32-$U$3:$U$32)^2)^0.5</f>
        <v>0</v>
      </c>
      <c r="E37" s="1">
        <f>SUMPRODUCT(--(E$3:E$32-$V$3:$V$32)^2)^0.5</f>
        <v>0</v>
      </c>
      <c r="F37" s="1">
        <f>SUMPRODUCT(--(F$3:F$32-$W$3:$W$32)^2)^0.5</f>
        <v>0</v>
      </c>
      <c r="G37" s="1">
        <f>SUMPRODUCT(--(G$3:G$32-$X$3:$X$32)^2)^0.5</f>
        <v>0</v>
      </c>
      <c r="H37" s="1">
        <f>SUMPRODUCT(--(H$3:H$32-$Y$3:$Y$32)^2)^0.5</f>
        <v>0</v>
      </c>
      <c r="I37" s="1">
        <f>SUMPRODUCT(--(I$3:I$32-$Z$3:$Z$32)^2)^0.5</f>
        <v>0</v>
      </c>
      <c r="J37" s="1">
        <f>SUMPRODUCT(--(J$3:J$32-$AA$3:$AA$32)^2)^0.5</f>
        <v>0</v>
      </c>
      <c r="K37" s="1">
        <f>SUMPRODUCT(--(K$3:K$32-$AB$3:$AB$32)^2)^0.5</f>
        <v>0</v>
      </c>
      <c r="L37" s="1"/>
      <c r="M37" s="1">
        <f>SUMPRODUCT(--(M$3:M$32-$AC$3:$AC$32)^2)^0.5</f>
        <v>0</v>
      </c>
      <c r="N37" s="1">
        <f>SUMPRODUCT(--(N$3:N$32-$AD$3:$AD$32)^2)^0.5</f>
        <v>0</v>
      </c>
      <c r="O37" s="1"/>
      <c r="P37" s="1">
        <f>SUMPRODUCT(--(P$3:P$32-$AE$3:$AE$32)^2)^0.5</f>
        <v>0</v>
      </c>
      <c r="Q37" s="1">
        <f>SUMPRODUCT(--(Q$3:Q$32-$AF$3:$AF$32)^2)^0.5</f>
        <v>0</v>
      </c>
      <c r="R37" s="1">
        <f>SUMPRODUCT(--(R$3:R$32-$AG$3:$AG$32)^2)^0.5</f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>
      <c r="A38" s="1" t="s">
        <v>14</v>
      </c>
      <c r="B38" s="1">
        <f>SUMPRODUCT(NOT(ISBLANK(B$3:B$32))*(B$3:B$32=$S$3:$S$32))</f>
        <v>0</v>
      </c>
      <c r="C38" s="1">
        <f>SUMPRODUCT(NOT(ISBLANK(C$3:C$32))*(C$3:C$32=$T$3:$T$32))</f>
        <v>0</v>
      </c>
      <c r="D38" s="1">
        <f>SUMPRODUCT(NOT(ISBLANK(D$3:D$32))*(D$3:D$32=$U$3:$U$32))</f>
        <v>0</v>
      </c>
      <c r="E38" s="1">
        <f>SUMPRODUCT(NOT(ISBLANK(E$3:E$32))*(E$3:E$32=$V$3:$V$32))</f>
        <v>0</v>
      </c>
      <c r="F38" s="1">
        <f>SUMPRODUCT(NOT(ISBLANK(F$3:F$32))*(F$3:F$32=$W$3:$W$32))</f>
        <v>0</v>
      </c>
      <c r="G38" s="1">
        <f>SUMPRODUCT(NOT(ISBLANK(G$3:G$32))*(G$3:G$32=$X$3:$X$32))</f>
        <v>0</v>
      </c>
      <c r="H38" s="1">
        <f>SUMPRODUCT(NOT(ISBLANK(H$3:H$32))*(H$3:H$32=$Y$3:$Y$32))</f>
        <v>0</v>
      </c>
      <c r="I38" s="1">
        <f>SUMPRODUCT(NOT(ISBLANK(I$3:I$32))*(I$3:I$32=$Z$3:$Z$32))</f>
        <v>0</v>
      </c>
      <c r="J38" s="1">
        <f>SUMPRODUCT(NOT(ISBLANK(J$3:J$32))*(J$3:J$32=$AA$3:$AA$32))</f>
        <v>0</v>
      </c>
      <c r="K38" s="1">
        <f>SUMPRODUCT(NOT(ISBLANK(K$3:K$32))*(K$3:K$32=$AB$3:$AB$32))</f>
        <v>0</v>
      </c>
      <c r="L38" s="1"/>
      <c r="M38" s="1">
        <f>SUMPRODUCT(NOT(ISBLANK(M$3:M$32))*(M$3:M$32=$AC$3:$AC$32))</f>
        <v>0</v>
      </c>
      <c r="N38" s="1">
        <f>SUMPRODUCT(NOT(ISBLANK(N$3:N$32))*(N$3:N$32=$AD$3:$AD$32))</f>
        <v>0</v>
      </c>
      <c r="O38" s="1"/>
      <c r="P38" s="1">
        <f>SUMPRODUCT(NOT(ISBLANK(P$3:P$32))*(P$3:P$32=$AE$3:$AE$32))</f>
        <v>0</v>
      </c>
      <c r="Q38" s="1">
        <f>SUMPRODUCT(NOT(ISBLANK(Q$3:Q$32))*(Q$3:Q$32=$AF$3:$AF$32))</f>
        <v>0</v>
      </c>
      <c r="R38" s="1">
        <f>SUMPRODUCT(NOT(ISBLANK(R$3:R$32))*(R$3:R$32=$AG$3:$AG$32))</f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>
      <c r="A39" s="1" t="s">
        <v>15</v>
      </c>
      <c r="B39" s="1">
        <f>SUMPRODUCT(NOT(ISBLANK(B$3:B$32))*(B$3:B$32&lt;$AH$3:$AH$32))</f>
        <v>0</v>
      </c>
      <c r="C39" s="1">
        <f>SUMPRODUCT(NOT(ISBLANK(C$3:C$32))*(C$3:C$32&lt;$AI$3:$AI$32))</f>
        <v>0</v>
      </c>
      <c r="D39" s="1">
        <f>SUMPRODUCT(NOT(ISBLANK(D$3:D$32))*(D$3:D$32&lt;$AJ$3:$AJ$32))</f>
        <v>0</v>
      </c>
      <c r="E39" s="1">
        <f>SUMPRODUCT(NOT(ISBLANK(E$3:E$32))*(E$3:E$32&lt;$AK$3:$AK$32))</f>
        <v>0</v>
      </c>
      <c r="F39" s="1">
        <f>SUMPRODUCT(NOT(ISBLANK(F$3:F$32))*(F$3:F$32&lt;$AL$3:$AL$32))</f>
        <v>0</v>
      </c>
      <c r="G39" s="1">
        <f>SUMPRODUCT(NOT(ISBLANK(G$3:G$32))*(G$3:G$32&lt;$AM$3:$AM$32))</f>
        <v>0</v>
      </c>
      <c r="H39" s="1">
        <f>SUMPRODUCT(NOT(ISBLANK(H$3:H$32))*(H$3:H$32&lt;$AN$3:$AN$32))</f>
        <v>0</v>
      </c>
      <c r="I39" s="1">
        <f>SUMPRODUCT(NOT(ISBLANK(I$3:I$32))*(I$3:I$32&lt;$AO$3:$AO$32))</f>
        <v>0</v>
      </c>
      <c r="J39" s="1">
        <f>SUMPRODUCT(NOT(ISBLANK(J$3:J$32))*(J$3:J$32&lt;$AP$3:$AP$32))</f>
        <v>0</v>
      </c>
      <c r="K39" s="1">
        <f>SUMPRODUCT(NOT(ISBLANK(K$3:K$32))*(K$3:K$32&lt;$AQ$3:$AQ$32))</f>
        <v>0</v>
      </c>
      <c r="L39" s="1"/>
      <c r="M39" s="1">
        <f>SUMPRODUCT(NOT(ISBLANK(M$3:M$32))*(M$3:M$32&lt;$AR$3:$AR$32))</f>
        <v>0</v>
      </c>
      <c r="N39" s="1">
        <f>SUMPRODUCT(NOT(ISBLANK(N$3:N$32))*(N$3:N$32&lt;$AS$3:$AS$32))</f>
        <v>0</v>
      </c>
      <c r="O39" s="1"/>
      <c r="P39" s="1">
        <f>SUMPRODUCT(NOT(ISBLANK(P$3:P$32))*(P$3:P$32&lt;$AT$3:$AT$32))</f>
        <v>0</v>
      </c>
      <c r="Q39" s="1">
        <f>SUMPRODUCT(NOT(ISBLANK(Q$3:Q$32))*(Q$3:Q$32&lt;$AU$3:$AU$32))</f>
        <v>0</v>
      </c>
      <c r="R39" s="1">
        <f>SUMPRODUCT(NOT(ISBLANK(R$3:R$32))*(R$3:R$32&lt;$AV$3:$AV$32))</f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>
      <c r="A40" s="1" t="s">
        <v>16</v>
      </c>
      <c r="B40" s="1">
        <f>SUMPRODUCT((NOT(ISBLANK(B$3:B$32))*(B$3:B$32&gt;$AH$3:$AH$32))+ISBLANK(B$3:B$32))</f>
        <v>0</v>
      </c>
      <c r="C40" s="1">
        <f>SUMPRODUCT((NOT(ISBLANK(C$3:C$32))*(C$3:C$32&gt;$AI$3:$AI$32))+ISBLANK(C$3:C$32))</f>
        <v>0</v>
      </c>
      <c r="D40" s="1">
        <f>SUMPRODUCT((NOT(ISBLANK(D$3:D$32))*(D$3:D$32&gt;$AJ$3:$AJ$32))+ISBLANK(D$3:D$32))</f>
        <v>0</v>
      </c>
      <c r="E40" s="1">
        <f>SUMPRODUCT((NOT(ISBLANK(E$3:E$32))*(E$3:E$32&gt;$AK$3:$AK$32))+ISBLANK(E$3:E$32))</f>
        <v>0</v>
      </c>
      <c r="F40" s="1">
        <f>SUMPRODUCT((NOT(ISBLANK(F$3:F$32))*(F$3:F$32&gt;$AL$3:$AL$32))+ISBLANK(F$3:F$32))</f>
        <v>0</v>
      </c>
      <c r="G40" s="1">
        <f>SUMPRODUCT((NOT(ISBLANK(G$3:G$32))*(G$3:G$32&gt;$AM$3:$AM$32))+ISBLANK(G$3:G$32))</f>
        <v>0</v>
      </c>
      <c r="H40" s="1">
        <f>SUMPRODUCT((NOT(ISBLANK(H$3:H$32))*(H$3:H$32&gt;$AN$3:$AN$32))+ISBLANK(H$3:H$32))</f>
        <v>0</v>
      </c>
      <c r="I40" s="1">
        <f>SUMPRODUCT((NOT(ISBLANK(I$3:I$32))*(I$3:I$32&gt;$AO$3:$AO$32))+ISBLANK(I$3:I$32))</f>
        <v>0</v>
      </c>
      <c r="J40" s="1">
        <f>SUMPRODUCT((NOT(ISBLANK(J$3:J$32))*(J$3:J$32&gt;$AP$3:$AP$32))+ISBLANK(J$3:J$32))</f>
        <v>0</v>
      </c>
      <c r="K40" s="1">
        <f>SUMPRODUCT((NOT(ISBLANK(K$3:K$32))*(K$3:K$32&gt;$AQ$3:$AQ$32))+ISBLANK(K$3:K$32))</f>
        <v>0</v>
      </c>
      <c r="L40" s="1"/>
      <c r="M40" s="1">
        <f>SUMPRODUCT((NOT(ISBLANK(M$3:M$32))*(M$3:M$32&gt;$AR$3:$AR$32))+ISBLANK(M$3:M$32))</f>
        <v>0</v>
      </c>
      <c r="N40" s="1">
        <f>SUMPRODUCT((NOT(ISBLANK(N$3:N$32))*(N$3:N$32&gt;$AS$3:$AS$32))+ISBLANK(N$3:N$32))</f>
        <v>0</v>
      </c>
      <c r="O40" s="1"/>
      <c r="P40" s="1">
        <f>SUMPRODUCT((NOT(ISBLANK(P$3:P$32))*(P$3:P$32&gt;$AT$3:$AT$32))+ISBLANK(P$3:P$32))</f>
        <v>0</v>
      </c>
      <c r="Q40" s="1">
        <f>SUMPRODUCT((NOT(ISBLANK(Q$3:Q$32))*(Q$3:Q$32&gt;$AU$3:$AU$32))+ISBLANK(Q$3:Q$32))</f>
        <v>0</v>
      </c>
      <c r="R40" s="1">
        <f>SUMPRODUCT((NOT(ISBLANK(R$3:R$32))*(R$3:R$32&gt;$AV$3:$AV$32))+ISBLANK(R$3:R$32))</f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>
      <c r="A41" s="1" t="s">
        <v>17</v>
      </c>
      <c r="B41" s="1">
        <f>SUMPRODUCT((NOT(ISBLANK(B$3:B$32))*(B$3:B$32=$AW$3:$AW$32))+ISBLANK(B$3:B$32))</f>
        <v>0</v>
      </c>
      <c r="C41" s="1">
        <f>SUMPRODUCT((NOT(ISBLANK(C$3:C$32))*(C$3:C$32=$AX$3:$AX$32))+ISBLANK(C$3:C$32))</f>
        <v>0</v>
      </c>
      <c r="D41" s="1">
        <f>SUMPRODUCT((NOT(ISBLANK(D$3:D$32))*(D$3:D$32=$AY$3:$AY$32))+ISBLANK(D$3:D$32))</f>
        <v>0</v>
      </c>
      <c r="E41" s="1">
        <f>SUMPRODUCT((NOT(ISBLANK(E$3:E$32))*(E$3:E$32=$AZ$3:$AZ$32))+ISBLANK(E$3:E$32))</f>
        <v>0</v>
      </c>
      <c r="F41" s="1">
        <f>SUMPRODUCT((NOT(ISBLANK(F$3:F$32))*(F$3:F$32=$BA$3:$BA$32))+ISBLANK(F$3:F$32))</f>
        <v>0</v>
      </c>
      <c r="G41" s="1">
        <f>SUMPRODUCT((NOT(ISBLANK(G$3:G$32))*(G$3:G$32=$BB$3:$BB$32))+ISBLANK(G$3:G$32))</f>
        <v>0</v>
      </c>
      <c r="H41" s="1">
        <f>SUMPRODUCT((NOT(ISBLANK(H$3:H$32))*(H$3:H$32=$BC$3:$BC$32))+ISBLANK(H$3:H$32))</f>
        <v>0</v>
      </c>
      <c r="I41" s="1">
        <f>SUMPRODUCT((NOT(ISBLANK(I$3:I$32))*(I$3:I$32=$BD$3:$BD$32))+ISBLANK(I$3:I$32))</f>
        <v>0</v>
      </c>
      <c r="J41" s="1">
        <f>SUMPRODUCT((NOT(ISBLANK(J$3:J$32))*(J$3:J$32=$BE$3:$BE$32))+ISBLANK(J$3:J$32))</f>
        <v>0</v>
      </c>
      <c r="K41" s="1">
        <f>SUMPRODUCT((NOT(ISBLANK(K$3:K$32))*(K$3:K$32=$BF$3:$BF$32))+ISBLANK(K$3:K$32))</f>
        <v>0</v>
      </c>
      <c r="L41" s="1"/>
      <c r="M41" s="1">
        <f>SUMPRODUCT((NOT(ISBLANK(M$3:M$32))*(M$3:M$32=$BG$3:$BG$32))+ISBLANK(M$3:M$32))</f>
        <v>0</v>
      </c>
      <c r="N41" s="1">
        <f>SUMPRODUCT((NOT(ISBLANK(N$3:N$32))*(N$3:N$32=$BH$3:$BH$32))+ISBLANK(N$3:N$32))</f>
        <v>0</v>
      </c>
      <c r="O41" s="1"/>
      <c r="P41" s="1">
        <f>SUMPRODUCT((NOT(ISBLANK(P$3:P$32))*(P$3:P$32=$BI$3:$BI$32))+ISBLANK(P$3:P$32))</f>
        <v>0</v>
      </c>
      <c r="Q41" s="1">
        <f>SUMPRODUCT((NOT(ISBLANK(Q$3:Q$32))*(Q$3:Q$32=$BJ$3:$BJ$32))+ISBLANK(Q$3:Q$32))</f>
        <v>0</v>
      </c>
      <c r="R41" s="1">
        <f>SUMPRODUCT((NOT(ISBLANK(R$3:R$32))*(R$3:R$32=$BK$3:$BK$32))+ISBLANK(R$3:R$32))</f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41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42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43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33</v>
      </c>
      <c r="N2" s="1" t="s">
        <v>34</v>
      </c>
      <c r="O2" s="1" t="s">
        <v>35</v>
      </c>
      <c r="P2" s="1" t="s">
        <v>38</v>
      </c>
      <c r="Q2" s="1" t="s">
        <v>39</v>
      </c>
      <c r="R2" s="1" t="s">
        <v>40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33</v>
      </c>
      <c r="AD2" s="1" t="s">
        <v>34</v>
      </c>
      <c r="AE2" s="1" t="s">
        <v>38</v>
      </c>
      <c r="AF2" s="1" t="s">
        <v>39</v>
      </c>
      <c r="AG2" s="1" t="s">
        <v>40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  <c r="AO2" s="1" t="s">
        <v>26</v>
      </c>
      <c r="AP2" s="1" t="s">
        <v>27</v>
      </c>
      <c r="AQ2" s="1" t="s">
        <v>28</v>
      </c>
      <c r="AR2" s="1" t="s">
        <v>33</v>
      </c>
      <c r="AS2" s="1" t="s">
        <v>34</v>
      </c>
      <c r="AT2" s="1" t="s">
        <v>38</v>
      </c>
      <c r="AU2" s="1" t="s">
        <v>39</v>
      </c>
      <c r="AV2" s="1" t="s">
        <v>40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  <c r="BB2" s="1" t="s">
        <v>24</v>
      </c>
      <c r="BC2" s="1" t="s">
        <v>25</v>
      </c>
      <c r="BD2" s="1" t="s">
        <v>26</v>
      </c>
      <c r="BE2" s="1" t="s">
        <v>27</v>
      </c>
      <c r="BF2" s="1" t="s">
        <v>28</v>
      </c>
      <c r="BG2" s="1" t="s">
        <v>33</v>
      </c>
      <c r="BH2" s="1" t="s">
        <v>34</v>
      </c>
      <c r="BI2" s="1" t="s">
        <v>38</v>
      </c>
      <c r="BJ2" s="1" t="s">
        <v>39</v>
      </c>
      <c r="BK2" s="1" t="s">
        <v>40</v>
      </c>
    </row>
    <row r="3" spans="1:63">
      <c r="A3" s="1"/>
      <c r="B3" s="1">
        <f>AVERAGE(Instances!B3:Instances!B12)</f>
        <v>0</v>
      </c>
      <c r="C3" s="1">
        <f>AVERAGE(Instances!C3:Instances!C12)</f>
        <v>0</v>
      </c>
      <c r="D3" s="1">
        <f>AVERAGE(Instances!D3:Instances!D12)</f>
        <v>0</v>
      </c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>
        <f>AVERAGE(Instances!K3:Instances!K12)</f>
        <v>0</v>
      </c>
      <c r="L3" s="1"/>
      <c r="M3" s="1">
        <f>AVERAGE(Instances!M3:Instances!M12)</f>
        <v>0</v>
      </c>
      <c r="N3" s="1">
        <f>AVERAGE(Instances!N3:Instances!N12)</f>
        <v>0</v>
      </c>
      <c r="O3" s="1"/>
      <c r="P3" s="1">
        <f>AVERAGE(Instances!P3:Instances!P12)</f>
        <v>0</v>
      </c>
      <c r="Q3" s="1">
        <f>SUM(Instances!Q3:Instances!Q12)</f>
        <v>0</v>
      </c>
      <c r="R3" s="1">
        <f>AVERAGE(Instances!R3:Instances!R12)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/>
      <c r="B4" s="1"/>
      <c r="C4" s="1"/>
      <c r="D4" s="1"/>
      <c r="E4" s="1">
        <f>AVERAGE(Instances!E13:Instances!E22)</f>
        <v>0</v>
      </c>
      <c r="F4" s="1">
        <f>AVERAGE(Instances!F13:Instances!F22)</f>
        <v>0</v>
      </c>
      <c r="G4" s="1">
        <f>AVERAGE(Instances!G13:Instances!G22)</f>
        <v>0</v>
      </c>
      <c r="H4" s="1"/>
      <c r="I4" s="1"/>
      <c r="J4" s="1">
        <f>AVERAGE(Instances!J13:Instances!J22)</f>
        <v>0</v>
      </c>
      <c r="K4" s="1"/>
      <c r="L4" s="1"/>
      <c r="M4" s="1"/>
      <c r="N4" s="1"/>
      <c r="O4" s="1"/>
      <c r="P4" s="1">
        <f>AVERAGE(Instances!P13:Instances!P22)</f>
        <v>0</v>
      </c>
      <c r="Q4" s="1">
        <f>SUM(Instances!Q13:Instances!Q22)</f>
        <v>0</v>
      </c>
      <c r="R4" s="1"/>
      <c r="S4" s="1"/>
      <c r="T4" s="1"/>
      <c r="U4" s="1"/>
      <c r="V4" s="1">
        <f>MIN($E4)</f>
        <v>0</v>
      </c>
      <c r="W4" s="1">
        <f>MIN($F4)</f>
        <v>0</v>
      </c>
      <c r="X4" s="1">
        <f>MIN($G4)</f>
        <v>0</v>
      </c>
      <c r="Y4" s="1"/>
      <c r="Z4" s="1"/>
      <c r="AA4" s="1">
        <f>MIN($J4)</f>
        <v>0</v>
      </c>
      <c r="AB4" s="1"/>
      <c r="AC4" s="1"/>
      <c r="AD4" s="1"/>
      <c r="AE4" s="1">
        <f>MIN($P4)</f>
        <v>0</v>
      </c>
      <c r="AF4" s="1">
        <f>MIN($Q4)</f>
        <v>0</v>
      </c>
      <c r="AG4" s="1"/>
      <c r="AH4" s="1"/>
      <c r="AI4" s="1"/>
      <c r="AJ4" s="1"/>
      <c r="AK4" s="1">
        <f>MEDIAN($E4)</f>
        <v>0</v>
      </c>
      <c r="AL4" s="1">
        <f>MEDIAN($F4)</f>
        <v>0</v>
      </c>
      <c r="AM4" s="1">
        <f>MEDIAN($G4)</f>
        <v>0</v>
      </c>
      <c r="AN4" s="1"/>
      <c r="AO4" s="1"/>
      <c r="AP4" s="1">
        <f>MEDIAN($J4)</f>
        <v>0</v>
      </c>
      <c r="AQ4" s="1"/>
      <c r="AR4" s="1"/>
      <c r="AS4" s="1"/>
      <c r="AT4" s="1">
        <f>MEDIAN($P4)</f>
        <v>0</v>
      </c>
      <c r="AU4" s="1">
        <f>MEDIAN($Q4)</f>
        <v>0</v>
      </c>
      <c r="AV4" s="1"/>
      <c r="AW4" s="1"/>
      <c r="AX4" s="1"/>
      <c r="AY4" s="1"/>
      <c r="AZ4" s="1">
        <f>MAX($E4)</f>
        <v>0</v>
      </c>
      <c r="BA4" s="1">
        <f>MAX($F4)</f>
        <v>0</v>
      </c>
      <c r="BB4" s="1">
        <f>MAX($G4)</f>
        <v>0</v>
      </c>
      <c r="BC4" s="1"/>
      <c r="BD4" s="1"/>
      <c r="BE4" s="1">
        <f>MAX($J4)</f>
        <v>0</v>
      </c>
      <c r="BF4" s="1"/>
      <c r="BG4" s="1"/>
      <c r="BH4" s="1"/>
      <c r="BI4" s="1">
        <f>MAX($P4)</f>
        <v>0</v>
      </c>
      <c r="BJ4" s="1">
        <f>MAX($Q4)</f>
        <v>0</v>
      </c>
      <c r="BK4" s="1"/>
    </row>
    <row r="5" spans="1:63">
      <c r="A5" s="1"/>
      <c r="B5" s="1">
        <f>AVERAGE(Instances!B23:Instances!B32)</f>
        <v>0</v>
      </c>
      <c r="C5" s="1">
        <f>AVERAGE(Instances!C23:Instances!C32)</f>
        <v>0</v>
      </c>
      <c r="D5" s="1">
        <f>AVERAGE(Instances!D23:Instances!D32)</f>
        <v>0</v>
      </c>
      <c r="E5" s="1">
        <f>AVERAGE(Instances!E23:Instances!E32)</f>
        <v>0</v>
      </c>
      <c r="F5" s="1">
        <f>AVERAGE(Instances!F23:Instances!F32)</f>
        <v>0</v>
      </c>
      <c r="G5" s="1">
        <f>AVERAGE(Instances!G23:Instances!G32)</f>
        <v>0</v>
      </c>
      <c r="H5" s="1">
        <f>AVERAGE(Instances!H23:Instances!H32)</f>
        <v>0</v>
      </c>
      <c r="I5" s="1">
        <f>AVERAGE(Instances!I23:Instances!I32)</f>
        <v>0</v>
      </c>
      <c r="J5" s="1">
        <f>AVERAGE(Instances!J23:Instances!J32)</f>
        <v>0</v>
      </c>
      <c r="K5" s="1">
        <f>AVERAGE(Instances!K23:Instances!K32)</f>
        <v>0</v>
      </c>
      <c r="L5" s="1"/>
      <c r="M5" s="1">
        <f>AVERAGE(Instances!M23:Instances!M32)</f>
        <v>0</v>
      </c>
      <c r="N5" s="1">
        <f>AVERAGE(Instances!N23:Instances!N32)</f>
        <v>0</v>
      </c>
      <c r="O5" s="1"/>
      <c r="P5" s="1">
        <f>AVERAGE(Instances!P23:Instances!P32)</f>
        <v>0</v>
      </c>
      <c r="Q5" s="1">
        <f>SUM(Instances!Q23:Instances!Q32)</f>
        <v>0</v>
      </c>
      <c r="R5" s="1">
        <f>AVERAGE(Instances!R23:Instances!R32)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1:63">
      <c r="A7" s="1" t="s">
        <v>10</v>
      </c>
      <c r="B7" s="1">
        <f>SUM(B$3:B$5)</f>
        <v>0</v>
      </c>
      <c r="C7" s="1">
        <f>SUM(C$3:C$5)</f>
        <v>0</v>
      </c>
      <c r="D7" s="1">
        <f>SUM(D$3:D$5)</f>
        <v>0</v>
      </c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>
        <f>SUM(K$3:K$5)</f>
        <v>0</v>
      </c>
      <c r="L7" s="1"/>
      <c r="M7" s="1">
        <f>SUM(M$3:M$5)</f>
        <v>0</v>
      </c>
      <c r="N7" s="1">
        <f>SUM(N$3:N$5)</f>
        <v>0</v>
      </c>
      <c r="O7" s="1"/>
      <c r="P7" s="1">
        <f>SUM(P$3:P$5)</f>
        <v>0</v>
      </c>
      <c r="Q7" s="1">
        <f>SUM(Q$3:Q$5)</f>
        <v>0</v>
      </c>
      <c r="R7" s="1">
        <f>SUM(R$3:R$5)</f>
        <v>0</v>
      </c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>
        <f>SUM(Y$3:Y$5)</f>
        <v>0</v>
      </c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>
        <f>SUM(AE$3:AE$5)</f>
        <v>0</v>
      </c>
      <c r="AF7" s="1">
        <f>SUM(AF$3:AF$5)</f>
        <v>0</v>
      </c>
      <c r="AG7" s="1">
        <f>SUM(AG$3:AG$5)</f>
        <v>0</v>
      </c>
      <c r="AH7" s="1">
        <f>SUM(AH$3:AH$5)</f>
        <v>0</v>
      </c>
      <c r="AI7" s="1">
        <f>SUM(AI$3:AI$5)</f>
        <v>0</v>
      </c>
      <c r="AJ7" s="1">
        <f>SUM(AJ$3:AJ$5)</f>
        <v>0</v>
      </c>
      <c r="AK7" s="1">
        <f>SUM(AK$3:AK$5)</f>
        <v>0</v>
      </c>
      <c r="AL7" s="1">
        <f>SUM(AL$3:AL$5)</f>
        <v>0</v>
      </c>
      <c r="AM7" s="1">
        <f>SUM(AM$3:AM$5)</f>
        <v>0</v>
      </c>
      <c r="AN7" s="1">
        <f>SUM(AN$3:AN$5)</f>
        <v>0</v>
      </c>
      <c r="AO7" s="1">
        <f>SUM(AO$3:AO$5)</f>
        <v>0</v>
      </c>
      <c r="AP7" s="1">
        <f>SUM(AP$3:AP$5)</f>
        <v>0</v>
      </c>
      <c r="AQ7" s="1">
        <f>SUM(AQ$3:AQ$5)</f>
        <v>0</v>
      </c>
      <c r="AR7" s="1">
        <f>SUM(AR$3:AR$5)</f>
        <v>0</v>
      </c>
      <c r="AS7" s="1">
        <f>SUM(AS$3:AS$5)</f>
        <v>0</v>
      </c>
      <c r="AT7" s="1">
        <f>SUM(AT$3:AT$5)</f>
        <v>0</v>
      </c>
      <c r="AU7" s="1">
        <f>SUM(AU$3:AU$5)</f>
        <v>0</v>
      </c>
      <c r="AV7" s="1">
        <f>SUM(AV$3:AV$5)</f>
        <v>0</v>
      </c>
      <c r="AW7" s="1">
        <f>SUM(AW$3:AW$5)</f>
        <v>0</v>
      </c>
      <c r="AX7" s="1">
        <f>SUM(AX$3:AX$5)</f>
        <v>0</v>
      </c>
      <c r="AY7" s="1">
        <f>SUM(AY$3:AY$5)</f>
        <v>0</v>
      </c>
      <c r="AZ7" s="1">
        <f>SUM(AZ$3:AZ$5)</f>
        <v>0</v>
      </c>
      <c r="BA7" s="1">
        <f>SUM(BA$3:BA$5)</f>
        <v>0</v>
      </c>
      <c r="BB7" s="1">
        <f>SUM(BB$3:BB$5)</f>
        <v>0</v>
      </c>
      <c r="BC7" s="1">
        <f>SUM(BC$3:BC$5)</f>
        <v>0</v>
      </c>
      <c r="BD7" s="1">
        <f>SUM(BD$3:BD$5)</f>
        <v>0</v>
      </c>
      <c r="BE7" s="1">
        <f>SUM(BE$3:BE$5)</f>
        <v>0</v>
      </c>
      <c r="BF7" s="1">
        <f>SUM(BF$3:BF$5)</f>
        <v>0</v>
      </c>
      <c r="BG7" s="1">
        <f>SUM(BG$3:BG$5)</f>
        <v>0</v>
      </c>
      <c r="BH7" s="1">
        <f>SUM(BH$3:BH$5)</f>
        <v>0</v>
      </c>
      <c r="BI7" s="1">
        <f>SUM(BI$3:BI$5)</f>
        <v>0</v>
      </c>
      <c r="BJ7" s="1">
        <f>SUM(BJ$3:BJ$5)</f>
        <v>0</v>
      </c>
      <c r="BK7" s="1">
        <f>SUM(BK$3:BK$5)</f>
        <v>0</v>
      </c>
    </row>
    <row r="8" spans="1:63">
      <c r="A8" s="1" t="s">
        <v>11</v>
      </c>
      <c r="B8" s="1">
        <f>AVERAGE(B$3:B$5)</f>
        <v>0</v>
      </c>
      <c r="C8" s="1">
        <f>AVERAGE(C$3:C$5)</f>
        <v>0</v>
      </c>
      <c r="D8" s="1">
        <f>AVERAGE(D$3:D$5)</f>
        <v>0</v>
      </c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>
        <f>AVERAGE(K$3:K$5)</f>
        <v>0</v>
      </c>
      <c r="L8" s="1"/>
      <c r="M8" s="1">
        <f>AVERAGE(M$3:M$5)</f>
        <v>0</v>
      </c>
      <c r="N8" s="1">
        <f>AVERAGE(N$3:N$5)</f>
        <v>0</v>
      </c>
      <c r="O8" s="1"/>
      <c r="P8" s="1">
        <f>AVERAGE(P$3:P$5)</f>
        <v>0</v>
      </c>
      <c r="Q8" s="1">
        <f>AVERAGE(Q$3:Q$5)</f>
        <v>0</v>
      </c>
      <c r="R8" s="1">
        <f>AVERAGE(R$3:R$5)</f>
        <v>0</v>
      </c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>
        <f>AVERAGE(Y$3:Y$5)</f>
        <v>0</v>
      </c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>
        <f>AVERAGE(AE$3:AE$5)</f>
        <v>0</v>
      </c>
      <c r="AF8" s="1">
        <f>AVERAGE(AF$3:AF$5)</f>
        <v>0</v>
      </c>
      <c r="AG8" s="1">
        <f>AVERAGE(AG$3:AG$5)</f>
        <v>0</v>
      </c>
      <c r="AH8" s="1">
        <f>AVERAGE(AH$3:AH$5)</f>
        <v>0</v>
      </c>
      <c r="AI8" s="1">
        <f>AVERAGE(AI$3:AI$5)</f>
        <v>0</v>
      </c>
      <c r="AJ8" s="1">
        <f>AVERAGE(AJ$3:AJ$5)</f>
        <v>0</v>
      </c>
      <c r="AK8" s="1">
        <f>AVERAGE(AK$3:AK$5)</f>
        <v>0</v>
      </c>
      <c r="AL8" s="1">
        <f>AVERAGE(AL$3:AL$5)</f>
        <v>0</v>
      </c>
      <c r="AM8" s="1">
        <f>AVERAGE(AM$3:AM$5)</f>
        <v>0</v>
      </c>
      <c r="AN8" s="1">
        <f>AVERAGE(AN$3:AN$5)</f>
        <v>0</v>
      </c>
      <c r="AO8" s="1">
        <f>AVERAGE(AO$3:AO$5)</f>
        <v>0</v>
      </c>
      <c r="AP8" s="1">
        <f>AVERAGE(AP$3:AP$5)</f>
        <v>0</v>
      </c>
      <c r="AQ8" s="1">
        <f>AVERAGE(AQ$3:AQ$5)</f>
        <v>0</v>
      </c>
      <c r="AR8" s="1">
        <f>AVERAGE(AR$3:AR$5)</f>
        <v>0</v>
      </c>
      <c r="AS8" s="1">
        <f>AVERAGE(AS$3:AS$5)</f>
        <v>0</v>
      </c>
      <c r="AT8" s="1">
        <f>AVERAGE(AT$3:AT$5)</f>
        <v>0</v>
      </c>
      <c r="AU8" s="1">
        <f>AVERAGE(AU$3:AU$5)</f>
        <v>0</v>
      </c>
      <c r="AV8" s="1">
        <f>AVERAGE(AV$3:AV$5)</f>
        <v>0</v>
      </c>
      <c r="AW8" s="1">
        <f>AVERAGE(AW$3:AW$5)</f>
        <v>0</v>
      </c>
      <c r="AX8" s="1">
        <f>AVERAGE(AX$3:AX$5)</f>
        <v>0</v>
      </c>
      <c r="AY8" s="1">
        <f>AVERAGE(AY$3:AY$5)</f>
        <v>0</v>
      </c>
      <c r="AZ8" s="1">
        <f>AVERAGE(AZ$3:AZ$5)</f>
        <v>0</v>
      </c>
      <c r="BA8" s="1">
        <f>AVERAGE(BA$3:BA$5)</f>
        <v>0</v>
      </c>
      <c r="BB8" s="1">
        <f>AVERAGE(BB$3:BB$5)</f>
        <v>0</v>
      </c>
      <c r="BC8" s="1">
        <f>AVERAGE(BC$3:BC$5)</f>
        <v>0</v>
      </c>
      <c r="BD8" s="1">
        <f>AVERAGE(BD$3:BD$5)</f>
        <v>0</v>
      </c>
      <c r="BE8" s="1">
        <f>AVERAGE(BE$3:BE$5)</f>
        <v>0</v>
      </c>
      <c r="BF8" s="1">
        <f>AVERAGE(BF$3:BF$5)</f>
        <v>0</v>
      </c>
      <c r="BG8" s="1">
        <f>AVERAGE(BG$3:BG$5)</f>
        <v>0</v>
      </c>
      <c r="BH8" s="1">
        <f>AVERAGE(BH$3:BH$5)</f>
        <v>0</v>
      </c>
      <c r="BI8" s="1">
        <f>AVERAGE(BI$3:BI$5)</f>
        <v>0</v>
      </c>
      <c r="BJ8" s="1">
        <f>AVERAGE(BJ$3:BJ$5)</f>
        <v>0</v>
      </c>
      <c r="BK8" s="1">
        <f>AVERAGE(BK$3:BK$5)</f>
        <v>0</v>
      </c>
    </row>
    <row r="9" spans="1:63">
      <c r="A9" s="1" t="s">
        <v>12</v>
      </c>
      <c r="B9" s="1">
        <f>STDEV(B$3:B$5)</f>
        <v>0</v>
      </c>
      <c r="C9" s="1">
        <f>STDEV(C$3:C$5)</f>
        <v>0</v>
      </c>
      <c r="D9" s="1">
        <f>STDEV(D$3:D$5)</f>
        <v>0</v>
      </c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>
        <f>STDEV(K$3:K$5)</f>
        <v>0</v>
      </c>
      <c r="L9" s="1"/>
      <c r="M9" s="1">
        <f>STDEV(M$3:M$5)</f>
        <v>0</v>
      </c>
      <c r="N9" s="1">
        <f>STDEV(N$3:N$5)</f>
        <v>0</v>
      </c>
      <c r="O9" s="1"/>
      <c r="P9" s="1">
        <f>STDEV(P$3:P$5)</f>
        <v>0</v>
      </c>
      <c r="Q9" s="1">
        <f>STDEV(Q$3:Q$5)</f>
        <v>0</v>
      </c>
      <c r="R9" s="1">
        <f>STDEV(R$3:R$5)</f>
        <v>0</v>
      </c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>
        <f>STDEV(Y$3:Y$5)</f>
        <v>0</v>
      </c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>
        <f>STDEV(AE$3:AE$5)</f>
        <v>0</v>
      </c>
      <c r="AF9" s="1">
        <f>STDEV(AF$3:AF$5)</f>
        <v>0</v>
      </c>
      <c r="AG9" s="1">
        <f>STDEV(AG$3:AG$5)</f>
        <v>0</v>
      </c>
      <c r="AH9" s="1">
        <f>STDEV(AH$3:AH$5)</f>
        <v>0</v>
      </c>
      <c r="AI9" s="1">
        <f>STDEV(AI$3:AI$5)</f>
        <v>0</v>
      </c>
      <c r="AJ9" s="1">
        <f>STDEV(AJ$3:AJ$5)</f>
        <v>0</v>
      </c>
      <c r="AK9" s="1">
        <f>STDEV(AK$3:AK$5)</f>
        <v>0</v>
      </c>
      <c r="AL9" s="1">
        <f>STDEV(AL$3:AL$5)</f>
        <v>0</v>
      </c>
      <c r="AM9" s="1">
        <f>STDEV(AM$3:AM$5)</f>
        <v>0</v>
      </c>
      <c r="AN9" s="1">
        <f>STDEV(AN$3:AN$5)</f>
        <v>0</v>
      </c>
      <c r="AO9" s="1">
        <f>STDEV(AO$3:AO$5)</f>
        <v>0</v>
      </c>
      <c r="AP9" s="1">
        <f>STDEV(AP$3:AP$5)</f>
        <v>0</v>
      </c>
      <c r="AQ9" s="1">
        <f>STDEV(AQ$3:AQ$5)</f>
        <v>0</v>
      </c>
      <c r="AR9" s="1">
        <f>STDEV(AR$3:AR$5)</f>
        <v>0</v>
      </c>
      <c r="AS9" s="1">
        <f>STDEV(AS$3:AS$5)</f>
        <v>0</v>
      </c>
      <c r="AT9" s="1">
        <f>STDEV(AT$3:AT$5)</f>
        <v>0</v>
      </c>
      <c r="AU9" s="1">
        <f>STDEV(AU$3:AU$5)</f>
        <v>0</v>
      </c>
      <c r="AV9" s="1">
        <f>STDEV(AV$3:AV$5)</f>
        <v>0</v>
      </c>
      <c r="AW9" s="1">
        <f>STDEV(AW$3:AW$5)</f>
        <v>0</v>
      </c>
      <c r="AX9" s="1">
        <f>STDEV(AX$3:AX$5)</f>
        <v>0</v>
      </c>
      <c r="AY9" s="1">
        <f>STDEV(AY$3:AY$5)</f>
        <v>0</v>
      </c>
      <c r="AZ9" s="1">
        <f>STDEV(AZ$3:AZ$5)</f>
        <v>0</v>
      </c>
      <c r="BA9" s="1">
        <f>STDEV(BA$3:BA$5)</f>
        <v>0</v>
      </c>
      <c r="BB9" s="1">
        <f>STDEV(BB$3:BB$5)</f>
        <v>0</v>
      </c>
      <c r="BC9" s="1">
        <f>STDEV(BC$3:BC$5)</f>
        <v>0</v>
      </c>
      <c r="BD9" s="1">
        <f>STDEV(BD$3:BD$5)</f>
        <v>0</v>
      </c>
      <c r="BE9" s="1">
        <f>STDEV(BE$3:BE$5)</f>
        <v>0</v>
      </c>
      <c r="BF9" s="1">
        <f>STDEV(BF$3:BF$5)</f>
        <v>0</v>
      </c>
      <c r="BG9" s="1">
        <f>STDEV(BG$3:BG$5)</f>
        <v>0</v>
      </c>
      <c r="BH9" s="1">
        <f>STDEV(BH$3:BH$5)</f>
        <v>0</v>
      </c>
      <c r="BI9" s="1">
        <f>STDEV(BI$3:BI$5)</f>
        <v>0</v>
      </c>
      <c r="BJ9" s="1">
        <f>STDEV(BJ$3:BJ$5)</f>
        <v>0</v>
      </c>
      <c r="BK9" s="1">
        <f>STDEV(BK$3:BK$5)</f>
        <v>0</v>
      </c>
    </row>
    <row r="10" spans="1:63">
      <c r="A10" s="1" t="s">
        <v>13</v>
      </c>
      <c r="B10" s="1">
        <f>SUMPRODUCT(--(B$3:B$5-$S$3:$S$5)^2)^0.5</f>
        <v>0</v>
      </c>
      <c r="C10" s="1">
        <f>SUMPRODUCT(--(C$3:C$5-$T$3:$T$5)^2)^0.5</f>
        <v>0</v>
      </c>
      <c r="D10" s="1">
        <f>SUMPRODUCT(--(D$3:D$5-$U$3:$U$5)^2)^0.5</f>
        <v>0</v>
      </c>
      <c r="E10" s="1">
        <f>SUMPRODUCT(--(E$3:E$5-$V$3:$V$5)^2)^0.5</f>
        <v>0</v>
      </c>
      <c r="F10" s="1">
        <f>SUMPRODUCT(--(F$3:F$5-$W$3:$W$5)^2)^0.5</f>
        <v>0</v>
      </c>
      <c r="G10" s="1">
        <f>SUMPRODUCT(--(G$3:G$5-$X$3:$X$5)^2)^0.5</f>
        <v>0</v>
      </c>
      <c r="H10" s="1">
        <f>SUMPRODUCT(--(H$3:H$5-$Y$3:$Y$5)^2)^0.5</f>
        <v>0</v>
      </c>
      <c r="I10" s="1">
        <f>SUMPRODUCT(--(I$3:I$5-$Z$3:$Z$5)^2)^0.5</f>
        <v>0</v>
      </c>
      <c r="J10" s="1">
        <f>SUMPRODUCT(--(J$3:J$5-$AA$3:$AA$5)^2)^0.5</f>
        <v>0</v>
      </c>
      <c r="K10" s="1">
        <f>SUMPRODUCT(--(K$3:K$5-$AB$3:$AB$5)^2)^0.5</f>
        <v>0</v>
      </c>
      <c r="L10" s="1"/>
      <c r="M10" s="1">
        <f>SUMPRODUCT(--(M$3:M$5-$AC$3:$AC$5)^2)^0.5</f>
        <v>0</v>
      </c>
      <c r="N10" s="1">
        <f>SUMPRODUCT(--(N$3:N$5-$AD$3:$AD$5)^2)^0.5</f>
        <v>0</v>
      </c>
      <c r="O10" s="1"/>
      <c r="P10" s="1">
        <f>SUMPRODUCT(--(P$3:P$5-$AE$3:$AE$5)^2)^0.5</f>
        <v>0</v>
      </c>
      <c r="Q10" s="1">
        <f>SUMPRODUCT(--(Q$3:Q$5-$AF$3:$AF$5)^2)^0.5</f>
        <v>0</v>
      </c>
      <c r="R10" s="1">
        <f>SUMPRODUCT(--(R$3:R$5-$AG$3:$AG$5)^2)^0.5</f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1:63">
      <c r="A11" s="1" t="s">
        <v>14</v>
      </c>
      <c r="B11" s="1">
        <f>SUMPRODUCT(NOT(ISBLANK(B$3:B$5))*(B$3:B$5=$S$3:$S$5))</f>
        <v>0</v>
      </c>
      <c r="C11" s="1">
        <f>SUMPRODUCT(NOT(ISBLANK(C$3:C$5))*(C$3:C$5=$T$3:$T$5))</f>
        <v>0</v>
      </c>
      <c r="D11" s="1">
        <f>SUMPRODUCT(NOT(ISBLANK(D$3:D$5))*(D$3:D$5=$U$3:$U$5))</f>
        <v>0</v>
      </c>
      <c r="E11" s="1">
        <f>SUMPRODUCT(NOT(ISBLANK(E$3:E$5))*(E$3:E$5=$V$3:$V$5))</f>
        <v>0</v>
      </c>
      <c r="F11" s="1">
        <f>SUMPRODUCT(NOT(ISBLANK(F$3:F$5))*(F$3:F$5=$W$3:$W$5))</f>
        <v>0</v>
      </c>
      <c r="G11" s="1">
        <f>SUMPRODUCT(NOT(ISBLANK(G$3:G$5))*(G$3:G$5=$X$3:$X$5))</f>
        <v>0</v>
      </c>
      <c r="H11" s="1">
        <f>SUMPRODUCT(NOT(ISBLANK(H$3:H$5))*(H$3:H$5=$Y$3:$Y$5))</f>
        <v>0</v>
      </c>
      <c r="I11" s="1">
        <f>SUMPRODUCT(NOT(ISBLANK(I$3:I$5))*(I$3:I$5=$Z$3:$Z$5))</f>
        <v>0</v>
      </c>
      <c r="J11" s="1">
        <f>SUMPRODUCT(NOT(ISBLANK(J$3:J$5))*(J$3:J$5=$AA$3:$AA$5))</f>
        <v>0</v>
      </c>
      <c r="K11" s="1">
        <f>SUMPRODUCT(NOT(ISBLANK(K$3:K$5))*(K$3:K$5=$AB$3:$AB$5))</f>
        <v>0</v>
      </c>
      <c r="L11" s="1"/>
      <c r="M11" s="1">
        <f>SUMPRODUCT(NOT(ISBLANK(M$3:M$5))*(M$3:M$5=$AC$3:$AC$5))</f>
        <v>0</v>
      </c>
      <c r="N11" s="1">
        <f>SUMPRODUCT(NOT(ISBLANK(N$3:N$5))*(N$3:N$5=$AD$3:$AD$5))</f>
        <v>0</v>
      </c>
      <c r="O11" s="1"/>
      <c r="P11" s="1">
        <f>SUMPRODUCT(NOT(ISBLANK(P$3:P$5))*(P$3:P$5=$AE$3:$AE$5))</f>
        <v>0</v>
      </c>
      <c r="Q11" s="1">
        <f>SUMPRODUCT(NOT(ISBLANK(Q$3:Q$5))*(Q$3:Q$5=$AF$3:$AF$5))</f>
        <v>0</v>
      </c>
      <c r="R11" s="1">
        <f>SUMPRODUCT(NOT(ISBLANK(R$3:R$5))*(R$3:R$5=$AG$3:$AG$5))</f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</row>
    <row r="12" spans="1:63">
      <c r="A12" s="1" t="s">
        <v>15</v>
      </c>
      <c r="B12" s="1">
        <f>SUMPRODUCT(NOT(ISBLANK(B$3:B$5))*(B$3:B$5&lt;$AH$3:$AH$5))</f>
        <v>0</v>
      </c>
      <c r="C12" s="1">
        <f>SUMPRODUCT(NOT(ISBLANK(C$3:C$5))*(C$3:C$5&lt;$AI$3:$AI$5))</f>
        <v>0</v>
      </c>
      <c r="D12" s="1">
        <f>SUMPRODUCT(NOT(ISBLANK(D$3:D$5))*(D$3:D$5&lt;$AJ$3:$AJ$5))</f>
        <v>0</v>
      </c>
      <c r="E12" s="1">
        <f>SUMPRODUCT(NOT(ISBLANK(E$3:E$5))*(E$3:E$5&lt;$AK$3:$AK$5))</f>
        <v>0</v>
      </c>
      <c r="F12" s="1">
        <f>SUMPRODUCT(NOT(ISBLANK(F$3:F$5))*(F$3:F$5&lt;$AL$3:$AL$5))</f>
        <v>0</v>
      </c>
      <c r="G12" s="1">
        <f>SUMPRODUCT(NOT(ISBLANK(G$3:G$5))*(G$3:G$5&lt;$AM$3:$AM$5))</f>
        <v>0</v>
      </c>
      <c r="H12" s="1">
        <f>SUMPRODUCT(NOT(ISBLANK(H$3:H$5))*(H$3:H$5&lt;$AN$3:$AN$5))</f>
        <v>0</v>
      </c>
      <c r="I12" s="1">
        <f>SUMPRODUCT(NOT(ISBLANK(I$3:I$5))*(I$3:I$5&lt;$AO$3:$AO$5))</f>
        <v>0</v>
      </c>
      <c r="J12" s="1">
        <f>SUMPRODUCT(NOT(ISBLANK(J$3:J$5))*(J$3:J$5&lt;$AP$3:$AP$5))</f>
        <v>0</v>
      </c>
      <c r="K12" s="1">
        <f>SUMPRODUCT(NOT(ISBLANK(K$3:K$5))*(K$3:K$5&lt;$AQ$3:$AQ$5))</f>
        <v>0</v>
      </c>
      <c r="L12" s="1"/>
      <c r="M12" s="1">
        <f>SUMPRODUCT(NOT(ISBLANK(M$3:M$5))*(M$3:M$5&lt;$AR$3:$AR$5))</f>
        <v>0</v>
      </c>
      <c r="N12" s="1">
        <f>SUMPRODUCT(NOT(ISBLANK(N$3:N$5))*(N$3:N$5&lt;$AS$3:$AS$5))</f>
        <v>0</v>
      </c>
      <c r="O12" s="1"/>
      <c r="P12" s="1">
        <f>SUMPRODUCT(NOT(ISBLANK(P$3:P$5))*(P$3:P$5&lt;$AT$3:$AT$5))</f>
        <v>0</v>
      </c>
      <c r="Q12" s="1">
        <f>SUMPRODUCT(NOT(ISBLANK(Q$3:Q$5))*(Q$3:Q$5&lt;$AU$3:$AU$5))</f>
        <v>0</v>
      </c>
      <c r="R12" s="1">
        <f>SUMPRODUCT(NOT(ISBLANK(R$3:R$5))*(R$3:R$5&lt;$AV$3:$AV$5))</f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1:63">
      <c r="A13" s="1" t="s">
        <v>16</v>
      </c>
      <c r="B13" s="1">
        <f>SUMPRODUCT((NOT(ISBLANK(B$3:B$5))*(B$3:B$5&gt;$AH$3:$AH$5))+ISBLANK(B$3:B$5))</f>
        <v>0</v>
      </c>
      <c r="C13" s="1">
        <f>SUMPRODUCT((NOT(ISBLANK(C$3:C$5))*(C$3:C$5&gt;$AI$3:$AI$5))+ISBLANK(C$3:C$5))</f>
        <v>0</v>
      </c>
      <c r="D13" s="1">
        <f>SUMPRODUCT((NOT(ISBLANK(D$3:D$5))*(D$3:D$5&gt;$AJ$3:$AJ$5))+ISBLANK(D$3:D$5))</f>
        <v>0</v>
      </c>
      <c r="E13" s="1">
        <f>SUMPRODUCT((NOT(ISBLANK(E$3:E$5))*(E$3:E$5&gt;$AK$3:$AK$5))+ISBLANK(E$3:E$5))</f>
        <v>0</v>
      </c>
      <c r="F13" s="1">
        <f>SUMPRODUCT((NOT(ISBLANK(F$3:F$5))*(F$3:F$5&gt;$AL$3:$AL$5))+ISBLANK(F$3:F$5))</f>
        <v>0</v>
      </c>
      <c r="G13" s="1">
        <f>SUMPRODUCT((NOT(ISBLANK(G$3:G$5))*(G$3:G$5&gt;$AM$3:$AM$5))+ISBLANK(G$3:G$5))</f>
        <v>0</v>
      </c>
      <c r="H13" s="1">
        <f>SUMPRODUCT((NOT(ISBLANK(H$3:H$5))*(H$3:H$5&gt;$AN$3:$AN$5))+ISBLANK(H$3:H$5))</f>
        <v>0</v>
      </c>
      <c r="I13" s="1">
        <f>SUMPRODUCT((NOT(ISBLANK(I$3:I$5))*(I$3:I$5&gt;$AO$3:$AO$5))+ISBLANK(I$3:I$5))</f>
        <v>0</v>
      </c>
      <c r="J13" s="1">
        <f>SUMPRODUCT((NOT(ISBLANK(J$3:J$5))*(J$3:J$5&gt;$AP$3:$AP$5))+ISBLANK(J$3:J$5))</f>
        <v>0</v>
      </c>
      <c r="K13" s="1">
        <f>SUMPRODUCT((NOT(ISBLANK(K$3:K$5))*(K$3:K$5&gt;$AQ$3:$AQ$5))+ISBLANK(K$3:K$5))</f>
        <v>0</v>
      </c>
      <c r="L13" s="1"/>
      <c r="M13" s="1">
        <f>SUMPRODUCT((NOT(ISBLANK(M$3:M$5))*(M$3:M$5&gt;$AR$3:$AR$5))+ISBLANK(M$3:M$5))</f>
        <v>0</v>
      </c>
      <c r="N13" s="1">
        <f>SUMPRODUCT((NOT(ISBLANK(N$3:N$5))*(N$3:N$5&gt;$AS$3:$AS$5))+ISBLANK(N$3:N$5))</f>
        <v>0</v>
      </c>
      <c r="O13" s="1"/>
      <c r="P13" s="1">
        <f>SUMPRODUCT((NOT(ISBLANK(P$3:P$5))*(P$3:P$5&gt;$AT$3:$AT$5))+ISBLANK(P$3:P$5))</f>
        <v>0</v>
      </c>
      <c r="Q13" s="1">
        <f>SUMPRODUCT((NOT(ISBLANK(Q$3:Q$5))*(Q$3:Q$5&gt;$AU$3:$AU$5))+ISBLANK(Q$3:Q$5))</f>
        <v>0</v>
      </c>
      <c r="R13" s="1">
        <f>SUMPRODUCT((NOT(ISBLANK(R$3:R$5))*(R$3:R$5&gt;$AV$3:$AV$5))+ISBLANK(R$3:R$5))</f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17</v>
      </c>
      <c r="B14" s="1">
        <f>SUMPRODUCT((NOT(ISBLANK(B$3:B$5))*(B$3:B$5=$AW$3:$AW$5))+ISBLANK(B$3:B$5))</f>
        <v>0</v>
      </c>
      <c r="C14" s="1">
        <f>SUMPRODUCT((NOT(ISBLANK(C$3:C$5))*(C$3:C$5=$AX$3:$AX$5))+ISBLANK(C$3:C$5))</f>
        <v>0</v>
      </c>
      <c r="D14" s="1">
        <f>SUMPRODUCT((NOT(ISBLANK(D$3:D$5))*(D$3:D$5=$AY$3:$AY$5))+ISBLANK(D$3:D$5))</f>
        <v>0</v>
      </c>
      <c r="E14" s="1">
        <f>SUMPRODUCT((NOT(ISBLANK(E$3:E$5))*(E$3:E$5=$AZ$3:$AZ$5))+ISBLANK(E$3:E$5))</f>
        <v>0</v>
      </c>
      <c r="F14" s="1">
        <f>SUMPRODUCT((NOT(ISBLANK(F$3:F$5))*(F$3:F$5=$BA$3:$BA$5))+ISBLANK(F$3:F$5))</f>
        <v>0</v>
      </c>
      <c r="G14" s="1">
        <f>SUMPRODUCT((NOT(ISBLANK(G$3:G$5))*(G$3:G$5=$BB$3:$BB$5))+ISBLANK(G$3:G$5))</f>
        <v>0</v>
      </c>
      <c r="H14" s="1">
        <f>SUMPRODUCT((NOT(ISBLANK(H$3:H$5))*(H$3:H$5=$BC$3:$BC$5))+ISBLANK(H$3:H$5))</f>
        <v>0</v>
      </c>
      <c r="I14" s="1">
        <f>SUMPRODUCT((NOT(ISBLANK(I$3:I$5))*(I$3:I$5=$BD$3:$BD$5))+ISBLANK(I$3:I$5))</f>
        <v>0</v>
      </c>
      <c r="J14" s="1">
        <f>SUMPRODUCT((NOT(ISBLANK(J$3:J$5))*(J$3:J$5=$BE$3:$BE$5))+ISBLANK(J$3:J$5))</f>
        <v>0</v>
      </c>
      <c r="K14" s="1">
        <f>SUMPRODUCT((NOT(ISBLANK(K$3:K$5))*(K$3:K$5=$BF$3:$BF$5))+ISBLANK(K$3:K$5))</f>
        <v>0</v>
      </c>
      <c r="L14" s="1"/>
      <c r="M14" s="1">
        <f>SUMPRODUCT((NOT(ISBLANK(M$3:M$5))*(M$3:M$5=$BG$3:$BG$5))+ISBLANK(M$3:M$5))</f>
        <v>0</v>
      </c>
      <c r="N14" s="1">
        <f>SUMPRODUCT((NOT(ISBLANK(N$3:N$5))*(N$3:N$5=$BH$3:$BH$5))+ISBLANK(N$3:N$5))</f>
        <v>0</v>
      </c>
      <c r="O14" s="1"/>
      <c r="P14" s="1">
        <f>SUMPRODUCT((NOT(ISBLANK(P$3:P$5))*(P$3:P$5=$BI$3:$BI$5))+ISBLANK(P$3:P$5))</f>
        <v>0</v>
      </c>
      <c r="Q14" s="1">
        <f>SUMPRODUCT((NOT(ISBLANK(Q$3:Q$5))*(Q$3:Q$5=$BJ$3:$BJ$5))+ISBLANK(Q$3:Q$5))</f>
        <v>0</v>
      </c>
      <c r="R14" s="1">
        <f>SUMPRODUCT((NOT(ISBLANK(R$3:R$5))*(R$3:R$5=$BK$3:$BK$5))+ISBLANK(R$3:R$5))</f>
        <v>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2026-07-14T14:16:44Z</dcterms:created>
  <dcterms:modified xsi:type="dcterms:W3CDTF">2026-07-14T14:16:44Z</dcterms:modified>
</cp:coreProperties>
</file>