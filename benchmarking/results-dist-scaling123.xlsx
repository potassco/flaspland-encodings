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<sst xmlns="http://schemas.openxmlformats.org/spreadsheetml/2006/main" count="408" uniqueCount="54">
  <si>
    <t>/Level_0</t>
  </si>
  <si>
    <t>/Level_1</t>
  </si>
  <si>
    <t>/Level_2</t>
  </si>
  <si>
    <t>/Level_3</t>
  </si>
  <si>
    <t>/Level_4</t>
  </si>
  <si>
    <t>/Level_5</t>
  </si>
  <si>
    <t>/Level_6</t>
  </si>
  <si>
    <t>/Level_7</t>
  </si>
  <si>
    <t>/Level_8</t>
  </si>
  <si>
    <t>/Level_9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</si>
  <si>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</si>
  <si>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</si>
  <si>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</si>
  <si>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</si>
  <si>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</si>
  <si>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</si>
  <si>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</si>
  <si>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</si>
  <si>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</si>
  <si>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</si>
  <si>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</si>
  <si>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</si>
  <si>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</si>
  <si>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</si>
  <si>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</si>
  <si>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</si>
  <si>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</si>
  <si>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</si>
  <si>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</si>
  <si>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</si>
  <si>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out of memory</t>
  </si>
  <si>
    <t>rules</t>
  </si>
  <si>
    <t>solving-time</t>
  </si>
  <si>
    <t>status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</si>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</sst>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(Helper!T5:T65)</c:f>
            </c:numRef>
          </c:xVal>
          <c:yVal>
            <c:numRef>
              <c:f>(Helper!S5:S65)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(Helper!Q5:Q65)</c:f>
            </c:numRef>
          </c:xVal>
          <c:yVal>
            <c:numRef>
              <c:f>(Helper!R5:R65)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(Helper!R5:R65)</c:f>
            </c:numRef>
          </c:xVal>
          <c:yVal>
            <c:numRef>
              <c:f>(Helper!Q5:Q65)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4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1" width="11.42578125" customWidth="1"/>
    <col min="12" max="12" width="14.140625" customWidth="1"/>
    <col min="13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31</v>
      </c>
      <c r="N2" s="1" t="s">
        <v>32</v>
      </c>
      <c r="O2" s="1" t="s">
        <v>33</v>
      </c>
      <c r="P2" s="1" t="s">
        <v>35</v>
      </c>
      <c r="Q2" s="1" t="s">
        <v>36</v>
      </c>
      <c r="R2" s="1" t="s">
        <v>37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31</v>
      </c>
      <c r="AD2" s="1" t="s">
        <v>32</v>
      </c>
      <c r="AE2" s="1" t="s">
        <v>35</v>
      </c>
      <c r="AF2" s="1" t="s">
        <v>36</v>
      </c>
      <c r="AG2" s="1" t="s">
        <v>37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31</v>
      </c>
      <c r="AS2" s="1" t="s">
        <v>32</v>
      </c>
      <c r="AT2" s="1" t="s">
        <v>35</v>
      </c>
      <c r="AU2" s="1" t="s">
        <v>36</v>
      </c>
      <c r="AV2" s="1" t="s">
        <v>37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31</v>
      </c>
      <c r="BH2" s="1" t="s">
        <v>32</v>
      </c>
      <c r="BI2" s="1" t="s">
        <v>35</v>
      </c>
      <c r="BJ2" s="1" t="s">
        <v>36</v>
      </c>
      <c r="BK2" s="1" t="s">
        <v>37</v>
      </c>
    </row>
    <row r="3" spans="1:63">
      <c r="A3" s="1" t="s">
        <v>0</v>
      </c>
      <c r="B3" s="1">
        <v>0</v>
      </c>
      <c r="C3" s="1">
        <v>0</v>
      </c>
      <c r="D3" s="1">
        <v>0</v>
      </c>
      <c r="E3" s="1">
        <v>0</v>
      </c>
      <c r="F3" s="1">
        <v>15006</v>
      </c>
      <c r="G3" s="1">
        <v>1</v>
      </c>
      <c r="H3" s="1">
        <v>0</v>
      </c>
      <c r="I3" s="1">
        <v>161.105</v>
      </c>
      <c r="J3" s="1">
        <v>3000</v>
      </c>
      <c r="K3" s="1">
        <v>0</v>
      </c>
      <c r="L3" s="1" t="s">
        <v>30</v>
      </c>
      <c r="M3" s="1">
        <v>0</v>
      </c>
      <c r="N3" s="1">
        <v>0</v>
      </c>
      <c r="O3" s="1" t="s">
        <v>34</v>
      </c>
      <c r="P3" s="1">
        <v>1500</v>
      </c>
      <c r="Q3" s="1">
        <v>1</v>
      </c>
      <c r="R3" s="1"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0</v>
      </c>
      <c r="C4" s="1">
        <v>0</v>
      </c>
      <c r="D4" s="1">
        <v>0</v>
      </c>
      <c r="E4" s="1">
        <v>0</v>
      </c>
      <c r="F4" s="1">
        <v>15006</v>
      </c>
      <c r="G4" s="1">
        <v>1</v>
      </c>
      <c r="H4" s="1">
        <v>0</v>
      </c>
      <c r="I4" s="1">
        <v>161.705</v>
      </c>
      <c r="J4" s="1">
        <v>3000</v>
      </c>
      <c r="K4" s="1">
        <v>0</v>
      </c>
      <c r="L4" s="1" t="s">
        <v>30</v>
      </c>
      <c r="M4" s="1">
        <v>0</v>
      </c>
      <c r="N4" s="1">
        <v>0</v>
      </c>
      <c r="O4" s="1" t="s">
        <v>34</v>
      </c>
      <c r="P4" s="1">
        <v>1500</v>
      </c>
      <c r="Q4" s="1">
        <v>1</v>
      </c>
      <c r="R4" s="1"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0</v>
      </c>
      <c r="C5" s="1">
        <v>0</v>
      </c>
      <c r="D5" s="1">
        <v>0</v>
      </c>
      <c r="E5" s="1">
        <v>0</v>
      </c>
      <c r="F5" s="1">
        <v>15008</v>
      </c>
      <c r="G5" s="1">
        <v>1</v>
      </c>
      <c r="H5" s="1">
        <v>0</v>
      </c>
      <c r="I5" s="1">
        <v>162.406</v>
      </c>
      <c r="J5" s="1">
        <v>3000</v>
      </c>
      <c r="K5" s="1">
        <v>0</v>
      </c>
      <c r="L5" s="1" t="s">
        <v>30</v>
      </c>
      <c r="M5" s="1">
        <v>0</v>
      </c>
      <c r="N5" s="1">
        <v>0</v>
      </c>
      <c r="O5" s="1" t="s">
        <v>34</v>
      </c>
      <c r="P5" s="1">
        <v>1500</v>
      </c>
      <c r="Q5" s="1">
        <v>1</v>
      </c>
      <c r="R5" s="1"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0</v>
      </c>
      <c r="C6" s="1">
        <v>0</v>
      </c>
      <c r="D6" s="1">
        <v>0</v>
      </c>
      <c r="E6" s="1">
        <v>0</v>
      </c>
      <c r="F6" s="1">
        <v>15012</v>
      </c>
      <c r="G6" s="1">
        <v>1</v>
      </c>
      <c r="H6" s="1">
        <v>0</v>
      </c>
      <c r="I6" s="1">
        <v>161.305</v>
      </c>
      <c r="J6" s="1">
        <v>3000</v>
      </c>
      <c r="K6" s="1">
        <v>0</v>
      </c>
      <c r="L6" s="1" t="s">
        <v>30</v>
      </c>
      <c r="M6" s="1">
        <v>0</v>
      </c>
      <c r="N6" s="1">
        <v>0</v>
      </c>
      <c r="O6" s="1" t="s">
        <v>34</v>
      </c>
      <c r="P6" s="1">
        <v>1500</v>
      </c>
      <c r="Q6" s="1">
        <v>1</v>
      </c>
      <c r="R6" s="1"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0</v>
      </c>
      <c r="C7" s="1">
        <v>0</v>
      </c>
      <c r="D7" s="1">
        <v>0</v>
      </c>
      <c r="E7" s="1">
        <v>0</v>
      </c>
      <c r="F7" s="1">
        <v>15005</v>
      </c>
      <c r="G7" s="1">
        <v>1</v>
      </c>
      <c r="H7" s="1">
        <v>0</v>
      </c>
      <c r="I7" s="1">
        <v>160.705</v>
      </c>
      <c r="J7" s="1">
        <v>3000</v>
      </c>
      <c r="K7" s="1">
        <v>0</v>
      </c>
      <c r="L7" s="1" t="s">
        <v>30</v>
      </c>
      <c r="M7" s="1">
        <v>0</v>
      </c>
      <c r="N7" s="1">
        <v>0</v>
      </c>
      <c r="O7" s="1" t="s">
        <v>34</v>
      </c>
      <c r="P7" s="1">
        <v>1500</v>
      </c>
      <c r="Q7" s="1">
        <v>1</v>
      </c>
      <c r="R7" s="1"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0</v>
      </c>
      <c r="C8" s="1">
        <v>0</v>
      </c>
      <c r="D8" s="1">
        <v>0</v>
      </c>
      <c r="E8" s="1">
        <v>0</v>
      </c>
      <c r="F8" s="1">
        <v>15011</v>
      </c>
      <c r="G8" s="1">
        <v>1</v>
      </c>
      <c r="H8" s="1">
        <v>0</v>
      </c>
      <c r="I8" s="1">
        <v>161.406</v>
      </c>
      <c r="J8" s="1">
        <v>3000</v>
      </c>
      <c r="K8" s="1">
        <v>0</v>
      </c>
      <c r="L8" s="1" t="s">
        <v>30</v>
      </c>
      <c r="M8" s="1">
        <v>0</v>
      </c>
      <c r="N8" s="1">
        <v>0</v>
      </c>
      <c r="O8" s="1" t="s">
        <v>34</v>
      </c>
      <c r="P8" s="1">
        <v>1500</v>
      </c>
      <c r="Q8" s="1">
        <v>1</v>
      </c>
      <c r="R8" s="1"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0</v>
      </c>
      <c r="C9" s="1">
        <v>0</v>
      </c>
      <c r="D9" s="1">
        <v>0</v>
      </c>
      <c r="E9" s="1">
        <v>0</v>
      </c>
      <c r="F9" s="1">
        <v>15007</v>
      </c>
      <c r="G9" s="1">
        <v>1</v>
      </c>
      <c r="H9" s="1">
        <v>0</v>
      </c>
      <c r="I9" s="1">
        <v>161.406</v>
      </c>
      <c r="J9" s="1">
        <v>3000</v>
      </c>
      <c r="K9" s="1">
        <v>0</v>
      </c>
      <c r="L9" s="1" t="s">
        <v>30</v>
      </c>
      <c r="M9" s="1">
        <v>0</v>
      </c>
      <c r="N9" s="1">
        <v>0</v>
      </c>
      <c r="O9" s="1" t="s">
        <v>34</v>
      </c>
      <c r="P9" s="1">
        <v>1500</v>
      </c>
      <c r="Q9" s="1">
        <v>1</v>
      </c>
      <c r="R9" s="1"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0</v>
      </c>
      <c r="C10" s="1">
        <v>0</v>
      </c>
      <c r="D10" s="1">
        <v>0</v>
      </c>
      <c r="E10" s="1">
        <v>0</v>
      </c>
      <c r="F10" s="1">
        <v>15007</v>
      </c>
      <c r="G10" s="1">
        <v>1</v>
      </c>
      <c r="H10" s="1">
        <v>0</v>
      </c>
      <c r="I10" s="1">
        <v>162.005</v>
      </c>
      <c r="J10" s="1">
        <v>3000</v>
      </c>
      <c r="K10" s="1">
        <v>0</v>
      </c>
      <c r="L10" s="1" t="s">
        <v>30</v>
      </c>
      <c r="M10" s="1">
        <v>0</v>
      </c>
      <c r="N10" s="1">
        <v>0</v>
      </c>
      <c r="O10" s="1" t="s">
        <v>34</v>
      </c>
      <c r="P10" s="1">
        <v>1500</v>
      </c>
      <c r="Q10" s="1">
        <v>1</v>
      </c>
      <c r="R10" s="1"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0</v>
      </c>
      <c r="C11" s="1">
        <v>0</v>
      </c>
      <c r="D11" s="1">
        <v>0</v>
      </c>
      <c r="E11" s="1">
        <v>0</v>
      </c>
      <c r="F11" s="1">
        <v>15007</v>
      </c>
      <c r="G11" s="1">
        <v>1</v>
      </c>
      <c r="H11" s="1">
        <v>0</v>
      </c>
      <c r="I11" s="1">
        <v>161.806</v>
      </c>
      <c r="J11" s="1">
        <v>3000</v>
      </c>
      <c r="K11" s="1">
        <v>0</v>
      </c>
      <c r="L11" s="1" t="s">
        <v>30</v>
      </c>
      <c r="M11" s="1">
        <v>0</v>
      </c>
      <c r="N11" s="1">
        <v>0</v>
      </c>
      <c r="O11" s="1" t="s">
        <v>34</v>
      </c>
      <c r="P11" s="1">
        <v>1500</v>
      </c>
      <c r="Q11" s="1">
        <v>1</v>
      </c>
      <c r="R11" s="1"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0</v>
      </c>
      <c r="C12" s="1">
        <v>0</v>
      </c>
      <c r="D12" s="1">
        <v>0</v>
      </c>
      <c r="E12" s="1">
        <v>0</v>
      </c>
      <c r="F12" s="1">
        <v>15004</v>
      </c>
      <c r="G12" s="1">
        <v>1</v>
      </c>
      <c r="H12" s="1">
        <v>0</v>
      </c>
      <c r="I12" s="1">
        <v>156.339</v>
      </c>
      <c r="J12" s="1">
        <v>3000</v>
      </c>
      <c r="K12" s="1">
        <v>0</v>
      </c>
      <c r="L12" s="1" t="s">
        <v>30</v>
      </c>
      <c r="M12" s="1">
        <v>0</v>
      </c>
      <c r="N12" s="1">
        <v>0</v>
      </c>
      <c r="O12" s="1" t="s">
        <v>34</v>
      </c>
      <c r="P12" s="1">
        <v>1500</v>
      </c>
      <c r="Q12" s="1">
        <v>1</v>
      </c>
      <c r="R12" s="1"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0</v>
      </c>
      <c r="B13" s="1">
        <v>0</v>
      </c>
      <c r="C13" s="1">
        <v>0</v>
      </c>
      <c r="D13" s="1">
        <v>0</v>
      </c>
      <c r="E13" s="1">
        <v>0</v>
      </c>
      <c r="F13" s="1">
        <v>15007</v>
      </c>
      <c r="G13" s="1">
        <v>1</v>
      </c>
      <c r="H13" s="1">
        <v>0</v>
      </c>
      <c r="I13" s="1">
        <v>162.106</v>
      </c>
      <c r="J13" s="1">
        <v>3000</v>
      </c>
      <c r="K13" s="1">
        <v>0</v>
      </c>
      <c r="L13" s="1" t="s">
        <v>30</v>
      </c>
      <c r="M13" s="1">
        <v>0</v>
      </c>
      <c r="N13" s="1">
        <v>0</v>
      </c>
      <c r="O13" s="1" t="s">
        <v>34</v>
      </c>
      <c r="P13" s="1">
        <v>1500</v>
      </c>
      <c r="Q13" s="1">
        <v>1</v>
      </c>
      <c r="R13" s="1"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</v>
      </c>
      <c r="B14" s="1">
        <v>0</v>
      </c>
      <c r="C14" s="1">
        <v>0</v>
      </c>
      <c r="D14" s="1">
        <v>0</v>
      </c>
      <c r="E14" s="1">
        <v>0</v>
      </c>
      <c r="F14" s="1">
        <v>15007</v>
      </c>
      <c r="G14" s="1">
        <v>1</v>
      </c>
      <c r="H14" s="1">
        <v>0</v>
      </c>
      <c r="I14" s="1">
        <v>161.706</v>
      </c>
      <c r="J14" s="1">
        <v>3000</v>
      </c>
      <c r="K14" s="1">
        <v>0</v>
      </c>
      <c r="L14" s="1" t="s">
        <v>30</v>
      </c>
      <c r="M14" s="1">
        <v>0</v>
      </c>
      <c r="N14" s="1">
        <v>0</v>
      </c>
      <c r="O14" s="1" t="s">
        <v>34</v>
      </c>
      <c r="P14" s="1">
        <v>1500</v>
      </c>
      <c r="Q14" s="1">
        <v>1</v>
      </c>
      <c r="R14" s="1"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2</v>
      </c>
      <c r="B15" s="1">
        <v>0</v>
      </c>
      <c r="C15" s="1">
        <v>0</v>
      </c>
      <c r="D15" s="1">
        <v>0</v>
      </c>
      <c r="E15" s="1">
        <v>0</v>
      </c>
      <c r="F15" s="1">
        <v>15008</v>
      </c>
      <c r="G15" s="1">
        <v>1</v>
      </c>
      <c r="H15" s="1">
        <v>0</v>
      </c>
      <c r="I15" s="1">
        <v>160.805</v>
      </c>
      <c r="J15" s="1">
        <v>3000</v>
      </c>
      <c r="K15" s="1">
        <v>0</v>
      </c>
      <c r="L15" s="1" t="s">
        <v>30</v>
      </c>
      <c r="M15" s="1">
        <v>0</v>
      </c>
      <c r="N15" s="1">
        <v>0</v>
      </c>
      <c r="O15" s="1" t="s">
        <v>34</v>
      </c>
      <c r="P15" s="1">
        <v>1500</v>
      </c>
      <c r="Q15" s="1">
        <v>1</v>
      </c>
      <c r="R15" s="1"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3</v>
      </c>
      <c r="B16" s="1">
        <v>0</v>
      </c>
      <c r="C16" s="1">
        <v>0</v>
      </c>
      <c r="D16" s="1">
        <v>0</v>
      </c>
      <c r="E16" s="1">
        <v>0</v>
      </c>
      <c r="F16" s="1">
        <v>15007</v>
      </c>
      <c r="G16" s="1">
        <v>1</v>
      </c>
      <c r="H16" s="1">
        <v>0</v>
      </c>
      <c r="I16" s="1">
        <v>162.205</v>
      </c>
      <c r="J16" s="1">
        <v>3000</v>
      </c>
      <c r="K16" s="1">
        <v>0</v>
      </c>
      <c r="L16" s="1" t="s">
        <v>30</v>
      </c>
      <c r="M16" s="1">
        <v>0</v>
      </c>
      <c r="N16" s="1">
        <v>0</v>
      </c>
      <c r="O16" s="1" t="s">
        <v>34</v>
      </c>
      <c r="P16" s="1">
        <v>1500</v>
      </c>
      <c r="Q16" s="1">
        <v>1</v>
      </c>
      <c r="R16" s="1"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4</v>
      </c>
      <c r="B17" s="1">
        <v>0</v>
      </c>
      <c r="C17" s="1">
        <v>0</v>
      </c>
      <c r="D17" s="1">
        <v>0</v>
      </c>
      <c r="E17" s="1">
        <v>0</v>
      </c>
      <c r="F17" s="1">
        <v>15004</v>
      </c>
      <c r="G17" s="1">
        <v>1</v>
      </c>
      <c r="H17" s="1">
        <v>0</v>
      </c>
      <c r="I17" s="1">
        <v>161.106</v>
      </c>
      <c r="J17" s="1">
        <v>3000</v>
      </c>
      <c r="K17" s="1">
        <v>0</v>
      </c>
      <c r="L17" s="1" t="s">
        <v>30</v>
      </c>
      <c r="M17" s="1">
        <v>0</v>
      </c>
      <c r="N17" s="1">
        <v>0</v>
      </c>
      <c r="O17" s="1" t="s">
        <v>34</v>
      </c>
      <c r="P17" s="1">
        <v>1500</v>
      </c>
      <c r="Q17" s="1">
        <v>1</v>
      </c>
      <c r="R17" s="1"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5</v>
      </c>
      <c r="B18" s="1">
        <v>0</v>
      </c>
      <c r="C18" s="1">
        <v>0</v>
      </c>
      <c r="D18" s="1">
        <v>0</v>
      </c>
      <c r="E18" s="1">
        <v>0</v>
      </c>
      <c r="F18" s="1">
        <v>15004</v>
      </c>
      <c r="G18" s="1">
        <v>1</v>
      </c>
      <c r="H18" s="1">
        <v>0</v>
      </c>
      <c r="I18" s="1">
        <v>161.906</v>
      </c>
      <c r="J18" s="1">
        <v>3000</v>
      </c>
      <c r="K18" s="1">
        <v>0</v>
      </c>
      <c r="L18" s="1" t="s">
        <v>30</v>
      </c>
      <c r="M18" s="1">
        <v>0</v>
      </c>
      <c r="N18" s="1">
        <v>0</v>
      </c>
      <c r="O18" s="1" t="s">
        <v>34</v>
      </c>
      <c r="P18" s="1">
        <v>1500</v>
      </c>
      <c r="Q18" s="1">
        <v>1</v>
      </c>
      <c r="R18" s="1"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6</v>
      </c>
      <c r="B19" s="1">
        <v>0</v>
      </c>
      <c r="C19" s="1">
        <v>0</v>
      </c>
      <c r="D19" s="1">
        <v>0</v>
      </c>
      <c r="E19" s="1">
        <v>0</v>
      </c>
      <c r="F19" s="1">
        <v>15002</v>
      </c>
      <c r="G19" s="1">
        <v>1</v>
      </c>
      <c r="H19" s="1">
        <v>0</v>
      </c>
      <c r="I19" s="1">
        <v>161.606</v>
      </c>
      <c r="J19" s="1">
        <v>3000</v>
      </c>
      <c r="K19" s="1">
        <v>0</v>
      </c>
      <c r="L19" s="1" t="s">
        <v>30</v>
      </c>
      <c r="M19" s="1">
        <v>0</v>
      </c>
      <c r="N19" s="1">
        <v>0</v>
      </c>
      <c r="O19" s="1" t="s">
        <v>34</v>
      </c>
      <c r="P19" s="1">
        <v>1500</v>
      </c>
      <c r="Q19" s="1">
        <v>1</v>
      </c>
      <c r="R19" s="1"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7</v>
      </c>
      <c r="B20" s="1">
        <v>0</v>
      </c>
      <c r="C20" s="1">
        <v>0</v>
      </c>
      <c r="D20" s="1">
        <v>0</v>
      </c>
      <c r="E20" s="1">
        <v>0</v>
      </c>
      <c r="F20" s="1">
        <v>15003</v>
      </c>
      <c r="G20" s="1">
        <v>1</v>
      </c>
      <c r="H20" s="1">
        <v>0</v>
      </c>
      <c r="I20" s="1">
        <v>161.906</v>
      </c>
      <c r="J20" s="1">
        <v>3000</v>
      </c>
      <c r="K20" s="1">
        <v>0</v>
      </c>
      <c r="L20" s="1" t="s">
        <v>30</v>
      </c>
      <c r="M20" s="1">
        <v>0</v>
      </c>
      <c r="N20" s="1">
        <v>0</v>
      </c>
      <c r="O20" s="1" t="s">
        <v>34</v>
      </c>
      <c r="P20" s="1">
        <v>1500</v>
      </c>
      <c r="Q20" s="1">
        <v>1</v>
      </c>
      <c r="R20" s="1"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8</v>
      </c>
      <c r="B21" s="1">
        <v>0</v>
      </c>
      <c r="C21" s="1">
        <v>0</v>
      </c>
      <c r="D21" s="1">
        <v>0</v>
      </c>
      <c r="E21" s="1">
        <v>0</v>
      </c>
      <c r="F21" s="1">
        <v>15004</v>
      </c>
      <c r="G21" s="1">
        <v>1</v>
      </c>
      <c r="H21" s="1">
        <v>0</v>
      </c>
      <c r="I21" s="1">
        <v>161.806</v>
      </c>
      <c r="J21" s="1">
        <v>3000</v>
      </c>
      <c r="K21" s="1">
        <v>0</v>
      </c>
      <c r="L21" s="1" t="s">
        <v>30</v>
      </c>
      <c r="M21" s="1">
        <v>0</v>
      </c>
      <c r="N21" s="1">
        <v>0</v>
      </c>
      <c r="O21" s="1" t="s">
        <v>34</v>
      </c>
      <c r="P21" s="1">
        <v>1500</v>
      </c>
      <c r="Q21" s="1">
        <v>1</v>
      </c>
      <c r="R21" s="1"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9</v>
      </c>
      <c r="B22" s="1">
        <v>0</v>
      </c>
      <c r="C22" s="1">
        <v>0</v>
      </c>
      <c r="D22" s="1">
        <v>0</v>
      </c>
      <c r="E22" s="1">
        <v>0</v>
      </c>
      <c r="F22" s="1">
        <v>15004</v>
      </c>
      <c r="G22" s="1">
        <v>1</v>
      </c>
      <c r="H22" s="1">
        <v>0</v>
      </c>
      <c r="I22" s="1">
        <v>162.206</v>
      </c>
      <c r="J22" s="1">
        <v>3000</v>
      </c>
      <c r="K22" s="1">
        <v>0</v>
      </c>
      <c r="L22" s="1" t="s">
        <v>30</v>
      </c>
      <c r="M22" s="1">
        <v>0</v>
      </c>
      <c r="N22" s="1">
        <v>0</v>
      </c>
      <c r="O22" s="1" t="s">
        <v>34</v>
      </c>
      <c r="P22" s="1">
        <v>1500</v>
      </c>
      <c r="Q22" s="1">
        <v>1</v>
      </c>
      <c r="R22" s="1"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0</v>
      </c>
      <c r="B23" s="1">
        <v>0</v>
      </c>
      <c r="C23" s="1">
        <v>0</v>
      </c>
      <c r="D23" s="1">
        <v>0</v>
      </c>
      <c r="E23" s="1">
        <v>0</v>
      </c>
      <c r="F23" s="1">
        <v>15001</v>
      </c>
      <c r="G23" s="1">
        <v>1</v>
      </c>
      <c r="H23" s="1">
        <v>0</v>
      </c>
      <c r="I23" s="1">
        <v>163.106</v>
      </c>
      <c r="J23" s="1">
        <v>3000</v>
      </c>
      <c r="K23" s="1">
        <v>0</v>
      </c>
      <c r="L23" s="1" t="s">
        <v>30</v>
      </c>
      <c r="M23" s="1">
        <v>0</v>
      </c>
      <c r="N23" s="1">
        <v>0</v>
      </c>
      <c r="O23" s="1" t="s">
        <v>34</v>
      </c>
      <c r="P23" s="1">
        <v>1500</v>
      </c>
      <c r="Q23" s="1">
        <v>1</v>
      </c>
      <c r="R23" s="1"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1</v>
      </c>
      <c r="B24" s="1">
        <v>0</v>
      </c>
      <c r="C24" s="1">
        <v>0</v>
      </c>
      <c r="D24" s="1">
        <v>0</v>
      </c>
      <c r="E24" s="1">
        <v>0</v>
      </c>
      <c r="F24" s="1">
        <v>15009</v>
      </c>
      <c r="G24" s="1">
        <v>1</v>
      </c>
      <c r="H24" s="1">
        <v>0</v>
      </c>
      <c r="I24" s="1">
        <v>162.506</v>
      </c>
      <c r="J24" s="1">
        <v>3000</v>
      </c>
      <c r="K24" s="1">
        <v>0</v>
      </c>
      <c r="L24" s="1" t="s">
        <v>30</v>
      </c>
      <c r="M24" s="1">
        <v>0</v>
      </c>
      <c r="N24" s="1">
        <v>0</v>
      </c>
      <c r="O24" s="1" t="s">
        <v>34</v>
      </c>
      <c r="P24" s="1">
        <v>1500</v>
      </c>
      <c r="Q24" s="1">
        <v>1</v>
      </c>
      <c r="R24" s="1"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</v>
      </c>
      <c r="B25" s="1">
        <v>0</v>
      </c>
      <c r="C25" s="1">
        <v>0</v>
      </c>
      <c r="D25" s="1">
        <v>0</v>
      </c>
      <c r="E25" s="1">
        <v>0</v>
      </c>
      <c r="F25" s="1">
        <v>15000</v>
      </c>
      <c r="G25" s="1">
        <v>1</v>
      </c>
      <c r="H25" s="1">
        <v>0</v>
      </c>
      <c r="I25" s="1">
        <v>163.606</v>
      </c>
      <c r="J25" s="1">
        <v>3000</v>
      </c>
      <c r="K25" s="1">
        <v>0</v>
      </c>
      <c r="L25" s="1" t="s">
        <v>30</v>
      </c>
      <c r="M25" s="1">
        <v>0</v>
      </c>
      <c r="N25" s="1">
        <v>0</v>
      </c>
      <c r="O25" s="1" t="s">
        <v>34</v>
      </c>
      <c r="P25" s="1">
        <v>1500</v>
      </c>
      <c r="Q25" s="1">
        <v>1</v>
      </c>
      <c r="R25" s="1"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3</v>
      </c>
      <c r="B26" s="1">
        <v>0</v>
      </c>
      <c r="C26" s="1">
        <v>0</v>
      </c>
      <c r="D26" s="1">
        <v>0</v>
      </c>
      <c r="E26" s="1">
        <v>0</v>
      </c>
      <c r="F26" s="1">
        <v>15006</v>
      </c>
      <c r="G26" s="1">
        <v>1</v>
      </c>
      <c r="H26" s="1">
        <v>0</v>
      </c>
      <c r="I26" s="1">
        <v>161.806</v>
      </c>
      <c r="J26" s="1">
        <v>3000</v>
      </c>
      <c r="K26" s="1">
        <v>0</v>
      </c>
      <c r="L26" s="1" t="s">
        <v>30</v>
      </c>
      <c r="M26" s="1">
        <v>0</v>
      </c>
      <c r="N26" s="1">
        <v>0</v>
      </c>
      <c r="O26" s="1" t="s">
        <v>34</v>
      </c>
      <c r="P26" s="1">
        <v>1500</v>
      </c>
      <c r="Q26" s="1">
        <v>1</v>
      </c>
      <c r="R26" s="1"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4</v>
      </c>
      <c r="B27" s="1">
        <v>0</v>
      </c>
      <c r="C27" s="1">
        <v>0</v>
      </c>
      <c r="D27" s="1">
        <v>0</v>
      </c>
      <c r="E27" s="1">
        <v>0</v>
      </c>
      <c r="F27" s="1">
        <v>15001</v>
      </c>
      <c r="G27" s="1">
        <v>1</v>
      </c>
      <c r="H27" s="1">
        <v>0</v>
      </c>
      <c r="I27" s="1">
        <v>162.905</v>
      </c>
      <c r="J27" s="1">
        <v>3000</v>
      </c>
      <c r="K27" s="1">
        <v>0</v>
      </c>
      <c r="L27" s="1" t="s">
        <v>30</v>
      </c>
      <c r="M27" s="1">
        <v>0</v>
      </c>
      <c r="N27" s="1">
        <v>0</v>
      </c>
      <c r="O27" s="1" t="s">
        <v>34</v>
      </c>
      <c r="P27" s="1">
        <v>1500</v>
      </c>
      <c r="Q27" s="1">
        <v>1</v>
      </c>
      <c r="R27" s="1"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5</v>
      </c>
      <c r="B28" s="1">
        <v>0</v>
      </c>
      <c r="C28" s="1">
        <v>0</v>
      </c>
      <c r="D28" s="1">
        <v>0</v>
      </c>
      <c r="E28" s="1">
        <v>0</v>
      </c>
      <c r="F28" s="1">
        <v>15002</v>
      </c>
      <c r="G28" s="1">
        <v>1</v>
      </c>
      <c r="H28" s="1">
        <v>0</v>
      </c>
      <c r="I28" s="1">
        <v>162.806</v>
      </c>
      <c r="J28" s="1">
        <v>3000</v>
      </c>
      <c r="K28" s="1">
        <v>0</v>
      </c>
      <c r="L28" s="1" t="s">
        <v>30</v>
      </c>
      <c r="M28" s="1">
        <v>0</v>
      </c>
      <c r="N28" s="1">
        <v>0</v>
      </c>
      <c r="O28" s="1" t="s">
        <v>34</v>
      </c>
      <c r="P28" s="1">
        <v>1500</v>
      </c>
      <c r="Q28" s="1">
        <v>1</v>
      </c>
      <c r="R28" s="1"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6</v>
      </c>
      <c r="B29" s="1">
        <v>0</v>
      </c>
      <c r="C29" s="1">
        <v>0</v>
      </c>
      <c r="D29" s="1">
        <v>0</v>
      </c>
      <c r="E29" s="1">
        <v>0</v>
      </c>
      <c r="F29" s="1">
        <v>15005</v>
      </c>
      <c r="G29" s="1">
        <v>1</v>
      </c>
      <c r="H29" s="1">
        <v>0</v>
      </c>
      <c r="I29" s="1">
        <v>163.006</v>
      </c>
      <c r="J29" s="1">
        <v>3000</v>
      </c>
      <c r="K29" s="1">
        <v>0</v>
      </c>
      <c r="L29" s="1" t="s">
        <v>30</v>
      </c>
      <c r="M29" s="1">
        <v>0</v>
      </c>
      <c r="N29" s="1">
        <v>0</v>
      </c>
      <c r="O29" s="1" t="s">
        <v>34</v>
      </c>
      <c r="P29" s="1">
        <v>1500</v>
      </c>
      <c r="Q29" s="1">
        <v>1</v>
      </c>
      <c r="R29" s="1"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7</v>
      </c>
      <c r="B30" s="1">
        <v>0</v>
      </c>
      <c r="C30" s="1">
        <v>0</v>
      </c>
      <c r="D30" s="1">
        <v>0</v>
      </c>
      <c r="E30" s="1">
        <v>0</v>
      </c>
      <c r="F30" s="1">
        <v>15002</v>
      </c>
      <c r="G30" s="1">
        <v>1</v>
      </c>
      <c r="H30" s="1">
        <v>0</v>
      </c>
      <c r="I30" s="1">
        <v>162.906</v>
      </c>
      <c r="J30" s="1">
        <v>3000</v>
      </c>
      <c r="K30" s="1">
        <v>0</v>
      </c>
      <c r="L30" s="1" t="s">
        <v>30</v>
      </c>
      <c r="M30" s="1">
        <v>0</v>
      </c>
      <c r="N30" s="1">
        <v>0</v>
      </c>
      <c r="O30" s="1" t="s">
        <v>34</v>
      </c>
      <c r="P30" s="1">
        <v>1500</v>
      </c>
      <c r="Q30" s="1">
        <v>1</v>
      </c>
      <c r="R30" s="1"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8</v>
      </c>
      <c r="B31" s="1">
        <v>0</v>
      </c>
      <c r="C31" s="1">
        <v>0</v>
      </c>
      <c r="D31" s="1">
        <v>0</v>
      </c>
      <c r="E31" s="1">
        <v>0</v>
      </c>
      <c r="F31" s="1">
        <v>15002</v>
      </c>
      <c r="G31" s="1">
        <v>1</v>
      </c>
      <c r="H31" s="1">
        <v>0</v>
      </c>
      <c r="I31" s="1">
        <v>162.406</v>
      </c>
      <c r="J31" s="1">
        <v>3000</v>
      </c>
      <c r="K31" s="1">
        <v>0</v>
      </c>
      <c r="L31" s="1" t="s">
        <v>30</v>
      </c>
      <c r="M31" s="1">
        <v>0</v>
      </c>
      <c r="N31" s="1">
        <v>0</v>
      </c>
      <c r="O31" s="1" t="s">
        <v>34</v>
      </c>
      <c r="P31" s="1">
        <v>1500</v>
      </c>
      <c r="Q31" s="1">
        <v>1</v>
      </c>
      <c r="R31" s="1"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9</v>
      </c>
      <c r="B32" s="1">
        <v>0</v>
      </c>
      <c r="C32" s="1">
        <v>0</v>
      </c>
      <c r="D32" s="1">
        <v>0</v>
      </c>
      <c r="E32" s="1">
        <v>0</v>
      </c>
      <c r="F32" s="1">
        <v>15003</v>
      </c>
      <c r="G32" s="1">
        <v>1</v>
      </c>
      <c r="H32" s="1">
        <v>0</v>
      </c>
      <c r="I32" s="1">
        <v>162.006</v>
      </c>
      <c r="J32" s="1">
        <v>3000</v>
      </c>
      <c r="K32" s="1">
        <v>0</v>
      </c>
      <c r="L32" s="1" t="s">
        <v>30</v>
      </c>
      <c r="M32" s="1">
        <v>0</v>
      </c>
      <c r="N32" s="1">
        <v>0</v>
      </c>
      <c r="O32" s="1" t="s">
        <v>34</v>
      </c>
      <c r="P32" s="1">
        <v>1500</v>
      </c>
      <c r="Q32" s="1">
        <v>1</v>
      </c>
      <c r="R32" s="1"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>
        <f>SUM(F$3:F$32)</f>
        <v>0</v>
      </c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/>
      <c r="M34" s="1">
        <f>SUM(M$3:M$32)</f>
        <v>0</v>
      </c>
      <c r="N34" s="1">
        <f>SUM(N$3:N$32)</f>
        <v>0</v>
      </c>
      <c r="O34" s="1"/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  <c r="AA34" s="1">
        <f>SUM(AA$3:AA$32)</f>
        <v>0</v>
      </c>
      <c r="AB34" s="1">
        <f>SUM(AB$3:AB$32)</f>
        <v>0</v>
      </c>
      <c r="AC34" s="1">
        <f>SUM(AC$3:AC$32)</f>
        <v>0</v>
      </c>
      <c r="AD34" s="1">
        <f>SUM(AD$3:AD$32)</f>
        <v>0</v>
      </c>
      <c r="AE34" s="1">
        <f>SUM(AE$3:AE$32)</f>
        <v>0</v>
      </c>
      <c r="AF34" s="1">
        <f>SUM(AF$3:AF$32)</f>
        <v>0</v>
      </c>
      <c r="AG34" s="1">
        <f>SUM(AG$3:AG$32)</f>
        <v>0</v>
      </c>
      <c r="AH34" s="1">
        <f>SUM(AH$3:AH$32)</f>
        <v>0</v>
      </c>
      <c r="AI34" s="1">
        <f>SUM(AI$3:AI$32)</f>
        <v>0</v>
      </c>
      <c r="AJ34" s="1">
        <f>SUM(AJ$3:AJ$32)</f>
        <v>0</v>
      </c>
      <c r="AK34" s="1">
        <f>SUM(AK$3:AK$32)</f>
        <v>0</v>
      </c>
      <c r="AL34" s="1">
        <f>SUM(AL$3:AL$32)</f>
        <v>0</v>
      </c>
      <c r="AM34" s="1">
        <f>SUM(AM$3:AM$32)</f>
        <v>0</v>
      </c>
      <c r="AN34" s="1">
        <f>SUM(AN$3:AN$32)</f>
        <v>0</v>
      </c>
      <c r="AO34" s="1">
        <f>SUM(AO$3:AO$32)</f>
        <v>0</v>
      </c>
      <c r="AP34" s="1">
        <f>SUM(AP$3:AP$32)</f>
        <v>0</v>
      </c>
      <c r="AQ34" s="1">
        <f>SUM(AQ$3:AQ$32)</f>
        <v>0</v>
      </c>
      <c r="AR34" s="1">
        <f>SUM(AR$3:AR$32)</f>
        <v>0</v>
      </c>
      <c r="AS34" s="1">
        <f>SUM(AS$3:AS$32)</f>
        <v>0</v>
      </c>
      <c r="AT34" s="1">
        <f>SUM(AT$3:AT$32)</f>
        <v>0</v>
      </c>
      <c r="AU34" s="1">
        <f>SUM(AU$3:AU$32)</f>
        <v>0</v>
      </c>
      <c r="AV34" s="1">
        <f>SUM(AV$3:AV$32)</f>
        <v>0</v>
      </c>
      <c r="AW34" s="1">
        <f>SUM(AW$3:AW$32)</f>
        <v>0</v>
      </c>
      <c r="AX34" s="1">
        <f>SUM(AX$3:AX$32)</f>
        <v>0</v>
      </c>
      <c r="AY34" s="1">
        <f>SUM(AY$3:AY$32)</f>
        <v>0</v>
      </c>
      <c r="AZ34" s="1">
        <f>SUM(AZ$3:AZ$32)</f>
        <v>0</v>
      </c>
      <c r="BA34" s="1">
        <f>SUM(BA$3:BA$32)</f>
        <v>0</v>
      </c>
      <c r="BB34" s="1">
        <f>SUM(BB$3:BB$32)</f>
        <v>0</v>
      </c>
      <c r="BC34" s="1">
        <f>SUM(BC$3:BC$32)</f>
        <v>0</v>
      </c>
      <c r="BD34" s="1">
        <f>SUM(BD$3:BD$32)</f>
        <v>0</v>
      </c>
      <c r="BE34" s="1">
        <f>SUM(BE$3:BE$32)</f>
        <v>0</v>
      </c>
      <c r="BF34" s="1">
        <f>SUM(BF$3:BF$32)</f>
        <v>0</v>
      </c>
      <c r="BG34" s="1">
        <f>SUM(BG$3:BG$32)</f>
        <v>0</v>
      </c>
      <c r="BH34" s="1">
        <f>SUM(BH$3:BH$32)</f>
        <v>0</v>
      </c>
      <c r="BI34" s="1">
        <f>SUM(BI$3:BI$32)</f>
        <v>0</v>
      </c>
      <c r="BJ34" s="1">
        <f>SUM(BJ$3:BJ$32)</f>
        <v>0</v>
      </c>
      <c r="BK34" s="1">
        <f>SUM(BK$3:BK$32)</f>
        <v>0</v>
      </c>
    </row>
    <row r="35" spans="1:63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>
        <f>AVERAGE(F$3:F$32)</f>
        <v>0</v>
      </c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/>
      <c r="M35" s="1">
        <f>AVERAGE(M$3:M$32)</f>
        <v>0</v>
      </c>
      <c r="N35" s="1">
        <f>AVERAGE(N$3:N$32)</f>
        <v>0</v>
      </c>
      <c r="O35" s="1"/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  <c r="AA35" s="1">
        <f>AVERAGE(AA$3:AA$32)</f>
        <v>0</v>
      </c>
      <c r="AB35" s="1">
        <f>AVERAGE(AB$3:AB$32)</f>
        <v>0</v>
      </c>
      <c r="AC35" s="1">
        <f>AVERAGE(AC$3:AC$32)</f>
        <v>0</v>
      </c>
      <c r="AD35" s="1">
        <f>AVERAGE(AD$3:AD$32)</f>
        <v>0</v>
      </c>
      <c r="AE35" s="1">
        <f>AVERAGE(AE$3:AE$32)</f>
        <v>0</v>
      </c>
      <c r="AF35" s="1">
        <f>AVERAGE(AF$3:AF$32)</f>
        <v>0</v>
      </c>
      <c r="AG35" s="1">
        <f>AVERAGE(AG$3:AG$32)</f>
        <v>0</v>
      </c>
      <c r="AH35" s="1">
        <f>AVERAGE(AH$3:AH$32)</f>
        <v>0</v>
      </c>
      <c r="AI35" s="1">
        <f>AVERAGE(AI$3:AI$32)</f>
        <v>0</v>
      </c>
      <c r="AJ35" s="1">
        <f>AVERAGE(AJ$3:AJ$32)</f>
        <v>0</v>
      </c>
      <c r="AK35" s="1">
        <f>AVERAGE(AK$3:AK$32)</f>
        <v>0</v>
      </c>
      <c r="AL35" s="1">
        <f>AVERAGE(AL$3:AL$32)</f>
        <v>0</v>
      </c>
      <c r="AM35" s="1">
        <f>AVERAGE(AM$3:AM$32)</f>
        <v>0</v>
      </c>
      <c r="AN35" s="1">
        <f>AVERAGE(AN$3:AN$32)</f>
        <v>0</v>
      </c>
      <c r="AO35" s="1">
        <f>AVERAGE(AO$3:AO$32)</f>
        <v>0</v>
      </c>
      <c r="AP35" s="1">
        <f>AVERAGE(AP$3:AP$32)</f>
        <v>0</v>
      </c>
      <c r="AQ35" s="1">
        <f>AVERAGE(AQ$3:AQ$32)</f>
        <v>0</v>
      </c>
      <c r="AR35" s="1">
        <f>AVERAGE(AR$3:AR$32)</f>
        <v>0</v>
      </c>
      <c r="AS35" s="1">
        <f>AVERAGE(AS$3:AS$32)</f>
        <v>0</v>
      </c>
      <c r="AT35" s="1">
        <f>AVERAGE(AT$3:AT$32)</f>
        <v>0</v>
      </c>
      <c r="AU35" s="1">
        <f>AVERAGE(AU$3:AU$32)</f>
        <v>0</v>
      </c>
      <c r="AV35" s="1">
        <f>AVERAGE(AV$3:AV$32)</f>
        <v>0</v>
      </c>
      <c r="AW35" s="1">
        <f>AVERAGE(AW$3:AW$32)</f>
        <v>0</v>
      </c>
      <c r="AX35" s="1">
        <f>AVERAGE(AX$3:AX$32)</f>
        <v>0</v>
      </c>
      <c r="AY35" s="1">
        <f>AVERAGE(AY$3:AY$32)</f>
        <v>0</v>
      </c>
      <c r="AZ35" s="1">
        <f>AVERAGE(AZ$3:AZ$32)</f>
        <v>0</v>
      </c>
      <c r="BA35" s="1">
        <f>AVERAGE(BA$3:BA$32)</f>
        <v>0</v>
      </c>
      <c r="BB35" s="1">
        <f>AVERAGE(BB$3:BB$32)</f>
        <v>0</v>
      </c>
      <c r="BC35" s="1">
        <f>AVERAGE(BC$3:BC$32)</f>
        <v>0</v>
      </c>
      <c r="BD35" s="1">
        <f>AVERAGE(BD$3:BD$32)</f>
        <v>0</v>
      </c>
      <c r="BE35" s="1">
        <f>AVERAGE(BE$3:BE$32)</f>
        <v>0</v>
      </c>
      <c r="BF35" s="1">
        <f>AVERAGE(BF$3:BF$32)</f>
        <v>0</v>
      </c>
      <c r="BG35" s="1">
        <f>AVERAGE(BG$3:BG$32)</f>
        <v>0</v>
      </c>
      <c r="BH35" s="1">
        <f>AVERAGE(BH$3:BH$32)</f>
        <v>0</v>
      </c>
      <c r="BI35" s="1">
        <f>AVERAGE(BI$3:BI$32)</f>
        <v>0</v>
      </c>
      <c r="BJ35" s="1">
        <f>AVERAGE(BJ$3:BJ$32)</f>
        <v>0</v>
      </c>
      <c r="BK35" s="1">
        <f>AVERAGE(BK$3:BK$32)</f>
        <v>0</v>
      </c>
    </row>
    <row r="36" spans="1:63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>
        <f>STDEV(F$3:F$32)</f>
        <v>0</v>
      </c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/>
      <c r="M36" s="1">
        <f>STDEV(M$3:M$32)</f>
        <v>0</v>
      </c>
      <c r="N36" s="1">
        <f>STDEV(N$3:N$32)</f>
        <v>0</v>
      </c>
      <c r="O36" s="1"/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  <c r="AA36" s="1">
        <f>STDEV(AA$3:AA$32)</f>
        <v>0</v>
      </c>
      <c r="AB36" s="1">
        <f>STDEV(AB$3:AB$32)</f>
        <v>0</v>
      </c>
      <c r="AC36" s="1">
        <f>STDEV(AC$3:AC$32)</f>
        <v>0</v>
      </c>
      <c r="AD36" s="1">
        <f>STDEV(AD$3:AD$32)</f>
        <v>0</v>
      </c>
      <c r="AE36" s="1">
        <f>STDEV(AE$3:AE$32)</f>
        <v>0</v>
      </c>
      <c r="AF36" s="1">
        <f>STDEV(AF$3:AF$32)</f>
        <v>0</v>
      </c>
      <c r="AG36" s="1">
        <f>STDEV(AG$3:AG$32)</f>
        <v>0</v>
      </c>
      <c r="AH36" s="1">
        <f>STDEV(AH$3:AH$32)</f>
        <v>0</v>
      </c>
      <c r="AI36" s="1">
        <f>STDEV(AI$3:AI$32)</f>
        <v>0</v>
      </c>
      <c r="AJ36" s="1">
        <f>STDEV(AJ$3:AJ$32)</f>
        <v>0</v>
      </c>
      <c r="AK36" s="1">
        <f>STDEV(AK$3:AK$32)</f>
        <v>0</v>
      </c>
      <c r="AL36" s="1">
        <f>STDEV(AL$3:AL$32)</f>
        <v>0</v>
      </c>
      <c r="AM36" s="1">
        <f>STDEV(AM$3:AM$32)</f>
        <v>0</v>
      </c>
      <c r="AN36" s="1">
        <f>STDEV(AN$3:AN$32)</f>
        <v>0</v>
      </c>
      <c r="AO36" s="1">
        <f>STDEV(AO$3:AO$32)</f>
        <v>0</v>
      </c>
      <c r="AP36" s="1">
        <f>STDEV(AP$3:AP$32)</f>
        <v>0</v>
      </c>
      <c r="AQ36" s="1">
        <f>STDEV(AQ$3:AQ$32)</f>
        <v>0</v>
      </c>
      <c r="AR36" s="1">
        <f>STDEV(AR$3:AR$32)</f>
        <v>0</v>
      </c>
      <c r="AS36" s="1">
        <f>STDEV(AS$3:AS$32)</f>
        <v>0</v>
      </c>
      <c r="AT36" s="1">
        <f>STDEV(AT$3:AT$32)</f>
        <v>0</v>
      </c>
      <c r="AU36" s="1">
        <f>STDEV(AU$3:AU$32)</f>
        <v>0</v>
      </c>
      <c r="AV36" s="1">
        <f>STDEV(AV$3:AV$32)</f>
        <v>0</v>
      </c>
      <c r="AW36" s="1">
        <f>STDEV(AW$3:AW$32)</f>
        <v>0</v>
      </c>
      <c r="AX36" s="1">
        <f>STDEV(AX$3:AX$32)</f>
        <v>0</v>
      </c>
      <c r="AY36" s="1">
        <f>STDEV(AY$3:AY$32)</f>
        <v>0</v>
      </c>
      <c r="AZ36" s="1">
        <f>STDEV(AZ$3:AZ$32)</f>
        <v>0</v>
      </c>
      <c r="BA36" s="1">
        <f>STDEV(BA$3:BA$32)</f>
        <v>0</v>
      </c>
      <c r="BB36" s="1">
        <f>STDEV(BB$3:BB$32)</f>
        <v>0</v>
      </c>
      <c r="BC36" s="1">
        <f>STDEV(BC$3:BC$32)</f>
        <v>0</v>
      </c>
      <c r="BD36" s="1">
        <f>STDEV(BD$3:BD$32)</f>
        <v>0</v>
      </c>
      <c r="BE36" s="1">
        <f>STDEV(BE$3:BE$32)</f>
        <v>0</v>
      </c>
      <c r="BF36" s="1">
        <f>STDEV(BF$3:BF$32)</f>
        <v>0</v>
      </c>
      <c r="BG36" s="1">
        <f>STDEV(BG$3:BG$32)</f>
        <v>0</v>
      </c>
      <c r="BH36" s="1">
        <f>STDEV(BH$3:BH$32)</f>
        <v>0</v>
      </c>
      <c r="BI36" s="1">
        <f>STDEV(BI$3:BI$32)</f>
        <v>0</v>
      </c>
      <c r="BJ36" s="1">
        <f>STDEV(BJ$3:BJ$32)</f>
        <v>0</v>
      </c>
      <c r="BK36" s="1">
        <f>STDEV(BK$3:BK$32)</f>
        <v>0</v>
      </c>
    </row>
    <row r="37" spans="1:63">
      <c r="A37" s="1" t="s">
        <v>13</v>
      </c>
      <c r="B37" s="1">
        <f>SUMPRODUCT(--(B$3:B$32-$S$3:$S$32)^2)^0.5</f>
        <v>0</v>
      </c>
      <c r="C37" s="1">
        <f>SUMPRODUCT(--(C$3:C$32-$T$3:$T$32)^2)^0.5</f>
        <v>0</v>
      </c>
      <c r="D37" s="1">
        <f>SUMPRODUCT(--(D$3:D$32-$U$3:$U$32)^2)^0.5</f>
        <v>0</v>
      </c>
      <c r="E37" s="1">
        <f>SUMPRODUCT(--(E$3:E$32-$V$3:$V$32)^2)^0.5</f>
        <v>0</v>
      </c>
      <c r="F37" s="1">
        <f>SUMPRODUCT(--(F$3:F$32-$W$3:$W$32)^2)^0.5</f>
        <v>0</v>
      </c>
      <c r="G37" s="1">
        <f>SUMPRODUCT(--(G$3:G$32-$X$3:$X$32)^2)^0.5</f>
        <v>0</v>
      </c>
      <c r="H37" s="1">
        <f>SUMPRODUCT(--(H$3:H$32-$Y$3:$Y$32)^2)^0.5</f>
        <v>0</v>
      </c>
      <c r="I37" s="1">
        <f>SUMPRODUCT(--(I$3:I$32-$Z$3:$Z$32)^2)^0.5</f>
        <v>0</v>
      </c>
      <c r="J37" s="1">
        <f>SUMPRODUCT(--(J$3:J$32-$AA$3:$AA$32)^2)^0.5</f>
        <v>0</v>
      </c>
      <c r="K37" s="1">
        <f>SUMPRODUCT(--(K$3:K$32-$AB$3:$AB$32)^2)^0.5</f>
        <v>0</v>
      </c>
      <c r="L37" s="1"/>
      <c r="M37" s="1">
        <f>SUMPRODUCT(--(M$3:M$32-$AC$3:$AC$32)^2)^0.5</f>
        <v>0</v>
      </c>
      <c r="N37" s="1">
        <f>SUMPRODUCT(--(N$3:N$32-$AD$3:$AD$32)^2)^0.5</f>
        <v>0</v>
      </c>
      <c r="O37" s="1"/>
      <c r="P37" s="1">
        <f>SUMPRODUCT(--(P$3:P$32-$AE$3:$AE$32)^2)^0.5</f>
        <v>0</v>
      </c>
      <c r="Q37" s="1">
        <f>SUMPRODUCT(--(Q$3:Q$32-$AF$3:$AF$32)^2)^0.5</f>
        <v>0</v>
      </c>
      <c r="R37" s="1">
        <f>SUMPRODUCT(--(R$3:R$32-$AG$3:$AG$32)^2)^0.5</f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>
      <c r="A38" s="1" t="s">
        <v>14</v>
      </c>
      <c r="B38" s="1">
        <f>SUMPRODUCT(NOT(ISBLANK(B$3:B$32))*(B$3:B$32=$S$3:$S$32))</f>
        <v>0</v>
      </c>
      <c r="C38" s="1">
        <f>SUMPRODUCT(NOT(ISBLANK(C$3:C$32))*(C$3:C$32=$T$3:$T$32))</f>
        <v>0</v>
      </c>
      <c r="D38" s="1">
        <f>SUMPRODUCT(NOT(ISBLANK(D$3:D$32))*(D$3:D$32=$U$3:$U$32))</f>
        <v>0</v>
      </c>
      <c r="E38" s="1">
        <f>SUMPRODUCT(NOT(ISBLANK(E$3:E$32))*(E$3:E$32=$V$3:$V$32))</f>
        <v>0</v>
      </c>
      <c r="F38" s="1">
        <f>SUMPRODUCT(NOT(ISBLANK(F$3:F$32))*(F$3:F$32=$W$3:$W$32))</f>
        <v>0</v>
      </c>
      <c r="G38" s="1">
        <f>SUMPRODUCT(NOT(ISBLANK(G$3:G$32))*(G$3:G$32=$X$3:$X$32))</f>
        <v>0</v>
      </c>
      <c r="H38" s="1">
        <f>SUMPRODUCT(NOT(ISBLANK(H$3:H$32))*(H$3:H$32=$Y$3:$Y$32))</f>
        <v>0</v>
      </c>
      <c r="I38" s="1">
        <f>SUMPRODUCT(NOT(ISBLANK(I$3:I$32))*(I$3:I$32=$Z$3:$Z$32))</f>
        <v>0</v>
      </c>
      <c r="J38" s="1">
        <f>SUMPRODUCT(NOT(ISBLANK(J$3:J$32))*(J$3:J$32=$AA$3:$AA$32))</f>
        <v>0</v>
      </c>
      <c r="K38" s="1">
        <f>SUMPRODUCT(NOT(ISBLANK(K$3:K$32))*(K$3:K$32=$AB$3:$AB$32))</f>
        <v>0</v>
      </c>
      <c r="L38" s="1"/>
      <c r="M38" s="1">
        <f>SUMPRODUCT(NOT(ISBLANK(M$3:M$32))*(M$3:M$32=$AC$3:$AC$32))</f>
        <v>0</v>
      </c>
      <c r="N38" s="1">
        <f>SUMPRODUCT(NOT(ISBLANK(N$3:N$32))*(N$3:N$32=$AD$3:$AD$32))</f>
        <v>0</v>
      </c>
      <c r="O38" s="1"/>
      <c r="P38" s="1">
        <f>SUMPRODUCT(NOT(ISBLANK(P$3:P$32))*(P$3:P$32=$AE$3:$AE$32))</f>
        <v>0</v>
      </c>
      <c r="Q38" s="1">
        <f>SUMPRODUCT(NOT(ISBLANK(Q$3:Q$32))*(Q$3:Q$32=$AF$3:$AF$32))</f>
        <v>0</v>
      </c>
      <c r="R38" s="1">
        <f>SUMPRODUCT(NOT(ISBLANK(R$3:R$32))*(R$3:R$32=$AG$3:$AG$32))</f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>
      <c r="A39" s="1" t="s">
        <v>15</v>
      </c>
      <c r="B39" s="1">
        <f>SUMPRODUCT(NOT(ISBLANK(B$3:B$32))*(B$3:B$32&lt;$AH$3:$AH$32))</f>
        <v>0</v>
      </c>
      <c r="C39" s="1">
        <f>SUMPRODUCT(NOT(ISBLANK(C$3:C$32))*(C$3:C$32&lt;$AI$3:$AI$32))</f>
        <v>0</v>
      </c>
      <c r="D39" s="1">
        <f>SUMPRODUCT(NOT(ISBLANK(D$3:D$32))*(D$3:D$32&lt;$AJ$3:$AJ$32))</f>
        <v>0</v>
      </c>
      <c r="E39" s="1">
        <f>SUMPRODUCT(NOT(ISBLANK(E$3:E$32))*(E$3:E$32&lt;$AK$3:$AK$32))</f>
        <v>0</v>
      </c>
      <c r="F39" s="1">
        <f>SUMPRODUCT(NOT(ISBLANK(F$3:F$32))*(F$3:F$32&lt;$AL$3:$AL$32))</f>
        <v>0</v>
      </c>
      <c r="G39" s="1">
        <f>SUMPRODUCT(NOT(ISBLANK(G$3:G$32))*(G$3:G$32&lt;$AM$3:$AM$32))</f>
        <v>0</v>
      </c>
      <c r="H39" s="1">
        <f>SUMPRODUCT(NOT(ISBLANK(H$3:H$32))*(H$3:H$32&lt;$AN$3:$AN$32))</f>
        <v>0</v>
      </c>
      <c r="I39" s="1">
        <f>SUMPRODUCT(NOT(ISBLANK(I$3:I$32))*(I$3:I$32&lt;$AO$3:$AO$32))</f>
        <v>0</v>
      </c>
      <c r="J39" s="1">
        <f>SUMPRODUCT(NOT(ISBLANK(J$3:J$32))*(J$3:J$32&lt;$AP$3:$AP$32))</f>
        <v>0</v>
      </c>
      <c r="K39" s="1">
        <f>SUMPRODUCT(NOT(ISBLANK(K$3:K$32))*(K$3:K$32&lt;$AQ$3:$AQ$32))</f>
        <v>0</v>
      </c>
      <c r="L39" s="1"/>
      <c r="M39" s="1">
        <f>SUMPRODUCT(NOT(ISBLANK(M$3:M$32))*(M$3:M$32&lt;$AR$3:$AR$32))</f>
        <v>0</v>
      </c>
      <c r="N39" s="1">
        <f>SUMPRODUCT(NOT(ISBLANK(N$3:N$32))*(N$3:N$32&lt;$AS$3:$AS$32))</f>
        <v>0</v>
      </c>
      <c r="O39" s="1"/>
      <c r="P39" s="1">
        <f>SUMPRODUCT(NOT(ISBLANK(P$3:P$32))*(P$3:P$32&lt;$AT$3:$AT$32))</f>
        <v>0</v>
      </c>
      <c r="Q39" s="1">
        <f>SUMPRODUCT(NOT(ISBLANK(Q$3:Q$32))*(Q$3:Q$32&lt;$AU$3:$AU$32))</f>
        <v>0</v>
      </c>
      <c r="R39" s="1">
        <f>SUMPRODUCT(NOT(ISBLANK(R$3:R$32))*(R$3:R$32&lt;$AV$3:$AV$32))</f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>
      <c r="A40" s="1" t="s">
        <v>16</v>
      </c>
      <c r="B40" s="1">
        <f>SUMPRODUCT((NOT(ISBLANK(B$3:B$32))*(B$3:B$32&gt;$AH$3:$AH$32))+ISBLANK(B$3:B$32))</f>
        <v>0</v>
      </c>
      <c r="C40" s="1">
        <f>SUMPRODUCT((NOT(ISBLANK(C$3:C$32))*(C$3:C$32&gt;$AI$3:$AI$32))+ISBLANK(C$3:C$32))</f>
        <v>0</v>
      </c>
      <c r="D40" s="1">
        <f>SUMPRODUCT((NOT(ISBLANK(D$3:D$32))*(D$3:D$32&gt;$AJ$3:$AJ$32))+ISBLANK(D$3:D$32))</f>
        <v>0</v>
      </c>
      <c r="E40" s="1">
        <f>SUMPRODUCT((NOT(ISBLANK(E$3:E$32))*(E$3:E$32&gt;$AK$3:$AK$32))+ISBLANK(E$3:E$32))</f>
        <v>0</v>
      </c>
      <c r="F40" s="1">
        <f>SUMPRODUCT((NOT(ISBLANK(F$3:F$32))*(F$3:F$32&gt;$AL$3:$AL$32))+ISBLANK(F$3:F$32))</f>
        <v>0</v>
      </c>
      <c r="G40" s="1">
        <f>SUMPRODUCT((NOT(ISBLANK(G$3:G$32))*(G$3:G$32&gt;$AM$3:$AM$32))+ISBLANK(G$3:G$32))</f>
        <v>0</v>
      </c>
      <c r="H40" s="1">
        <f>SUMPRODUCT((NOT(ISBLANK(H$3:H$32))*(H$3:H$32&gt;$AN$3:$AN$32))+ISBLANK(H$3:H$32))</f>
        <v>0</v>
      </c>
      <c r="I40" s="1">
        <f>SUMPRODUCT((NOT(ISBLANK(I$3:I$32))*(I$3:I$32&gt;$AO$3:$AO$32))+ISBLANK(I$3:I$32))</f>
        <v>0</v>
      </c>
      <c r="J40" s="1">
        <f>SUMPRODUCT((NOT(ISBLANK(J$3:J$32))*(J$3:J$32&gt;$AP$3:$AP$32))+ISBLANK(J$3:J$32))</f>
        <v>0</v>
      </c>
      <c r="K40" s="1">
        <f>SUMPRODUCT((NOT(ISBLANK(K$3:K$32))*(K$3:K$32&gt;$AQ$3:$AQ$32))+ISBLANK(K$3:K$32))</f>
        <v>0</v>
      </c>
      <c r="L40" s="1"/>
      <c r="M40" s="1">
        <f>SUMPRODUCT((NOT(ISBLANK(M$3:M$32))*(M$3:M$32&gt;$AR$3:$AR$32))+ISBLANK(M$3:M$32))</f>
        <v>0</v>
      </c>
      <c r="N40" s="1">
        <f>SUMPRODUCT((NOT(ISBLANK(N$3:N$32))*(N$3:N$32&gt;$AS$3:$AS$32))+ISBLANK(N$3:N$32))</f>
        <v>0</v>
      </c>
      <c r="O40" s="1"/>
      <c r="P40" s="1">
        <f>SUMPRODUCT((NOT(ISBLANK(P$3:P$32))*(P$3:P$32&gt;$AT$3:$AT$32))+ISBLANK(P$3:P$32))</f>
        <v>0</v>
      </c>
      <c r="Q40" s="1">
        <f>SUMPRODUCT((NOT(ISBLANK(Q$3:Q$32))*(Q$3:Q$32&gt;$AU$3:$AU$32))+ISBLANK(Q$3:Q$32))</f>
        <v>0</v>
      </c>
      <c r="R40" s="1">
        <f>SUMPRODUCT((NOT(ISBLANK(R$3:R$32))*(R$3:R$32&gt;$AV$3:$AV$32))+ISBLANK(R$3:R$32))</f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>
      <c r="A41" s="1" t="s">
        <v>17</v>
      </c>
      <c r="B41" s="1">
        <f>SUMPRODUCT((NOT(ISBLANK(B$3:B$32))*(B$3:B$32=$AW$3:$AW$32))+ISBLANK(B$3:B$32))</f>
        <v>0</v>
      </c>
      <c r="C41" s="1">
        <f>SUMPRODUCT((NOT(ISBLANK(C$3:C$32))*(C$3:C$32=$AX$3:$AX$32))+ISBLANK(C$3:C$32))</f>
        <v>0</v>
      </c>
      <c r="D41" s="1">
        <f>SUMPRODUCT((NOT(ISBLANK(D$3:D$32))*(D$3:D$32=$AY$3:$AY$32))+ISBLANK(D$3:D$32))</f>
        <v>0</v>
      </c>
      <c r="E41" s="1">
        <f>SUMPRODUCT((NOT(ISBLANK(E$3:E$32))*(E$3:E$32=$AZ$3:$AZ$32))+ISBLANK(E$3:E$32))</f>
        <v>0</v>
      </c>
      <c r="F41" s="1">
        <f>SUMPRODUCT((NOT(ISBLANK(F$3:F$32))*(F$3:F$32=$BA$3:$BA$32))+ISBLANK(F$3:F$32))</f>
        <v>0</v>
      </c>
      <c r="G41" s="1">
        <f>SUMPRODUCT((NOT(ISBLANK(G$3:G$32))*(G$3:G$32=$BB$3:$BB$32))+ISBLANK(G$3:G$32))</f>
        <v>0</v>
      </c>
      <c r="H41" s="1">
        <f>SUMPRODUCT((NOT(ISBLANK(H$3:H$32))*(H$3:H$32=$BC$3:$BC$32))+ISBLANK(H$3:H$32))</f>
        <v>0</v>
      </c>
      <c r="I41" s="1">
        <f>SUMPRODUCT((NOT(ISBLANK(I$3:I$32))*(I$3:I$32=$BD$3:$BD$32))+ISBLANK(I$3:I$32))</f>
        <v>0</v>
      </c>
      <c r="J41" s="1">
        <f>SUMPRODUCT((NOT(ISBLANK(J$3:J$32))*(J$3:J$32=$BE$3:$BE$32))+ISBLANK(J$3:J$32))</f>
        <v>0</v>
      </c>
      <c r="K41" s="1">
        <f>SUMPRODUCT((NOT(ISBLANK(K$3:K$32))*(K$3:K$32=$BF$3:$BF$32))+ISBLANK(K$3:K$32))</f>
        <v>0</v>
      </c>
      <c r="L41" s="1"/>
      <c r="M41" s="1">
        <f>SUMPRODUCT((NOT(ISBLANK(M$3:M$32))*(M$3:M$32=$BG$3:$BG$32))+ISBLANK(M$3:M$32))</f>
        <v>0</v>
      </c>
      <c r="N41" s="1">
        <f>SUMPRODUCT((NOT(ISBLANK(N$3:N$32))*(N$3:N$32=$BH$3:$BH$32))+ISBLANK(N$3:N$32))</f>
        <v>0</v>
      </c>
      <c r="O41" s="1"/>
      <c r="P41" s="1">
        <f>SUMPRODUCT((NOT(ISBLANK(P$3:P$32))*(P$3:P$32=$BI$3:$BI$32))+ISBLANK(P$3:P$32))</f>
        <v>0</v>
      </c>
      <c r="Q41" s="1">
        <f>SUMPRODUCT((NOT(ISBLANK(Q$3:Q$32))*(Q$3:Q$32=$BJ$3:$BJ$32))+ISBLANK(Q$3:Q$32))</f>
        <v>0</v>
      </c>
      <c r="R41" s="1">
        <f>SUMPRODUCT((NOT(ISBLANK(R$3:R$32))*(R$3:R$32=$BK$3:$BK$32))+ISBLANK(R$3:R$32))</f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41</v>
      </c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31</v>
      </c>
      <c r="N2" s="1" t="s">
        <v>32</v>
      </c>
      <c r="O2" s="1" t="s">
        <v>33</v>
      </c>
      <c r="P2" s="1" t="s">
        <v>35</v>
      </c>
      <c r="Q2" s="1" t="s">
        <v>36</v>
      </c>
      <c r="R2" s="1" t="s">
        <v>37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31</v>
      </c>
      <c r="AD2" s="1" t="s">
        <v>32</v>
      </c>
      <c r="AE2" s="1" t="s">
        <v>35</v>
      </c>
      <c r="AF2" s="1" t="s">
        <v>36</v>
      </c>
      <c r="AG2" s="1" t="s">
        <v>37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31</v>
      </c>
      <c r="AS2" s="1" t="s">
        <v>32</v>
      </c>
      <c r="AT2" s="1" t="s">
        <v>35</v>
      </c>
      <c r="AU2" s="1" t="s">
        <v>36</v>
      </c>
      <c r="AV2" s="1" t="s">
        <v>37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31</v>
      </c>
      <c r="BH2" s="1" t="s">
        <v>32</v>
      </c>
      <c r="BI2" s="1" t="s">
        <v>35</v>
      </c>
      <c r="BJ2" s="1" t="s">
        <v>36</v>
      </c>
      <c r="BK2" s="1" t="s">
        <v>37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>
        <f>SUM(F$3:F$32)</f>
        <v>0</v>
      </c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/>
      <c r="M34" s="1">
        <f>SUM(M$3:M$32)</f>
        <v>0</v>
      </c>
      <c r="N34" s="1">
        <f>SUM(N$3:N$32)</f>
        <v>0</v>
      </c>
      <c r="O34" s="1"/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  <c r="AA34" s="1">
        <f>SUM(AA$3:AA$32)</f>
        <v>0</v>
      </c>
      <c r="AB34" s="1">
        <f>SUM(AB$3:AB$32)</f>
        <v>0</v>
      </c>
      <c r="AC34" s="1">
        <f>SUM(AC$3:AC$32)</f>
        <v>0</v>
      </c>
      <c r="AD34" s="1">
        <f>SUM(AD$3:AD$32)</f>
        <v>0</v>
      </c>
      <c r="AE34" s="1">
        <f>SUM(AE$3:AE$32)</f>
        <v>0</v>
      </c>
      <c r="AF34" s="1">
        <f>SUM(AF$3:AF$32)</f>
        <v>0</v>
      </c>
      <c r="AG34" s="1">
        <f>SUM(AG$3:AG$32)</f>
        <v>0</v>
      </c>
      <c r="AH34" s="1">
        <f>SUM(AH$3:AH$32)</f>
        <v>0</v>
      </c>
      <c r="AI34" s="1">
        <f>SUM(AI$3:AI$32)</f>
        <v>0</v>
      </c>
      <c r="AJ34" s="1">
        <f>SUM(AJ$3:AJ$32)</f>
        <v>0</v>
      </c>
      <c r="AK34" s="1">
        <f>SUM(AK$3:AK$32)</f>
        <v>0</v>
      </c>
      <c r="AL34" s="1">
        <f>SUM(AL$3:AL$32)</f>
        <v>0</v>
      </c>
      <c r="AM34" s="1">
        <f>SUM(AM$3:AM$32)</f>
        <v>0</v>
      </c>
      <c r="AN34" s="1">
        <f>SUM(AN$3:AN$32)</f>
        <v>0</v>
      </c>
      <c r="AO34" s="1">
        <f>SUM(AO$3:AO$32)</f>
        <v>0</v>
      </c>
      <c r="AP34" s="1">
        <f>SUM(AP$3:AP$32)</f>
        <v>0</v>
      </c>
      <c r="AQ34" s="1">
        <f>SUM(AQ$3:AQ$32)</f>
        <v>0</v>
      </c>
      <c r="AR34" s="1">
        <f>SUM(AR$3:AR$32)</f>
        <v>0</v>
      </c>
      <c r="AS34" s="1">
        <f>SUM(AS$3:AS$32)</f>
        <v>0</v>
      </c>
      <c r="AT34" s="1">
        <f>SUM(AT$3:AT$32)</f>
        <v>0</v>
      </c>
      <c r="AU34" s="1">
        <f>SUM(AU$3:AU$32)</f>
        <v>0</v>
      </c>
      <c r="AV34" s="1">
        <f>SUM(AV$3:AV$32)</f>
        <v>0</v>
      </c>
      <c r="AW34" s="1">
        <f>SUM(AW$3:AW$32)</f>
        <v>0</v>
      </c>
      <c r="AX34" s="1">
        <f>SUM(AX$3:AX$32)</f>
        <v>0</v>
      </c>
      <c r="AY34" s="1">
        <f>SUM(AY$3:AY$32)</f>
        <v>0</v>
      </c>
      <c r="AZ34" s="1">
        <f>SUM(AZ$3:AZ$32)</f>
        <v>0</v>
      </c>
      <c r="BA34" s="1">
        <f>SUM(BA$3:BA$32)</f>
        <v>0</v>
      </c>
      <c r="BB34" s="1">
        <f>SUM(BB$3:BB$32)</f>
        <v>0</v>
      </c>
      <c r="BC34" s="1">
        <f>SUM(BC$3:BC$32)</f>
        <v>0</v>
      </c>
      <c r="BD34" s="1">
        <f>SUM(BD$3:BD$32)</f>
        <v>0</v>
      </c>
      <c r="BE34" s="1">
        <f>SUM(BE$3:BE$32)</f>
        <v>0</v>
      </c>
      <c r="BF34" s="1">
        <f>SUM(BF$3:BF$32)</f>
        <v>0</v>
      </c>
      <c r="BG34" s="1">
        <f>SUM(BG$3:BG$32)</f>
        <v>0</v>
      </c>
      <c r="BH34" s="1">
        <f>SUM(BH$3:BH$32)</f>
        <v>0</v>
      </c>
      <c r="BI34" s="1">
        <f>SUM(BI$3:BI$32)</f>
        <v>0</v>
      </c>
      <c r="BJ34" s="1">
        <f>SUM(BJ$3:BJ$32)</f>
        <v>0</v>
      </c>
      <c r="BK34" s="1">
        <f>SUM(BK$3:BK$32)</f>
        <v>0</v>
      </c>
    </row>
    <row r="35" spans="1:63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>
        <f>AVERAGE(F$3:F$32)</f>
        <v>0</v>
      </c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/>
      <c r="M35" s="1">
        <f>AVERAGE(M$3:M$32)</f>
        <v>0</v>
      </c>
      <c r="N35" s="1">
        <f>AVERAGE(N$3:N$32)</f>
        <v>0</v>
      </c>
      <c r="O35" s="1"/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  <c r="AA35" s="1">
        <f>AVERAGE(AA$3:AA$32)</f>
        <v>0</v>
      </c>
      <c r="AB35" s="1">
        <f>AVERAGE(AB$3:AB$32)</f>
        <v>0</v>
      </c>
      <c r="AC35" s="1">
        <f>AVERAGE(AC$3:AC$32)</f>
        <v>0</v>
      </c>
      <c r="AD35" s="1">
        <f>AVERAGE(AD$3:AD$32)</f>
        <v>0</v>
      </c>
      <c r="AE35" s="1">
        <f>AVERAGE(AE$3:AE$32)</f>
        <v>0</v>
      </c>
      <c r="AF35" s="1">
        <f>AVERAGE(AF$3:AF$32)</f>
        <v>0</v>
      </c>
      <c r="AG35" s="1">
        <f>AVERAGE(AG$3:AG$32)</f>
        <v>0</v>
      </c>
      <c r="AH35" s="1">
        <f>AVERAGE(AH$3:AH$32)</f>
        <v>0</v>
      </c>
      <c r="AI35" s="1">
        <f>AVERAGE(AI$3:AI$32)</f>
        <v>0</v>
      </c>
      <c r="AJ35" s="1">
        <f>AVERAGE(AJ$3:AJ$32)</f>
        <v>0</v>
      </c>
      <c r="AK35" s="1">
        <f>AVERAGE(AK$3:AK$32)</f>
        <v>0</v>
      </c>
      <c r="AL35" s="1">
        <f>AVERAGE(AL$3:AL$32)</f>
        <v>0</v>
      </c>
      <c r="AM35" s="1">
        <f>AVERAGE(AM$3:AM$32)</f>
        <v>0</v>
      </c>
      <c r="AN35" s="1">
        <f>AVERAGE(AN$3:AN$32)</f>
        <v>0</v>
      </c>
      <c r="AO35" s="1">
        <f>AVERAGE(AO$3:AO$32)</f>
        <v>0</v>
      </c>
      <c r="AP35" s="1">
        <f>AVERAGE(AP$3:AP$32)</f>
        <v>0</v>
      </c>
      <c r="AQ35" s="1">
        <f>AVERAGE(AQ$3:AQ$32)</f>
        <v>0</v>
      </c>
      <c r="AR35" s="1">
        <f>AVERAGE(AR$3:AR$32)</f>
        <v>0</v>
      </c>
      <c r="AS35" s="1">
        <f>AVERAGE(AS$3:AS$32)</f>
        <v>0</v>
      </c>
      <c r="AT35" s="1">
        <f>AVERAGE(AT$3:AT$32)</f>
        <v>0</v>
      </c>
      <c r="AU35" s="1">
        <f>AVERAGE(AU$3:AU$32)</f>
        <v>0</v>
      </c>
      <c r="AV35" s="1">
        <f>AVERAGE(AV$3:AV$32)</f>
        <v>0</v>
      </c>
      <c r="AW35" s="1">
        <f>AVERAGE(AW$3:AW$32)</f>
        <v>0</v>
      </c>
      <c r="AX35" s="1">
        <f>AVERAGE(AX$3:AX$32)</f>
        <v>0</v>
      </c>
      <c r="AY35" s="1">
        <f>AVERAGE(AY$3:AY$32)</f>
        <v>0</v>
      </c>
      <c r="AZ35" s="1">
        <f>AVERAGE(AZ$3:AZ$32)</f>
        <v>0</v>
      </c>
      <c r="BA35" s="1">
        <f>AVERAGE(BA$3:BA$32)</f>
        <v>0</v>
      </c>
      <c r="BB35" s="1">
        <f>AVERAGE(BB$3:BB$32)</f>
        <v>0</v>
      </c>
      <c r="BC35" s="1">
        <f>AVERAGE(BC$3:BC$32)</f>
        <v>0</v>
      </c>
      <c r="BD35" s="1">
        <f>AVERAGE(BD$3:BD$32)</f>
        <v>0</v>
      </c>
      <c r="BE35" s="1">
        <f>AVERAGE(BE$3:BE$32)</f>
        <v>0</v>
      </c>
      <c r="BF35" s="1">
        <f>AVERAGE(BF$3:BF$32)</f>
        <v>0</v>
      </c>
      <c r="BG35" s="1">
        <f>AVERAGE(BG$3:BG$32)</f>
        <v>0</v>
      </c>
      <c r="BH35" s="1">
        <f>AVERAGE(BH$3:BH$32)</f>
        <v>0</v>
      </c>
      <c r="BI35" s="1">
        <f>AVERAGE(BI$3:BI$32)</f>
        <v>0</v>
      </c>
      <c r="BJ35" s="1">
        <f>AVERAGE(BJ$3:BJ$32)</f>
        <v>0</v>
      </c>
      <c r="BK35" s="1">
        <f>AVERAGE(BK$3:BK$32)</f>
        <v>0</v>
      </c>
    </row>
    <row r="36" spans="1:63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>
        <f>STDEV(F$3:F$32)</f>
        <v>0</v>
      </c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/>
      <c r="M36" s="1">
        <f>STDEV(M$3:M$32)</f>
        <v>0</v>
      </c>
      <c r="N36" s="1">
        <f>STDEV(N$3:N$32)</f>
        <v>0</v>
      </c>
      <c r="O36" s="1"/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  <c r="AA36" s="1">
        <f>STDEV(AA$3:AA$32)</f>
        <v>0</v>
      </c>
      <c r="AB36" s="1">
        <f>STDEV(AB$3:AB$32)</f>
        <v>0</v>
      </c>
      <c r="AC36" s="1">
        <f>STDEV(AC$3:AC$32)</f>
        <v>0</v>
      </c>
      <c r="AD36" s="1">
        <f>STDEV(AD$3:AD$32)</f>
        <v>0</v>
      </c>
      <c r="AE36" s="1">
        <f>STDEV(AE$3:AE$32)</f>
        <v>0</v>
      </c>
      <c r="AF36" s="1">
        <f>STDEV(AF$3:AF$32)</f>
        <v>0</v>
      </c>
      <c r="AG36" s="1">
        <f>STDEV(AG$3:AG$32)</f>
        <v>0</v>
      </c>
      <c r="AH36" s="1">
        <f>STDEV(AH$3:AH$32)</f>
        <v>0</v>
      </c>
      <c r="AI36" s="1">
        <f>STDEV(AI$3:AI$32)</f>
        <v>0</v>
      </c>
      <c r="AJ36" s="1">
        <f>STDEV(AJ$3:AJ$32)</f>
        <v>0</v>
      </c>
      <c r="AK36" s="1">
        <f>STDEV(AK$3:AK$32)</f>
        <v>0</v>
      </c>
      <c r="AL36" s="1">
        <f>STDEV(AL$3:AL$32)</f>
        <v>0</v>
      </c>
      <c r="AM36" s="1">
        <f>STDEV(AM$3:AM$32)</f>
        <v>0</v>
      </c>
      <c r="AN36" s="1">
        <f>STDEV(AN$3:AN$32)</f>
        <v>0</v>
      </c>
      <c r="AO36" s="1">
        <f>STDEV(AO$3:AO$32)</f>
        <v>0</v>
      </c>
      <c r="AP36" s="1">
        <f>STDEV(AP$3:AP$32)</f>
        <v>0</v>
      </c>
      <c r="AQ36" s="1">
        <f>STDEV(AQ$3:AQ$32)</f>
        <v>0</v>
      </c>
      <c r="AR36" s="1">
        <f>STDEV(AR$3:AR$32)</f>
        <v>0</v>
      </c>
      <c r="AS36" s="1">
        <f>STDEV(AS$3:AS$32)</f>
        <v>0</v>
      </c>
      <c r="AT36" s="1">
        <f>STDEV(AT$3:AT$32)</f>
        <v>0</v>
      </c>
      <c r="AU36" s="1">
        <f>STDEV(AU$3:AU$32)</f>
        <v>0</v>
      </c>
      <c r="AV36" s="1">
        <f>STDEV(AV$3:AV$32)</f>
        <v>0</v>
      </c>
      <c r="AW36" s="1">
        <f>STDEV(AW$3:AW$32)</f>
        <v>0</v>
      </c>
      <c r="AX36" s="1">
        <f>STDEV(AX$3:AX$32)</f>
        <v>0</v>
      </c>
      <c r="AY36" s="1">
        <f>STDEV(AY$3:AY$32)</f>
        <v>0</v>
      </c>
      <c r="AZ36" s="1">
        <f>STDEV(AZ$3:AZ$32)</f>
        <v>0</v>
      </c>
      <c r="BA36" s="1">
        <f>STDEV(BA$3:BA$32)</f>
        <v>0</v>
      </c>
      <c r="BB36" s="1">
        <f>STDEV(BB$3:BB$32)</f>
        <v>0</v>
      </c>
      <c r="BC36" s="1">
        <f>STDEV(BC$3:BC$32)</f>
        <v>0</v>
      </c>
      <c r="BD36" s="1">
        <f>STDEV(BD$3:BD$32)</f>
        <v>0</v>
      </c>
      <c r="BE36" s="1">
        <f>STDEV(BE$3:BE$32)</f>
        <v>0</v>
      </c>
      <c r="BF36" s="1">
        <f>STDEV(BF$3:BF$32)</f>
        <v>0</v>
      </c>
      <c r="BG36" s="1">
        <f>STDEV(BG$3:BG$32)</f>
        <v>0</v>
      </c>
      <c r="BH36" s="1">
        <f>STDEV(BH$3:BH$32)</f>
        <v>0</v>
      </c>
      <c r="BI36" s="1">
        <f>STDEV(BI$3:BI$32)</f>
        <v>0</v>
      </c>
      <c r="BJ36" s="1">
        <f>STDEV(BJ$3:BJ$32)</f>
        <v>0</v>
      </c>
      <c r="BK36" s="1">
        <f>STDEV(BK$3:BK$32)</f>
        <v>0</v>
      </c>
    </row>
    <row r="37" spans="1:63">
      <c r="A37" s="1" t="s">
        <v>13</v>
      </c>
      <c r="B37" s="1">
        <f>SUMPRODUCT(--(B$3:B$32-$S$3:$S$32)^2)^0.5</f>
        <v>0</v>
      </c>
      <c r="C37" s="1">
        <f>SUMPRODUCT(--(C$3:C$32-$T$3:$T$32)^2)^0.5</f>
        <v>0</v>
      </c>
      <c r="D37" s="1">
        <f>SUMPRODUCT(--(D$3:D$32-$U$3:$U$32)^2)^0.5</f>
        <v>0</v>
      </c>
      <c r="E37" s="1">
        <f>SUMPRODUCT(--(E$3:E$32-$V$3:$V$32)^2)^0.5</f>
        <v>0</v>
      </c>
      <c r="F37" s="1">
        <f>SUMPRODUCT(--(F$3:F$32-$W$3:$W$32)^2)^0.5</f>
        <v>0</v>
      </c>
      <c r="G37" s="1">
        <f>SUMPRODUCT(--(G$3:G$32-$X$3:$X$32)^2)^0.5</f>
        <v>0</v>
      </c>
      <c r="H37" s="1">
        <f>SUMPRODUCT(--(H$3:H$32-$Y$3:$Y$32)^2)^0.5</f>
        <v>0</v>
      </c>
      <c r="I37" s="1">
        <f>SUMPRODUCT(--(I$3:I$32-$Z$3:$Z$32)^2)^0.5</f>
        <v>0</v>
      </c>
      <c r="J37" s="1">
        <f>SUMPRODUCT(--(J$3:J$32-$AA$3:$AA$32)^2)^0.5</f>
        <v>0</v>
      </c>
      <c r="K37" s="1">
        <f>SUMPRODUCT(--(K$3:K$32-$AB$3:$AB$32)^2)^0.5</f>
        <v>0</v>
      </c>
      <c r="L37" s="1"/>
      <c r="M37" s="1">
        <f>SUMPRODUCT(--(M$3:M$32-$AC$3:$AC$32)^2)^0.5</f>
        <v>0</v>
      </c>
      <c r="N37" s="1">
        <f>SUMPRODUCT(--(N$3:N$32-$AD$3:$AD$32)^2)^0.5</f>
        <v>0</v>
      </c>
      <c r="O37" s="1"/>
      <c r="P37" s="1">
        <f>SUMPRODUCT(--(P$3:P$32-$AE$3:$AE$32)^2)^0.5</f>
        <v>0</v>
      </c>
      <c r="Q37" s="1">
        <f>SUMPRODUCT(--(Q$3:Q$32-$AF$3:$AF$32)^2)^0.5</f>
        <v>0</v>
      </c>
      <c r="R37" s="1">
        <f>SUMPRODUCT(--(R$3:R$32-$AG$3:$AG$32)^2)^0.5</f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>
      <c r="A38" s="1" t="s">
        <v>14</v>
      </c>
      <c r="B38" s="1">
        <f>SUMPRODUCT(NOT(ISBLANK(B$3:B$32))*(B$3:B$32=$S$3:$S$32))</f>
        <v>0</v>
      </c>
      <c r="C38" s="1">
        <f>SUMPRODUCT(NOT(ISBLANK(C$3:C$32))*(C$3:C$32=$T$3:$T$32))</f>
        <v>0</v>
      </c>
      <c r="D38" s="1">
        <f>SUMPRODUCT(NOT(ISBLANK(D$3:D$32))*(D$3:D$32=$U$3:$U$32))</f>
        <v>0</v>
      </c>
      <c r="E38" s="1">
        <f>SUMPRODUCT(NOT(ISBLANK(E$3:E$32))*(E$3:E$32=$V$3:$V$32))</f>
        <v>0</v>
      </c>
      <c r="F38" s="1">
        <f>SUMPRODUCT(NOT(ISBLANK(F$3:F$32))*(F$3:F$32=$W$3:$W$32))</f>
        <v>0</v>
      </c>
      <c r="G38" s="1">
        <f>SUMPRODUCT(NOT(ISBLANK(G$3:G$32))*(G$3:G$32=$X$3:$X$32))</f>
        <v>0</v>
      </c>
      <c r="H38" s="1">
        <f>SUMPRODUCT(NOT(ISBLANK(H$3:H$32))*(H$3:H$32=$Y$3:$Y$32))</f>
        <v>0</v>
      </c>
      <c r="I38" s="1">
        <f>SUMPRODUCT(NOT(ISBLANK(I$3:I$32))*(I$3:I$32=$Z$3:$Z$32))</f>
        <v>0</v>
      </c>
      <c r="J38" s="1">
        <f>SUMPRODUCT(NOT(ISBLANK(J$3:J$32))*(J$3:J$32=$AA$3:$AA$32))</f>
        <v>0</v>
      </c>
      <c r="K38" s="1">
        <f>SUMPRODUCT(NOT(ISBLANK(K$3:K$32))*(K$3:K$32=$AB$3:$AB$32))</f>
        <v>0</v>
      </c>
      <c r="L38" s="1"/>
      <c r="M38" s="1">
        <f>SUMPRODUCT(NOT(ISBLANK(M$3:M$32))*(M$3:M$32=$AC$3:$AC$32))</f>
        <v>0</v>
      </c>
      <c r="N38" s="1">
        <f>SUMPRODUCT(NOT(ISBLANK(N$3:N$32))*(N$3:N$32=$AD$3:$AD$32))</f>
        <v>0</v>
      </c>
      <c r="O38" s="1"/>
      <c r="P38" s="1">
        <f>SUMPRODUCT(NOT(ISBLANK(P$3:P$32))*(P$3:P$32=$AE$3:$AE$32))</f>
        <v>0</v>
      </c>
      <c r="Q38" s="1">
        <f>SUMPRODUCT(NOT(ISBLANK(Q$3:Q$32))*(Q$3:Q$32=$AF$3:$AF$32))</f>
        <v>0</v>
      </c>
      <c r="R38" s="1">
        <f>SUMPRODUCT(NOT(ISBLANK(R$3:R$32))*(R$3:R$32=$AG$3:$AG$32))</f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>
      <c r="A39" s="1" t="s">
        <v>15</v>
      </c>
      <c r="B39" s="1">
        <f>SUMPRODUCT(NOT(ISBLANK(B$3:B$32))*(B$3:B$32&lt;$AH$3:$AH$32))</f>
        <v>0</v>
      </c>
      <c r="C39" s="1">
        <f>SUMPRODUCT(NOT(ISBLANK(C$3:C$32))*(C$3:C$32&lt;$AI$3:$AI$32))</f>
        <v>0</v>
      </c>
      <c r="D39" s="1">
        <f>SUMPRODUCT(NOT(ISBLANK(D$3:D$32))*(D$3:D$32&lt;$AJ$3:$AJ$32))</f>
        <v>0</v>
      </c>
      <c r="E39" s="1">
        <f>SUMPRODUCT(NOT(ISBLANK(E$3:E$32))*(E$3:E$32&lt;$AK$3:$AK$32))</f>
        <v>0</v>
      </c>
      <c r="F39" s="1">
        <f>SUMPRODUCT(NOT(ISBLANK(F$3:F$32))*(F$3:F$32&lt;$AL$3:$AL$32))</f>
        <v>0</v>
      </c>
      <c r="G39" s="1">
        <f>SUMPRODUCT(NOT(ISBLANK(G$3:G$32))*(G$3:G$32&lt;$AM$3:$AM$32))</f>
        <v>0</v>
      </c>
      <c r="H39" s="1">
        <f>SUMPRODUCT(NOT(ISBLANK(H$3:H$32))*(H$3:H$32&lt;$AN$3:$AN$32))</f>
        <v>0</v>
      </c>
      <c r="I39" s="1">
        <f>SUMPRODUCT(NOT(ISBLANK(I$3:I$32))*(I$3:I$32&lt;$AO$3:$AO$32))</f>
        <v>0</v>
      </c>
      <c r="J39" s="1">
        <f>SUMPRODUCT(NOT(ISBLANK(J$3:J$32))*(J$3:J$32&lt;$AP$3:$AP$32))</f>
        <v>0</v>
      </c>
      <c r="K39" s="1">
        <f>SUMPRODUCT(NOT(ISBLANK(K$3:K$32))*(K$3:K$32&lt;$AQ$3:$AQ$32))</f>
        <v>0</v>
      </c>
      <c r="L39" s="1"/>
      <c r="M39" s="1">
        <f>SUMPRODUCT(NOT(ISBLANK(M$3:M$32))*(M$3:M$32&lt;$AR$3:$AR$32))</f>
        <v>0</v>
      </c>
      <c r="N39" s="1">
        <f>SUMPRODUCT(NOT(ISBLANK(N$3:N$32))*(N$3:N$32&lt;$AS$3:$AS$32))</f>
        <v>0</v>
      </c>
      <c r="O39" s="1"/>
      <c r="P39" s="1">
        <f>SUMPRODUCT(NOT(ISBLANK(P$3:P$32))*(P$3:P$32&lt;$AT$3:$AT$32))</f>
        <v>0</v>
      </c>
      <c r="Q39" s="1">
        <f>SUMPRODUCT(NOT(ISBLANK(Q$3:Q$32))*(Q$3:Q$32&lt;$AU$3:$AU$32))</f>
        <v>0</v>
      </c>
      <c r="R39" s="1">
        <f>SUMPRODUCT(NOT(ISBLANK(R$3:R$32))*(R$3:R$32&lt;$AV$3:$AV$32))</f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>
      <c r="A40" s="1" t="s">
        <v>16</v>
      </c>
      <c r="B40" s="1">
        <f>SUMPRODUCT((NOT(ISBLANK(B$3:B$32))*(B$3:B$32&gt;$AH$3:$AH$32))+ISBLANK(B$3:B$32))</f>
        <v>0</v>
      </c>
      <c r="C40" s="1">
        <f>SUMPRODUCT((NOT(ISBLANK(C$3:C$32))*(C$3:C$32&gt;$AI$3:$AI$32))+ISBLANK(C$3:C$32))</f>
        <v>0</v>
      </c>
      <c r="D40" s="1">
        <f>SUMPRODUCT((NOT(ISBLANK(D$3:D$32))*(D$3:D$32&gt;$AJ$3:$AJ$32))+ISBLANK(D$3:D$32))</f>
        <v>0</v>
      </c>
      <c r="E40" s="1">
        <f>SUMPRODUCT((NOT(ISBLANK(E$3:E$32))*(E$3:E$32&gt;$AK$3:$AK$32))+ISBLANK(E$3:E$32))</f>
        <v>0</v>
      </c>
      <c r="F40" s="1">
        <f>SUMPRODUCT((NOT(ISBLANK(F$3:F$32))*(F$3:F$32&gt;$AL$3:$AL$32))+ISBLANK(F$3:F$32))</f>
        <v>0</v>
      </c>
      <c r="G40" s="1">
        <f>SUMPRODUCT((NOT(ISBLANK(G$3:G$32))*(G$3:G$32&gt;$AM$3:$AM$32))+ISBLANK(G$3:G$32))</f>
        <v>0</v>
      </c>
      <c r="H40" s="1">
        <f>SUMPRODUCT((NOT(ISBLANK(H$3:H$32))*(H$3:H$32&gt;$AN$3:$AN$32))+ISBLANK(H$3:H$32))</f>
        <v>0</v>
      </c>
      <c r="I40" s="1">
        <f>SUMPRODUCT((NOT(ISBLANK(I$3:I$32))*(I$3:I$32&gt;$AO$3:$AO$32))+ISBLANK(I$3:I$32))</f>
        <v>0</v>
      </c>
      <c r="J40" s="1">
        <f>SUMPRODUCT((NOT(ISBLANK(J$3:J$32))*(J$3:J$32&gt;$AP$3:$AP$32))+ISBLANK(J$3:J$32))</f>
        <v>0</v>
      </c>
      <c r="K40" s="1">
        <f>SUMPRODUCT((NOT(ISBLANK(K$3:K$32))*(K$3:K$32&gt;$AQ$3:$AQ$32))+ISBLANK(K$3:K$32))</f>
        <v>0</v>
      </c>
      <c r="L40" s="1"/>
      <c r="M40" s="1">
        <f>SUMPRODUCT((NOT(ISBLANK(M$3:M$32))*(M$3:M$32&gt;$AR$3:$AR$32))+ISBLANK(M$3:M$32))</f>
        <v>0</v>
      </c>
      <c r="N40" s="1">
        <f>SUMPRODUCT((NOT(ISBLANK(N$3:N$32))*(N$3:N$32&gt;$AS$3:$AS$32))+ISBLANK(N$3:N$32))</f>
        <v>0</v>
      </c>
      <c r="O40" s="1"/>
      <c r="P40" s="1">
        <f>SUMPRODUCT((NOT(ISBLANK(P$3:P$32))*(P$3:P$32&gt;$AT$3:$AT$32))+ISBLANK(P$3:P$32))</f>
        <v>0</v>
      </c>
      <c r="Q40" s="1">
        <f>SUMPRODUCT((NOT(ISBLANK(Q$3:Q$32))*(Q$3:Q$32&gt;$AU$3:$AU$32))+ISBLANK(Q$3:Q$32))</f>
        <v>0</v>
      </c>
      <c r="R40" s="1">
        <f>SUMPRODUCT((NOT(ISBLANK(R$3:R$32))*(R$3:R$32&gt;$AV$3:$AV$32))+ISBLANK(R$3:R$32))</f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>
      <c r="A41" s="1" t="s">
        <v>17</v>
      </c>
      <c r="B41" s="1">
        <f>SUMPRODUCT((NOT(ISBLANK(B$3:B$32))*(B$3:B$32=$AW$3:$AW$32))+ISBLANK(B$3:B$32))</f>
        <v>0</v>
      </c>
      <c r="C41" s="1">
        <f>SUMPRODUCT((NOT(ISBLANK(C$3:C$32))*(C$3:C$32=$AX$3:$AX$32))+ISBLANK(C$3:C$32))</f>
        <v>0</v>
      </c>
      <c r="D41" s="1">
        <f>SUMPRODUCT((NOT(ISBLANK(D$3:D$32))*(D$3:D$32=$AY$3:$AY$32))+ISBLANK(D$3:D$32))</f>
        <v>0</v>
      </c>
      <c r="E41" s="1">
        <f>SUMPRODUCT((NOT(ISBLANK(E$3:E$32))*(E$3:E$32=$AZ$3:$AZ$32))+ISBLANK(E$3:E$32))</f>
        <v>0</v>
      </c>
      <c r="F41" s="1">
        <f>SUMPRODUCT((NOT(ISBLANK(F$3:F$32))*(F$3:F$32=$BA$3:$BA$32))+ISBLANK(F$3:F$32))</f>
        <v>0</v>
      </c>
      <c r="G41" s="1">
        <f>SUMPRODUCT((NOT(ISBLANK(G$3:G$32))*(G$3:G$32=$BB$3:$BB$32))+ISBLANK(G$3:G$32))</f>
        <v>0</v>
      </c>
      <c r="H41" s="1">
        <f>SUMPRODUCT((NOT(ISBLANK(H$3:H$32))*(H$3:H$32=$BC$3:$BC$32))+ISBLANK(H$3:H$32))</f>
        <v>0</v>
      </c>
      <c r="I41" s="1">
        <f>SUMPRODUCT((NOT(ISBLANK(I$3:I$32))*(I$3:I$32=$BD$3:$BD$32))+ISBLANK(I$3:I$32))</f>
        <v>0</v>
      </c>
      <c r="J41" s="1">
        <f>SUMPRODUCT((NOT(ISBLANK(J$3:J$32))*(J$3:J$32=$BE$3:$BE$32))+ISBLANK(J$3:J$32))</f>
        <v>0</v>
      </c>
      <c r="K41" s="1">
        <f>SUMPRODUCT((NOT(ISBLANK(K$3:K$32))*(K$3:K$32=$BF$3:$BF$32))+ISBLANK(K$3:K$32))</f>
        <v>0</v>
      </c>
      <c r="L41" s="1"/>
      <c r="M41" s="1">
        <f>SUMPRODUCT((NOT(ISBLANK(M$3:M$32))*(M$3:M$32=$BG$3:$BG$32))+ISBLANK(M$3:M$32))</f>
        <v>0</v>
      </c>
      <c r="N41" s="1">
        <f>SUMPRODUCT((NOT(ISBLANK(N$3:N$32))*(N$3:N$32=$BH$3:$BH$32))+ISBLANK(N$3:N$32))</f>
        <v>0</v>
      </c>
      <c r="O41" s="1"/>
      <c r="P41" s="1">
        <f>SUMPRODUCT((NOT(ISBLANK(P$3:P$32))*(P$3:P$32=$BI$3:$BI$32))+ISBLANK(P$3:P$32))</f>
        <v>0</v>
      </c>
      <c r="Q41" s="1">
        <f>SUMPRODUCT((NOT(ISBLANK(Q$3:Q$32))*(Q$3:Q$32=$BJ$3:$BJ$32))+ISBLANK(Q$3:Q$32))</f>
        <v>0</v>
      </c>
      <c r="R41" s="1">
        <f>SUMPRODUCT((NOT(ISBLANK(R$3:R$32))*(R$3:R$32=$BK$3:$BK$32))+ISBLANK(R$3:R$32))</f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31</v>
      </c>
      <c r="N2" s="1" t="s">
        <v>32</v>
      </c>
      <c r="O2" s="1" t="s">
        <v>33</v>
      </c>
      <c r="P2" s="1" t="s">
        <v>35</v>
      </c>
      <c r="Q2" s="1" t="s">
        <v>36</v>
      </c>
      <c r="R2" s="1" t="s">
        <v>37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31</v>
      </c>
      <c r="AD2" s="1" t="s">
        <v>32</v>
      </c>
      <c r="AE2" s="1" t="s">
        <v>35</v>
      </c>
      <c r="AF2" s="1" t="s">
        <v>36</v>
      </c>
      <c r="AG2" s="1" t="s">
        <v>37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31</v>
      </c>
      <c r="AS2" s="1" t="s">
        <v>32</v>
      </c>
      <c r="AT2" s="1" t="s">
        <v>35</v>
      </c>
      <c r="AU2" s="1" t="s">
        <v>36</v>
      </c>
      <c r="AV2" s="1" t="s">
        <v>37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31</v>
      </c>
      <c r="BH2" s="1" t="s">
        <v>32</v>
      </c>
      <c r="BI2" s="1" t="s">
        <v>35</v>
      </c>
      <c r="BJ2" s="1" t="s">
        <v>36</v>
      </c>
      <c r="BK2" s="1" t="s">
        <v>37</v>
      </c>
    </row>
    <row r="3" spans="1:63">
      <c r="A3" s="1"/>
      <c r="B3" s="1">
        <f>AVERAGE(Instances!B3:Instances!B12)</f>
        <v>0</v>
      </c>
      <c r="C3" s="1">
        <f>AVERAGE(Instances!C3:Instances!C12)</f>
        <v>0</v>
      </c>
      <c r="D3" s="1">
        <f>AVERAGE(Instances!D3:Instances!D12)</f>
        <v>0</v>
      </c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>
        <f>AVERAGE(Instances!K3:Instances!K12)</f>
        <v>0</v>
      </c>
      <c r="L3" s="1"/>
      <c r="M3" s="1">
        <f>AVERAGE(Instances!M3:Instances!M12)</f>
        <v>0</v>
      </c>
      <c r="N3" s="1">
        <f>AVERAGE(Instances!N3:Instances!N12)</f>
        <v>0</v>
      </c>
      <c r="O3" s="1"/>
      <c r="P3" s="1">
        <f>AVERAGE(Instances!P3:Instances!P12)</f>
        <v>0</v>
      </c>
      <c r="Q3" s="1">
        <f>SUM(Instances!Q3:Instances!Q12)</f>
        <v>0</v>
      </c>
      <c r="R3" s="1">
        <f>AVERAGE(Instances!R3:Instances!R12)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/>
      <c r="B4" s="1">
        <f>AVERAGE(Instances!B13:Instances!B22)</f>
        <v>0</v>
      </c>
      <c r="C4" s="1">
        <f>AVERAGE(Instances!C13:Instances!C22)</f>
        <v>0</v>
      </c>
      <c r="D4" s="1">
        <f>AVERAGE(Instances!D13:Instances!D22)</f>
        <v>0</v>
      </c>
      <c r="E4" s="1">
        <f>AVERAGE(Instances!E13:Instances!E22)</f>
        <v>0</v>
      </c>
      <c r="F4" s="1">
        <f>AVERAGE(Instances!F13:Instances!F22)</f>
        <v>0</v>
      </c>
      <c r="G4" s="1">
        <f>AVERAGE(Instances!G13:Instances!G22)</f>
        <v>0</v>
      </c>
      <c r="H4" s="1">
        <f>AVERAGE(Instances!H13:Instances!H22)</f>
        <v>0</v>
      </c>
      <c r="I4" s="1">
        <f>AVERAGE(Instances!I13:Instances!I22)</f>
        <v>0</v>
      </c>
      <c r="J4" s="1">
        <f>AVERAGE(Instances!J13:Instances!J22)</f>
        <v>0</v>
      </c>
      <c r="K4" s="1">
        <f>AVERAGE(Instances!K13:Instances!K22)</f>
        <v>0</v>
      </c>
      <c r="L4" s="1"/>
      <c r="M4" s="1">
        <f>AVERAGE(Instances!M13:Instances!M22)</f>
        <v>0</v>
      </c>
      <c r="N4" s="1">
        <f>AVERAGE(Instances!N13:Instances!N22)</f>
        <v>0</v>
      </c>
      <c r="O4" s="1"/>
      <c r="P4" s="1">
        <f>AVERAGE(Instances!P13:Instances!P22)</f>
        <v>0</v>
      </c>
      <c r="Q4" s="1">
        <f>SUM(Instances!Q13:Instances!Q22)</f>
        <v>0</v>
      </c>
      <c r="R4" s="1">
        <f>AVERAGE(Instances!R13:Instances!R22)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/>
      <c r="B5" s="1">
        <f>AVERAGE(Instances!B23:Instances!B32)</f>
        <v>0</v>
      </c>
      <c r="C5" s="1">
        <f>AVERAGE(Instances!C23:Instances!C32)</f>
        <v>0</v>
      </c>
      <c r="D5" s="1">
        <f>AVERAGE(Instances!D23:Instances!D32)</f>
        <v>0</v>
      </c>
      <c r="E5" s="1">
        <f>AVERAGE(Instances!E23:Instances!E32)</f>
        <v>0</v>
      </c>
      <c r="F5" s="1">
        <f>AVERAGE(Instances!F23:Instances!F32)</f>
        <v>0</v>
      </c>
      <c r="G5" s="1">
        <f>AVERAGE(Instances!G23:Instances!G32)</f>
        <v>0</v>
      </c>
      <c r="H5" s="1">
        <f>AVERAGE(Instances!H23:Instances!H32)</f>
        <v>0</v>
      </c>
      <c r="I5" s="1">
        <f>AVERAGE(Instances!I23:Instances!I32)</f>
        <v>0</v>
      </c>
      <c r="J5" s="1">
        <f>AVERAGE(Instances!J23:Instances!J32)</f>
        <v>0</v>
      </c>
      <c r="K5" s="1">
        <f>AVERAGE(Instances!K23:Instances!K32)</f>
        <v>0</v>
      </c>
      <c r="L5" s="1"/>
      <c r="M5" s="1">
        <f>AVERAGE(Instances!M23:Instances!M32)</f>
        <v>0</v>
      </c>
      <c r="N5" s="1">
        <f>AVERAGE(Instances!N23:Instances!N32)</f>
        <v>0</v>
      </c>
      <c r="O5" s="1"/>
      <c r="P5" s="1">
        <f>AVERAGE(Instances!P23:Instances!P32)</f>
        <v>0</v>
      </c>
      <c r="Q5" s="1">
        <f>SUM(Instances!Q23:Instances!Q32)</f>
        <v>0</v>
      </c>
      <c r="R5" s="1">
        <f>AVERAGE(Instances!R23:Instances!R32)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>
      <c r="A7" s="1" t="s">
        <v>10</v>
      </c>
      <c r="B7" s="1">
        <f>SUM(B$3:B$5)</f>
        <v>0</v>
      </c>
      <c r="C7" s="1">
        <f>SUM(C$3:C$5)</f>
        <v>0</v>
      </c>
      <c r="D7" s="1">
        <f>SUM(D$3:D$5)</f>
        <v>0</v>
      </c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>
        <f>SUM(K$3:K$5)</f>
        <v>0</v>
      </c>
      <c r="L7" s="1"/>
      <c r="M7" s="1">
        <f>SUM(M$3:M$5)</f>
        <v>0</v>
      </c>
      <c r="N7" s="1">
        <f>SUM(N$3:N$5)</f>
        <v>0</v>
      </c>
      <c r="O7" s="1"/>
      <c r="P7" s="1">
        <f>SUM(P$3:P$5)</f>
        <v>0</v>
      </c>
      <c r="Q7" s="1">
        <f>SUM(Q$3:Q$5)</f>
        <v>0</v>
      </c>
      <c r="R7" s="1">
        <f>SUM(R$3:R$5)</f>
        <v>0</v>
      </c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>
        <f>SUM(Y$3:Y$5)</f>
        <v>0</v>
      </c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>
        <f>SUM(AF$3:AF$5)</f>
        <v>0</v>
      </c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>
        <f>SUM(AM$3:AM$5)</f>
        <v>0</v>
      </c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>
        <f>SUM(AT$3:AT$5)</f>
        <v>0</v>
      </c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>
        <f>SUM(BA$3:BA$5)</f>
        <v>0</v>
      </c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>
        <f>SUM(BH$3:BH$5)</f>
        <v>0</v>
      </c>
      <c r="BI7" s="1">
        <f>SUM(BI$3:BI$5)</f>
        <v>0</v>
      </c>
      <c r="BJ7" s="1">
        <f>SUM(BJ$3:BJ$5)</f>
        <v>0</v>
      </c>
      <c r="BK7" s="1">
        <f>SUM(BK$3:BK$5)</f>
        <v>0</v>
      </c>
    </row>
    <row r="8" spans="1:63">
      <c r="A8" s="1" t="s">
        <v>11</v>
      </c>
      <c r="B8" s="1">
        <f>AVERAGE(B$3:B$5)</f>
        <v>0</v>
      </c>
      <c r="C8" s="1">
        <f>AVERAGE(C$3:C$5)</f>
        <v>0</v>
      </c>
      <c r="D8" s="1">
        <f>AVERAGE(D$3:D$5)</f>
        <v>0</v>
      </c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>
        <f>AVERAGE(K$3:K$5)</f>
        <v>0</v>
      </c>
      <c r="L8" s="1"/>
      <c r="M8" s="1">
        <f>AVERAGE(M$3:M$5)</f>
        <v>0</v>
      </c>
      <c r="N8" s="1">
        <f>AVERAGE(N$3:N$5)</f>
        <v>0</v>
      </c>
      <c r="O8" s="1"/>
      <c r="P8" s="1">
        <f>AVERAGE(P$3:P$5)</f>
        <v>0</v>
      </c>
      <c r="Q8" s="1">
        <f>AVERAGE(Q$3:Q$5)</f>
        <v>0</v>
      </c>
      <c r="R8" s="1">
        <f>AVERAGE(R$3:R$5)</f>
        <v>0</v>
      </c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>
        <f>AVERAGE(Y$3:Y$5)</f>
        <v>0</v>
      </c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>
        <f>AVERAGE(AF$3:AF$5)</f>
        <v>0</v>
      </c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>
        <f>AVERAGE(AM$3:AM$5)</f>
        <v>0</v>
      </c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>
        <f>AVERAGE(AT$3:AT$5)</f>
        <v>0</v>
      </c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>
        <f>AVERAGE(BA$3:BA$5)</f>
        <v>0</v>
      </c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>
        <f>AVERAGE(BH$3:BH$5)</f>
        <v>0</v>
      </c>
      <c r="BI8" s="1">
        <f>AVERAGE(BI$3:BI$5)</f>
        <v>0</v>
      </c>
      <c r="BJ8" s="1">
        <f>AVERAGE(BJ$3:BJ$5)</f>
        <v>0</v>
      </c>
      <c r="BK8" s="1">
        <f>AVERAGE(BK$3:BK$5)</f>
        <v>0</v>
      </c>
    </row>
    <row r="9" spans="1:63">
      <c r="A9" s="1" t="s">
        <v>12</v>
      </c>
      <c r="B9" s="1">
        <f>STDEV(B$3:B$5)</f>
        <v>0</v>
      </c>
      <c r="C9" s="1">
        <f>STDEV(C$3:C$5)</f>
        <v>0</v>
      </c>
      <c r="D9" s="1">
        <f>STDEV(D$3:D$5)</f>
        <v>0</v>
      </c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>
        <f>STDEV(K$3:K$5)</f>
        <v>0</v>
      </c>
      <c r="L9" s="1"/>
      <c r="M9" s="1">
        <f>STDEV(M$3:M$5)</f>
        <v>0</v>
      </c>
      <c r="N9" s="1">
        <f>STDEV(N$3:N$5)</f>
        <v>0</v>
      </c>
      <c r="O9" s="1"/>
      <c r="P9" s="1">
        <f>STDEV(P$3:P$5)</f>
        <v>0</v>
      </c>
      <c r="Q9" s="1">
        <f>STDEV(Q$3:Q$5)</f>
        <v>0</v>
      </c>
      <c r="R9" s="1">
        <f>STDEV(R$3:R$5)</f>
        <v>0</v>
      </c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>
        <f>STDEV(Y$3:Y$5)</f>
        <v>0</v>
      </c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>
        <f>STDEV(AF$3:AF$5)</f>
        <v>0</v>
      </c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>
        <f>STDEV(AM$3:AM$5)</f>
        <v>0</v>
      </c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>
        <f>STDEV(AT$3:AT$5)</f>
        <v>0</v>
      </c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>
        <f>STDEV(BA$3:BA$5)</f>
        <v>0</v>
      </c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>
        <f>STDEV(BH$3:BH$5)</f>
        <v>0</v>
      </c>
      <c r="BI9" s="1">
        <f>STDEV(BI$3:BI$5)</f>
        <v>0</v>
      </c>
      <c r="BJ9" s="1">
        <f>STDEV(BJ$3:BJ$5)</f>
        <v>0</v>
      </c>
      <c r="BK9" s="1">
        <f>STDEV(BK$3:BK$5)</f>
        <v>0</v>
      </c>
    </row>
    <row r="10" spans="1:63">
      <c r="A10" s="1" t="s">
        <v>13</v>
      </c>
      <c r="B10" s="1">
        <f>SUMPRODUCT(--(B$3:B$5-$S$3:$S$5)^2)^0.5</f>
        <v>0</v>
      </c>
      <c r="C10" s="1">
        <f>SUMPRODUCT(--(C$3:C$5-$T$3:$T$5)^2)^0.5</f>
        <v>0</v>
      </c>
      <c r="D10" s="1">
        <f>SUMPRODUCT(--(D$3:D$5-$U$3:$U$5)^2)^0.5</f>
        <v>0</v>
      </c>
      <c r="E10" s="1">
        <f>SUMPRODUCT(--(E$3:E$5-$V$3:$V$5)^2)^0.5</f>
        <v>0</v>
      </c>
      <c r="F10" s="1">
        <f>SUMPRODUCT(--(F$3:F$5-$W$3:$W$5)^2)^0.5</f>
        <v>0</v>
      </c>
      <c r="G10" s="1">
        <f>SUMPRODUCT(--(G$3:G$5-$X$3:$X$5)^2)^0.5</f>
        <v>0</v>
      </c>
      <c r="H10" s="1">
        <f>SUMPRODUCT(--(H$3:H$5-$Y$3:$Y$5)^2)^0.5</f>
        <v>0</v>
      </c>
      <c r="I10" s="1">
        <f>SUMPRODUCT(--(I$3:I$5-$Z$3:$Z$5)^2)^0.5</f>
        <v>0</v>
      </c>
      <c r="J10" s="1">
        <f>SUMPRODUCT(--(J$3:J$5-$AA$3:$AA$5)^2)^0.5</f>
        <v>0</v>
      </c>
      <c r="K10" s="1">
        <f>SUMPRODUCT(--(K$3:K$5-$AB$3:$AB$5)^2)^0.5</f>
        <v>0</v>
      </c>
      <c r="L10" s="1"/>
      <c r="M10" s="1">
        <f>SUMPRODUCT(--(M$3:M$5-$AC$3:$AC$5)^2)^0.5</f>
        <v>0</v>
      </c>
      <c r="N10" s="1">
        <f>SUMPRODUCT(--(N$3:N$5-$AD$3:$AD$5)^2)^0.5</f>
        <v>0</v>
      </c>
      <c r="O10" s="1"/>
      <c r="P10" s="1">
        <f>SUMPRODUCT(--(P$3:P$5-$AE$3:$AE$5)^2)^0.5</f>
        <v>0</v>
      </c>
      <c r="Q10" s="1">
        <f>SUMPRODUCT(--(Q$3:Q$5-$AF$3:$AF$5)^2)^0.5</f>
        <v>0</v>
      </c>
      <c r="R10" s="1">
        <f>SUMPRODUCT(--(R$3:R$5-$AG$3:$AG$5)^2)^0.5</f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>
      <c r="A11" s="1" t="s">
        <v>14</v>
      </c>
      <c r="B11" s="1">
        <f>SUMPRODUCT(NOT(ISBLANK(B$3:B$5))*(B$3:B$5=$S$3:$S$5))</f>
        <v>0</v>
      </c>
      <c r="C11" s="1">
        <f>SUMPRODUCT(NOT(ISBLANK(C$3:C$5))*(C$3:C$5=$T$3:$T$5))</f>
        <v>0</v>
      </c>
      <c r="D11" s="1">
        <f>SUMPRODUCT(NOT(ISBLANK(D$3:D$5))*(D$3:D$5=$U$3:$U$5))</f>
        <v>0</v>
      </c>
      <c r="E11" s="1">
        <f>SUMPRODUCT(NOT(ISBLANK(E$3:E$5))*(E$3:E$5=$V$3:$V$5))</f>
        <v>0</v>
      </c>
      <c r="F11" s="1">
        <f>SUMPRODUCT(NOT(ISBLANK(F$3:F$5))*(F$3:F$5=$W$3:$W$5))</f>
        <v>0</v>
      </c>
      <c r="G11" s="1">
        <f>SUMPRODUCT(NOT(ISBLANK(G$3:G$5))*(G$3:G$5=$X$3:$X$5))</f>
        <v>0</v>
      </c>
      <c r="H11" s="1">
        <f>SUMPRODUCT(NOT(ISBLANK(H$3:H$5))*(H$3:H$5=$Y$3:$Y$5))</f>
        <v>0</v>
      </c>
      <c r="I11" s="1">
        <f>SUMPRODUCT(NOT(ISBLANK(I$3:I$5))*(I$3:I$5=$Z$3:$Z$5))</f>
        <v>0</v>
      </c>
      <c r="J11" s="1">
        <f>SUMPRODUCT(NOT(ISBLANK(J$3:J$5))*(J$3:J$5=$AA$3:$AA$5))</f>
        <v>0</v>
      </c>
      <c r="K11" s="1">
        <f>SUMPRODUCT(NOT(ISBLANK(K$3:K$5))*(K$3:K$5=$AB$3:$AB$5))</f>
        <v>0</v>
      </c>
      <c r="L11" s="1"/>
      <c r="M11" s="1">
        <f>SUMPRODUCT(NOT(ISBLANK(M$3:M$5))*(M$3:M$5=$AC$3:$AC$5))</f>
        <v>0</v>
      </c>
      <c r="N11" s="1">
        <f>SUMPRODUCT(NOT(ISBLANK(N$3:N$5))*(N$3:N$5=$AD$3:$AD$5))</f>
        <v>0</v>
      </c>
      <c r="O11" s="1"/>
      <c r="P11" s="1">
        <f>SUMPRODUCT(NOT(ISBLANK(P$3:P$5))*(P$3:P$5=$AE$3:$AE$5))</f>
        <v>0</v>
      </c>
      <c r="Q11" s="1">
        <f>SUMPRODUCT(NOT(ISBLANK(Q$3:Q$5))*(Q$3:Q$5=$AF$3:$AF$5))</f>
        <v>0</v>
      </c>
      <c r="R11" s="1">
        <f>SUMPRODUCT(NOT(ISBLANK(R$3:R$5))*(R$3:R$5=$AG$3:$AG$5))</f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>
      <c r="A12" s="1" t="s">
        <v>15</v>
      </c>
      <c r="B12" s="1">
        <f>SUMPRODUCT(NOT(ISBLANK(B$3:B$5))*(B$3:B$5&lt;$AH$3:$AH$5))</f>
        <v>0</v>
      </c>
      <c r="C12" s="1">
        <f>SUMPRODUCT(NOT(ISBLANK(C$3:C$5))*(C$3:C$5&lt;$AI$3:$AI$5))</f>
        <v>0</v>
      </c>
      <c r="D12" s="1">
        <f>SUMPRODUCT(NOT(ISBLANK(D$3:D$5))*(D$3:D$5&lt;$AJ$3:$AJ$5))</f>
        <v>0</v>
      </c>
      <c r="E12" s="1">
        <f>SUMPRODUCT(NOT(ISBLANK(E$3:E$5))*(E$3:E$5&lt;$AK$3:$AK$5))</f>
        <v>0</v>
      </c>
      <c r="F12" s="1">
        <f>SUMPRODUCT(NOT(ISBLANK(F$3:F$5))*(F$3:F$5&lt;$AL$3:$AL$5))</f>
        <v>0</v>
      </c>
      <c r="G12" s="1">
        <f>SUMPRODUCT(NOT(ISBLANK(G$3:G$5))*(G$3:G$5&lt;$AM$3:$AM$5))</f>
        <v>0</v>
      </c>
      <c r="H12" s="1">
        <f>SUMPRODUCT(NOT(ISBLANK(H$3:H$5))*(H$3:H$5&lt;$AN$3:$AN$5))</f>
        <v>0</v>
      </c>
      <c r="I12" s="1">
        <f>SUMPRODUCT(NOT(ISBLANK(I$3:I$5))*(I$3:I$5&lt;$AO$3:$AO$5))</f>
        <v>0</v>
      </c>
      <c r="J12" s="1">
        <f>SUMPRODUCT(NOT(ISBLANK(J$3:J$5))*(J$3:J$5&lt;$AP$3:$AP$5))</f>
        <v>0</v>
      </c>
      <c r="K12" s="1">
        <f>SUMPRODUCT(NOT(ISBLANK(K$3:K$5))*(K$3:K$5&lt;$AQ$3:$AQ$5))</f>
        <v>0</v>
      </c>
      <c r="L12" s="1"/>
      <c r="M12" s="1">
        <f>SUMPRODUCT(NOT(ISBLANK(M$3:M$5))*(M$3:M$5&lt;$AR$3:$AR$5))</f>
        <v>0</v>
      </c>
      <c r="N12" s="1">
        <f>SUMPRODUCT(NOT(ISBLANK(N$3:N$5))*(N$3:N$5&lt;$AS$3:$AS$5))</f>
        <v>0</v>
      </c>
      <c r="O12" s="1"/>
      <c r="P12" s="1">
        <f>SUMPRODUCT(NOT(ISBLANK(P$3:P$5))*(P$3:P$5&lt;$AT$3:$AT$5))</f>
        <v>0</v>
      </c>
      <c r="Q12" s="1">
        <f>SUMPRODUCT(NOT(ISBLANK(Q$3:Q$5))*(Q$3:Q$5&lt;$AU$3:$AU$5))</f>
        <v>0</v>
      </c>
      <c r="R12" s="1">
        <f>SUMPRODUCT(NOT(ISBLANK(R$3:R$5))*(R$3:R$5&lt;$AV$3:$AV$5))</f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>
      <c r="A13" s="1" t="s">
        <v>16</v>
      </c>
      <c r="B13" s="1">
        <f>SUMPRODUCT((NOT(ISBLANK(B$3:B$5))*(B$3:B$5&gt;$AH$3:$AH$5))+ISBLANK(B$3:B$5))</f>
        <v>0</v>
      </c>
      <c r="C13" s="1">
        <f>SUMPRODUCT((NOT(ISBLANK(C$3:C$5))*(C$3:C$5&gt;$AI$3:$AI$5))+ISBLANK(C$3:C$5))</f>
        <v>0</v>
      </c>
      <c r="D13" s="1">
        <f>SUMPRODUCT((NOT(ISBLANK(D$3:D$5))*(D$3:D$5&gt;$AJ$3:$AJ$5))+ISBLANK(D$3:D$5))</f>
        <v>0</v>
      </c>
      <c r="E13" s="1">
        <f>SUMPRODUCT((NOT(ISBLANK(E$3:E$5))*(E$3:E$5&gt;$AK$3:$AK$5))+ISBLANK(E$3:E$5))</f>
        <v>0</v>
      </c>
      <c r="F13" s="1">
        <f>SUMPRODUCT((NOT(ISBLANK(F$3:F$5))*(F$3:F$5&gt;$AL$3:$AL$5))+ISBLANK(F$3:F$5))</f>
        <v>0</v>
      </c>
      <c r="G13" s="1">
        <f>SUMPRODUCT((NOT(ISBLANK(G$3:G$5))*(G$3:G$5&gt;$AM$3:$AM$5))+ISBLANK(G$3:G$5))</f>
        <v>0</v>
      </c>
      <c r="H13" s="1">
        <f>SUMPRODUCT((NOT(ISBLANK(H$3:H$5))*(H$3:H$5&gt;$AN$3:$AN$5))+ISBLANK(H$3:H$5))</f>
        <v>0</v>
      </c>
      <c r="I13" s="1">
        <f>SUMPRODUCT((NOT(ISBLANK(I$3:I$5))*(I$3:I$5&gt;$AO$3:$AO$5))+ISBLANK(I$3:I$5))</f>
        <v>0</v>
      </c>
      <c r="J13" s="1">
        <f>SUMPRODUCT((NOT(ISBLANK(J$3:J$5))*(J$3:J$5&gt;$AP$3:$AP$5))+ISBLANK(J$3:J$5))</f>
        <v>0</v>
      </c>
      <c r="K13" s="1">
        <f>SUMPRODUCT((NOT(ISBLANK(K$3:K$5))*(K$3:K$5&gt;$AQ$3:$AQ$5))+ISBLANK(K$3:K$5))</f>
        <v>0</v>
      </c>
      <c r="L13" s="1"/>
      <c r="M13" s="1">
        <f>SUMPRODUCT((NOT(ISBLANK(M$3:M$5))*(M$3:M$5&gt;$AR$3:$AR$5))+ISBLANK(M$3:M$5))</f>
        <v>0</v>
      </c>
      <c r="N13" s="1">
        <f>SUMPRODUCT((NOT(ISBLANK(N$3:N$5))*(N$3:N$5&gt;$AS$3:$AS$5))+ISBLANK(N$3:N$5))</f>
        <v>0</v>
      </c>
      <c r="O13" s="1"/>
      <c r="P13" s="1">
        <f>SUMPRODUCT((NOT(ISBLANK(P$3:P$5))*(P$3:P$5&gt;$AT$3:$AT$5))+ISBLANK(P$3:P$5))</f>
        <v>0</v>
      </c>
      <c r="Q13" s="1">
        <f>SUMPRODUCT((NOT(ISBLANK(Q$3:Q$5))*(Q$3:Q$5&gt;$AU$3:$AU$5))+ISBLANK(Q$3:Q$5))</f>
        <v>0</v>
      </c>
      <c r="R13" s="1">
        <f>SUMPRODUCT((NOT(ISBLANK(R$3:R$5))*(R$3:R$5&gt;$AV$3:$AV$5))+ISBLANK(R$3:R$5))</f>
        <v>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17</v>
      </c>
      <c r="B14" s="1">
        <f>SUMPRODUCT((NOT(ISBLANK(B$3:B$5))*(B$3:B$5=$AW$3:$AW$5))+ISBLANK(B$3:B$5))</f>
        <v>0</v>
      </c>
      <c r="C14" s="1">
        <f>SUMPRODUCT((NOT(ISBLANK(C$3:C$5))*(C$3:C$5=$AX$3:$AX$5))+ISBLANK(C$3:C$5))</f>
        <v>0</v>
      </c>
      <c r="D14" s="1">
        <f>SUMPRODUCT((NOT(ISBLANK(D$3:D$5))*(D$3:D$5=$AY$3:$AY$5))+ISBLANK(D$3:D$5))</f>
        <v>0</v>
      </c>
      <c r="E14" s="1">
        <f>SUMPRODUCT((NOT(ISBLANK(E$3:E$5))*(E$3:E$5=$AZ$3:$AZ$5))+ISBLANK(E$3:E$5))</f>
        <v>0</v>
      </c>
      <c r="F14" s="1">
        <f>SUMPRODUCT((NOT(ISBLANK(F$3:F$5))*(F$3:F$5=$BA$3:$BA$5))+ISBLANK(F$3:F$5))</f>
        <v>0</v>
      </c>
      <c r="G14" s="1">
        <f>SUMPRODUCT((NOT(ISBLANK(G$3:G$5))*(G$3:G$5=$BB$3:$BB$5))+ISBLANK(G$3:G$5))</f>
        <v>0</v>
      </c>
      <c r="H14" s="1">
        <f>SUMPRODUCT((NOT(ISBLANK(H$3:H$5))*(H$3:H$5=$BC$3:$BC$5))+ISBLANK(H$3:H$5))</f>
        <v>0</v>
      </c>
      <c r="I14" s="1">
        <f>SUMPRODUCT((NOT(ISBLANK(I$3:I$5))*(I$3:I$5=$BD$3:$BD$5))+ISBLANK(I$3:I$5))</f>
        <v>0</v>
      </c>
      <c r="J14" s="1">
        <f>SUMPRODUCT((NOT(ISBLANK(J$3:J$5))*(J$3:J$5=$BE$3:$BE$5))+ISBLANK(J$3:J$5))</f>
        <v>0</v>
      </c>
      <c r="K14" s="1">
        <f>SUMPRODUCT((NOT(ISBLANK(K$3:K$5))*(K$3:K$5=$BF$3:$BF$5))+ISBLANK(K$3:K$5))</f>
        <v>0</v>
      </c>
      <c r="L14" s="1"/>
      <c r="M14" s="1">
        <f>SUMPRODUCT((NOT(ISBLANK(M$3:M$5))*(M$3:M$5=$BG$3:$BG$5))+ISBLANK(M$3:M$5))</f>
        <v>0</v>
      </c>
      <c r="N14" s="1">
        <f>SUMPRODUCT((NOT(ISBLANK(N$3:N$5))*(N$3:N$5=$BH$3:$BH$5))+ISBLANK(N$3:N$5))</f>
        <v>0</v>
      </c>
      <c r="O14" s="1"/>
      <c r="P14" s="1">
        <f>SUMPRODUCT((NOT(ISBLANK(P$3:P$5))*(P$3:P$5=$BI$3:$BI$5))+ISBLANK(P$3:P$5))</f>
        <v>0</v>
      </c>
      <c r="Q14" s="1">
        <f>SUMPRODUCT((NOT(ISBLANK(Q$3:Q$5))*(Q$3:Q$5=$BJ$3:$BJ$5))+ISBLANK(Q$3:Q$5))</f>
        <v>0</v>
      </c>
      <c r="R14" s="1">
        <f>SUMPRODUCT((NOT(ISBLANK(R$3:R$5))*(R$3:R$5=$BK$3:$BK$5))+ISBLANK(R$3:R$5))</f>
        <v>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21"/>
  <sheetViews>
    <sheetView workbookViewId="0"/>
  </sheetViews>
  <sheetFormatPr defaultRowHeight="15"/>
  <sheetData>
    <row r="2" spans="1:20">
      <c r="A2" t="s">
        <v>19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20</v>
      </c>
      <c r="B3">
        <v>2</v>
      </c>
      <c r="D3" t="s">
        <v>42</v>
      </c>
      <c r="E3">
        <f>Instances!B1</f>
        <v>0</v>
      </c>
      <c r="J3" t="s">
        <v>42</v>
      </c>
      <c r="K3">
        <f>E3</f>
        <v>0</v>
      </c>
      <c r="Q3">
        <f>Instances!B1</f>
        <v>0</v>
      </c>
    </row>
    <row r="4" spans="1:20">
      <c r="A4" t="s">
        <v>21</v>
      </c>
      <c r="B4">
        <v>3</v>
      </c>
      <c r="D4" t="s">
        <v>43</v>
      </c>
      <c r="E4" t="s">
        <v>47</v>
      </c>
      <c r="F4" t="s">
        <v>48</v>
      </c>
      <c r="H4" t="s">
        <v>49</v>
      </c>
      <c r="J4" t="s">
        <v>43</v>
      </c>
      <c r="K4" t="s">
        <v>47</v>
      </c>
      <c r="L4" t="s">
        <v>48</v>
      </c>
      <c r="N4" t="s">
        <v>49</v>
      </c>
      <c r="P4" t="s">
        <v>50</v>
      </c>
      <c r="Q4" t="s">
        <v>43</v>
      </c>
      <c r="R4" t="s">
        <v>48</v>
      </c>
      <c r="S4" t="s">
        <v>43</v>
      </c>
      <c r="T4" t="s">
        <v>49</v>
      </c>
    </row>
    <row r="5" spans="1:20">
      <c r="A5" t="s">
        <v>22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IFERROR(SMALL(K5:K34,ROW()-ROW($L$5)+1),"")</f>
        <v>0</v>
      </c>
      <c r="N5">
        <f>IFERROR(SUM(L5:L5),"")</f>
        <v>0</v>
      </c>
      <c r="Q5">
        <f>IF(Charts!$B$3="none",E162,IF(K162="",NA(),K162))</f>
        <v>0</v>
      </c>
      <c r="R5">
        <f>IF(Charts!$B$3="none",F162,IF(L162="",NA(),L162))</f>
        <v>0</v>
      </c>
      <c r="S5">
        <f>IF(Charts!$B$3="none",G162,IF(M162="",NA(),M162))</f>
        <v>0</v>
      </c>
      <c r="T5">
        <f>IF(Charts!$B$3="none",H162,IF(N162="",NA(),N162))</f>
        <v>0</v>
      </c>
    </row>
    <row r="6" spans="1:20">
      <c r="A6" t="s">
        <v>23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IFERROR(SMALL(K5:K34,ROW()-ROW($L$5)+1),"")</f>
        <v>0</v>
      </c>
      <c r="N6">
        <f>IFERROR(SUM(L5:L6),"")</f>
        <v>0</v>
      </c>
      <c r="Q6">
        <f>IF(Charts!$B$3="none",E163,IF(K163="",NA(),K163))</f>
        <v>0</v>
      </c>
      <c r="R6">
        <f>IF(Charts!$B$3="none",F163,IF(L163="",NA(),L163))</f>
        <v>0</v>
      </c>
      <c r="S6">
        <f>IF(Charts!$B$3="none",G163,IF(M163="",NA(),M163))</f>
        <v>0</v>
      </c>
      <c r="T6">
        <f>IF(Charts!$B$3="none",H163,IF(N163="",NA(),N163))</f>
        <v>0</v>
      </c>
    </row>
    <row r="7" spans="1:20">
      <c r="A7" t="s">
        <v>24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IFERROR(SMALL(K5:K34,ROW()-ROW($L$5)+1),"")</f>
        <v>0</v>
      </c>
      <c r="N7">
        <f>IFERROR(SUM(L5:L7),"")</f>
        <v>0</v>
      </c>
      <c r="Q7">
        <f>IF(Charts!$B$3="none",E164,IF(K164="",NA(),K164))</f>
        <v>0</v>
      </c>
      <c r="R7">
        <f>IF(Charts!$B$3="none",F164,IF(L164="",NA(),L164))</f>
        <v>0</v>
      </c>
      <c r="S7">
        <f>IF(Charts!$B$3="none",G164,IF(M164="",NA(),M164))</f>
        <v>0</v>
      </c>
      <c r="T7">
        <f>IF(Charts!$B$3="none",H164,IF(N164="",NA(),N164))</f>
        <v>0</v>
      </c>
    </row>
    <row r="8" spans="1:20">
      <c r="A8" t="s">
        <v>25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IFERROR(SMALL(K5:K34,ROW()-ROW($L$5)+1),"")</f>
        <v>0</v>
      </c>
      <c r="N8">
        <f>IFERROR(SUM(L5:L8),"")</f>
        <v>0</v>
      </c>
      <c r="Q8">
        <f>IF(Charts!$B$3="none",E165,IF(K165="",NA(),K165))</f>
        <v>0</v>
      </c>
      <c r="R8">
        <f>IF(Charts!$B$3="none",F165,IF(L165="",NA(),L165))</f>
        <v>0</v>
      </c>
      <c r="S8">
        <f>IF(Charts!$B$3="none",G165,IF(M165="",NA(),M165))</f>
        <v>0</v>
      </c>
      <c r="T8">
        <f>IF(Charts!$B$3="none",H165,IF(N165="",NA(),N165))</f>
        <v>0</v>
      </c>
    </row>
    <row r="9" spans="1:20">
      <c r="A9" t="s">
        <v>26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IFERROR(SMALL(K5:K34,ROW()-ROW($L$5)+1),"")</f>
        <v>0</v>
      </c>
      <c r="N9">
        <f>IFERROR(SUM(L5:L9),"")</f>
        <v>0</v>
      </c>
      <c r="Q9">
        <f>IF(Charts!$B$3="none",E166,IF(K166="",NA(),K166))</f>
        <v>0</v>
      </c>
      <c r="R9">
        <f>IF(Charts!$B$3="none",F166,IF(L166="",NA(),L166))</f>
        <v>0</v>
      </c>
      <c r="S9">
        <f>IF(Charts!$B$3="none",G166,IF(M166="",NA(),M166))</f>
        <v>0</v>
      </c>
      <c r="T9">
        <f>IF(Charts!$B$3="none",H166,IF(N166="",NA(),N166))</f>
        <v>0</v>
      </c>
    </row>
    <row r="10" spans="1:20">
      <c r="A10" t="s">
        <v>27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IFERROR(SMALL(K5:K34,ROW()-ROW($L$5)+1),"")</f>
        <v>0</v>
      </c>
      <c r="N10">
        <f>IFERROR(SUM(L5:L10),"")</f>
        <v>0</v>
      </c>
      <c r="Q10">
        <f>IF(Charts!$B$3="none",E167,IF(K167="",NA(),K167))</f>
        <v>0</v>
      </c>
      <c r="R10">
        <f>IF(Charts!$B$3="none",F167,IF(L167="",NA(),L167))</f>
        <v>0</v>
      </c>
      <c r="S10">
        <f>IF(Charts!$B$3="none",G167,IF(M167="",NA(),M167))</f>
        <v>0</v>
      </c>
      <c r="T10">
        <f>IF(Charts!$B$3="none",H167,IF(N167="",NA(),N167))</f>
        <v>0</v>
      </c>
    </row>
    <row r="11" spans="1:20">
      <c r="A11" t="s">
        <v>28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IFERROR(SMALL(K5:K34,ROW()-ROW($L$5)+1),"")</f>
        <v>0</v>
      </c>
      <c r="N11">
        <f>IFERROR(SUM(L5:L11),"")</f>
        <v>0</v>
      </c>
      <c r="Q11">
        <f>IF(Charts!$B$3="none",E168,IF(K168="",NA(),K168))</f>
        <v>0</v>
      </c>
      <c r="R11">
        <f>IF(Charts!$B$3="none",F168,IF(L168="",NA(),L168))</f>
        <v>0</v>
      </c>
      <c r="S11">
        <f>IF(Charts!$B$3="none",G168,IF(M168="",NA(),M168))</f>
        <v>0</v>
      </c>
      <c r="T11">
        <f>IF(Charts!$B$3="none",H168,IF(N168="",NA(),N168))</f>
        <v>0</v>
      </c>
    </row>
    <row r="12" spans="1:20">
      <c r="A12" t="s">
        <v>31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IFERROR(SMALL(K5:K34,ROW()-ROW($L$5)+1),"")</f>
        <v>0</v>
      </c>
      <c r="N12">
        <f>IFERROR(SUM(L5:L12),"")</f>
        <v>0</v>
      </c>
      <c r="Q12">
        <f>IF(Charts!$B$3="none",E169,IF(K169="",NA(),K169))</f>
        <v>0</v>
      </c>
      <c r="R12">
        <f>IF(Charts!$B$3="none",F169,IF(L169="",NA(),L169))</f>
        <v>0</v>
      </c>
      <c r="S12">
        <f>IF(Charts!$B$3="none",G169,IF(M169="",NA(),M169))</f>
        <v>0</v>
      </c>
      <c r="T12">
        <f>IF(Charts!$B$3="none",H169,IF(N169="",NA(),N169))</f>
        <v>0</v>
      </c>
    </row>
    <row r="13" spans="1:20">
      <c r="A13" t="s">
        <v>32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IFERROR(SMALL(K5:K34,ROW()-ROW($L$5)+1),"")</f>
        <v>0</v>
      </c>
      <c r="N13">
        <f>IFERROR(SUM(L5:L13),"")</f>
        <v>0</v>
      </c>
      <c r="Q13">
        <f>IF(Charts!$B$3="none",E170,IF(K170="",NA(),K170))</f>
        <v>0</v>
      </c>
      <c r="R13">
        <f>IF(Charts!$B$3="none",F170,IF(L170="",NA(),L170))</f>
        <v>0</v>
      </c>
      <c r="S13">
        <f>IF(Charts!$B$3="none",G170,IF(M170="",NA(),M170))</f>
        <v>0</v>
      </c>
      <c r="T13">
        <f>IF(Charts!$B$3="none",H170,IF(N170="",NA(),N170))</f>
        <v>0</v>
      </c>
    </row>
    <row r="14" spans="1:20">
      <c r="A14" t="s">
        <v>35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IFERROR(SMALL(K5:K34,ROW()-ROW($L$5)+1),"")</f>
        <v>0</v>
      </c>
      <c r="N14">
        <f>IFERROR(SUM(L5:L14),"")</f>
        <v>0</v>
      </c>
      <c r="Q14">
        <f>IF(Charts!$B$3="none",E171,IF(K171="",NA(),K171))</f>
        <v>0</v>
      </c>
      <c r="R14">
        <f>IF(Charts!$B$3="none",F171,IF(L171="",NA(),L171))</f>
        <v>0</v>
      </c>
      <c r="S14">
        <f>IF(Charts!$B$3="none",G171,IF(M171="",NA(),M171))</f>
        <v>0</v>
      </c>
      <c r="T14">
        <f>IF(Charts!$B$3="none",H171,IF(N171="",NA(),N171))</f>
        <v>0</v>
      </c>
    </row>
    <row r="15" spans="1:20">
      <c r="A15" t="s">
        <v>36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IFERROR(SMALL(K5:K34,ROW()-ROW($L$5)+1),"")</f>
        <v>0</v>
      </c>
      <c r="N15">
        <f>IFERROR(SUM(L5:L15),"")</f>
        <v>0</v>
      </c>
      <c r="Q15">
        <f>IF(Charts!$B$3="none",E172,IF(K172="",NA(),K172))</f>
        <v>0</v>
      </c>
      <c r="R15">
        <f>IF(Charts!$B$3="none",F172,IF(L172="",NA(),L172))</f>
        <v>0</v>
      </c>
      <c r="S15">
        <f>IF(Charts!$B$3="none",G172,IF(M172="",NA(),M172))</f>
        <v>0</v>
      </c>
      <c r="T15">
        <f>IF(Charts!$B$3="none",H172,IF(N172="",NA(),N172))</f>
        <v>0</v>
      </c>
    </row>
    <row r="16" spans="1:20">
      <c r="A16" t="s">
        <v>37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IFERROR(SMALL(K5:K34,ROW()-ROW($L$5)+1),"")</f>
        <v>0</v>
      </c>
      <c r="N16">
        <f>IFERROR(SUM(L5:L16),"")</f>
        <v>0</v>
      </c>
      <c r="Q16">
        <f>IF(Charts!$B$3="none",E173,IF(K173="",NA(),K173))</f>
        <v>0</v>
      </c>
      <c r="R16">
        <f>IF(Charts!$B$3="none",F173,IF(L173="",NA(),L173))</f>
        <v>0</v>
      </c>
      <c r="S16">
        <f>IF(Charts!$B$3="none",G173,IF(M173="",NA(),M173))</f>
        <v>0</v>
      </c>
      <c r="T16">
        <f>IF(Charts!$B$3="none",H173,IF(N173="",NA(),N173))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IFERROR(SMALL(K5:K34,ROW()-ROW($L$5)+1),"")</f>
        <v>0</v>
      </c>
      <c r="N17">
        <f>IFERROR(SUM(L5:L17),"")</f>
        <v>0</v>
      </c>
      <c r="Q17">
        <f>IF(Charts!$B$3="none",E174,IF(K174="",NA(),K174))</f>
        <v>0</v>
      </c>
      <c r="R17">
        <f>IF(Charts!$B$3="none",F174,IF(L174="",NA(),L174))</f>
        <v>0</v>
      </c>
      <c r="S17">
        <f>IF(Charts!$B$3="none",G174,IF(M174="",NA(),M174))</f>
        <v>0</v>
      </c>
      <c r="T17">
        <f>IF(Charts!$B$3="none",H174,IF(N174="",NA(),N174))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IFERROR(SMALL(K5:K34,ROW()-ROW($L$5)+1),"")</f>
        <v>0</v>
      </c>
      <c r="N18">
        <f>IFERROR(SUM(L5:L18),"")</f>
        <v>0</v>
      </c>
      <c r="Q18">
        <f>IF(Charts!$B$3="none",E175,IF(K175="",NA(),K175))</f>
        <v>0</v>
      </c>
      <c r="R18">
        <f>IF(Charts!$B$3="none",F175,IF(L175="",NA(),L175))</f>
        <v>0</v>
      </c>
      <c r="S18">
        <f>IF(Charts!$B$3="none",G175,IF(M175="",NA(),M175))</f>
        <v>0</v>
      </c>
      <c r="T18">
        <f>IF(Charts!$B$3="none",H175,IF(N175="",NA(),N175))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IFERROR(SMALL(K5:K34,ROW()-ROW($L$5)+1),"")</f>
        <v>0</v>
      </c>
      <c r="N19">
        <f>IFERROR(SUM(L5:L19),"")</f>
        <v>0</v>
      </c>
      <c r="Q19">
        <f>IF(Charts!$B$3="none",E176,IF(K176="",NA(),K176))</f>
        <v>0</v>
      </c>
      <c r="R19">
        <f>IF(Charts!$B$3="none",F176,IF(L176="",NA(),L176))</f>
        <v>0</v>
      </c>
      <c r="S19">
        <f>IF(Charts!$B$3="none",G176,IF(M176="",NA(),M176))</f>
        <v>0</v>
      </c>
      <c r="T19">
        <f>IF(Charts!$B$3="none",H176,IF(N176="",NA(),N176))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IFERROR(SMALL(K5:K34,ROW()-ROW($L$5)+1),"")</f>
        <v>0</v>
      </c>
      <c r="N20">
        <f>IFERROR(SUM(L5:L20),"")</f>
        <v>0</v>
      </c>
      <c r="Q20">
        <f>IF(Charts!$B$3="none",E177,IF(K177="",NA(),K177))</f>
        <v>0</v>
      </c>
      <c r="R20">
        <f>IF(Charts!$B$3="none",F177,IF(L177="",NA(),L177))</f>
        <v>0</v>
      </c>
      <c r="S20">
        <f>IF(Charts!$B$3="none",G177,IF(M177="",NA(),M177))</f>
        <v>0</v>
      </c>
      <c r="T20">
        <f>IF(Charts!$B$3="none",H177,IF(N177="",NA(),N177))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IFERROR(SMALL(K5:K34,ROW()-ROW($L$5)+1),"")</f>
        <v>0</v>
      </c>
      <c r="N21">
        <f>IFERROR(SUM(L5:L21),"")</f>
        <v>0</v>
      </c>
      <c r="Q21">
        <f>IF(Charts!$B$3="none",E178,IF(K178="",NA(),K178))</f>
        <v>0</v>
      </c>
      <c r="R21">
        <f>IF(Charts!$B$3="none",F178,IF(L178="",NA(),L178))</f>
        <v>0</v>
      </c>
      <c r="S21">
        <f>IF(Charts!$B$3="none",G178,IF(M178="",NA(),M178))</f>
        <v>0</v>
      </c>
      <c r="T21">
        <f>IF(Charts!$B$3="none",H178,IF(N178="",NA(),N178))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IFERROR(SMALL(K5:K34,ROW()-ROW($L$5)+1),"")</f>
        <v>0</v>
      </c>
      <c r="N22">
        <f>IFERROR(SUM(L5:L22),"")</f>
        <v>0</v>
      </c>
      <c r="Q22">
        <f>IF(Charts!$B$3="none",E179,IF(K179="",NA(),K179))</f>
        <v>0</v>
      </c>
      <c r="R22">
        <f>IF(Charts!$B$3="none",F179,IF(L179="",NA(),L179))</f>
        <v>0</v>
      </c>
      <c r="S22">
        <f>IF(Charts!$B$3="none",G179,IF(M179="",NA(),M179))</f>
        <v>0</v>
      </c>
      <c r="T22">
        <f>IF(Charts!$B$3="none",H179,IF(N179="",NA(),N179))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IFERROR(SMALL(K5:K34,ROW()-ROW($L$5)+1),"")</f>
        <v>0</v>
      </c>
      <c r="N23">
        <f>IFERROR(SUM(L5:L23),"")</f>
        <v>0</v>
      </c>
      <c r="Q23">
        <f>IF(Charts!$B$3="none",E180,IF(K180="",NA(),K180))</f>
        <v>0</v>
      </c>
      <c r="R23">
        <f>IF(Charts!$B$3="none",F180,IF(L180="",NA(),L180))</f>
        <v>0</v>
      </c>
      <c r="S23">
        <f>IF(Charts!$B$3="none",G180,IF(M180="",NA(),M180))</f>
        <v>0</v>
      </c>
      <c r="T23">
        <f>IF(Charts!$B$3="none",H180,IF(N180="",NA(),N180))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IFERROR(SMALL(K5:K34,ROW()-ROW($L$5)+1),"")</f>
        <v>0</v>
      </c>
      <c r="N24">
        <f>IFERROR(SUM(L5:L24),"")</f>
        <v>0</v>
      </c>
      <c r="Q24">
        <f>IF(Charts!$B$3="none",E181,IF(K181="",NA(),K181))</f>
        <v>0</v>
      </c>
      <c r="R24">
        <f>IF(Charts!$B$3="none",F181,IF(L181="",NA(),L181))</f>
        <v>0</v>
      </c>
      <c r="S24">
        <f>IF(Charts!$B$3="none",G181,IF(M181="",NA(),M181))</f>
        <v>0</v>
      </c>
      <c r="T24">
        <f>IF(Charts!$B$3="none",H181,IF(N181="",NA(),N181))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IFERROR(SMALL(K5:K34,ROW()-ROW($L$5)+1),"")</f>
        <v>0</v>
      </c>
      <c r="N25">
        <f>IFERROR(SUM(L5:L25),"")</f>
        <v>0</v>
      </c>
      <c r="Q25">
        <f>IF(Charts!$B$3="none",E182,IF(K182="",NA(),K182))</f>
        <v>0</v>
      </c>
      <c r="R25">
        <f>IF(Charts!$B$3="none",F182,IF(L182="",NA(),L182))</f>
        <v>0</v>
      </c>
      <c r="S25">
        <f>IF(Charts!$B$3="none",G182,IF(M182="",NA(),M182))</f>
        <v>0</v>
      </c>
      <c r="T25">
        <f>IF(Charts!$B$3="none",H182,IF(N182="",NA(),N182))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IFERROR(SMALL(K5:K34,ROW()-ROW($L$5)+1),"")</f>
        <v>0</v>
      </c>
      <c r="N26">
        <f>IFERROR(SUM(L5:L26),"")</f>
        <v>0</v>
      </c>
      <c r="Q26">
        <f>IF(Charts!$B$3="none",E183,IF(K183="",NA(),K183))</f>
        <v>0</v>
      </c>
      <c r="R26">
        <f>IF(Charts!$B$3="none",F183,IF(L183="",NA(),L183))</f>
        <v>0</v>
      </c>
      <c r="S26">
        <f>IF(Charts!$B$3="none",G183,IF(M183="",NA(),M183))</f>
        <v>0</v>
      </c>
      <c r="T26">
        <f>IF(Charts!$B$3="none",H183,IF(N183="",NA(),N183))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IFERROR(SMALL(K5:K34,ROW()-ROW($L$5)+1),"")</f>
        <v>0</v>
      </c>
      <c r="N27">
        <f>IFERROR(SUM(L5:L27),"")</f>
        <v>0</v>
      </c>
      <c r="Q27">
        <f>IF(Charts!$B$3="none",E184,IF(K184="",NA(),K184))</f>
        <v>0</v>
      </c>
      <c r="R27">
        <f>IF(Charts!$B$3="none",F184,IF(L184="",NA(),L184))</f>
        <v>0</v>
      </c>
      <c r="S27">
        <f>IF(Charts!$B$3="none",G184,IF(M184="",NA(),M184))</f>
        <v>0</v>
      </c>
      <c r="T27">
        <f>IF(Charts!$B$3="none",H184,IF(N184="",NA(),N184))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IFERROR(SMALL(K5:K34,ROW()-ROW($L$5)+1),"")</f>
        <v>0</v>
      </c>
      <c r="N28">
        <f>IFERROR(SUM(L5:L28),"")</f>
        <v>0</v>
      </c>
      <c r="Q28">
        <f>IF(Charts!$B$3="none",E185,IF(K185="",NA(),K185))</f>
        <v>0</v>
      </c>
      <c r="R28">
        <f>IF(Charts!$B$3="none",F185,IF(L185="",NA(),L185))</f>
        <v>0</v>
      </c>
      <c r="S28">
        <f>IF(Charts!$B$3="none",G185,IF(M185="",NA(),M185))</f>
        <v>0</v>
      </c>
      <c r="T28">
        <f>IF(Charts!$B$3="none",H185,IF(N185="",NA(),N185))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IFERROR(SMALL(K5:K34,ROW()-ROW($L$5)+1),"")</f>
        <v>0</v>
      </c>
      <c r="N29">
        <f>IFERROR(SUM(L5:L29),"")</f>
        <v>0</v>
      </c>
      <c r="Q29">
        <f>IF(Charts!$B$3="none",E186,IF(K186="",NA(),K186))</f>
        <v>0</v>
      </c>
      <c r="R29">
        <f>IF(Charts!$B$3="none",F186,IF(L186="",NA(),L186))</f>
        <v>0</v>
      </c>
      <c r="S29">
        <f>IF(Charts!$B$3="none",G186,IF(M186="",NA(),M186))</f>
        <v>0</v>
      </c>
      <c r="T29">
        <f>IF(Charts!$B$3="none",H186,IF(N186="",NA(),N186))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IFERROR(SMALL(K5:K34,ROW()-ROW($L$5)+1),"")</f>
        <v>0</v>
      </c>
      <c r="N30">
        <f>IFERROR(SUM(L5:L30),"")</f>
        <v>0</v>
      </c>
      <c r="Q30">
        <f>IF(Charts!$B$3="none",E187,IF(K187="",NA(),K187))</f>
        <v>0</v>
      </c>
      <c r="R30">
        <f>IF(Charts!$B$3="none",F187,IF(L187="",NA(),L187))</f>
        <v>0</v>
      </c>
      <c r="S30">
        <f>IF(Charts!$B$3="none",G187,IF(M187="",NA(),M187))</f>
        <v>0</v>
      </c>
      <c r="T30">
        <f>IF(Charts!$B$3="none",H187,IF(N187="",NA(),N187))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IFERROR(SMALL(K5:K34,ROW()-ROW($L$5)+1),"")</f>
        <v>0</v>
      </c>
      <c r="N31">
        <f>IFERROR(SUM(L5:L31),"")</f>
        <v>0</v>
      </c>
      <c r="Q31">
        <f>IF(Charts!$B$3="none",E188,IF(K188="",NA(),K188))</f>
        <v>0</v>
      </c>
      <c r="R31">
        <f>IF(Charts!$B$3="none",F188,IF(L188="",NA(),L188))</f>
        <v>0</v>
      </c>
      <c r="S31">
        <f>IF(Charts!$B$3="none",G188,IF(M188="",NA(),M188))</f>
        <v>0</v>
      </c>
      <c r="T31">
        <f>IF(Charts!$B$3="none",H188,IF(N188="",NA(),N188))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IFERROR(SMALL(K5:K34,ROW()-ROW($L$5)+1),"")</f>
        <v>0</v>
      </c>
      <c r="N32">
        <f>IFERROR(SUM(L5:L32),"")</f>
        <v>0</v>
      </c>
      <c r="Q32">
        <f>IF(Charts!$B$3="none",E189,IF(K189="",NA(),K189))</f>
        <v>0</v>
      </c>
      <c r="R32">
        <f>IF(Charts!$B$3="none",F189,IF(L189="",NA(),L189))</f>
        <v>0</v>
      </c>
      <c r="S32">
        <f>IF(Charts!$B$3="none",G189,IF(M189="",NA(),M189))</f>
        <v>0</v>
      </c>
      <c r="T32">
        <f>IF(Charts!$B$3="none",H189,IF(N189="",NA(),N189))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IFERROR(SMALL(K5:K34,ROW()-ROW($L$5)+1),"")</f>
        <v>0</v>
      </c>
      <c r="N33">
        <f>IFERROR(SUM(L5:L33),"")</f>
        <v>0</v>
      </c>
      <c r="Q33">
        <f>IF(Charts!$B$3="none",E190,IF(K190="",NA(),K190))</f>
        <v>0</v>
      </c>
      <c r="R33">
        <f>IF(Charts!$B$3="none",F190,IF(L190="",NA(),L190))</f>
        <v>0</v>
      </c>
      <c r="S33">
        <f>IF(Charts!$B$3="none",G190,IF(M190="",NA(),M190))</f>
        <v>0</v>
      </c>
      <c r="T33">
        <f>IF(Charts!$B$3="none",H190,IF(N190="",NA(),N190))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IFERROR(SMALL(K5:K34,ROW()-ROW($L$5)+1),"")</f>
        <v>0</v>
      </c>
      <c r="N34">
        <f>IFERROR(SUM(L5:L34),"")</f>
        <v>0</v>
      </c>
      <c r="Q34">
        <f>IF(Charts!$B$3="none",E191,IF(K191="",NA(),K191))</f>
        <v>0</v>
      </c>
      <c r="R34">
        <f>IF(Charts!$B$3="none",F191,IF(L191="",NA(),L191))</f>
        <v>0</v>
      </c>
      <c r="S34">
        <f>IF(Charts!$B$3="none",G191,IF(M191="",NA(),M191))</f>
        <v>0</v>
      </c>
      <c r="T34">
        <f>IF(Charts!$B$3="none",H191,IF(N191="",NA(),N191))</f>
        <v>0</v>
      </c>
    </row>
    <row r="35" spans="4:20">
      <c r="Q35">
        <f>IF(Charts!$B$3="none",E192,IF(K192="",NA(),K192))</f>
        <v>0</v>
      </c>
      <c r="R35">
        <f>IF(Charts!$B$3="none",F192,IF(L192="",NA(),L192))</f>
        <v>0</v>
      </c>
      <c r="S35">
        <f>IF(Charts!$B$3="none",G192,IF(M192="",NA(),M192))</f>
        <v>0</v>
      </c>
      <c r="T35">
        <f>IF(Charts!$B$3="none",H192,IF(N192="",NA(),N192))</f>
        <v>0</v>
      </c>
    </row>
    <row r="36" spans="4:20">
      <c r="D36" t="s">
        <v>44</v>
      </c>
      <c r="E36" t="s">
        <v>43</v>
      </c>
      <c r="F36" t="s">
        <v>48</v>
      </c>
      <c r="G36" t="s">
        <v>43</v>
      </c>
      <c r="H36" t="s">
        <v>49</v>
      </c>
      <c r="J36" t="s">
        <v>44</v>
      </c>
      <c r="K36" t="s">
        <v>43</v>
      </c>
      <c r="L36" t="s">
        <v>48</v>
      </c>
      <c r="M36" t="s">
        <v>43</v>
      </c>
      <c r="N36" t="s">
        <v>49</v>
      </c>
      <c r="Q36">
        <f>IF(Charts!$B$3="none",E193,IF(K193="",NA(),K193))</f>
        <v>0</v>
      </c>
      <c r="R36">
        <f>IF(Charts!$B$3="none",F193,IF(L193="",NA(),L193))</f>
        <v>0</v>
      </c>
      <c r="S36">
        <f>IF(Charts!$B$3="none",G193,IF(M193="",NA(),M193))</f>
        <v>0</v>
      </c>
      <c r="T36">
        <f>IF(Charts!$B$3="none",H193,IF(N193="",NA(),N193))</f>
        <v>0</v>
      </c>
    </row>
    <row r="37" spans="4:20">
      <c r="E37">
        <v>1</v>
      </c>
      <c r="F37">
        <f>F5</f>
        <v>0</v>
      </c>
      <c r="G37">
        <v>1</v>
      </c>
      <c r="H37">
        <f>H5</f>
        <v>0</v>
      </c>
      <c r="K37">
        <v>1</v>
      </c>
      <c r="L37">
        <f>L5</f>
        <v>0</v>
      </c>
      <c r="M37">
        <v>1</v>
      </c>
      <c r="N37">
        <f>N5</f>
        <v>0</v>
      </c>
      <c r="Q37">
        <f>IF(Charts!$B$3="none",E194,IF(K194="",NA(),K194))</f>
        <v>0</v>
      </c>
      <c r="R37">
        <f>IF(Charts!$B$3="none",F194,IF(L194="",NA(),L194))</f>
        <v>0</v>
      </c>
      <c r="S37">
        <f>IF(Charts!$B$3="none",G194,IF(M194="",NA(),M194))</f>
        <v>0</v>
      </c>
      <c r="T37">
        <f>IF(Charts!$B$3="none",H194,IF(N194="",NA(),N194))</f>
        <v>0</v>
      </c>
    </row>
    <row r="38" spans="4:20">
      <c r="E38">
        <v>2</v>
      </c>
      <c r="F38">
        <f>F6</f>
        <v>0</v>
      </c>
      <c r="G38">
        <v>2</v>
      </c>
      <c r="H38">
        <f>H6</f>
        <v>0</v>
      </c>
      <c r="K38">
        <v>2</v>
      </c>
      <c r="L38">
        <f>L6</f>
        <v>0</v>
      </c>
      <c r="M38">
        <v>2</v>
      </c>
      <c r="N38">
        <f>N6</f>
        <v>0</v>
      </c>
      <c r="Q38">
        <f>IF(Charts!$B$3="none",E195,IF(K195="",NA(),K195))</f>
        <v>0</v>
      </c>
      <c r="R38">
        <f>IF(Charts!$B$3="none",F195,IF(L195="",NA(),L195))</f>
        <v>0</v>
      </c>
      <c r="S38">
        <f>IF(Charts!$B$3="none",G195,IF(M195="",NA(),M195))</f>
        <v>0</v>
      </c>
      <c r="T38">
        <f>IF(Charts!$B$3="none",H195,IF(N195="",NA(),N195))</f>
        <v>0</v>
      </c>
    </row>
    <row r="39" spans="4:20">
      <c r="E39">
        <v>3</v>
      </c>
      <c r="F39">
        <f>F7</f>
        <v>0</v>
      </c>
      <c r="G39">
        <v>3</v>
      </c>
      <c r="H39">
        <f>H7</f>
        <v>0</v>
      </c>
      <c r="K39">
        <v>3</v>
      </c>
      <c r="L39">
        <f>L7</f>
        <v>0</v>
      </c>
      <c r="M39">
        <v>3</v>
      </c>
      <c r="N39">
        <f>N7</f>
        <v>0</v>
      </c>
      <c r="Q39">
        <f>IF(Charts!$B$3="none",E196,IF(K196="",NA(),K196))</f>
        <v>0</v>
      </c>
      <c r="R39">
        <f>IF(Charts!$B$3="none",F196,IF(L196="",NA(),L196))</f>
        <v>0</v>
      </c>
      <c r="S39">
        <f>IF(Charts!$B$3="none",G196,IF(M196="",NA(),M196))</f>
        <v>0</v>
      </c>
      <c r="T39">
        <f>IF(Charts!$B$3="none",H196,IF(N196="",NA(),N196))</f>
        <v>0</v>
      </c>
    </row>
    <row r="40" spans="4:20">
      <c r="E40">
        <v>4</v>
      </c>
      <c r="F40">
        <f>F8</f>
        <v>0</v>
      </c>
      <c r="G40">
        <v>4</v>
      </c>
      <c r="H40">
        <f>H8</f>
        <v>0</v>
      </c>
      <c r="K40">
        <v>4</v>
      </c>
      <c r="L40">
        <f>L8</f>
        <v>0</v>
      </c>
      <c r="M40">
        <v>4</v>
      </c>
      <c r="N40">
        <f>N8</f>
        <v>0</v>
      </c>
      <c r="Q40">
        <f>IF(Charts!$B$3="none",E197,IF(K197="",NA(),K197))</f>
        <v>0</v>
      </c>
      <c r="R40">
        <f>IF(Charts!$B$3="none",F197,IF(L197="",NA(),L197))</f>
        <v>0</v>
      </c>
      <c r="S40">
        <f>IF(Charts!$B$3="none",G197,IF(M197="",NA(),M197))</f>
        <v>0</v>
      </c>
      <c r="T40">
        <f>IF(Charts!$B$3="none",H197,IF(N197="",NA(),N197))</f>
        <v>0</v>
      </c>
    </row>
    <row r="41" spans="4:20">
      <c r="E41">
        <v>5</v>
      </c>
      <c r="F41">
        <f>F9</f>
        <v>0</v>
      </c>
      <c r="G41">
        <v>5</v>
      </c>
      <c r="H41">
        <f>H9</f>
        <v>0</v>
      </c>
      <c r="K41">
        <v>5</v>
      </c>
      <c r="L41">
        <f>L9</f>
        <v>0</v>
      </c>
      <c r="M41">
        <v>5</v>
      </c>
      <c r="N41">
        <f>N9</f>
        <v>0</v>
      </c>
      <c r="Q41">
        <f>IF(Charts!$B$3="none",E198,IF(K198="",NA(),K198))</f>
        <v>0</v>
      </c>
      <c r="R41">
        <f>IF(Charts!$B$3="none",F198,IF(L198="",NA(),L198))</f>
        <v>0</v>
      </c>
      <c r="S41">
        <f>IF(Charts!$B$3="none",G198,IF(M198="",NA(),M198))</f>
        <v>0</v>
      </c>
      <c r="T41">
        <f>IF(Charts!$B$3="none",H198,IF(N198="",NA(),N198))</f>
        <v>0</v>
      </c>
    </row>
    <row r="42" spans="4:20">
      <c r="E42">
        <v>6</v>
      </c>
      <c r="F42">
        <f>F10</f>
        <v>0</v>
      </c>
      <c r="G42">
        <v>6</v>
      </c>
      <c r="H42">
        <f>H10</f>
        <v>0</v>
      </c>
      <c r="K42">
        <v>6</v>
      </c>
      <c r="L42">
        <f>L10</f>
        <v>0</v>
      </c>
      <c r="M42">
        <v>6</v>
      </c>
      <c r="N42">
        <f>N10</f>
        <v>0</v>
      </c>
      <c r="Q42">
        <f>IF(Charts!$B$3="none",E199,IF(K199="",NA(),K199))</f>
        <v>0</v>
      </c>
      <c r="R42">
        <f>IF(Charts!$B$3="none",F199,IF(L199="",NA(),L199))</f>
        <v>0</v>
      </c>
      <c r="S42">
        <f>IF(Charts!$B$3="none",G199,IF(M199="",NA(),M199))</f>
        <v>0</v>
      </c>
      <c r="T42">
        <f>IF(Charts!$B$3="none",H199,IF(N199="",NA(),N199))</f>
        <v>0</v>
      </c>
    </row>
    <row r="43" spans="4:20">
      <c r="E43">
        <v>7</v>
      </c>
      <c r="F43">
        <f>F11</f>
        <v>0</v>
      </c>
      <c r="G43">
        <v>7</v>
      </c>
      <c r="H43">
        <f>H11</f>
        <v>0</v>
      </c>
      <c r="K43">
        <v>7</v>
      </c>
      <c r="L43">
        <f>L11</f>
        <v>0</v>
      </c>
      <c r="M43">
        <v>7</v>
      </c>
      <c r="N43">
        <f>N11</f>
        <v>0</v>
      </c>
      <c r="Q43">
        <f>IF(Charts!$B$3="none",E200,IF(K200="",NA(),K200))</f>
        <v>0</v>
      </c>
      <c r="R43">
        <f>IF(Charts!$B$3="none",F200,IF(L200="",NA(),L200))</f>
        <v>0</v>
      </c>
      <c r="S43">
        <f>IF(Charts!$B$3="none",G200,IF(M200="",NA(),M200))</f>
        <v>0</v>
      </c>
      <c r="T43">
        <f>IF(Charts!$B$3="none",H200,IF(N200="",NA(),N200))</f>
        <v>0</v>
      </c>
    </row>
    <row r="44" spans="4:20">
      <c r="E44">
        <v>8</v>
      </c>
      <c r="F44">
        <f>F12</f>
        <v>0</v>
      </c>
      <c r="G44">
        <v>8</v>
      </c>
      <c r="H44">
        <f>H12</f>
        <v>0</v>
      </c>
      <c r="K44">
        <v>8</v>
      </c>
      <c r="L44">
        <f>L12</f>
        <v>0</v>
      </c>
      <c r="M44">
        <v>8</v>
      </c>
      <c r="N44">
        <f>N12</f>
        <v>0</v>
      </c>
      <c r="Q44">
        <f>IF(Charts!$B$3="none",E201,IF(K201="",NA(),K201))</f>
        <v>0</v>
      </c>
      <c r="R44">
        <f>IF(Charts!$B$3="none",F201,IF(L201="",NA(),L201))</f>
        <v>0</v>
      </c>
      <c r="S44">
        <f>IF(Charts!$B$3="none",G201,IF(M201="",NA(),M201))</f>
        <v>0</v>
      </c>
      <c r="T44">
        <f>IF(Charts!$B$3="none",H201,IF(N201="",NA(),N201))</f>
        <v>0</v>
      </c>
    </row>
    <row r="45" spans="4:20">
      <c r="E45">
        <v>9</v>
      </c>
      <c r="F45">
        <f>F13</f>
        <v>0</v>
      </c>
      <c r="G45">
        <v>9</v>
      </c>
      <c r="H45">
        <f>H13</f>
        <v>0</v>
      </c>
      <c r="K45">
        <v>9</v>
      </c>
      <c r="L45">
        <f>L13</f>
        <v>0</v>
      </c>
      <c r="M45">
        <v>9</v>
      </c>
      <c r="N45">
        <f>N13</f>
        <v>0</v>
      </c>
      <c r="Q45">
        <f>IF(Charts!$B$3="none",E202,IF(K202="",NA(),K202))</f>
        <v>0</v>
      </c>
      <c r="R45">
        <f>IF(Charts!$B$3="none",F202,IF(L202="",NA(),L202))</f>
        <v>0</v>
      </c>
      <c r="S45">
        <f>IF(Charts!$B$3="none",G202,IF(M202="",NA(),M202))</f>
        <v>0</v>
      </c>
      <c r="T45">
        <f>IF(Charts!$B$3="none",H202,IF(N202="",NA(),N202))</f>
        <v>0</v>
      </c>
    </row>
    <row r="46" spans="4:20">
      <c r="E46">
        <v>10</v>
      </c>
      <c r="F46">
        <f>F14</f>
        <v>0</v>
      </c>
      <c r="G46">
        <v>10</v>
      </c>
      <c r="H46">
        <f>H14</f>
        <v>0</v>
      </c>
      <c r="K46">
        <v>10</v>
      </c>
      <c r="L46">
        <f>L14</f>
        <v>0</v>
      </c>
      <c r="M46">
        <v>10</v>
      </c>
      <c r="N46">
        <f>N14</f>
        <v>0</v>
      </c>
      <c r="Q46">
        <f>IF(Charts!$B$3="none",E203,IF(K203="",NA(),K203))</f>
        <v>0</v>
      </c>
      <c r="R46">
        <f>IF(Charts!$B$3="none",F203,IF(L203="",NA(),L203))</f>
        <v>0</v>
      </c>
      <c r="S46">
        <f>IF(Charts!$B$3="none",G203,IF(M203="",NA(),M203))</f>
        <v>0</v>
      </c>
      <c r="T46">
        <f>IF(Charts!$B$3="none",H203,IF(N203="",NA(),N203))</f>
        <v>0</v>
      </c>
    </row>
    <row r="47" spans="4:20">
      <c r="E47">
        <v>11</v>
      </c>
      <c r="F47">
        <f>F15</f>
        <v>0</v>
      </c>
      <c r="G47">
        <v>11</v>
      </c>
      <c r="H47">
        <f>H15</f>
        <v>0</v>
      </c>
      <c r="K47">
        <v>11</v>
      </c>
      <c r="L47">
        <f>L15</f>
        <v>0</v>
      </c>
      <c r="M47">
        <v>11</v>
      </c>
      <c r="N47">
        <f>N15</f>
        <v>0</v>
      </c>
      <c r="Q47">
        <f>IF(Charts!$B$3="none",E204,IF(K204="",NA(),K204))</f>
        <v>0</v>
      </c>
      <c r="R47">
        <f>IF(Charts!$B$3="none",F204,IF(L204="",NA(),L204))</f>
        <v>0</v>
      </c>
      <c r="S47">
        <f>IF(Charts!$B$3="none",G204,IF(M204="",NA(),M204))</f>
        <v>0</v>
      </c>
      <c r="T47">
        <f>IF(Charts!$B$3="none",H204,IF(N204="",NA(),N204))</f>
        <v>0</v>
      </c>
    </row>
    <row r="48" spans="4:20">
      <c r="E48">
        <v>12</v>
      </c>
      <c r="F48">
        <f>F16</f>
        <v>0</v>
      </c>
      <c r="G48">
        <v>12</v>
      </c>
      <c r="H48">
        <f>H16</f>
        <v>0</v>
      </c>
      <c r="K48">
        <v>12</v>
      </c>
      <c r="L48">
        <f>L16</f>
        <v>0</v>
      </c>
      <c r="M48">
        <v>12</v>
      </c>
      <c r="N48">
        <f>N16</f>
        <v>0</v>
      </c>
      <c r="Q48">
        <f>IF(Charts!$B$3="none",E205,IF(K205="",NA(),K205))</f>
        <v>0</v>
      </c>
      <c r="R48">
        <f>IF(Charts!$B$3="none",F205,IF(L205="",NA(),L205))</f>
        <v>0</v>
      </c>
      <c r="S48">
        <f>IF(Charts!$B$3="none",G205,IF(M205="",NA(),M205))</f>
        <v>0</v>
      </c>
      <c r="T48">
        <f>IF(Charts!$B$3="none",H205,IF(N205="",NA(),N205))</f>
        <v>0</v>
      </c>
    </row>
    <row r="49" spans="5:20">
      <c r="E49">
        <v>13</v>
      </c>
      <c r="F49">
        <f>F17</f>
        <v>0</v>
      </c>
      <c r="G49">
        <v>13</v>
      </c>
      <c r="H49">
        <f>H17</f>
        <v>0</v>
      </c>
      <c r="K49">
        <v>13</v>
      </c>
      <c r="L49">
        <f>L17</f>
        <v>0</v>
      </c>
      <c r="M49">
        <v>13</v>
      </c>
      <c r="N49">
        <f>N17</f>
        <v>0</v>
      </c>
      <c r="Q49">
        <f>IF(Charts!$B$3="none",E206,IF(K206="",NA(),K206))</f>
        <v>0</v>
      </c>
      <c r="R49">
        <f>IF(Charts!$B$3="none",F206,IF(L206="",NA(),L206))</f>
        <v>0</v>
      </c>
      <c r="S49">
        <f>IF(Charts!$B$3="none",G206,IF(M206="",NA(),M206))</f>
        <v>0</v>
      </c>
      <c r="T49">
        <f>IF(Charts!$B$3="none",H206,IF(N206="",NA(),N206))</f>
        <v>0</v>
      </c>
    </row>
    <row r="50" spans="5:20">
      <c r="E50">
        <v>14</v>
      </c>
      <c r="F50">
        <f>F18</f>
        <v>0</v>
      </c>
      <c r="G50">
        <v>14</v>
      </c>
      <c r="H50">
        <f>H18</f>
        <v>0</v>
      </c>
      <c r="K50">
        <v>14</v>
      </c>
      <c r="L50">
        <f>L18</f>
        <v>0</v>
      </c>
      <c r="M50">
        <v>14</v>
      </c>
      <c r="N50">
        <f>N18</f>
        <v>0</v>
      </c>
      <c r="Q50">
        <f>IF(Charts!$B$3="none",E207,IF(K207="",NA(),K207))</f>
        <v>0</v>
      </c>
      <c r="R50">
        <f>IF(Charts!$B$3="none",F207,IF(L207="",NA(),L207))</f>
        <v>0</v>
      </c>
      <c r="S50">
        <f>IF(Charts!$B$3="none",G207,IF(M207="",NA(),M207))</f>
        <v>0</v>
      </c>
      <c r="T50">
        <f>IF(Charts!$B$3="none",H207,IF(N207="",NA(),N207))</f>
        <v>0</v>
      </c>
    </row>
    <row r="51" spans="5:20">
      <c r="E51">
        <v>15</v>
      </c>
      <c r="F51">
        <f>F19</f>
        <v>0</v>
      </c>
      <c r="G51">
        <v>15</v>
      </c>
      <c r="H51">
        <f>H19</f>
        <v>0</v>
      </c>
      <c r="K51">
        <v>15</v>
      </c>
      <c r="L51">
        <f>L19</f>
        <v>0</v>
      </c>
      <c r="M51">
        <v>15</v>
      </c>
      <c r="N51">
        <f>N19</f>
        <v>0</v>
      </c>
      <c r="Q51">
        <f>IF(Charts!$B$3="none",E208,IF(K208="",NA(),K208))</f>
        <v>0</v>
      </c>
      <c r="R51">
        <f>IF(Charts!$B$3="none",F208,IF(L208="",NA(),L208))</f>
        <v>0</v>
      </c>
      <c r="S51">
        <f>IF(Charts!$B$3="none",G208,IF(M208="",NA(),M208))</f>
        <v>0</v>
      </c>
      <c r="T51">
        <f>IF(Charts!$B$3="none",H208,IF(N208="",NA(),N208))</f>
        <v>0</v>
      </c>
    </row>
    <row r="52" spans="5:20">
      <c r="E52">
        <v>16</v>
      </c>
      <c r="F52">
        <f>F20</f>
        <v>0</v>
      </c>
      <c r="G52">
        <v>16</v>
      </c>
      <c r="H52">
        <f>H20</f>
        <v>0</v>
      </c>
      <c r="K52">
        <v>16</v>
      </c>
      <c r="L52">
        <f>L20</f>
        <v>0</v>
      </c>
      <c r="M52">
        <v>16</v>
      </c>
      <c r="N52">
        <f>N20</f>
        <v>0</v>
      </c>
      <c r="Q52">
        <f>IF(Charts!$B$3="none",E209,IF(K209="",NA(),K209))</f>
        <v>0</v>
      </c>
      <c r="R52">
        <f>IF(Charts!$B$3="none",F209,IF(L209="",NA(),L209))</f>
        <v>0</v>
      </c>
      <c r="S52">
        <f>IF(Charts!$B$3="none",G209,IF(M209="",NA(),M209))</f>
        <v>0</v>
      </c>
      <c r="T52">
        <f>IF(Charts!$B$3="none",H209,IF(N209="",NA(),N209))</f>
        <v>0</v>
      </c>
    </row>
    <row r="53" spans="5:20">
      <c r="E53">
        <v>17</v>
      </c>
      <c r="F53">
        <f>F21</f>
        <v>0</v>
      </c>
      <c r="G53">
        <v>17</v>
      </c>
      <c r="H53">
        <f>H21</f>
        <v>0</v>
      </c>
      <c r="K53">
        <v>17</v>
      </c>
      <c r="L53">
        <f>L21</f>
        <v>0</v>
      </c>
      <c r="M53">
        <v>17</v>
      </c>
      <c r="N53">
        <f>N21</f>
        <v>0</v>
      </c>
      <c r="Q53">
        <f>IF(Charts!$B$3="none",E210,IF(K210="",NA(),K210))</f>
        <v>0</v>
      </c>
      <c r="R53">
        <f>IF(Charts!$B$3="none",F210,IF(L210="",NA(),L210))</f>
        <v>0</v>
      </c>
      <c r="S53">
        <f>IF(Charts!$B$3="none",G210,IF(M210="",NA(),M210))</f>
        <v>0</v>
      </c>
      <c r="T53">
        <f>IF(Charts!$B$3="none",H210,IF(N210="",NA(),N210))</f>
        <v>0</v>
      </c>
    </row>
    <row r="54" spans="5:20">
      <c r="E54">
        <v>18</v>
      </c>
      <c r="F54">
        <f>F22</f>
        <v>0</v>
      </c>
      <c r="G54">
        <v>18</v>
      </c>
      <c r="H54">
        <f>H22</f>
        <v>0</v>
      </c>
      <c r="K54">
        <v>18</v>
      </c>
      <c r="L54">
        <f>L22</f>
        <v>0</v>
      </c>
      <c r="M54">
        <v>18</v>
      </c>
      <c r="N54">
        <f>N22</f>
        <v>0</v>
      </c>
      <c r="Q54">
        <f>IF(Charts!$B$3="none",E211,IF(K211="",NA(),K211))</f>
        <v>0</v>
      </c>
      <c r="R54">
        <f>IF(Charts!$B$3="none",F211,IF(L211="",NA(),L211))</f>
        <v>0</v>
      </c>
      <c r="S54">
        <f>IF(Charts!$B$3="none",G211,IF(M211="",NA(),M211))</f>
        <v>0</v>
      </c>
      <c r="T54">
        <f>IF(Charts!$B$3="none",H211,IF(N211="",NA(),N211))</f>
        <v>0</v>
      </c>
    </row>
    <row r="55" spans="5:20">
      <c r="E55">
        <v>19</v>
      </c>
      <c r="F55">
        <f>F23</f>
        <v>0</v>
      </c>
      <c r="G55">
        <v>19</v>
      </c>
      <c r="H55">
        <f>H23</f>
        <v>0</v>
      </c>
      <c r="K55">
        <v>19</v>
      </c>
      <c r="L55">
        <f>L23</f>
        <v>0</v>
      </c>
      <c r="M55">
        <v>19</v>
      </c>
      <c r="N55">
        <f>N23</f>
        <v>0</v>
      </c>
      <c r="Q55">
        <f>IF(Charts!$B$3="none",E212,IF(K212="",NA(),K212))</f>
        <v>0</v>
      </c>
      <c r="R55">
        <f>IF(Charts!$B$3="none",F212,IF(L212="",NA(),L212))</f>
        <v>0</v>
      </c>
      <c r="S55">
        <f>IF(Charts!$B$3="none",G212,IF(M212="",NA(),M212))</f>
        <v>0</v>
      </c>
      <c r="T55">
        <f>IF(Charts!$B$3="none",H212,IF(N212="",NA(),N212))</f>
        <v>0</v>
      </c>
    </row>
    <row r="56" spans="5:20">
      <c r="E56">
        <v>20</v>
      </c>
      <c r="F56">
        <f>F24</f>
        <v>0</v>
      </c>
      <c r="G56">
        <v>20</v>
      </c>
      <c r="H56">
        <f>H24</f>
        <v>0</v>
      </c>
      <c r="K56">
        <v>20</v>
      </c>
      <c r="L56">
        <f>L24</f>
        <v>0</v>
      </c>
      <c r="M56">
        <v>20</v>
      </c>
      <c r="N56">
        <f>N24</f>
        <v>0</v>
      </c>
      <c r="Q56">
        <f>IF(Charts!$B$3="none",E213,IF(K213="",NA(),K213))</f>
        <v>0</v>
      </c>
      <c r="R56">
        <f>IF(Charts!$B$3="none",F213,IF(L213="",NA(),L213))</f>
        <v>0</v>
      </c>
      <c r="S56">
        <f>IF(Charts!$B$3="none",G213,IF(M213="",NA(),M213))</f>
        <v>0</v>
      </c>
      <c r="T56">
        <f>IF(Charts!$B$3="none",H213,IF(N213="",NA(),N213))</f>
        <v>0</v>
      </c>
    </row>
    <row r="57" spans="5:20">
      <c r="E57">
        <v>21</v>
      </c>
      <c r="F57">
        <f>F25</f>
        <v>0</v>
      </c>
      <c r="G57">
        <v>21</v>
      </c>
      <c r="H57">
        <f>H25</f>
        <v>0</v>
      </c>
      <c r="K57">
        <v>21</v>
      </c>
      <c r="L57">
        <f>L25</f>
        <v>0</v>
      </c>
      <c r="M57">
        <v>21</v>
      </c>
      <c r="N57">
        <f>N25</f>
        <v>0</v>
      </c>
      <c r="Q57">
        <f>IF(Charts!$B$3="none",E214,IF(K214="",NA(),K214))</f>
        <v>0</v>
      </c>
      <c r="R57">
        <f>IF(Charts!$B$3="none",F214,IF(L214="",NA(),L214))</f>
        <v>0</v>
      </c>
      <c r="S57">
        <f>IF(Charts!$B$3="none",G214,IF(M214="",NA(),M214))</f>
        <v>0</v>
      </c>
      <c r="T57">
        <f>IF(Charts!$B$3="none",H214,IF(N214="",NA(),N214))</f>
        <v>0</v>
      </c>
    </row>
    <row r="58" spans="5:20">
      <c r="E58">
        <v>22</v>
      </c>
      <c r="F58">
        <f>F26</f>
        <v>0</v>
      </c>
      <c r="G58">
        <v>22</v>
      </c>
      <c r="H58">
        <f>H26</f>
        <v>0</v>
      </c>
      <c r="K58">
        <v>22</v>
      </c>
      <c r="L58">
        <f>L26</f>
        <v>0</v>
      </c>
      <c r="M58">
        <v>22</v>
      </c>
      <c r="N58">
        <f>N26</f>
        <v>0</v>
      </c>
      <c r="Q58">
        <f>IF(Charts!$B$3="none",E215,IF(K215="",NA(),K215))</f>
        <v>0</v>
      </c>
      <c r="R58">
        <f>IF(Charts!$B$3="none",F215,IF(L215="",NA(),L215))</f>
        <v>0</v>
      </c>
      <c r="S58">
        <f>IF(Charts!$B$3="none",G215,IF(M215="",NA(),M215))</f>
        <v>0</v>
      </c>
      <c r="T58">
        <f>IF(Charts!$B$3="none",H215,IF(N215="",NA(),N215))</f>
        <v>0</v>
      </c>
    </row>
    <row r="59" spans="5:20">
      <c r="E59">
        <v>23</v>
      </c>
      <c r="F59">
        <f>F27</f>
        <v>0</v>
      </c>
      <c r="G59">
        <v>23</v>
      </c>
      <c r="H59">
        <f>H27</f>
        <v>0</v>
      </c>
      <c r="K59">
        <v>23</v>
      </c>
      <c r="L59">
        <f>L27</f>
        <v>0</v>
      </c>
      <c r="M59">
        <v>23</v>
      </c>
      <c r="N59">
        <f>N27</f>
        <v>0</v>
      </c>
      <c r="Q59">
        <f>IF(Charts!$B$3="none",E216,IF(K216="",NA(),K216))</f>
        <v>0</v>
      </c>
      <c r="R59">
        <f>IF(Charts!$B$3="none",F216,IF(L216="",NA(),L216))</f>
        <v>0</v>
      </c>
      <c r="S59">
        <f>IF(Charts!$B$3="none",G216,IF(M216="",NA(),M216))</f>
        <v>0</v>
      </c>
      <c r="T59">
        <f>IF(Charts!$B$3="none",H216,IF(N216="",NA(),N216))</f>
        <v>0</v>
      </c>
    </row>
    <row r="60" spans="5:20">
      <c r="E60">
        <v>24</v>
      </c>
      <c r="F60">
        <f>F28</f>
        <v>0</v>
      </c>
      <c r="G60">
        <v>24</v>
      </c>
      <c r="H60">
        <f>H28</f>
        <v>0</v>
      </c>
      <c r="K60">
        <v>24</v>
      </c>
      <c r="L60">
        <f>L28</f>
        <v>0</v>
      </c>
      <c r="M60">
        <v>24</v>
      </c>
      <c r="N60">
        <f>N28</f>
        <v>0</v>
      </c>
      <c r="Q60">
        <f>IF(Charts!$B$3="none",E217,IF(K217="",NA(),K217))</f>
        <v>0</v>
      </c>
      <c r="R60">
        <f>IF(Charts!$B$3="none",F217,IF(L217="",NA(),L217))</f>
        <v>0</v>
      </c>
      <c r="S60">
        <f>IF(Charts!$B$3="none",G217,IF(M217="",NA(),M217))</f>
        <v>0</v>
      </c>
      <c r="T60">
        <f>IF(Charts!$B$3="none",H217,IF(N217="",NA(),N217))</f>
        <v>0</v>
      </c>
    </row>
    <row r="61" spans="5:20">
      <c r="E61">
        <v>25</v>
      </c>
      <c r="F61">
        <f>F29</f>
        <v>0</v>
      </c>
      <c r="G61">
        <v>25</v>
      </c>
      <c r="H61">
        <f>H29</f>
        <v>0</v>
      </c>
      <c r="K61">
        <v>25</v>
      </c>
      <c r="L61">
        <f>L29</f>
        <v>0</v>
      </c>
      <c r="M61">
        <v>25</v>
      </c>
      <c r="N61">
        <f>N29</f>
        <v>0</v>
      </c>
      <c r="Q61">
        <f>IF(Charts!$B$3="none",E218,IF(K218="",NA(),K218))</f>
        <v>0</v>
      </c>
      <c r="R61">
        <f>IF(Charts!$B$3="none",F218,IF(L218="",NA(),L218))</f>
        <v>0</v>
      </c>
      <c r="S61">
        <f>IF(Charts!$B$3="none",G218,IF(M218="",NA(),M218))</f>
        <v>0</v>
      </c>
      <c r="T61">
        <f>IF(Charts!$B$3="none",H218,IF(N218="",NA(),N218))</f>
        <v>0</v>
      </c>
    </row>
    <row r="62" spans="5:20">
      <c r="E62">
        <v>26</v>
      </c>
      <c r="F62">
        <f>F30</f>
        <v>0</v>
      </c>
      <c r="G62">
        <v>26</v>
      </c>
      <c r="H62">
        <f>H30</f>
        <v>0</v>
      </c>
      <c r="K62">
        <v>26</v>
      </c>
      <c r="L62">
        <f>L30</f>
        <v>0</v>
      </c>
      <c r="M62">
        <v>26</v>
      </c>
      <c r="N62">
        <f>N30</f>
        <v>0</v>
      </c>
      <c r="Q62">
        <f>IF(Charts!$B$3="none",E219,IF(K219="",NA(),K219))</f>
        <v>0</v>
      </c>
      <c r="R62">
        <f>IF(Charts!$B$3="none",F219,IF(L219="",NA(),L219))</f>
        <v>0</v>
      </c>
      <c r="S62">
        <f>IF(Charts!$B$3="none",G219,IF(M219="",NA(),M219))</f>
        <v>0</v>
      </c>
      <c r="T62">
        <f>IF(Charts!$B$3="none",H219,IF(N219="",NA(),N219))</f>
        <v>0</v>
      </c>
    </row>
    <row r="63" spans="5:20">
      <c r="E63">
        <v>27</v>
      </c>
      <c r="F63">
        <f>F31</f>
        <v>0</v>
      </c>
      <c r="G63">
        <v>27</v>
      </c>
      <c r="H63">
        <f>H31</f>
        <v>0</v>
      </c>
      <c r="K63">
        <v>27</v>
      </c>
      <c r="L63">
        <f>L31</f>
        <v>0</v>
      </c>
      <c r="M63">
        <v>27</v>
      </c>
      <c r="N63">
        <f>N31</f>
        <v>0</v>
      </c>
      <c r="Q63">
        <f>IF(Charts!$B$3="none",E220,IF(K220="",NA(),K220))</f>
        <v>0</v>
      </c>
      <c r="R63">
        <f>IF(Charts!$B$3="none",F220,IF(L220="",NA(),L220))</f>
        <v>0</v>
      </c>
      <c r="S63">
        <f>IF(Charts!$B$3="none",G220,IF(M220="",NA(),M220))</f>
        <v>0</v>
      </c>
      <c r="T63">
        <f>IF(Charts!$B$3="none",H220,IF(N220="",NA(),N220))</f>
        <v>0</v>
      </c>
    </row>
    <row r="64" spans="5:20">
      <c r="E64">
        <v>28</v>
      </c>
      <c r="F64">
        <f>F32</f>
        <v>0</v>
      </c>
      <c r="G64">
        <v>28</v>
      </c>
      <c r="H64">
        <f>H32</f>
        <v>0</v>
      </c>
      <c r="K64">
        <v>28</v>
      </c>
      <c r="L64">
        <f>L32</f>
        <v>0</v>
      </c>
      <c r="M64">
        <v>28</v>
      </c>
      <c r="N64">
        <f>N32</f>
        <v>0</v>
      </c>
      <c r="Q64">
        <f>IF(Charts!$B$3="none",E221,IF(K221="",NA(),K221))</f>
        <v>0</v>
      </c>
      <c r="R64">
        <f>IF(Charts!$B$3="none",F221,IF(L221="",NA(),L221))</f>
        <v>0</v>
      </c>
      <c r="S64">
        <f>IF(Charts!$B$3="none",G221,IF(M221="",NA(),M221))</f>
        <v>0</v>
      </c>
      <c r="T64">
        <f>IF(Charts!$B$3="none",H221,IF(N221="",NA(),N221))</f>
        <v>0</v>
      </c>
    </row>
    <row r="65" spans="5:14">
      <c r="E65">
        <v>29</v>
      </c>
      <c r="F65">
        <f>F33</f>
        <v>0</v>
      </c>
      <c r="G65">
        <v>29</v>
      </c>
      <c r="H65">
        <f>H33</f>
        <v>0</v>
      </c>
      <c r="K65">
        <v>29</v>
      </c>
      <c r="L65">
        <f>L33</f>
        <v>0</v>
      </c>
      <c r="M65">
        <v>29</v>
      </c>
      <c r="N65">
        <f>N33</f>
        <v>0</v>
      </c>
    </row>
    <row r="66" spans="5:14">
      <c r="E66">
        <v>30</v>
      </c>
      <c r="F66">
        <f>F34</f>
        <v>0</v>
      </c>
      <c r="G66">
        <v>30</v>
      </c>
      <c r="H66">
        <f>H34</f>
        <v>0</v>
      </c>
      <c r="K66">
        <v>30</v>
      </c>
      <c r="L66">
        <f>L34</f>
        <v>0</v>
      </c>
      <c r="M66">
        <v>30</v>
      </c>
      <c r="N66">
        <f>N34</f>
        <v>0</v>
      </c>
    </row>
    <row r="67" spans="5:14">
      <c r="E67">
        <v>2</v>
      </c>
      <c r="F67">
        <f>IF(F6="","",F5)</f>
        <v>0</v>
      </c>
      <c r="G67">
        <v>2</v>
      </c>
      <c r="H67">
        <f>H5</f>
        <v>0</v>
      </c>
      <c r="K67">
        <v>2</v>
      </c>
      <c r="L67">
        <f>IF(L6="","",L5)</f>
        <v>0</v>
      </c>
      <c r="M67">
        <v>2</v>
      </c>
      <c r="N67">
        <f>N5</f>
        <v>0</v>
      </c>
    </row>
    <row r="68" spans="5:14">
      <c r="E68">
        <v>3</v>
      </c>
      <c r="F68">
        <f>IF(F7="","",F6)</f>
        <v>0</v>
      </c>
      <c r="G68">
        <v>3</v>
      </c>
      <c r="H68">
        <f>H6</f>
        <v>0</v>
      </c>
      <c r="K68">
        <v>3</v>
      </c>
      <c r="L68">
        <f>IF(L7="","",L6)</f>
        <v>0</v>
      </c>
      <c r="M68">
        <v>3</v>
      </c>
      <c r="N68">
        <f>N6</f>
        <v>0</v>
      </c>
    </row>
    <row r="69" spans="5:14">
      <c r="E69">
        <v>4</v>
      </c>
      <c r="F69">
        <f>IF(F8="","",F7)</f>
        <v>0</v>
      </c>
      <c r="G69">
        <v>4</v>
      </c>
      <c r="H69">
        <f>H7</f>
        <v>0</v>
      </c>
      <c r="K69">
        <v>4</v>
      </c>
      <c r="L69">
        <f>IF(L8="","",L7)</f>
        <v>0</v>
      </c>
      <c r="M69">
        <v>4</v>
      </c>
      <c r="N69">
        <f>N7</f>
        <v>0</v>
      </c>
    </row>
    <row r="70" spans="5:14">
      <c r="E70">
        <v>5</v>
      </c>
      <c r="F70">
        <f>IF(F9="","",F8)</f>
        <v>0</v>
      </c>
      <c r="G70">
        <v>5</v>
      </c>
      <c r="H70">
        <f>H8</f>
        <v>0</v>
      </c>
      <c r="K70">
        <v>5</v>
      </c>
      <c r="L70">
        <f>IF(L9="","",L8)</f>
        <v>0</v>
      </c>
      <c r="M70">
        <v>5</v>
      </c>
      <c r="N70">
        <f>N8</f>
        <v>0</v>
      </c>
    </row>
    <row r="71" spans="5:14">
      <c r="E71">
        <v>6</v>
      </c>
      <c r="F71">
        <f>IF(F10="","",F9)</f>
        <v>0</v>
      </c>
      <c r="G71">
        <v>6</v>
      </c>
      <c r="H71">
        <f>H9</f>
        <v>0</v>
      </c>
      <c r="K71">
        <v>6</v>
      </c>
      <c r="L71">
        <f>IF(L10="","",L9)</f>
        <v>0</v>
      </c>
      <c r="M71">
        <v>6</v>
      </c>
      <c r="N71">
        <f>N9</f>
        <v>0</v>
      </c>
    </row>
    <row r="72" spans="5:14">
      <c r="E72">
        <v>7</v>
      </c>
      <c r="F72">
        <f>IF(F11="","",F10)</f>
        <v>0</v>
      </c>
      <c r="G72">
        <v>7</v>
      </c>
      <c r="H72">
        <f>H10</f>
        <v>0</v>
      </c>
      <c r="K72">
        <v>7</v>
      </c>
      <c r="L72">
        <f>IF(L11="","",L10)</f>
        <v>0</v>
      </c>
      <c r="M72">
        <v>7</v>
      </c>
      <c r="N72">
        <f>N10</f>
        <v>0</v>
      </c>
    </row>
    <row r="73" spans="5:14">
      <c r="E73">
        <v>8</v>
      </c>
      <c r="F73">
        <f>IF(F12="","",F11)</f>
        <v>0</v>
      </c>
      <c r="G73">
        <v>8</v>
      </c>
      <c r="H73">
        <f>H11</f>
        <v>0</v>
      </c>
      <c r="K73">
        <v>8</v>
      </c>
      <c r="L73">
        <f>IF(L12="","",L11)</f>
        <v>0</v>
      </c>
      <c r="M73">
        <v>8</v>
      </c>
      <c r="N73">
        <f>N11</f>
        <v>0</v>
      </c>
    </row>
    <row r="74" spans="5:14">
      <c r="E74">
        <v>9</v>
      </c>
      <c r="F74">
        <f>IF(F13="","",F12)</f>
        <v>0</v>
      </c>
      <c r="G74">
        <v>9</v>
      </c>
      <c r="H74">
        <f>H12</f>
        <v>0</v>
      </c>
      <c r="K74">
        <v>9</v>
      </c>
      <c r="L74">
        <f>IF(L13="","",L12)</f>
        <v>0</v>
      </c>
      <c r="M74">
        <v>9</v>
      </c>
      <c r="N74">
        <f>N12</f>
        <v>0</v>
      </c>
    </row>
    <row r="75" spans="5:14">
      <c r="E75">
        <v>10</v>
      </c>
      <c r="F75">
        <f>IF(F14="","",F13)</f>
        <v>0</v>
      </c>
      <c r="G75">
        <v>10</v>
      </c>
      <c r="H75">
        <f>H13</f>
        <v>0</v>
      </c>
      <c r="K75">
        <v>10</v>
      </c>
      <c r="L75">
        <f>IF(L14="","",L13)</f>
        <v>0</v>
      </c>
      <c r="M75">
        <v>10</v>
      </c>
      <c r="N75">
        <f>N13</f>
        <v>0</v>
      </c>
    </row>
    <row r="76" spans="5:14">
      <c r="E76">
        <v>11</v>
      </c>
      <c r="F76">
        <f>IF(F15="","",F14)</f>
        <v>0</v>
      </c>
      <c r="G76">
        <v>11</v>
      </c>
      <c r="H76">
        <f>H14</f>
        <v>0</v>
      </c>
      <c r="K76">
        <v>11</v>
      </c>
      <c r="L76">
        <f>IF(L15="","",L14)</f>
        <v>0</v>
      </c>
      <c r="M76">
        <v>11</v>
      </c>
      <c r="N76">
        <f>N14</f>
        <v>0</v>
      </c>
    </row>
    <row r="77" spans="5:14">
      <c r="E77">
        <v>12</v>
      </c>
      <c r="F77">
        <f>IF(F16="","",F15)</f>
        <v>0</v>
      </c>
      <c r="G77">
        <v>12</v>
      </c>
      <c r="H77">
        <f>H15</f>
        <v>0</v>
      </c>
      <c r="K77">
        <v>12</v>
      </c>
      <c r="L77">
        <f>IF(L16="","",L15)</f>
        <v>0</v>
      </c>
      <c r="M77">
        <v>12</v>
      </c>
      <c r="N77">
        <f>N15</f>
        <v>0</v>
      </c>
    </row>
    <row r="78" spans="5:14">
      <c r="E78">
        <v>13</v>
      </c>
      <c r="F78">
        <f>IF(F17="","",F16)</f>
        <v>0</v>
      </c>
      <c r="G78">
        <v>13</v>
      </c>
      <c r="H78">
        <f>H16</f>
        <v>0</v>
      </c>
      <c r="K78">
        <v>13</v>
      </c>
      <c r="L78">
        <f>IF(L17="","",L16)</f>
        <v>0</v>
      </c>
      <c r="M78">
        <v>13</v>
      </c>
      <c r="N78">
        <f>N16</f>
        <v>0</v>
      </c>
    </row>
    <row r="79" spans="5:14">
      <c r="E79">
        <v>14</v>
      </c>
      <c r="F79">
        <f>IF(F18="","",F17)</f>
        <v>0</v>
      </c>
      <c r="G79">
        <v>14</v>
      </c>
      <c r="H79">
        <f>H17</f>
        <v>0</v>
      </c>
      <c r="K79">
        <v>14</v>
      </c>
      <c r="L79">
        <f>IF(L18="","",L17)</f>
        <v>0</v>
      </c>
      <c r="M79">
        <v>14</v>
      </c>
      <c r="N79">
        <f>N17</f>
        <v>0</v>
      </c>
    </row>
    <row r="80" spans="5:14">
      <c r="E80">
        <v>15</v>
      </c>
      <c r="F80">
        <f>IF(F19="","",F18)</f>
        <v>0</v>
      </c>
      <c r="G80">
        <v>15</v>
      </c>
      <c r="H80">
        <f>H18</f>
        <v>0</v>
      </c>
      <c r="K80">
        <v>15</v>
      </c>
      <c r="L80">
        <f>IF(L19="","",L18)</f>
        <v>0</v>
      </c>
      <c r="M80">
        <v>15</v>
      </c>
      <c r="N80">
        <f>N18</f>
        <v>0</v>
      </c>
    </row>
    <row r="81" spans="5:14">
      <c r="E81">
        <v>16</v>
      </c>
      <c r="F81">
        <f>IF(F20="","",F19)</f>
        <v>0</v>
      </c>
      <c r="G81">
        <v>16</v>
      </c>
      <c r="H81">
        <f>H19</f>
        <v>0</v>
      </c>
      <c r="K81">
        <v>16</v>
      </c>
      <c r="L81">
        <f>IF(L20="","",L19)</f>
        <v>0</v>
      </c>
      <c r="M81">
        <v>16</v>
      </c>
      <c r="N81">
        <f>N19</f>
        <v>0</v>
      </c>
    </row>
    <row r="82" spans="5:14">
      <c r="E82">
        <v>17</v>
      </c>
      <c r="F82">
        <f>IF(F21="","",F20)</f>
        <v>0</v>
      </c>
      <c r="G82">
        <v>17</v>
      </c>
      <c r="H82">
        <f>H20</f>
        <v>0</v>
      </c>
      <c r="K82">
        <v>17</v>
      </c>
      <c r="L82">
        <f>IF(L21="","",L20)</f>
        <v>0</v>
      </c>
      <c r="M82">
        <v>17</v>
      </c>
      <c r="N82">
        <f>N20</f>
        <v>0</v>
      </c>
    </row>
    <row r="83" spans="5:14">
      <c r="E83">
        <v>18</v>
      </c>
      <c r="F83">
        <f>IF(F22="","",F21)</f>
        <v>0</v>
      </c>
      <c r="G83">
        <v>18</v>
      </c>
      <c r="H83">
        <f>H21</f>
        <v>0</v>
      </c>
      <c r="K83">
        <v>18</v>
      </c>
      <c r="L83">
        <f>IF(L22="","",L21)</f>
        <v>0</v>
      </c>
      <c r="M83">
        <v>18</v>
      </c>
      <c r="N83">
        <f>N21</f>
        <v>0</v>
      </c>
    </row>
    <row r="84" spans="5:14">
      <c r="E84">
        <v>19</v>
      </c>
      <c r="F84">
        <f>IF(F23="","",F22)</f>
        <v>0</v>
      </c>
      <c r="G84">
        <v>19</v>
      </c>
      <c r="H84">
        <f>H22</f>
        <v>0</v>
      </c>
      <c r="K84">
        <v>19</v>
      </c>
      <c r="L84">
        <f>IF(L23="","",L22)</f>
        <v>0</v>
      </c>
      <c r="M84">
        <v>19</v>
      </c>
      <c r="N84">
        <f>N22</f>
        <v>0</v>
      </c>
    </row>
    <row r="85" spans="5:14">
      <c r="E85">
        <v>20</v>
      </c>
      <c r="F85">
        <f>IF(F24="","",F23)</f>
        <v>0</v>
      </c>
      <c r="G85">
        <v>20</v>
      </c>
      <c r="H85">
        <f>H23</f>
        <v>0</v>
      </c>
      <c r="K85">
        <v>20</v>
      </c>
      <c r="L85">
        <f>IF(L24="","",L23)</f>
        <v>0</v>
      </c>
      <c r="M85">
        <v>20</v>
      </c>
      <c r="N85">
        <f>N23</f>
        <v>0</v>
      </c>
    </row>
    <row r="86" spans="5:14">
      <c r="E86">
        <v>21</v>
      </c>
      <c r="F86">
        <f>IF(F25="","",F24)</f>
        <v>0</v>
      </c>
      <c r="G86">
        <v>21</v>
      </c>
      <c r="H86">
        <f>H24</f>
        <v>0</v>
      </c>
      <c r="K86">
        <v>21</v>
      </c>
      <c r="L86">
        <f>IF(L25="","",L24)</f>
        <v>0</v>
      </c>
      <c r="M86">
        <v>21</v>
      </c>
      <c r="N86">
        <f>N24</f>
        <v>0</v>
      </c>
    </row>
    <row r="87" spans="5:14">
      <c r="E87">
        <v>22</v>
      </c>
      <c r="F87">
        <f>IF(F26="","",F25)</f>
        <v>0</v>
      </c>
      <c r="G87">
        <v>22</v>
      </c>
      <c r="H87">
        <f>H25</f>
        <v>0</v>
      </c>
      <c r="K87">
        <v>22</v>
      </c>
      <c r="L87">
        <f>IF(L26="","",L25)</f>
        <v>0</v>
      </c>
      <c r="M87">
        <v>22</v>
      </c>
      <c r="N87">
        <f>N25</f>
        <v>0</v>
      </c>
    </row>
    <row r="88" spans="5:14">
      <c r="E88">
        <v>23</v>
      </c>
      <c r="F88">
        <f>IF(F27="","",F26)</f>
        <v>0</v>
      </c>
      <c r="G88">
        <v>23</v>
      </c>
      <c r="H88">
        <f>H26</f>
        <v>0</v>
      </c>
      <c r="K88">
        <v>23</v>
      </c>
      <c r="L88">
        <f>IF(L27="","",L26)</f>
        <v>0</v>
      </c>
      <c r="M88">
        <v>23</v>
      </c>
      <c r="N88">
        <f>N26</f>
        <v>0</v>
      </c>
    </row>
    <row r="89" spans="5:14">
      <c r="E89">
        <v>24</v>
      </c>
      <c r="F89">
        <f>IF(F28="","",F27)</f>
        <v>0</v>
      </c>
      <c r="G89">
        <v>24</v>
      </c>
      <c r="H89">
        <f>H27</f>
        <v>0</v>
      </c>
      <c r="K89">
        <v>24</v>
      </c>
      <c r="L89">
        <f>IF(L28="","",L27)</f>
        <v>0</v>
      </c>
      <c r="M89">
        <v>24</v>
      </c>
      <c r="N89">
        <f>N27</f>
        <v>0</v>
      </c>
    </row>
    <row r="90" spans="5:14">
      <c r="E90">
        <v>25</v>
      </c>
      <c r="F90">
        <f>IF(F29="","",F28)</f>
        <v>0</v>
      </c>
      <c r="G90">
        <v>25</v>
      </c>
      <c r="H90">
        <f>H28</f>
        <v>0</v>
      </c>
      <c r="K90">
        <v>25</v>
      </c>
      <c r="L90">
        <f>IF(L29="","",L28)</f>
        <v>0</v>
      </c>
      <c r="M90">
        <v>25</v>
      </c>
      <c r="N90">
        <f>N28</f>
        <v>0</v>
      </c>
    </row>
    <row r="91" spans="5:14">
      <c r="E91">
        <v>26</v>
      </c>
      <c r="F91">
        <f>IF(F30="","",F29)</f>
        <v>0</v>
      </c>
      <c r="G91">
        <v>26</v>
      </c>
      <c r="H91">
        <f>H29</f>
        <v>0</v>
      </c>
      <c r="K91">
        <v>26</v>
      </c>
      <c r="L91">
        <f>IF(L30="","",L29)</f>
        <v>0</v>
      </c>
      <c r="M91">
        <v>26</v>
      </c>
      <c r="N91">
        <f>N29</f>
        <v>0</v>
      </c>
    </row>
    <row r="92" spans="5:14">
      <c r="E92">
        <v>27</v>
      </c>
      <c r="F92">
        <f>IF(F31="","",F30)</f>
        <v>0</v>
      </c>
      <c r="G92">
        <v>27</v>
      </c>
      <c r="H92">
        <f>H30</f>
        <v>0</v>
      </c>
      <c r="K92">
        <v>27</v>
      </c>
      <c r="L92">
        <f>IF(L31="","",L30)</f>
        <v>0</v>
      </c>
      <c r="M92">
        <v>27</v>
      </c>
      <c r="N92">
        <f>N30</f>
        <v>0</v>
      </c>
    </row>
    <row r="93" spans="5:14">
      <c r="E93">
        <v>28</v>
      </c>
      <c r="F93">
        <f>IF(F32="","",F31)</f>
        <v>0</v>
      </c>
      <c r="G93">
        <v>28</v>
      </c>
      <c r="H93">
        <f>H31</f>
        <v>0</v>
      </c>
      <c r="K93">
        <v>28</v>
      </c>
      <c r="L93">
        <f>IF(L32="","",L31)</f>
        <v>0</v>
      </c>
      <c r="M93">
        <v>28</v>
      </c>
      <c r="N93">
        <f>N31</f>
        <v>0</v>
      </c>
    </row>
    <row r="94" spans="5:14">
      <c r="E94">
        <v>29</v>
      </c>
      <c r="F94">
        <f>IF(F33="","",F32)</f>
        <v>0</v>
      </c>
      <c r="G94">
        <v>29</v>
      </c>
      <c r="H94">
        <f>H32</f>
        <v>0</v>
      </c>
      <c r="K94">
        <v>29</v>
      </c>
      <c r="L94">
        <f>IF(L33="","",L32)</f>
        <v>0</v>
      </c>
      <c r="M94">
        <v>29</v>
      </c>
      <c r="N94">
        <f>N32</f>
        <v>0</v>
      </c>
    </row>
    <row r="95" spans="5:14">
      <c r="E95">
        <v>30</v>
      </c>
      <c r="F95">
        <f>IF(F34="","",F33)</f>
        <v>0</v>
      </c>
      <c r="G95">
        <v>30</v>
      </c>
      <c r="H95">
        <f>H33</f>
        <v>0</v>
      </c>
      <c r="K95">
        <v>30</v>
      </c>
      <c r="L95">
        <f>IF(L34="","",L33)</f>
        <v>0</v>
      </c>
      <c r="M95">
        <v>30</v>
      </c>
      <c r="N95">
        <f>N33</f>
        <v>0</v>
      </c>
    </row>
    <row r="96" spans="5:14">
      <c r="E96">
        <v>0</v>
      </c>
      <c r="F96">
        <v>0</v>
      </c>
      <c r="G96">
        <v>0</v>
      </c>
      <c r="H96">
        <v>0</v>
      </c>
      <c r="K96">
        <v>0</v>
      </c>
      <c r="L96">
        <v>0</v>
      </c>
      <c r="M96">
        <v>0</v>
      </c>
      <c r="N96">
        <v>0</v>
      </c>
    </row>
    <row r="97" spans="4:14">
      <c r="E97">
        <v>1</v>
      </c>
      <c r="F97">
        <v>0</v>
      </c>
      <c r="G97">
        <v>1</v>
      </c>
      <c r="H97">
        <v>0</v>
      </c>
      <c r="K97">
        <v>1</v>
      </c>
      <c r="L97">
        <v>0</v>
      </c>
      <c r="M97">
        <v>1</v>
      </c>
      <c r="N97">
        <v>0</v>
      </c>
    </row>
    <row r="99" spans="4:14">
      <c r="D99" t="s">
        <v>45</v>
      </c>
      <c r="E99" t="s">
        <v>43</v>
      </c>
      <c r="F99" t="s">
        <v>48</v>
      </c>
      <c r="G99" t="s">
        <v>43</v>
      </c>
      <c r="H99" t="s">
        <v>49</v>
      </c>
      <c r="J99" t="s">
        <v>45</v>
      </c>
      <c r="K99" t="s">
        <v>43</v>
      </c>
      <c r="L99" t="s">
        <v>48</v>
      </c>
      <c r="M99" t="s">
        <v>43</v>
      </c>
      <c r="N99" t="s">
        <v>49</v>
      </c>
    </row>
    <row r="100" spans="4:14">
      <c r="E100">
        <f>IFERROR(SMALL(E37:E97,ROW()-ROW($E$100)+1),"")</f>
        <v>0</v>
      </c>
      <c r="F100">
        <f>IFERROR(SMALL(F37:F97,ROW()-ROW($F$100)+1),"")</f>
        <v>0</v>
      </c>
      <c r="G100">
        <f>IFERROR(SMALL(G37:G97,ROW()-ROW($G$100)+1),"")</f>
        <v>0</v>
      </c>
      <c r="H100">
        <f>IFERROR(SMALL(H37:H97,ROW()-ROW($H$100)+1),"")</f>
        <v>0</v>
      </c>
      <c r="K100">
        <f>IFERROR(SMALL(K37:K97,ROW()-ROW($K$100)+1),"")</f>
        <v>0</v>
      </c>
      <c r="L100">
        <f>IFERROR(SMALL(L37:L97,ROW()-ROW($L$100)+1),"")</f>
        <v>0</v>
      </c>
      <c r="M100">
        <f>IFERROR(SMALL(M37:M97,ROW()-ROW($M$100)+1),"")</f>
        <v>0</v>
      </c>
      <c r="N100">
        <f>IFERROR(SMALL(N37:N97,ROW()-ROW($N$100)+1),"")</f>
        <v>0</v>
      </c>
    </row>
    <row r="101" spans="4:14">
      <c r="E101">
        <f>IFERROR(SMALL(E37:E97,ROW()-ROW($E$100)+1),"")</f>
        <v>0</v>
      </c>
      <c r="F101">
        <f>IFERROR(SMALL(F37:F97,ROW()-ROW($F$100)+1),"")</f>
        <v>0</v>
      </c>
      <c r="G101">
        <f>IFERROR(SMALL(G37:G97,ROW()-ROW($G$100)+1),"")</f>
        <v>0</v>
      </c>
      <c r="H101">
        <f>IFERROR(SMALL(H37:H97,ROW()-ROW($H$100)+1),"")</f>
        <v>0</v>
      </c>
      <c r="K101">
        <f>IFERROR(SMALL(K37:K97,ROW()-ROW($K$100)+1),"")</f>
        <v>0</v>
      </c>
      <c r="L101">
        <f>IFERROR(SMALL(L37:L97,ROW()-ROW($L$100)+1),"")</f>
        <v>0</v>
      </c>
      <c r="M101">
        <f>IFERROR(SMALL(M37:M97,ROW()-ROW($M$100)+1),"")</f>
        <v>0</v>
      </c>
      <c r="N101">
        <f>IFERROR(SMALL(N37:N97,ROW()-ROW($N$100)+1),"")</f>
        <v>0</v>
      </c>
    </row>
    <row r="102" spans="4:14">
      <c r="E102">
        <f>IFERROR(SMALL(E37:E97,ROW()-ROW($E$100)+1),"")</f>
        <v>0</v>
      </c>
      <c r="F102">
        <f>IFERROR(SMALL(F37:F97,ROW()-ROW($F$100)+1),"")</f>
        <v>0</v>
      </c>
      <c r="G102">
        <f>IFERROR(SMALL(G37:G97,ROW()-ROW($G$100)+1),"")</f>
        <v>0</v>
      </c>
      <c r="H102">
        <f>IFERROR(SMALL(H37:H97,ROW()-ROW($H$100)+1),"")</f>
        <v>0</v>
      </c>
      <c r="K102">
        <f>IFERROR(SMALL(K37:K97,ROW()-ROW($K$100)+1),"")</f>
        <v>0</v>
      </c>
      <c r="L102">
        <f>IFERROR(SMALL(L37:L97,ROW()-ROW($L$100)+1),"")</f>
        <v>0</v>
      </c>
      <c r="M102">
        <f>IFERROR(SMALL(M37:M97,ROW()-ROW($M$100)+1),"")</f>
        <v>0</v>
      </c>
      <c r="N102">
        <f>IFERROR(SMALL(N37:N97,ROW()-ROW($N$100)+1),"")</f>
        <v>0</v>
      </c>
    </row>
    <row r="103" spans="4:14">
      <c r="E103">
        <f>IFERROR(SMALL(E37:E97,ROW()-ROW($E$100)+1),"")</f>
        <v>0</v>
      </c>
      <c r="F103">
        <f>IFERROR(SMALL(F37:F97,ROW()-ROW($F$100)+1),"")</f>
        <v>0</v>
      </c>
      <c r="G103">
        <f>IFERROR(SMALL(G37:G97,ROW()-ROW($G$100)+1),"")</f>
        <v>0</v>
      </c>
      <c r="H103">
        <f>IFERROR(SMALL(H37:H97,ROW()-ROW($H$100)+1),"")</f>
        <v>0</v>
      </c>
      <c r="K103">
        <f>IFERROR(SMALL(K37:K97,ROW()-ROW($K$100)+1),"")</f>
        <v>0</v>
      </c>
      <c r="L103">
        <f>IFERROR(SMALL(L37:L97,ROW()-ROW($L$100)+1),"")</f>
        <v>0</v>
      </c>
      <c r="M103">
        <f>IFERROR(SMALL(M37:M97,ROW()-ROW($M$100)+1),"")</f>
        <v>0</v>
      </c>
      <c r="N103">
        <f>IFERROR(SMALL(N37:N97,ROW()-ROW($N$100)+1),"")</f>
        <v>0</v>
      </c>
    </row>
    <row r="104" spans="4:14">
      <c r="E104">
        <f>IFERROR(SMALL(E37:E97,ROW()-ROW($E$100)+1),"")</f>
        <v>0</v>
      </c>
      <c r="F104">
        <f>IFERROR(SMALL(F37:F97,ROW()-ROW($F$100)+1),"")</f>
        <v>0</v>
      </c>
      <c r="G104">
        <f>IFERROR(SMALL(G37:G97,ROW()-ROW($G$100)+1),"")</f>
        <v>0</v>
      </c>
      <c r="H104">
        <f>IFERROR(SMALL(H37:H97,ROW()-ROW($H$100)+1),"")</f>
        <v>0</v>
      </c>
      <c r="K104">
        <f>IFERROR(SMALL(K37:K97,ROW()-ROW($K$100)+1),"")</f>
        <v>0</v>
      </c>
      <c r="L104">
        <f>IFERROR(SMALL(L37:L97,ROW()-ROW($L$100)+1),"")</f>
        <v>0</v>
      </c>
      <c r="M104">
        <f>IFERROR(SMALL(M37:M97,ROW()-ROW($M$100)+1),"")</f>
        <v>0</v>
      </c>
      <c r="N104">
        <f>IFERROR(SMALL(N37:N97,ROW()-ROW($N$100)+1),"")</f>
        <v>0</v>
      </c>
    </row>
    <row r="105" spans="4:14">
      <c r="E105">
        <f>IFERROR(SMALL(E37:E97,ROW()-ROW($E$100)+1),"")</f>
        <v>0</v>
      </c>
      <c r="F105">
        <f>IFERROR(SMALL(F37:F97,ROW()-ROW($F$100)+1),"")</f>
        <v>0</v>
      </c>
      <c r="G105">
        <f>IFERROR(SMALL(G37:G97,ROW()-ROW($G$100)+1),"")</f>
        <v>0</v>
      </c>
      <c r="H105">
        <f>IFERROR(SMALL(H37:H97,ROW()-ROW($H$100)+1),"")</f>
        <v>0</v>
      </c>
      <c r="K105">
        <f>IFERROR(SMALL(K37:K97,ROW()-ROW($K$100)+1),"")</f>
        <v>0</v>
      </c>
      <c r="L105">
        <f>IFERROR(SMALL(L37:L97,ROW()-ROW($L$100)+1),"")</f>
        <v>0</v>
      </c>
      <c r="M105">
        <f>IFERROR(SMALL(M37:M97,ROW()-ROW($M$100)+1),"")</f>
        <v>0</v>
      </c>
      <c r="N105">
        <f>IFERROR(SMALL(N37:N97,ROW()-ROW($N$100)+1),"")</f>
        <v>0</v>
      </c>
    </row>
    <row r="106" spans="4:14">
      <c r="E106">
        <f>IFERROR(SMALL(E37:E97,ROW()-ROW($E$100)+1),"")</f>
        <v>0</v>
      </c>
      <c r="F106">
        <f>IFERROR(SMALL(F37:F97,ROW()-ROW($F$100)+1),"")</f>
        <v>0</v>
      </c>
      <c r="G106">
        <f>IFERROR(SMALL(G37:G97,ROW()-ROW($G$100)+1),"")</f>
        <v>0</v>
      </c>
      <c r="H106">
        <f>IFERROR(SMALL(H37:H97,ROW()-ROW($H$100)+1),"")</f>
        <v>0</v>
      </c>
      <c r="K106">
        <f>IFERROR(SMALL(K37:K97,ROW()-ROW($K$100)+1),"")</f>
        <v>0</v>
      </c>
      <c r="L106">
        <f>IFERROR(SMALL(L37:L97,ROW()-ROW($L$100)+1),"")</f>
        <v>0</v>
      </c>
      <c r="M106">
        <f>IFERROR(SMALL(M37:M97,ROW()-ROW($M$100)+1),"")</f>
        <v>0</v>
      </c>
      <c r="N106">
        <f>IFERROR(SMALL(N37:N97,ROW()-ROW($N$100)+1),"")</f>
        <v>0</v>
      </c>
    </row>
    <row r="107" spans="4:14">
      <c r="E107">
        <f>IFERROR(SMALL(E37:E97,ROW()-ROW($E$100)+1),"")</f>
        <v>0</v>
      </c>
      <c r="F107">
        <f>IFERROR(SMALL(F37:F97,ROW()-ROW($F$100)+1),"")</f>
        <v>0</v>
      </c>
      <c r="G107">
        <f>IFERROR(SMALL(G37:G97,ROW()-ROW($G$100)+1),"")</f>
        <v>0</v>
      </c>
      <c r="H107">
        <f>IFERROR(SMALL(H37:H97,ROW()-ROW($H$100)+1),"")</f>
        <v>0</v>
      </c>
      <c r="K107">
        <f>IFERROR(SMALL(K37:K97,ROW()-ROW($K$100)+1),"")</f>
        <v>0</v>
      </c>
      <c r="L107">
        <f>IFERROR(SMALL(L37:L97,ROW()-ROW($L$100)+1),"")</f>
        <v>0</v>
      </c>
      <c r="M107">
        <f>IFERROR(SMALL(M37:M97,ROW()-ROW($M$100)+1),"")</f>
        <v>0</v>
      </c>
      <c r="N107">
        <f>IFERROR(SMALL(N37:N97,ROW()-ROW($N$100)+1),"")</f>
        <v>0</v>
      </c>
    </row>
    <row r="108" spans="4:14">
      <c r="E108">
        <f>IFERROR(SMALL(E37:E97,ROW()-ROW($E$100)+1),"")</f>
        <v>0</v>
      </c>
      <c r="F108">
        <f>IFERROR(SMALL(F37:F97,ROW()-ROW($F$100)+1),"")</f>
        <v>0</v>
      </c>
      <c r="G108">
        <f>IFERROR(SMALL(G37:G97,ROW()-ROW($G$100)+1),"")</f>
        <v>0</v>
      </c>
      <c r="H108">
        <f>IFERROR(SMALL(H37:H97,ROW()-ROW($H$100)+1),"")</f>
        <v>0</v>
      </c>
      <c r="K108">
        <f>IFERROR(SMALL(K37:K97,ROW()-ROW($K$100)+1),"")</f>
        <v>0</v>
      </c>
      <c r="L108">
        <f>IFERROR(SMALL(L37:L97,ROW()-ROW($L$100)+1),"")</f>
        <v>0</v>
      </c>
      <c r="M108">
        <f>IFERROR(SMALL(M37:M97,ROW()-ROW($M$100)+1),"")</f>
        <v>0</v>
      </c>
      <c r="N108">
        <f>IFERROR(SMALL(N37:N97,ROW()-ROW($N$100)+1),"")</f>
        <v>0</v>
      </c>
    </row>
    <row r="109" spans="4:14">
      <c r="E109">
        <f>IFERROR(SMALL(E37:E97,ROW()-ROW($E$100)+1),"")</f>
        <v>0</v>
      </c>
      <c r="F109">
        <f>IFERROR(SMALL(F37:F97,ROW()-ROW($F$100)+1),"")</f>
        <v>0</v>
      </c>
      <c r="G109">
        <f>IFERROR(SMALL(G37:G97,ROW()-ROW($G$100)+1),"")</f>
        <v>0</v>
      </c>
      <c r="H109">
        <f>IFERROR(SMALL(H37:H97,ROW()-ROW($H$100)+1),"")</f>
        <v>0</v>
      </c>
      <c r="K109">
        <f>IFERROR(SMALL(K37:K97,ROW()-ROW($K$100)+1),"")</f>
        <v>0</v>
      </c>
      <c r="L109">
        <f>IFERROR(SMALL(L37:L97,ROW()-ROW($L$100)+1),"")</f>
        <v>0</v>
      </c>
      <c r="M109">
        <f>IFERROR(SMALL(M37:M97,ROW()-ROW($M$100)+1),"")</f>
        <v>0</v>
      </c>
      <c r="N109">
        <f>IFERROR(SMALL(N37:N97,ROW()-ROW($N$100)+1),"")</f>
        <v>0</v>
      </c>
    </row>
    <row r="110" spans="4:14">
      <c r="E110">
        <f>IFERROR(SMALL(E37:E97,ROW()-ROW($E$100)+1),"")</f>
        <v>0</v>
      </c>
      <c r="F110">
        <f>IFERROR(SMALL(F37:F97,ROW()-ROW($F$100)+1),"")</f>
        <v>0</v>
      </c>
      <c r="G110">
        <f>IFERROR(SMALL(G37:G97,ROW()-ROW($G$100)+1),"")</f>
        <v>0</v>
      </c>
      <c r="H110">
        <f>IFERROR(SMALL(H37:H97,ROW()-ROW($H$100)+1),"")</f>
        <v>0</v>
      </c>
      <c r="K110">
        <f>IFERROR(SMALL(K37:K97,ROW()-ROW($K$100)+1),"")</f>
        <v>0</v>
      </c>
      <c r="L110">
        <f>IFERROR(SMALL(L37:L97,ROW()-ROW($L$100)+1),"")</f>
        <v>0</v>
      </c>
      <c r="M110">
        <f>IFERROR(SMALL(M37:M97,ROW()-ROW($M$100)+1),"")</f>
        <v>0</v>
      </c>
      <c r="N110">
        <f>IFERROR(SMALL(N37:N97,ROW()-ROW($N$100)+1),"")</f>
        <v>0</v>
      </c>
    </row>
    <row r="111" spans="4:14">
      <c r="E111">
        <f>IFERROR(SMALL(E37:E97,ROW()-ROW($E$100)+1),"")</f>
        <v>0</v>
      </c>
      <c r="F111">
        <f>IFERROR(SMALL(F37:F97,ROW()-ROW($F$100)+1),"")</f>
        <v>0</v>
      </c>
      <c r="G111">
        <f>IFERROR(SMALL(G37:G97,ROW()-ROW($G$100)+1),"")</f>
        <v>0</v>
      </c>
      <c r="H111">
        <f>IFERROR(SMALL(H37:H97,ROW()-ROW($H$100)+1),"")</f>
        <v>0</v>
      </c>
      <c r="K111">
        <f>IFERROR(SMALL(K37:K97,ROW()-ROW($K$100)+1),"")</f>
        <v>0</v>
      </c>
      <c r="L111">
        <f>IFERROR(SMALL(L37:L97,ROW()-ROW($L$100)+1),"")</f>
        <v>0</v>
      </c>
      <c r="M111">
        <f>IFERROR(SMALL(M37:M97,ROW()-ROW($M$100)+1),"")</f>
        <v>0</v>
      </c>
      <c r="N111">
        <f>IFERROR(SMALL(N37:N97,ROW()-ROW($N$100)+1),"")</f>
        <v>0</v>
      </c>
    </row>
    <row r="112" spans="4:14">
      <c r="E112">
        <f>IFERROR(SMALL(E37:E97,ROW()-ROW($E$100)+1),"")</f>
        <v>0</v>
      </c>
      <c r="F112">
        <f>IFERROR(SMALL(F37:F97,ROW()-ROW($F$100)+1),"")</f>
        <v>0</v>
      </c>
      <c r="G112">
        <f>IFERROR(SMALL(G37:G97,ROW()-ROW($G$100)+1),"")</f>
        <v>0</v>
      </c>
      <c r="H112">
        <f>IFERROR(SMALL(H37:H97,ROW()-ROW($H$100)+1),"")</f>
        <v>0</v>
      </c>
      <c r="K112">
        <f>IFERROR(SMALL(K37:K97,ROW()-ROW($K$100)+1),"")</f>
        <v>0</v>
      </c>
      <c r="L112">
        <f>IFERROR(SMALL(L37:L97,ROW()-ROW($L$100)+1),"")</f>
        <v>0</v>
      </c>
      <c r="M112">
        <f>IFERROR(SMALL(M37:M97,ROW()-ROW($M$100)+1),"")</f>
        <v>0</v>
      </c>
      <c r="N112">
        <f>IFERROR(SMALL(N37:N97,ROW()-ROW($N$100)+1),"")</f>
        <v>0</v>
      </c>
    </row>
    <row r="113" spans="5:14">
      <c r="E113">
        <f>IFERROR(SMALL(E37:E97,ROW()-ROW($E$100)+1),"")</f>
        <v>0</v>
      </c>
      <c r="F113">
        <f>IFERROR(SMALL(F37:F97,ROW()-ROW($F$100)+1),"")</f>
        <v>0</v>
      </c>
      <c r="G113">
        <f>IFERROR(SMALL(G37:G97,ROW()-ROW($G$100)+1),"")</f>
        <v>0</v>
      </c>
      <c r="H113">
        <f>IFERROR(SMALL(H37:H97,ROW()-ROW($H$100)+1),"")</f>
        <v>0</v>
      </c>
      <c r="K113">
        <f>IFERROR(SMALL(K37:K97,ROW()-ROW($K$100)+1),"")</f>
        <v>0</v>
      </c>
      <c r="L113">
        <f>IFERROR(SMALL(L37:L97,ROW()-ROW($L$100)+1),"")</f>
        <v>0</v>
      </c>
      <c r="M113">
        <f>IFERROR(SMALL(M37:M97,ROW()-ROW($M$100)+1),"")</f>
        <v>0</v>
      </c>
      <c r="N113">
        <f>IFERROR(SMALL(N37:N97,ROW()-ROW($N$100)+1),"")</f>
        <v>0</v>
      </c>
    </row>
    <row r="114" spans="5:14">
      <c r="E114">
        <f>IFERROR(SMALL(E37:E97,ROW()-ROW($E$100)+1),"")</f>
        <v>0</v>
      </c>
      <c r="F114">
        <f>IFERROR(SMALL(F37:F97,ROW()-ROW($F$100)+1),"")</f>
        <v>0</v>
      </c>
      <c r="G114">
        <f>IFERROR(SMALL(G37:G97,ROW()-ROW($G$100)+1),"")</f>
        <v>0</v>
      </c>
      <c r="H114">
        <f>IFERROR(SMALL(H37:H97,ROW()-ROW($H$100)+1),"")</f>
        <v>0</v>
      </c>
      <c r="K114">
        <f>IFERROR(SMALL(K37:K97,ROW()-ROW($K$100)+1),"")</f>
        <v>0</v>
      </c>
      <c r="L114">
        <f>IFERROR(SMALL(L37:L97,ROW()-ROW($L$100)+1),"")</f>
        <v>0</v>
      </c>
      <c r="M114">
        <f>IFERROR(SMALL(M37:M97,ROW()-ROW($M$100)+1),"")</f>
        <v>0</v>
      </c>
      <c r="N114">
        <f>IFERROR(SMALL(N37:N97,ROW()-ROW($N$100)+1),"")</f>
        <v>0</v>
      </c>
    </row>
    <row r="115" spans="5:14">
      <c r="E115">
        <f>IFERROR(SMALL(E37:E97,ROW()-ROW($E$100)+1),"")</f>
        <v>0</v>
      </c>
      <c r="F115">
        <f>IFERROR(SMALL(F37:F97,ROW()-ROW($F$100)+1),"")</f>
        <v>0</v>
      </c>
      <c r="G115">
        <f>IFERROR(SMALL(G37:G97,ROW()-ROW($G$100)+1),"")</f>
        <v>0</v>
      </c>
      <c r="H115">
        <f>IFERROR(SMALL(H37:H97,ROW()-ROW($H$100)+1),"")</f>
        <v>0</v>
      </c>
      <c r="K115">
        <f>IFERROR(SMALL(K37:K97,ROW()-ROW($K$100)+1),"")</f>
        <v>0</v>
      </c>
      <c r="L115">
        <f>IFERROR(SMALL(L37:L97,ROW()-ROW($L$100)+1),"")</f>
        <v>0</v>
      </c>
      <c r="M115">
        <f>IFERROR(SMALL(M37:M97,ROW()-ROW($M$100)+1),"")</f>
        <v>0</v>
      </c>
      <c r="N115">
        <f>IFERROR(SMALL(N37:N97,ROW()-ROW($N$100)+1),"")</f>
        <v>0</v>
      </c>
    </row>
    <row r="116" spans="5:14">
      <c r="E116">
        <f>IFERROR(SMALL(E37:E97,ROW()-ROW($E$100)+1),"")</f>
        <v>0</v>
      </c>
      <c r="F116">
        <f>IFERROR(SMALL(F37:F97,ROW()-ROW($F$100)+1),"")</f>
        <v>0</v>
      </c>
      <c r="G116">
        <f>IFERROR(SMALL(G37:G97,ROW()-ROW($G$100)+1),"")</f>
        <v>0</v>
      </c>
      <c r="H116">
        <f>IFERROR(SMALL(H37:H97,ROW()-ROW($H$100)+1),"")</f>
        <v>0</v>
      </c>
      <c r="K116">
        <f>IFERROR(SMALL(K37:K97,ROW()-ROW($K$100)+1),"")</f>
        <v>0</v>
      </c>
      <c r="L116">
        <f>IFERROR(SMALL(L37:L97,ROW()-ROW($L$100)+1),"")</f>
        <v>0</v>
      </c>
      <c r="M116">
        <f>IFERROR(SMALL(M37:M97,ROW()-ROW($M$100)+1),"")</f>
        <v>0</v>
      </c>
      <c r="N116">
        <f>IFERROR(SMALL(N37:N97,ROW()-ROW($N$100)+1),"")</f>
        <v>0</v>
      </c>
    </row>
    <row r="117" spans="5:14">
      <c r="E117">
        <f>IFERROR(SMALL(E37:E97,ROW()-ROW($E$100)+1),"")</f>
        <v>0</v>
      </c>
      <c r="F117">
        <f>IFERROR(SMALL(F37:F97,ROW()-ROW($F$100)+1),"")</f>
        <v>0</v>
      </c>
      <c r="G117">
        <f>IFERROR(SMALL(G37:G97,ROW()-ROW($G$100)+1),"")</f>
        <v>0</v>
      </c>
      <c r="H117">
        <f>IFERROR(SMALL(H37:H97,ROW()-ROW($H$100)+1),"")</f>
        <v>0</v>
      </c>
      <c r="K117">
        <f>IFERROR(SMALL(K37:K97,ROW()-ROW($K$100)+1),"")</f>
        <v>0</v>
      </c>
      <c r="L117">
        <f>IFERROR(SMALL(L37:L97,ROW()-ROW($L$100)+1),"")</f>
        <v>0</v>
      </c>
      <c r="M117">
        <f>IFERROR(SMALL(M37:M97,ROW()-ROW($M$100)+1),"")</f>
        <v>0</v>
      </c>
      <c r="N117">
        <f>IFERROR(SMALL(N37:N97,ROW()-ROW($N$100)+1),"")</f>
        <v>0</v>
      </c>
    </row>
    <row r="118" spans="5:14">
      <c r="E118">
        <f>IFERROR(SMALL(E37:E97,ROW()-ROW($E$100)+1),"")</f>
        <v>0</v>
      </c>
      <c r="F118">
        <f>IFERROR(SMALL(F37:F97,ROW()-ROW($F$100)+1),"")</f>
        <v>0</v>
      </c>
      <c r="G118">
        <f>IFERROR(SMALL(G37:G97,ROW()-ROW($G$100)+1),"")</f>
        <v>0</v>
      </c>
      <c r="H118">
        <f>IFERROR(SMALL(H37:H97,ROW()-ROW($H$100)+1),"")</f>
        <v>0</v>
      </c>
      <c r="K118">
        <f>IFERROR(SMALL(K37:K97,ROW()-ROW($K$100)+1),"")</f>
        <v>0</v>
      </c>
      <c r="L118">
        <f>IFERROR(SMALL(L37:L97,ROW()-ROW($L$100)+1),"")</f>
        <v>0</v>
      </c>
      <c r="M118">
        <f>IFERROR(SMALL(M37:M97,ROW()-ROW($M$100)+1),"")</f>
        <v>0</v>
      </c>
      <c r="N118">
        <f>IFERROR(SMALL(N37:N97,ROW()-ROW($N$100)+1),"")</f>
        <v>0</v>
      </c>
    </row>
    <row r="119" spans="5:14">
      <c r="E119">
        <f>IFERROR(SMALL(E37:E97,ROW()-ROW($E$100)+1),"")</f>
        <v>0</v>
      </c>
      <c r="F119">
        <f>IFERROR(SMALL(F37:F97,ROW()-ROW($F$100)+1),"")</f>
        <v>0</v>
      </c>
      <c r="G119">
        <f>IFERROR(SMALL(G37:G97,ROW()-ROW($G$100)+1),"")</f>
        <v>0</v>
      </c>
      <c r="H119">
        <f>IFERROR(SMALL(H37:H97,ROW()-ROW($H$100)+1),"")</f>
        <v>0</v>
      </c>
      <c r="K119">
        <f>IFERROR(SMALL(K37:K97,ROW()-ROW($K$100)+1),"")</f>
        <v>0</v>
      </c>
      <c r="L119">
        <f>IFERROR(SMALL(L37:L97,ROW()-ROW($L$100)+1),"")</f>
        <v>0</v>
      </c>
      <c r="M119">
        <f>IFERROR(SMALL(M37:M97,ROW()-ROW($M$100)+1),"")</f>
        <v>0</v>
      </c>
      <c r="N119">
        <f>IFERROR(SMALL(N37:N97,ROW()-ROW($N$100)+1),"")</f>
        <v>0</v>
      </c>
    </row>
    <row r="120" spans="5:14">
      <c r="E120">
        <f>IFERROR(SMALL(E37:E97,ROW()-ROW($E$100)+1),"")</f>
        <v>0</v>
      </c>
      <c r="F120">
        <f>IFERROR(SMALL(F37:F97,ROW()-ROW($F$100)+1),"")</f>
        <v>0</v>
      </c>
      <c r="G120">
        <f>IFERROR(SMALL(G37:G97,ROW()-ROW($G$100)+1),"")</f>
        <v>0</v>
      </c>
      <c r="H120">
        <f>IFERROR(SMALL(H37:H97,ROW()-ROW($H$100)+1),"")</f>
        <v>0</v>
      </c>
      <c r="K120">
        <f>IFERROR(SMALL(K37:K97,ROW()-ROW($K$100)+1),"")</f>
        <v>0</v>
      </c>
      <c r="L120">
        <f>IFERROR(SMALL(L37:L97,ROW()-ROW($L$100)+1),"")</f>
        <v>0</v>
      </c>
      <c r="M120">
        <f>IFERROR(SMALL(M37:M97,ROW()-ROW($M$100)+1),"")</f>
        <v>0</v>
      </c>
      <c r="N120">
        <f>IFERROR(SMALL(N37:N97,ROW()-ROW($N$100)+1),"")</f>
        <v>0</v>
      </c>
    </row>
    <row r="121" spans="5:14">
      <c r="E121">
        <f>IFERROR(SMALL(E37:E97,ROW()-ROW($E$100)+1),"")</f>
        <v>0</v>
      </c>
      <c r="F121">
        <f>IFERROR(SMALL(F37:F97,ROW()-ROW($F$100)+1),"")</f>
        <v>0</v>
      </c>
      <c r="G121">
        <f>IFERROR(SMALL(G37:G97,ROW()-ROW($G$100)+1),"")</f>
        <v>0</v>
      </c>
      <c r="H121">
        <f>IFERROR(SMALL(H37:H97,ROW()-ROW($H$100)+1),"")</f>
        <v>0</v>
      </c>
      <c r="K121">
        <f>IFERROR(SMALL(K37:K97,ROW()-ROW($K$100)+1),"")</f>
        <v>0</v>
      </c>
      <c r="L121">
        <f>IFERROR(SMALL(L37:L97,ROW()-ROW($L$100)+1),"")</f>
        <v>0</v>
      </c>
      <c r="M121">
        <f>IFERROR(SMALL(M37:M97,ROW()-ROW($M$100)+1),"")</f>
        <v>0</v>
      </c>
      <c r="N121">
        <f>IFERROR(SMALL(N37:N97,ROW()-ROW($N$100)+1),"")</f>
        <v>0</v>
      </c>
    </row>
    <row r="122" spans="5:14">
      <c r="E122">
        <f>IFERROR(SMALL(E37:E97,ROW()-ROW($E$100)+1),"")</f>
        <v>0</v>
      </c>
      <c r="F122">
        <f>IFERROR(SMALL(F37:F97,ROW()-ROW($F$100)+1),"")</f>
        <v>0</v>
      </c>
      <c r="G122">
        <f>IFERROR(SMALL(G37:G97,ROW()-ROW($G$100)+1),"")</f>
        <v>0</v>
      </c>
      <c r="H122">
        <f>IFERROR(SMALL(H37:H97,ROW()-ROW($H$100)+1),"")</f>
        <v>0</v>
      </c>
      <c r="K122">
        <f>IFERROR(SMALL(K37:K97,ROW()-ROW($K$100)+1),"")</f>
        <v>0</v>
      </c>
      <c r="L122">
        <f>IFERROR(SMALL(L37:L97,ROW()-ROW($L$100)+1),"")</f>
        <v>0</v>
      </c>
      <c r="M122">
        <f>IFERROR(SMALL(M37:M97,ROW()-ROW($M$100)+1),"")</f>
        <v>0</v>
      </c>
      <c r="N122">
        <f>IFERROR(SMALL(N37:N97,ROW()-ROW($N$100)+1),"")</f>
        <v>0</v>
      </c>
    </row>
    <row r="123" spans="5:14">
      <c r="E123">
        <f>IFERROR(SMALL(E37:E97,ROW()-ROW($E$100)+1),"")</f>
        <v>0</v>
      </c>
      <c r="F123">
        <f>IFERROR(SMALL(F37:F97,ROW()-ROW($F$100)+1),"")</f>
        <v>0</v>
      </c>
      <c r="G123">
        <f>IFERROR(SMALL(G37:G97,ROW()-ROW($G$100)+1),"")</f>
        <v>0</v>
      </c>
      <c r="H123">
        <f>IFERROR(SMALL(H37:H97,ROW()-ROW($H$100)+1),"")</f>
        <v>0</v>
      </c>
      <c r="K123">
        <f>IFERROR(SMALL(K37:K97,ROW()-ROW($K$100)+1),"")</f>
        <v>0</v>
      </c>
      <c r="L123">
        <f>IFERROR(SMALL(L37:L97,ROW()-ROW($L$100)+1),"")</f>
        <v>0</v>
      </c>
      <c r="M123">
        <f>IFERROR(SMALL(M37:M97,ROW()-ROW($M$100)+1),"")</f>
        <v>0</v>
      </c>
      <c r="N123">
        <f>IFERROR(SMALL(N37:N97,ROW()-ROW($N$100)+1),"")</f>
        <v>0</v>
      </c>
    </row>
    <row r="124" spans="5:14">
      <c r="E124">
        <f>IFERROR(SMALL(E37:E97,ROW()-ROW($E$100)+1),"")</f>
        <v>0</v>
      </c>
      <c r="F124">
        <f>IFERROR(SMALL(F37:F97,ROW()-ROW($F$100)+1),"")</f>
        <v>0</v>
      </c>
      <c r="G124">
        <f>IFERROR(SMALL(G37:G97,ROW()-ROW($G$100)+1),"")</f>
        <v>0</v>
      </c>
      <c r="H124">
        <f>IFERROR(SMALL(H37:H97,ROW()-ROW($H$100)+1),"")</f>
        <v>0</v>
      </c>
      <c r="K124">
        <f>IFERROR(SMALL(K37:K97,ROW()-ROW($K$100)+1),"")</f>
        <v>0</v>
      </c>
      <c r="L124">
        <f>IFERROR(SMALL(L37:L97,ROW()-ROW($L$100)+1),"")</f>
        <v>0</v>
      </c>
      <c r="M124">
        <f>IFERROR(SMALL(M37:M97,ROW()-ROW($M$100)+1),"")</f>
        <v>0</v>
      </c>
      <c r="N124">
        <f>IFERROR(SMALL(N37:N97,ROW()-ROW($N$100)+1),"")</f>
        <v>0</v>
      </c>
    </row>
    <row r="125" spans="5:14">
      <c r="E125">
        <f>IFERROR(SMALL(E37:E97,ROW()-ROW($E$100)+1),"")</f>
        <v>0</v>
      </c>
      <c r="F125">
        <f>IFERROR(SMALL(F37:F97,ROW()-ROW($F$100)+1),"")</f>
        <v>0</v>
      </c>
      <c r="G125">
        <f>IFERROR(SMALL(G37:G97,ROW()-ROW($G$100)+1),"")</f>
        <v>0</v>
      </c>
      <c r="H125">
        <f>IFERROR(SMALL(H37:H97,ROW()-ROW($H$100)+1),"")</f>
        <v>0</v>
      </c>
      <c r="K125">
        <f>IFERROR(SMALL(K37:K97,ROW()-ROW($K$100)+1),"")</f>
        <v>0</v>
      </c>
      <c r="L125">
        <f>IFERROR(SMALL(L37:L97,ROW()-ROW($L$100)+1),"")</f>
        <v>0</v>
      </c>
      <c r="M125">
        <f>IFERROR(SMALL(M37:M97,ROW()-ROW($M$100)+1),"")</f>
        <v>0</v>
      </c>
      <c r="N125">
        <f>IFERROR(SMALL(N37:N97,ROW()-ROW($N$100)+1),"")</f>
        <v>0</v>
      </c>
    </row>
    <row r="126" spans="5:14">
      <c r="E126">
        <f>IFERROR(SMALL(E37:E97,ROW()-ROW($E$100)+1),"")</f>
        <v>0</v>
      </c>
      <c r="F126">
        <f>IFERROR(SMALL(F37:F97,ROW()-ROW($F$100)+1),"")</f>
        <v>0</v>
      </c>
      <c r="G126">
        <f>IFERROR(SMALL(G37:G97,ROW()-ROW($G$100)+1),"")</f>
        <v>0</v>
      </c>
      <c r="H126">
        <f>IFERROR(SMALL(H37:H97,ROW()-ROW($H$100)+1),"")</f>
        <v>0</v>
      </c>
      <c r="K126">
        <f>IFERROR(SMALL(K37:K97,ROW()-ROW($K$100)+1),"")</f>
        <v>0</v>
      </c>
      <c r="L126">
        <f>IFERROR(SMALL(L37:L97,ROW()-ROW($L$100)+1),"")</f>
        <v>0</v>
      </c>
      <c r="M126">
        <f>IFERROR(SMALL(M37:M97,ROW()-ROW($M$100)+1),"")</f>
        <v>0</v>
      </c>
      <c r="N126">
        <f>IFERROR(SMALL(N37:N97,ROW()-ROW($N$100)+1),"")</f>
        <v>0</v>
      </c>
    </row>
    <row r="127" spans="5:14">
      <c r="E127">
        <f>IFERROR(SMALL(E37:E97,ROW()-ROW($E$100)+1),"")</f>
        <v>0</v>
      </c>
      <c r="F127">
        <f>IFERROR(SMALL(F37:F97,ROW()-ROW($F$100)+1),"")</f>
        <v>0</v>
      </c>
      <c r="G127">
        <f>IFERROR(SMALL(G37:G97,ROW()-ROW($G$100)+1),"")</f>
        <v>0</v>
      </c>
      <c r="H127">
        <f>IFERROR(SMALL(H37:H97,ROW()-ROW($H$100)+1),"")</f>
        <v>0</v>
      </c>
      <c r="K127">
        <f>IFERROR(SMALL(K37:K97,ROW()-ROW($K$100)+1),"")</f>
        <v>0</v>
      </c>
      <c r="L127">
        <f>IFERROR(SMALL(L37:L97,ROW()-ROW($L$100)+1),"")</f>
        <v>0</v>
      </c>
      <c r="M127">
        <f>IFERROR(SMALL(M37:M97,ROW()-ROW($M$100)+1),"")</f>
        <v>0</v>
      </c>
      <c r="N127">
        <f>IFERROR(SMALL(N37:N97,ROW()-ROW($N$100)+1),"")</f>
        <v>0</v>
      </c>
    </row>
    <row r="128" spans="5:14">
      <c r="E128">
        <f>IFERROR(SMALL(E37:E97,ROW()-ROW($E$100)+1),"")</f>
        <v>0</v>
      </c>
      <c r="F128">
        <f>IFERROR(SMALL(F37:F97,ROW()-ROW($F$100)+1),"")</f>
        <v>0</v>
      </c>
      <c r="G128">
        <f>IFERROR(SMALL(G37:G97,ROW()-ROW($G$100)+1),"")</f>
        <v>0</v>
      </c>
      <c r="H128">
        <f>IFERROR(SMALL(H37:H97,ROW()-ROW($H$100)+1),"")</f>
        <v>0</v>
      </c>
      <c r="K128">
        <f>IFERROR(SMALL(K37:K97,ROW()-ROW($K$100)+1),"")</f>
        <v>0</v>
      </c>
      <c r="L128">
        <f>IFERROR(SMALL(L37:L97,ROW()-ROW($L$100)+1),"")</f>
        <v>0</v>
      </c>
      <c r="M128">
        <f>IFERROR(SMALL(M37:M97,ROW()-ROW($M$100)+1),"")</f>
        <v>0</v>
      </c>
      <c r="N128">
        <f>IFERROR(SMALL(N37:N97,ROW()-ROW($N$100)+1),"")</f>
        <v>0</v>
      </c>
    </row>
    <row r="129" spans="5:14">
      <c r="E129">
        <f>IFERROR(SMALL(E37:E97,ROW()-ROW($E$100)+1),"")</f>
        <v>0</v>
      </c>
      <c r="F129">
        <f>IFERROR(SMALL(F37:F97,ROW()-ROW($F$100)+1),"")</f>
        <v>0</v>
      </c>
      <c r="G129">
        <f>IFERROR(SMALL(G37:G97,ROW()-ROW($G$100)+1),"")</f>
        <v>0</v>
      </c>
      <c r="H129">
        <f>IFERROR(SMALL(H37:H97,ROW()-ROW($H$100)+1),"")</f>
        <v>0</v>
      </c>
      <c r="K129">
        <f>IFERROR(SMALL(K37:K97,ROW()-ROW($K$100)+1),"")</f>
        <v>0</v>
      </c>
      <c r="L129">
        <f>IFERROR(SMALL(L37:L97,ROW()-ROW($L$100)+1),"")</f>
        <v>0</v>
      </c>
      <c r="M129">
        <f>IFERROR(SMALL(M37:M97,ROW()-ROW($M$100)+1),"")</f>
        <v>0</v>
      </c>
      <c r="N129">
        <f>IFERROR(SMALL(N37:N97,ROW()-ROW($N$100)+1),"")</f>
        <v>0</v>
      </c>
    </row>
    <row r="130" spans="5:14">
      <c r="E130">
        <f>IFERROR(SMALL(E37:E97,ROW()-ROW($E$100)+1),"")</f>
        <v>0</v>
      </c>
      <c r="F130">
        <f>IFERROR(SMALL(F37:F97,ROW()-ROW($F$100)+1),"")</f>
        <v>0</v>
      </c>
      <c r="G130">
        <f>IFERROR(SMALL(G37:G97,ROW()-ROW($G$100)+1),"")</f>
        <v>0</v>
      </c>
      <c r="H130">
        <f>IFERROR(SMALL(H37:H97,ROW()-ROW($H$100)+1),"")</f>
        <v>0</v>
      </c>
      <c r="K130">
        <f>IFERROR(SMALL(K37:K97,ROW()-ROW($K$100)+1),"")</f>
        <v>0</v>
      </c>
      <c r="L130">
        <f>IFERROR(SMALL(L37:L97,ROW()-ROW($L$100)+1),"")</f>
        <v>0</v>
      </c>
      <c r="M130">
        <f>IFERROR(SMALL(M37:M97,ROW()-ROW($M$100)+1),"")</f>
        <v>0</v>
      </c>
      <c r="N130">
        <f>IFERROR(SMALL(N37:N97,ROW()-ROW($N$100)+1),"")</f>
        <v>0</v>
      </c>
    </row>
    <row r="131" spans="5:14">
      <c r="E131">
        <f>IFERROR(SMALL(E37:E97,ROW()-ROW($E$100)+1),"")</f>
        <v>0</v>
      </c>
      <c r="F131">
        <f>IFERROR(SMALL(F37:F97,ROW()-ROW($F$100)+1),"")</f>
        <v>0</v>
      </c>
      <c r="G131">
        <f>IFERROR(SMALL(G37:G97,ROW()-ROW($G$100)+1),"")</f>
        <v>0</v>
      </c>
      <c r="H131">
        <f>IFERROR(SMALL(H37:H97,ROW()-ROW($H$100)+1),"")</f>
        <v>0</v>
      </c>
      <c r="K131">
        <f>IFERROR(SMALL(K37:K97,ROW()-ROW($K$100)+1),"")</f>
        <v>0</v>
      </c>
      <c r="L131">
        <f>IFERROR(SMALL(L37:L97,ROW()-ROW($L$100)+1),"")</f>
        <v>0</v>
      </c>
      <c r="M131">
        <f>IFERROR(SMALL(M37:M97,ROW()-ROW($M$100)+1),"")</f>
        <v>0</v>
      </c>
      <c r="N131">
        <f>IFERROR(SMALL(N37:N97,ROW()-ROW($N$100)+1),"")</f>
        <v>0</v>
      </c>
    </row>
    <row r="132" spans="5:14">
      <c r="E132">
        <f>IFERROR(SMALL(E37:E97,ROW()-ROW($E$100)+1),"")</f>
        <v>0</v>
      </c>
      <c r="F132">
        <f>IFERROR(SMALL(F37:F97,ROW()-ROW($F$100)+1),"")</f>
        <v>0</v>
      </c>
      <c r="G132">
        <f>IFERROR(SMALL(G37:G97,ROW()-ROW($G$100)+1),"")</f>
        <v>0</v>
      </c>
      <c r="H132">
        <f>IFERROR(SMALL(H37:H97,ROW()-ROW($H$100)+1),"")</f>
        <v>0</v>
      </c>
      <c r="K132">
        <f>IFERROR(SMALL(K37:K97,ROW()-ROW($K$100)+1),"")</f>
        <v>0</v>
      </c>
      <c r="L132">
        <f>IFERROR(SMALL(L37:L97,ROW()-ROW($L$100)+1),"")</f>
        <v>0</v>
      </c>
      <c r="M132">
        <f>IFERROR(SMALL(M37:M97,ROW()-ROW($M$100)+1),"")</f>
        <v>0</v>
      </c>
      <c r="N132">
        <f>IFERROR(SMALL(N37:N97,ROW()-ROW($N$100)+1),"")</f>
        <v>0</v>
      </c>
    </row>
    <row r="133" spans="5:14">
      <c r="E133">
        <f>IFERROR(SMALL(E37:E97,ROW()-ROW($E$100)+1),"")</f>
        <v>0</v>
      </c>
      <c r="F133">
        <f>IFERROR(SMALL(F37:F97,ROW()-ROW($F$100)+1),"")</f>
        <v>0</v>
      </c>
      <c r="G133">
        <f>IFERROR(SMALL(G37:G97,ROW()-ROW($G$100)+1),"")</f>
        <v>0</v>
      </c>
      <c r="H133">
        <f>IFERROR(SMALL(H37:H97,ROW()-ROW($H$100)+1),"")</f>
        <v>0</v>
      </c>
      <c r="K133">
        <f>IFERROR(SMALL(K37:K97,ROW()-ROW($K$100)+1),"")</f>
        <v>0</v>
      </c>
      <c r="L133">
        <f>IFERROR(SMALL(L37:L97,ROW()-ROW($L$100)+1),"")</f>
        <v>0</v>
      </c>
      <c r="M133">
        <f>IFERROR(SMALL(M37:M97,ROW()-ROW($M$100)+1),"")</f>
        <v>0</v>
      </c>
      <c r="N133">
        <f>IFERROR(SMALL(N37:N97,ROW()-ROW($N$100)+1),"")</f>
        <v>0</v>
      </c>
    </row>
    <row r="134" spans="5:14">
      <c r="E134">
        <f>IFERROR(SMALL(E37:E97,ROW()-ROW($E$100)+1),"")</f>
        <v>0</v>
      </c>
      <c r="F134">
        <f>IFERROR(SMALL(F37:F97,ROW()-ROW($F$100)+1),"")</f>
        <v>0</v>
      </c>
      <c r="G134">
        <f>IFERROR(SMALL(G37:G97,ROW()-ROW($G$100)+1),"")</f>
        <v>0</v>
      </c>
      <c r="H134">
        <f>IFERROR(SMALL(H37:H97,ROW()-ROW($H$100)+1),"")</f>
        <v>0</v>
      </c>
      <c r="K134">
        <f>IFERROR(SMALL(K37:K97,ROW()-ROW($K$100)+1),"")</f>
        <v>0</v>
      </c>
      <c r="L134">
        <f>IFERROR(SMALL(L37:L97,ROW()-ROW($L$100)+1),"")</f>
        <v>0</v>
      </c>
      <c r="M134">
        <f>IFERROR(SMALL(M37:M97,ROW()-ROW($M$100)+1),"")</f>
        <v>0</v>
      </c>
      <c r="N134">
        <f>IFERROR(SMALL(N37:N97,ROW()-ROW($N$100)+1),"")</f>
        <v>0</v>
      </c>
    </row>
    <row r="135" spans="5:14">
      <c r="E135">
        <f>IFERROR(SMALL(E37:E97,ROW()-ROW($E$100)+1),"")</f>
        <v>0</v>
      </c>
      <c r="F135">
        <f>IFERROR(SMALL(F37:F97,ROW()-ROW($F$100)+1),"")</f>
        <v>0</v>
      </c>
      <c r="G135">
        <f>IFERROR(SMALL(G37:G97,ROW()-ROW($G$100)+1),"")</f>
        <v>0</v>
      </c>
      <c r="H135">
        <f>IFERROR(SMALL(H37:H97,ROW()-ROW($H$100)+1),"")</f>
        <v>0</v>
      </c>
      <c r="K135">
        <f>IFERROR(SMALL(K37:K97,ROW()-ROW($K$100)+1),"")</f>
        <v>0</v>
      </c>
      <c r="L135">
        <f>IFERROR(SMALL(L37:L97,ROW()-ROW($L$100)+1),"")</f>
        <v>0</v>
      </c>
      <c r="M135">
        <f>IFERROR(SMALL(M37:M97,ROW()-ROW($M$100)+1),"")</f>
        <v>0</v>
      </c>
      <c r="N135">
        <f>IFERROR(SMALL(N37:N97,ROW()-ROW($N$100)+1),"")</f>
        <v>0</v>
      </c>
    </row>
    <row r="136" spans="5:14">
      <c r="E136">
        <f>IFERROR(SMALL(E37:E97,ROW()-ROW($E$100)+1),"")</f>
        <v>0</v>
      </c>
      <c r="F136">
        <f>IFERROR(SMALL(F37:F97,ROW()-ROW($F$100)+1),"")</f>
        <v>0</v>
      </c>
      <c r="G136">
        <f>IFERROR(SMALL(G37:G97,ROW()-ROW($G$100)+1),"")</f>
        <v>0</v>
      </c>
      <c r="H136">
        <f>IFERROR(SMALL(H37:H97,ROW()-ROW($H$100)+1),"")</f>
        <v>0</v>
      </c>
      <c r="K136">
        <f>IFERROR(SMALL(K37:K97,ROW()-ROW($K$100)+1),"")</f>
        <v>0</v>
      </c>
      <c r="L136">
        <f>IFERROR(SMALL(L37:L97,ROW()-ROW($L$100)+1),"")</f>
        <v>0</v>
      </c>
      <c r="M136">
        <f>IFERROR(SMALL(M37:M97,ROW()-ROW($M$100)+1),"")</f>
        <v>0</v>
      </c>
      <c r="N136">
        <f>IFERROR(SMALL(N37:N97,ROW()-ROW($N$100)+1),"")</f>
        <v>0</v>
      </c>
    </row>
    <row r="137" spans="5:14">
      <c r="E137">
        <f>IFERROR(SMALL(E37:E97,ROW()-ROW($E$100)+1),"")</f>
        <v>0</v>
      </c>
      <c r="F137">
        <f>IFERROR(SMALL(F37:F97,ROW()-ROW($F$100)+1),"")</f>
        <v>0</v>
      </c>
      <c r="G137">
        <f>IFERROR(SMALL(G37:G97,ROW()-ROW($G$100)+1),"")</f>
        <v>0</v>
      </c>
      <c r="H137">
        <f>IFERROR(SMALL(H37:H97,ROW()-ROW($H$100)+1),"")</f>
        <v>0</v>
      </c>
      <c r="K137">
        <f>IFERROR(SMALL(K37:K97,ROW()-ROW($K$100)+1),"")</f>
        <v>0</v>
      </c>
      <c r="L137">
        <f>IFERROR(SMALL(L37:L97,ROW()-ROW($L$100)+1),"")</f>
        <v>0</v>
      </c>
      <c r="M137">
        <f>IFERROR(SMALL(M37:M97,ROW()-ROW($M$100)+1),"")</f>
        <v>0</v>
      </c>
      <c r="N137">
        <f>IFERROR(SMALL(N37:N97,ROW()-ROW($N$100)+1),"")</f>
        <v>0</v>
      </c>
    </row>
    <row r="138" spans="5:14">
      <c r="E138">
        <f>IFERROR(SMALL(E37:E97,ROW()-ROW($E$100)+1),"")</f>
        <v>0</v>
      </c>
      <c r="F138">
        <f>IFERROR(SMALL(F37:F97,ROW()-ROW($F$100)+1),"")</f>
        <v>0</v>
      </c>
      <c r="G138">
        <f>IFERROR(SMALL(G37:G97,ROW()-ROW($G$100)+1),"")</f>
        <v>0</v>
      </c>
      <c r="H138">
        <f>IFERROR(SMALL(H37:H97,ROW()-ROW($H$100)+1),"")</f>
        <v>0</v>
      </c>
      <c r="K138">
        <f>IFERROR(SMALL(K37:K97,ROW()-ROW($K$100)+1),"")</f>
        <v>0</v>
      </c>
      <c r="L138">
        <f>IFERROR(SMALL(L37:L97,ROW()-ROW($L$100)+1),"")</f>
        <v>0</v>
      </c>
      <c r="M138">
        <f>IFERROR(SMALL(M37:M97,ROW()-ROW($M$100)+1),"")</f>
        <v>0</v>
      </c>
      <c r="N138">
        <f>IFERROR(SMALL(N37:N97,ROW()-ROW($N$100)+1),"")</f>
        <v>0</v>
      </c>
    </row>
    <row r="139" spans="5:14">
      <c r="E139">
        <f>IFERROR(SMALL(E37:E97,ROW()-ROW($E$100)+1),"")</f>
        <v>0</v>
      </c>
      <c r="F139">
        <f>IFERROR(SMALL(F37:F97,ROW()-ROW($F$100)+1),"")</f>
        <v>0</v>
      </c>
      <c r="G139">
        <f>IFERROR(SMALL(G37:G97,ROW()-ROW($G$100)+1),"")</f>
        <v>0</v>
      </c>
      <c r="H139">
        <f>IFERROR(SMALL(H37:H97,ROW()-ROW($H$100)+1),"")</f>
        <v>0</v>
      </c>
      <c r="K139">
        <f>IFERROR(SMALL(K37:K97,ROW()-ROW($K$100)+1),"")</f>
        <v>0</v>
      </c>
      <c r="L139">
        <f>IFERROR(SMALL(L37:L97,ROW()-ROW($L$100)+1),"")</f>
        <v>0</v>
      </c>
      <c r="M139">
        <f>IFERROR(SMALL(M37:M97,ROW()-ROW($M$100)+1),"")</f>
        <v>0</v>
      </c>
      <c r="N139">
        <f>IFERROR(SMALL(N37:N97,ROW()-ROW($N$100)+1),"")</f>
        <v>0</v>
      </c>
    </row>
    <row r="140" spans="5:14">
      <c r="E140">
        <f>IFERROR(SMALL(E37:E97,ROW()-ROW($E$100)+1),"")</f>
        <v>0</v>
      </c>
      <c r="F140">
        <f>IFERROR(SMALL(F37:F97,ROW()-ROW($F$100)+1),"")</f>
        <v>0</v>
      </c>
      <c r="G140">
        <f>IFERROR(SMALL(G37:G97,ROW()-ROW($G$100)+1),"")</f>
        <v>0</v>
      </c>
      <c r="H140">
        <f>IFERROR(SMALL(H37:H97,ROW()-ROW($H$100)+1),"")</f>
        <v>0</v>
      </c>
      <c r="K140">
        <f>IFERROR(SMALL(K37:K97,ROW()-ROW($K$100)+1),"")</f>
        <v>0</v>
      </c>
      <c r="L140">
        <f>IFERROR(SMALL(L37:L97,ROW()-ROW($L$100)+1),"")</f>
        <v>0</v>
      </c>
      <c r="M140">
        <f>IFERROR(SMALL(M37:M97,ROW()-ROW($M$100)+1),"")</f>
        <v>0</v>
      </c>
      <c r="N140">
        <f>IFERROR(SMALL(N37:N97,ROW()-ROW($N$100)+1),"")</f>
        <v>0</v>
      </c>
    </row>
    <row r="141" spans="5:14">
      <c r="E141">
        <f>IFERROR(SMALL(E37:E97,ROW()-ROW($E$100)+1),"")</f>
        <v>0</v>
      </c>
      <c r="F141">
        <f>IFERROR(SMALL(F37:F97,ROW()-ROW($F$100)+1),"")</f>
        <v>0</v>
      </c>
      <c r="G141">
        <f>IFERROR(SMALL(G37:G97,ROW()-ROW($G$100)+1),"")</f>
        <v>0</v>
      </c>
      <c r="H141">
        <f>IFERROR(SMALL(H37:H97,ROW()-ROW($H$100)+1),"")</f>
        <v>0</v>
      </c>
      <c r="K141">
        <f>IFERROR(SMALL(K37:K97,ROW()-ROW($K$100)+1),"")</f>
        <v>0</v>
      </c>
      <c r="L141">
        <f>IFERROR(SMALL(L37:L97,ROW()-ROW($L$100)+1),"")</f>
        <v>0</v>
      </c>
      <c r="M141">
        <f>IFERROR(SMALL(M37:M97,ROW()-ROW($M$100)+1),"")</f>
        <v>0</v>
      </c>
      <c r="N141">
        <f>IFERROR(SMALL(N37:N97,ROW()-ROW($N$100)+1),"")</f>
        <v>0</v>
      </c>
    </row>
    <row r="142" spans="5:14">
      <c r="E142">
        <f>IFERROR(SMALL(E37:E97,ROW()-ROW($E$100)+1),"")</f>
        <v>0</v>
      </c>
      <c r="F142">
        <f>IFERROR(SMALL(F37:F97,ROW()-ROW($F$100)+1),"")</f>
        <v>0</v>
      </c>
      <c r="G142">
        <f>IFERROR(SMALL(G37:G97,ROW()-ROW($G$100)+1),"")</f>
        <v>0</v>
      </c>
      <c r="H142">
        <f>IFERROR(SMALL(H37:H97,ROW()-ROW($H$100)+1),"")</f>
        <v>0</v>
      </c>
      <c r="K142">
        <f>IFERROR(SMALL(K37:K97,ROW()-ROW($K$100)+1),"")</f>
        <v>0</v>
      </c>
      <c r="L142">
        <f>IFERROR(SMALL(L37:L97,ROW()-ROW($L$100)+1),"")</f>
        <v>0</v>
      </c>
      <c r="M142">
        <f>IFERROR(SMALL(M37:M97,ROW()-ROW($M$100)+1),"")</f>
        <v>0</v>
      </c>
      <c r="N142">
        <f>IFERROR(SMALL(N37:N97,ROW()-ROW($N$100)+1),"")</f>
        <v>0</v>
      </c>
    </row>
    <row r="143" spans="5:14">
      <c r="E143">
        <f>IFERROR(SMALL(E37:E97,ROW()-ROW($E$100)+1),"")</f>
        <v>0</v>
      </c>
      <c r="F143">
        <f>IFERROR(SMALL(F37:F97,ROW()-ROW($F$100)+1),"")</f>
        <v>0</v>
      </c>
      <c r="G143">
        <f>IFERROR(SMALL(G37:G97,ROW()-ROW($G$100)+1),"")</f>
        <v>0</v>
      </c>
      <c r="H143">
        <f>IFERROR(SMALL(H37:H97,ROW()-ROW($H$100)+1),"")</f>
        <v>0</v>
      </c>
      <c r="K143">
        <f>IFERROR(SMALL(K37:K97,ROW()-ROW($K$100)+1),"")</f>
        <v>0</v>
      </c>
      <c r="L143">
        <f>IFERROR(SMALL(L37:L97,ROW()-ROW($L$100)+1),"")</f>
        <v>0</v>
      </c>
      <c r="M143">
        <f>IFERROR(SMALL(M37:M97,ROW()-ROW($M$100)+1),"")</f>
        <v>0</v>
      </c>
      <c r="N143">
        <f>IFERROR(SMALL(N37:N97,ROW()-ROW($N$100)+1),"")</f>
        <v>0</v>
      </c>
    </row>
    <row r="144" spans="5:14">
      <c r="E144">
        <f>IFERROR(SMALL(E37:E97,ROW()-ROW($E$100)+1),"")</f>
        <v>0</v>
      </c>
      <c r="F144">
        <f>IFERROR(SMALL(F37:F97,ROW()-ROW($F$100)+1),"")</f>
        <v>0</v>
      </c>
      <c r="G144">
        <f>IFERROR(SMALL(G37:G97,ROW()-ROW($G$100)+1),"")</f>
        <v>0</v>
      </c>
      <c r="H144">
        <f>IFERROR(SMALL(H37:H97,ROW()-ROW($H$100)+1),"")</f>
        <v>0</v>
      </c>
      <c r="K144">
        <f>IFERROR(SMALL(K37:K97,ROW()-ROW($K$100)+1),"")</f>
        <v>0</v>
      </c>
      <c r="L144">
        <f>IFERROR(SMALL(L37:L97,ROW()-ROW($L$100)+1),"")</f>
        <v>0</v>
      </c>
      <c r="M144">
        <f>IFERROR(SMALL(M37:M97,ROW()-ROW($M$100)+1),"")</f>
        <v>0</v>
      </c>
      <c r="N144">
        <f>IFERROR(SMALL(N37:N97,ROW()-ROW($N$100)+1),"")</f>
        <v>0</v>
      </c>
    </row>
    <row r="145" spans="5:14">
      <c r="E145">
        <f>IFERROR(SMALL(E37:E97,ROW()-ROW($E$100)+1),"")</f>
        <v>0</v>
      </c>
      <c r="F145">
        <f>IFERROR(SMALL(F37:F97,ROW()-ROW($F$100)+1),"")</f>
        <v>0</v>
      </c>
      <c r="G145">
        <f>IFERROR(SMALL(G37:G97,ROW()-ROW($G$100)+1),"")</f>
        <v>0</v>
      </c>
      <c r="H145">
        <f>IFERROR(SMALL(H37:H97,ROW()-ROW($H$100)+1),"")</f>
        <v>0</v>
      </c>
      <c r="K145">
        <f>IFERROR(SMALL(K37:K97,ROW()-ROW($K$100)+1),"")</f>
        <v>0</v>
      </c>
      <c r="L145">
        <f>IFERROR(SMALL(L37:L97,ROW()-ROW($L$100)+1),"")</f>
        <v>0</v>
      </c>
      <c r="M145">
        <f>IFERROR(SMALL(M37:M97,ROW()-ROW($M$100)+1),"")</f>
        <v>0</v>
      </c>
      <c r="N145">
        <f>IFERROR(SMALL(N37:N97,ROW()-ROW($N$100)+1),"")</f>
        <v>0</v>
      </c>
    </row>
    <row r="146" spans="5:14">
      <c r="E146">
        <f>IFERROR(SMALL(E37:E97,ROW()-ROW($E$100)+1),"")</f>
        <v>0</v>
      </c>
      <c r="F146">
        <f>IFERROR(SMALL(F37:F97,ROW()-ROW($F$100)+1),"")</f>
        <v>0</v>
      </c>
      <c r="G146">
        <f>IFERROR(SMALL(G37:G97,ROW()-ROW($G$100)+1),"")</f>
        <v>0</v>
      </c>
      <c r="H146">
        <f>IFERROR(SMALL(H37:H97,ROW()-ROW($H$100)+1),"")</f>
        <v>0</v>
      </c>
      <c r="K146">
        <f>IFERROR(SMALL(K37:K97,ROW()-ROW($K$100)+1),"")</f>
        <v>0</v>
      </c>
      <c r="L146">
        <f>IFERROR(SMALL(L37:L97,ROW()-ROW($L$100)+1),"")</f>
        <v>0</v>
      </c>
      <c r="M146">
        <f>IFERROR(SMALL(M37:M97,ROW()-ROW($M$100)+1),"")</f>
        <v>0</v>
      </c>
      <c r="N146">
        <f>IFERROR(SMALL(N37:N97,ROW()-ROW($N$100)+1),"")</f>
        <v>0</v>
      </c>
    </row>
    <row r="147" spans="5:14">
      <c r="E147">
        <f>IFERROR(SMALL(E37:E97,ROW()-ROW($E$100)+1),"")</f>
        <v>0</v>
      </c>
      <c r="F147">
        <f>IFERROR(SMALL(F37:F97,ROW()-ROW($F$100)+1),"")</f>
        <v>0</v>
      </c>
      <c r="G147">
        <f>IFERROR(SMALL(G37:G97,ROW()-ROW($G$100)+1),"")</f>
        <v>0</v>
      </c>
      <c r="H147">
        <f>IFERROR(SMALL(H37:H97,ROW()-ROW($H$100)+1),"")</f>
        <v>0</v>
      </c>
      <c r="K147">
        <f>IFERROR(SMALL(K37:K97,ROW()-ROW($K$100)+1),"")</f>
        <v>0</v>
      </c>
      <c r="L147">
        <f>IFERROR(SMALL(L37:L97,ROW()-ROW($L$100)+1),"")</f>
        <v>0</v>
      </c>
      <c r="M147">
        <f>IFERROR(SMALL(M37:M97,ROW()-ROW($M$100)+1),"")</f>
        <v>0</v>
      </c>
      <c r="N147">
        <f>IFERROR(SMALL(N37:N97,ROW()-ROW($N$100)+1),"")</f>
        <v>0</v>
      </c>
    </row>
    <row r="148" spans="5:14">
      <c r="E148">
        <f>IFERROR(SMALL(E37:E97,ROW()-ROW($E$100)+1),"")</f>
        <v>0</v>
      </c>
      <c r="F148">
        <f>IFERROR(SMALL(F37:F97,ROW()-ROW($F$100)+1),"")</f>
        <v>0</v>
      </c>
      <c r="G148">
        <f>IFERROR(SMALL(G37:G97,ROW()-ROW($G$100)+1),"")</f>
        <v>0</v>
      </c>
      <c r="H148">
        <f>IFERROR(SMALL(H37:H97,ROW()-ROW($H$100)+1),"")</f>
        <v>0</v>
      </c>
      <c r="K148">
        <f>IFERROR(SMALL(K37:K97,ROW()-ROW($K$100)+1),"")</f>
        <v>0</v>
      </c>
      <c r="L148">
        <f>IFERROR(SMALL(L37:L97,ROW()-ROW($L$100)+1),"")</f>
        <v>0</v>
      </c>
      <c r="M148">
        <f>IFERROR(SMALL(M37:M97,ROW()-ROW($M$100)+1),"")</f>
        <v>0</v>
      </c>
      <c r="N148">
        <f>IFERROR(SMALL(N37:N97,ROW()-ROW($N$100)+1),"")</f>
        <v>0</v>
      </c>
    </row>
    <row r="149" spans="5:14">
      <c r="E149">
        <f>IFERROR(SMALL(E37:E97,ROW()-ROW($E$100)+1),"")</f>
        <v>0</v>
      </c>
      <c r="F149">
        <f>IFERROR(SMALL(F37:F97,ROW()-ROW($F$100)+1),"")</f>
        <v>0</v>
      </c>
      <c r="G149">
        <f>IFERROR(SMALL(G37:G97,ROW()-ROW($G$100)+1),"")</f>
        <v>0</v>
      </c>
      <c r="H149">
        <f>IFERROR(SMALL(H37:H97,ROW()-ROW($H$100)+1),"")</f>
        <v>0</v>
      </c>
      <c r="K149">
        <f>IFERROR(SMALL(K37:K97,ROW()-ROW($K$100)+1),"")</f>
        <v>0</v>
      </c>
      <c r="L149">
        <f>IFERROR(SMALL(L37:L97,ROW()-ROW($L$100)+1),"")</f>
        <v>0</v>
      </c>
      <c r="M149">
        <f>IFERROR(SMALL(M37:M97,ROW()-ROW($M$100)+1),"")</f>
        <v>0</v>
      </c>
      <c r="N149">
        <f>IFERROR(SMALL(N37:N97,ROW()-ROW($N$100)+1),"")</f>
        <v>0</v>
      </c>
    </row>
    <row r="150" spans="5:14">
      <c r="E150">
        <f>IFERROR(SMALL(E37:E97,ROW()-ROW($E$100)+1),"")</f>
        <v>0</v>
      </c>
      <c r="F150">
        <f>IFERROR(SMALL(F37:F97,ROW()-ROW($F$100)+1),"")</f>
        <v>0</v>
      </c>
      <c r="G150">
        <f>IFERROR(SMALL(G37:G97,ROW()-ROW($G$100)+1),"")</f>
        <v>0</v>
      </c>
      <c r="H150">
        <f>IFERROR(SMALL(H37:H97,ROW()-ROW($H$100)+1),"")</f>
        <v>0</v>
      </c>
      <c r="K150">
        <f>IFERROR(SMALL(K37:K97,ROW()-ROW($K$100)+1),"")</f>
        <v>0</v>
      </c>
      <c r="L150">
        <f>IFERROR(SMALL(L37:L97,ROW()-ROW($L$100)+1),"")</f>
        <v>0</v>
      </c>
      <c r="M150">
        <f>IFERROR(SMALL(M37:M97,ROW()-ROW($M$100)+1),"")</f>
        <v>0</v>
      </c>
      <c r="N150">
        <f>IFERROR(SMALL(N37:N97,ROW()-ROW($N$100)+1),"")</f>
        <v>0</v>
      </c>
    </row>
    <row r="151" spans="5:14">
      <c r="E151">
        <f>IFERROR(SMALL(E37:E97,ROW()-ROW($E$100)+1),"")</f>
        <v>0</v>
      </c>
      <c r="F151">
        <f>IFERROR(SMALL(F37:F97,ROW()-ROW($F$100)+1),"")</f>
        <v>0</v>
      </c>
      <c r="G151">
        <f>IFERROR(SMALL(G37:G97,ROW()-ROW($G$100)+1),"")</f>
        <v>0</v>
      </c>
      <c r="H151">
        <f>IFERROR(SMALL(H37:H97,ROW()-ROW($H$100)+1),"")</f>
        <v>0</v>
      </c>
      <c r="K151">
        <f>IFERROR(SMALL(K37:K97,ROW()-ROW($K$100)+1),"")</f>
        <v>0</v>
      </c>
      <c r="L151">
        <f>IFERROR(SMALL(L37:L97,ROW()-ROW($L$100)+1),"")</f>
        <v>0</v>
      </c>
      <c r="M151">
        <f>IFERROR(SMALL(M37:M97,ROW()-ROW($M$100)+1),"")</f>
        <v>0</v>
      </c>
      <c r="N151">
        <f>IFERROR(SMALL(N37:N97,ROW()-ROW($N$100)+1),"")</f>
        <v>0</v>
      </c>
    </row>
    <row r="152" spans="5:14">
      <c r="E152">
        <f>IFERROR(SMALL(E37:E97,ROW()-ROW($E$100)+1),"")</f>
        <v>0</v>
      </c>
      <c r="F152">
        <f>IFERROR(SMALL(F37:F97,ROW()-ROW($F$100)+1),"")</f>
        <v>0</v>
      </c>
      <c r="G152">
        <f>IFERROR(SMALL(G37:G97,ROW()-ROW($G$100)+1),"")</f>
        <v>0</v>
      </c>
      <c r="H152">
        <f>IFERROR(SMALL(H37:H97,ROW()-ROW($H$100)+1),"")</f>
        <v>0</v>
      </c>
      <c r="K152">
        <f>IFERROR(SMALL(K37:K97,ROW()-ROW($K$100)+1),"")</f>
        <v>0</v>
      </c>
      <c r="L152">
        <f>IFERROR(SMALL(L37:L97,ROW()-ROW($L$100)+1),"")</f>
        <v>0</v>
      </c>
      <c r="M152">
        <f>IFERROR(SMALL(M37:M97,ROW()-ROW($M$100)+1),"")</f>
        <v>0</v>
      </c>
      <c r="N152">
        <f>IFERROR(SMALL(N37:N97,ROW()-ROW($N$100)+1),"")</f>
        <v>0</v>
      </c>
    </row>
    <row r="153" spans="5:14">
      <c r="E153">
        <f>IFERROR(SMALL(E37:E97,ROW()-ROW($E$100)+1),"")</f>
        <v>0</v>
      </c>
      <c r="F153">
        <f>IFERROR(SMALL(F37:F97,ROW()-ROW($F$100)+1),"")</f>
        <v>0</v>
      </c>
      <c r="G153">
        <f>IFERROR(SMALL(G37:G97,ROW()-ROW($G$100)+1),"")</f>
        <v>0</v>
      </c>
      <c r="H153">
        <f>IFERROR(SMALL(H37:H97,ROW()-ROW($H$100)+1),"")</f>
        <v>0</v>
      </c>
      <c r="K153">
        <f>IFERROR(SMALL(K37:K97,ROW()-ROW($K$100)+1),"")</f>
        <v>0</v>
      </c>
      <c r="L153">
        <f>IFERROR(SMALL(L37:L97,ROW()-ROW($L$100)+1),"")</f>
        <v>0</v>
      </c>
      <c r="M153">
        <f>IFERROR(SMALL(M37:M97,ROW()-ROW($M$100)+1),"")</f>
        <v>0</v>
      </c>
      <c r="N153">
        <f>IFERROR(SMALL(N37:N97,ROW()-ROW($N$100)+1),"")</f>
        <v>0</v>
      </c>
    </row>
    <row r="154" spans="5:14">
      <c r="E154">
        <f>IFERROR(SMALL(E37:E97,ROW()-ROW($E$100)+1),"")</f>
        <v>0</v>
      </c>
      <c r="F154">
        <f>IFERROR(SMALL(F37:F97,ROW()-ROW($F$100)+1),"")</f>
        <v>0</v>
      </c>
      <c r="G154">
        <f>IFERROR(SMALL(G37:G97,ROW()-ROW($G$100)+1),"")</f>
        <v>0</v>
      </c>
      <c r="H154">
        <f>IFERROR(SMALL(H37:H97,ROW()-ROW($H$100)+1),"")</f>
        <v>0</v>
      </c>
      <c r="K154">
        <f>IFERROR(SMALL(K37:K97,ROW()-ROW($K$100)+1),"")</f>
        <v>0</v>
      </c>
      <c r="L154">
        <f>IFERROR(SMALL(L37:L97,ROW()-ROW($L$100)+1),"")</f>
        <v>0</v>
      </c>
      <c r="M154">
        <f>IFERROR(SMALL(M37:M97,ROW()-ROW($M$100)+1),"")</f>
        <v>0</v>
      </c>
      <c r="N154">
        <f>IFERROR(SMALL(N37:N97,ROW()-ROW($N$100)+1),"")</f>
        <v>0</v>
      </c>
    </row>
    <row r="155" spans="5:14">
      <c r="E155">
        <f>IFERROR(SMALL(E37:E97,ROW()-ROW($E$100)+1),"")</f>
        <v>0</v>
      </c>
      <c r="F155">
        <f>IFERROR(SMALL(F37:F97,ROW()-ROW($F$100)+1),"")</f>
        <v>0</v>
      </c>
      <c r="G155">
        <f>IFERROR(SMALL(G37:G97,ROW()-ROW($G$100)+1),"")</f>
        <v>0</v>
      </c>
      <c r="H155">
        <f>IFERROR(SMALL(H37:H97,ROW()-ROW($H$100)+1),"")</f>
        <v>0</v>
      </c>
      <c r="K155">
        <f>IFERROR(SMALL(K37:K97,ROW()-ROW($K$100)+1),"")</f>
        <v>0</v>
      </c>
      <c r="L155">
        <f>IFERROR(SMALL(L37:L97,ROW()-ROW($L$100)+1),"")</f>
        <v>0</v>
      </c>
      <c r="M155">
        <f>IFERROR(SMALL(M37:M97,ROW()-ROW($M$100)+1),"")</f>
        <v>0</v>
      </c>
      <c r="N155">
        <f>IFERROR(SMALL(N37:N97,ROW()-ROW($N$100)+1),"")</f>
        <v>0</v>
      </c>
    </row>
    <row r="156" spans="5:14">
      <c r="E156">
        <f>IFERROR(SMALL(E37:E97,ROW()-ROW($E$100)+1),"")</f>
        <v>0</v>
      </c>
      <c r="F156">
        <f>IFERROR(SMALL(F37:F97,ROW()-ROW($F$100)+1),"")</f>
        <v>0</v>
      </c>
      <c r="G156">
        <f>IFERROR(SMALL(G37:G97,ROW()-ROW($G$100)+1),"")</f>
        <v>0</v>
      </c>
      <c r="H156">
        <f>IFERROR(SMALL(H37:H97,ROW()-ROW($H$100)+1),"")</f>
        <v>0</v>
      </c>
      <c r="K156">
        <f>IFERROR(SMALL(K37:K97,ROW()-ROW($K$100)+1),"")</f>
        <v>0</v>
      </c>
      <c r="L156">
        <f>IFERROR(SMALL(L37:L97,ROW()-ROW($L$100)+1),"")</f>
        <v>0</v>
      </c>
      <c r="M156">
        <f>IFERROR(SMALL(M37:M97,ROW()-ROW($M$100)+1),"")</f>
        <v>0</v>
      </c>
      <c r="N156">
        <f>IFERROR(SMALL(N37:N97,ROW()-ROW($N$100)+1),"")</f>
        <v>0</v>
      </c>
    </row>
    <row r="157" spans="5:14">
      <c r="E157">
        <f>IFERROR(SMALL(E37:E97,ROW()-ROW($E$100)+1),"")</f>
        <v>0</v>
      </c>
      <c r="F157">
        <f>IFERROR(SMALL(F37:F97,ROW()-ROW($F$100)+1),"")</f>
        <v>0</v>
      </c>
      <c r="G157">
        <f>IFERROR(SMALL(G37:G97,ROW()-ROW($G$100)+1),"")</f>
        <v>0</v>
      </c>
      <c r="H157">
        <f>IFERROR(SMALL(H37:H97,ROW()-ROW($H$100)+1),"")</f>
        <v>0</v>
      </c>
      <c r="K157">
        <f>IFERROR(SMALL(K37:K97,ROW()-ROW($K$100)+1),"")</f>
        <v>0</v>
      </c>
      <c r="L157">
        <f>IFERROR(SMALL(L37:L97,ROW()-ROW($L$100)+1),"")</f>
        <v>0</v>
      </c>
      <c r="M157">
        <f>IFERROR(SMALL(M37:M97,ROW()-ROW($M$100)+1),"")</f>
        <v>0</v>
      </c>
      <c r="N157">
        <f>IFERROR(SMALL(N37:N97,ROW()-ROW($N$100)+1),"")</f>
        <v>0</v>
      </c>
    </row>
    <row r="158" spans="5:14">
      <c r="E158">
        <f>IFERROR(SMALL(E37:E97,ROW()-ROW($E$100)+1),"")</f>
        <v>0</v>
      </c>
      <c r="F158">
        <f>IFERROR(SMALL(F37:F97,ROW()-ROW($F$100)+1),"")</f>
        <v>0</v>
      </c>
      <c r="G158">
        <f>IFERROR(SMALL(G37:G97,ROW()-ROW($G$100)+1),"")</f>
        <v>0</v>
      </c>
      <c r="H158">
        <f>IFERROR(SMALL(H37:H97,ROW()-ROW($H$100)+1),"")</f>
        <v>0</v>
      </c>
      <c r="K158">
        <f>IFERROR(SMALL(K37:K97,ROW()-ROW($K$100)+1),"")</f>
        <v>0</v>
      </c>
      <c r="L158">
        <f>IFERROR(SMALL(L37:L97,ROW()-ROW($L$100)+1),"")</f>
        <v>0</v>
      </c>
      <c r="M158">
        <f>IFERROR(SMALL(M37:M97,ROW()-ROW($M$100)+1),"")</f>
        <v>0</v>
      </c>
      <c r="N158">
        <f>IFERROR(SMALL(N37:N97,ROW()-ROW($N$100)+1),"")</f>
        <v>0</v>
      </c>
    </row>
    <row r="159" spans="5:14">
      <c r="E159">
        <f>IFERROR(SMALL(E37:E97,ROW()-ROW($E$100)+1),"")</f>
        <v>0</v>
      </c>
      <c r="F159">
        <f>IFERROR(SMALL(F37:F97,ROW()-ROW($F$100)+1),"")</f>
        <v>0</v>
      </c>
      <c r="G159">
        <f>IFERROR(SMALL(G37:G97,ROW()-ROW($G$100)+1),"")</f>
        <v>0</v>
      </c>
      <c r="H159">
        <f>IFERROR(SMALL(H37:H97,ROW()-ROW($H$100)+1),"")</f>
        <v>0</v>
      </c>
      <c r="K159">
        <f>IFERROR(SMALL(K37:K97,ROW()-ROW($K$100)+1),"")</f>
        <v>0</v>
      </c>
      <c r="L159">
        <f>IFERROR(SMALL(L37:L97,ROW()-ROW($L$100)+1),"")</f>
        <v>0</v>
      </c>
      <c r="M159">
        <f>IFERROR(SMALL(M37:M97,ROW()-ROW($M$100)+1),"")</f>
        <v>0</v>
      </c>
      <c r="N159">
        <f>IFERROR(SMALL(N37:N97,ROW()-ROW($N$100)+1),"")</f>
        <v>0</v>
      </c>
    </row>
    <row r="161" spans="4:14">
      <c r="D161" t="s">
        <v>46</v>
      </c>
      <c r="E161" t="s">
        <v>43</v>
      </c>
      <c r="F161" t="s">
        <v>48</v>
      </c>
      <c r="G161" t="s">
        <v>43</v>
      </c>
      <c r="H161" t="s">
        <v>49</v>
      </c>
      <c r="J161" t="s">
        <v>46</v>
      </c>
      <c r="K161" t="s">
        <v>43</v>
      </c>
      <c r="L161" t="s">
        <v>48</v>
      </c>
      <c r="M161" t="s">
        <v>43</v>
      </c>
      <c r="N161" t="s">
        <v>49</v>
      </c>
    </row>
    <row r="162" spans="4:14">
      <c r="E162">
        <f>IF(ISNA(F162),NA(),E100)</f>
        <v>0</v>
      </c>
      <c r="F162">
        <f>IF(F100="",NA(),F100)</f>
        <v>0</v>
      </c>
      <c r="G162">
        <f>IF(ISNA(H162),NA(),G100)</f>
        <v>0</v>
      </c>
      <c r="H162">
        <f>IF(H100="",NA(),H100)</f>
        <v>0</v>
      </c>
      <c r="K162">
        <f>IF(ISNA(L162),NA(),K100)</f>
        <v>0</v>
      </c>
      <c r="L162">
        <f>IF(L100="",NA(),L100)</f>
        <v>0</v>
      </c>
      <c r="M162">
        <f>IF(ISNA(N162),NA(),M100)</f>
        <v>0</v>
      </c>
      <c r="N162">
        <f>IF(N100="",NA(),N100)</f>
        <v>0</v>
      </c>
    </row>
    <row r="163" spans="4:14">
      <c r="E163">
        <f>IF(ISNA(F163),NA(),E101)</f>
        <v>0</v>
      </c>
      <c r="F163">
        <f>IF(OR(F101="",AND(F101=F100,F101=F102)),NA(), F101)</f>
        <v>0</v>
      </c>
      <c r="G163">
        <f>IF(ISNA(H163),NA(),G101)</f>
        <v>0</v>
      </c>
      <c r="H163">
        <f>IF(OR(H101="",AND(H101=H100,H101=H102)),NA(), H101)</f>
        <v>0</v>
      </c>
      <c r="K163">
        <f>IF(ISNA(L163),NA(),K101)</f>
        <v>0</v>
      </c>
      <c r="L163">
        <f>IF(OR(L101="",AND(L101=L100,L101=L102)),NA(), L101)</f>
        <v>0</v>
      </c>
      <c r="M163">
        <f>IF(ISNA(N163),NA(),M101)</f>
        <v>0</v>
      </c>
      <c r="N163">
        <f>IF(OR(N101="",AND(N101=N100,N101=N102)),NA(), N101)</f>
        <v>0</v>
      </c>
    </row>
    <row r="164" spans="4:14">
      <c r="E164">
        <f>IF(ISNA(F164),NA(),E102)</f>
        <v>0</v>
      </c>
      <c r="F164">
        <f>IF(OR(F102="",AND(F102=F101,F102=F103)),NA(), F102)</f>
        <v>0</v>
      </c>
      <c r="G164">
        <f>IF(ISNA(H164),NA(),G102)</f>
        <v>0</v>
      </c>
      <c r="H164">
        <f>IF(OR(H102="",AND(H102=H101,H102=H103)),NA(), H102)</f>
        <v>0</v>
      </c>
      <c r="K164">
        <f>IF(ISNA(L164),NA(),K102)</f>
        <v>0</v>
      </c>
      <c r="L164">
        <f>IF(OR(L102="",AND(L102=L101,L102=L103)),NA(), L102)</f>
        <v>0</v>
      </c>
      <c r="M164">
        <f>IF(ISNA(N164),NA(),M102)</f>
        <v>0</v>
      </c>
      <c r="N164">
        <f>IF(OR(N102="",AND(N102=N101,N102=N103)),NA(), N102)</f>
        <v>0</v>
      </c>
    </row>
    <row r="165" spans="4:14">
      <c r="E165">
        <f>IF(ISNA(F165),NA(),E103)</f>
        <v>0</v>
      </c>
      <c r="F165">
        <f>IF(OR(F103="",AND(F103=F102,F103=F104)),NA(), F103)</f>
        <v>0</v>
      </c>
      <c r="G165">
        <f>IF(ISNA(H165),NA(),G103)</f>
        <v>0</v>
      </c>
      <c r="H165">
        <f>IF(OR(H103="",AND(H103=H102,H103=H104)),NA(), H103)</f>
        <v>0</v>
      </c>
      <c r="K165">
        <f>IF(ISNA(L165),NA(),K103)</f>
        <v>0</v>
      </c>
      <c r="L165">
        <f>IF(OR(L103="",AND(L103=L102,L103=L104)),NA(), L103)</f>
        <v>0</v>
      </c>
      <c r="M165">
        <f>IF(ISNA(N165),NA(),M103)</f>
        <v>0</v>
      </c>
      <c r="N165">
        <f>IF(OR(N103="",AND(N103=N102,N103=N104)),NA(), N103)</f>
        <v>0</v>
      </c>
    </row>
    <row r="166" spans="4:14">
      <c r="E166">
        <f>IF(ISNA(F166),NA(),E104)</f>
        <v>0</v>
      </c>
      <c r="F166">
        <f>IF(OR(F104="",AND(F104=F103,F104=F105)),NA(), F104)</f>
        <v>0</v>
      </c>
      <c r="G166">
        <f>IF(ISNA(H166),NA(),G104)</f>
        <v>0</v>
      </c>
      <c r="H166">
        <f>IF(OR(H104="",AND(H104=H103,H104=H105)),NA(), H104)</f>
        <v>0</v>
      </c>
      <c r="K166">
        <f>IF(ISNA(L166),NA(),K104)</f>
        <v>0</v>
      </c>
      <c r="L166">
        <f>IF(OR(L104="",AND(L104=L103,L104=L105)),NA(), L104)</f>
        <v>0</v>
      </c>
      <c r="M166">
        <f>IF(ISNA(N166),NA(),M104)</f>
        <v>0</v>
      </c>
      <c r="N166">
        <f>IF(OR(N104="",AND(N104=N103,N104=N105)),NA(), N104)</f>
        <v>0</v>
      </c>
    </row>
    <row r="167" spans="4:14">
      <c r="E167">
        <f>IF(ISNA(F167),NA(),E105)</f>
        <v>0</v>
      </c>
      <c r="F167">
        <f>IF(OR(F105="",AND(F105=F104,F105=F106)),NA(), F105)</f>
        <v>0</v>
      </c>
      <c r="G167">
        <f>IF(ISNA(H167),NA(),G105)</f>
        <v>0</v>
      </c>
      <c r="H167">
        <f>IF(OR(H105="",AND(H105=H104,H105=H106)),NA(), H105)</f>
        <v>0</v>
      </c>
      <c r="K167">
        <f>IF(ISNA(L167),NA(),K105)</f>
        <v>0</v>
      </c>
      <c r="L167">
        <f>IF(OR(L105="",AND(L105=L104,L105=L106)),NA(), L105)</f>
        <v>0</v>
      </c>
      <c r="M167">
        <f>IF(ISNA(N167),NA(),M105)</f>
        <v>0</v>
      </c>
      <c r="N167">
        <f>IF(OR(N105="",AND(N105=N104,N105=N106)),NA(), N105)</f>
        <v>0</v>
      </c>
    </row>
    <row r="168" spans="4:14">
      <c r="E168">
        <f>IF(ISNA(F168),NA(),E106)</f>
        <v>0</v>
      </c>
      <c r="F168">
        <f>IF(OR(F106="",AND(F106=F105,F106=F107)),NA(), F106)</f>
        <v>0</v>
      </c>
      <c r="G168">
        <f>IF(ISNA(H168),NA(),G106)</f>
        <v>0</v>
      </c>
      <c r="H168">
        <f>IF(OR(H106="",AND(H106=H105,H106=H107)),NA(), H106)</f>
        <v>0</v>
      </c>
      <c r="K168">
        <f>IF(ISNA(L168),NA(),K106)</f>
        <v>0</v>
      </c>
      <c r="L168">
        <f>IF(OR(L106="",AND(L106=L105,L106=L107)),NA(), L106)</f>
        <v>0</v>
      </c>
      <c r="M168">
        <f>IF(ISNA(N168),NA(),M106)</f>
        <v>0</v>
      </c>
      <c r="N168">
        <f>IF(OR(N106="",AND(N106=N105,N106=N107)),NA(), N106)</f>
        <v>0</v>
      </c>
    </row>
    <row r="169" spans="4:14">
      <c r="E169">
        <f>IF(ISNA(F169),NA(),E107)</f>
        <v>0</v>
      </c>
      <c r="F169">
        <f>IF(OR(F107="",AND(F107=F106,F107=F108)),NA(), F107)</f>
        <v>0</v>
      </c>
      <c r="G169">
        <f>IF(ISNA(H169),NA(),G107)</f>
        <v>0</v>
      </c>
      <c r="H169">
        <f>IF(OR(H107="",AND(H107=H106,H107=H108)),NA(), H107)</f>
        <v>0</v>
      </c>
      <c r="K169">
        <f>IF(ISNA(L169),NA(),K107)</f>
        <v>0</v>
      </c>
      <c r="L169">
        <f>IF(OR(L107="",AND(L107=L106,L107=L108)),NA(), L107)</f>
        <v>0</v>
      </c>
      <c r="M169">
        <f>IF(ISNA(N169),NA(),M107)</f>
        <v>0</v>
      </c>
      <c r="N169">
        <f>IF(OR(N107="",AND(N107=N106,N107=N108)),NA(), N107)</f>
        <v>0</v>
      </c>
    </row>
    <row r="170" spans="4:14">
      <c r="E170">
        <f>IF(ISNA(F170),NA(),E108)</f>
        <v>0</v>
      </c>
      <c r="F170">
        <f>IF(OR(F108="",AND(F108=F107,F108=F109)),NA(), F108)</f>
        <v>0</v>
      </c>
      <c r="G170">
        <f>IF(ISNA(H170),NA(),G108)</f>
        <v>0</v>
      </c>
      <c r="H170">
        <f>IF(OR(H108="",AND(H108=H107,H108=H109)),NA(), H108)</f>
        <v>0</v>
      </c>
      <c r="K170">
        <f>IF(ISNA(L170),NA(),K108)</f>
        <v>0</v>
      </c>
      <c r="L170">
        <f>IF(OR(L108="",AND(L108=L107,L108=L109)),NA(), L108)</f>
        <v>0</v>
      </c>
      <c r="M170">
        <f>IF(ISNA(N170),NA(),M108)</f>
        <v>0</v>
      </c>
      <c r="N170">
        <f>IF(OR(N108="",AND(N108=N107,N108=N109)),NA(), N108)</f>
        <v>0</v>
      </c>
    </row>
    <row r="171" spans="4:14">
      <c r="E171">
        <f>IF(ISNA(F171),NA(),E109)</f>
        <v>0</v>
      </c>
      <c r="F171">
        <f>IF(OR(F109="",AND(F109=F108,F109=F110)),NA(), F109)</f>
        <v>0</v>
      </c>
      <c r="G171">
        <f>IF(ISNA(H171),NA(),G109)</f>
        <v>0</v>
      </c>
      <c r="H171">
        <f>IF(OR(H109="",AND(H109=H108,H109=H110)),NA(), H109)</f>
        <v>0</v>
      </c>
      <c r="K171">
        <f>IF(ISNA(L171),NA(),K109)</f>
        <v>0</v>
      </c>
      <c r="L171">
        <f>IF(OR(L109="",AND(L109=L108,L109=L110)),NA(), L109)</f>
        <v>0</v>
      </c>
      <c r="M171">
        <f>IF(ISNA(N171),NA(),M109)</f>
        <v>0</v>
      </c>
      <c r="N171">
        <f>IF(OR(N109="",AND(N109=N108,N109=N110)),NA(), N109)</f>
        <v>0</v>
      </c>
    </row>
    <row r="172" spans="4:14">
      <c r="E172">
        <f>IF(ISNA(F172),NA(),E110)</f>
        <v>0</v>
      </c>
      <c r="F172">
        <f>IF(OR(F110="",AND(F110=F109,F110=F111)),NA(), F110)</f>
        <v>0</v>
      </c>
      <c r="G172">
        <f>IF(ISNA(H172),NA(),G110)</f>
        <v>0</v>
      </c>
      <c r="H172">
        <f>IF(OR(H110="",AND(H110=H109,H110=H111)),NA(), H110)</f>
        <v>0</v>
      </c>
      <c r="K172">
        <f>IF(ISNA(L172),NA(),K110)</f>
        <v>0</v>
      </c>
      <c r="L172">
        <f>IF(OR(L110="",AND(L110=L109,L110=L111)),NA(), L110)</f>
        <v>0</v>
      </c>
      <c r="M172">
        <f>IF(ISNA(N172),NA(),M110)</f>
        <v>0</v>
      </c>
      <c r="N172">
        <f>IF(OR(N110="",AND(N110=N109,N110=N111)),NA(), N110)</f>
        <v>0</v>
      </c>
    </row>
    <row r="173" spans="4:14">
      <c r="E173">
        <f>IF(ISNA(F173),NA(),E111)</f>
        <v>0</v>
      </c>
      <c r="F173">
        <f>IF(OR(F111="",AND(F111=F110,F111=F112)),NA(), F111)</f>
        <v>0</v>
      </c>
      <c r="G173">
        <f>IF(ISNA(H173),NA(),G111)</f>
        <v>0</v>
      </c>
      <c r="H173">
        <f>IF(OR(H111="",AND(H111=H110,H111=H112)),NA(), H111)</f>
        <v>0</v>
      </c>
      <c r="K173">
        <f>IF(ISNA(L173),NA(),K111)</f>
        <v>0</v>
      </c>
      <c r="L173">
        <f>IF(OR(L111="",AND(L111=L110,L111=L112)),NA(), L111)</f>
        <v>0</v>
      </c>
      <c r="M173">
        <f>IF(ISNA(N173),NA(),M111)</f>
        <v>0</v>
      </c>
      <c r="N173">
        <f>IF(OR(N111="",AND(N111=N110,N111=N112)),NA(), N111)</f>
        <v>0</v>
      </c>
    </row>
    <row r="174" spans="4:14">
      <c r="E174">
        <f>IF(ISNA(F174),NA(),E112)</f>
        <v>0</v>
      </c>
      <c r="F174">
        <f>IF(OR(F112="",AND(F112=F111,F112=F113)),NA(), F112)</f>
        <v>0</v>
      </c>
      <c r="G174">
        <f>IF(ISNA(H174),NA(),G112)</f>
        <v>0</v>
      </c>
      <c r="H174">
        <f>IF(OR(H112="",AND(H112=H111,H112=H113)),NA(), H112)</f>
        <v>0</v>
      </c>
      <c r="K174">
        <f>IF(ISNA(L174),NA(),K112)</f>
        <v>0</v>
      </c>
      <c r="L174">
        <f>IF(OR(L112="",AND(L112=L111,L112=L113)),NA(), L112)</f>
        <v>0</v>
      </c>
      <c r="M174">
        <f>IF(ISNA(N174),NA(),M112)</f>
        <v>0</v>
      </c>
      <c r="N174">
        <f>IF(OR(N112="",AND(N112=N111,N112=N113)),NA(), N112)</f>
        <v>0</v>
      </c>
    </row>
    <row r="175" spans="4:14">
      <c r="E175">
        <f>IF(ISNA(F175),NA(),E113)</f>
        <v>0</v>
      </c>
      <c r="F175">
        <f>IF(OR(F113="",AND(F113=F112,F113=F114)),NA(), F113)</f>
        <v>0</v>
      </c>
      <c r="G175">
        <f>IF(ISNA(H175),NA(),G113)</f>
        <v>0</v>
      </c>
      <c r="H175">
        <f>IF(OR(H113="",AND(H113=H112,H113=H114)),NA(), H113)</f>
        <v>0</v>
      </c>
      <c r="K175">
        <f>IF(ISNA(L175),NA(),K113)</f>
        <v>0</v>
      </c>
      <c r="L175">
        <f>IF(OR(L113="",AND(L113=L112,L113=L114)),NA(), L113)</f>
        <v>0</v>
      </c>
      <c r="M175">
        <f>IF(ISNA(N175),NA(),M113)</f>
        <v>0</v>
      </c>
      <c r="N175">
        <f>IF(OR(N113="",AND(N113=N112,N113=N114)),NA(), N113)</f>
        <v>0</v>
      </c>
    </row>
    <row r="176" spans="4:14">
      <c r="E176">
        <f>IF(ISNA(F176),NA(),E114)</f>
        <v>0</v>
      </c>
      <c r="F176">
        <f>IF(OR(F114="",AND(F114=F113,F114=F115)),NA(), F114)</f>
        <v>0</v>
      </c>
      <c r="G176">
        <f>IF(ISNA(H176),NA(),G114)</f>
        <v>0</v>
      </c>
      <c r="H176">
        <f>IF(OR(H114="",AND(H114=H113,H114=H115)),NA(), H114)</f>
        <v>0</v>
      </c>
      <c r="K176">
        <f>IF(ISNA(L176),NA(),K114)</f>
        <v>0</v>
      </c>
      <c r="L176">
        <f>IF(OR(L114="",AND(L114=L113,L114=L115)),NA(), L114)</f>
        <v>0</v>
      </c>
      <c r="M176">
        <f>IF(ISNA(N176),NA(),M114)</f>
        <v>0</v>
      </c>
      <c r="N176">
        <f>IF(OR(N114="",AND(N114=N113,N114=N115)),NA(), N114)</f>
        <v>0</v>
      </c>
    </row>
    <row r="177" spans="5:14">
      <c r="E177">
        <f>IF(ISNA(F177),NA(),E115)</f>
        <v>0</v>
      </c>
      <c r="F177">
        <f>IF(OR(F115="",AND(F115=F114,F115=F116)),NA(), F115)</f>
        <v>0</v>
      </c>
      <c r="G177">
        <f>IF(ISNA(H177),NA(),G115)</f>
        <v>0</v>
      </c>
      <c r="H177">
        <f>IF(OR(H115="",AND(H115=H114,H115=H116)),NA(), H115)</f>
        <v>0</v>
      </c>
      <c r="K177">
        <f>IF(ISNA(L177),NA(),K115)</f>
        <v>0</v>
      </c>
      <c r="L177">
        <f>IF(OR(L115="",AND(L115=L114,L115=L116)),NA(), L115)</f>
        <v>0</v>
      </c>
      <c r="M177">
        <f>IF(ISNA(N177),NA(),M115)</f>
        <v>0</v>
      </c>
      <c r="N177">
        <f>IF(OR(N115="",AND(N115=N114,N115=N116)),NA(), N115)</f>
        <v>0</v>
      </c>
    </row>
    <row r="178" spans="5:14">
      <c r="E178">
        <f>IF(ISNA(F178),NA(),E116)</f>
        <v>0</v>
      </c>
      <c r="F178">
        <f>IF(OR(F116="",AND(F116=F115,F116=F117)),NA(), F116)</f>
        <v>0</v>
      </c>
      <c r="G178">
        <f>IF(ISNA(H178),NA(),G116)</f>
        <v>0</v>
      </c>
      <c r="H178">
        <f>IF(OR(H116="",AND(H116=H115,H116=H117)),NA(), H116)</f>
        <v>0</v>
      </c>
      <c r="K178">
        <f>IF(ISNA(L178),NA(),K116)</f>
        <v>0</v>
      </c>
      <c r="L178">
        <f>IF(OR(L116="",AND(L116=L115,L116=L117)),NA(), L116)</f>
        <v>0</v>
      </c>
      <c r="M178">
        <f>IF(ISNA(N178),NA(),M116)</f>
        <v>0</v>
      </c>
      <c r="N178">
        <f>IF(OR(N116="",AND(N116=N115,N116=N117)),NA(), N116)</f>
        <v>0</v>
      </c>
    </row>
    <row r="179" spans="5:14">
      <c r="E179">
        <f>IF(ISNA(F179),NA(),E117)</f>
        <v>0</v>
      </c>
      <c r="F179">
        <f>IF(OR(F117="",AND(F117=F116,F117=F118)),NA(), F117)</f>
        <v>0</v>
      </c>
      <c r="G179">
        <f>IF(ISNA(H179),NA(),G117)</f>
        <v>0</v>
      </c>
      <c r="H179">
        <f>IF(OR(H117="",AND(H117=H116,H117=H118)),NA(), H117)</f>
        <v>0</v>
      </c>
      <c r="K179">
        <f>IF(ISNA(L179),NA(),K117)</f>
        <v>0</v>
      </c>
      <c r="L179">
        <f>IF(OR(L117="",AND(L117=L116,L117=L118)),NA(), L117)</f>
        <v>0</v>
      </c>
      <c r="M179">
        <f>IF(ISNA(N179),NA(),M117)</f>
        <v>0</v>
      </c>
      <c r="N179">
        <f>IF(OR(N117="",AND(N117=N116,N117=N118)),NA(), N117)</f>
        <v>0</v>
      </c>
    </row>
    <row r="180" spans="5:14">
      <c r="E180">
        <f>IF(ISNA(F180),NA(),E118)</f>
        <v>0</v>
      </c>
      <c r="F180">
        <f>IF(OR(F118="",AND(F118=F117,F118=F119)),NA(), F118)</f>
        <v>0</v>
      </c>
      <c r="G180">
        <f>IF(ISNA(H180),NA(),G118)</f>
        <v>0</v>
      </c>
      <c r="H180">
        <f>IF(OR(H118="",AND(H118=H117,H118=H119)),NA(), H118)</f>
        <v>0</v>
      </c>
      <c r="K180">
        <f>IF(ISNA(L180),NA(),K118)</f>
        <v>0</v>
      </c>
      <c r="L180">
        <f>IF(OR(L118="",AND(L118=L117,L118=L119)),NA(), L118)</f>
        <v>0</v>
      </c>
      <c r="M180">
        <f>IF(ISNA(N180),NA(),M118)</f>
        <v>0</v>
      </c>
      <c r="N180">
        <f>IF(OR(N118="",AND(N118=N117,N118=N119)),NA(), N118)</f>
        <v>0</v>
      </c>
    </row>
    <row r="181" spans="5:14">
      <c r="E181">
        <f>IF(ISNA(F181),NA(),E119)</f>
        <v>0</v>
      </c>
      <c r="F181">
        <f>IF(OR(F119="",AND(F119=F118,F119=F120)),NA(), F119)</f>
        <v>0</v>
      </c>
      <c r="G181">
        <f>IF(ISNA(H181),NA(),G119)</f>
        <v>0</v>
      </c>
      <c r="H181">
        <f>IF(OR(H119="",AND(H119=H118,H119=H120)),NA(), H119)</f>
        <v>0</v>
      </c>
      <c r="K181">
        <f>IF(ISNA(L181),NA(),K119)</f>
        <v>0</v>
      </c>
      <c r="L181">
        <f>IF(OR(L119="",AND(L119=L118,L119=L120)),NA(), L119)</f>
        <v>0</v>
      </c>
      <c r="M181">
        <f>IF(ISNA(N181),NA(),M119)</f>
        <v>0</v>
      </c>
      <c r="N181">
        <f>IF(OR(N119="",AND(N119=N118,N119=N120)),NA(), N119)</f>
        <v>0</v>
      </c>
    </row>
    <row r="182" spans="5:14">
      <c r="E182">
        <f>IF(ISNA(F182),NA(),E120)</f>
        <v>0</v>
      </c>
      <c r="F182">
        <f>IF(OR(F120="",AND(F120=F119,F120=F121)),NA(), F120)</f>
        <v>0</v>
      </c>
      <c r="G182">
        <f>IF(ISNA(H182),NA(),G120)</f>
        <v>0</v>
      </c>
      <c r="H182">
        <f>IF(OR(H120="",AND(H120=H119,H120=H121)),NA(), H120)</f>
        <v>0</v>
      </c>
      <c r="K182">
        <f>IF(ISNA(L182),NA(),K120)</f>
        <v>0</v>
      </c>
      <c r="L182">
        <f>IF(OR(L120="",AND(L120=L119,L120=L121)),NA(), L120)</f>
        <v>0</v>
      </c>
      <c r="M182">
        <f>IF(ISNA(N182),NA(),M120)</f>
        <v>0</v>
      </c>
      <c r="N182">
        <f>IF(OR(N120="",AND(N120=N119,N120=N121)),NA(), N120)</f>
        <v>0</v>
      </c>
    </row>
    <row r="183" spans="5:14">
      <c r="E183">
        <f>IF(ISNA(F183),NA(),E121)</f>
        <v>0</v>
      </c>
      <c r="F183">
        <f>IF(OR(F121="",AND(F121=F120,F121=F122)),NA(), F121)</f>
        <v>0</v>
      </c>
      <c r="G183">
        <f>IF(ISNA(H183),NA(),G121)</f>
        <v>0</v>
      </c>
      <c r="H183">
        <f>IF(OR(H121="",AND(H121=H120,H121=H122)),NA(), H121)</f>
        <v>0</v>
      </c>
      <c r="K183">
        <f>IF(ISNA(L183),NA(),K121)</f>
        <v>0</v>
      </c>
      <c r="L183">
        <f>IF(OR(L121="",AND(L121=L120,L121=L122)),NA(), L121)</f>
        <v>0</v>
      </c>
      <c r="M183">
        <f>IF(ISNA(N183),NA(),M121)</f>
        <v>0</v>
      </c>
      <c r="N183">
        <f>IF(OR(N121="",AND(N121=N120,N121=N122)),NA(), N121)</f>
        <v>0</v>
      </c>
    </row>
    <row r="184" spans="5:14">
      <c r="E184">
        <f>IF(ISNA(F184),NA(),E122)</f>
        <v>0</v>
      </c>
      <c r="F184">
        <f>IF(OR(F122="",AND(F122=F121,F122=F123)),NA(), F122)</f>
        <v>0</v>
      </c>
      <c r="G184">
        <f>IF(ISNA(H184),NA(),G122)</f>
        <v>0</v>
      </c>
      <c r="H184">
        <f>IF(OR(H122="",AND(H122=H121,H122=H123)),NA(), H122)</f>
        <v>0</v>
      </c>
      <c r="K184">
        <f>IF(ISNA(L184),NA(),K122)</f>
        <v>0</v>
      </c>
      <c r="L184">
        <f>IF(OR(L122="",AND(L122=L121,L122=L123)),NA(), L122)</f>
        <v>0</v>
      </c>
      <c r="M184">
        <f>IF(ISNA(N184),NA(),M122)</f>
        <v>0</v>
      </c>
      <c r="N184">
        <f>IF(OR(N122="",AND(N122=N121,N122=N123)),NA(), N122)</f>
        <v>0</v>
      </c>
    </row>
    <row r="185" spans="5:14">
      <c r="E185">
        <f>IF(ISNA(F185),NA(),E123)</f>
        <v>0</v>
      </c>
      <c r="F185">
        <f>IF(OR(F123="",AND(F123=F122,F123=F124)),NA(), F123)</f>
        <v>0</v>
      </c>
      <c r="G185">
        <f>IF(ISNA(H185),NA(),G123)</f>
        <v>0</v>
      </c>
      <c r="H185">
        <f>IF(OR(H123="",AND(H123=H122,H123=H124)),NA(), H123)</f>
        <v>0</v>
      </c>
      <c r="K185">
        <f>IF(ISNA(L185),NA(),K123)</f>
        <v>0</v>
      </c>
      <c r="L185">
        <f>IF(OR(L123="",AND(L123=L122,L123=L124)),NA(), L123)</f>
        <v>0</v>
      </c>
      <c r="M185">
        <f>IF(ISNA(N185),NA(),M123)</f>
        <v>0</v>
      </c>
      <c r="N185">
        <f>IF(OR(N123="",AND(N123=N122,N123=N124)),NA(), N123)</f>
        <v>0</v>
      </c>
    </row>
    <row r="186" spans="5:14">
      <c r="E186">
        <f>IF(ISNA(F186),NA(),E124)</f>
        <v>0</v>
      </c>
      <c r="F186">
        <f>IF(OR(F124="",AND(F124=F123,F124=F125)),NA(), F124)</f>
        <v>0</v>
      </c>
      <c r="G186">
        <f>IF(ISNA(H186),NA(),G124)</f>
        <v>0</v>
      </c>
      <c r="H186">
        <f>IF(OR(H124="",AND(H124=H123,H124=H125)),NA(), H124)</f>
        <v>0</v>
      </c>
      <c r="K186">
        <f>IF(ISNA(L186),NA(),K124)</f>
        <v>0</v>
      </c>
      <c r="L186">
        <f>IF(OR(L124="",AND(L124=L123,L124=L125)),NA(), L124)</f>
        <v>0</v>
      </c>
      <c r="M186">
        <f>IF(ISNA(N186),NA(),M124)</f>
        <v>0</v>
      </c>
      <c r="N186">
        <f>IF(OR(N124="",AND(N124=N123,N124=N125)),NA(), N124)</f>
        <v>0</v>
      </c>
    </row>
    <row r="187" spans="5:14">
      <c r="E187">
        <f>IF(ISNA(F187),NA(),E125)</f>
        <v>0</v>
      </c>
      <c r="F187">
        <f>IF(OR(F125="",AND(F125=F124,F125=F126)),NA(), F125)</f>
        <v>0</v>
      </c>
      <c r="G187">
        <f>IF(ISNA(H187),NA(),G125)</f>
        <v>0</v>
      </c>
      <c r="H187">
        <f>IF(OR(H125="",AND(H125=H124,H125=H126)),NA(), H125)</f>
        <v>0</v>
      </c>
      <c r="K187">
        <f>IF(ISNA(L187),NA(),K125)</f>
        <v>0</v>
      </c>
      <c r="L187">
        <f>IF(OR(L125="",AND(L125=L124,L125=L126)),NA(), L125)</f>
        <v>0</v>
      </c>
      <c r="M187">
        <f>IF(ISNA(N187),NA(),M125)</f>
        <v>0</v>
      </c>
      <c r="N187">
        <f>IF(OR(N125="",AND(N125=N124,N125=N126)),NA(), N125)</f>
        <v>0</v>
      </c>
    </row>
    <row r="188" spans="5:14">
      <c r="E188">
        <f>IF(ISNA(F188),NA(),E126)</f>
        <v>0</v>
      </c>
      <c r="F188">
        <f>IF(OR(F126="",AND(F126=F125,F126=F127)),NA(), F126)</f>
        <v>0</v>
      </c>
      <c r="G188">
        <f>IF(ISNA(H188),NA(),G126)</f>
        <v>0</v>
      </c>
      <c r="H188">
        <f>IF(OR(H126="",AND(H126=H125,H126=H127)),NA(), H126)</f>
        <v>0</v>
      </c>
      <c r="K188">
        <f>IF(ISNA(L188),NA(),K126)</f>
        <v>0</v>
      </c>
      <c r="L188">
        <f>IF(OR(L126="",AND(L126=L125,L126=L127)),NA(), L126)</f>
        <v>0</v>
      </c>
      <c r="M188">
        <f>IF(ISNA(N188),NA(),M126)</f>
        <v>0</v>
      </c>
      <c r="N188">
        <f>IF(OR(N126="",AND(N126=N125,N126=N127)),NA(), N126)</f>
        <v>0</v>
      </c>
    </row>
    <row r="189" spans="5:14">
      <c r="E189">
        <f>IF(ISNA(F189),NA(),E127)</f>
        <v>0</v>
      </c>
      <c r="F189">
        <f>IF(OR(F127="",AND(F127=F126,F127=F128)),NA(), F127)</f>
        <v>0</v>
      </c>
      <c r="G189">
        <f>IF(ISNA(H189),NA(),G127)</f>
        <v>0</v>
      </c>
      <c r="H189">
        <f>IF(OR(H127="",AND(H127=H126,H127=H128)),NA(), H127)</f>
        <v>0</v>
      </c>
      <c r="K189">
        <f>IF(ISNA(L189),NA(),K127)</f>
        <v>0</v>
      </c>
      <c r="L189">
        <f>IF(OR(L127="",AND(L127=L126,L127=L128)),NA(), L127)</f>
        <v>0</v>
      </c>
      <c r="M189">
        <f>IF(ISNA(N189),NA(),M127)</f>
        <v>0</v>
      </c>
      <c r="N189">
        <f>IF(OR(N127="",AND(N127=N126,N127=N128)),NA(), N127)</f>
        <v>0</v>
      </c>
    </row>
    <row r="190" spans="5:14">
      <c r="E190">
        <f>IF(ISNA(F190),NA(),E128)</f>
        <v>0</v>
      </c>
      <c r="F190">
        <f>IF(OR(F128="",AND(F128=F127,F128=F129)),NA(), F128)</f>
        <v>0</v>
      </c>
      <c r="G190">
        <f>IF(ISNA(H190),NA(),G128)</f>
        <v>0</v>
      </c>
      <c r="H190">
        <f>IF(OR(H128="",AND(H128=H127,H128=H129)),NA(), H128)</f>
        <v>0</v>
      </c>
      <c r="K190">
        <f>IF(ISNA(L190),NA(),K128)</f>
        <v>0</v>
      </c>
      <c r="L190">
        <f>IF(OR(L128="",AND(L128=L127,L128=L129)),NA(), L128)</f>
        <v>0</v>
      </c>
      <c r="M190">
        <f>IF(ISNA(N190),NA(),M128)</f>
        <v>0</v>
      </c>
      <c r="N190">
        <f>IF(OR(N128="",AND(N128=N127,N128=N129)),NA(), N128)</f>
        <v>0</v>
      </c>
    </row>
    <row r="191" spans="5:14">
      <c r="E191">
        <f>IF(ISNA(F191),NA(),E129)</f>
        <v>0</v>
      </c>
      <c r="F191">
        <f>IF(OR(F129="",AND(F129=F128,F129=F130)),NA(), F129)</f>
        <v>0</v>
      </c>
      <c r="G191">
        <f>IF(ISNA(H191),NA(),G129)</f>
        <v>0</v>
      </c>
      <c r="H191">
        <f>IF(OR(H129="",AND(H129=H128,H129=H130)),NA(), H129)</f>
        <v>0</v>
      </c>
      <c r="K191">
        <f>IF(ISNA(L191),NA(),K129)</f>
        <v>0</v>
      </c>
      <c r="L191">
        <f>IF(OR(L129="",AND(L129=L128,L129=L130)),NA(), L129)</f>
        <v>0</v>
      </c>
      <c r="M191">
        <f>IF(ISNA(N191),NA(),M129)</f>
        <v>0</v>
      </c>
      <c r="N191">
        <f>IF(OR(N129="",AND(N129=N128,N129=N130)),NA(), N129)</f>
        <v>0</v>
      </c>
    </row>
    <row r="192" spans="5:14">
      <c r="E192">
        <f>IF(ISNA(F192),NA(),E130)</f>
        <v>0</v>
      </c>
      <c r="F192">
        <f>IF(OR(F130="",AND(F130=F129,F130=F131)),NA(), F130)</f>
        <v>0</v>
      </c>
      <c r="G192">
        <f>IF(ISNA(H192),NA(),G130)</f>
        <v>0</v>
      </c>
      <c r="H192">
        <f>IF(OR(H130="",AND(H130=H129,H130=H131)),NA(), H130)</f>
        <v>0</v>
      </c>
      <c r="K192">
        <f>IF(ISNA(L192),NA(),K130)</f>
        <v>0</v>
      </c>
      <c r="L192">
        <f>IF(OR(L130="",AND(L130=L129,L130=L131)),NA(), L130)</f>
        <v>0</v>
      </c>
      <c r="M192">
        <f>IF(ISNA(N192),NA(),M130)</f>
        <v>0</v>
      </c>
      <c r="N192">
        <f>IF(OR(N130="",AND(N130=N129,N130=N131)),NA(), N130)</f>
        <v>0</v>
      </c>
    </row>
    <row r="193" spans="5:14">
      <c r="E193">
        <f>IF(ISNA(F193),NA(),E131)</f>
        <v>0</v>
      </c>
      <c r="F193">
        <f>IF(OR(F131="",AND(F131=F130,F131=F132)),NA(), F131)</f>
        <v>0</v>
      </c>
      <c r="G193">
        <f>IF(ISNA(H193),NA(),G131)</f>
        <v>0</v>
      </c>
      <c r="H193">
        <f>IF(OR(H131="",AND(H131=H130,H131=H132)),NA(), H131)</f>
        <v>0</v>
      </c>
      <c r="K193">
        <f>IF(ISNA(L193),NA(),K131)</f>
        <v>0</v>
      </c>
      <c r="L193">
        <f>IF(OR(L131="",AND(L131=L130,L131=L132)),NA(), L131)</f>
        <v>0</v>
      </c>
      <c r="M193">
        <f>IF(ISNA(N193),NA(),M131)</f>
        <v>0</v>
      </c>
      <c r="N193">
        <f>IF(OR(N131="",AND(N131=N130,N131=N132)),NA(), N131)</f>
        <v>0</v>
      </c>
    </row>
    <row r="194" spans="5:14">
      <c r="E194">
        <f>IF(ISNA(F194),NA(),E132)</f>
        <v>0</v>
      </c>
      <c r="F194">
        <f>IF(OR(F132="",AND(F132=F131,F132=F133)),NA(), F132)</f>
        <v>0</v>
      </c>
      <c r="G194">
        <f>IF(ISNA(H194),NA(),G132)</f>
        <v>0</v>
      </c>
      <c r="H194">
        <f>IF(OR(H132="",AND(H132=H131,H132=H133)),NA(), H132)</f>
        <v>0</v>
      </c>
      <c r="K194">
        <f>IF(ISNA(L194),NA(),K132)</f>
        <v>0</v>
      </c>
      <c r="L194">
        <f>IF(OR(L132="",AND(L132=L131,L132=L133)),NA(), L132)</f>
        <v>0</v>
      </c>
      <c r="M194">
        <f>IF(ISNA(N194),NA(),M132)</f>
        <v>0</v>
      </c>
      <c r="N194">
        <f>IF(OR(N132="",AND(N132=N131,N132=N133)),NA(), N132)</f>
        <v>0</v>
      </c>
    </row>
    <row r="195" spans="5:14">
      <c r="E195">
        <f>IF(ISNA(F195),NA(),E133)</f>
        <v>0</v>
      </c>
      <c r="F195">
        <f>IF(OR(F133="",AND(F133=F132,F133=F134)),NA(), F133)</f>
        <v>0</v>
      </c>
      <c r="G195">
        <f>IF(ISNA(H195),NA(),G133)</f>
        <v>0</v>
      </c>
      <c r="H195">
        <f>IF(OR(H133="",AND(H133=H132,H133=H134)),NA(), H133)</f>
        <v>0</v>
      </c>
      <c r="K195">
        <f>IF(ISNA(L195),NA(),K133)</f>
        <v>0</v>
      </c>
      <c r="L195">
        <f>IF(OR(L133="",AND(L133=L132,L133=L134)),NA(), L133)</f>
        <v>0</v>
      </c>
      <c r="M195">
        <f>IF(ISNA(N195),NA(),M133)</f>
        <v>0</v>
      </c>
      <c r="N195">
        <f>IF(OR(N133="",AND(N133=N132,N133=N134)),NA(), N133)</f>
        <v>0</v>
      </c>
    </row>
    <row r="196" spans="5:14">
      <c r="E196">
        <f>IF(ISNA(F196),NA(),E134)</f>
        <v>0</v>
      </c>
      <c r="F196">
        <f>IF(OR(F134="",AND(F134=F133,F134=F135)),NA(), F134)</f>
        <v>0</v>
      </c>
      <c r="G196">
        <f>IF(ISNA(H196),NA(),G134)</f>
        <v>0</v>
      </c>
      <c r="H196">
        <f>IF(OR(H134="",AND(H134=H133,H134=H135)),NA(), H134)</f>
        <v>0</v>
      </c>
      <c r="K196">
        <f>IF(ISNA(L196),NA(),K134)</f>
        <v>0</v>
      </c>
      <c r="L196">
        <f>IF(OR(L134="",AND(L134=L133,L134=L135)),NA(), L134)</f>
        <v>0</v>
      </c>
      <c r="M196">
        <f>IF(ISNA(N196),NA(),M134)</f>
        <v>0</v>
      </c>
      <c r="N196">
        <f>IF(OR(N134="",AND(N134=N133,N134=N135)),NA(), N134)</f>
        <v>0</v>
      </c>
    </row>
    <row r="197" spans="5:14">
      <c r="E197">
        <f>IF(ISNA(F197),NA(),E135)</f>
        <v>0</v>
      </c>
      <c r="F197">
        <f>IF(OR(F135="",AND(F135=F134,F135=F136)),NA(), F135)</f>
        <v>0</v>
      </c>
      <c r="G197">
        <f>IF(ISNA(H197),NA(),G135)</f>
        <v>0</v>
      </c>
      <c r="H197">
        <f>IF(OR(H135="",AND(H135=H134,H135=H136)),NA(), H135)</f>
        <v>0</v>
      </c>
      <c r="K197">
        <f>IF(ISNA(L197),NA(),K135)</f>
        <v>0</v>
      </c>
      <c r="L197">
        <f>IF(OR(L135="",AND(L135=L134,L135=L136)),NA(), L135)</f>
        <v>0</v>
      </c>
      <c r="M197">
        <f>IF(ISNA(N197),NA(),M135)</f>
        <v>0</v>
      </c>
      <c r="N197">
        <f>IF(OR(N135="",AND(N135=N134,N135=N136)),NA(), N135)</f>
        <v>0</v>
      </c>
    </row>
    <row r="198" spans="5:14">
      <c r="E198">
        <f>IF(ISNA(F198),NA(),E136)</f>
        <v>0</v>
      </c>
      <c r="F198">
        <f>IF(OR(F136="",AND(F136=F135,F136=F137)),NA(), F136)</f>
        <v>0</v>
      </c>
      <c r="G198">
        <f>IF(ISNA(H198),NA(),G136)</f>
        <v>0</v>
      </c>
      <c r="H198">
        <f>IF(OR(H136="",AND(H136=H135,H136=H137)),NA(), H136)</f>
        <v>0</v>
      </c>
      <c r="K198">
        <f>IF(ISNA(L198),NA(),K136)</f>
        <v>0</v>
      </c>
      <c r="L198">
        <f>IF(OR(L136="",AND(L136=L135,L136=L137)),NA(), L136)</f>
        <v>0</v>
      </c>
      <c r="M198">
        <f>IF(ISNA(N198),NA(),M136)</f>
        <v>0</v>
      </c>
      <c r="N198">
        <f>IF(OR(N136="",AND(N136=N135,N136=N137)),NA(), N136)</f>
        <v>0</v>
      </c>
    </row>
    <row r="199" spans="5:14">
      <c r="E199">
        <f>IF(ISNA(F199),NA(),E137)</f>
        <v>0</v>
      </c>
      <c r="F199">
        <f>IF(OR(F137="",AND(F137=F136,F137=F138)),NA(), F137)</f>
        <v>0</v>
      </c>
      <c r="G199">
        <f>IF(ISNA(H199),NA(),G137)</f>
        <v>0</v>
      </c>
      <c r="H199">
        <f>IF(OR(H137="",AND(H137=H136,H137=H138)),NA(), H137)</f>
        <v>0</v>
      </c>
      <c r="K199">
        <f>IF(ISNA(L199),NA(),K137)</f>
        <v>0</v>
      </c>
      <c r="L199">
        <f>IF(OR(L137="",AND(L137=L136,L137=L138)),NA(), L137)</f>
        <v>0</v>
      </c>
      <c r="M199">
        <f>IF(ISNA(N199),NA(),M137)</f>
        <v>0</v>
      </c>
      <c r="N199">
        <f>IF(OR(N137="",AND(N137=N136,N137=N138)),NA(), N137)</f>
        <v>0</v>
      </c>
    </row>
    <row r="200" spans="5:14">
      <c r="E200">
        <f>IF(ISNA(F200),NA(),E138)</f>
        <v>0</v>
      </c>
      <c r="F200">
        <f>IF(OR(F138="",AND(F138=F137,F138=F139)),NA(), F138)</f>
        <v>0</v>
      </c>
      <c r="G200">
        <f>IF(ISNA(H200),NA(),G138)</f>
        <v>0</v>
      </c>
      <c r="H200">
        <f>IF(OR(H138="",AND(H138=H137,H138=H139)),NA(), H138)</f>
        <v>0</v>
      </c>
      <c r="K200">
        <f>IF(ISNA(L200),NA(),K138)</f>
        <v>0</v>
      </c>
      <c r="L200">
        <f>IF(OR(L138="",AND(L138=L137,L138=L139)),NA(), L138)</f>
        <v>0</v>
      </c>
      <c r="M200">
        <f>IF(ISNA(N200),NA(),M138)</f>
        <v>0</v>
      </c>
      <c r="N200">
        <f>IF(OR(N138="",AND(N138=N137,N138=N139)),NA(), N138)</f>
        <v>0</v>
      </c>
    </row>
    <row r="201" spans="5:14">
      <c r="E201">
        <f>IF(ISNA(F201),NA(),E139)</f>
        <v>0</v>
      </c>
      <c r="F201">
        <f>IF(OR(F139="",AND(F139=F138,F139=F140)),NA(), F139)</f>
        <v>0</v>
      </c>
      <c r="G201">
        <f>IF(ISNA(H201),NA(),G139)</f>
        <v>0</v>
      </c>
      <c r="H201">
        <f>IF(OR(H139="",AND(H139=H138,H139=H140)),NA(), H139)</f>
        <v>0</v>
      </c>
      <c r="K201">
        <f>IF(ISNA(L201),NA(),K139)</f>
        <v>0</v>
      </c>
      <c r="L201">
        <f>IF(OR(L139="",AND(L139=L138,L139=L140)),NA(), L139)</f>
        <v>0</v>
      </c>
      <c r="M201">
        <f>IF(ISNA(N201),NA(),M139)</f>
        <v>0</v>
      </c>
      <c r="N201">
        <f>IF(OR(N139="",AND(N139=N138,N139=N140)),NA(), N139)</f>
        <v>0</v>
      </c>
    </row>
    <row r="202" spans="5:14">
      <c r="E202">
        <f>IF(ISNA(F202),NA(),E140)</f>
        <v>0</v>
      </c>
      <c r="F202">
        <f>IF(OR(F140="",AND(F140=F139,F140=F141)),NA(), F140)</f>
        <v>0</v>
      </c>
      <c r="G202">
        <f>IF(ISNA(H202),NA(),G140)</f>
        <v>0</v>
      </c>
      <c r="H202">
        <f>IF(OR(H140="",AND(H140=H139,H140=H141)),NA(), H140)</f>
        <v>0</v>
      </c>
      <c r="K202">
        <f>IF(ISNA(L202),NA(),K140)</f>
        <v>0</v>
      </c>
      <c r="L202">
        <f>IF(OR(L140="",AND(L140=L139,L140=L141)),NA(), L140)</f>
        <v>0</v>
      </c>
      <c r="M202">
        <f>IF(ISNA(N202),NA(),M140)</f>
        <v>0</v>
      </c>
      <c r="N202">
        <f>IF(OR(N140="",AND(N140=N139,N140=N141)),NA(), N140)</f>
        <v>0</v>
      </c>
    </row>
    <row r="203" spans="5:14">
      <c r="E203">
        <f>IF(ISNA(F203),NA(),E141)</f>
        <v>0</v>
      </c>
      <c r="F203">
        <f>IF(OR(F141="",AND(F141=F140,F141=F142)),NA(), F141)</f>
        <v>0</v>
      </c>
      <c r="G203">
        <f>IF(ISNA(H203),NA(),G141)</f>
        <v>0</v>
      </c>
      <c r="H203">
        <f>IF(OR(H141="",AND(H141=H140,H141=H142)),NA(), H141)</f>
        <v>0</v>
      </c>
      <c r="K203">
        <f>IF(ISNA(L203),NA(),K141)</f>
        <v>0</v>
      </c>
      <c r="L203">
        <f>IF(OR(L141="",AND(L141=L140,L141=L142)),NA(), L141)</f>
        <v>0</v>
      </c>
      <c r="M203">
        <f>IF(ISNA(N203),NA(),M141)</f>
        <v>0</v>
      </c>
      <c r="N203">
        <f>IF(OR(N141="",AND(N141=N140,N141=N142)),NA(), N141)</f>
        <v>0</v>
      </c>
    </row>
    <row r="204" spans="5:14">
      <c r="E204">
        <f>IF(ISNA(F204),NA(),E142)</f>
        <v>0</v>
      </c>
      <c r="F204">
        <f>IF(OR(F142="",AND(F142=F141,F142=F143)),NA(), F142)</f>
        <v>0</v>
      </c>
      <c r="G204">
        <f>IF(ISNA(H204),NA(),G142)</f>
        <v>0</v>
      </c>
      <c r="H204">
        <f>IF(OR(H142="",AND(H142=H141,H142=H143)),NA(), H142)</f>
        <v>0</v>
      </c>
      <c r="K204">
        <f>IF(ISNA(L204),NA(),K142)</f>
        <v>0</v>
      </c>
      <c r="L204">
        <f>IF(OR(L142="",AND(L142=L141,L142=L143)),NA(), L142)</f>
        <v>0</v>
      </c>
      <c r="M204">
        <f>IF(ISNA(N204),NA(),M142)</f>
        <v>0</v>
      </c>
      <c r="N204">
        <f>IF(OR(N142="",AND(N142=N141,N142=N143)),NA(), N142)</f>
        <v>0</v>
      </c>
    </row>
    <row r="205" spans="5:14">
      <c r="E205">
        <f>IF(ISNA(F205),NA(),E143)</f>
        <v>0</v>
      </c>
      <c r="F205">
        <f>IF(OR(F143="",AND(F143=F142,F143=F144)),NA(), F143)</f>
        <v>0</v>
      </c>
      <c r="G205">
        <f>IF(ISNA(H205),NA(),G143)</f>
        <v>0</v>
      </c>
      <c r="H205">
        <f>IF(OR(H143="",AND(H143=H142,H143=H144)),NA(), H143)</f>
        <v>0</v>
      </c>
      <c r="K205">
        <f>IF(ISNA(L205),NA(),K143)</f>
        <v>0</v>
      </c>
      <c r="L205">
        <f>IF(OR(L143="",AND(L143=L142,L143=L144)),NA(), L143)</f>
        <v>0</v>
      </c>
      <c r="M205">
        <f>IF(ISNA(N205),NA(),M143)</f>
        <v>0</v>
      </c>
      <c r="N205">
        <f>IF(OR(N143="",AND(N143=N142,N143=N144)),NA(), N143)</f>
        <v>0</v>
      </c>
    </row>
    <row r="206" spans="5:14">
      <c r="E206">
        <f>IF(ISNA(F206),NA(),E144)</f>
        <v>0</v>
      </c>
      <c r="F206">
        <f>IF(OR(F144="",AND(F144=F143,F144=F145)),NA(), F144)</f>
        <v>0</v>
      </c>
      <c r="G206">
        <f>IF(ISNA(H206),NA(),G144)</f>
        <v>0</v>
      </c>
      <c r="H206">
        <f>IF(OR(H144="",AND(H144=H143,H144=H145)),NA(), H144)</f>
        <v>0</v>
      </c>
      <c r="K206">
        <f>IF(ISNA(L206),NA(),K144)</f>
        <v>0</v>
      </c>
      <c r="L206">
        <f>IF(OR(L144="",AND(L144=L143,L144=L145)),NA(), L144)</f>
        <v>0</v>
      </c>
      <c r="M206">
        <f>IF(ISNA(N206),NA(),M144)</f>
        <v>0</v>
      </c>
      <c r="N206">
        <f>IF(OR(N144="",AND(N144=N143,N144=N145)),NA(), N144)</f>
        <v>0</v>
      </c>
    </row>
    <row r="207" spans="5:14">
      <c r="E207">
        <f>IF(ISNA(F207),NA(),E145)</f>
        <v>0</v>
      </c>
      <c r="F207">
        <f>IF(OR(F145="",AND(F145=F144,F145=F146)),NA(), F145)</f>
        <v>0</v>
      </c>
      <c r="G207">
        <f>IF(ISNA(H207),NA(),G145)</f>
        <v>0</v>
      </c>
      <c r="H207">
        <f>IF(OR(H145="",AND(H145=H144,H145=H146)),NA(), H145)</f>
        <v>0</v>
      </c>
      <c r="K207">
        <f>IF(ISNA(L207),NA(),K145)</f>
        <v>0</v>
      </c>
      <c r="L207">
        <f>IF(OR(L145="",AND(L145=L144,L145=L146)),NA(), L145)</f>
        <v>0</v>
      </c>
      <c r="M207">
        <f>IF(ISNA(N207),NA(),M145)</f>
        <v>0</v>
      </c>
      <c r="N207">
        <f>IF(OR(N145="",AND(N145=N144,N145=N146)),NA(), N145)</f>
        <v>0</v>
      </c>
    </row>
    <row r="208" spans="5:14">
      <c r="E208">
        <f>IF(ISNA(F208),NA(),E146)</f>
        <v>0</v>
      </c>
      <c r="F208">
        <f>IF(OR(F146="",AND(F146=F145,F146=F147)),NA(), F146)</f>
        <v>0</v>
      </c>
      <c r="G208">
        <f>IF(ISNA(H208),NA(),G146)</f>
        <v>0</v>
      </c>
      <c r="H208">
        <f>IF(OR(H146="",AND(H146=H145,H146=H147)),NA(), H146)</f>
        <v>0</v>
      </c>
      <c r="K208">
        <f>IF(ISNA(L208),NA(),K146)</f>
        <v>0</v>
      </c>
      <c r="L208">
        <f>IF(OR(L146="",AND(L146=L145,L146=L147)),NA(), L146)</f>
        <v>0</v>
      </c>
      <c r="M208">
        <f>IF(ISNA(N208),NA(),M146)</f>
        <v>0</v>
      </c>
      <c r="N208">
        <f>IF(OR(N146="",AND(N146=N145,N146=N147)),NA(), N146)</f>
        <v>0</v>
      </c>
    </row>
    <row r="209" spans="5:14">
      <c r="E209">
        <f>IF(ISNA(F209),NA(),E147)</f>
        <v>0</v>
      </c>
      <c r="F209">
        <f>IF(OR(F147="",AND(F147=F146,F147=F148)),NA(), F147)</f>
        <v>0</v>
      </c>
      <c r="G209">
        <f>IF(ISNA(H209),NA(),G147)</f>
        <v>0</v>
      </c>
      <c r="H209">
        <f>IF(OR(H147="",AND(H147=H146,H147=H148)),NA(), H147)</f>
        <v>0</v>
      </c>
      <c r="K209">
        <f>IF(ISNA(L209),NA(),K147)</f>
        <v>0</v>
      </c>
      <c r="L209">
        <f>IF(OR(L147="",AND(L147=L146,L147=L148)),NA(), L147)</f>
        <v>0</v>
      </c>
      <c r="M209">
        <f>IF(ISNA(N209),NA(),M147)</f>
        <v>0</v>
      </c>
      <c r="N209">
        <f>IF(OR(N147="",AND(N147=N146,N147=N148)),NA(), N147)</f>
        <v>0</v>
      </c>
    </row>
    <row r="210" spans="5:14">
      <c r="E210">
        <f>IF(ISNA(F210),NA(),E148)</f>
        <v>0</v>
      </c>
      <c r="F210">
        <f>IF(OR(F148="",AND(F148=F147,F148=F149)),NA(), F148)</f>
        <v>0</v>
      </c>
      <c r="G210">
        <f>IF(ISNA(H210),NA(),G148)</f>
        <v>0</v>
      </c>
      <c r="H210">
        <f>IF(OR(H148="",AND(H148=H147,H148=H149)),NA(), H148)</f>
        <v>0</v>
      </c>
      <c r="K210">
        <f>IF(ISNA(L210),NA(),K148)</f>
        <v>0</v>
      </c>
      <c r="L210">
        <f>IF(OR(L148="",AND(L148=L147,L148=L149)),NA(), L148)</f>
        <v>0</v>
      </c>
      <c r="M210">
        <f>IF(ISNA(N210),NA(),M148)</f>
        <v>0</v>
      </c>
      <c r="N210">
        <f>IF(OR(N148="",AND(N148=N147,N148=N149)),NA(), N148)</f>
        <v>0</v>
      </c>
    </row>
    <row r="211" spans="5:14">
      <c r="E211">
        <f>IF(ISNA(F211),NA(),E149)</f>
        <v>0</v>
      </c>
      <c r="F211">
        <f>IF(OR(F149="",AND(F149=F148,F149=F150)),NA(), F149)</f>
        <v>0</v>
      </c>
      <c r="G211">
        <f>IF(ISNA(H211),NA(),G149)</f>
        <v>0</v>
      </c>
      <c r="H211">
        <f>IF(OR(H149="",AND(H149=H148,H149=H150)),NA(), H149)</f>
        <v>0</v>
      </c>
      <c r="K211">
        <f>IF(ISNA(L211),NA(),K149)</f>
        <v>0</v>
      </c>
      <c r="L211">
        <f>IF(OR(L149="",AND(L149=L148,L149=L150)),NA(), L149)</f>
        <v>0</v>
      </c>
      <c r="M211">
        <f>IF(ISNA(N211),NA(),M149)</f>
        <v>0</v>
      </c>
      <c r="N211">
        <f>IF(OR(N149="",AND(N149=N148,N149=N150)),NA(), N149)</f>
        <v>0</v>
      </c>
    </row>
    <row r="212" spans="5:14">
      <c r="E212">
        <f>IF(ISNA(F212),NA(),E150)</f>
        <v>0</v>
      </c>
      <c r="F212">
        <f>IF(OR(F150="",AND(F150=F149,F150=F151)),NA(), F150)</f>
        <v>0</v>
      </c>
      <c r="G212">
        <f>IF(ISNA(H212),NA(),G150)</f>
        <v>0</v>
      </c>
      <c r="H212">
        <f>IF(OR(H150="",AND(H150=H149,H150=H151)),NA(), H150)</f>
        <v>0</v>
      </c>
      <c r="K212">
        <f>IF(ISNA(L212),NA(),K150)</f>
        <v>0</v>
      </c>
      <c r="L212">
        <f>IF(OR(L150="",AND(L150=L149,L150=L151)),NA(), L150)</f>
        <v>0</v>
      </c>
      <c r="M212">
        <f>IF(ISNA(N212),NA(),M150)</f>
        <v>0</v>
      </c>
      <c r="N212">
        <f>IF(OR(N150="",AND(N150=N149,N150=N151)),NA(), N150)</f>
        <v>0</v>
      </c>
    </row>
    <row r="213" spans="5:14">
      <c r="E213">
        <f>IF(ISNA(F213),NA(),E151)</f>
        <v>0</v>
      </c>
      <c r="F213">
        <f>IF(OR(F151="",AND(F151=F150,F151=F152)),NA(), F151)</f>
        <v>0</v>
      </c>
      <c r="G213">
        <f>IF(ISNA(H213),NA(),G151)</f>
        <v>0</v>
      </c>
      <c r="H213">
        <f>IF(OR(H151="",AND(H151=H150,H151=H152)),NA(), H151)</f>
        <v>0</v>
      </c>
      <c r="K213">
        <f>IF(ISNA(L213),NA(),K151)</f>
        <v>0</v>
      </c>
      <c r="L213">
        <f>IF(OR(L151="",AND(L151=L150,L151=L152)),NA(), L151)</f>
        <v>0</v>
      </c>
      <c r="M213">
        <f>IF(ISNA(N213),NA(),M151)</f>
        <v>0</v>
      </c>
      <c r="N213">
        <f>IF(OR(N151="",AND(N151=N150,N151=N152)),NA(), N151)</f>
        <v>0</v>
      </c>
    </row>
    <row r="214" spans="5:14">
      <c r="E214">
        <f>IF(ISNA(F214),NA(),E152)</f>
        <v>0</v>
      </c>
      <c r="F214">
        <f>IF(OR(F152="",AND(F152=F151,F152=F153)),NA(), F152)</f>
        <v>0</v>
      </c>
      <c r="G214">
        <f>IF(ISNA(H214),NA(),G152)</f>
        <v>0</v>
      </c>
      <c r="H214">
        <f>IF(OR(H152="",AND(H152=H151,H152=H153)),NA(), H152)</f>
        <v>0</v>
      </c>
      <c r="K214">
        <f>IF(ISNA(L214),NA(),K152)</f>
        <v>0</v>
      </c>
      <c r="L214">
        <f>IF(OR(L152="",AND(L152=L151,L152=L153)),NA(), L152)</f>
        <v>0</v>
      </c>
      <c r="M214">
        <f>IF(ISNA(N214),NA(),M152)</f>
        <v>0</v>
      </c>
      <c r="N214">
        <f>IF(OR(N152="",AND(N152=N151,N152=N153)),NA(), N152)</f>
        <v>0</v>
      </c>
    </row>
    <row r="215" spans="5:14">
      <c r="E215">
        <f>IF(ISNA(F215),NA(),E153)</f>
        <v>0</v>
      </c>
      <c r="F215">
        <f>IF(OR(F153="",AND(F153=F152,F153=F154)),NA(), F153)</f>
        <v>0</v>
      </c>
      <c r="G215">
        <f>IF(ISNA(H215),NA(),G153)</f>
        <v>0</v>
      </c>
      <c r="H215">
        <f>IF(OR(H153="",AND(H153=H152,H153=H154)),NA(), H153)</f>
        <v>0</v>
      </c>
      <c r="K215">
        <f>IF(ISNA(L215),NA(),K153)</f>
        <v>0</v>
      </c>
      <c r="L215">
        <f>IF(OR(L153="",AND(L153=L152,L153=L154)),NA(), L153)</f>
        <v>0</v>
      </c>
      <c r="M215">
        <f>IF(ISNA(N215),NA(),M153)</f>
        <v>0</v>
      </c>
      <c r="N215">
        <f>IF(OR(N153="",AND(N153=N152,N153=N154)),NA(), N153)</f>
        <v>0</v>
      </c>
    </row>
    <row r="216" spans="5:14">
      <c r="E216">
        <f>IF(ISNA(F216),NA(),E154)</f>
        <v>0</v>
      </c>
      <c r="F216">
        <f>IF(OR(F154="",AND(F154=F153,F154=F155)),NA(), F154)</f>
        <v>0</v>
      </c>
      <c r="G216">
        <f>IF(ISNA(H216),NA(),G154)</f>
        <v>0</v>
      </c>
      <c r="H216">
        <f>IF(OR(H154="",AND(H154=H153,H154=H155)),NA(), H154)</f>
        <v>0</v>
      </c>
      <c r="K216">
        <f>IF(ISNA(L216),NA(),K154)</f>
        <v>0</v>
      </c>
      <c r="L216">
        <f>IF(OR(L154="",AND(L154=L153,L154=L155)),NA(), L154)</f>
        <v>0</v>
      </c>
      <c r="M216">
        <f>IF(ISNA(N216),NA(),M154)</f>
        <v>0</v>
      </c>
      <c r="N216">
        <f>IF(OR(N154="",AND(N154=N153,N154=N155)),NA(), N154)</f>
        <v>0</v>
      </c>
    </row>
    <row r="217" spans="5:14">
      <c r="E217">
        <f>IF(ISNA(F217),NA(),E155)</f>
        <v>0</v>
      </c>
      <c r="F217">
        <f>IF(OR(F155="",AND(F155=F154,F155=F156)),NA(), F155)</f>
        <v>0</v>
      </c>
      <c r="G217">
        <f>IF(ISNA(H217),NA(),G155)</f>
        <v>0</v>
      </c>
      <c r="H217">
        <f>IF(OR(H155="",AND(H155=H154,H155=H156)),NA(), H155)</f>
        <v>0</v>
      </c>
      <c r="K217">
        <f>IF(ISNA(L217),NA(),K155)</f>
        <v>0</v>
      </c>
      <c r="L217">
        <f>IF(OR(L155="",AND(L155=L154,L155=L156)),NA(), L155)</f>
        <v>0</v>
      </c>
      <c r="M217">
        <f>IF(ISNA(N217),NA(),M155)</f>
        <v>0</v>
      </c>
      <c r="N217">
        <f>IF(OR(N155="",AND(N155=N154,N155=N156)),NA(), N155)</f>
        <v>0</v>
      </c>
    </row>
    <row r="218" spans="5:14">
      <c r="E218">
        <f>IF(ISNA(F218),NA(),E156)</f>
        <v>0</v>
      </c>
      <c r="F218">
        <f>IF(OR(F156="",AND(F156=F155,F156=F157)),NA(), F156)</f>
        <v>0</v>
      </c>
      <c r="G218">
        <f>IF(ISNA(H218),NA(),G156)</f>
        <v>0</v>
      </c>
      <c r="H218">
        <f>IF(OR(H156="",AND(H156=H155,H156=H157)),NA(), H156)</f>
        <v>0</v>
      </c>
      <c r="K218">
        <f>IF(ISNA(L218),NA(),K156)</f>
        <v>0</v>
      </c>
      <c r="L218">
        <f>IF(OR(L156="",AND(L156=L155,L156=L157)),NA(), L156)</f>
        <v>0</v>
      </c>
      <c r="M218">
        <f>IF(ISNA(N218),NA(),M156)</f>
        <v>0</v>
      </c>
      <c r="N218">
        <f>IF(OR(N156="",AND(N156=N155,N156=N157)),NA(), N156)</f>
        <v>0</v>
      </c>
    </row>
    <row r="219" spans="5:14">
      <c r="E219">
        <f>IF(ISNA(F219),NA(),E157)</f>
        <v>0</v>
      </c>
      <c r="F219">
        <f>IF(OR(F157="",AND(F157=F156,F157=F158)),NA(), F157)</f>
        <v>0</v>
      </c>
      <c r="G219">
        <f>IF(ISNA(H219),NA(),G157)</f>
        <v>0</v>
      </c>
      <c r="H219">
        <f>IF(OR(H157="",AND(H157=H156,H157=H158)),NA(), H157)</f>
        <v>0</v>
      </c>
      <c r="K219">
        <f>IF(ISNA(L219),NA(),K157)</f>
        <v>0</v>
      </c>
      <c r="L219">
        <f>IF(OR(L157="",AND(L157=L156,L157=L158)),NA(), L157)</f>
        <v>0</v>
      </c>
      <c r="M219">
        <f>IF(ISNA(N219),NA(),M157)</f>
        <v>0</v>
      </c>
      <c r="N219">
        <f>IF(OR(N157="",AND(N157=N156,N157=N158)),NA(), N157)</f>
        <v>0</v>
      </c>
    </row>
    <row r="220" spans="5:14">
      <c r="E220">
        <f>IF(ISNA(F220),NA(),E158)</f>
        <v>0</v>
      </c>
      <c r="F220">
        <f>IF(OR(F158="",AND(F158=F157,F158=F159)),NA(), F158)</f>
        <v>0</v>
      </c>
      <c r="G220">
        <f>IF(ISNA(H220),NA(),G158)</f>
        <v>0</v>
      </c>
      <c r="H220">
        <f>IF(OR(H158="",AND(H158=H157,H158=H159)),NA(), H158)</f>
        <v>0</v>
      </c>
      <c r="K220">
        <f>IF(ISNA(L220),NA(),K158)</f>
        <v>0</v>
      </c>
      <c r="L220">
        <f>IF(OR(L158="",AND(L158=L157,L158=L159)),NA(), L158)</f>
        <v>0</v>
      </c>
      <c r="M220">
        <f>IF(ISNA(N220),NA(),M158)</f>
        <v>0</v>
      </c>
      <c r="N220">
        <f>IF(OR(N158="",AND(N158=N157,N158=N159)),NA(), N158)</f>
        <v>0</v>
      </c>
    </row>
    <row r="221" spans="5:14">
      <c r="E221">
        <f>IF(ISNA(F221),NA(),E159)</f>
        <v>0</v>
      </c>
      <c r="F221">
        <f>IF(F159="",NA(),F159)</f>
        <v>0</v>
      </c>
      <c r="G221">
        <f>IF(ISNA(H221),NA(),G159)</f>
        <v>0</v>
      </c>
      <c r="H221">
        <f>IF(H159="",NA(),H159)</f>
        <v>0</v>
      </c>
      <c r="K221">
        <f>IF(ISNA(L221),NA(),K159)</f>
        <v>0</v>
      </c>
      <c r="L221">
        <f>IF(L159="",NA(),L159)</f>
        <v>0</v>
      </c>
      <c r="M221">
        <f>IF(ISNA(N221),NA(),M159)</f>
        <v>0</v>
      </c>
      <c r="N221">
        <f>IF(N159="",NA(),N159)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51</v>
      </c>
      <c r="F2" t="s">
        <v>53</v>
      </c>
    </row>
    <row r="3" spans="2:6">
      <c r="B3" s="2" t="s">
        <v>52</v>
      </c>
      <c r="F3" s="2" t="s">
        <v>19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2026-06-29T08:03:37Z</dcterms:created>
  <dcterms:modified xsi:type="dcterms:W3CDTF">2026-06-29T08:03:37Z</dcterms:modified>
</cp:coreProperties>
</file>