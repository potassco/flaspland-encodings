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<sst xmlns="http://schemas.openxmlformats.org/spreadsheetml/2006/main" count="203" uniqueCount="31">
  <si>
    <t>/Level_0</t>
  </si>
  <si>
    <t>/Level_1</t>
  </si>
  <si>
    <t>/Level_2</t>
  </si>
  <si>
    <t>/Level_3</t>
  </si>
  <si>
    <t>/Level_4</t>
  </si>
  <si>
    <t>/Level_5</t>
  </si>
  <si>
    <t>/Level_6</t>
  </si>
  <si>
    <t>/Level_7</t>
  </si>
  <si>
    <t>/Level_8</t>
  </si>
  <si>
    <t>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</si>
  <si>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</si>
  <si>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</si>
  <si>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</si>
  <si>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</si>
  <si>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</si>
  <si>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</si>
  <si>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</si>
  <si>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</si>
  <si>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clingodl-latest/default</t>
  </si>
  <si>
    <t>error</t>
  </si>
  <si>
    <t>mem</t>
  </si>
  <si>
    <t>memout</t>
  </si>
  <si>
    <t>par2</t>
  </si>
  <si>
    <t>rstatus</t>
  </si>
  <si>
    <t>execvp failed</t>
  </si>
  <si>
    <t>time</t>
  </si>
  <si>
    <t>timeout</t>
  </si>
  <si>
    <t>min</t>
  </si>
  <si>
    <t>median</t>
  </si>
  <si>
    <t>max</t>
  </si>
  <si>
    <t>Merge criteria: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</si>
</sst>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5" width="11.42578125" customWidth="1"/>
    <col min="6" max="6" width="12.85546875" customWidth="1"/>
    <col min="7" max="26" width="11.42578125" customWidth="1"/>
  </cols>
  <sheetData>
    <row r="1" spans="1:26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 t="s">
        <v>28</v>
      </c>
      <c r="P1" s="1"/>
      <c r="Q1" s="1"/>
      <c r="R1" s="1"/>
      <c r="S1" s="1"/>
      <c r="T1" s="1"/>
      <c r="U1" s="1" t="s">
        <v>29</v>
      </c>
      <c r="V1" s="1"/>
      <c r="W1" s="1"/>
      <c r="X1" s="1"/>
      <c r="Y1" s="1"/>
      <c r="Z1" s="1"/>
    </row>
    <row r="2" spans="1:26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25</v>
      </c>
      <c r="N2" s="1" t="s">
        <v>26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25</v>
      </c>
      <c r="T2" s="1" t="s">
        <v>26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25</v>
      </c>
      <c r="Z2" s="1" t="s">
        <v>26</v>
      </c>
    </row>
    <row r="3" spans="1:26">
      <c r="A3" s="1" t="s">
        <v>0</v>
      </c>
      <c r="B3" s="1">
        <v>1</v>
      </c>
      <c r="C3" s="1">
        <v>0</v>
      </c>
      <c r="D3" s="1">
        <v>0</v>
      </c>
      <c r="E3" s="1">
        <v>3600</v>
      </c>
      <c r="F3" s="1" t="s">
        <v>24</v>
      </c>
      <c r="G3" s="1">
        <v>1800</v>
      </c>
      <c r="H3" s="1">
        <v>1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>
        <v>1</v>
      </c>
      <c r="C4" s="1">
        <v>0</v>
      </c>
      <c r="D4" s="1">
        <v>0</v>
      </c>
      <c r="E4" s="1">
        <v>3600</v>
      </c>
      <c r="F4" s="1" t="s">
        <v>24</v>
      </c>
      <c r="G4" s="1">
        <v>1800</v>
      </c>
      <c r="H4" s="1">
        <v>1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>
        <v>1</v>
      </c>
      <c r="C5" s="1">
        <v>0</v>
      </c>
      <c r="D5" s="1">
        <v>0</v>
      </c>
      <c r="E5" s="1">
        <v>3600</v>
      </c>
      <c r="F5" s="1" t="s">
        <v>24</v>
      </c>
      <c r="G5" s="1">
        <v>1800</v>
      </c>
      <c r="H5" s="1">
        <v>1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>
        <v>1</v>
      </c>
      <c r="C6" s="1">
        <v>0</v>
      </c>
      <c r="D6" s="1">
        <v>0</v>
      </c>
      <c r="E6" s="1">
        <v>3600</v>
      </c>
      <c r="F6" s="1" t="s">
        <v>24</v>
      </c>
      <c r="G6" s="1">
        <v>1800</v>
      </c>
      <c r="H6" s="1">
        <v>1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>
        <v>1</v>
      </c>
      <c r="C7" s="1">
        <v>0</v>
      </c>
      <c r="D7" s="1">
        <v>0</v>
      </c>
      <c r="E7" s="1">
        <v>3600</v>
      </c>
      <c r="F7" s="1" t="s">
        <v>24</v>
      </c>
      <c r="G7" s="1">
        <v>1800</v>
      </c>
      <c r="H7" s="1">
        <v>1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>
        <v>1</v>
      </c>
      <c r="C8" s="1">
        <v>0</v>
      </c>
      <c r="D8" s="1">
        <v>0</v>
      </c>
      <c r="E8" s="1">
        <v>3600</v>
      </c>
      <c r="F8" s="1" t="s">
        <v>24</v>
      </c>
      <c r="G8" s="1">
        <v>1800</v>
      </c>
      <c r="H8" s="1">
        <v>1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>
        <v>1</v>
      </c>
      <c r="C9" s="1">
        <v>0</v>
      </c>
      <c r="D9" s="1">
        <v>0</v>
      </c>
      <c r="E9" s="1">
        <v>3600</v>
      </c>
      <c r="F9" s="1" t="s">
        <v>24</v>
      </c>
      <c r="G9" s="1">
        <v>1800</v>
      </c>
      <c r="H9" s="1">
        <v>1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>
        <v>1</v>
      </c>
      <c r="C10" s="1">
        <v>0</v>
      </c>
      <c r="D10" s="1">
        <v>0</v>
      </c>
      <c r="E10" s="1">
        <v>3600</v>
      </c>
      <c r="F10" s="1" t="s">
        <v>24</v>
      </c>
      <c r="G10" s="1">
        <v>1800</v>
      </c>
      <c r="H10" s="1">
        <v>1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>
        <v>1</v>
      </c>
      <c r="C11" s="1">
        <v>0</v>
      </c>
      <c r="D11" s="1">
        <v>0</v>
      </c>
      <c r="E11" s="1">
        <v>3600</v>
      </c>
      <c r="F11" s="1" t="s">
        <v>24</v>
      </c>
      <c r="G11" s="1">
        <v>1800</v>
      </c>
      <c r="H11" s="1">
        <v>1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>
        <v>1</v>
      </c>
      <c r="C12" s="1">
        <v>0</v>
      </c>
      <c r="D12" s="1">
        <v>0</v>
      </c>
      <c r="E12" s="1">
        <v>3600</v>
      </c>
      <c r="F12" s="1" t="s">
        <v>24</v>
      </c>
      <c r="G12" s="1">
        <v>1800</v>
      </c>
      <c r="H12" s="1">
        <v>1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0</v>
      </c>
      <c r="B13" s="1">
        <v>1</v>
      </c>
      <c r="C13" s="1">
        <v>0</v>
      </c>
      <c r="D13" s="1">
        <v>0</v>
      </c>
      <c r="E13" s="1">
        <v>3600</v>
      </c>
      <c r="F13" s="1" t="s">
        <v>24</v>
      </c>
      <c r="G13" s="1">
        <v>1800</v>
      </c>
      <c r="H13" s="1">
        <v>1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</v>
      </c>
      <c r="B14" s="1">
        <v>1</v>
      </c>
      <c r="C14" s="1">
        <v>0</v>
      </c>
      <c r="D14" s="1">
        <v>0</v>
      </c>
      <c r="E14" s="1">
        <v>3600</v>
      </c>
      <c r="F14" s="1" t="s">
        <v>24</v>
      </c>
      <c r="G14" s="1">
        <v>1800</v>
      </c>
      <c r="H14" s="1">
        <v>1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2</v>
      </c>
      <c r="B15" s="1">
        <v>1</v>
      </c>
      <c r="C15" s="1">
        <v>0</v>
      </c>
      <c r="D15" s="1">
        <v>0</v>
      </c>
      <c r="E15" s="1">
        <v>3600</v>
      </c>
      <c r="F15" s="1" t="s">
        <v>24</v>
      </c>
      <c r="G15" s="1">
        <v>1800</v>
      </c>
      <c r="H15" s="1">
        <v>1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3</v>
      </c>
      <c r="B16" s="1">
        <v>1</v>
      </c>
      <c r="C16" s="1">
        <v>0</v>
      </c>
      <c r="D16" s="1">
        <v>0</v>
      </c>
      <c r="E16" s="1">
        <v>3600</v>
      </c>
      <c r="F16" s="1" t="s">
        <v>24</v>
      </c>
      <c r="G16" s="1">
        <v>1800</v>
      </c>
      <c r="H16" s="1">
        <v>1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4</v>
      </c>
      <c r="B17" s="1">
        <v>1</v>
      </c>
      <c r="C17" s="1">
        <v>0</v>
      </c>
      <c r="D17" s="1">
        <v>0</v>
      </c>
      <c r="E17" s="1">
        <v>3600</v>
      </c>
      <c r="F17" s="1" t="s">
        <v>24</v>
      </c>
      <c r="G17" s="1">
        <v>1800</v>
      </c>
      <c r="H17" s="1">
        <v>1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5</v>
      </c>
      <c r="B18" s="1">
        <v>1</v>
      </c>
      <c r="C18" s="1">
        <v>0</v>
      </c>
      <c r="D18" s="1">
        <v>0</v>
      </c>
      <c r="E18" s="1">
        <v>3600</v>
      </c>
      <c r="F18" s="1" t="s">
        <v>24</v>
      </c>
      <c r="G18" s="1">
        <v>1800</v>
      </c>
      <c r="H18" s="1">
        <v>1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6</v>
      </c>
      <c r="B19" s="1">
        <v>1</v>
      </c>
      <c r="C19" s="1">
        <v>0</v>
      </c>
      <c r="D19" s="1">
        <v>0</v>
      </c>
      <c r="E19" s="1">
        <v>3600</v>
      </c>
      <c r="F19" s="1" t="s">
        <v>24</v>
      </c>
      <c r="G19" s="1">
        <v>1800</v>
      </c>
      <c r="H19" s="1">
        <v>1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7</v>
      </c>
      <c r="B20" s="1">
        <v>1</v>
      </c>
      <c r="C20" s="1">
        <v>0</v>
      </c>
      <c r="D20" s="1">
        <v>0</v>
      </c>
      <c r="E20" s="1">
        <v>3600</v>
      </c>
      <c r="F20" s="1" t="s">
        <v>24</v>
      </c>
      <c r="G20" s="1">
        <v>1800</v>
      </c>
      <c r="H20" s="1">
        <v>1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8</v>
      </c>
      <c r="B21" s="1">
        <v>1</v>
      </c>
      <c r="C21" s="1">
        <v>0</v>
      </c>
      <c r="D21" s="1">
        <v>0</v>
      </c>
      <c r="E21" s="1">
        <v>3600</v>
      </c>
      <c r="F21" s="1" t="s">
        <v>24</v>
      </c>
      <c r="G21" s="1">
        <v>1800</v>
      </c>
      <c r="H21" s="1">
        <v>1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9</v>
      </c>
      <c r="B22" s="1">
        <v>1</v>
      </c>
      <c r="C22" s="1">
        <v>0</v>
      </c>
      <c r="D22" s="1">
        <v>0</v>
      </c>
      <c r="E22" s="1">
        <v>3600</v>
      </c>
      <c r="F22" s="1" t="s">
        <v>24</v>
      </c>
      <c r="G22" s="1">
        <v>1800</v>
      </c>
      <c r="H22" s="1">
        <v>1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0</v>
      </c>
      <c r="B23" s="1">
        <v>1</v>
      </c>
      <c r="C23" s="1">
        <v>0</v>
      </c>
      <c r="D23" s="1">
        <v>0</v>
      </c>
      <c r="E23" s="1">
        <v>3600</v>
      </c>
      <c r="F23" s="1" t="s">
        <v>24</v>
      </c>
      <c r="G23" s="1">
        <v>1800</v>
      </c>
      <c r="H23" s="1">
        <v>1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1</v>
      </c>
      <c r="B24" s="1">
        <v>1</v>
      </c>
      <c r="C24" s="1">
        <v>0</v>
      </c>
      <c r="D24" s="1">
        <v>0</v>
      </c>
      <c r="E24" s="1">
        <v>3600</v>
      </c>
      <c r="F24" s="1" t="s">
        <v>24</v>
      </c>
      <c r="G24" s="1">
        <v>1800</v>
      </c>
      <c r="H24" s="1">
        <v>1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</v>
      </c>
      <c r="B25" s="1">
        <v>1</v>
      </c>
      <c r="C25" s="1">
        <v>0</v>
      </c>
      <c r="D25" s="1">
        <v>0</v>
      </c>
      <c r="E25" s="1">
        <v>3600</v>
      </c>
      <c r="F25" s="1" t="s">
        <v>24</v>
      </c>
      <c r="G25" s="1">
        <v>1800</v>
      </c>
      <c r="H25" s="1">
        <v>1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3</v>
      </c>
      <c r="B26" s="1">
        <v>1</v>
      </c>
      <c r="C26" s="1">
        <v>0</v>
      </c>
      <c r="D26" s="1">
        <v>0</v>
      </c>
      <c r="E26" s="1">
        <v>3600</v>
      </c>
      <c r="F26" s="1" t="s">
        <v>24</v>
      </c>
      <c r="G26" s="1">
        <v>1800</v>
      </c>
      <c r="H26" s="1">
        <v>1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4</v>
      </c>
      <c r="B27" s="1">
        <v>1</v>
      </c>
      <c r="C27" s="1">
        <v>0</v>
      </c>
      <c r="D27" s="1">
        <v>0</v>
      </c>
      <c r="E27" s="1">
        <v>3600</v>
      </c>
      <c r="F27" s="1" t="s">
        <v>24</v>
      </c>
      <c r="G27" s="1">
        <v>1800</v>
      </c>
      <c r="H27" s="1">
        <v>1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5</v>
      </c>
      <c r="B28" s="1">
        <v>1</v>
      </c>
      <c r="C28" s="1">
        <v>0</v>
      </c>
      <c r="D28" s="1">
        <v>0</v>
      </c>
      <c r="E28" s="1">
        <v>3600</v>
      </c>
      <c r="F28" s="1" t="s">
        <v>24</v>
      </c>
      <c r="G28" s="1">
        <v>1800</v>
      </c>
      <c r="H28" s="1">
        <v>1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6</v>
      </c>
      <c r="B29" s="1">
        <v>1</v>
      </c>
      <c r="C29" s="1">
        <v>0</v>
      </c>
      <c r="D29" s="1">
        <v>0</v>
      </c>
      <c r="E29" s="1">
        <v>3600</v>
      </c>
      <c r="F29" s="1" t="s">
        <v>24</v>
      </c>
      <c r="G29" s="1">
        <v>1800</v>
      </c>
      <c r="H29" s="1">
        <v>1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7</v>
      </c>
      <c r="B30" s="1">
        <v>1</v>
      </c>
      <c r="C30" s="1">
        <v>0</v>
      </c>
      <c r="D30" s="1">
        <v>0</v>
      </c>
      <c r="E30" s="1">
        <v>3600</v>
      </c>
      <c r="F30" s="1" t="s">
        <v>24</v>
      </c>
      <c r="G30" s="1">
        <v>1800</v>
      </c>
      <c r="H30" s="1">
        <v>1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8</v>
      </c>
      <c r="B31" s="1">
        <v>1</v>
      </c>
      <c r="C31" s="1">
        <v>0</v>
      </c>
      <c r="D31" s="1">
        <v>0</v>
      </c>
      <c r="E31" s="1">
        <v>3600</v>
      </c>
      <c r="F31" s="1" t="s">
        <v>24</v>
      </c>
      <c r="G31" s="1">
        <v>1800</v>
      </c>
      <c r="H31" s="1">
        <v>1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9</v>
      </c>
      <c r="B32" s="1">
        <v>1</v>
      </c>
      <c r="C32" s="1">
        <v>0</v>
      </c>
      <c r="D32" s="1">
        <v>0</v>
      </c>
      <c r="E32" s="1">
        <v>3600</v>
      </c>
      <c r="F32" s="1" t="s">
        <v>24</v>
      </c>
      <c r="G32" s="1">
        <v>1800</v>
      </c>
      <c r="H32" s="1">
        <v>1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/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>
        <f>SUM(L$3:L$32)</f>
        <v>0</v>
      </c>
      <c r="M34" s="1">
        <f>SUM(M$3:M$32)</f>
        <v>0</v>
      </c>
      <c r="N34" s="1">
        <f>SUM(N$3:N$32)</f>
        <v>0</v>
      </c>
      <c r="O34" s="1">
        <f>SUM(O$3:O$32)</f>
        <v>0</v>
      </c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</row>
    <row r="35" spans="1:26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/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>
        <f>AVERAGE(L$3:L$32)</f>
        <v>0</v>
      </c>
      <c r="M35" s="1">
        <f>AVERAGE(M$3:M$32)</f>
        <v>0</v>
      </c>
      <c r="N35" s="1">
        <f>AVERAGE(N$3:N$32)</f>
        <v>0</v>
      </c>
      <c r="O35" s="1">
        <f>AVERAGE(O$3:O$32)</f>
        <v>0</v>
      </c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</row>
    <row r="36" spans="1:26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/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>
        <f>STDEV(L$3:L$32)</f>
        <v>0</v>
      </c>
      <c r="M36" s="1">
        <f>STDEV(M$3:M$32)</f>
        <v>0</v>
      </c>
      <c r="N36" s="1">
        <f>STDEV(N$3:N$32)</f>
        <v>0</v>
      </c>
      <c r="O36" s="1">
        <f>STDEV(O$3:O$32)</f>
        <v>0</v>
      </c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</row>
    <row r="37" spans="1:26">
      <c r="A37" s="1" t="s">
        <v>13</v>
      </c>
      <c r="B37" s="1">
        <f>SUMPRODUCT(--(B$3:B$32-$I$3:$I$32)^2)^0.5</f>
        <v>0</v>
      </c>
      <c r="C37" s="1">
        <f>SUMPRODUCT(--(C$3:C$32-$J$3:$J$32)^2)^0.5</f>
        <v>0</v>
      </c>
      <c r="D37" s="1">
        <f>SUMPRODUCT(--(D$3:D$32-$K$3:$K$32)^2)^0.5</f>
        <v>0</v>
      </c>
      <c r="E37" s="1">
        <f>SUMPRODUCT(--(E$3:E$32-$L$3:$L$32)^2)^0.5</f>
        <v>0</v>
      </c>
      <c r="F37" s="1"/>
      <c r="G37" s="1">
        <f>SUMPRODUCT(--(G$3:G$32-$M$3:$M$32)^2)^0.5</f>
        <v>0</v>
      </c>
      <c r="H37" s="1">
        <f>SUMPRODUCT(--(H$3:H$32-$N$3:$N$32)^2)^0.5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14</v>
      </c>
      <c r="B38" s="1">
        <f>SUMPRODUCT(NOT(ISBLANK(B$3:B$32))*(B$3:B$32=$I$3:$I$32))</f>
        <v>0</v>
      </c>
      <c r="C38" s="1">
        <f>SUMPRODUCT(NOT(ISBLANK(C$3:C$32))*(C$3:C$32=$J$3:$J$32))</f>
        <v>0</v>
      </c>
      <c r="D38" s="1">
        <f>SUMPRODUCT(NOT(ISBLANK(D$3:D$32))*(D$3:D$32=$K$3:$K$32))</f>
        <v>0</v>
      </c>
      <c r="E38" s="1">
        <f>SUMPRODUCT(NOT(ISBLANK(E$3:E$32))*(E$3:E$32=$L$3:$L$32))</f>
        <v>0</v>
      </c>
      <c r="F38" s="1"/>
      <c r="G38" s="1">
        <f>SUMPRODUCT(NOT(ISBLANK(G$3:G$32))*(G$3:G$32=$M$3:$M$32))</f>
        <v>0</v>
      </c>
      <c r="H38" s="1">
        <f>SUMPRODUCT(NOT(ISBLANK(H$3:H$32))*(H$3:H$32=$N$3:$N$32))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f>SUMPRODUCT(NOT(ISBLANK(B$3:B$32))*(B$3:B$32&lt;$O$3:$O$32))</f>
        <v>0</v>
      </c>
      <c r="C39" s="1">
        <f>SUMPRODUCT(NOT(ISBLANK(C$3:C$32))*(C$3:C$32&lt;$P$3:$P$32))</f>
        <v>0</v>
      </c>
      <c r="D39" s="1">
        <f>SUMPRODUCT(NOT(ISBLANK(D$3:D$32))*(D$3:D$32&lt;$Q$3:$Q$32))</f>
        <v>0</v>
      </c>
      <c r="E39" s="1">
        <f>SUMPRODUCT(NOT(ISBLANK(E$3:E$32))*(E$3:E$32&lt;$R$3:$R$32))</f>
        <v>0</v>
      </c>
      <c r="F39" s="1"/>
      <c r="G39" s="1">
        <f>SUMPRODUCT(NOT(ISBLANK(G$3:G$32))*(G$3:G$32&lt;$S$3:$S$32))</f>
        <v>0</v>
      </c>
      <c r="H39" s="1">
        <f>SUMPRODUCT(NOT(ISBLANK(H$3:H$32))*(H$3:H$32&lt;$T$3:$T$32))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16</v>
      </c>
      <c r="B40" s="1">
        <f>SUMPRODUCT((NOT(ISBLANK(B$3:B$32))*(B$3:B$32&gt;$O$3:$O$32))+ISBLANK(B$3:B$32))</f>
        <v>0</v>
      </c>
      <c r="C40" s="1">
        <f>SUMPRODUCT((NOT(ISBLANK(C$3:C$32))*(C$3:C$32&gt;$P$3:$P$32))+ISBLANK(C$3:C$32))</f>
        <v>0</v>
      </c>
      <c r="D40" s="1">
        <f>SUMPRODUCT((NOT(ISBLANK(D$3:D$32))*(D$3:D$32&gt;$Q$3:$Q$32))+ISBLANK(D$3:D$32))</f>
        <v>0</v>
      </c>
      <c r="E40" s="1">
        <f>SUMPRODUCT((NOT(ISBLANK(E$3:E$32))*(E$3:E$32&gt;$R$3:$R$32))+ISBLANK(E$3:E$32))</f>
        <v>0</v>
      </c>
      <c r="F40" s="1"/>
      <c r="G40" s="1">
        <f>SUMPRODUCT((NOT(ISBLANK(G$3:G$32))*(G$3:G$32&gt;$S$3:$S$32))+ISBLANK(G$3:G$32))</f>
        <v>0</v>
      </c>
      <c r="H40" s="1">
        <f>SUMPRODUCT((NOT(ISBLANK(H$3:H$32))*(H$3:H$32&gt;$T$3:$T$32))+ISBLANK(H$3:H$32))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17</v>
      </c>
      <c r="B41" s="1">
        <f>SUMPRODUCT((NOT(ISBLANK(B$3:B$32))*(B$3:B$32=$U$3:$U$32))+ISBLANK(B$3:B$32))</f>
        <v>0</v>
      </c>
      <c r="C41" s="1">
        <f>SUMPRODUCT((NOT(ISBLANK(C$3:C$32))*(C$3:C$32=$V$3:$V$32))+ISBLANK(C$3:C$32))</f>
        <v>0</v>
      </c>
      <c r="D41" s="1">
        <f>SUMPRODUCT((NOT(ISBLANK(D$3:D$32))*(D$3:D$32=$W$3:$W$32))+ISBLANK(D$3:D$32))</f>
        <v>0</v>
      </c>
      <c r="E41" s="1">
        <f>SUMPRODUCT((NOT(ISBLANK(E$3:E$32))*(E$3:E$32=$X$3:$X$32))+ISBLANK(E$3:E$32))</f>
        <v>0</v>
      </c>
      <c r="F41" s="1"/>
      <c r="G41" s="1">
        <f>SUMPRODUCT((NOT(ISBLANK(G$3:G$32))*(G$3:G$32=$Y$3:$Y$32))+ISBLANK(G$3:G$32))</f>
        <v>0</v>
      </c>
      <c r="H41" s="1">
        <f>SUMPRODUCT((NOT(ISBLANK(H$3:H$32))*(H$3:H$32=$Z$3:$Z$32))+ISBLANK(H$3:H$32))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 t="s">
        <v>30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 t="s">
        <v>28</v>
      </c>
      <c r="P1" s="1"/>
      <c r="Q1" s="1"/>
      <c r="R1" s="1"/>
      <c r="S1" s="1"/>
      <c r="T1" s="1"/>
      <c r="U1" s="1" t="s">
        <v>29</v>
      </c>
      <c r="V1" s="1"/>
      <c r="W1" s="1"/>
      <c r="X1" s="1"/>
      <c r="Y1" s="1"/>
      <c r="Z1" s="1"/>
    </row>
    <row r="2" spans="1:26">
      <c r="A2" s="2" t="s">
        <v>28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25</v>
      </c>
      <c r="N2" s="1" t="s">
        <v>26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25</v>
      </c>
      <c r="T2" s="1" t="s">
        <v>26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25</v>
      </c>
      <c r="Z2" s="1" t="s">
        <v>26</v>
      </c>
    </row>
    <row r="3" spans="1:2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/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/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/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/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/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/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/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/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/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/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/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/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/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>
        <f>SUM(L$3:L$32)</f>
        <v>0</v>
      </c>
      <c r="M34" s="1">
        <f>SUM(M$3:M$32)</f>
        <v>0</v>
      </c>
      <c r="N34" s="1">
        <f>SUM(N$3:N$32)</f>
        <v>0</v>
      </c>
      <c r="O34" s="1">
        <f>SUM(O$3:O$32)</f>
        <v>0</v>
      </c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</row>
    <row r="35" spans="1:26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/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>
        <f>AVERAGE(L$3:L$32)</f>
        <v>0</v>
      </c>
      <c r="M35" s="1">
        <f>AVERAGE(M$3:M$32)</f>
        <v>0</v>
      </c>
      <c r="N35" s="1">
        <f>AVERAGE(N$3:N$32)</f>
        <v>0</v>
      </c>
      <c r="O35" s="1">
        <f>AVERAGE(O$3:O$32)</f>
        <v>0</v>
      </c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</row>
    <row r="36" spans="1:26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/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>
        <f>STDEV(L$3:L$32)</f>
        <v>0</v>
      </c>
      <c r="M36" s="1">
        <f>STDEV(M$3:M$32)</f>
        <v>0</v>
      </c>
      <c r="N36" s="1">
        <f>STDEV(N$3:N$32)</f>
        <v>0</v>
      </c>
      <c r="O36" s="1">
        <f>STDEV(O$3:O$32)</f>
        <v>0</v>
      </c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</row>
    <row r="37" spans="1:26">
      <c r="A37" s="1" t="s">
        <v>13</v>
      </c>
      <c r="B37" s="1">
        <f>SUMPRODUCT(--(B$3:B$32-$I$3:$I$32)^2)^0.5</f>
        <v>0</v>
      </c>
      <c r="C37" s="1">
        <f>SUMPRODUCT(--(C$3:C$32-$J$3:$J$32)^2)^0.5</f>
        <v>0</v>
      </c>
      <c r="D37" s="1">
        <f>SUMPRODUCT(--(D$3:D$32-$K$3:$K$32)^2)^0.5</f>
        <v>0</v>
      </c>
      <c r="E37" s="1">
        <f>SUMPRODUCT(--(E$3:E$32-$L$3:$L$32)^2)^0.5</f>
        <v>0</v>
      </c>
      <c r="F37" s="1"/>
      <c r="G37" s="1">
        <f>SUMPRODUCT(--(G$3:G$32-$M$3:$M$32)^2)^0.5</f>
        <v>0</v>
      </c>
      <c r="H37" s="1">
        <f>SUMPRODUCT(--(H$3:H$32-$N$3:$N$32)^2)^0.5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14</v>
      </c>
      <c r="B38" s="1">
        <f>SUMPRODUCT(NOT(ISBLANK(B$3:B$32))*(B$3:B$32=$I$3:$I$32))</f>
        <v>0</v>
      </c>
      <c r="C38" s="1">
        <f>SUMPRODUCT(NOT(ISBLANK(C$3:C$32))*(C$3:C$32=$J$3:$J$32))</f>
        <v>0</v>
      </c>
      <c r="D38" s="1">
        <f>SUMPRODUCT(NOT(ISBLANK(D$3:D$32))*(D$3:D$32=$K$3:$K$32))</f>
        <v>0</v>
      </c>
      <c r="E38" s="1">
        <f>SUMPRODUCT(NOT(ISBLANK(E$3:E$32))*(E$3:E$32=$L$3:$L$32))</f>
        <v>0</v>
      </c>
      <c r="F38" s="1"/>
      <c r="G38" s="1">
        <f>SUMPRODUCT(NOT(ISBLANK(G$3:G$32))*(G$3:G$32=$M$3:$M$32))</f>
        <v>0</v>
      </c>
      <c r="H38" s="1">
        <f>SUMPRODUCT(NOT(ISBLANK(H$3:H$32))*(H$3:H$32=$N$3:$N$32))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f>SUMPRODUCT(NOT(ISBLANK(B$3:B$32))*(B$3:B$32&lt;$O$3:$O$32))</f>
        <v>0</v>
      </c>
      <c r="C39" s="1">
        <f>SUMPRODUCT(NOT(ISBLANK(C$3:C$32))*(C$3:C$32&lt;$P$3:$P$32))</f>
        <v>0</v>
      </c>
      <c r="D39" s="1">
        <f>SUMPRODUCT(NOT(ISBLANK(D$3:D$32))*(D$3:D$32&lt;$Q$3:$Q$32))</f>
        <v>0</v>
      </c>
      <c r="E39" s="1">
        <f>SUMPRODUCT(NOT(ISBLANK(E$3:E$32))*(E$3:E$32&lt;$R$3:$R$32))</f>
        <v>0</v>
      </c>
      <c r="F39" s="1"/>
      <c r="G39" s="1">
        <f>SUMPRODUCT(NOT(ISBLANK(G$3:G$32))*(G$3:G$32&lt;$S$3:$S$32))</f>
        <v>0</v>
      </c>
      <c r="H39" s="1">
        <f>SUMPRODUCT(NOT(ISBLANK(H$3:H$32))*(H$3:H$32&lt;$T$3:$T$32))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16</v>
      </c>
      <c r="B40" s="1">
        <f>SUMPRODUCT((NOT(ISBLANK(B$3:B$32))*(B$3:B$32&gt;$O$3:$O$32))+ISBLANK(B$3:B$32))</f>
        <v>0</v>
      </c>
      <c r="C40" s="1">
        <f>SUMPRODUCT((NOT(ISBLANK(C$3:C$32))*(C$3:C$32&gt;$P$3:$P$32))+ISBLANK(C$3:C$32))</f>
        <v>0</v>
      </c>
      <c r="D40" s="1">
        <f>SUMPRODUCT((NOT(ISBLANK(D$3:D$32))*(D$3:D$32&gt;$Q$3:$Q$32))+ISBLANK(D$3:D$32))</f>
        <v>0</v>
      </c>
      <c r="E40" s="1">
        <f>SUMPRODUCT((NOT(ISBLANK(E$3:E$32))*(E$3:E$32&gt;$R$3:$R$32))+ISBLANK(E$3:E$32))</f>
        <v>0</v>
      </c>
      <c r="F40" s="1"/>
      <c r="G40" s="1">
        <f>SUMPRODUCT((NOT(ISBLANK(G$3:G$32))*(G$3:G$32&gt;$S$3:$S$32))+ISBLANK(G$3:G$32))</f>
        <v>0</v>
      </c>
      <c r="H40" s="1">
        <f>SUMPRODUCT((NOT(ISBLANK(H$3:H$32))*(H$3:H$32&gt;$T$3:$T$32))+ISBLANK(H$3:H$32))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17</v>
      </c>
      <c r="B41" s="1">
        <f>SUMPRODUCT((NOT(ISBLANK(B$3:B$32))*(B$3:B$32=$U$3:$U$32))+ISBLANK(B$3:B$32))</f>
        <v>0</v>
      </c>
      <c r="C41" s="1">
        <f>SUMPRODUCT((NOT(ISBLANK(C$3:C$32))*(C$3:C$32=$V$3:$V$32))+ISBLANK(C$3:C$32))</f>
        <v>0</v>
      </c>
      <c r="D41" s="1">
        <f>SUMPRODUCT((NOT(ISBLANK(D$3:D$32))*(D$3:D$32=$W$3:$W$32))+ISBLANK(D$3:D$32))</f>
        <v>0</v>
      </c>
      <c r="E41" s="1">
        <f>SUMPRODUCT((NOT(ISBLANK(E$3:E$32))*(E$3:E$32=$X$3:$X$32))+ISBLANK(E$3:E$32))</f>
        <v>0</v>
      </c>
      <c r="F41" s="1"/>
      <c r="G41" s="1">
        <f>SUMPRODUCT((NOT(ISBLANK(G$3:G$32))*(G$3:G$32=$Y$3:$Y$32))+ISBLANK(G$3:G$32))</f>
        <v>0</v>
      </c>
      <c r="H41" s="1">
        <f>SUMPRODUCT((NOT(ISBLANK(H$3:H$32))*(H$3:H$32=$Z$3:$Z$32))+ISBLANK(H$3:H$32))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 t="s">
        <v>28</v>
      </c>
      <c r="P1" s="1"/>
      <c r="Q1" s="1"/>
      <c r="R1" s="1"/>
      <c r="S1" s="1"/>
      <c r="T1" s="1"/>
      <c r="U1" s="1" t="s">
        <v>29</v>
      </c>
      <c r="V1" s="1"/>
      <c r="W1" s="1"/>
      <c r="X1" s="1"/>
      <c r="Y1" s="1"/>
      <c r="Z1" s="1"/>
    </row>
    <row r="2" spans="1:26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25</v>
      </c>
      <c r="N2" s="1" t="s">
        <v>26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25</v>
      </c>
      <c r="T2" s="1" t="s">
        <v>26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25</v>
      </c>
      <c r="Z2" s="1" t="s">
        <v>26</v>
      </c>
    </row>
    <row r="3" spans="1:26">
      <c r="A3" s="1"/>
      <c r="B3" s="1">
        <f>AVERAGE(Instances!B3:Instances!B12)</f>
        <v>0</v>
      </c>
      <c r="C3" s="1">
        <f>AVERAGE(Instances!C3:Instances!C12)</f>
        <v>0</v>
      </c>
      <c r="D3" s="1">
        <f>AVERAGE(Instances!D3:Instances!D12)</f>
        <v>0</v>
      </c>
      <c r="E3" s="1">
        <f>AVERAGE(Instances!E3:Instances!E12)</f>
        <v>0</v>
      </c>
      <c r="F3" s="1"/>
      <c r="G3" s="1">
        <f>AVERAGE(Instances!G3:Instances!G12)</f>
        <v>0</v>
      </c>
      <c r="H3" s="1">
        <f>SUM(Instances!H3:Instances!H12)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/>
      <c r="B4" s="1">
        <f>AVERAGE(Instances!B13:Instances!B22)</f>
        <v>0</v>
      </c>
      <c r="C4" s="1">
        <f>AVERAGE(Instances!C13:Instances!C22)</f>
        <v>0</v>
      </c>
      <c r="D4" s="1">
        <f>AVERAGE(Instances!D13:Instances!D22)</f>
        <v>0</v>
      </c>
      <c r="E4" s="1">
        <f>AVERAGE(Instances!E13:Instances!E22)</f>
        <v>0</v>
      </c>
      <c r="F4" s="1"/>
      <c r="G4" s="1">
        <f>AVERAGE(Instances!G13:Instances!G22)</f>
        <v>0</v>
      </c>
      <c r="H4" s="1">
        <f>SUM(Instances!H13:Instances!H22)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/>
      <c r="B5" s="1">
        <f>AVERAGE(Instances!B23:Instances!B32)</f>
        <v>0</v>
      </c>
      <c r="C5" s="1">
        <f>AVERAGE(Instances!C23:Instances!C32)</f>
        <v>0</v>
      </c>
      <c r="D5" s="1">
        <f>AVERAGE(Instances!D23:Instances!D32)</f>
        <v>0</v>
      </c>
      <c r="E5" s="1">
        <f>AVERAGE(Instances!E23:Instances!E32)</f>
        <v>0</v>
      </c>
      <c r="F5" s="1"/>
      <c r="G5" s="1">
        <f>AVERAGE(Instances!G23:Instances!G32)</f>
        <v>0</v>
      </c>
      <c r="H5" s="1">
        <f>SUM(Instances!H23:Instances!H32)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10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/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</row>
    <row r="8" spans="1:26">
      <c r="A8" s="1" t="s">
        <v>11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/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</row>
    <row r="9" spans="1:26">
      <c r="A9" s="1" t="s">
        <v>12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/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</row>
    <row r="10" spans="1:26">
      <c r="A10" s="1" t="s">
        <v>13</v>
      </c>
      <c r="B10" s="1">
        <f>SUMPRODUCT(--(B$3:B$5-$I$3:$I$5)^2)^0.5</f>
        <v>0</v>
      </c>
      <c r="C10" s="1">
        <f>SUMPRODUCT(--(C$3:C$5-$J$3:$J$5)^2)^0.5</f>
        <v>0</v>
      </c>
      <c r="D10" s="1">
        <f>SUMPRODUCT(--(D$3:D$5-$K$3:$K$5)^2)^0.5</f>
        <v>0</v>
      </c>
      <c r="E10" s="1">
        <f>SUMPRODUCT(--(E$3:E$5-$L$3:$L$5)^2)^0.5</f>
        <v>0</v>
      </c>
      <c r="F10" s="1"/>
      <c r="G10" s="1">
        <f>SUMPRODUCT(--(G$3:G$5-$M$3:$M$5)^2)^0.5</f>
        <v>0</v>
      </c>
      <c r="H10" s="1">
        <f>SUMPRODUCT(--(H$3:H$5-$N$3:$N$5)^2)^0.5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14</v>
      </c>
      <c r="B11" s="1">
        <f>SUMPRODUCT(NOT(ISBLANK(B$3:B$5))*(B$3:B$5=$I$3:$I$5))</f>
        <v>0</v>
      </c>
      <c r="C11" s="1">
        <f>SUMPRODUCT(NOT(ISBLANK(C$3:C$5))*(C$3:C$5=$J$3:$J$5))</f>
        <v>0</v>
      </c>
      <c r="D11" s="1">
        <f>SUMPRODUCT(NOT(ISBLANK(D$3:D$5))*(D$3:D$5=$K$3:$K$5))</f>
        <v>0</v>
      </c>
      <c r="E11" s="1">
        <f>SUMPRODUCT(NOT(ISBLANK(E$3:E$5))*(E$3:E$5=$L$3:$L$5))</f>
        <v>0</v>
      </c>
      <c r="F11" s="1"/>
      <c r="G11" s="1">
        <f>SUMPRODUCT(NOT(ISBLANK(G$3:G$5))*(G$3:G$5=$M$3:$M$5))</f>
        <v>0</v>
      </c>
      <c r="H11" s="1">
        <f>SUMPRODUCT(NOT(ISBLANK(H$3:H$5))*(H$3:H$5=$N$3:$N$5))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15</v>
      </c>
      <c r="B12" s="1">
        <f>SUMPRODUCT(NOT(ISBLANK(B$3:B$5))*(B$3:B$5&lt;$O$3:$O$5))</f>
        <v>0</v>
      </c>
      <c r="C12" s="1">
        <f>SUMPRODUCT(NOT(ISBLANK(C$3:C$5))*(C$3:C$5&lt;$P$3:$P$5))</f>
        <v>0</v>
      </c>
      <c r="D12" s="1">
        <f>SUMPRODUCT(NOT(ISBLANK(D$3:D$5))*(D$3:D$5&lt;$Q$3:$Q$5))</f>
        <v>0</v>
      </c>
      <c r="E12" s="1">
        <f>SUMPRODUCT(NOT(ISBLANK(E$3:E$5))*(E$3:E$5&lt;$R$3:$R$5))</f>
        <v>0</v>
      </c>
      <c r="F12" s="1"/>
      <c r="G12" s="1">
        <f>SUMPRODUCT(NOT(ISBLANK(G$3:G$5))*(G$3:G$5&lt;$S$3:$S$5))</f>
        <v>0</v>
      </c>
      <c r="H12" s="1">
        <f>SUMPRODUCT(NOT(ISBLANK(H$3:H$5))*(H$3:H$5&lt;$T$3:$T$5))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16</v>
      </c>
      <c r="B13" s="1">
        <f>SUMPRODUCT((NOT(ISBLANK(B$3:B$5))*(B$3:B$5&gt;$O$3:$O$5))+ISBLANK(B$3:B$5))</f>
        <v>0</v>
      </c>
      <c r="C13" s="1">
        <f>SUMPRODUCT((NOT(ISBLANK(C$3:C$5))*(C$3:C$5&gt;$P$3:$P$5))+ISBLANK(C$3:C$5))</f>
        <v>0</v>
      </c>
      <c r="D13" s="1">
        <f>SUMPRODUCT((NOT(ISBLANK(D$3:D$5))*(D$3:D$5&gt;$Q$3:$Q$5))+ISBLANK(D$3:D$5))</f>
        <v>0</v>
      </c>
      <c r="E13" s="1">
        <f>SUMPRODUCT((NOT(ISBLANK(E$3:E$5))*(E$3:E$5&gt;$R$3:$R$5))+ISBLANK(E$3:E$5))</f>
        <v>0</v>
      </c>
      <c r="F13" s="1"/>
      <c r="G13" s="1">
        <f>SUMPRODUCT((NOT(ISBLANK(G$3:G$5))*(G$3:G$5&gt;$S$3:$S$5))+ISBLANK(G$3:G$5))</f>
        <v>0</v>
      </c>
      <c r="H13" s="1">
        <f>SUMPRODUCT((NOT(ISBLANK(H$3:H$5))*(H$3:H$5&gt;$T$3:$T$5))+ISBLANK(H$3:H$5))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17</v>
      </c>
      <c r="B14" s="1">
        <f>SUMPRODUCT((NOT(ISBLANK(B$3:B$5))*(B$3:B$5=$U$3:$U$5))+ISBLANK(B$3:B$5))</f>
        <v>0</v>
      </c>
      <c r="C14" s="1">
        <f>SUMPRODUCT((NOT(ISBLANK(C$3:C$5))*(C$3:C$5=$V$3:$V$5))+ISBLANK(C$3:C$5))</f>
        <v>0</v>
      </c>
      <c r="D14" s="1">
        <f>SUMPRODUCT((NOT(ISBLANK(D$3:D$5))*(D$3:D$5=$W$3:$W$5))+ISBLANK(D$3:D$5))</f>
        <v>0</v>
      </c>
      <c r="E14" s="1">
        <f>SUMPRODUCT((NOT(ISBLANK(E$3:E$5))*(E$3:E$5=$X$3:$X$5))+ISBLANK(E$3:E$5))</f>
        <v>0</v>
      </c>
      <c r="F14" s="1"/>
      <c r="G14" s="1">
        <f>SUMPRODUCT((NOT(ISBLANK(G$3:G$5))*(G$3:G$5=$Y$3:$Y$5))+ISBLANK(G$3:G$5))</f>
        <v>0</v>
      </c>
      <c r="H14" s="1">
        <f>SUMPRODUCT((NOT(ISBLANK(H$3:H$5))*(H$3:H$5=$Z$3:$Z$5))+ISBLANK(H$3:H$5))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2026-07-15T09:22:35Z</dcterms:created>
  <dcterms:modified xsi:type="dcterms:W3CDTF">2026-07-15T09:22:35Z</dcterms:modified>
</cp:coreProperties>
</file>