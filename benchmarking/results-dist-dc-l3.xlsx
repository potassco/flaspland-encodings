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<sst xmlns="http://schemas.openxmlformats.org/spreadsheetml/2006/main" count="595" uniqueCount="177">
  <si>
    <t>./10-145162646848673</t>
  </si>
  <si>
    <t>./10-17630975493234</t>
  </si>
  <si>
    <t>./10-18708915822629</t>
  </si>
  <si>
    <t>./10-282093612040832</t>
  </si>
  <si>
    <t>./10-283712654672237</t>
  </si>
  <si>
    <t>./10-611399871496200</t>
  </si>
  <si>
    <t>./10-703945206928000</t>
  </si>
  <si>
    <t>./11-142936786347061</t>
  </si>
  <si>
    <t>./11-142992641884424</t>
  </si>
  <si>
    <t>./11-302094043054658</t>
  </si>
  <si>
    <t>./11-563345380114560</t>
  </si>
  <si>
    <t>./11-567405982269522</t>
  </si>
  <si>
    <t>./11-571385269453832</t>
  </si>
  <si>
    <t>./11-810374446711170</t>
  </si>
  <si>
    <t>./12-189666869380232</t>
  </si>
  <si>
    <t>./12-2519275178260</t>
  </si>
  <si>
    <t>./12-3790376017930</t>
  </si>
  <si>
    <t>./12-399125136932878</t>
  </si>
  <si>
    <t>./12-404725658288384</t>
  </si>
  <si>
    <t>./12-576148478132417</t>
  </si>
  <si>
    <t>./12-758051023945728</t>
  </si>
  <si>
    <t>./13-146097676099682</t>
  </si>
  <si>
    <t>./13-148984098980483</t>
  </si>
  <si>
    <t>./13-217846278128642</t>
  </si>
  <si>
    <t>./13-599247263146059</t>
  </si>
  <si>
    <t>./13-74777697989732</t>
  </si>
  <si>
    <t>./13-74809879310603</t>
  </si>
  <si>
    <t>./13-962351680519</t>
  </si>
  <si>
    <t>./14-38633264383335</t>
  </si>
  <si>
    <t>./14-392536406398272</t>
  </si>
  <si>
    <t>./14-43982080788289</t>
  </si>
  <si>
    <t>./14-58551330414606</t>
  </si>
  <si>
    <t>./14-635537048243893</t>
  </si>
  <si>
    <t>./14-637730811827716</t>
  </si>
  <si>
    <t>./14-92947393577832</t>
  </si>
  <si>
    <t>./5-1100321132544</t>
  </si>
  <si>
    <t>./5-146029430784</t>
  </si>
  <si>
    <t>./5-17179942978</t>
  </si>
  <si>
    <t>./5-17592194703368</t>
  </si>
  <si>
    <t>./5-281474978818064</t>
  </si>
  <si>
    <t>./5-335552532</t>
  </si>
  <si>
    <t>./5-558345945090</t>
  </si>
  <si>
    <t>./6-137439054337</t>
  </si>
  <si>
    <t>./6-145208549310656</t>
  </si>
  <si>
    <t>./6-17609366438082</t>
  </si>
  <si>
    <t>./6-17626562560290</t>
  </si>
  <si>
    <t>./6-37418294050817</t>
  </si>
  <si>
    <t>./6-4471069344064</t>
  </si>
  <si>
    <t>./6-69634048</t>
  </si>
  <si>
    <t>./7-1101661749282</t>
  </si>
  <si>
    <t>./7-140879423602976</t>
  </si>
  <si>
    <t>./7-176755218333696</t>
  </si>
  <si>
    <t>./7-3298673296418</t>
  </si>
  <si>
    <t>./7-35193029141522</t>
  </si>
  <si>
    <t>./7-634486937100304</t>
  </si>
  <si>
    <t>./7-9363297141265</t>
  </si>
  <si>
    <t>./8-18143284056069</t>
  </si>
  <si>
    <t>./8-22011724181508</t>
  </si>
  <si>
    <t>./8-281560881349120</t>
  </si>
  <si>
    <t>./8-3299077136512</t>
  </si>
  <si>
    <t>./8-429530333232</t>
  </si>
  <si>
    <t>./8-43980600905824</t>
  </si>
  <si>
    <t>./8-71476980058116</t>
  </si>
  <si>
    <t>./9-24190161797122</t>
  </si>
  <si>
    <t>./9-313802227812</t>
  </si>
  <si>
    <t>./9-38839287850</t>
  </si>
  <si>
    <t>./9-44256467435520</t>
  </si>
  <si>
    <t>./9-563224877532256</t>
  </si>
  <si>
    <t>./9-633868588754948</t>
  </si>
  <si>
    <t>./9-829197649987</t>
  </si>
  <si>
    <t>./manifest</t>
  </si>
  <si>
    <t>./10-12095176376325</t>
  </si>
  <si>
    <t>./10-211381519384680</t>
  </si>
  <si>
    <t>./10-27701533474816</t>
  </si>
  <si>
    <t>./10-36422413369353</t>
  </si>
  <si>
    <t>./10-705062938634304</t>
  </si>
  <si>
    <t>./10-965302947872</t>
  </si>
  <si>
    <t>./10-96800086164480</t>
  </si>
  <si>
    <t>./11-125372243937282</t>
  </si>
  <si>
    <t>./11-14407736248321</t>
  </si>
  <si>
    <t>./11-301266764861509</t>
  </si>
  <si>
    <t>./11-308967885505792</t>
  </si>
  <si>
    <t>./11-521173078114305</t>
  </si>
  <si>
    <t>./11-585226086793220</t>
  </si>
  <si>
    <t>./11-601511243808962</t>
  </si>
  <si>
    <t>./12-1307154909512</t>
  </si>
  <si>
    <t>./12-138380204164</t>
  </si>
  <si>
    <t>./12-294809164120096</t>
  </si>
  <si>
    <t>./12-497260845073696</t>
  </si>
  <si>
    <t>./12-499885104168960</t>
  </si>
  <si>
    <t>./12-568580722672642</t>
  </si>
  <si>
    <t>./12-97103338540066</t>
  </si>
  <si>
    <t>./13-10445933511979</t>
  </si>
  <si>
    <t>./13-17953269646209</t>
  </si>
  <si>
    <t>./13-287666176284692</t>
  </si>
  <si>
    <t>./13-316871969866792</t>
  </si>
  <si>
    <t>./13-432112533545112</t>
  </si>
  <si>
    <t>./13-75973681422360</t>
  </si>
  <si>
    <t>./13-9904264112000</t>
  </si>
  <si>
    <t>./14-19818059991744</t>
  </si>
  <si>
    <t>./14-219947431432900</t>
  </si>
  <si>
    <t>./14-22265865573193</t>
  </si>
  <si>
    <t>./14-496981404822634</t>
  </si>
  <si>
    <t>./14-54976795726025</t>
  </si>
  <si>
    <t>./14-564101742892344</t>
  </si>
  <si>
    <t>./14-738887122419808</t>
  </si>
  <si>
    <t>./5-140739837169664</t>
  </si>
  <si>
    <t>./5-141287277725184</t>
  </si>
  <si>
    <t>./5-155692662784</t>
  </si>
  <si>
    <t>./5-26390560776192</t>
  </si>
  <si>
    <t>./5-290271071834128</t>
  </si>
  <si>
    <t>./5-70369298087944</t>
  </si>
  <si>
    <t>./5-88510971248640</t>
  </si>
  <si>
    <t>./6-105691092353280</t>
  </si>
  <si>
    <t>./6-140754685018625</t>
  </si>
  <si>
    <t>./6-17592189190213</t>
  </si>
  <si>
    <t>./6-275704184836</t>
  </si>
  <si>
    <t>./6-301334972628992</t>
  </si>
  <si>
    <t>./6-4488240826370</t>
  </si>
  <si>
    <t>./6-8798379474944</t>
  </si>
  <si>
    <t>./7-149542188515328</t>
  </si>
  <si>
    <t>./7-149686052716576</t>
  </si>
  <si>
    <t>./7-149877178778116</t>
  </si>
  <si>
    <t>./7-176211772833792</t>
  </si>
  <si>
    <t>./7-17622250856452</t>
  </si>
  <si>
    <t>./7-299687785660544</t>
  </si>
  <si>
    <t>./7-774056190157320</t>
  </si>
  <si>
    <t>./8-140806749487233</t>
  </si>
  <si>
    <t>./8-211244493570308</t>
  </si>
  <si>
    <t>./8-213305255985674</t>
  </si>
  <si>
    <t>./8-282162741905665</t>
  </si>
  <si>
    <t>./8-328565003584</t>
  </si>
  <si>
    <t>./8-554957012994</t>
  </si>
  <si>
    <t>./8-572879985181697</t>
  </si>
  <si>
    <t>./9-158527393890320</t>
  </si>
  <si>
    <t>./9-316665925534726</t>
  </si>
  <si>
    <t>./9-35736552346628</t>
  </si>
  <si>
    <t>./9-395828481230866</t>
  </si>
  <si>
    <t>./9-511547793212032</t>
  </si>
  <si>
    <t>./9-581882236633090</t>
  </si>
  <si>
    <t>./9-619079403908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</si>
  <si>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</si>
  <si>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</si>
  <si>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</si>
  <si>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</si>
  <si>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</si>
  <si>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</si>
  <si>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</si>
  <si>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</si>
  <si>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clingo-dl-2.0.0/one-as</t>
  </si>
  <si>
    <t>error</t>
  </si>
  <si>
    <t>mem</t>
  </si>
  <si>
    <t>memout</t>
  </si>
  <si>
    <t>par2</t>
  </si>
  <si>
    <t>rstatus</t>
  </si>
  <si>
    <t>signal(9)</t>
  </si>
  <si>
    <t>out of memory</t>
  </si>
  <si>
    <t>ok</t>
  </si>
  <si>
    <t>time</t>
  </si>
  <si>
    <t>timeout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</si>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</sst>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(Helper!T5:T289)</c:f>
            </c:numRef>
          </c:xVal>
          <c:yVal>
            <c:numRef>
              <c:f>(Helper!S5:S289)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error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(Helper!Q5:Q289)</c:f>
            </c:numRef>
          </c:xVal>
          <c:yVal>
            <c:numRef>
              <c:f>(Helper!R5:R289)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error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(Helper!R5:R289)</c:f>
            </c:numRef>
          </c:xVal>
          <c:yVal>
            <c:numRef>
              <c:f>(Helper!Q5:Q289)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error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5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0.140625" customWidth="1"/>
    <col min="2" max="5" width="11.42578125" customWidth="1"/>
    <col min="6" max="6" width="14.140625" customWidth="1"/>
    <col min="7" max="26" width="11.42578125" customWidth="1"/>
  </cols>
  <sheetData>
    <row r="1" spans="1:26">
      <c r="A1" s="1"/>
      <c r="B1" s="1" t="s">
        <v>149</v>
      </c>
      <c r="C1" s="1"/>
      <c r="D1" s="1"/>
      <c r="E1" s="1"/>
      <c r="F1" s="1"/>
      <c r="G1" s="1"/>
      <c r="H1" s="1"/>
      <c r="I1" s="1" t="s">
        <v>160</v>
      </c>
      <c r="J1" s="1"/>
      <c r="K1" s="1"/>
      <c r="L1" s="1"/>
      <c r="M1" s="1"/>
      <c r="N1" s="1"/>
      <c r="O1" s="1" t="s">
        <v>161</v>
      </c>
      <c r="P1" s="1"/>
      <c r="Q1" s="1"/>
      <c r="R1" s="1"/>
      <c r="S1" s="1"/>
      <c r="T1" s="1"/>
      <c r="U1" s="1" t="s">
        <v>162</v>
      </c>
      <c r="V1" s="1"/>
      <c r="W1" s="1"/>
      <c r="X1" s="1"/>
      <c r="Y1" s="1"/>
      <c r="Z1" s="1"/>
    </row>
    <row r="2" spans="1:26">
      <c r="A2" s="1"/>
      <c r="B2" s="1" t="s">
        <v>150</v>
      </c>
      <c r="C2" s="1" t="s">
        <v>151</v>
      </c>
      <c r="D2" s="1" t="s">
        <v>152</v>
      </c>
      <c r="E2" s="1" t="s">
        <v>153</v>
      </c>
      <c r="F2" s="1" t="s">
        <v>154</v>
      </c>
      <c r="G2" s="1" t="s">
        <v>158</v>
      </c>
      <c r="H2" s="1" t="s">
        <v>159</v>
      </c>
      <c r="I2" s="1" t="s">
        <v>150</v>
      </c>
      <c r="J2" s="1" t="s">
        <v>151</v>
      </c>
      <c r="K2" s="1" t="s">
        <v>152</v>
      </c>
      <c r="L2" s="1" t="s">
        <v>153</v>
      </c>
      <c r="M2" s="1" t="s">
        <v>158</v>
      </c>
      <c r="N2" s="1" t="s">
        <v>159</v>
      </c>
      <c r="O2" s="1" t="s">
        <v>150</v>
      </c>
      <c r="P2" s="1" t="s">
        <v>151</v>
      </c>
      <c r="Q2" s="1" t="s">
        <v>152</v>
      </c>
      <c r="R2" s="1" t="s">
        <v>153</v>
      </c>
      <c r="S2" s="1" t="s">
        <v>158</v>
      </c>
      <c r="T2" s="1" t="s">
        <v>159</v>
      </c>
      <c r="U2" s="1" t="s">
        <v>150</v>
      </c>
      <c r="V2" s="1" t="s">
        <v>151</v>
      </c>
      <c r="W2" s="1" t="s">
        <v>152</v>
      </c>
      <c r="X2" s="1" t="s">
        <v>153</v>
      </c>
      <c r="Y2" s="1" t="s">
        <v>158</v>
      </c>
      <c r="Z2" s="1" t="s">
        <v>159</v>
      </c>
    </row>
    <row r="3" spans="1:26">
      <c r="A3" s="1" t="s">
        <v>0</v>
      </c>
      <c r="B3" s="1">
        <v>1</v>
      </c>
      <c r="C3" s="1">
        <v>17791</v>
      </c>
      <c r="D3" s="1">
        <v>0</v>
      </c>
      <c r="E3" s="1">
        <v>20000</v>
      </c>
      <c r="F3" s="1" t="s">
        <v>155</v>
      </c>
      <c r="G3" s="1">
        <v>10000</v>
      </c>
      <c r="H3" s="1">
        <v>1</v>
      </c>
      <c r="I3" s="1">
        <f>MIN($B3)</f>
        <v>0</v>
      </c>
      <c r="J3" s="1">
        <f>MIN($C3)</f>
        <v>0</v>
      </c>
      <c r="K3" s="1">
        <f>MIN($D3)</f>
        <v>0</v>
      </c>
      <c r="L3" s="1">
        <f>MIN($E3)</f>
        <v>0</v>
      </c>
      <c r="M3" s="1">
        <f>MIN($G3)</f>
        <v>0</v>
      </c>
      <c r="N3" s="1">
        <f>MIN($H3)</f>
        <v>0</v>
      </c>
      <c r="O3" s="1">
        <f>MEDIAN($B3)</f>
        <v>0</v>
      </c>
      <c r="P3" s="1">
        <f>MEDIAN($C3)</f>
        <v>0</v>
      </c>
      <c r="Q3" s="1">
        <f>MEDIAN($D3)</f>
        <v>0</v>
      </c>
      <c r="R3" s="1">
        <f>MEDIAN($E3)</f>
        <v>0</v>
      </c>
      <c r="S3" s="1">
        <f>MEDIAN($G3)</f>
        <v>0</v>
      </c>
      <c r="T3" s="1">
        <f>MEDIAN($H3)</f>
        <v>0</v>
      </c>
      <c r="U3" s="1">
        <f>MAX($B3)</f>
        <v>0</v>
      </c>
      <c r="V3" s="1">
        <f>MAX($C3)</f>
        <v>0</v>
      </c>
      <c r="W3" s="1">
        <f>MAX($D3)</f>
        <v>0</v>
      </c>
      <c r="X3" s="1">
        <f>MAX($E3)</f>
        <v>0</v>
      </c>
      <c r="Y3" s="1">
        <f>MAX($G3)</f>
        <v>0</v>
      </c>
      <c r="Z3" s="1">
        <f>MAX($H3)</f>
        <v>0</v>
      </c>
    </row>
    <row r="4" spans="1:26">
      <c r="A4" s="1" t="s">
        <v>1</v>
      </c>
      <c r="B4" s="1">
        <v>0</v>
      </c>
      <c r="C4" s="1">
        <v>50001</v>
      </c>
      <c r="D4" s="1">
        <v>1</v>
      </c>
      <c r="E4" s="1">
        <v>20000</v>
      </c>
      <c r="F4" s="1" t="s">
        <v>156</v>
      </c>
      <c r="G4" s="1">
        <v>10000</v>
      </c>
      <c r="H4" s="1">
        <v>1</v>
      </c>
      <c r="I4" s="1">
        <f>MIN($B4)</f>
        <v>0</v>
      </c>
      <c r="J4" s="1">
        <f>MIN($C4)</f>
        <v>0</v>
      </c>
      <c r="K4" s="1">
        <f>MIN($D4)</f>
        <v>0</v>
      </c>
      <c r="L4" s="1">
        <f>MIN($E4)</f>
        <v>0</v>
      </c>
      <c r="M4" s="1">
        <f>MIN($G4)</f>
        <v>0</v>
      </c>
      <c r="N4" s="1">
        <f>MIN($H4)</f>
        <v>0</v>
      </c>
      <c r="O4" s="1">
        <f>MEDIAN($B4)</f>
        <v>0</v>
      </c>
      <c r="P4" s="1">
        <f>MEDIAN($C4)</f>
        <v>0</v>
      </c>
      <c r="Q4" s="1">
        <f>MEDIAN($D4)</f>
        <v>0</v>
      </c>
      <c r="R4" s="1">
        <f>MEDIAN($E4)</f>
        <v>0</v>
      </c>
      <c r="S4" s="1">
        <f>MEDIAN($G4)</f>
        <v>0</v>
      </c>
      <c r="T4" s="1">
        <f>MEDIAN($H4)</f>
        <v>0</v>
      </c>
      <c r="U4" s="1">
        <f>MAX($B4)</f>
        <v>0</v>
      </c>
      <c r="V4" s="1">
        <f>MAX($C4)</f>
        <v>0</v>
      </c>
      <c r="W4" s="1">
        <f>MAX($D4)</f>
        <v>0</v>
      </c>
      <c r="X4" s="1">
        <f>MAX($E4)</f>
        <v>0</v>
      </c>
      <c r="Y4" s="1">
        <f>MAX($G4)</f>
        <v>0</v>
      </c>
      <c r="Z4" s="1">
        <f>MAX($H4)</f>
        <v>0</v>
      </c>
    </row>
    <row r="5" spans="1:26">
      <c r="A5" s="1" t="s">
        <v>2</v>
      </c>
      <c r="B5" s="1">
        <v>1</v>
      </c>
      <c r="C5" s="1">
        <v>16891</v>
      </c>
      <c r="D5" s="1">
        <v>0</v>
      </c>
      <c r="E5" s="1">
        <v>20000</v>
      </c>
      <c r="F5" s="1" t="s">
        <v>155</v>
      </c>
      <c r="G5" s="1">
        <v>10000</v>
      </c>
      <c r="H5" s="1">
        <v>1</v>
      </c>
      <c r="I5" s="1">
        <f>MIN($B5)</f>
        <v>0</v>
      </c>
      <c r="J5" s="1">
        <f>MIN($C5)</f>
        <v>0</v>
      </c>
      <c r="K5" s="1">
        <f>MIN($D5)</f>
        <v>0</v>
      </c>
      <c r="L5" s="1">
        <f>MIN($E5)</f>
        <v>0</v>
      </c>
      <c r="M5" s="1">
        <f>MIN($G5)</f>
        <v>0</v>
      </c>
      <c r="N5" s="1">
        <f>MIN($H5)</f>
        <v>0</v>
      </c>
      <c r="O5" s="1">
        <f>MEDIAN($B5)</f>
        <v>0</v>
      </c>
      <c r="P5" s="1">
        <f>MEDIAN($C5)</f>
        <v>0</v>
      </c>
      <c r="Q5" s="1">
        <f>MEDIAN($D5)</f>
        <v>0</v>
      </c>
      <c r="R5" s="1">
        <f>MEDIAN($E5)</f>
        <v>0</v>
      </c>
      <c r="S5" s="1">
        <f>MEDIAN($G5)</f>
        <v>0</v>
      </c>
      <c r="T5" s="1">
        <f>MEDIAN($H5)</f>
        <v>0</v>
      </c>
      <c r="U5" s="1">
        <f>MAX($B5)</f>
        <v>0</v>
      </c>
      <c r="V5" s="1">
        <f>MAX($C5)</f>
        <v>0</v>
      </c>
      <c r="W5" s="1">
        <f>MAX($D5)</f>
        <v>0</v>
      </c>
      <c r="X5" s="1">
        <f>MAX($E5)</f>
        <v>0</v>
      </c>
      <c r="Y5" s="1">
        <f>MAX($G5)</f>
        <v>0</v>
      </c>
      <c r="Z5" s="1">
        <f>MAX($H5)</f>
        <v>0</v>
      </c>
    </row>
    <row r="6" spans="1:26">
      <c r="A6" s="1" t="s">
        <v>3</v>
      </c>
      <c r="B6" s="1">
        <v>0</v>
      </c>
      <c r="C6" s="1">
        <v>50028</v>
      </c>
      <c r="D6" s="1">
        <v>1</v>
      </c>
      <c r="E6" s="1">
        <v>20000</v>
      </c>
      <c r="F6" s="1" t="s">
        <v>156</v>
      </c>
      <c r="G6" s="1">
        <v>10000</v>
      </c>
      <c r="H6" s="1">
        <v>1</v>
      </c>
      <c r="I6" s="1">
        <f>MIN($B6)</f>
        <v>0</v>
      </c>
      <c r="J6" s="1">
        <f>MIN($C6)</f>
        <v>0</v>
      </c>
      <c r="K6" s="1">
        <f>MIN($D6)</f>
        <v>0</v>
      </c>
      <c r="L6" s="1">
        <f>MIN($E6)</f>
        <v>0</v>
      </c>
      <c r="M6" s="1">
        <f>MIN($G6)</f>
        <v>0</v>
      </c>
      <c r="N6" s="1">
        <f>MIN($H6)</f>
        <v>0</v>
      </c>
      <c r="O6" s="1">
        <f>MEDIAN($B6)</f>
        <v>0</v>
      </c>
      <c r="P6" s="1">
        <f>MEDIAN($C6)</f>
        <v>0</v>
      </c>
      <c r="Q6" s="1">
        <f>MEDIAN($D6)</f>
        <v>0</v>
      </c>
      <c r="R6" s="1">
        <f>MEDIAN($E6)</f>
        <v>0</v>
      </c>
      <c r="S6" s="1">
        <f>MEDIAN($G6)</f>
        <v>0</v>
      </c>
      <c r="T6" s="1">
        <f>MEDIAN($H6)</f>
        <v>0</v>
      </c>
      <c r="U6" s="1">
        <f>MAX($B6)</f>
        <v>0</v>
      </c>
      <c r="V6" s="1">
        <f>MAX($C6)</f>
        <v>0</v>
      </c>
      <c r="W6" s="1">
        <f>MAX($D6)</f>
        <v>0</v>
      </c>
      <c r="X6" s="1">
        <f>MAX($E6)</f>
        <v>0</v>
      </c>
      <c r="Y6" s="1">
        <f>MAX($G6)</f>
        <v>0</v>
      </c>
      <c r="Z6" s="1">
        <f>MAX($H6)</f>
        <v>0</v>
      </c>
    </row>
    <row r="7" spans="1:26">
      <c r="A7" s="1" t="s">
        <v>4</v>
      </c>
      <c r="B7" s="1">
        <v>0</v>
      </c>
      <c r="C7" s="1">
        <v>48822</v>
      </c>
      <c r="D7" s="1">
        <v>0</v>
      </c>
      <c r="E7" s="1">
        <v>3634.8</v>
      </c>
      <c r="F7" s="1" t="s">
        <v>157</v>
      </c>
      <c r="G7" s="1">
        <v>3634.8</v>
      </c>
      <c r="H7" s="1">
        <v>0</v>
      </c>
      <c r="I7" s="1">
        <f>MIN($B7)</f>
        <v>0</v>
      </c>
      <c r="J7" s="1">
        <f>MIN($C7)</f>
        <v>0</v>
      </c>
      <c r="K7" s="1">
        <f>MIN($D7)</f>
        <v>0</v>
      </c>
      <c r="L7" s="1">
        <f>MIN($E7)</f>
        <v>0</v>
      </c>
      <c r="M7" s="1">
        <f>MIN($G7)</f>
        <v>0</v>
      </c>
      <c r="N7" s="1">
        <f>MIN($H7)</f>
        <v>0</v>
      </c>
      <c r="O7" s="1">
        <f>MEDIAN($B7)</f>
        <v>0</v>
      </c>
      <c r="P7" s="1">
        <f>MEDIAN($C7)</f>
        <v>0</v>
      </c>
      <c r="Q7" s="1">
        <f>MEDIAN($D7)</f>
        <v>0</v>
      </c>
      <c r="R7" s="1">
        <f>MEDIAN($E7)</f>
        <v>0</v>
      </c>
      <c r="S7" s="1">
        <f>MEDIAN($G7)</f>
        <v>0</v>
      </c>
      <c r="T7" s="1">
        <f>MEDIAN($H7)</f>
        <v>0</v>
      </c>
      <c r="U7" s="1">
        <f>MAX($B7)</f>
        <v>0</v>
      </c>
      <c r="V7" s="1">
        <f>MAX($C7)</f>
        <v>0</v>
      </c>
      <c r="W7" s="1">
        <f>MAX($D7)</f>
        <v>0</v>
      </c>
      <c r="X7" s="1">
        <f>MAX($E7)</f>
        <v>0</v>
      </c>
      <c r="Y7" s="1">
        <f>MAX($G7)</f>
        <v>0</v>
      </c>
      <c r="Z7" s="1">
        <f>MAX($H7)</f>
        <v>0</v>
      </c>
    </row>
    <row r="8" spans="1:26">
      <c r="A8" s="1" t="s">
        <v>5</v>
      </c>
      <c r="B8" s="1">
        <v>0</v>
      </c>
      <c r="C8" s="1">
        <v>50000</v>
      </c>
      <c r="D8" s="1">
        <v>1</v>
      </c>
      <c r="E8" s="1">
        <v>20000</v>
      </c>
      <c r="F8" s="1" t="s">
        <v>156</v>
      </c>
      <c r="G8" s="1">
        <v>10000</v>
      </c>
      <c r="H8" s="1">
        <v>1</v>
      </c>
      <c r="I8" s="1">
        <f>MIN($B8)</f>
        <v>0</v>
      </c>
      <c r="J8" s="1">
        <f>MIN($C8)</f>
        <v>0</v>
      </c>
      <c r="K8" s="1">
        <f>MIN($D8)</f>
        <v>0</v>
      </c>
      <c r="L8" s="1">
        <f>MIN($E8)</f>
        <v>0</v>
      </c>
      <c r="M8" s="1">
        <f>MIN($G8)</f>
        <v>0</v>
      </c>
      <c r="N8" s="1">
        <f>MIN($H8)</f>
        <v>0</v>
      </c>
      <c r="O8" s="1">
        <f>MEDIAN($B8)</f>
        <v>0</v>
      </c>
      <c r="P8" s="1">
        <f>MEDIAN($C8)</f>
        <v>0</v>
      </c>
      <c r="Q8" s="1">
        <f>MEDIAN($D8)</f>
        <v>0</v>
      </c>
      <c r="R8" s="1">
        <f>MEDIAN($E8)</f>
        <v>0</v>
      </c>
      <c r="S8" s="1">
        <f>MEDIAN($G8)</f>
        <v>0</v>
      </c>
      <c r="T8" s="1">
        <f>MEDIAN($H8)</f>
        <v>0</v>
      </c>
      <c r="U8" s="1">
        <f>MAX($B8)</f>
        <v>0</v>
      </c>
      <c r="V8" s="1">
        <f>MAX($C8)</f>
        <v>0</v>
      </c>
      <c r="W8" s="1">
        <f>MAX($D8)</f>
        <v>0</v>
      </c>
      <c r="X8" s="1">
        <f>MAX($E8)</f>
        <v>0</v>
      </c>
      <c r="Y8" s="1">
        <f>MAX($G8)</f>
        <v>0</v>
      </c>
      <c r="Z8" s="1">
        <f>MAX($H8)</f>
        <v>0</v>
      </c>
    </row>
    <row r="9" spans="1:26">
      <c r="A9" s="1" t="s">
        <v>6</v>
      </c>
      <c r="B9" s="1">
        <v>1</v>
      </c>
      <c r="C9" s="1">
        <v>10718</v>
      </c>
      <c r="D9" s="1">
        <v>0</v>
      </c>
      <c r="E9" s="1">
        <v>20000</v>
      </c>
      <c r="F9" s="1" t="s">
        <v>155</v>
      </c>
      <c r="G9" s="1">
        <v>10000</v>
      </c>
      <c r="H9" s="1">
        <v>1</v>
      </c>
      <c r="I9" s="1">
        <f>MIN($B9)</f>
        <v>0</v>
      </c>
      <c r="J9" s="1">
        <f>MIN($C9)</f>
        <v>0</v>
      </c>
      <c r="K9" s="1">
        <f>MIN($D9)</f>
        <v>0</v>
      </c>
      <c r="L9" s="1">
        <f>MIN($E9)</f>
        <v>0</v>
      </c>
      <c r="M9" s="1">
        <f>MIN($G9)</f>
        <v>0</v>
      </c>
      <c r="N9" s="1">
        <f>MIN($H9)</f>
        <v>0</v>
      </c>
      <c r="O9" s="1">
        <f>MEDIAN($B9)</f>
        <v>0</v>
      </c>
      <c r="P9" s="1">
        <f>MEDIAN($C9)</f>
        <v>0</v>
      </c>
      <c r="Q9" s="1">
        <f>MEDIAN($D9)</f>
        <v>0</v>
      </c>
      <c r="R9" s="1">
        <f>MEDIAN($E9)</f>
        <v>0</v>
      </c>
      <c r="S9" s="1">
        <f>MEDIAN($G9)</f>
        <v>0</v>
      </c>
      <c r="T9" s="1">
        <f>MEDIAN($H9)</f>
        <v>0</v>
      </c>
      <c r="U9" s="1">
        <f>MAX($B9)</f>
        <v>0</v>
      </c>
      <c r="V9" s="1">
        <f>MAX($C9)</f>
        <v>0</v>
      </c>
      <c r="W9" s="1">
        <f>MAX($D9)</f>
        <v>0</v>
      </c>
      <c r="X9" s="1">
        <f>MAX($E9)</f>
        <v>0</v>
      </c>
      <c r="Y9" s="1">
        <f>MAX($G9)</f>
        <v>0</v>
      </c>
      <c r="Z9" s="1">
        <f>MAX($H9)</f>
        <v>0</v>
      </c>
    </row>
    <row r="10" spans="1:26">
      <c r="A10" s="1" t="s">
        <v>7</v>
      </c>
      <c r="B10" s="1">
        <v>1</v>
      </c>
      <c r="C10" s="1">
        <v>15741</v>
      </c>
      <c r="D10" s="1">
        <v>0</v>
      </c>
      <c r="E10" s="1">
        <v>20000</v>
      </c>
      <c r="F10" s="1" t="s">
        <v>155</v>
      </c>
      <c r="G10" s="1">
        <v>10000</v>
      </c>
      <c r="H10" s="1">
        <v>1</v>
      </c>
      <c r="I10" s="1">
        <f>MIN($B10)</f>
        <v>0</v>
      </c>
      <c r="J10" s="1">
        <f>MIN($C10)</f>
        <v>0</v>
      </c>
      <c r="K10" s="1">
        <f>MIN($D10)</f>
        <v>0</v>
      </c>
      <c r="L10" s="1">
        <f>MIN($E10)</f>
        <v>0</v>
      </c>
      <c r="M10" s="1">
        <f>MIN($G10)</f>
        <v>0</v>
      </c>
      <c r="N10" s="1">
        <f>MIN($H10)</f>
        <v>0</v>
      </c>
      <c r="O10" s="1">
        <f>MEDIAN($B10)</f>
        <v>0</v>
      </c>
      <c r="P10" s="1">
        <f>MEDIAN($C10)</f>
        <v>0</v>
      </c>
      <c r="Q10" s="1">
        <f>MEDIAN($D10)</f>
        <v>0</v>
      </c>
      <c r="R10" s="1">
        <f>MEDIAN($E10)</f>
        <v>0</v>
      </c>
      <c r="S10" s="1">
        <f>MEDIAN($G10)</f>
        <v>0</v>
      </c>
      <c r="T10" s="1">
        <f>MEDIAN($H10)</f>
        <v>0</v>
      </c>
      <c r="U10" s="1">
        <f>MAX($B10)</f>
        <v>0</v>
      </c>
      <c r="V10" s="1">
        <f>MAX($C10)</f>
        <v>0</v>
      </c>
      <c r="W10" s="1">
        <f>MAX($D10)</f>
        <v>0</v>
      </c>
      <c r="X10" s="1">
        <f>MAX($E10)</f>
        <v>0</v>
      </c>
      <c r="Y10" s="1">
        <f>MAX($G10)</f>
        <v>0</v>
      </c>
      <c r="Z10" s="1">
        <f>MAX($H10)</f>
        <v>0</v>
      </c>
    </row>
    <row r="11" spans="1:26">
      <c r="A11" s="1" t="s">
        <v>8</v>
      </c>
      <c r="B11" s="1">
        <v>0</v>
      </c>
      <c r="C11" s="1">
        <v>50072</v>
      </c>
      <c r="D11" s="1">
        <v>1</v>
      </c>
      <c r="E11" s="1">
        <v>20000</v>
      </c>
      <c r="F11" s="1" t="s">
        <v>156</v>
      </c>
      <c r="G11" s="1">
        <v>10000</v>
      </c>
      <c r="H11" s="1">
        <v>1</v>
      </c>
      <c r="I11" s="1">
        <f>MIN($B11)</f>
        <v>0</v>
      </c>
      <c r="J11" s="1">
        <f>MIN($C11)</f>
        <v>0</v>
      </c>
      <c r="K11" s="1">
        <f>MIN($D11)</f>
        <v>0</v>
      </c>
      <c r="L11" s="1">
        <f>MIN($E11)</f>
        <v>0</v>
      </c>
      <c r="M11" s="1">
        <f>MIN($G11)</f>
        <v>0</v>
      </c>
      <c r="N11" s="1">
        <f>MIN($H11)</f>
        <v>0</v>
      </c>
      <c r="O11" s="1">
        <f>MEDIAN($B11)</f>
        <v>0</v>
      </c>
      <c r="P11" s="1">
        <f>MEDIAN($C11)</f>
        <v>0</v>
      </c>
      <c r="Q11" s="1">
        <f>MEDIAN($D11)</f>
        <v>0</v>
      </c>
      <c r="R11" s="1">
        <f>MEDIAN($E11)</f>
        <v>0</v>
      </c>
      <c r="S11" s="1">
        <f>MEDIAN($G11)</f>
        <v>0</v>
      </c>
      <c r="T11" s="1">
        <f>MEDIAN($H11)</f>
        <v>0</v>
      </c>
      <c r="U11" s="1">
        <f>MAX($B11)</f>
        <v>0</v>
      </c>
      <c r="V11" s="1">
        <f>MAX($C11)</f>
        <v>0</v>
      </c>
      <c r="W11" s="1">
        <f>MAX($D11)</f>
        <v>0</v>
      </c>
      <c r="X11" s="1">
        <f>MAX($E11)</f>
        <v>0</v>
      </c>
      <c r="Y11" s="1">
        <f>MAX($G11)</f>
        <v>0</v>
      </c>
      <c r="Z11" s="1">
        <f>MAX($H11)</f>
        <v>0</v>
      </c>
    </row>
    <row r="12" spans="1:26">
      <c r="A12" s="1" t="s">
        <v>9</v>
      </c>
      <c r="B12" s="1">
        <v>0</v>
      </c>
      <c r="C12" s="1">
        <v>50013</v>
      </c>
      <c r="D12" s="1">
        <v>1</v>
      </c>
      <c r="E12" s="1">
        <v>20000</v>
      </c>
      <c r="F12" s="1" t="s">
        <v>156</v>
      </c>
      <c r="G12" s="1">
        <v>10000</v>
      </c>
      <c r="H12" s="1">
        <v>1</v>
      </c>
      <c r="I12" s="1">
        <f>MIN($B12)</f>
        <v>0</v>
      </c>
      <c r="J12" s="1">
        <f>MIN($C12)</f>
        <v>0</v>
      </c>
      <c r="K12" s="1">
        <f>MIN($D12)</f>
        <v>0</v>
      </c>
      <c r="L12" s="1">
        <f>MIN($E12)</f>
        <v>0</v>
      </c>
      <c r="M12" s="1">
        <f>MIN($G12)</f>
        <v>0</v>
      </c>
      <c r="N12" s="1">
        <f>MIN($H12)</f>
        <v>0</v>
      </c>
      <c r="O12" s="1">
        <f>MEDIAN($B12)</f>
        <v>0</v>
      </c>
      <c r="P12" s="1">
        <f>MEDIAN($C12)</f>
        <v>0</v>
      </c>
      <c r="Q12" s="1">
        <f>MEDIAN($D12)</f>
        <v>0</v>
      </c>
      <c r="R12" s="1">
        <f>MEDIAN($E12)</f>
        <v>0</v>
      </c>
      <c r="S12" s="1">
        <f>MEDIAN($G12)</f>
        <v>0</v>
      </c>
      <c r="T12" s="1">
        <f>MEDIAN($H12)</f>
        <v>0</v>
      </c>
      <c r="U12" s="1">
        <f>MAX($B12)</f>
        <v>0</v>
      </c>
      <c r="V12" s="1">
        <f>MAX($C12)</f>
        <v>0</v>
      </c>
      <c r="W12" s="1">
        <f>MAX($D12)</f>
        <v>0</v>
      </c>
      <c r="X12" s="1">
        <f>MAX($E12)</f>
        <v>0</v>
      </c>
      <c r="Y12" s="1">
        <f>MAX($G12)</f>
        <v>0</v>
      </c>
      <c r="Z12" s="1">
        <f>MAX($H12)</f>
        <v>0</v>
      </c>
    </row>
    <row r="13" spans="1:26">
      <c r="A13" s="1" t="s">
        <v>10</v>
      </c>
      <c r="B13" s="1">
        <v>1</v>
      </c>
      <c r="C13" s="1">
        <v>25445</v>
      </c>
      <c r="D13" s="1">
        <v>0</v>
      </c>
      <c r="E13" s="1">
        <v>20000</v>
      </c>
      <c r="F13" s="1" t="s">
        <v>155</v>
      </c>
      <c r="G13" s="1">
        <v>10000</v>
      </c>
      <c r="H13" s="1">
        <v>1</v>
      </c>
      <c r="I13" s="1">
        <f>MIN($B13)</f>
        <v>0</v>
      </c>
      <c r="J13" s="1">
        <f>MIN($C13)</f>
        <v>0</v>
      </c>
      <c r="K13" s="1">
        <f>MIN($D13)</f>
        <v>0</v>
      </c>
      <c r="L13" s="1">
        <f>MIN($E13)</f>
        <v>0</v>
      </c>
      <c r="M13" s="1">
        <f>MIN($G13)</f>
        <v>0</v>
      </c>
      <c r="N13" s="1">
        <f>MIN($H13)</f>
        <v>0</v>
      </c>
      <c r="O13" s="1">
        <f>MEDIAN($B13)</f>
        <v>0</v>
      </c>
      <c r="P13" s="1">
        <f>MEDIAN($C13)</f>
        <v>0</v>
      </c>
      <c r="Q13" s="1">
        <f>MEDIAN($D13)</f>
        <v>0</v>
      </c>
      <c r="R13" s="1">
        <f>MEDIAN($E13)</f>
        <v>0</v>
      </c>
      <c r="S13" s="1">
        <f>MEDIAN($G13)</f>
        <v>0</v>
      </c>
      <c r="T13" s="1">
        <f>MEDIAN($H13)</f>
        <v>0</v>
      </c>
      <c r="U13" s="1">
        <f>MAX($B13)</f>
        <v>0</v>
      </c>
      <c r="V13" s="1">
        <f>MAX($C13)</f>
        <v>0</v>
      </c>
      <c r="W13" s="1">
        <f>MAX($D13)</f>
        <v>0</v>
      </c>
      <c r="X13" s="1">
        <f>MAX($E13)</f>
        <v>0</v>
      </c>
      <c r="Y13" s="1">
        <f>MAX($G13)</f>
        <v>0</v>
      </c>
      <c r="Z13" s="1">
        <f>MAX($H13)</f>
        <v>0</v>
      </c>
    </row>
    <row r="14" spans="1:26">
      <c r="A14" s="1" t="s">
        <v>11</v>
      </c>
      <c r="B14" s="1">
        <v>1</v>
      </c>
      <c r="C14" s="1">
        <v>14339</v>
      </c>
      <c r="D14" s="1">
        <v>0</v>
      </c>
      <c r="E14" s="1">
        <v>20000</v>
      </c>
      <c r="F14" s="1" t="s">
        <v>155</v>
      </c>
      <c r="G14" s="1">
        <v>10000</v>
      </c>
      <c r="H14" s="1">
        <v>1</v>
      </c>
      <c r="I14" s="1">
        <f>MIN($B14)</f>
        <v>0</v>
      </c>
      <c r="J14" s="1">
        <f>MIN($C14)</f>
        <v>0</v>
      </c>
      <c r="K14" s="1">
        <f>MIN($D14)</f>
        <v>0</v>
      </c>
      <c r="L14" s="1">
        <f>MIN($E14)</f>
        <v>0</v>
      </c>
      <c r="M14" s="1">
        <f>MIN($G14)</f>
        <v>0</v>
      </c>
      <c r="N14" s="1">
        <f>MIN($H14)</f>
        <v>0</v>
      </c>
      <c r="O14" s="1">
        <f>MEDIAN($B14)</f>
        <v>0</v>
      </c>
      <c r="P14" s="1">
        <f>MEDIAN($C14)</f>
        <v>0</v>
      </c>
      <c r="Q14" s="1">
        <f>MEDIAN($D14)</f>
        <v>0</v>
      </c>
      <c r="R14" s="1">
        <f>MEDIAN($E14)</f>
        <v>0</v>
      </c>
      <c r="S14" s="1">
        <f>MEDIAN($G14)</f>
        <v>0</v>
      </c>
      <c r="T14" s="1">
        <f>MEDIAN($H14)</f>
        <v>0</v>
      </c>
      <c r="U14" s="1">
        <f>MAX($B14)</f>
        <v>0</v>
      </c>
      <c r="V14" s="1">
        <f>MAX($C14)</f>
        <v>0</v>
      </c>
      <c r="W14" s="1">
        <f>MAX($D14)</f>
        <v>0</v>
      </c>
      <c r="X14" s="1">
        <f>MAX($E14)</f>
        <v>0</v>
      </c>
      <c r="Y14" s="1">
        <f>MAX($G14)</f>
        <v>0</v>
      </c>
      <c r="Z14" s="1">
        <f>MAX($H14)</f>
        <v>0</v>
      </c>
    </row>
    <row r="15" spans="1:26">
      <c r="A15" s="1" t="s">
        <v>12</v>
      </c>
      <c r="B15" s="1">
        <v>1</v>
      </c>
      <c r="C15" s="1">
        <v>17832</v>
      </c>
      <c r="D15" s="1">
        <v>0</v>
      </c>
      <c r="E15" s="1">
        <v>20000</v>
      </c>
      <c r="F15" s="1" t="s">
        <v>155</v>
      </c>
      <c r="G15" s="1">
        <v>10000</v>
      </c>
      <c r="H15" s="1">
        <v>1</v>
      </c>
      <c r="I15" s="1">
        <f>MIN($B15)</f>
        <v>0</v>
      </c>
      <c r="J15" s="1">
        <f>MIN($C15)</f>
        <v>0</v>
      </c>
      <c r="K15" s="1">
        <f>MIN($D15)</f>
        <v>0</v>
      </c>
      <c r="L15" s="1">
        <f>MIN($E15)</f>
        <v>0</v>
      </c>
      <c r="M15" s="1">
        <f>MIN($G15)</f>
        <v>0</v>
      </c>
      <c r="N15" s="1">
        <f>MIN($H15)</f>
        <v>0</v>
      </c>
      <c r="O15" s="1">
        <f>MEDIAN($B15)</f>
        <v>0</v>
      </c>
      <c r="P15" s="1">
        <f>MEDIAN($C15)</f>
        <v>0</v>
      </c>
      <c r="Q15" s="1">
        <f>MEDIAN($D15)</f>
        <v>0</v>
      </c>
      <c r="R15" s="1">
        <f>MEDIAN($E15)</f>
        <v>0</v>
      </c>
      <c r="S15" s="1">
        <f>MEDIAN($G15)</f>
        <v>0</v>
      </c>
      <c r="T15" s="1">
        <f>MEDIAN($H15)</f>
        <v>0</v>
      </c>
      <c r="U15" s="1">
        <f>MAX($B15)</f>
        <v>0</v>
      </c>
      <c r="V15" s="1">
        <f>MAX($C15)</f>
        <v>0</v>
      </c>
      <c r="W15" s="1">
        <f>MAX($D15)</f>
        <v>0</v>
      </c>
      <c r="X15" s="1">
        <f>MAX($E15)</f>
        <v>0</v>
      </c>
      <c r="Y15" s="1">
        <f>MAX($G15)</f>
        <v>0</v>
      </c>
      <c r="Z15" s="1">
        <f>MAX($H15)</f>
        <v>0</v>
      </c>
    </row>
    <row r="16" spans="1:26">
      <c r="A16" s="1" t="s">
        <v>13</v>
      </c>
      <c r="B16" s="1">
        <v>1</v>
      </c>
      <c r="C16" s="1">
        <v>17434</v>
      </c>
      <c r="D16" s="1">
        <v>0</v>
      </c>
      <c r="E16" s="1">
        <v>20000</v>
      </c>
      <c r="F16" s="1" t="s">
        <v>155</v>
      </c>
      <c r="G16" s="1">
        <v>10000</v>
      </c>
      <c r="H16" s="1">
        <v>1</v>
      </c>
      <c r="I16" s="1">
        <f>MIN($B16)</f>
        <v>0</v>
      </c>
      <c r="J16" s="1">
        <f>MIN($C16)</f>
        <v>0</v>
      </c>
      <c r="K16" s="1">
        <f>MIN($D16)</f>
        <v>0</v>
      </c>
      <c r="L16" s="1">
        <f>MIN($E16)</f>
        <v>0</v>
      </c>
      <c r="M16" s="1">
        <f>MIN($G16)</f>
        <v>0</v>
      </c>
      <c r="N16" s="1">
        <f>MIN($H16)</f>
        <v>0</v>
      </c>
      <c r="O16" s="1">
        <f>MEDIAN($B16)</f>
        <v>0</v>
      </c>
      <c r="P16" s="1">
        <f>MEDIAN($C16)</f>
        <v>0</v>
      </c>
      <c r="Q16" s="1">
        <f>MEDIAN($D16)</f>
        <v>0</v>
      </c>
      <c r="R16" s="1">
        <f>MEDIAN($E16)</f>
        <v>0</v>
      </c>
      <c r="S16" s="1">
        <f>MEDIAN($G16)</f>
        <v>0</v>
      </c>
      <c r="T16" s="1">
        <f>MEDIAN($H16)</f>
        <v>0</v>
      </c>
      <c r="U16" s="1">
        <f>MAX($B16)</f>
        <v>0</v>
      </c>
      <c r="V16" s="1">
        <f>MAX($C16)</f>
        <v>0</v>
      </c>
      <c r="W16" s="1">
        <f>MAX($D16)</f>
        <v>0</v>
      </c>
      <c r="X16" s="1">
        <f>MAX($E16)</f>
        <v>0</v>
      </c>
      <c r="Y16" s="1">
        <f>MAX($G16)</f>
        <v>0</v>
      </c>
      <c r="Z16" s="1">
        <f>MAX($H16)</f>
        <v>0</v>
      </c>
    </row>
    <row r="17" spans="1:26">
      <c r="A17" s="1" t="s">
        <v>14</v>
      </c>
      <c r="B17" s="1">
        <v>0</v>
      </c>
      <c r="C17" s="1">
        <v>50076</v>
      </c>
      <c r="D17" s="1">
        <v>1</v>
      </c>
      <c r="E17" s="1">
        <v>20000</v>
      </c>
      <c r="F17" s="1" t="s">
        <v>156</v>
      </c>
      <c r="G17" s="1">
        <v>10000</v>
      </c>
      <c r="H17" s="1">
        <v>1</v>
      </c>
      <c r="I17" s="1">
        <f>MIN($B17)</f>
        <v>0</v>
      </c>
      <c r="J17" s="1">
        <f>MIN($C17)</f>
        <v>0</v>
      </c>
      <c r="K17" s="1">
        <f>MIN($D17)</f>
        <v>0</v>
      </c>
      <c r="L17" s="1">
        <f>MIN($E17)</f>
        <v>0</v>
      </c>
      <c r="M17" s="1">
        <f>MIN($G17)</f>
        <v>0</v>
      </c>
      <c r="N17" s="1">
        <f>MIN($H17)</f>
        <v>0</v>
      </c>
      <c r="O17" s="1">
        <f>MEDIAN($B17)</f>
        <v>0</v>
      </c>
      <c r="P17" s="1">
        <f>MEDIAN($C17)</f>
        <v>0</v>
      </c>
      <c r="Q17" s="1">
        <f>MEDIAN($D17)</f>
        <v>0</v>
      </c>
      <c r="R17" s="1">
        <f>MEDIAN($E17)</f>
        <v>0</v>
      </c>
      <c r="S17" s="1">
        <f>MEDIAN($G17)</f>
        <v>0</v>
      </c>
      <c r="T17" s="1">
        <f>MEDIAN($H17)</f>
        <v>0</v>
      </c>
      <c r="U17" s="1">
        <f>MAX($B17)</f>
        <v>0</v>
      </c>
      <c r="V17" s="1">
        <f>MAX($C17)</f>
        <v>0</v>
      </c>
      <c r="W17" s="1">
        <f>MAX($D17)</f>
        <v>0</v>
      </c>
      <c r="X17" s="1">
        <f>MAX($E17)</f>
        <v>0</v>
      </c>
      <c r="Y17" s="1">
        <f>MAX($G17)</f>
        <v>0</v>
      </c>
      <c r="Z17" s="1">
        <f>MAX($H17)</f>
        <v>0</v>
      </c>
    </row>
    <row r="18" spans="1:26">
      <c r="A18" s="1" t="s">
        <v>15</v>
      </c>
      <c r="B18" s="1">
        <v>1</v>
      </c>
      <c r="C18" s="1">
        <v>15456</v>
      </c>
      <c r="D18" s="1">
        <v>0</v>
      </c>
      <c r="E18" s="1">
        <v>20000</v>
      </c>
      <c r="F18" s="1" t="s">
        <v>155</v>
      </c>
      <c r="G18" s="1">
        <v>10000</v>
      </c>
      <c r="H18" s="1">
        <v>1</v>
      </c>
      <c r="I18" s="1">
        <f>MIN($B18)</f>
        <v>0</v>
      </c>
      <c r="J18" s="1">
        <f>MIN($C18)</f>
        <v>0</v>
      </c>
      <c r="K18" s="1">
        <f>MIN($D18)</f>
        <v>0</v>
      </c>
      <c r="L18" s="1">
        <f>MIN($E18)</f>
        <v>0</v>
      </c>
      <c r="M18" s="1">
        <f>MIN($G18)</f>
        <v>0</v>
      </c>
      <c r="N18" s="1">
        <f>MIN($H18)</f>
        <v>0</v>
      </c>
      <c r="O18" s="1">
        <f>MEDIAN($B18)</f>
        <v>0</v>
      </c>
      <c r="P18" s="1">
        <f>MEDIAN($C18)</f>
        <v>0</v>
      </c>
      <c r="Q18" s="1">
        <f>MEDIAN($D18)</f>
        <v>0</v>
      </c>
      <c r="R18" s="1">
        <f>MEDIAN($E18)</f>
        <v>0</v>
      </c>
      <c r="S18" s="1">
        <f>MEDIAN($G18)</f>
        <v>0</v>
      </c>
      <c r="T18" s="1">
        <f>MEDIAN($H18)</f>
        <v>0</v>
      </c>
      <c r="U18" s="1">
        <f>MAX($B18)</f>
        <v>0</v>
      </c>
      <c r="V18" s="1">
        <f>MAX($C18)</f>
        <v>0</v>
      </c>
      <c r="W18" s="1">
        <f>MAX($D18)</f>
        <v>0</v>
      </c>
      <c r="X18" s="1">
        <f>MAX($E18)</f>
        <v>0</v>
      </c>
      <c r="Y18" s="1">
        <f>MAX($G18)</f>
        <v>0</v>
      </c>
      <c r="Z18" s="1">
        <f>MAX($H18)</f>
        <v>0</v>
      </c>
    </row>
    <row r="19" spans="1:26">
      <c r="A19" s="1" t="s">
        <v>16</v>
      </c>
      <c r="B19" s="1">
        <v>1</v>
      </c>
      <c r="C19" s="1">
        <v>18704</v>
      </c>
      <c r="D19" s="1">
        <v>0</v>
      </c>
      <c r="E19" s="1">
        <v>20000</v>
      </c>
      <c r="F19" s="1" t="s">
        <v>155</v>
      </c>
      <c r="G19" s="1">
        <v>10000</v>
      </c>
      <c r="H19" s="1">
        <v>1</v>
      </c>
      <c r="I19" s="1">
        <f>MIN($B19)</f>
        <v>0</v>
      </c>
      <c r="J19" s="1">
        <f>MIN($C19)</f>
        <v>0</v>
      </c>
      <c r="K19" s="1">
        <f>MIN($D19)</f>
        <v>0</v>
      </c>
      <c r="L19" s="1">
        <f>MIN($E19)</f>
        <v>0</v>
      </c>
      <c r="M19" s="1">
        <f>MIN($G19)</f>
        <v>0</v>
      </c>
      <c r="N19" s="1">
        <f>MIN($H19)</f>
        <v>0</v>
      </c>
      <c r="O19" s="1">
        <f>MEDIAN($B19)</f>
        <v>0</v>
      </c>
      <c r="P19" s="1">
        <f>MEDIAN($C19)</f>
        <v>0</v>
      </c>
      <c r="Q19" s="1">
        <f>MEDIAN($D19)</f>
        <v>0</v>
      </c>
      <c r="R19" s="1">
        <f>MEDIAN($E19)</f>
        <v>0</v>
      </c>
      <c r="S19" s="1">
        <f>MEDIAN($G19)</f>
        <v>0</v>
      </c>
      <c r="T19" s="1">
        <f>MEDIAN($H19)</f>
        <v>0</v>
      </c>
      <c r="U19" s="1">
        <f>MAX($B19)</f>
        <v>0</v>
      </c>
      <c r="V19" s="1">
        <f>MAX($C19)</f>
        <v>0</v>
      </c>
      <c r="W19" s="1">
        <f>MAX($D19)</f>
        <v>0</v>
      </c>
      <c r="X19" s="1">
        <f>MAX($E19)</f>
        <v>0</v>
      </c>
      <c r="Y19" s="1">
        <f>MAX($G19)</f>
        <v>0</v>
      </c>
      <c r="Z19" s="1">
        <f>MAX($H19)</f>
        <v>0</v>
      </c>
    </row>
    <row r="20" spans="1:26">
      <c r="A20" s="1" t="s">
        <v>17</v>
      </c>
      <c r="B20" s="1">
        <v>1</v>
      </c>
      <c r="C20" s="1">
        <v>34015</v>
      </c>
      <c r="D20" s="1">
        <v>0</v>
      </c>
      <c r="E20" s="1">
        <v>20000</v>
      </c>
      <c r="F20" s="1" t="s">
        <v>155</v>
      </c>
      <c r="G20" s="1">
        <v>10000</v>
      </c>
      <c r="H20" s="1">
        <v>1</v>
      </c>
      <c r="I20" s="1">
        <f>MIN($B20)</f>
        <v>0</v>
      </c>
      <c r="J20" s="1">
        <f>MIN($C20)</f>
        <v>0</v>
      </c>
      <c r="K20" s="1">
        <f>MIN($D20)</f>
        <v>0</v>
      </c>
      <c r="L20" s="1">
        <f>MIN($E20)</f>
        <v>0</v>
      </c>
      <c r="M20" s="1">
        <f>MIN($G20)</f>
        <v>0</v>
      </c>
      <c r="N20" s="1">
        <f>MIN($H20)</f>
        <v>0</v>
      </c>
      <c r="O20" s="1">
        <f>MEDIAN($B20)</f>
        <v>0</v>
      </c>
      <c r="P20" s="1">
        <f>MEDIAN($C20)</f>
        <v>0</v>
      </c>
      <c r="Q20" s="1">
        <f>MEDIAN($D20)</f>
        <v>0</v>
      </c>
      <c r="R20" s="1">
        <f>MEDIAN($E20)</f>
        <v>0</v>
      </c>
      <c r="S20" s="1">
        <f>MEDIAN($G20)</f>
        <v>0</v>
      </c>
      <c r="T20" s="1">
        <f>MEDIAN($H20)</f>
        <v>0</v>
      </c>
      <c r="U20" s="1">
        <f>MAX($B20)</f>
        <v>0</v>
      </c>
      <c r="V20" s="1">
        <f>MAX($C20)</f>
        <v>0</v>
      </c>
      <c r="W20" s="1">
        <f>MAX($D20)</f>
        <v>0</v>
      </c>
      <c r="X20" s="1">
        <f>MAX($E20)</f>
        <v>0</v>
      </c>
      <c r="Y20" s="1">
        <f>MAX($G20)</f>
        <v>0</v>
      </c>
      <c r="Z20" s="1">
        <f>MAX($H20)</f>
        <v>0</v>
      </c>
    </row>
    <row r="21" spans="1:26">
      <c r="A21" s="1" t="s">
        <v>18</v>
      </c>
      <c r="B21" s="1">
        <v>1</v>
      </c>
      <c r="C21" s="1"/>
      <c r="D21" s="1">
        <v>0</v>
      </c>
      <c r="E21" s="1">
        <v>20000</v>
      </c>
      <c r="F21" s="1"/>
      <c r="G21" s="1">
        <v>10000</v>
      </c>
      <c r="H21" s="1">
        <v>1</v>
      </c>
      <c r="I21" s="1">
        <f>MIN($B21)</f>
        <v>0</v>
      </c>
      <c r="J21" s="1"/>
      <c r="K21" s="1">
        <f>MIN($D21)</f>
        <v>0</v>
      </c>
      <c r="L21" s="1">
        <f>MIN($E21)</f>
        <v>0</v>
      </c>
      <c r="M21" s="1">
        <f>MIN($G21)</f>
        <v>0</v>
      </c>
      <c r="N21" s="1">
        <f>MIN($H21)</f>
        <v>0</v>
      </c>
      <c r="O21" s="1">
        <f>MEDIAN($B21)</f>
        <v>0</v>
      </c>
      <c r="P21" s="1"/>
      <c r="Q21" s="1">
        <f>MEDIAN($D21)</f>
        <v>0</v>
      </c>
      <c r="R21" s="1">
        <f>MEDIAN($E21)</f>
        <v>0</v>
      </c>
      <c r="S21" s="1">
        <f>MEDIAN($G21)</f>
        <v>0</v>
      </c>
      <c r="T21" s="1">
        <f>MEDIAN($H21)</f>
        <v>0</v>
      </c>
      <c r="U21" s="1">
        <f>MAX($B21)</f>
        <v>0</v>
      </c>
      <c r="V21" s="1"/>
      <c r="W21" s="1">
        <f>MAX($D21)</f>
        <v>0</v>
      </c>
      <c r="X21" s="1">
        <f>MAX($E21)</f>
        <v>0</v>
      </c>
      <c r="Y21" s="1">
        <f>MAX($G21)</f>
        <v>0</v>
      </c>
      <c r="Z21" s="1">
        <f>MAX($H21)</f>
        <v>0</v>
      </c>
    </row>
    <row r="22" spans="1:26">
      <c r="A22" s="1" t="s">
        <v>19</v>
      </c>
      <c r="B22" s="1">
        <v>1</v>
      </c>
      <c r="C22" s="1">
        <v>28480</v>
      </c>
      <c r="D22" s="1">
        <v>0</v>
      </c>
      <c r="E22" s="1">
        <v>20000</v>
      </c>
      <c r="F22" s="1" t="s">
        <v>155</v>
      </c>
      <c r="G22" s="1">
        <v>10000</v>
      </c>
      <c r="H22" s="1">
        <v>1</v>
      </c>
      <c r="I22" s="1">
        <f>MIN($B22)</f>
        <v>0</v>
      </c>
      <c r="J22" s="1">
        <f>MIN($C22)</f>
        <v>0</v>
      </c>
      <c r="K22" s="1">
        <f>MIN($D22)</f>
        <v>0</v>
      </c>
      <c r="L22" s="1">
        <f>MIN($E22)</f>
        <v>0</v>
      </c>
      <c r="M22" s="1">
        <f>MIN($G22)</f>
        <v>0</v>
      </c>
      <c r="N22" s="1">
        <f>MIN($H22)</f>
        <v>0</v>
      </c>
      <c r="O22" s="1">
        <f>MEDIAN($B22)</f>
        <v>0</v>
      </c>
      <c r="P22" s="1">
        <f>MEDIAN($C22)</f>
        <v>0</v>
      </c>
      <c r="Q22" s="1">
        <f>MEDIAN($D22)</f>
        <v>0</v>
      </c>
      <c r="R22" s="1">
        <f>MEDIAN($E22)</f>
        <v>0</v>
      </c>
      <c r="S22" s="1">
        <f>MEDIAN($G22)</f>
        <v>0</v>
      </c>
      <c r="T22" s="1">
        <f>MEDIAN($H22)</f>
        <v>0</v>
      </c>
      <c r="U22" s="1">
        <f>MAX($B22)</f>
        <v>0</v>
      </c>
      <c r="V22" s="1">
        <f>MAX($C22)</f>
        <v>0</v>
      </c>
      <c r="W22" s="1">
        <f>MAX($D22)</f>
        <v>0</v>
      </c>
      <c r="X22" s="1">
        <f>MAX($E22)</f>
        <v>0</v>
      </c>
      <c r="Y22" s="1">
        <f>MAX($G22)</f>
        <v>0</v>
      </c>
      <c r="Z22" s="1">
        <f>MAX($H22)</f>
        <v>0</v>
      </c>
    </row>
    <row r="23" spans="1:26">
      <c r="A23" s="1" t="s">
        <v>20</v>
      </c>
      <c r="B23" s="1">
        <v>1</v>
      </c>
      <c r="C23" s="1"/>
      <c r="D23" s="1">
        <v>0</v>
      </c>
      <c r="E23" s="1">
        <v>20000</v>
      </c>
      <c r="F23" s="1" t="s">
        <v>155</v>
      </c>
      <c r="G23" s="1">
        <v>10000</v>
      </c>
      <c r="H23" s="1">
        <v>1</v>
      </c>
      <c r="I23" s="1">
        <f>MIN($B23)</f>
        <v>0</v>
      </c>
      <c r="J23" s="1"/>
      <c r="K23" s="1">
        <f>MIN($D23)</f>
        <v>0</v>
      </c>
      <c r="L23" s="1">
        <f>MIN($E23)</f>
        <v>0</v>
      </c>
      <c r="M23" s="1">
        <f>MIN($G23)</f>
        <v>0</v>
      </c>
      <c r="N23" s="1">
        <f>MIN($H23)</f>
        <v>0</v>
      </c>
      <c r="O23" s="1">
        <f>MEDIAN($B23)</f>
        <v>0</v>
      </c>
      <c r="P23" s="1"/>
      <c r="Q23" s="1">
        <f>MEDIAN($D23)</f>
        <v>0</v>
      </c>
      <c r="R23" s="1">
        <f>MEDIAN($E23)</f>
        <v>0</v>
      </c>
      <c r="S23" s="1">
        <f>MEDIAN($G23)</f>
        <v>0</v>
      </c>
      <c r="T23" s="1">
        <f>MEDIAN($H23)</f>
        <v>0</v>
      </c>
      <c r="U23" s="1">
        <f>MAX($B23)</f>
        <v>0</v>
      </c>
      <c r="V23" s="1"/>
      <c r="W23" s="1">
        <f>MAX($D23)</f>
        <v>0</v>
      </c>
      <c r="X23" s="1">
        <f>MAX($E23)</f>
        <v>0</v>
      </c>
      <c r="Y23" s="1">
        <f>MAX($G23)</f>
        <v>0</v>
      </c>
      <c r="Z23" s="1">
        <f>MAX($H23)</f>
        <v>0</v>
      </c>
    </row>
    <row r="24" spans="1:26">
      <c r="A24" s="1" t="s">
        <v>21</v>
      </c>
      <c r="B24" s="1">
        <v>1</v>
      </c>
      <c r="C24" s="1">
        <v>13924</v>
      </c>
      <c r="D24" s="1">
        <v>0</v>
      </c>
      <c r="E24" s="1">
        <v>20000</v>
      </c>
      <c r="F24" s="1" t="s">
        <v>155</v>
      </c>
      <c r="G24" s="1">
        <v>10000</v>
      </c>
      <c r="H24" s="1">
        <v>1</v>
      </c>
      <c r="I24" s="1">
        <f>MIN($B24)</f>
        <v>0</v>
      </c>
      <c r="J24" s="1">
        <f>MIN($C24)</f>
        <v>0</v>
      </c>
      <c r="K24" s="1">
        <f>MIN($D24)</f>
        <v>0</v>
      </c>
      <c r="L24" s="1">
        <f>MIN($E24)</f>
        <v>0</v>
      </c>
      <c r="M24" s="1">
        <f>MIN($G24)</f>
        <v>0</v>
      </c>
      <c r="N24" s="1">
        <f>MIN($H24)</f>
        <v>0</v>
      </c>
      <c r="O24" s="1">
        <f>MEDIAN($B24)</f>
        <v>0</v>
      </c>
      <c r="P24" s="1">
        <f>MEDIAN($C24)</f>
        <v>0</v>
      </c>
      <c r="Q24" s="1">
        <f>MEDIAN($D24)</f>
        <v>0</v>
      </c>
      <c r="R24" s="1">
        <f>MEDIAN($E24)</f>
        <v>0</v>
      </c>
      <c r="S24" s="1">
        <f>MEDIAN($G24)</f>
        <v>0</v>
      </c>
      <c r="T24" s="1">
        <f>MEDIAN($H24)</f>
        <v>0</v>
      </c>
      <c r="U24" s="1">
        <f>MAX($B24)</f>
        <v>0</v>
      </c>
      <c r="V24" s="1">
        <f>MAX($C24)</f>
        <v>0</v>
      </c>
      <c r="W24" s="1">
        <f>MAX($D24)</f>
        <v>0</v>
      </c>
      <c r="X24" s="1">
        <f>MAX($E24)</f>
        <v>0</v>
      </c>
      <c r="Y24" s="1">
        <f>MAX($G24)</f>
        <v>0</v>
      </c>
      <c r="Z24" s="1">
        <f>MAX($H24)</f>
        <v>0</v>
      </c>
    </row>
    <row r="25" spans="1:26">
      <c r="A25" s="1" t="s">
        <v>22</v>
      </c>
      <c r="B25" s="1">
        <v>1</v>
      </c>
      <c r="C25" s="1">
        <v>15694</v>
      </c>
      <c r="D25" s="1">
        <v>0</v>
      </c>
      <c r="E25" s="1">
        <v>20000</v>
      </c>
      <c r="F25" s="1" t="s">
        <v>155</v>
      </c>
      <c r="G25" s="1">
        <v>10000</v>
      </c>
      <c r="H25" s="1">
        <v>1</v>
      </c>
      <c r="I25" s="1">
        <f>MIN($B25)</f>
        <v>0</v>
      </c>
      <c r="J25" s="1">
        <f>MIN($C25)</f>
        <v>0</v>
      </c>
      <c r="K25" s="1">
        <f>MIN($D25)</f>
        <v>0</v>
      </c>
      <c r="L25" s="1">
        <f>MIN($E25)</f>
        <v>0</v>
      </c>
      <c r="M25" s="1">
        <f>MIN($G25)</f>
        <v>0</v>
      </c>
      <c r="N25" s="1">
        <f>MIN($H25)</f>
        <v>0</v>
      </c>
      <c r="O25" s="1">
        <f>MEDIAN($B25)</f>
        <v>0</v>
      </c>
      <c r="P25" s="1">
        <f>MEDIAN($C25)</f>
        <v>0</v>
      </c>
      <c r="Q25" s="1">
        <f>MEDIAN($D25)</f>
        <v>0</v>
      </c>
      <c r="R25" s="1">
        <f>MEDIAN($E25)</f>
        <v>0</v>
      </c>
      <c r="S25" s="1">
        <f>MEDIAN($G25)</f>
        <v>0</v>
      </c>
      <c r="T25" s="1">
        <f>MEDIAN($H25)</f>
        <v>0</v>
      </c>
      <c r="U25" s="1">
        <f>MAX($B25)</f>
        <v>0</v>
      </c>
      <c r="V25" s="1">
        <f>MAX($C25)</f>
        <v>0</v>
      </c>
      <c r="W25" s="1">
        <f>MAX($D25)</f>
        <v>0</v>
      </c>
      <c r="X25" s="1">
        <f>MAX($E25)</f>
        <v>0</v>
      </c>
      <c r="Y25" s="1">
        <f>MAX($G25)</f>
        <v>0</v>
      </c>
      <c r="Z25" s="1">
        <f>MAX($H25)</f>
        <v>0</v>
      </c>
    </row>
    <row r="26" spans="1:26">
      <c r="A26" s="1" t="s">
        <v>23</v>
      </c>
      <c r="B26" s="1">
        <v>1</v>
      </c>
      <c r="C26" s="1">
        <v>13643</v>
      </c>
      <c r="D26" s="1">
        <v>0</v>
      </c>
      <c r="E26" s="1">
        <v>20000</v>
      </c>
      <c r="F26" s="1" t="s">
        <v>155</v>
      </c>
      <c r="G26" s="1">
        <v>10000</v>
      </c>
      <c r="H26" s="1">
        <v>1</v>
      </c>
      <c r="I26" s="1">
        <f>MIN($B26)</f>
        <v>0</v>
      </c>
      <c r="J26" s="1">
        <f>MIN($C26)</f>
        <v>0</v>
      </c>
      <c r="K26" s="1">
        <f>MIN($D26)</f>
        <v>0</v>
      </c>
      <c r="L26" s="1">
        <f>MIN($E26)</f>
        <v>0</v>
      </c>
      <c r="M26" s="1">
        <f>MIN($G26)</f>
        <v>0</v>
      </c>
      <c r="N26" s="1">
        <f>MIN($H26)</f>
        <v>0</v>
      </c>
      <c r="O26" s="1">
        <f>MEDIAN($B26)</f>
        <v>0</v>
      </c>
      <c r="P26" s="1">
        <f>MEDIAN($C26)</f>
        <v>0</v>
      </c>
      <c r="Q26" s="1">
        <f>MEDIAN($D26)</f>
        <v>0</v>
      </c>
      <c r="R26" s="1">
        <f>MEDIAN($E26)</f>
        <v>0</v>
      </c>
      <c r="S26" s="1">
        <f>MEDIAN($G26)</f>
        <v>0</v>
      </c>
      <c r="T26" s="1">
        <f>MEDIAN($H26)</f>
        <v>0</v>
      </c>
      <c r="U26" s="1">
        <f>MAX($B26)</f>
        <v>0</v>
      </c>
      <c r="V26" s="1">
        <f>MAX($C26)</f>
        <v>0</v>
      </c>
      <c r="W26" s="1">
        <f>MAX($D26)</f>
        <v>0</v>
      </c>
      <c r="X26" s="1">
        <f>MAX($E26)</f>
        <v>0</v>
      </c>
      <c r="Y26" s="1">
        <f>MAX($G26)</f>
        <v>0</v>
      </c>
      <c r="Z26" s="1">
        <f>MAX($H26)</f>
        <v>0</v>
      </c>
    </row>
    <row r="27" spans="1:26">
      <c r="A27" s="1" t="s">
        <v>24</v>
      </c>
      <c r="B27" s="1">
        <v>1</v>
      </c>
      <c r="C27" s="1">
        <v>14277</v>
      </c>
      <c r="D27" s="1">
        <v>0</v>
      </c>
      <c r="E27" s="1">
        <v>20000</v>
      </c>
      <c r="F27" s="1" t="s">
        <v>155</v>
      </c>
      <c r="G27" s="1">
        <v>10000</v>
      </c>
      <c r="H27" s="1">
        <v>1</v>
      </c>
      <c r="I27" s="1">
        <f>MIN($B27)</f>
        <v>0</v>
      </c>
      <c r="J27" s="1">
        <f>MIN($C27)</f>
        <v>0</v>
      </c>
      <c r="K27" s="1">
        <f>MIN($D27)</f>
        <v>0</v>
      </c>
      <c r="L27" s="1">
        <f>MIN($E27)</f>
        <v>0</v>
      </c>
      <c r="M27" s="1">
        <f>MIN($G27)</f>
        <v>0</v>
      </c>
      <c r="N27" s="1">
        <f>MIN($H27)</f>
        <v>0</v>
      </c>
      <c r="O27" s="1">
        <f>MEDIAN($B27)</f>
        <v>0</v>
      </c>
      <c r="P27" s="1">
        <f>MEDIAN($C27)</f>
        <v>0</v>
      </c>
      <c r="Q27" s="1">
        <f>MEDIAN($D27)</f>
        <v>0</v>
      </c>
      <c r="R27" s="1">
        <f>MEDIAN($E27)</f>
        <v>0</v>
      </c>
      <c r="S27" s="1">
        <f>MEDIAN($G27)</f>
        <v>0</v>
      </c>
      <c r="T27" s="1">
        <f>MEDIAN($H27)</f>
        <v>0</v>
      </c>
      <c r="U27" s="1">
        <f>MAX($B27)</f>
        <v>0</v>
      </c>
      <c r="V27" s="1">
        <f>MAX($C27)</f>
        <v>0</v>
      </c>
      <c r="W27" s="1">
        <f>MAX($D27)</f>
        <v>0</v>
      </c>
      <c r="X27" s="1">
        <f>MAX($E27)</f>
        <v>0</v>
      </c>
      <c r="Y27" s="1">
        <f>MAX($G27)</f>
        <v>0</v>
      </c>
      <c r="Z27" s="1">
        <f>MAX($H27)</f>
        <v>0</v>
      </c>
    </row>
    <row r="28" spans="1:26">
      <c r="A28" s="1" t="s">
        <v>25</v>
      </c>
      <c r="B28" s="1">
        <v>1</v>
      </c>
      <c r="C28" s="1">
        <v>21189</v>
      </c>
      <c r="D28" s="1">
        <v>0</v>
      </c>
      <c r="E28" s="1">
        <v>20000</v>
      </c>
      <c r="F28" s="1" t="s">
        <v>155</v>
      </c>
      <c r="G28" s="1">
        <v>10000</v>
      </c>
      <c r="H28" s="1">
        <v>1</v>
      </c>
      <c r="I28" s="1">
        <f>MIN($B28)</f>
        <v>0</v>
      </c>
      <c r="J28" s="1">
        <f>MIN($C28)</f>
        <v>0</v>
      </c>
      <c r="K28" s="1">
        <f>MIN($D28)</f>
        <v>0</v>
      </c>
      <c r="L28" s="1">
        <f>MIN($E28)</f>
        <v>0</v>
      </c>
      <c r="M28" s="1">
        <f>MIN($G28)</f>
        <v>0</v>
      </c>
      <c r="N28" s="1">
        <f>MIN($H28)</f>
        <v>0</v>
      </c>
      <c r="O28" s="1">
        <f>MEDIAN($B28)</f>
        <v>0</v>
      </c>
      <c r="P28" s="1">
        <f>MEDIAN($C28)</f>
        <v>0</v>
      </c>
      <c r="Q28" s="1">
        <f>MEDIAN($D28)</f>
        <v>0</v>
      </c>
      <c r="R28" s="1">
        <f>MEDIAN($E28)</f>
        <v>0</v>
      </c>
      <c r="S28" s="1">
        <f>MEDIAN($G28)</f>
        <v>0</v>
      </c>
      <c r="T28" s="1">
        <f>MEDIAN($H28)</f>
        <v>0</v>
      </c>
      <c r="U28" s="1">
        <f>MAX($B28)</f>
        <v>0</v>
      </c>
      <c r="V28" s="1">
        <f>MAX($C28)</f>
        <v>0</v>
      </c>
      <c r="W28" s="1">
        <f>MAX($D28)</f>
        <v>0</v>
      </c>
      <c r="X28" s="1">
        <f>MAX($E28)</f>
        <v>0</v>
      </c>
      <c r="Y28" s="1">
        <f>MAX($G28)</f>
        <v>0</v>
      </c>
      <c r="Z28" s="1">
        <f>MAX($H28)</f>
        <v>0</v>
      </c>
    </row>
    <row r="29" spans="1:26">
      <c r="A29" s="1" t="s">
        <v>26</v>
      </c>
      <c r="B29" s="1">
        <v>1</v>
      </c>
      <c r="C29" s="1">
        <v>14797</v>
      </c>
      <c r="D29" s="1">
        <v>0</v>
      </c>
      <c r="E29" s="1">
        <v>20000</v>
      </c>
      <c r="F29" s="1" t="s">
        <v>155</v>
      </c>
      <c r="G29" s="1">
        <v>10000</v>
      </c>
      <c r="H29" s="1">
        <v>1</v>
      </c>
      <c r="I29" s="1">
        <f>MIN($B29)</f>
        <v>0</v>
      </c>
      <c r="J29" s="1">
        <f>MIN($C29)</f>
        <v>0</v>
      </c>
      <c r="K29" s="1">
        <f>MIN($D29)</f>
        <v>0</v>
      </c>
      <c r="L29" s="1">
        <f>MIN($E29)</f>
        <v>0</v>
      </c>
      <c r="M29" s="1">
        <f>MIN($G29)</f>
        <v>0</v>
      </c>
      <c r="N29" s="1">
        <f>MIN($H29)</f>
        <v>0</v>
      </c>
      <c r="O29" s="1">
        <f>MEDIAN($B29)</f>
        <v>0</v>
      </c>
      <c r="P29" s="1">
        <f>MEDIAN($C29)</f>
        <v>0</v>
      </c>
      <c r="Q29" s="1">
        <f>MEDIAN($D29)</f>
        <v>0</v>
      </c>
      <c r="R29" s="1">
        <f>MEDIAN($E29)</f>
        <v>0</v>
      </c>
      <c r="S29" s="1">
        <f>MEDIAN($G29)</f>
        <v>0</v>
      </c>
      <c r="T29" s="1">
        <f>MEDIAN($H29)</f>
        <v>0</v>
      </c>
      <c r="U29" s="1">
        <f>MAX($B29)</f>
        <v>0</v>
      </c>
      <c r="V29" s="1">
        <f>MAX($C29)</f>
        <v>0</v>
      </c>
      <c r="W29" s="1">
        <f>MAX($D29)</f>
        <v>0</v>
      </c>
      <c r="X29" s="1">
        <f>MAX($E29)</f>
        <v>0</v>
      </c>
      <c r="Y29" s="1">
        <f>MAX($G29)</f>
        <v>0</v>
      </c>
      <c r="Z29" s="1">
        <f>MAX($H29)</f>
        <v>0</v>
      </c>
    </row>
    <row r="30" spans="1:26">
      <c r="A30" s="1" t="s">
        <v>27</v>
      </c>
      <c r="B30" s="1">
        <v>1</v>
      </c>
      <c r="C30" s="1">
        <v>15933</v>
      </c>
      <c r="D30" s="1">
        <v>0</v>
      </c>
      <c r="E30" s="1">
        <v>20000</v>
      </c>
      <c r="F30" s="1" t="s">
        <v>155</v>
      </c>
      <c r="G30" s="1">
        <v>10000</v>
      </c>
      <c r="H30" s="1">
        <v>1</v>
      </c>
      <c r="I30" s="1">
        <f>MIN($B30)</f>
        <v>0</v>
      </c>
      <c r="J30" s="1">
        <f>MIN($C30)</f>
        <v>0</v>
      </c>
      <c r="K30" s="1">
        <f>MIN($D30)</f>
        <v>0</v>
      </c>
      <c r="L30" s="1">
        <f>MIN($E30)</f>
        <v>0</v>
      </c>
      <c r="M30" s="1">
        <f>MIN($G30)</f>
        <v>0</v>
      </c>
      <c r="N30" s="1">
        <f>MIN($H30)</f>
        <v>0</v>
      </c>
      <c r="O30" s="1">
        <f>MEDIAN($B30)</f>
        <v>0</v>
      </c>
      <c r="P30" s="1">
        <f>MEDIAN($C30)</f>
        <v>0</v>
      </c>
      <c r="Q30" s="1">
        <f>MEDIAN($D30)</f>
        <v>0</v>
      </c>
      <c r="R30" s="1">
        <f>MEDIAN($E30)</f>
        <v>0</v>
      </c>
      <c r="S30" s="1">
        <f>MEDIAN($G30)</f>
        <v>0</v>
      </c>
      <c r="T30" s="1">
        <f>MEDIAN($H30)</f>
        <v>0</v>
      </c>
      <c r="U30" s="1">
        <f>MAX($B30)</f>
        <v>0</v>
      </c>
      <c r="V30" s="1">
        <f>MAX($C30)</f>
        <v>0</v>
      </c>
      <c r="W30" s="1">
        <f>MAX($D30)</f>
        <v>0</v>
      </c>
      <c r="X30" s="1">
        <f>MAX($E30)</f>
        <v>0</v>
      </c>
      <c r="Y30" s="1">
        <f>MAX($G30)</f>
        <v>0</v>
      </c>
      <c r="Z30" s="1">
        <f>MAX($H30)</f>
        <v>0</v>
      </c>
    </row>
    <row r="31" spans="1:26">
      <c r="A31" s="1" t="s">
        <v>28</v>
      </c>
      <c r="B31" s="1">
        <v>1</v>
      </c>
      <c r="C31" s="1">
        <v>13741</v>
      </c>
      <c r="D31" s="1">
        <v>0</v>
      </c>
      <c r="E31" s="1">
        <v>20000</v>
      </c>
      <c r="F31" s="1" t="s">
        <v>155</v>
      </c>
      <c r="G31" s="1">
        <v>10000</v>
      </c>
      <c r="H31" s="1">
        <v>1</v>
      </c>
      <c r="I31" s="1">
        <f>MIN($B31)</f>
        <v>0</v>
      </c>
      <c r="J31" s="1">
        <f>MIN($C31)</f>
        <v>0</v>
      </c>
      <c r="K31" s="1">
        <f>MIN($D31)</f>
        <v>0</v>
      </c>
      <c r="L31" s="1">
        <f>MIN($E31)</f>
        <v>0</v>
      </c>
      <c r="M31" s="1">
        <f>MIN($G31)</f>
        <v>0</v>
      </c>
      <c r="N31" s="1">
        <f>MIN($H31)</f>
        <v>0</v>
      </c>
      <c r="O31" s="1">
        <f>MEDIAN($B31)</f>
        <v>0</v>
      </c>
      <c r="P31" s="1">
        <f>MEDIAN($C31)</f>
        <v>0</v>
      </c>
      <c r="Q31" s="1">
        <f>MEDIAN($D31)</f>
        <v>0</v>
      </c>
      <c r="R31" s="1">
        <f>MEDIAN($E31)</f>
        <v>0</v>
      </c>
      <c r="S31" s="1">
        <f>MEDIAN($G31)</f>
        <v>0</v>
      </c>
      <c r="T31" s="1">
        <f>MEDIAN($H31)</f>
        <v>0</v>
      </c>
      <c r="U31" s="1">
        <f>MAX($B31)</f>
        <v>0</v>
      </c>
      <c r="V31" s="1">
        <f>MAX($C31)</f>
        <v>0</v>
      </c>
      <c r="W31" s="1">
        <f>MAX($D31)</f>
        <v>0</v>
      </c>
      <c r="X31" s="1">
        <f>MAX($E31)</f>
        <v>0</v>
      </c>
      <c r="Y31" s="1">
        <f>MAX($G31)</f>
        <v>0</v>
      </c>
      <c r="Z31" s="1">
        <f>MAX($H31)</f>
        <v>0</v>
      </c>
    </row>
    <row r="32" spans="1:26">
      <c r="A32" s="1" t="s">
        <v>29</v>
      </c>
      <c r="B32" s="1">
        <v>1</v>
      </c>
      <c r="C32" s="1">
        <v>11613</v>
      </c>
      <c r="D32" s="1">
        <v>0</v>
      </c>
      <c r="E32" s="1">
        <v>20000</v>
      </c>
      <c r="F32" s="1" t="s">
        <v>155</v>
      </c>
      <c r="G32" s="1">
        <v>10000</v>
      </c>
      <c r="H32" s="1">
        <v>1</v>
      </c>
      <c r="I32" s="1">
        <f>MIN($B32)</f>
        <v>0</v>
      </c>
      <c r="J32" s="1">
        <f>MIN($C32)</f>
        <v>0</v>
      </c>
      <c r="K32" s="1">
        <f>MIN($D32)</f>
        <v>0</v>
      </c>
      <c r="L32" s="1">
        <f>MIN($E32)</f>
        <v>0</v>
      </c>
      <c r="M32" s="1">
        <f>MIN($G32)</f>
        <v>0</v>
      </c>
      <c r="N32" s="1">
        <f>MIN($H32)</f>
        <v>0</v>
      </c>
      <c r="O32" s="1">
        <f>MEDIAN($B32)</f>
        <v>0</v>
      </c>
      <c r="P32" s="1">
        <f>MEDIAN($C32)</f>
        <v>0</v>
      </c>
      <c r="Q32" s="1">
        <f>MEDIAN($D32)</f>
        <v>0</v>
      </c>
      <c r="R32" s="1">
        <f>MEDIAN($E32)</f>
        <v>0</v>
      </c>
      <c r="S32" s="1">
        <f>MEDIAN($G32)</f>
        <v>0</v>
      </c>
      <c r="T32" s="1">
        <f>MEDIAN($H32)</f>
        <v>0</v>
      </c>
      <c r="U32" s="1">
        <f>MAX($B32)</f>
        <v>0</v>
      </c>
      <c r="V32" s="1">
        <f>MAX($C32)</f>
        <v>0</v>
      </c>
      <c r="W32" s="1">
        <f>MAX($D32)</f>
        <v>0</v>
      </c>
      <c r="X32" s="1">
        <f>MAX($E32)</f>
        <v>0</v>
      </c>
      <c r="Y32" s="1">
        <f>MAX($G32)</f>
        <v>0</v>
      </c>
      <c r="Z32" s="1">
        <f>MAX($H32)</f>
        <v>0</v>
      </c>
    </row>
    <row r="33" spans="1:26">
      <c r="A33" s="1" t="s">
        <v>30</v>
      </c>
      <c r="B33" s="1">
        <v>1</v>
      </c>
      <c r="C33" s="1">
        <v>10825</v>
      </c>
      <c r="D33" s="1">
        <v>0</v>
      </c>
      <c r="E33" s="1">
        <v>20000</v>
      </c>
      <c r="F33" s="1" t="s">
        <v>155</v>
      </c>
      <c r="G33" s="1">
        <v>10000</v>
      </c>
      <c r="H33" s="1">
        <v>1</v>
      </c>
      <c r="I33" s="1">
        <f>MIN($B33)</f>
        <v>0</v>
      </c>
      <c r="J33" s="1">
        <f>MIN($C33)</f>
        <v>0</v>
      </c>
      <c r="K33" s="1">
        <f>MIN($D33)</f>
        <v>0</v>
      </c>
      <c r="L33" s="1">
        <f>MIN($E33)</f>
        <v>0</v>
      </c>
      <c r="M33" s="1">
        <f>MIN($G33)</f>
        <v>0</v>
      </c>
      <c r="N33" s="1">
        <f>MIN($H33)</f>
        <v>0</v>
      </c>
      <c r="O33" s="1">
        <f>MEDIAN($B33)</f>
        <v>0</v>
      </c>
      <c r="P33" s="1">
        <f>MEDIAN($C33)</f>
        <v>0</v>
      </c>
      <c r="Q33" s="1">
        <f>MEDIAN($D33)</f>
        <v>0</v>
      </c>
      <c r="R33" s="1">
        <f>MEDIAN($E33)</f>
        <v>0</v>
      </c>
      <c r="S33" s="1">
        <f>MEDIAN($G33)</f>
        <v>0</v>
      </c>
      <c r="T33" s="1">
        <f>MEDIAN($H33)</f>
        <v>0</v>
      </c>
      <c r="U33" s="1">
        <f>MAX($B33)</f>
        <v>0</v>
      </c>
      <c r="V33" s="1">
        <f>MAX($C33)</f>
        <v>0</v>
      </c>
      <c r="W33" s="1">
        <f>MAX($D33)</f>
        <v>0</v>
      </c>
      <c r="X33" s="1">
        <f>MAX($E33)</f>
        <v>0</v>
      </c>
      <c r="Y33" s="1">
        <f>MAX($G33)</f>
        <v>0</v>
      </c>
      <c r="Z33" s="1">
        <f>MAX($H33)</f>
        <v>0</v>
      </c>
    </row>
    <row r="34" spans="1:26">
      <c r="A34" s="1" t="s">
        <v>31</v>
      </c>
      <c r="B34" s="1">
        <v>1</v>
      </c>
      <c r="C34" s="1">
        <v>11786</v>
      </c>
      <c r="D34" s="1">
        <v>0</v>
      </c>
      <c r="E34" s="1">
        <v>20000</v>
      </c>
      <c r="F34" s="1" t="s">
        <v>155</v>
      </c>
      <c r="G34" s="1">
        <v>10000</v>
      </c>
      <c r="H34" s="1">
        <v>1</v>
      </c>
      <c r="I34" s="1">
        <f>MIN($B34)</f>
        <v>0</v>
      </c>
      <c r="J34" s="1">
        <f>MIN($C34)</f>
        <v>0</v>
      </c>
      <c r="K34" s="1">
        <f>MIN($D34)</f>
        <v>0</v>
      </c>
      <c r="L34" s="1">
        <f>MIN($E34)</f>
        <v>0</v>
      </c>
      <c r="M34" s="1">
        <f>MIN($G34)</f>
        <v>0</v>
      </c>
      <c r="N34" s="1">
        <f>MIN($H34)</f>
        <v>0</v>
      </c>
      <c r="O34" s="1">
        <f>MEDIAN($B34)</f>
        <v>0</v>
      </c>
      <c r="P34" s="1">
        <f>MEDIAN($C34)</f>
        <v>0</v>
      </c>
      <c r="Q34" s="1">
        <f>MEDIAN($D34)</f>
        <v>0</v>
      </c>
      <c r="R34" s="1">
        <f>MEDIAN($E34)</f>
        <v>0</v>
      </c>
      <c r="S34" s="1">
        <f>MEDIAN($G34)</f>
        <v>0</v>
      </c>
      <c r="T34" s="1">
        <f>MEDIAN($H34)</f>
        <v>0</v>
      </c>
      <c r="U34" s="1">
        <f>MAX($B34)</f>
        <v>0</v>
      </c>
      <c r="V34" s="1">
        <f>MAX($C34)</f>
        <v>0</v>
      </c>
      <c r="W34" s="1">
        <f>MAX($D34)</f>
        <v>0</v>
      </c>
      <c r="X34" s="1">
        <f>MAX($E34)</f>
        <v>0</v>
      </c>
      <c r="Y34" s="1">
        <f>MAX($G34)</f>
        <v>0</v>
      </c>
      <c r="Z34" s="1">
        <f>MAX($H34)</f>
        <v>0</v>
      </c>
    </row>
    <row r="35" spans="1:26">
      <c r="A35" s="1" t="s">
        <v>32</v>
      </c>
      <c r="B35" s="1">
        <v>1</v>
      </c>
      <c r="C35" s="1">
        <v>13495</v>
      </c>
      <c r="D35" s="1">
        <v>0</v>
      </c>
      <c r="E35" s="1">
        <v>20000</v>
      </c>
      <c r="F35" s="1" t="s">
        <v>155</v>
      </c>
      <c r="G35" s="1">
        <v>10000</v>
      </c>
      <c r="H35" s="1">
        <v>1</v>
      </c>
      <c r="I35" s="1">
        <f>MIN($B35)</f>
        <v>0</v>
      </c>
      <c r="J35" s="1">
        <f>MIN($C35)</f>
        <v>0</v>
      </c>
      <c r="K35" s="1">
        <f>MIN($D35)</f>
        <v>0</v>
      </c>
      <c r="L35" s="1">
        <f>MIN($E35)</f>
        <v>0</v>
      </c>
      <c r="M35" s="1">
        <f>MIN($G35)</f>
        <v>0</v>
      </c>
      <c r="N35" s="1">
        <f>MIN($H35)</f>
        <v>0</v>
      </c>
      <c r="O35" s="1">
        <f>MEDIAN($B35)</f>
        <v>0</v>
      </c>
      <c r="P35" s="1">
        <f>MEDIAN($C35)</f>
        <v>0</v>
      </c>
      <c r="Q35" s="1">
        <f>MEDIAN($D35)</f>
        <v>0</v>
      </c>
      <c r="R35" s="1">
        <f>MEDIAN($E35)</f>
        <v>0</v>
      </c>
      <c r="S35" s="1">
        <f>MEDIAN($G35)</f>
        <v>0</v>
      </c>
      <c r="T35" s="1">
        <f>MEDIAN($H35)</f>
        <v>0</v>
      </c>
      <c r="U35" s="1">
        <f>MAX($B35)</f>
        <v>0</v>
      </c>
      <c r="V35" s="1">
        <f>MAX($C35)</f>
        <v>0</v>
      </c>
      <c r="W35" s="1">
        <f>MAX($D35)</f>
        <v>0</v>
      </c>
      <c r="X35" s="1">
        <f>MAX($E35)</f>
        <v>0</v>
      </c>
      <c r="Y35" s="1">
        <f>MAX($G35)</f>
        <v>0</v>
      </c>
      <c r="Z35" s="1">
        <f>MAX($H35)</f>
        <v>0</v>
      </c>
    </row>
    <row r="36" spans="1:26">
      <c r="A36" s="1" t="s">
        <v>33</v>
      </c>
      <c r="B36" s="1">
        <v>1</v>
      </c>
      <c r="C36" s="1">
        <v>13900</v>
      </c>
      <c r="D36" s="1">
        <v>0</v>
      </c>
      <c r="E36" s="1">
        <v>20000</v>
      </c>
      <c r="F36" s="1" t="s">
        <v>155</v>
      </c>
      <c r="G36" s="1">
        <v>10000</v>
      </c>
      <c r="H36" s="1">
        <v>1</v>
      </c>
      <c r="I36" s="1">
        <f>MIN($B36)</f>
        <v>0</v>
      </c>
      <c r="J36" s="1">
        <f>MIN($C36)</f>
        <v>0</v>
      </c>
      <c r="K36" s="1">
        <f>MIN($D36)</f>
        <v>0</v>
      </c>
      <c r="L36" s="1">
        <f>MIN($E36)</f>
        <v>0</v>
      </c>
      <c r="M36" s="1">
        <f>MIN($G36)</f>
        <v>0</v>
      </c>
      <c r="N36" s="1">
        <f>MIN($H36)</f>
        <v>0</v>
      </c>
      <c r="O36" s="1">
        <f>MEDIAN($B36)</f>
        <v>0</v>
      </c>
      <c r="P36" s="1">
        <f>MEDIAN($C36)</f>
        <v>0</v>
      </c>
      <c r="Q36" s="1">
        <f>MEDIAN($D36)</f>
        <v>0</v>
      </c>
      <c r="R36" s="1">
        <f>MEDIAN($E36)</f>
        <v>0</v>
      </c>
      <c r="S36" s="1">
        <f>MEDIAN($G36)</f>
        <v>0</v>
      </c>
      <c r="T36" s="1">
        <f>MEDIAN($H36)</f>
        <v>0</v>
      </c>
      <c r="U36" s="1">
        <f>MAX($B36)</f>
        <v>0</v>
      </c>
      <c r="V36" s="1">
        <f>MAX($C36)</f>
        <v>0</v>
      </c>
      <c r="W36" s="1">
        <f>MAX($D36)</f>
        <v>0</v>
      </c>
      <c r="X36" s="1">
        <f>MAX($E36)</f>
        <v>0</v>
      </c>
      <c r="Y36" s="1">
        <f>MAX($G36)</f>
        <v>0</v>
      </c>
      <c r="Z36" s="1">
        <f>MAX($H36)</f>
        <v>0</v>
      </c>
    </row>
    <row r="37" spans="1:26">
      <c r="A37" s="1" t="s">
        <v>34</v>
      </c>
      <c r="B37" s="1">
        <v>0</v>
      </c>
      <c r="C37" s="1">
        <v>32406</v>
      </c>
      <c r="D37" s="1">
        <v>0</v>
      </c>
      <c r="E37" s="1">
        <v>20000</v>
      </c>
      <c r="F37" s="1" t="s">
        <v>157</v>
      </c>
      <c r="G37" s="1">
        <v>10000</v>
      </c>
      <c r="H37" s="1">
        <v>1</v>
      </c>
      <c r="I37" s="1">
        <f>MIN($B37)</f>
        <v>0</v>
      </c>
      <c r="J37" s="1">
        <f>MIN($C37)</f>
        <v>0</v>
      </c>
      <c r="K37" s="1">
        <f>MIN($D37)</f>
        <v>0</v>
      </c>
      <c r="L37" s="1">
        <f>MIN($E37)</f>
        <v>0</v>
      </c>
      <c r="M37" s="1">
        <f>MIN($G37)</f>
        <v>0</v>
      </c>
      <c r="N37" s="1">
        <f>MIN($H37)</f>
        <v>0</v>
      </c>
      <c r="O37" s="1">
        <f>MEDIAN($B37)</f>
        <v>0</v>
      </c>
      <c r="P37" s="1">
        <f>MEDIAN($C37)</f>
        <v>0</v>
      </c>
      <c r="Q37" s="1">
        <f>MEDIAN($D37)</f>
        <v>0</v>
      </c>
      <c r="R37" s="1">
        <f>MEDIAN($E37)</f>
        <v>0</v>
      </c>
      <c r="S37" s="1">
        <f>MEDIAN($G37)</f>
        <v>0</v>
      </c>
      <c r="T37" s="1">
        <f>MEDIAN($H37)</f>
        <v>0</v>
      </c>
      <c r="U37" s="1">
        <f>MAX($B37)</f>
        <v>0</v>
      </c>
      <c r="V37" s="1">
        <f>MAX($C37)</f>
        <v>0</v>
      </c>
      <c r="W37" s="1">
        <f>MAX($D37)</f>
        <v>0</v>
      </c>
      <c r="X37" s="1">
        <f>MAX($E37)</f>
        <v>0</v>
      </c>
      <c r="Y37" s="1">
        <f>MAX($G37)</f>
        <v>0</v>
      </c>
      <c r="Z37" s="1">
        <f>MAX($H37)</f>
        <v>0</v>
      </c>
    </row>
    <row r="38" spans="1:26">
      <c r="A38" s="1" t="s">
        <v>35</v>
      </c>
      <c r="B38" s="1">
        <v>0</v>
      </c>
      <c r="C38" s="1">
        <v>7489</v>
      </c>
      <c r="D38" s="1">
        <v>0</v>
      </c>
      <c r="E38" s="1">
        <v>116.5</v>
      </c>
      <c r="F38" s="1" t="s">
        <v>157</v>
      </c>
      <c r="G38" s="1">
        <v>116.5</v>
      </c>
      <c r="H38" s="1">
        <v>0</v>
      </c>
      <c r="I38" s="1">
        <f>MIN($B38)</f>
        <v>0</v>
      </c>
      <c r="J38" s="1">
        <f>MIN($C38)</f>
        <v>0</v>
      </c>
      <c r="K38" s="1">
        <f>MIN($D38)</f>
        <v>0</v>
      </c>
      <c r="L38" s="1">
        <f>MIN($E38)</f>
        <v>0</v>
      </c>
      <c r="M38" s="1">
        <f>MIN($G38)</f>
        <v>0</v>
      </c>
      <c r="N38" s="1">
        <f>MIN($H38)</f>
        <v>0</v>
      </c>
      <c r="O38" s="1">
        <f>MEDIAN($B38)</f>
        <v>0</v>
      </c>
      <c r="P38" s="1">
        <f>MEDIAN($C38)</f>
        <v>0</v>
      </c>
      <c r="Q38" s="1">
        <f>MEDIAN($D38)</f>
        <v>0</v>
      </c>
      <c r="R38" s="1">
        <f>MEDIAN($E38)</f>
        <v>0</v>
      </c>
      <c r="S38" s="1">
        <f>MEDIAN($G38)</f>
        <v>0</v>
      </c>
      <c r="T38" s="1">
        <f>MEDIAN($H38)</f>
        <v>0</v>
      </c>
      <c r="U38" s="1">
        <f>MAX($B38)</f>
        <v>0</v>
      </c>
      <c r="V38" s="1">
        <f>MAX($C38)</f>
        <v>0</v>
      </c>
      <c r="W38" s="1">
        <f>MAX($D38)</f>
        <v>0</v>
      </c>
      <c r="X38" s="1">
        <f>MAX($E38)</f>
        <v>0</v>
      </c>
      <c r="Y38" s="1">
        <f>MAX($G38)</f>
        <v>0</v>
      </c>
      <c r="Z38" s="1">
        <f>MAX($H38)</f>
        <v>0</v>
      </c>
    </row>
    <row r="39" spans="1:26">
      <c r="A39" s="1" t="s">
        <v>36</v>
      </c>
      <c r="B39" s="1">
        <v>0</v>
      </c>
      <c r="C39" s="1">
        <v>10899</v>
      </c>
      <c r="D39" s="1">
        <v>0</v>
      </c>
      <c r="E39" s="1">
        <v>372.96</v>
      </c>
      <c r="F39" s="1" t="s">
        <v>157</v>
      </c>
      <c r="G39" s="1">
        <v>372.96</v>
      </c>
      <c r="H39" s="1">
        <v>0</v>
      </c>
      <c r="I39" s="1">
        <f>MIN($B39)</f>
        <v>0</v>
      </c>
      <c r="J39" s="1">
        <f>MIN($C39)</f>
        <v>0</v>
      </c>
      <c r="K39" s="1">
        <f>MIN($D39)</f>
        <v>0</v>
      </c>
      <c r="L39" s="1">
        <f>MIN($E39)</f>
        <v>0</v>
      </c>
      <c r="M39" s="1">
        <f>MIN($G39)</f>
        <v>0</v>
      </c>
      <c r="N39" s="1">
        <f>MIN($H39)</f>
        <v>0</v>
      </c>
      <c r="O39" s="1">
        <f>MEDIAN($B39)</f>
        <v>0</v>
      </c>
      <c r="P39" s="1">
        <f>MEDIAN($C39)</f>
        <v>0</v>
      </c>
      <c r="Q39" s="1">
        <f>MEDIAN($D39)</f>
        <v>0</v>
      </c>
      <c r="R39" s="1">
        <f>MEDIAN($E39)</f>
        <v>0</v>
      </c>
      <c r="S39" s="1">
        <f>MEDIAN($G39)</f>
        <v>0</v>
      </c>
      <c r="T39" s="1">
        <f>MEDIAN($H39)</f>
        <v>0</v>
      </c>
      <c r="U39" s="1">
        <f>MAX($B39)</f>
        <v>0</v>
      </c>
      <c r="V39" s="1">
        <f>MAX($C39)</f>
        <v>0</v>
      </c>
      <c r="W39" s="1">
        <f>MAX($D39)</f>
        <v>0</v>
      </c>
      <c r="X39" s="1">
        <f>MAX($E39)</f>
        <v>0</v>
      </c>
      <c r="Y39" s="1">
        <f>MAX($G39)</f>
        <v>0</v>
      </c>
      <c r="Z39" s="1">
        <f>MAX($H39)</f>
        <v>0</v>
      </c>
    </row>
    <row r="40" spans="1:26">
      <c r="A40" s="1" t="s">
        <v>37</v>
      </c>
      <c r="B40" s="1">
        <v>0</v>
      </c>
      <c r="C40" s="1">
        <v>7844</v>
      </c>
      <c r="D40" s="1">
        <v>0</v>
      </c>
      <c r="E40" s="1">
        <v>127.41</v>
      </c>
      <c r="F40" s="1" t="s">
        <v>157</v>
      </c>
      <c r="G40" s="1">
        <v>127.41</v>
      </c>
      <c r="H40" s="1">
        <v>0</v>
      </c>
      <c r="I40" s="1">
        <f>MIN($B40)</f>
        <v>0</v>
      </c>
      <c r="J40" s="1">
        <f>MIN($C40)</f>
        <v>0</v>
      </c>
      <c r="K40" s="1">
        <f>MIN($D40)</f>
        <v>0</v>
      </c>
      <c r="L40" s="1">
        <f>MIN($E40)</f>
        <v>0</v>
      </c>
      <c r="M40" s="1">
        <f>MIN($G40)</f>
        <v>0</v>
      </c>
      <c r="N40" s="1">
        <f>MIN($H40)</f>
        <v>0</v>
      </c>
      <c r="O40" s="1">
        <f>MEDIAN($B40)</f>
        <v>0</v>
      </c>
      <c r="P40" s="1">
        <f>MEDIAN($C40)</f>
        <v>0</v>
      </c>
      <c r="Q40" s="1">
        <f>MEDIAN($D40)</f>
        <v>0</v>
      </c>
      <c r="R40" s="1">
        <f>MEDIAN($E40)</f>
        <v>0</v>
      </c>
      <c r="S40" s="1">
        <f>MEDIAN($G40)</f>
        <v>0</v>
      </c>
      <c r="T40" s="1">
        <f>MEDIAN($H40)</f>
        <v>0</v>
      </c>
      <c r="U40" s="1">
        <f>MAX($B40)</f>
        <v>0</v>
      </c>
      <c r="V40" s="1">
        <f>MAX($C40)</f>
        <v>0</v>
      </c>
      <c r="W40" s="1">
        <f>MAX($D40)</f>
        <v>0</v>
      </c>
      <c r="X40" s="1">
        <f>MAX($E40)</f>
        <v>0</v>
      </c>
      <c r="Y40" s="1">
        <f>MAX($G40)</f>
        <v>0</v>
      </c>
      <c r="Z40" s="1">
        <f>MAX($H40)</f>
        <v>0</v>
      </c>
    </row>
    <row r="41" spans="1:26">
      <c r="A41" s="1" t="s">
        <v>38</v>
      </c>
      <c r="B41" s="1">
        <v>1</v>
      </c>
      <c r="C41" s="1">
        <v>13719</v>
      </c>
      <c r="D41" s="1">
        <v>0</v>
      </c>
      <c r="E41" s="1">
        <v>20000</v>
      </c>
      <c r="F41" s="1" t="s">
        <v>155</v>
      </c>
      <c r="G41" s="1">
        <v>10000</v>
      </c>
      <c r="H41" s="1">
        <v>1</v>
      </c>
      <c r="I41" s="1">
        <f>MIN($B41)</f>
        <v>0</v>
      </c>
      <c r="J41" s="1">
        <f>MIN($C41)</f>
        <v>0</v>
      </c>
      <c r="K41" s="1">
        <f>MIN($D41)</f>
        <v>0</v>
      </c>
      <c r="L41" s="1">
        <f>MIN($E41)</f>
        <v>0</v>
      </c>
      <c r="M41" s="1">
        <f>MIN($G41)</f>
        <v>0</v>
      </c>
      <c r="N41" s="1">
        <f>MIN($H41)</f>
        <v>0</v>
      </c>
      <c r="O41" s="1">
        <f>MEDIAN($B41)</f>
        <v>0</v>
      </c>
      <c r="P41" s="1">
        <f>MEDIAN($C41)</f>
        <v>0</v>
      </c>
      <c r="Q41" s="1">
        <f>MEDIAN($D41)</f>
        <v>0</v>
      </c>
      <c r="R41" s="1">
        <f>MEDIAN($E41)</f>
        <v>0</v>
      </c>
      <c r="S41" s="1">
        <f>MEDIAN($G41)</f>
        <v>0</v>
      </c>
      <c r="T41" s="1">
        <f>MEDIAN($H41)</f>
        <v>0</v>
      </c>
      <c r="U41" s="1">
        <f>MAX($B41)</f>
        <v>0</v>
      </c>
      <c r="V41" s="1">
        <f>MAX($C41)</f>
        <v>0</v>
      </c>
      <c r="W41" s="1">
        <f>MAX($D41)</f>
        <v>0</v>
      </c>
      <c r="X41" s="1">
        <f>MAX($E41)</f>
        <v>0</v>
      </c>
      <c r="Y41" s="1">
        <f>MAX($G41)</f>
        <v>0</v>
      </c>
      <c r="Z41" s="1">
        <f>MAX($H41)</f>
        <v>0</v>
      </c>
    </row>
    <row r="42" spans="1:26">
      <c r="A42" s="1" t="s">
        <v>39</v>
      </c>
      <c r="B42" s="1">
        <v>0</v>
      </c>
      <c r="C42" s="1">
        <v>7822</v>
      </c>
      <c r="D42" s="1">
        <v>0</v>
      </c>
      <c r="E42" s="1">
        <v>125.62</v>
      </c>
      <c r="F42" s="1" t="s">
        <v>157</v>
      </c>
      <c r="G42" s="1">
        <v>125.62</v>
      </c>
      <c r="H42" s="1">
        <v>0</v>
      </c>
      <c r="I42" s="1">
        <f>MIN($B42)</f>
        <v>0</v>
      </c>
      <c r="J42" s="1">
        <f>MIN($C42)</f>
        <v>0</v>
      </c>
      <c r="K42" s="1">
        <f>MIN($D42)</f>
        <v>0</v>
      </c>
      <c r="L42" s="1">
        <f>MIN($E42)</f>
        <v>0</v>
      </c>
      <c r="M42" s="1">
        <f>MIN($G42)</f>
        <v>0</v>
      </c>
      <c r="N42" s="1">
        <f>MIN($H42)</f>
        <v>0</v>
      </c>
      <c r="O42" s="1">
        <f>MEDIAN($B42)</f>
        <v>0</v>
      </c>
      <c r="P42" s="1">
        <f>MEDIAN($C42)</f>
        <v>0</v>
      </c>
      <c r="Q42" s="1">
        <f>MEDIAN($D42)</f>
        <v>0</v>
      </c>
      <c r="R42" s="1">
        <f>MEDIAN($E42)</f>
        <v>0</v>
      </c>
      <c r="S42" s="1">
        <f>MEDIAN($G42)</f>
        <v>0</v>
      </c>
      <c r="T42" s="1">
        <f>MEDIAN($H42)</f>
        <v>0</v>
      </c>
      <c r="U42" s="1">
        <f>MAX($B42)</f>
        <v>0</v>
      </c>
      <c r="V42" s="1">
        <f>MAX($C42)</f>
        <v>0</v>
      </c>
      <c r="W42" s="1">
        <f>MAX($D42)</f>
        <v>0</v>
      </c>
      <c r="X42" s="1">
        <f>MAX($E42)</f>
        <v>0</v>
      </c>
      <c r="Y42" s="1">
        <f>MAX($G42)</f>
        <v>0</v>
      </c>
      <c r="Z42" s="1">
        <f>MAX($H42)</f>
        <v>0</v>
      </c>
    </row>
    <row r="43" spans="1:26">
      <c r="A43" s="1" t="s">
        <v>40</v>
      </c>
      <c r="B43" s="1">
        <v>0</v>
      </c>
      <c r="C43" s="1">
        <v>11627</v>
      </c>
      <c r="D43" s="1">
        <v>0</v>
      </c>
      <c r="E43" s="1">
        <v>323.14</v>
      </c>
      <c r="F43" s="1" t="s">
        <v>157</v>
      </c>
      <c r="G43" s="1">
        <v>323.14</v>
      </c>
      <c r="H43" s="1">
        <v>0</v>
      </c>
      <c r="I43" s="1">
        <f>MIN($B43)</f>
        <v>0</v>
      </c>
      <c r="J43" s="1">
        <f>MIN($C43)</f>
        <v>0</v>
      </c>
      <c r="K43" s="1">
        <f>MIN($D43)</f>
        <v>0</v>
      </c>
      <c r="L43" s="1">
        <f>MIN($E43)</f>
        <v>0</v>
      </c>
      <c r="M43" s="1">
        <f>MIN($G43)</f>
        <v>0</v>
      </c>
      <c r="N43" s="1">
        <f>MIN($H43)</f>
        <v>0</v>
      </c>
      <c r="O43" s="1">
        <f>MEDIAN($B43)</f>
        <v>0</v>
      </c>
      <c r="P43" s="1">
        <f>MEDIAN($C43)</f>
        <v>0</v>
      </c>
      <c r="Q43" s="1">
        <f>MEDIAN($D43)</f>
        <v>0</v>
      </c>
      <c r="R43" s="1">
        <f>MEDIAN($E43)</f>
        <v>0</v>
      </c>
      <c r="S43" s="1">
        <f>MEDIAN($G43)</f>
        <v>0</v>
      </c>
      <c r="T43" s="1">
        <f>MEDIAN($H43)</f>
        <v>0</v>
      </c>
      <c r="U43" s="1">
        <f>MAX($B43)</f>
        <v>0</v>
      </c>
      <c r="V43" s="1">
        <f>MAX($C43)</f>
        <v>0</v>
      </c>
      <c r="W43" s="1">
        <f>MAX($D43)</f>
        <v>0</v>
      </c>
      <c r="X43" s="1">
        <f>MAX($E43)</f>
        <v>0</v>
      </c>
      <c r="Y43" s="1">
        <f>MAX($G43)</f>
        <v>0</v>
      </c>
      <c r="Z43" s="1">
        <f>MAX($H43)</f>
        <v>0</v>
      </c>
    </row>
    <row r="44" spans="1:26">
      <c r="A44" s="1" t="s">
        <v>41</v>
      </c>
      <c r="B44" s="1">
        <v>0</v>
      </c>
      <c r="C44" s="1">
        <v>9877</v>
      </c>
      <c r="D44" s="1">
        <v>0</v>
      </c>
      <c r="E44" s="1">
        <v>264.5</v>
      </c>
      <c r="F44" s="1" t="s">
        <v>157</v>
      </c>
      <c r="G44" s="1">
        <v>264.5</v>
      </c>
      <c r="H44" s="1">
        <v>0</v>
      </c>
      <c r="I44" s="1">
        <f>MIN($B44)</f>
        <v>0</v>
      </c>
      <c r="J44" s="1">
        <f>MIN($C44)</f>
        <v>0</v>
      </c>
      <c r="K44" s="1">
        <f>MIN($D44)</f>
        <v>0</v>
      </c>
      <c r="L44" s="1">
        <f>MIN($E44)</f>
        <v>0</v>
      </c>
      <c r="M44" s="1">
        <f>MIN($G44)</f>
        <v>0</v>
      </c>
      <c r="N44" s="1">
        <f>MIN($H44)</f>
        <v>0</v>
      </c>
      <c r="O44" s="1">
        <f>MEDIAN($B44)</f>
        <v>0</v>
      </c>
      <c r="P44" s="1">
        <f>MEDIAN($C44)</f>
        <v>0</v>
      </c>
      <c r="Q44" s="1">
        <f>MEDIAN($D44)</f>
        <v>0</v>
      </c>
      <c r="R44" s="1">
        <f>MEDIAN($E44)</f>
        <v>0</v>
      </c>
      <c r="S44" s="1">
        <f>MEDIAN($G44)</f>
        <v>0</v>
      </c>
      <c r="T44" s="1">
        <f>MEDIAN($H44)</f>
        <v>0</v>
      </c>
      <c r="U44" s="1">
        <f>MAX($B44)</f>
        <v>0</v>
      </c>
      <c r="V44" s="1">
        <f>MAX($C44)</f>
        <v>0</v>
      </c>
      <c r="W44" s="1">
        <f>MAX($D44)</f>
        <v>0</v>
      </c>
      <c r="X44" s="1">
        <f>MAX($E44)</f>
        <v>0</v>
      </c>
      <c r="Y44" s="1">
        <f>MAX($G44)</f>
        <v>0</v>
      </c>
      <c r="Z44" s="1">
        <f>MAX($H44)</f>
        <v>0</v>
      </c>
    </row>
    <row r="45" spans="1:26">
      <c r="A45" s="1" t="s">
        <v>42</v>
      </c>
      <c r="B45" s="1">
        <v>0</v>
      </c>
      <c r="C45" s="1">
        <v>17564</v>
      </c>
      <c r="D45" s="1">
        <v>0</v>
      </c>
      <c r="E45" s="1">
        <v>636.36</v>
      </c>
      <c r="F45" s="1" t="s">
        <v>157</v>
      </c>
      <c r="G45" s="1">
        <v>636.36</v>
      </c>
      <c r="H45" s="1">
        <v>0</v>
      </c>
      <c r="I45" s="1">
        <f>MIN($B45)</f>
        <v>0</v>
      </c>
      <c r="J45" s="1">
        <f>MIN($C45)</f>
        <v>0</v>
      </c>
      <c r="K45" s="1">
        <f>MIN($D45)</f>
        <v>0</v>
      </c>
      <c r="L45" s="1">
        <f>MIN($E45)</f>
        <v>0</v>
      </c>
      <c r="M45" s="1">
        <f>MIN($G45)</f>
        <v>0</v>
      </c>
      <c r="N45" s="1">
        <f>MIN($H45)</f>
        <v>0</v>
      </c>
      <c r="O45" s="1">
        <f>MEDIAN($B45)</f>
        <v>0</v>
      </c>
      <c r="P45" s="1">
        <f>MEDIAN($C45)</f>
        <v>0</v>
      </c>
      <c r="Q45" s="1">
        <f>MEDIAN($D45)</f>
        <v>0</v>
      </c>
      <c r="R45" s="1">
        <f>MEDIAN($E45)</f>
        <v>0</v>
      </c>
      <c r="S45" s="1">
        <f>MEDIAN($G45)</f>
        <v>0</v>
      </c>
      <c r="T45" s="1">
        <f>MEDIAN($H45)</f>
        <v>0</v>
      </c>
      <c r="U45" s="1">
        <f>MAX($B45)</f>
        <v>0</v>
      </c>
      <c r="V45" s="1">
        <f>MAX($C45)</f>
        <v>0</v>
      </c>
      <c r="W45" s="1">
        <f>MAX($D45)</f>
        <v>0</v>
      </c>
      <c r="X45" s="1">
        <f>MAX($E45)</f>
        <v>0</v>
      </c>
      <c r="Y45" s="1">
        <f>MAX($G45)</f>
        <v>0</v>
      </c>
      <c r="Z45" s="1">
        <f>MAX($H45)</f>
        <v>0</v>
      </c>
    </row>
    <row r="46" spans="1:26">
      <c r="A46" s="1" t="s">
        <v>43</v>
      </c>
      <c r="B46" s="1">
        <v>0</v>
      </c>
      <c r="C46" s="1">
        <v>12957</v>
      </c>
      <c r="D46" s="1">
        <v>0</v>
      </c>
      <c r="E46" s="1">
        <v>219.52</v>
      </c>
      <c r="F46" s="1" t="s">
        <v>157</v>
      </c>
      <c r="G46" s="1">
        <v>219.52</v>
      </c>
      <c r="H46" s="1">
        <v>0</v>
      </c>
      <c r="I46" s="1">
        <f>MIN($B46)</f>
        <v>0</v>
      </c>
      <c r="J46" s="1">
        <f>MIN($C46)</f>
        <v>0</v>
      </c>
      <c r="K46" s="1">
        <f>MIN($D46)</f>
        <v>0</v>
      </c>
      <c r="L46" s="1">
        <f>MIN($E46)</f>
        <v>0</v>
      </c>
      <c r="M46" s="1">
        <f>MIN($G46)</f>
        <v>0</v>
      </c>
      <c r="N46" s="1">
        <f>MIN($H46)</f>
        <v>0</v>
      </c>
      <c r="O46" s="1">
        <f>MEDIAN($B46)</f>
        <v>0</v>
      </c>
      <c r="P46" s="1">
        <f>MEDIAN($C46)</f>
        <v>0</v>
      </c>
      <c r="Q46" s="1">
        <f>MEDIAN($D46)</f>
        <v>0</v>
      </c>
      <c r="R46" s="1">
        <f>MEDIAN($E46)</f>
        <v>0</v>
      </c>
      <c r="S46" s="1">
        <f>MEDIAN($G46)</f>
        <v>0</v>
      </c>
      <c r="T46" s="1">
        <f>MEDIAN($H46)</f>
        <v>0</v>
      </c>
      <c r="U46" s="1">
        <f>MAX($B46)</f>
        <v>0</v>
      </c>
      <c r="V46" s="1">
        <f>MAX($C46)</f>
        <v>0</v>
      </c>
      <c r="W46" s="1">
        <f>MAX($D46)</f>
        <v>0</v>
      </c>
      <c r="X46" s="1">
        <f>MAX($E46)</f>
        <v>0</v>
      </c>
      <c r="Y46" s="1">
        <f>MAX($G46)</f>
        <v>0</v>
      </c>
      <c r="Z46" s="1">
        <f>MAX($H46)</f>
        <v>0</v>
      </c>
    </row>
    <row r="47" spans="1:26">
      <c r="A47" s="1" t="s">
        <v>44</v>
      </c>
      <c r="B47" s="1">
        <v>1</v>
      </c>
      <c r="C47" s="1">
        <v>14679</v>
      </c>
      <c r="D47" s="1">
        <v>0</v>
      </c>
      <c r="E47" s="1">
        <v>20000</v>
      </c>
      <c r="F47" s="1" t="s">
        <v>155</v>
      </c>
      <c r="G47" s="1">
        <v>10000</v>
      </c>
      <c r="H47" s="1">
        <v>1</v>
      </c>
      <c r="I47" s="1">
        <f>MIN($B47)</f>
        <v>0</v>
      </c>
      <c r="J47" s="1">
        <f>MIN($C47)</f>
        <v>0</v>
      </c>
      <c r="K47" s="1">
        <f>MIN($D47)</f>
        <v>0</v>
      </c>
      <c r="L47" s="1">
        <f>MIN($E47)</f>
        <v>0</v>
      </c>
      <c r="M47" s="1">
        <f>MIN($G47)</f>
        <v>0</v>
      </c>
      <c r="N47" s="1">
        <f>MIN($H47)</f>
        <v>0</v>
      </c>
      <c r="O47" s="1">
        <f>MEDIAN($B47)</f>
        <v>0</v>
      </c>
      <c r="P47" s="1">
        <f>MEDIAN($C47)</f>
        <v>0</v>
      </c>
      <c r="Q47" s="1">
        <f>MEDIAN($D47)</f>
        <v>0</v>
      </c>
      <c r="R47" s="1">
        <f>MEDIAN($E47)</f>
        <v>0</v>
      </c>
      <c r="S47" s="1">
        <f>MEDIAN($G47)</f>
        <v>0</v>
      </c>
      <c r="T47" s="1">
        <f>MEDIAN($H47)</f>
        <v>0</v>
      </c>
      <c r="U47" s="1">
        <f>MAX($B47)</f>
        <v>0</v>
      </c>
      <c r="V47" s="1">
        <f>MAX($C47)</f>
        <v>0</v>
      </c>
      <c r="W47" s="1">
        <f>MAX($D47)</f>
        <v>0</v>
      </c>
      <c r="X47" s="1">
        <f>MAX($E47)</f>
        <v>0</v>
      </c>
      <c r="Y47" s="1">
        <f>MAX($G47)</f>
        <v>0</v>
      </c>
      <c r="Z47" s="1">
        <f>MAX($H47)</f>
        <v>0</v>
      </c>
    </row>
    <row r="48" spans="1:26">
      <c r="A48" s="1" t="s">
        <v>45</v>
      </c>
      <c r="B48" s="1">
        <v>1</v>
      </c>
      <c r="C48" s="1">
        <v>18893</v>
      </c>
      <c r="D48" s="1">
        <v>0</v>
      </c>
      <c r="E48" s="1">
        <v>20000</v>
      </c>
      <c r="F48" s="1" t="s">
        <v>155</v>
      </c>
      <c r="G48" s="1">
        <v>10000</v>
      </c>
      <c r="H48" s="1">
        <v>1</v>
      </c>
      <c r="I48" s="1">
        <f>MIN($B48)</f>
        <v>0</v>
      </c>
      <c r="J48" s="1">
        <f>MIN($C48)</f>
        <v>0</v>
      </c>
      <c r="K48" s="1">
        <f>MIN($D48)</f>
        <v>0</v>
      </c>
      <c r="L48" s="1">
        <f>MIN($E48)</f>
        <v>0</v>
      </c>
      <c r="M48" s="1">
        <f>MIN($G48)</f>
        <v>0</v>
      </c>
      <c r="N48" s="1">
        <f>MIN($H48)</f>
        <v>0</v>
      </c>
      <c r="O48" s="1">
        <f>MEDIAN($B48)</f>
        <v>0</v>
      </c>
      <c r="P48" s="1">
        <f>MEDIAN($C48)</f>
        <v>0</v>
      </c>
      <c r="Q48" s="1">
        <f>MEDIAN($D48)</f>
        <v>0</v>
      </c>
      <c r="R48" s="1">
        <f>MEDIAN($E48)</f>
        <v>0</v>
      </c>
      <c r="S48" s="1">
        <f>MEDIAN($G48)</f>
        <v>0</v>
      </c>
      <c r="T48" s="1">
        <f>MEDIAN($H48)</f>
        <v>0</v>
      </c>
      <c r="U48" s="1">
        <f>MAX($B48)</f>
        <v>0</v>
      </c>
      <c r="V48" s="1">
        <f>MAX($C48)</f>
        <v>0</v>
      </c>
      <c r="W48" s="1">
        <f>MAX($D48)</f>
        <v>0</v>
      </c>
      <c r="X48" s="1">
        <f>MAX($E48)</f>
        <v>0</v>
      </c>
      <c r="Y48" s="1">
        <f>MAX($G48)</f>
        <v>0</v>
      </c>
      <c r="Z48" s="1">
        <f>MAX($H48)</f>
        <v>0</v>
      </c>
    </row>
    <row r="49" spans="1:26">
      <c r="A49" s="1" t="s">
        <v>46</v>
      </c>
      <c r="B49" s="1">
        <v>0</v>
      </c>
      <c r="C49" s="1">
        <v>11955</v>
      </c>
      <c r="D49" s="1">
        <v>0</v>
      </c>
      <c r="E49" s="1">
        <v>275.66</v>
      </c>
      <c r="F49" s="1" t="s">
        <v>157</v>
      </c>
      <c r="G49" s="1">
        <v>275.66</v>
      </c>
      <c r="H49" s="1">
        <v>0</v>
      </c>
      <c r="I49" s="1">
        <f>MIN($B49)</f>
        <v>0</v>
      </c>
      <c r="J49" s="1">
        <f>MIN($C49)</f>
        <v>0</v>
      </c>
      <c r="K49" s="1">
        <f>MIN($D49)</f>
        <v>0</v>
      </c>
      <c r="L49" s="1">
        <f>MIN($E49)</f>
        <v>0</v>
      </c>
      <c r="M49" s="1">
        <f>MIN($G49)</f>
        <v>0</v>
      </c>
      <c r="N49" s="1">
        <f>MIN($H49)</f>
        <v>0</v>
      </c>
      <c r="O49" s="1">
        <f>MEDIAN($B49)</f>
        <v>0</v>
      </c>
      <c r="P49" s="1">
        <f>MEDIAN($C49)</f>
        <v>0</v>
      </c>
      <c r="Q49" s="1">
        <f>MEDIAN($D49)</f>
        <v>0</v>
      </c>
      <c r="R49" s="1">
        <f>MEDIAN($E49)</f>
        <v>0</v>
      </c>
      <c r="S49" s="1">
        <f>MEDIAN($G49)</f>
        <v>0</v>
      </c>
      <c r="T49" s="1">
        <f>MEDIAN($H49)</f>
        <v>0</v>
      </c>
      <c r="U49" s="1">
        <f>MAX($B49)</f>
        <v>0</v>
      </c>
      <c r="V49" s="1">
        <f>MAX($C49)</f>
        <v>0</v>
      </c>
      <c r="W49" s="1">
        <f>MAX($D49)</f>
        <v>0</v>
      </c>
      <c r="X49" s="1">
        <f>MAX($E49)</f>
        <v>0</v>
      </c>
      <c r="Y49" s="1">
        <f>MAX($G49)</f>
        <v>0</v>
      </c>
      <c r="Z49" s="1">
        <f>MAX($H49)</f>
        <v>0</v>
      </c>
    </row>
    <row r="50" spans="1:26">
      <c r="A50" s="1" t="s">
        <v>47</v>
      </c>
      <c r="B50" s="1">
        <v>0</v>
      </c>
      <c r="C50" s="1">
        <v>20142</v>
      </c>
      <c r="D50" s="1">
        <v>0</v>
      </c>
      <c r="E50" s="1">
        <v>301.11</v>
      </c>
      <c r="F50" s="1" t="s">
        <v>157</v>
      </c>
      <c r="G50" s="1">
        <v>301.11</v>
      </c>
      <c r="H50" s="1">
        <v>0</v>
      </c>
      <c r="I50" s="1">
        <f>MIN($B50)</f>
        <v>0</v>
      </c>
      <c r="J50" s="1">
        <f>MIN($C50)</f>
        <v>0</v>
      </c>
      <c r="K50" s="1">
        <f>MIN($D50)</f>
        <v>0</v>
      </c>
      <c r="L50" s="1">
        <f>MIN($E50)</f>
        <v>0</v>
      </c>
      <c r="M50" s="1">
        <f>MIN($G50)</f>
        <v>0</v>
      </c>
      <c r="N50" s="1">
        <f>MIN($H50)</f>
        <v>0</v>
      </c>
      <c r="O50" s="1">
        <f>MEDIAN($B50)</f>
        <v>0</v>
      </c>
      <c r="P50" s="1">
        <f>MEDIAN($C50)</f>
        <v>0</v>
      </c>
      <c r="Q50" s="1">
        <f>MEDIAN($D50)</f>
        <v>0</v>
      </c>
      <c r="R50" s="1">
        <f>MEDIAN($E50)</f>
        <v>0</v>
      </c>
      <c r="S50" s="1">
        <f>MEDIAN($G50)</f>
        <v>0</v>
      </c>
      <c r="T50" s="1">
        <f>MEDIAN($H50)</f>
        <v>0</v>
      </c>
      <c r="U50" s="1">
        <f>MAX($B50)</f>
        <v>0</v>
      </c>
      <c r="V50" s="1">
        <f>MAX($C50)</f>
        <v>0</v>
      </c>
      <c r="W50" s="1">
        <f>MAX($D50)</f>
        <v>0</v>
      </c>
      <c r="X50" s="1">
        <f>MAX($E50)</f>
        <v>0</v>
      </c>
      <c r="Y50" s="1">
        <f>MAX($G50)</f>
        <v>0</v>
      </c>
      <c r="Z50" s="1">
        <f>MAX($H50)</f>
        <v>0</v>
      </c>
    </row>
    <row r="51" spans="1:26">
      <c r="A51" s="1" t="s">
        <v>48</v>
      </c>
      <c r="B51" s="1">
        <v>0</v>
      </c>
      <c r="C51" s="1">
        <v>18239</v>
      </c>
      <c r="D51" s="1">
        <v>0</v>
      </c>
      <c r="E51" s="1">
        <v>423.69</v>
      </c>
      <c r="F51" s="1" t="s">
        <v>157</v>
      </c>
      <c r="G51" s="1">
        <v>423.69</v>
      </c>
      <c r="H51" s="1">
        <v>0</v>
      </c>
      <c r="I51" s="1">
        <f>MIN($B51)</f>
        <v>0</v>
      </c>
      <c r="J51" s="1">
        <f>MIN($C51)</f>
        <v>0</v>
      </c>
      <c r="K51" s="1">
        <f>MIN($D51)</f>
        <v>0</v>
      </c>
      <c r="L51" s="1">
        <f>MIN($E51)</f>
        <v>0</v>
      </c>
      <c r="M51" s="1">
        <f>MIN($G51)</f>
        <v>0</v>
      </c>
      <c r="N51" s="1">
        <f>MIN($H51)</f>
        <v>0</v>
      </c>
      <c r="O51" s="1">
        <f>MEDIAN($B51)</f>
        <v>0</v>
      </c>
      <c r="P51" s="1">
        <f>MEDIAN($C51)</f>
        <v>0</v>
      </c>
      <c r="Q51" s="1">
        <f>MEDIAN($D51)</f>
        <v>0</v>
      </c>
      <c r="R51" s="1">
        <f>MEDIAN($E51)</f>
        <v>0</v>
      </c>
      <c r="S51" s="1">
        <f>MEDIAN($G51)</f>
        <v>0</v>
      </c>
      <c r="T51" s="1">
        <f>MEDIAN($H51)</f>
        <v>0</v>
      </c>
      <c r="U51" s="1">
        <f>MAX($B51)</f>
        <v>0</v>
      </c>
      <c r="V51" s="1">
        <f>MAX($C51)</f>
        <v>0</v>
      </c>
      <c r="W51" s="1">
        <f>MAX($D51)</f>
        <v>0</v>
      </c>
      <c r="X51" s="1">
        <f>MAX($E51)</f>
        <v>0</v>
      </c>
      <c r="Y51" s="1">
        <f>MAX($G51)</f>
        <v>0</v>
      </c>
      <c r="Z51" s="1">
        <f>MAX($H51)</f>
        <v>0</v>
      </c>
    </row>
    <row r="52" spans="1:26">
      <c r="A52" s="1" t="s">
        <v>49</v>
      </c>
      <c r="B52" s="1">
        <v>1</v>
      </c>
      <c r="C52" s="1">
        <v>21346</v>
      </c>
      <c r="D52" s="1">
        <v>0</v>
      </c>
      <c r="E52" s="1">
        <v>20000</v>
      </c>
      <c r="F52" s="1" t="s">
        <v>155</v>
      </c>
      <c r="G52" s="1">
        <v>10000</v>
      </c>
      <c r="H52" s="1">
        <v>1</v>
      </c>
      <c r="I52" s="1">
        <f>MIN($B52)</f>
        <v>0</v>
      </c>
      <c r="J52" s="1">
        <f>MIN($C52)</f>
        <v>0</v>
      </c>
      <c r="K52" s="1">
        <f>MIN($D52)</f>
        <v>0</v>
      </c>
      <c r="L52" s="1">
        <f>MIN($E52)</f>
        <v>0</v>
      </c>
      <c r="M52" s="1">
        <f>MIN($G52)</f>
        <v>0</v>
      </c>
      <c r="N52" s="1">
        <f>MIN($H52)</f>
        <v>0</v>
      </c>
      <c r="O52" s="1">
        <f>MEDIAN($B52)</f>
        <v>0</v>
      </c>
      <c r="P52" s="1">
        <f>MEDIAN($C52)</f>
        <v>0</v>
      </c>
      <c r="Q52" s="1">
        <f>MEDIAN($D52)</f>
        <v>0</v>
      </c>
      <c r="R52" s="1">
        <f>MEDIAN($E52)</f>
        <v>0</v>
      </c>
      <c r="S52" s="1">
        <f>MEDIAN($G52)</f>
        <v>0</v>
      </c>
      <c r="T52" s="1">
        <f>MEDIAN($H52)</f>
        <v>0</v>
      </c>
      <c r="U52" s="1">
        <f>MAX($B52)</f>
        <v>0</v>
      </c>
      <c r="V52" s="1">
        <f>MAX($C52)</f>
        <v>0</v>
      </c>
      <c r="W52" s="1">
        <f>MAX($D52)</f>
        <v>0</v>
      </c>
      <c r="X52" s="1">
        <f>MAX($E52)</f>
        <v>0</v>
      </c>
      <c r="Y52" s="1">
        <f>MAX($G52)</f>
        <v>0</v>
      </c>
      <c r="Z52" s="1">
        <f>MAX($H52)</f>
        <v>0</v>
      </c>
    </row>
    <row r="53" spans="1:26">
      <c r="A53" s="1" t="s">
        <v>50</v>
      </c>
      <c r="B53" s="1">
        <v>1</v>
      </c>
      <c r="C53" s="1">
        <v>22242</v>
      </c>
      <c r="D53" s="1">
        <v>0</v>
      </c>
      <c r="E53" s="1">
        <v>20000</v>
      </c>
      <c r="F53" s="1" t="s">
        <v>155</v>
      </c>
      <c r="G53" s="1">
        <v>10000</v>
      </c>
      <c r="H53" s="1">
        <v>1</v>
      </c>
      <c r="I53" s="1">
        <f>MIN($B53)</f>
        <v>0</v>
      </c>
      <c r="J53" s="1">
        <f>MIN($C53)</f>
        <v>0</v>
      </c>
      <c r="K53" s="1">
        <f>MIN($D53)</f>
        <v>0</v>
      </c>
      <c r="L53" s="1">
        <f>MIN($E53)</f>
        <v>0</v>
      </c>
      <c r="M53" s="1">
        <f>MIN($G53)</f>
        <v>0</v>
      </c>
      <c r="N53" s="1">
        <f>MIN($H53)</f>
        <v>0</v>
      </c>
      <c r="O53" s="1">
        <f>MEDIAN($B53)</f>
        <v>0</v>
      </c>
      <c r="P53" s="1">
        <f>MEDIAN($C53)</f>
        <v>0</v>
      </c>
      <c r="Q53" s="1">
        <f>MEDIAN($D53)</f>
        <v>0</v>
      </c>
      <c r="R53" s="1">
        <f>MEDIAN($E53)</f>
        <v>0</v>
      </c>
      <c r="S53" s="1">
        <f>MEDIAN($G53)</f>
        <v>0</v>
      </c>
      <c r="T53" s="1">
        <f>MEDIAN($H53)</f>
        <v>0</v>
      </c>
      <c r="U53" s="1">
        <f>MAX($B53)</f>
        <v>0</v>
      </c>
      <c r="V53" s="1">
        <f>MAX($C53)</f>
        <v>0</v>
      </c>
      <c r="W53" s="1">
        <f>MAX($D53)</f>
        <v>0</v>
      </c>
      <c r="X53" s="1">
        <f>MAX($E53)</f>
        <v>0</v>
      </c>
      <c r="Y53" s="1">
        <f>MAX($G53)</f>
        <v>0</v>
      </c>
      <c r="Z53" s="1">
        <f>MAX($H53)</f>
        <v>0</v>
      </c>
    </row>
    <row r="54" spans="1:26">
      <c r="A54" s="1" t="s">
        <v>51</v>
      </c>
      <c r="B54" s="1">
        <v>1</v>
      </c>
      <c r="C54" s="1">
        <v>21745</v>
      </c>
      <c r="D54" s="1">
        <v>0</v>
      </c>
      <c r="E54" s="1">
        <v>20000</v>
      </c>
      <c r="F54" s="1" t="s">
        <v>155</v>
      </c>
      <c r="G54" s="1">
        <v>10000</v>
      </c>
      <c r="H54" s="1">
        <v>1</v>
      </c>
      <c r="I54" s="1">
        <f>MIN($B54)</f>
        <v>0</v>
      </c>
      <c r="J54" s="1">
        <f>MIN($C54)</f>
        <v>0</v>
      </c>
      <c r="K54" s="1">
        <f>MIN($D54)</f>
        <v>0</v>
      </c>
      <c r="L54" s="1">
        <f>MIN($E54)</f>
        <v>0</v>
      </c>
      <c r="M54" s="1">
        <f>MIN($G54)</f>
        <v>0</v>
      </c>
      <c r="N54" s="1">
        <f>MIN($H54)</f>
        <v>0</v>
      </c>
      <c r="O54" s="1">
        <f>MEDIAN($B54)</f>
        <v>0</v>
      </c>
      <c r="P54" s="1">
        <f>MEDIAN($C54)</f>
        <v>0</v>
      </c>
      <c r="Q54" s="1">
        <f>MEDIAN($D54)</f>
        <v>0</v>
      </c>
      <c r="R54" s="1">
        <f>MEDIAN($E54)</f>
        <v>0</v>
      </c>
      <c r="S54" s="1">
        <f>MEDIAN($G54)</f>
        <v>0</v>
      </c>
      <c r="T54" s="1">
        <f>MEDIAN($H54)</f>
        <v>0</v>
      </c>
      <c r="U54" s="1">
        <f>MAX($B54)</f>
        <v>0</v>
      </c>
      <c r="V54" s="1">
        <f>MAX($C54)</f>
        <v>0</v>
      </c>
      <c r="W54" s="1">
        <f>MAX($D54)</f>
        <v>0</v>
      </c>
      <c r="X54" s="1">
        <f>MAX($E54)</f>
        <v>0</v>
      </c>
      <c r="Y54" s="1">
        <f>MAX($G54)</f>
        <v>0</v>
      </c>
      <c r="Z54" s="1">
        <f>MAX($H54)</f>
        <v>0</v>
      </c>
    </row>
    <row r="55" spans="1:26">
      <c r="A55" s="1" t="s">
        <v>52</v>
      </c>
      <c r="B55" s="1">
        <v>1</v>
      </c>
      <c r="C55" s="1">
        <v>14602</v>
      </c>
      <c r="D55" s="1">
        <v>0</v>
      </c>
      <c r="E55" s="1">
        <v>20000</v>
      </c>
      <c r="F55" s="1" t="s">
        <v>155</v>
      </c>
      <c r="G55" s="1">
        <v>10000</v>
      </c>
      <c r="H55" s="1">
        <v>1</v>
      </c>
      <c r="I55" s="1">
        <f>MIN($B55)</f>
        <v>0</v>
      </c>
      <c r="J55" s="1">
        <f>MIN($C55)</f>
        <v>0</v>
      </c>
      <c r="K55" s="1">
        <f>MIN($D55)</f>
        <v>0</v>
      </c>
      <c r="L55" s="1">
        <f>MIN($E55)</f>
        <v>0</v>
      </c>
      <c r="M55" s="1">
        <f>MIN($G55)</f>
        <v>0</v>
      </c>
      <c r="N55" s="1">
        <f>MIN($H55)</f>
        <v>0</v>
      </c>
      <c r="O55" s="1">
        <f>MEDIAN($B55)</f>
        <v>0</v>
      </c>
      <c r="P55" s="1">
        <f>MEDIAN($C55)</f>
        <v>0</v>
      </c>
      <c r="Q55" s="1">
        <f>MEDIAN($D55)</f>
        <v>0</v>
      </c>
      <c r="R55" s="1">
        <f>MEDIAN($E55)</f>
        <v>0</v>
      </c>
      <c r="S55" s="1">
        <f>MEDIAN($G55)</f>
        <v>0</v>
      </c>
      <c r="T55" s="1">
        <f>MEDIAN($H55)</f>
        <v>0</v>
      </c>
      <c r="U55" s="1">
        <f>MAX($B55)</f>
        <v>0</v>
      </c>
      <c r="V55" s="1">
        <f>MAX($C55)</f>
        <v>0</v>
      </c>
      <c r="W55" s="1">
        <f>MAX($D55)</f>
        <v>0</v>
      </c>
      <c r="X55" s="1">
        <f>MAX($E55)</f>
        <v>0</v>
      </c>
      <c r="Y55" s="1">
        <f>MAX($G55)</f>
        <v>0</v>
      </c>
      <c r="Z55" s="1">
        <f>MAX($H55)</f>
        <v>0</v>
      </c>
    </row>
    <row r="56" spans="1:26">
      <c r="A56" s="1" t="s">
        <v>53</v>
      </c>
      <c r="B56" s="1">
        <v>1</v>
      </c>
      <c r="C56" s="1">
        <v>11751</v>
      </c>
      <c r="D56" s="1">
        <v>0</v>
      </c>
      <c r="E56" s="1">
        <v>20000</v>
      </c>
      <c r="F56" s="1" t="s">
        <v>155</v>
      </c>
      <c r="G56" s="1">
        <v>10000</v>
      </c>
      <c r="H56" s="1">
        <v>1</v>
      </c>
      <c r="I56" s="1">
        <f>MIN($B56)</f>
        <v>0</v>
      </c>
      <c r="J56" s="1">
        <f>MIN($C56)</f>
        <v>0</v>
      </c>
      <c r="K56" s="1">
        <f>MIN($D56)</f>
        <v>0</v>
      </c>
      <c r="L56" s="1">
        <f>MIN($E56)</f>
        <v>0</v>
      </c>
      <c r="M56" s="1">
        <f>MIN($G56)</f>
        <v>0</v>
      </c>
      <c r="N56" s="1">
        <f>MIN($H56)</f>
        <v>0</v>
      </c>
      <c r="O56" s="1">
        <f>MEDIAN($B56)</f>
        <v>0</v>
      </c>
      <c r="P56" s="1">
        <f>MEDIAN($C56)</f>
        <v>0</v>
      </c>
      <c r="Q56" s="1">
        <f>MEDIAN($D56)</f>
        <v>0</v>
      </c>
      <c r="R56" s="1">
        <f>MEDIAN($E56)</f>
        <v>0</v>
      </c>
      <c r="S56" s="1">
        <f>MEDIAN($G56)</f>
        <v>0</v>
      </c>
      <c r="T56" s="1">
        <f>MEDIAN($H56)</f>
        <v>0</v>
      </c>
      <c r="U56" s="1">
        <f>MAX($B56)</f>
        <v>0</v>
      </c>
      <c r="V56" s="1">
        <f>MAX($C56)</f>
        <v>0</v>
      </c>
      <c r="W56" s="1">
        <f>MAX($D56)</f>
        <v>0</v>
      </c>
      <c r="X56" s="1">
        <f>MAX($E56)</f>
        <v>0</v>
      </c>
      <c r="Y56" s="1">
        <f>MAX($G56)</f>
        <v>0</v>
      </c>
      <c r="Z56" s="1">
        <f>MAX($H56)</f>
        <v>0</v>
      </c>
    </row>
    <row r="57" spans="1:26">
      <c r="A57" s="1" t="s">
        <v>54</v>
      </c>
      <c r="B57" s="1">
        <v>0</v>
      </c>
      <c r="C57" s="1">
        <v>11601</v>
      </c>
      <c r="D57" s="1">
        <v>0</v>
      </c>
      <c r="E57" s="1">
        <v>275.71</v>
      </c>
      <c r="F57" s="1" t="s">
        <v>157</v>
      </c>
      <c r="G57" s="1">
        <v>275.71</v>
      </c>
      <c r="H57" s="1">
        <v>0</v>
      </c>
      <c r="I57" s="1">
        <f>MIN($B57)</f>
        <v>0</v>
      </c>
      <c r="J57" s="1">
        <f>MIN($C57)</f>
        <v>0</v>
      </c>
      <c r="K57" s="1">
        <f>MIN($D57)</f>
        <v>0</v>
      </c>
      <c r="L57" s="1">
        <f>MIN($E57)</f>
        <v>0</v>
      </c>
      <c r="M57" s="1">
        <f>MIN($G57)</f>
        <v>0</v>
      </c>
      <c r="N57" s="1">
        <f>MIN($H57)</f>
        <v>0</v>
      </c>
      <c r="O57" s="1">
        <f>MEDIAN($B57)</f>
        <v>0</v>
      </c>
      <c r="P57" s="1">
        <f>MEDIAN($C57)</f>
        <v>0</v>
      </c>
      <c r="Q57" s="1">
        <f>MEDIAN($D57)</f>
        <v>0</v>
      </c>
      <c r="R57" s="1">
        <f>MEDIAN($E57)</f>
        <v>0</v>
      </c>
      <c r="S57" s="1">
        <f>MEDIAN($G57)</f>
        <v>0</v>
      </c>
      <c r="T57" s="1">
        <f>MEDIAN($H57)</f>
        <v>0</v>
      </c>
      <c r="U57" s="1">
        <f>MAX($B57)</f>
        <v>0</v>
      </c>
      <c r="V57" s="1">
        <f>MAX($C57)</f>
        <v>0</v>
      </c>
      <c r="W57" s="1">
        <f>MAX($D57)</f>
        <v>0</v>
      </c>
      <c r="X57" s="1">
        <f>MAX($E57)</f>
        <v>0</v>
      </c>
      <c r="Y57" s="1">
        <f>MAX($G57)</f>
        <v>0</v>
      </c>
      <c r="Z57" s="1">
        <f>MAX($H57)</f>
        <v>0</v>
      </c>
    </row>
    <row r="58" spans="1:26">
      <c r="A58" s="1" t="s">
        <v>55</v>
      </c>
      <c r="B58" s="1">
        <v>0</v>
      </c>
      <c r="C58" s="1">
        <v>18659</v>
      </c>
      <c r="D58" s="1">
        <v>0</v>
      </c>
      <c r="E58" s="1">
        <v>579.9400000000001</v>
      </c>
      <c r="F58" s="1" t="s">
        <v>157</v>
      </c>
      <c r="G58" s="1">
        <v>579.9400000000001</v>
      </c>
      <c r="H58" s="1">
        <v>0</v>
      </c>
      <c r="I58" s="1">
        <f>MIN($B58)</f>
        <v>0</v>
      </c>
      <c r="J58" s="1">
        <f>MIN($C58)</f>
        <v>0</v>
      </c>
      <c r="K58" s="1">
        <f>MIN($D58)</f>
        <v>0</v>
      </c>
      <c r="L58" s="1">
        <f>MIN($E58)</f>
        <v>0</v>
      </c>
      <c r="M58" s="1">
        <f>MIN($G58)</f>
        <v>0</v>
      </c>
      <c r="N58" s="1">
        <f>MIN($H58)</f>
        <v>0</v>
      </c>
      <c r="O58" s="1">
        <f>MEDIAN($B58)</f>
        <v>0</v>
      </c>
      <c r="P58" s="1">
        <f>MEDIAN($C58)</f>
        <v>0</v>
      </c>
      <c r="Q58" s="1">
        <f>MEDIAN($D58)</f>
        <v>0</v>
      </c>
      <c r="R58" s="1">
        <f>MEDIAN($E58)</f>
        <v>0</v>
      </c>
      <c r="S58" s="1">
        <f>MEDIAN($G58)</f>
        <v>0</v>
      </c>
      <c r="T58" s="1">
        <f>MEDIAN($H58)</f>
        <v>0</v>
      </c>
      <c r="U58" s="1">
        <f>MAX($B58)</f>
        <v>0</v>
      </c>
      <c r="V58" s="1">
        <f>MAX($C58)</f>
        <v>0</v>
      </c>
      <c r="W58" s="1">
        <f>MAX($D58)</f>
        <v>0</v>
      </c>
      <c r="X58" s="1">
        <f>MAX($E58)</f>
        <v>0</v>
      </c>
      <c r="Y58" s="1">
        <f>MAX($G58)</f>
        <v>0</v>
      </c>
      <c r="Z58" s="1">
        <f>MAX($H58)</f>
        <v>0</v>
      </c>
    </row>
    <row r="59" spans="1:26">
      <c r="A59" s="1" t="s">
        <v>56</v>
      </c>
      <c r="B59" s="1">
        <v>1</v>
      </c>
      <c r="C59" s="1">
        <v>14299</v>
      </c>
      <c r="D59" s="1">
        <v>0</v>
      </c>
      <c r="E59" s="1">
        <v>20000</v>
      </c>
      <c r="F59" s="1" t="s">
        <v>155</v>
      </c>
      <c r="G59" s="1">
        <v>10000</v>
      </c>
      <c r="H59" s="1">
        <v>1</v>
      </c>
      <c r="I59" s="1">
        <f>MIN($B59)</f>
        <v>0</v>
      </c>
      <c r="J59" s="1">
        <f>MIN($C59)</f>
        <v>0</v>
      </c>
      <c r="K59" s="1">
        <f>MIN($D59)</f>
        <v>0</v>
      </c>
      <c r="L59" s="1">
        <f>MIN($E59)</f>
        <v>0</v>
      </c>
      <c r="M59" s="1">
        <f>MIN($G59)</f>
        <v>0</v>
      </c>
      <c r="N59" s="1">
        <f>MIN($H59)</f>
        <v>0</v>
      </c>
      <c r="O59" s="1">
        <f>MEDIAN($B59)</f>
        <v>0</v>
      </c>
      <c r="P59" s="1">
        <f>MEDIAN($C59)</f>
        <v>0</v>
      </c>
      <c r="Q59" s="1">
        <f>MEDIAN($D59)</f>
        <v>0</v>
      </c>
      <c r="R59" s="1">
        <f>MEDIAN($E59)</f>
        <v>0</v>
      </c>
      <c r="S59" s="1">
        <f>MEDIAN($G59)</f>
        <v>0</v>
      </c>
      <c r="T59" s="1">
        <f>MEDIAN($H59)</f>
        <v>0</v>
      </c>
      <c r="U59" s="1">
        <f>MAX($B59)</f>
        <v>0</v>
      </c>
      <c r="V59" s="1">
        <f>MAX($C59)</f>
        <v>0</v>
      </c>
      <c r="W59" s="1">
        <f>MAX($D59)</f>
        <v>0</v>
      </c>
      <c r="X59" s="1">
        <f>MAX($E59)</f>
        <v>0</v>
      </c>
      <c r="Y59" s="1">
        <f>MAX($G59)</f>
        <v>0</v>
      </c>
      <c r="Z59" s="1">
        <f>MAX($H59)</f>
        <v>0</v>
      </c>
    </row>
    <row r="60" spans="1:26">
      <c r="A60" s="1" t="s">
        <v>57</v>
      </c>
      <c r="B60" s="1">
        <v>0</v>
      </c>
      <c r="C60" s="1">
        <v>36234</v>
      </c>
      <c r="D60" s="1">
        <v>0</v>
      </c>
      <c r="E60" s="1">
        <v>680.14</v>
      </c>
      <c r="F60" s="1" t="s">
        <v>157</v>
      </c>
      <c r="G60" s="1">
        <v>680.14</v>
      </c>
      <c r="H60" s="1">
        <v>0</v>
      </c>
      <c r="I60" s="1">
        <f>MIN($B60)</f>
        <v>0</v>
      </c>
      <c r="J60" s="1">
        <f>MIN($C60)</f>
        <v>0</v>
      </c>
      <c r="K60" s="1">
        <f>MIN($D60)</f>
        <v>0</v>
      </c>
      <c r="L60" s="1">
        <f>MIN($E60)</f>
        <v>0</v>
      </c>
      <c r="M60" s="1">
        <f>MIN($G60)</f>
        <v>0</v>
      </c>
      <c r="N60" s="1">
        <f>MIN($H60)</f>
        <v>0</v>
      </c>
      <c r="O60" s="1">
        <f>MEDIAN($B60)</f>
        <v>0</v>
      </c>
      <c r="P60" s="1">
        <f>MEDIAN($C60)</f>
        <v>0</v>
      </c>
      <c r="Q60" s="1">
        <f>MEDIAN($D60)</f>
        <v>0</v>
      </c>
      <c r="R60" s="1">
        <f>MEDIAN($E60)</f>
        <v>0</v>
      </c>
      <c r="S60" s="1">
        <f>MEDIAN($G60)</f>
        <v>0</v>
      </c>
      <c r="T60" s="1">
        <f>MEDIAN($H60)</f>
        <v>0</v>
      </c>
      <c r="U60" s="1">
        <f>MAX($B60)</f>
        <v>0</v>
      </c>
      <c r="V60" s="1">
        <f>MAX($C60)</f>
        <v>0</v>
      </c>
      <c r="W60" s="1">
        <f>MAX($D60)</f>
        <v>0</v>
      </c>
      <c r="X60" s="1">
        <f>MAX($E60)</f>
        <v>0</v>
      </c>
      <c r="Y60" s="1">
        <f>MAX($G60)</f>
        <v>0</v>
      </c>
      <c r="Z60" s="1">
        <f>MAX($H60)</f>
        <v>0</v>
      </c>
    </row>
    <row r="61" spans="1:26">
      <c r="A61" s="1" t="s">
        <v>58</v>
      </c>
      <c r="B61" s="1">
        <v>1</v>
      </c>
      <c r="C61" s="1">
        <v>22591</v>
      </c>
      <c r="D61" s="1">
        <v>0</v>
      </c>
      <c r="E61" s="1">
        <v>20000</v>
      </c>
      <c r="F61" s="1" t="s">
        <v>155</v>
      </c>
      <c r="G61" s="1">
        <v>10000</v>
      </c>
      <c r="H61" s="1">
        <v>1</v>
      </c>
      <c r="I61" s="1">
        <f>MIN($B61)</f>
        <v>0</v>
      </c>
      <c r="J61" s="1">
        <f>MIN($C61)</f>
        <v>0</v>
      </c>
      <c r="K61" s="1">
        <f>MIN($D61)</f>
        <v>0</v>
      </c>
      <c r="L61" s="1">
        <f>MIN($E61)</f>
        <v>0</v>
      </c>
      <c r="M61" s="1">
        <f>MIN($G61)</f>
        <v>0</v>
      </c>
      <c r="N61" s="1">
        <f>MIN($H61)</f>
        <v>0</v>
      </c>
      <c r="O61" s="1">
        <f>MEDIAN($B61)</f>
        <v>0</v>
      </c>
      <c r="P61" s="1">
        <f>MEDIAN($C61)</f>
        <v>0</v>
      </c>
      <c r="Q61" s="1">
        <f>MEDIAN($D61)</f>
        <v>0</v>
      </c>
      <c r="R61" s="1">
        <f>MEDIAN($E61)</f>
        <v>0</v>
      </c>
      <c r="S61" s="1">
        <f>MEDIAN($G61)</f>
        <v>0</v>
      </c>
      <c r="T61" s="1">
        <f>MEDIAN($H61)</f>
        <v>0</v>
      </c>
      <c r="U61" s="1">
        <f>MAX($B61)</f>
        <v>0</v>
      </c>
      <c r="V61" s="1">
        <f>MAX($C61)</f>
        <v>0</v>
      </c>
      <c r="W61" s="1">
        <f>MAX($D61)</f>
        <v>0</v>
      </c>
      <c r="X61" s="1">
        <f>MAX($E61)</f>
        <v>0</v>
      </c>
      <c r="Y61" s="1">
        <f>MAX($G61)</f>
        <v>0</v>
      </c>
      <c r="Z61" s="1">
        <f>MAX($H61)</f>
        <v>0</v>
      </c>
    </row>
    <row r="62" spans="1:26">
      <c r="A62" s="1" t="s">
        <v>59</v>
      </c>
      <c r="B62" s="1">
        <v>1</v>
      </c>
      <c r="C62" s="1">
        <v>22269</v>
      </c>
      <c r="D62" s="1">
        <v>0</v>
      </c>
      <c r="E62" s="1">
        <v>20000</v>
      </c>
      <c r="F62" s="1" t="s">
        <v>155</v>
      </c>
      <c r="G62" s="1">
        <v>10000</v>
      </c>
      <c r="H62" s="1">
        <v>1</v>
      </c>
      <c r="I62" s="1">
        <f>MIN($B62)</f>
        <v>0</v>
      </c>
      <c r="J62" s="1">
        <f>MIN($C62)</f>
        <v>0</v>
      </c>
      <c r="K62" s="1">
        <f>MIN($D62)</f>
        <v>0</v>
      </c>
      <c r="L62" s="1">
        <f>MIN($E62)</f>
        <v>0</v>
      </c>
      <c r="M62" s="1">
        <f>MIN($G62)</f>
        <v>0</v>
      </c>
      <c r="N62" s="1">
        <f>MIN($H62)</f>
        <v>0</v>
      </c>
      <c r="O62" s="1">
        <f>MEDIAN($B62)</f>
        <v>0</v>
      </c>
      <c r="P62" s="1">
        <f>MEDIAN($C62)</f>
        <v>0</v>
      </c>
      <c r="Q62" s="1">
        <f>MEDIAN($D62)</f>
        <v>0</v>
      </c>
      <c r="R62" s="1">
        <f>MEDIAN($E62)</f>
        <v>0</v>
      </c>
      <c r="S62" s="1">
        <f>MEDIAN($G62)</f>
        <v>0</v>
      </c>
      <c r="T62" s="1">
        <f>MEDIAN($H62)</f>
        <v>0</v>
      </c>
      <c r="U62" s="1">
        <f>MAX($B62)</f>
        <v>0</v>
      </c>
      <c r="V62" s="1">
        <f>MAX($C62)</f>
        <v>0</v>
      </c>
      <c r="W62" s="1">
        <f>MAX($D62)</f>
        <v>0</v>
      </c>
      <c r="X62" s="1">
        <f>MAX($E62)</f>
        <v>0</v>
      </c>
      <c r="Y62" s="1">
        <f>MAX($G62)</f>
        <v>0</v>
      </c>
      <c r="Z62" s="1">
        <f>MAX($H62)</f>
        <v>0</v>
      </c>
    </row>
    <row r="63" spans="1:26">
      <c r="A63" s="1" t="s">
        <v>60</v>
      </c>
      <c r="B63" s="1">
        <v>1</v>
      </c>
      <c r="C63" s="1">
        <v>16766</v>
      </c>
      <c r="D63" s="1">
        <v>0</v>
      </c>
      <c r="E63" s="1">
        <v>20000</v>
      </c>
      <c r="F63" s="1" t="s">
        <v>155</v>
      </c>
      <c r="G63" s="1">
        <v>10000</v>
      </c>
      <c r="H63" s="1">
        <v>1</v>
      </c>
      <c r="I63" s="1">
        <f>MIN($B63)</f>
        <v>0</v>
      </c>
      <c r="J63" s="1">
        <f>MIN($C63)</f>
        <v>0</v>
      </c>
      <c r="K63" s="1">
        <f>MIN($D63)</f>
        <v>0</v>
      </c>
      <c r="L63" s="1">
        <f>MIN($E63)</f>
        <v>0</v>
      </c>
      <c r="M63" s="1">
        <f>MIN($G63)</f>
        <v>0</v>
      </c>
      <c r="N63" s="1">
        <f>MIN($H63)</f>
        <v>0</v>
      </c>
      <c r="O63" s="1">
        <f>MEDIAN($B63)</f>
        <v>0</v>
      </c>
      <c r="P63" s="1">
        <f>MEDIAN($C63)</f>
        <v>0</v>
      </c>
      <c r="Q63" s="1">
        <f>MEDIAN($D63)</f>
        <v>0</v>
      </c>
      <c r="R63" s="1">
        <f>MEDIAN($E63)</f>
        <v>0</v>
      </c>
      <c r="S63" s="1">
        <f>MEDIAN($G63)</f>
        <v>0</v>
      </c>
      <c r="T63" s="1">
        <f>MEDIAN($H63)</f>
        <v>0</v>
      </c>
      <c r="U63" s="1">
        <f>MAX($B63)</f>
        <v>0</v>
      </c>
      <c r="V63" s="1">
        <f>MAX($C63)</f>
        <v>0</v>
      </c>
      <c r="W63" s="1">
        <f>MAX($D63)</f>
        <v>0</v>
      </c>
      <c r="X63" s="1">
        <f>MAX($E63)</f>
        <v>0</v>
      </c>
      <c r="Y63" s="1">
        <f>MAX($G63)</f>
        <v>0</v>
      </c>
      <c r="Z63" s="1">
        <f>MAX($H63)</f>
        <v>0</v>
      </c>
    </row>
    <row r="64" spans="1:26">
      <c r="A64" s="1" t="s">
        <v>61</v>
      </c>
      <c r="B64" s="1">
        <v>1</v>
      </c>
      <c r="C64" s="1">
        <v>28684</v>
      </c>
      <c r="D64" s="1">
        <v>0</v>
      </c>
      <c r="E64" s="1">
        <v>20000</v>
      </c>
      <c r="F64" s="1" t="s">
        <v>155</v>
      </c>
      <c r="G64" s="1">
        <v>10000</v>
      </c>
      <c r="H64" s="1">
        <v>1</v>
      </c>
      <c r="I64" s="1">
        <f>MIN($B64)</f>
        <v>0</v>
      </c>
      <c r="J64" s="1">
        <f>MIN($C64)</f>
        <v>0</v>
      </c>
      <c r="K64" s="1">
        <f>MIN($D64)</f>
        <v>0</v>
      </c>
      <c r="L64" s="1">
        <f>MIN($E64)</f>
        <v>0</v>
      </c>
      <c r="M64" s="1">
        <f>MIN($G64)</f>
        <v>0</v>
      </c>
      <c r="N64" s="1">
        <f>MIN($H64)</f>
        <v>0</v>
      </c>
      <c r="O64" s="1">
        <f>MEDIAN($B64)</f>
        <v>0</v>
      </c>
      <c r="P64" s="1">
        <f>MEDIAN($C64)</f>
        <v>0</v>
      </c>
      <c r="Q64" s="1">
        <f>MEDIAN($D64)</f>
        <v>0</v>
      </c>
      <c r="R64" s="1">
        <f>MEDIAN($E64)</f>
        <v>0</v>
      </c>
      <c r="S64" s="1">
        <f>MEDIAN($G64)</f>
        <v>0</v>
      </c>
      <c r="T64" s="1">
        <f>MEDIAN($H64)</f>
        <v>0</v>
      </c>
      <c r="U64" s="1">
        <f>MAX($B64)</f>
        <v>0</v>
      </c>
      <c r="V64" s="1">
        <f>MAX($C64)</f>
        <v>0</v>
      </c>
      <c r="W64" s="1">
        <f>MAX($D64)</f>
        <v>0</v>
      </c>
      <c r="X64" s="1">
        <f>MAX($E64)</f>
        <v>0</v>
      </c>
      <c r="Y64" s="1">
        <f>MAX($G64)</f>
        <v>0</v>
      </c>
      <c r="Z64" s="1">
        <f>MAX($H64)</f>
        <v>0</v>
      </c>
    </row>
    <row r="65" spans="1:26">
      <c r="A65" s="1" t="s">
        <v>62</v>
      </c>
      <c r="B65" s="1">
        <v>1</v>
      </c>
      <c r="C65" s="1">
        <v>17451</v>
      </c>
      <c r="D65" s="1">
        <v>0</v>
      </c>
      <c r="E65" s="1">
        <v>20000</v>
      </c>
      <c r="F65" s="1" t="s">
        <v>155</v>
      </c>
      <c r="G65" s="1">
        <v>10000</v>
      </c>
      <c r="H65" s="1">
        <v>1</v>
      </c>
      <c r="I65" s="1">
        <f>MIN($B65)</f>
        <v>0</v>
      </c>
      <c r="J65" s="1">
        <f>MIN($C65)</f>
        <v>0</v>
      </c>
      <c r="K65" s="1">
        <f>MIN($D65)</f>
        <v>0</v>
      </c>
      <c r="L65" s="1">
        <f>MIN($E65)</f>
        <v>0</v>
      </c>
      <c r="M65" s="1">
        <f>MIN($G65)</f>
        <v>0</v>
      </c>
      <c r="N65" s="1">
        <f>MIN($H65)</f>
        <v>0</v>
      </c>
      <c r="O65" s="1">
        <f>MEDIAN($B65)</f>
        <v>0</v>
      </c>
      <c r="P65" s="1">
        <f>MEDIAN($C65)</f>
        <v>0</v>
      </c>
      <c r="Q65" s="1">
        <f>MEDIAN($D65)</f>
        <v>0</v>
      </c>
      <c r="R65" s="1">
        <f>MEDIAN($E65)</f>
        <v>0</v>
      </c>
      <c r="S65" s="1">
        <f>MEDIAN($G65)</f>
        <v>0</v>
      </c>
      <c r="T65" s="1">
        <f>MEDIAN($H65)</f>
        <v>0</v>
      </c>
      <c r="U65" s="1">
        <f>MAX($B65)</f>
        <v>0</v>
      </c>
      <c r="V65" s="1">
        <f>MAX($C65)</f>
        <v>0</v>
      </c>
      <c r="W65" s="1">
        <f>MAX($D65)</f>
        <v>0</v>
      </c>
      <c r="X65" s="1">
        <f>MAX($E65)</f>
        <v>0</v>
      </c>
      <c r="Y65" s="1">
        <f>MAX($G65)</f>
        <v>0</v>
      </c>
      <c r="Z65" s="1">
        <f>MAX($H65)</f>
        <v>0</v>
      </c>
    </row>
    <row r="66" spans="1:26">
      <c r="A66" s="1" t="s">
        <v>63</v>
      </c>
      <c r="B66" s="1">
        <v>1</v>
      </c>
      <c r="C66" s="1">
        <v>15317</v>
      </c>
      <c r="D66" s="1">
        <v>0</v>
      </c>
      <c r="E66" s="1">
        <v>20000</v>
      </c>
      <c r="F66" s="1" t="s">
        <v>155</v>
      </c>
      <c r="G66" s="1">
        <v>10000</v>
      </c>
      <c r="H66" s="1">
        <v>1</v>
      </c>
      <c r="I66" s="1">
        <f>MIN($B66)</f>
        <v>0</v>
      </c>
      <c r="J66" s="1">
        <f>MIN($C66)</f>
        <v>0</v>
      </c>
      <c r="K66" s="1">
        <f>MIN($D66)</f>
        <v>0</v>
      </c>
      <c r="L66" s="1">
        <f>MIN($E66)</f>
        <v>0</v>
      </c>
      <c r="M66" s="1">
        <f>MIN($G66)</f>
        <v>0</v>
      </c>
      <c r="N66" s="1">
        <f>MIN($H66)</f>
        <v>0</v>
      </c>
      <c r="O66" s="1">
        <f>MEDIAN($B66)</f>
        <v>0</v>
      </c>
      <c r="P66" s="1">
        <f>MEDIAN($C66)</f>
        <v>0</v>
      </c>
      <c r="Q66" s="1">
        <f>MEDIAN($D66)</f>
        <v>0</v>
      </c>
      <c r="R66" s="1">
        <f>MEDIAN($E66)</f>
        <v>0</v>
      </c>
      <c r="S66" s="1">
        <f>MEDIAN($G66)</f>
        <v>0</v>
      </c>
      <c r="T66" s="1">
        <f>MEDIAN($H66)</f>
        <v>0</v>
      </c>
      <c r="U66" s="1">
        <f>MAX($B66)</f>
        <v>0</v>
      </c>
      <c r="V66" s="1">
        <f>MAX($C66)</f>
        <v>0</v>
      </c>
      <c r="W66" s="1">
        <f>MAX($D66)</f>
        <v>0</v>
      </c>
      <c r="X66" s="1">
        <f>MAX($E66)</f>
        <v>0</v>
      </c>
      <c r="Y66" s="1">
        <f>MAX($G66)</f>
        <v>0</v>
      </c>
      <c r="Z66" s="1">
        <f>MAX($H66)</f>
        <v>0</v>
      </c>
    </row>
    <row r="67" spans="1:26">
      <c r="A67" s="1" t="s">
        <v>64</v>
      </c>
      <c r="B67" s="1">
        <v>1</v>
      </c>
      <c r="C67" s="1">
        <v>15246</v>
      </c>
      <c r="D67" s="1">
        <v>0</v>
      </c>
      <c r="E67" s="1">
        <v>20000</v>
      </c>
      <c r="F67" s="1" t="s">
        <v>155</v>
      </c>
      <c r="G67" s="1">
        <v>10000</v>
      </c>
      <c r="H67" s="1">
        <v>1</v>
      </c>
      <c r="I67" s="1">
        <f>MIN($B67)</f>
        <v>0</v>
      </c>
      <c r="J67" s="1">
        <f>MIN($C67)</f>
        <v>0</v>
      </c>
      <c r="K67" s="1">
        <f>MIN($D67)</f>
        <v>0</v>
      </c>
      <c r="L67" s="1">
        <f>MIN($E67)</f>
        <v>0</v>
      </c>
      <c r="M67" s="1">
        <f>MIN($G67)</f>
        <v>0</v>
      </c>
      <c r="N67" s="1">
        <f>MIN($H67)</f>
        <v>0</v>
      </c>
      <c r="O67" s="1">
        <f>MEDIAN($B67)</f>
        <v>0</v>
      </c>
      <c r="P67" s="1">
        <f>MEDIAN($C67)</f>
        <v>0</v>
      </c>
      <c r="Q67" s="1">
        <f>MEDIAN($D67)</f>
        <v>0</v>
      </c>
      <c r="R67" s="1">
        <f>MEDIAN($E67)</f>
        <v>0</v>
      </c>
      <c r="S67" s="1">
        <f>MEDIAN($G67)</f>
        <v>0</v>
      </c>
      <c r="T67" s="1">
        <f>MEDIAN($H67)</f>
        <v>0</v>
      </c>
      <c r="U67" s="1">
        <f>MAX($B67)</f>
        <v>0</v>
      </c>
      <c r="V67" s="1">
        <f>MAX($C67)</f>
        <v>0</v>
      </c>
      <c r="W67" s="1">
        <f>MAX($D67)</f>
        <v>0</v>
      </c>
      <c r="X67" s="1">
        <f>MAX($E67)</f>
        <v>0</v>
      </c>
      <c r="Y67" s="1">
        <f>MAX($G67)</f>
        <v>0</v>
      </c>
      <c r="Z67" s="1">
        <f>MAX($H67)</f>
        <v>0</v>
      </c>
    </row>
    <row r="68" spans="1:26">
      <c r="A68" s="1" t="s">
        <v>65</v>
      </c>
      <c r="B68" s="1">
        <v>1</v>
      </c>
      <c r="C68" s="1">
        <v>18637</v>
      </c>
      <c r="D68" s="1">
        <v>0</v>
      </c>
      <c r="E68" s="1">
        <v>20000</v>
      </c>
      <c r="F68" s="1" t="s">
        <v>155</v>
      </c>
      <c r="G68" s="1">
        <v>10000</v>
      </c>
      <c r="H68" s="1">
        <v>1</v>
      </c>
      <c r="I68" s="1">
        <f>MIN($B68)</f>
        <v>0</v>
      </c>
      <c r="J68" s="1">
        <f>MIN($C68)</f>
        <v>0</v>
      </c>
      <c r="K68" s="1">
        <f>MIN($D68)</f>
        <v>0</v>
      </c>
      <c r="L68" s="1">
        <f>MIN($E68)</f>
        <v>0</v>
      </c>
      <c r="M68" s="1">
        <f>MIN($G68)</f>
        <v>0</v>
      </c>
      <c r="N68" s="1">
        <f>MIN($H68)</f>
        <v>0</v>
      </c>
      <c r="O68" s="1">
        <f>MEDIAN($B68)</f>
        <v>0</v>
      </c>
      <c r="P68" s="1">
        <f>MEDIAN($C68)</f>
        <v>0</v>
      </c>
      <c r="Q68" s="1">
        <f>MEDIAN($D68)</f>
        <v>0</v>
      </c>
      <c r="R68" s="1">
        <f>MEDIAN($E68)</f>
        <v>0</v>
      </c>
      <c r="S68" s="1">
        <f>MEDIAN($G68)</f>
        <v>0</v>
      </c>
      <c r="T68" s="1">
        <f>MEDIAN($H68)</f>
        <v>0</v>
      </c>
      <c r="U68" s="1">
        <f>MAX($B68)</f>
        <v>0</v>
      </c>
      <c r="V68" s="1">
        <f>MAX($C68)</f>
        <v>0</v>
      </c>
      <c r="W68" s="1">
        <f>MAX($D68)</f>
        <v>0</v>
      </c>
      <c r="X68" s="1">
        <f>MAX($E68)</f>
        <v>0</v>
      </c>
      <c r="Y68" s="1">
        <f>MAX($G68)</f>
        <v>0</v>
      </c>
      <c r="Z68" s="1">
        <f>MAX($H68)</f>
        <v>0</v>
      </c>
    </row>
    <row r="69" spans="1:26">
      <c r="A69" s="1" t="s">
        <v>66</v>
      </c>
      <c r="B69" s="1">
        <v>1</v>
      </c>
      <c r="C69" s="1">
        <v>18514</v>
      </c>
      <c r="D69" s="1">
        <v>0</v>
      </c>
      <c r="E69" s="1">
        <v>20000</v>
      </c>
      <c r="F69" s="1" t="s">
        <v>155</v>
      </c>
      <c r="G69" s="1">
        <v>10000</v>
      </c>
      <c r="H69" s="1">
        <v>1</v>
      </c>
      <c r="I69" s="1">
        <f>MIN($B69)</f>
        <v>0</v>
      </c>
      <c r="J69" s="1">
        <f>MIN($C69)</f>
        <v>0</v>
      </c>
      <c r="K69" s="1">
        <f>MIN($D69)</f>
        <v>0</v>
      </c>
      <c r="L69" s="1">
        <f>MIN($E69)</f>
        <v>0</v>
      </c>
      <c r="M69" s="1">
        <f>MIN($G69)</f>
        <v>0</v>
      </c>
      <c r="N69" s="1">
        <f>MIN($H69)</f>
        <v>0</v>
      </c>
      <c r="O69" s="1">
        <f>MEDIAN($B69)</f>
        <v>0</v>
      </c>
      <c r="P69" s="1">
        <f>MEDIAN($C69)</f>
        <v>0</v>
      </c>
      <c r="Q69" s="1">
        <f>MEDIAN($D69)</f>
        <v>0</v>
      </c>
      <c r="R69" s="1">
        <f>MEDIAN($E69)</f>
        <v>0</v>
      </c>
      <c r="S69" s="1">
        <f>MEDIAN($G69)</f>
        <v>0</v>
      </c>
      <c r="T69" s="1">
        <f>MEDIAN($H69)</f>
        <v>0</v>
      </c>
      <c r="U69" s="1">
        <f>MAX($B69)</f>
        <v>0</v>
      </c>
      <c r="V69" s="1">
        <f>MAX($C69)</f>
        <v>0</v>
      </c>
      <c r="W69" s="1">
        <f>MAX($D69)</f>
        <v>0</v>
      </c>
      <c r="X69" s="1">
        <f>MAX($E69)</f>
        <v>0</v>
      </c>
      <c r="Y69" s="1">
        <f>MAX($G69)</f>
        <v>0</v>
      </c>
      <c r="Z69" s="1">
        <f>MAX($H69)</f>
        <v>0</v>
      </c>
    </row>
    <row r="70" spans="1:26">
      <c r="A70" s="1" t="s">
        <v>67</v>
      </c>
      <c r="B70" s="1">
        <v>1</v>
      </c>
      <c r="C70" s="1">
        <v>18174</v>
      </c>
      <c r="D70" s="1">
        <v>0</v>
      </c>
      <c r="E70" s="1">
        <v>20000</v>
      </c>
      <c r="F70" s="1" t="s">
        <v>155</v>
      </c>
      <c r="G70" s="1">
        <v>10000</v>
      </c>
      <c r="H70" s="1">
        <v>1</v>
      </c>
      <c r="I70" s="1">
        <f>MIN($B70)</f>
        <v>0</v>
      </c>
      <c r="J70" s="1">
        <f>MIN($C70)</f>
        <v>0</v>
      </c>
      <c r="K70" s="1">
        <f>MIN($D70)</f>
        <v>0</v>
      </c>
      <c r="L70" s="1">
        <f>MIN($E70)</f>
        <v>0</v>
      </c>
      <c r="M70" s="1">
        <f>MIN($G70)</f>
        <v>0</v>
      </c>
      <c r="N70" s="1">
        <f>MIN($H70)</f>
        <v>0</v>
      </c>
      <c r="O70" s="1">
        <f>MEDIAN($B70)</f>
        <v>0</v>
      </c>
      <c r="P70" s="1">
        <f>MEDIAN($C70)</f>
        <v>0</v>
      </c>
      <c r="Q70" s="1">
        <f>MEDIAN($D70)</f>
        <v>0</v>
      </c>
      <c r="R70" s="1">
        <f>MEDIAN($E70)</f>
        <v>0</v>
      </c>
      <c r="S70" s="1">
        <f>MEDIAN($G70)</f>
        <v>0</v>
      </c>
      <c r="T70" s="1">
        <f>MEDIAN($H70)</f>
        <v>0</v>
      </c>
      <c r="U70" s="1">
        <f>MAX($B70)</f>
        <v>0</v>
      </c>
      <c r="V70" s="1">
        <f>MAX($C70)</f>
        <v>0</v>
      </c>
      <c r="W70" s="1">
        <f>MAX($D70)</f>
        <v>0</v>
      </c>
      <c r="X70" s="1">
        <f>MAX($E70)</f>
        <v>0</v>
      </c>
      <c r="Y70" s="1">
        <f>MAX($G70)</f>
        <v>0</v>
      </c>
      <c r="Z70" s="1">
        <f>MAX($H70)</f>
        <v>0</v>
      </c>
    </row>
    <row r="71" spans="1:26">
      <c r="A71" s="1" t="s">
        <v>68</v>
      </c>
      <c r="B71" s="1">
        <v>1</v>
      </c>
      <c r="C71" s="1">
        <v>16351</v>
      </c>
      <c r="D71" s="1">
        <v>0</v>
      </c>
      <c r="E71" s="1">
        <v>20000</v>
      </c>
      <c r="F71" s="1" t="s">
        <v>155</v>
      </c>
      <c r="G71" s="1">
        <v>10000</v>
      </c>
      <c r="H71" s="1">
        <v>1</v>
      </c>
      <c r="I71" s="1">
        <f>MIN($B71)</f>
        <v>0</v>
      </c>
      <c r="J71" s="1">
        <f>MIN($C71)</f>
        <v>0</v>
      </c>
      <c r="K71" s="1">
        <f>MIN($D71)</f>
        <v>0</v>
      </c>
      <c r="L71" s="1">
        <f>MIN($E71)</f>
        <v>0</v>
      </c>
      <c r="M71" s="1">
        <f>MIN($G71)</f>
        <v>0</v>
      </c>
      <c r="N71" s="1">
        <f>MIN($H71)</f>
        <v>0</v>
      </c>
      <c r="O71" s="1">
        <f>MEDIAN($B71)</f>
        <v>0</v>
      </c>
      <c r="P71" s="1">
        <f>MEDIAN($C71)</f>
        <v>0</v>
      </c>
      <c r="Q71" s="1">
        <f>MEDIAN($D71)</f>
        <v>0</v>
      </c>
      <c r="R71" s="1">
        <f>MEDIAN($E71)</f>
        <v>0</v>
      </c>
      <c r="S71" s="1">
        <f>MEDIAN($G71)</f>
        <v>0</v>
      </c>
      <c r="T71" s="1">
        <f>MEDIAN($H71)</f>
        <v>0</v>
      </c>
      <c r="U71" s="1">
        <f>MAX($B71)</f>
        <v>0</v>
      </c>
      <c r="V71" s="1">
        <f>MAX($C71)</f>
        <v>0</v>
      </c>
      <c r="W71" s="1">
        <f>MAX($D71)</f>
        <v>0</v>
      </c>
      <c r="X71" s="1">
        <f>MAX($E71)</f>
        <v>0</v>
      </c>
      <c r="Y71" s="1">
        <f>MAX($G71)</f>
        <v>0</v>
      </c>
      <c r="Z71" s="1">
        <f>MAX($H71)</f>
        <v>0</v>
      </c>
    </row>
    <row r="72" spans="1:26">
      <c r="A72" s="1" t="s">
        <v>69</v>
      </c>
      <c r="B72" s="1">
        <v>1</v>
      </c>
      <c r="C72" s="1">
        <v>14989</v>
      </c>
      <c r="D72" s="1">
        <v>0</v>
      </c>
      <c r="E72" s="1">
        <v>20000</v>
      </c>
      <c r="F72" s="1" t="s">
        <v>155</v>
      </c>
      <c r="G72" s="1">
        <v>10000</v>
      </c>
      <c r="H72" s="1">
        <v>1</v>
      </c>
      <c r="I72" s="1">
        <f>MIN($B72)</f>
        <v>0</v>
      </c>
      <c r="J72" s="1">
        <f>MIN($C72)</f>
        <v>0</v>
      </c>
      <c r="K72" s="1">
        <f>MIN($D72)</f>
        <v>0</v>
      </c>
      <c r="L72" s="1">
        <f>MIN($E72)</f>
        <v>0</v>
      </c>
      <c r="M72" s="1">
        <f>MIN($G72)</f>
        <v>0</v>
      </c>
      <c r="N72" s="1">
        <f>MIN($H72)</f>
        <v>0</v>
      </c>
      <c r="O72" s="1">
        <f>MEDIAN($B72)</f>
        <v>0</v>
      </c>
      <c r="P72" s="1">
        <f>MEDIAN($C72)</f>
        <v>0</v>
      </c>
      <c r="Q72" s="1">
        <f>MEDIAN($D72)</f>
        <v>0</v>
      </c>
      <c r="R72" s="1">
        <f>MEDIAN($E72)</f>
        <v>0</v>
      </c>
      <c r="S72" s="1">
        <f>MEDIAN($G72)</f>
        <v>0</v>
      </c>
      <c r="T72" s="1">
        <f>MEDIAN($H72)</f>
        <v>0</v>
      </c>
      <c r="U72" s="1">
        <f>MAX($B72)</f>
        <v>0</v>
      </c>
      <c r="V72" s="1">
        <f>MAX($C72)</f>
        <v>0</v>
      </c>
      <c r="W72" s="1">
        <f>MAX($D72)</f>
        <v>0</v>
      </c>
      <c r="X72" s="1">
        <f>MAX($E72)</f>
        <v>0</v>
      </c>
      <c r="Y72" s="1">
        <f>MAX($G72)</f>
        <v>0</v>
      </c>
      <c r="Z72" s="1">
        <f>MAX($H72)</f>
        <v>0</v>
      </c>
    </row>
    <row r="73" spans="1:26">
      <c r="A73" s="1" t="s">
        <v>70</v>
      </c>
      <c r="B73" s="1">
        <v>0</v>
      </c>
      <c r="C73" s="1">
        <v>0</v>
      </c>
      <c r="D73" s="1">
        <v>0</v>
      </c>
      <c r="E73" s="1">
        <v>20000</v>
      </c>
      <c r="F73" s="1" t="s">
        <v>157</v>
      </c>
      <c r="G73" s="1">
        <v>10000</v>
      </c>
      <c r="H73" s="1">
        <v>1</v>
      </c>
      <c r="I73" s="1">
        <f>MIN($B73)</f>
        <v>0</v>
      </c>
      <c r="J73" s="1">
        <f>MIN($C73)</f>
        <v>0</v>
      </c>
      <c r="K73" s="1">
        <f>MIN($D73)</f>
        <v>0</v>
      </c>
      <c r="L73" s="1">
        <f>MIN($E73)</f>
        <v>0</v>
      </c>
      <c r="M73" s="1">
        <f>MIN($G73)</f>
        <v>0</v>
      </c>
      <c r="N73" s="1">
        <f>MIN($H73)</f>
        <v>0</v>
      </c>
      <c r="O73" s="1">
        <f>MEDIAN($B73)</f>
        <v>0</v>
      </c>
      <c r="P73" s="1">
        <f>MEDIAN($C73)</f>
        <v>0</v>
      </c>
      <c r="Q73" s="1">
        <f>MEDIAN($D73)</f>
        <v>0</v>
      </c>
      <c r="R73" s="1">
        <f>MEDIAN($E73)</f>
        <v>0</v>
      </c>
      <c r="S73" s="1">
        <f>MEDIAN($G73)</f>
        <v>0</v>
      </c>
      <c r="T73" s="1">
        <f>MEDIAN($H73)</f>
        <v>0</v>
      </c>
      <c r="U73" s="1">
        <f>MAX($B73)</f>
        <v>0</v>
      </c>
      <c r="V73" s="1">
        <f>MAX($C73)</f>
        <v>0</v>
      </c>
      <c r="W73" s="1">
        <f>MAX($D73)</f>
        <v>0</v>
      </c>
      <c r="X73" s="1">
        <f>MAX($E73)</f>
        <v>0</v>
      </c>
      <c r="Y73" s="1">
        <f>MAX($G73)</f>
        <v>0</v>
      </c>
      <c r="Z73" s="1">
        <f>MAX($H73)</f>
        <v>0</v>
      </c>
    </row>
    <row r="74" spans="1:26">
      <c r="A74" s="1" t="s">
        <v>71</v>
      </c>
      <c r="B74" s="1">
        <v>1</v>
      </c>
      <c r="C74" s="1">
        <v>26926</v>
      </c>
      <c r="D74" s="1">
        <v>0</v>
      </c>
      <c r="E74" s="1">
        <v>20000</v>
      </c>
      <c r="F74" s="1" t="s">
        <v>155</v>
      </c>
      <c r="G74" s="1">
        <v>10000</v>
      </c>
      <c r="H74" s="1">
        <v>1</v>
      </c>
      <c r="I74" s="1">
        <f>MIN($B74)</f>
        <v>0</v>
      </c>
      <c r="J74" s="1">
        <f>MIN($C74)</f>
        <v>0</v>
      </c>
      <c r="K74" s="1">
        <f>MIN($D74)</f>
        <v>0</v>
      </c>
      <c r="L74" s="1">
        <f>MIN($E74)</f>
        <v>0</v>
      </c>
      <c r="M74" s="1">
        <f>MIN($G74)</f>
        <v>0</v>
      </c>
      <c r="N74" s="1">
        <f>MIN($H74)</f>
        <v>0</v>
      </c>
      <c r="O74" s="1">
        <f>MEDIAN($B74)</f>
        <v>0</v>
      </c>
      <c r="P74" s="1">
        <f>MEDIAN($C74)</f>
        <v>0</v>
      </c>
      <c r="Q74" s="1">
        <f>MEDIAN($D74)</f>
        <v>0</v>
      </c>
      <c r="R74" s="1">
        <f>MEDIAN($E74)</f>
        <v>0</v>
      </c>
      <c r="S74" s="1">
        <f>MEDIAN($G74)</f>
        <v>0</v>
      </c>
      <c r="T74" s="1">
        <f>MEDIAN($H74)</f>
        <v>0</v>
      </c>
      <c r="U74" s="1">
        <f>MAX($B74)</f>
        <v>0</v>
      </c>
      <c r="V74" s="1">
        <f>MAX($C74)</f>
        <v>0</v>
      </c>
      <c r="W74" s="1">
        <f>MAX($D74)</f>
        <v>0</v>
      </c>
      <c r="X74" s="1">
        <f>MAX($E74)</f>
        <v>0</v>
      </c>
      <c r="Y74" s="1">
        <f>MAX($G74)</f>
        <v>0</v>
      </c>
      <c r="Z74" s="1">
        <f>MAX($H74)</f>
        <v>0</v>
      </c>
    </row>
    <row r="75" spans="1:26">
      <c r="A75" s="1" t="s">
        <v>72</v>
      </c>
      <c r="B75" s="1">
        <v>1</v>
      </c>
      <c r="C75" s="1">
        <v>15881</v>
      </c>
      <c r="D75" s="1">
        <v>0</v>
      </c>
      <c r="E75" s="1">
        <v>20000</v>
      </c>
      <c r="F75" s="1" t="s">
        <v>155</v>
      </c>
      <c r="G75" s="1">
        <v>10000</v>
      </c>
      <c r="H75" s="1">
        <v>1</v>
      </c>
      <c r="I75" s="1">
        <f>MIN($B75)</f>
        <v>0</v>
      </c>
      <c r="J75" s="1">
        <f>MIN($C75)</f>
        <v>0</v>
      </c>
      <c r="K75" s="1">
        <f>MIN($D75)</f>
        <v>0</v>
      </c>
      <c r="L75" s="1">
        <f>MIN($E75)</f>
        <v>0</v>
      </c>
      <c r="M75" s="1">
        <f>MIN($G75)</f>
        <v>0</v>
      </c>
      <c r="N75" s="1">
        <f>MIN($H75)</f>
        <v>0</v>
      </c>
      <c r="O75" s="1">
        <f>MEDIAN($B75)</f>
        <v>0</v>
      </c>
      <c r="P75" s="1">
        <f>MEDIAN($C75)</f>
        <v>0</v>
      </c>
      <c r="Q75" s="1">
        <f>MEDIAN($D75)</f>
        <v>0</v>
      </c>
      <c r="R75" s="1">
        <f>MEDIAN($E75)</f>
        <v>0</v>
      </c>
      <c r="S75" s="1">
        <f>MEDIAN($G75)</f>
        <v>0</v>
      </c>
      <c r="T75" s="1">
        <f>MEDIAN($H75)</f>
        <v>0</v>
      </c>
      <c r="U75" s="1">
        <f>MAX($B75)</f>
        <v>0</v>
      </c>
      <c r="V75" s="1">
        <f>MAX($C75)</f>
        <v>0</v>
      </c>
      <c r="W75" s="1">
        <f>MAX($D75)</f>
        <v>0</v>
      </c>
      <c r="X75" s="1">
        <f>MAX($E75)</f>
        <v>0</v>
      </c>
      <c r="Y75" s="1">
        <f>MAX($G75)</f>
        <v>0</v>
      </c>
      <c r="Z75" s="1">
        <f>MAX($H75)</f>
        <v>0</v>
      </c>
    </row>
    <row r="76" spans="1:26">
      <c r="A76" s="1" t="s">
        <v>73</v>
      </c>
      <c r="B76" s="1">
        <v>1</v>
      </c>
      <c r="C76" s="1">
        <v>25652</v>
      </c>
      <c r="D76" s="1">
        <v>0</v>
      </c>
      <c r="E76" s="1">
        <v>20000</v>
      </c>
      <c r="F76" s="1" t="s">
        <v>155</v>
      </c>
      <c r="G76" s="1">
        <v>10000</v>
      </c>
      <c r="H76" s="1">
        <v>1</v>
      </c>
      <c r="I76" s="1">
        <f>MIN($B76)</f>
        <v>0</v>
      </c>
      <c r="J76" s="1">
        <f>MIN($C76)</f>
        <v>0</v>
      </c>
      <c r="K76" s="1">
        <f>MIN($D76)</f>
        <v>0</v>
      </c>
      <c r="L76" s="1">
        <f>MIN($E76)</f>
        <v>0</v>
      </c>
      <c r="M76" s="1">
        <f>MIN($G76)</f>
        <v>0</v>
      </c>
      <c r="N76" s="1">
        <f>MIN($H76)</f>
        <v>0</v>
      </c>
      <c r="O76" s="1">
        <f>MEDIAN($B76)</f>
        <v>0</v>
      </c>
      <c r="P76" s="1">
        <f>MEDIAN($C76)</f>
        <v>0</v>
      </c>
      <c r="Q76" s="1">
        <f>MEDIAN($D76)</f>
        <v>0</v>
      </c>
      <c r="R76" s="1">
        <f>MEDIAN($E76)</f>
        <v>0</v>
      </c>
      <c r="S76" s="1">
        <f>MEDIAN($G76)</f>
        <v>0</v>
      </c>
      <c r="T76" s="1">
        <f>MEDIAN($H76)</f>
        <v>0</v>
      </c>
      <c r="U76" s="1">
        <f>MAX($B76)</f>
        <v>0</v>
      </c>
      <c r="V76" s="1">
        <f>MAX($C76)</f>
        <v>0</v>
      </c>
      <c r="W76" s="1">
        <f>MAX($D76)</f>
        <v>0</v>
      </c>
      <c r="X76" s="1">
        <f>MAX($E76)</f>
        <v>0</v>
      </c>
      <c r="Y76" s="1">
        <f>MAX($G76)</f>
        <v>0</v>
      </c>
      <c r="Z76" s="1">
        <f>MAX($H76)</f>
        <v>0</v>
      </c>
    </row>
    <row r="77" spans="1:26">
      <c r="A77" s="1" t="s">
        <v>74</v>
      </c>
      <c r="B77" s="1">
        <v>1</v>
      </c>
      <c r="C77" s="1">
        <v>19893</v>
      </c>
      <c r="D77" s="1">
        <v>0</v>
      </c>
      <c r="E77" s="1">
        <v>20000</v>
      </c>
      <c r="F77" s="1" t="s">
        <v>155</v>
      </c>
      <c r="G77" s="1">
        <v>10000</v>
      </c>
      <c r="H77" s="1">
        <v>1</v>
      </c>
      <c r="I77" s="1">
        <f>MIN($B77)</f>
        <v>0</v>
      </c>
      <c r="J77" s="1">
        <f>MIN($C77)</f>
        <v>0</v>
      </c>
      <c r="K77" s="1">
        <f>MIN($D77)</f>
        <v>0</v>
      </c>
      <c r="L77" s="1">
        <f>MIN($E77)</f>
        <v>0</v>
      </c>
      <c r="M77" s="1">
        <f>MIN($G77)</f>
        <v>0</v>
      </c>
      <c r="N77" s="1">
        <f>MIN($H77)</f>
        <v>0</v>
      </c>
      <c r="O77" s="1">
        <f>MEDIAN($B77)</f>
        <v>0</v>
      </c>
      <c r="P77" s="1">
        <f>MEDIAN($C77)</f>
        <v>0</v>
      </c>
      <c r="Q77" s="1">
        <f>MEDIAN($D77)</f>
        <v>0</v>
      </c>
      <c r="R77" s="1">
        <f>MEDIAN($E77)</f>
        <v>0</v>
      </c>
      <c r="S77" s="1">
        <f>MEDIAN($G77)</f>
        <v>0</v>
      </c>
      <c r="T77" s="1">
        <f>MEDIAN($H77)</f>
        <v>0</v>
      </c>
      <c r="U77" s="1">
        <f>MAX($B77)</f>
        <v>0</v>
      </c>
      <c r="V77" s="1">
        <f>MAX($C77)</f>
        <v>0</v>
      </c>
      <c r="W77" s="1">
        <f>MAX($D77)</f>
        <v>0</v>
      </c>
      <c r="X77" s="1">
        <f>MAX($E77)</f>
        <v>0</v>
      </c>
      <c r="Y77" s="1">
        <f>MAX($G77)</f>
        <v>0</v>
      </c>
      <c r="Z77" s="1">
        <f>MAX($H77)</f>
        <v>0</v>
      </c>
    </row>
    <row r="78" spans="1:26">
      <c r="A78" s="1" t="s">
        <v>75</v>
      </c>
      <c r="B78" s="1">
        <v>1</v>
      </c>
      <c r="C78" s="1">
        <v>17577</v>
      </c>
      <c r="D78" s="1">
        <v>0</v>
      </c>
      <c r="E78" s="1">
        <v>20000</v>
      </c>
      <c r="F78" s="1" t="s">
        <v>155</v>
      </c>
      <c r="G78" s="1">
        <v>10000</v>
      </c>
      <c r="H78" s="1">
        <v>1</v>
      </c>
      <c r="I78" s="1">
        <f>MIN($B78)</f>
        <v>0</v>
      </c>
      <c r="J78" s="1">
        <f>MIN($C78)</f>
        <v>0</v>
      </c>
      <c r="K78" s="1">
        <f>MIN($D78)</f>
        <v>0</v>
      </c>
      <c r="L78" s="1">
        <f>MIN($E78)</f>
        <v>0</v>
      </c>
      <c r="M78" s="1">
        <f>MIN($G78)</f>
        <v>0</v>
      </c>
      <c r="N78" s="1">
        <f>MIN($H78)</f>
        <v>0</v>
      </c>
      <c r="O78" s="1">
        <f>MEDIAN($B78)</f>
        <v>0</v>
      </c>
      <c r="P78" s="1">
        <f>MEDIAN($C78)</f>
        <v>0</v>
      </c>
      <c r="Q78" s="1">
        <f>MEDIAN($D78)</f>
        <v>0</v>
      </c>
      <c r="R78" s="1">
        <f>MEDIAN($E78)</f>
        <v>0</v>
      </c>
      <c r="S78" s="1">
        <f>MEDIAN($G78)</f>
        <v>0</v>
      </c>
      <c r="T78" s="1">
        <f>MEDIAN($H78)</f>
        <v>0</v>
      </c>
      <c r="U78" s="1">
        <f>MAX($B78)</f>
        <v>0</v>
      </c>
      <c r="V78" s="1">
        <f>MAX($C78)</f>
        <v>0</v>
      </c>
      <c r="W78" s="1">
        <f>MAX($D78)</f>
        <v>0</v>
      </c>
      <c r="X78" s="1">
        <f>MAX($E78)</f>
        <v>0</v>
      </c>
      <c r="Y78" s="1">
        <f>MAX($G78)</f>
        <v>0</v>
      </c>
      <c r="Z78" s="1">
        <f>MAX($H78)</f>
        <v>0</v>
      </c>
    </row>
    <row r="79" spans="1:26">
      <c r="A79" s="1" t="s">
        <v>76</v>
      </c>
      <c r="B79" s="1">
        <v>1</v>
      </c>
      <c r="C79" s="1">
        <v>15334</v>
      </c>
      <c r="D79" s="1">
        <v>0</v>
      </c>
      <c r="E79" s="1">
        <v>20000</v>
      </c>
      <c r="F79" s="1" t="s">
        <v>155</v>
      </c>
      <c r="G79" s="1">
        <v>10000</v>
      </c>
      <c r="H79" s="1">
        <v>1</v>
      </c>
      <c r="I79" s="1">
        <f>MIN($B79)</f>
        <v>0</v>
      </c>
      <c r="J79" s="1">
        <f>MIN($C79)</f>
        <v>0</v>
      </c>
      <c r="K79" s="1">
        <f>MIN($D79)</f>
        <v>0</v>
      </c>
      <c r="L79" s="1">
        <f>MIN($E79)</f>
        <v>0</v>
      </c>
      <c r="M79" s="1">
        <f>MIN($G79)</f>
        <v>0</v>
      </c>
      <c r="N79" s="1">
        <f>MIN($H79)</f>
        <v>0</v>
      </c>
      <c r="O79" s="1">
        <f>MEDIAN($B79)</f>
        <v>0</v>
      </c>
      <c r="P79" s="1">
        <f>MEDIAN($C79)</f>
        <v>0</v>
      </c>
      <c r="Q79" s="1">
        <f>MEDIAN($D79)</f>
        <v>0</v>
      </c>
      <c r="R79" s="1">
        <f>MEDIAN($E79)</f>
        <v>0</v>
      </c>
      <c r="S79" s="1">
        <f>MEDIAN($G79)</f>
        <v>0</v>
      </c>
      <c r="T79" s="1">
        <f>MEDIAN($H79)</f>
        <v>0</v>
      </c>
      <c r="U79" s="1">
        <f>MAX($B79)</f>
        <v>0</v>
      </c>
      <c r="V79" s="1">
        <f>MAX($C79)</f>
        <v>0</v>
      </c>
      <c r="W79" s="1">
        <f>MAX($D79)</f>
        <v>0</v>
      </c>
      <c r="X79" s="1">
        <f>MAX($E79)</f>
        <v>0</v>
      </c>
      <c r="Y79" s="1">
        <f>MAX($G79)</f>
        <v>0</v>
      </c>
      <c r="Z79" s="1">
        <f>MAX($H79)</f>
        <v>0</v>
      </c>
    </row>
    <row r="80" spans="1:26">
      <c r="A80" s="1" t="s">
        <v>77</v>
      </c>
      <c r="B80" s="1">
        <v>1</v>
      </c>
      <c r="C80" s="1">
        <v>16399</v>
      </c>
      <c r="D80" s="1">
        <v>0</v>
      </c>
      <c r="E80" s="1">
        <v>20000</v>
      </c>
      <c r="F80" s="1" t="s">
        <v>155</v>
      </c>
      <c r="G80" s="1">
        <v>10000</v>
      </c>
      <c r="H80" s="1">
        <v>1</v>
      </c>
      <c r="I80" s="1">
        <f>MIN($B80)</f>
        <v>0</v>
      </c>
      <c r="J80" s="1">
        <f>MIN($C80)</f>
        <v>0</v>
      </c>
      <c r="K80" s="1">
        <f>MIN($D80)</f>
        <v>0</v>
      </c>
      <c r="L80" s="1">
        <f>MIN($E80)</f>
        <v>0</v>
      </c>
      <c r="M80" s="1">
        <f>MIN($G80)</f>
        <v>0</v>
      </c>
      <c r="N80" s="1">
        <f>MIN($H80)</f>
        <v>0</v>
      </c>
      <c r="O80" s="1">
        <f>MEDIAN($B80)</f>
        <v>0</v>
      </c>
      <c r="P80" s="1">
        <f>MEDIAN($C80)</f>
        <v>0</v>
      </c>
      <c r="Q80" s="1">
        <f>MEDIAN($D80)</f>
        <v>0</v>
      </c>
      <c r="R80" s="1">
        <f>MEDIAN($E80)</f>
        <v>0</v>
      </c>
      <c r="S80" s="1">
        <f>MEDIAN($G80)</f>
        <v>0</v>
      </c>
      <c r="T80" s="1">
        <f>MEDIAN($H80)</f>
        <v>0</v>
      </c>
      <c r="U80" s="1">
        <f>MAX($B80)</f>
        <v>0</v>
      </c>
      <c r="V80" s="1">
        <f>MAX($C80)</f>
        <v>0</v>
      </c>
      <c r="W80" s="1">
        <f>MAX($D80)</f>
        <v>0</v>
      </c>
      <c r="X80" s="1">
        <f>MAX($E80)</f>
        <v>0</v>
      </c>
      <c r="Y80" s="1">
        <f>MAX($G80)</f>
        <v>0</v>
      </c>
      <c r="Z80" s="1">
        <f>MAX($H80)</f>
        <v>0</v>
      </c>
    </row>
    <row r="81" spans="1:26">
      <c r="A81" s="1" t="s">
        <v>78</v>
      </c>
      <c r="B81" s="1">
        <v>1</v>
      </c>
      <c r="C81" s="1">
        <v>18546</v>
      </c>
      <c r="D81" s="1">
        <v>0</v>
      </c>
      <c r="E81" s="1">
        <v>20000</v>
      </c>
      <c r="F81" s="1" t="s">
        <v>155</v>
      </c>
      <c r="G81" s="1">
        <v>10000</v>
      </c>
      <c r="H81" s="1">
        <v>1</v>
      </c>
      <c r="I81" s="1">
        <f>MIN($B81)</f>
        <v>0</v>
      </c>
      <c r="J81" s="1">
        <f>MIN($C81)</f>
        <v>0</v>
      </c>
      <c r="K81" s="1">
        <f>MIN($D81)</f>
        <v>0</v>
      </c>
      <c r="L81" s="1">
        <f>MIN($E81)</f>
        <v>0</v>
      </c>
      <c r="M81" s="1">
        <f>MIN($G81)</f>
        <v>0</v>
      </c>
      <c r="N81" s="1">
        <f>MIN($H81)</f>
        <v>0</v>
      </c>
      <c r="O81" s="1">
        <f>MEDIAN($B81)</f>
        <v>0</v>
      </c>
      <c r="P81" s="1">
        <f>MEDIAN($C81)</f>
        <v>0</v>
      </c>
      <c r="Q81" s="1">
        <f>MEDIAN($D81)</f>
        <v>0</v>
      </c>
      <c r="R81" s="1">
        <f>MEDIAN($E81)</f>
        <v>0</v>
      </c>
      <c r="S81" s="1">
        <f>MEDIAN($G81)</f>
        <v>0</v>
      </c>
      <c r="T81" s="1">
        <f>MEDIAN($H81)</f>
        <v>0</v>
      </c>
      <c r="U81" s="1">
        <f>MAX($B81)</f>
        <v>0</v>
      </c>
      <c r="V81" s="1">
        <f>MAX($C81)</f>
        <v>0</v>
      </c>
      <c r="W81" s="1">
        <f>MAX($D81)</f>
        <v>0</v>
      </c>
      <c r="X81" s="1">
        <f>MAX($E81)</f>
        <v>0</v>
      </c>
      <c r="Y81" s="1">
        <f>MAX($G81)</f>
        <v>0</v>
      </c>
      <c r="Z81" s="1">
        <f>MAX($H81)</f>
        <v>0</v>
      </c>
    </row>
    <row r="82" spans="1:26">
      <c r="A82" s="1" t="s">
        <v>79</v>
      </c>
      <c r="B82" s="1">
        <v>1</v>
      </c>
      <c r="C82" s="1">
        <v>16074</v>
      </c>
      <c r="D82" s="1">
        <v>0</v>
      </c>
      <c r="E82" s="1">
        <v>20000</v>
      </c>
      <c r="F82" s="1" t="s">
        <v>155</v>
      </c>
      <c r="G82" s="1">
        <v>10000</v>
      </c>
      <c r="H82" s="1">
        <v>1</v>
      </c>
      <c r="I82" s="1">
        <f>MIN($B82)</f>
        <v>0</v>
      </c>
      <c r="J82" s="1">
        <f>MIN($C82)</f>
        <v>0</v>
      </c>
      <c r="K82" s="1">
        <f>MIN($D82)</f>
        <v>0</v>
      </c>
      <c r="L82" s="1">
        <f>MIN($E82)</f>
        <v>0</v>
      </c>
      <c r="M82" s="1">
        <f>MIN($G82)</f>
        <v>0</v>
      </c>
      <c r="N82" s="1">
        <f>MIN($H82)</f>
        <v>0</v>
      </c>
      <c r="O82" s="1">
        <f>MEDIAN($B82)</f>
        <v>0</v>
      </c>
      <c r="P82" s="1">
        <f>MEDIAN($C82)</f>
        <v>0</v>
      </c>
      <c r="Q82" s="1">
        <f>MEDIAN($D82)</f>
        <v>0</v>
      </c>
      <c r="R82" s="1">
        <f>MEDIAN($E82)</f>
        <v>0</v>
      </c>
      <c r="S82" s="1">
        <f>MEDIAN($G82)</f>
        <v>0</v>
      </c>
      <c r="T82" s="1">
        <f>MEDIAN($H82)</f>
        <v>0</v>
      </c>
      <c r="U82" s="1">
        <f>MAX($B82)</f>
        <v>0</v>
      </c>
      <c r="V82" s="1">
        <f>MAX($C82)</f>
        <v>0</v>
      </c>
      <c r="W82" s="1">
        <f>MAX($D82)</f>
        <v>0</v>
      </c>
      <c r="X82" s="1">
        <f>MAX($E82)</f>
        <v>0</v>
      </c>
      <c r="Y82" s="1">
        <f>MAX($G82)</f>
        <v>0</v>
      </c>
      <c r="Z82" s="1">
        <f>MAX($H82)</f>
        <v>0</v>
      </c>
    </row>
    <row r="83" spans="1:26">
      <c r="A83" s="1" t="s">
        <v>80</v>
      </c>
      <c r="B83" s="1">
        <v>1</v>
      </c>
      <c r="C83" s="1">
        <v>13988</v>
      </c>
      <c r="D83" s="1">
        <v>0</v>
      </c>
      <c r="E83" s="1">
        <v>20000</v>
      </c>
      <c r="F83" s="1" t="s">
        <v>155</v>
      </c>
      <c r="G83" s="1">
        <v>10000</v>
      </c>
      <c r="H83" s="1">
        <v>1</v>
      </c>
      <c r="I83" s="1">
        <f>MIN($B83)</f>
        <v>0</v>
      </c>
      <c r="J83" s="1">
        <f>MIN($C83)</f>
        <v>0</v>
      </c>
      <c r="K83" s="1">
        <f>MIN($D83)</f>
        <v>0</v>
      </c>
      <c r="L83" s="1">
        <f>MIN($E83)</f>
        <v>0</v>
      </c>
      <c r="M83" s="1">
        <f>MIN($G83)</f>
        <v>0</v>
      </c>
      <c r="N83" s="1">
        <f>MIN($H83)</f>
        <v>0</v>
      </c>
      <c r="O83" s="1">
        <f>MEDIAN($B83)</f>
        <v>0</v>
      </c>
      <c r="P83" s="1">
        <f>MEDIAN($C83)</f>
        <v>0</v>
      </c>
      <c r="Q83" s="1">
        <f>MEDIAN($D83)</f>
        <v>0</v>
      </c>
      <c r="R83" s="1">
        <f>MEDIAN($E83)</f>
        <v>0</v>
      </c>
      <c r="S83" s="1">
        <f>MEDIAN($G83)</f>
        <v>0</v>
      </c>
      <c r="T83" s="1">
        <f>MEDIAN($H83)</f>
        <v>0</v>
      </c>
      <c r="U83" s="1">
        <f>MAX($B83)</f>
        <v>0</v>
      </c>
      <c r="V83" s="1">
        <f>MAX($C83)</f>
        <v>0</v>
      </c>
      <c r="W83" s="1">
        <f>MAX($D83)</f>
        <v>0</v>
      </c>
      <c r="X83" s="1">
        <f>MAX($E83)</f>
        <v>0</v>
      </c>
      <c r="Y83" s="1">
        <f>MAX($G83)</f>
        <v>0</v>
      </c>
      <c r="Z83" s="1">
        <f>MAX($H83)</f>
        <v>0</v>
      </c>
    </row>
    <row r="84" spans="1:26">
      <c r="A84" s="1" t="s">
        <v>81</v>
      </c>
      <c r="B84" s="1">
        <v>1</v>
      </c>
      <c r="C84" s="1">
        <v>30594</v>
      </c>
      <c r="D84" s="1">
        <v>0</v>
      </c>
      <c r="E84" s="1">
        <v>20000</v>
      </c>
      <c r="F84" s="1" t="s">
        <v>155</v>
      </c>
      <c r="G84" s="1">
        <v>10000</v>
      </c>
      <c r="H84" s="1">
        <v>1</v>
      </c>
      <c r="I84" s="1">
        <f>MIN($B84)</f>
        <v>0</v>
      </c>
      <c r="J84" s="1">
        <f>MIN($C84)</f>
        <v>0</v>
      </c>
      <c r="K84" s="1">
        <f>MIN($D84)</f>
        <v>0</v>
      </c>
      <c r="L84" s="1">
        <f>MIN($E84)</f>
        <v>0</v>
      </c>
      <c r="M84" s="1">
        <f>MIN($G84)</f>
        <v>0</v>
      </c>
      <c r="N84" s="1">
        <f>MIN($H84)</f>
        <v>0</v>
      </c>
      <c r="O84" s="1">
        <f>MEDIAN($B84)</f>
        <v>0</v>
      </c>
      <c r="P84" s="1">
        <f>MEDIAN($C84)</f>
        <v>0</v>
      </c>
      <c r="Q84" s="1">
        <f>MEDIAN($D84)</f>
        <v>0</v>
      </c>
      <c r="R84" s="1">
        <f>MEDIAN($E84)</f>
        <v>0</v>
      </c>
      <c r="S84" s="1">
        <f>MEDIAN($G84)</f>
        <v>0</v>
      </c>
      <c r="T84" s="1">
        <f>MEDIAN($H84)</f>
        <v>0</v>
      </c>
      <c r="U84" s="1">
        <f>MAX($B84)</f>
        <v>0</v>
      </c>
      <c r="V84" s="1">
        <f>MAX($C84)</f>
        <v>0</v>
      </c>
      <c r="W84" s="1">
        <f>MAX($D84)</f>
        <v>0</v>
      </c>
      <c r="X84" s="1">
        <f>MAX($E84)</f>
        <v>0</v>
      </c>
      <c r="Y84" s="1">
        <f>MAX($G84)</f>
        <v>0</v>
      </c>
      <c r="Z84" s="1">
        <f>MAX($H84)</f>
        <v>0</v>
      </c>
    </row>
    <row r="85" spans="1:26">
      <c r="A85" s="1" t="s">
        <v>82</v>
      </c>
      <c r="B85" s="1">
        <v>1</v>
      </c>
      <c r="C85" s="1">
        <v>14235</v>
      </c>
      <c r="D85" s="1">
        <v>0</v>
      </c>
      <c r="E85" s="1">
        <v>20000</v>
      </c>
      <c r="F85" s="1" t="s">
        <v>155</v>
      </c>
      <c r="G85" s="1">
        <v>10000</v>
      </c>
      <c r="H85" s="1">
        <v>1</v>
      </c>
      <c r="I85" s="1">
        <f>MIN($B85)</f>
        <v>0</v>
      </c>
      <c r="J85" s="1">
        <f>MIN($C85)</f>
        <v>0</v>
      </c>
      <c r="K85" s="1">
        <f>MIN($D85)</f>
        <v>0</v>
      </c>
      <c r="L85" s="1">
        <f>MIN($E85)</f>
        <v>0</v>
      </c>
      <c r="M85" s="1">
        <f>MIN($G85)</f>
        <v>0</v>
      </c>
      <c r="N85" s="1">
        <f>MIN($H85)</f>
        <v>0</v>
      </c>
      <c r="O85" s="1">
        <f>MEDIAN($B85)</f>
        <v>0</v>
      </c>
      <c r="P85" s="1">
        <f>MEDIAN($C85)</f>
        <v>0</v>
      </c>
      <c r="Q85" s="1">
        <f>MEDIAN($D85)</f>
        <v>0</v>
      </c>
      <c r="R85" s="1">
        <f>MEDIAN($E85)</f>
        <v>0</v>
      </c>
      <c r="S85" s="1">
        <f>MEDIAN($G85)</f>
        <v>0</v>
      </c>
      <c r="T85" s="1">
        <f>MEDIAN($H85)</f>
        <v>0</v>
      </c>
      <c r="U85" s="1">
        <f>MAX($B85)</f>
        <v>0</v>
      </c>
      <c r="V85" s="1">
        <f>MAX($C85)</f>
        <v>0</v>
      </c>
      <c r="W85" s="1">
        <f>MAX($D85)</f>
        <v>0</v>
      </c>
      <c r="X85" s="1">
        <f>MAX($E85)</f>
        <v>0</v>
      </c>
      <c r="Y85" s="1">
        <f>MAX($G85)</f>
        <v>0</v>
      </c>
      <c r="Z85" s="1">
        <f>MAX($H85)</f>
        <v>0</v>
      </c>
    </row>
    <row r="86" spans="1:26">
      <c r="A86" s="1" t="s">
        <v>83</v>
      </c>
      <c r="B86" s="1">
        <v>1</v>
      </c>
      <c r="C86" s="1">
        <v>15331</v>
      </c>
      <c r="D86" s="1">
        <v>0</v>
      </c>
      <c r="E86" s="1">
        <v>20000</v>
      </c>
      <c r="F86" s="1" t="s">
        <v>155</v>
      </c>
      <c r="G86" s="1">
        <v>10000</v>
      </c>
      <c r="H86" s="1">
        <v>1</v>
      </c>
      <c r="I86" s="1">
        <f>MIN($B86)</f>
        <v>0</v>
      </c>
      <c r="J86" s="1">
        <f>MIN($C86)</f>
        <v>0</v>
      </c>
      <c r="K86" s="1">
        <f>MIN($D86)</f>
        <v>0</v>
      </c>
      <c r="L86" s="1">
        <f>MIN($E86)</f>
        <v>0</v>
      </c>
      <c r="M86" s="1">
        <f>MIN($G86)</f>
        <v>0</v>
      </c>
      <c r="N86" s="1">
        <f>MIN($H86)</f>
        <v>0</v>
      </c>
      <c r="O86" s="1">
        <f>MEDIAN($B86)</f>
        <v>0</v>
      </c>
      <c r="P86" s="1">
        <f>MEDIAN($C86)</f>
        <v>0</v>
      </c>
      <c r="Q86" s="1">
        <f>MEDIAN($D86)</f>
        <v>0</v>
      </c>
      <c r="R86" s="1">
        <f>MEDIAN($E86)</f>
        <v>0</v>
      </c>
      <c r="S86" s="1">
        <f>MEDIAN($G86)</f>
        <v>0</v>
      </c>
      <c r="T86" s="1">
        <f>MEDIAN($H86)</f>
        <v>0</v>
      </c>
      <c r="U86" s="1">
        <f>MAX($B86)</f>
        <v>0</v>
      </c>
      <c r="V86" s="1">
        <f>MAX($C86)</f>
        <v>0</v>
      </c>
      <c r="W86" s="1">
        <f>MAX($D86)</f>
        <v>0</v>
      </c>
      <c r="X86" s="1">
        <f>MAX($E86)</f>
        <v>0</v>
      </c>
      <c r="Y86" s="1">
        <f>MAX($G86)</f>
        <v>0</v>
      </c>
      <c r="Z86" s="1">
        <f>MAX($H86)</f>
        <v>0</v>
      </c>
    </row>
    <row r="87" spans="1:26">
      <c r="A87" s="1" t="s">
        <v>84</v>
      </c>
      <c r="B87" s="1">
        <v>0</v>
      </c>
      <c r="C87" s="1">
        <v>44460</v>
      </c>
      <c r="D87" s="1">
        <v>0</v>
      </c>
      <c r="E87" s="1">
        <v>20000</v>
      </c>
      <c r="F87" s="1" t="s">
        <v>157</v>
      </c>
      <c r="G87" s="1">
        <v>10000</v>
      </c>
      <c r="H87" s="1">
        <v>1</v>
      </c>
      <c r="I87" s="1">
        <f>MIN($B87)</f>
        <v>0</v>
      </c>
      <c r="J87" s="1">
        <f>MIN($C87)</f>
        <v>0</v>
      </c>
      <c r="K87" s="1">
        <f>MIN($D87)</f>
        <v>0</v>
      </c>
      <c r="L87" s="1">
        <f>MIN($E87)</f>
        <v>0</v>
      </c>
      <c r="M87" s="1">
        <f>MIN($G87)</f>
        <v>0</v>
      </c>
      <c r="N87" s="1">
        <f>MIN($H87)</f>
        <v>0</v>
      </c>
      <c r="O87" s="1">
        <f>MEDIAN($B87)</f>
        <v>0</v>
      </c>
      <c r="P87" s="1">
        <f>MEDIAN($C87)</f>
        <v>0</v>
      </c>
      <c r="Q87" s="1">
        <f>MEDIAN($D87)</f>
        <v>0</v>
      </c>
      <c r="R87" s="1">
        <f>MEDIAN($E87)</f>
        <v>0</v>
      </c>
      <c r="S87" s="1">
        <f>MEDIAN($G87)</f>
        <v>0</v>
      </c>
      <c r="T87" s="1">
        <f>MEDIAN($H87)</f>
        <v>0</v>
      </c>
      <c r="U87" s="1">
        <f>MAX($B87)</f>
        <v>0</v>
      </c>
      <c r="V87" s="1">
        <f>MAX($C87)</f>
        <v>0</v>
      </c>
      <c r="W87" s="1">
        <f>MAX($D87)</f>
        <v>0</v>
      </c>
      <c r="X87" s="1">
        <f>MAX($E87)</f>
        <v>0</v>
      </c>
      <c r="Y87" s="1">
        <f>MAX($G87)</f>
        <v>0</v>
      </c>
      <c r="Z87" s="1">
        <f>MAX($H87)</f>
        <v>0</v>
      </c>
    </row>
    <row r="88" spans="1:26">
      <c r="A88" s="1" t="s">
        <v>85</v>
      </c>
      <c r="B88" s="1">
        <v>0</v>
      </c>
      <c r="C88" s="1">
        <v>50039</v>
      </c>
      <c r="D88" s="1">
        <v>1</v>
      </c>
      <c r="E88" s="1">
        <v>20000</v>
      </c>
      <c r="F88" s="1" t="s">
        <v>156</v>
      </c>
      <c r="G88" s="1">
        <v>10000</v>
      </c>
      <c r="H88" s="1">
        <v>1</v>
      </c>
      <c r="I88" s="1">
        <f>MIN($B88)</f>
        <v>0</v>
      </c>
      <c r="J88" s="1">
        <f>MIN($C88)</f>
        <v>0</v>
      </c>
      <c r="K88" s="1">
        <f>MIN($D88)</f>
        <v>0</v>
      </c>
      <c r="L88" s="1">
        <f>MIN($E88)</f>
        <v>0</v>
      </c>
      <c r="M88" s="1">
        <f>MIN($G88)</f>
        <v>0</v>
      </c>
      <c r="N88" s="1">
        <f>MIN($H88)</f>
        <v>0</v>
      </c>
      <c r="O88" s="1">
        <f>MEDIAN($B88)</f>
        <v>0</v>
      </c>
      <c r="P88" s="1">
        <f>MEDIAN($C88)</f>
        <v>0</v>
      </c>
      <c r="Q88" s="1">
        <f>MEDIAN($D88)</f>
        <v>0</v>
      </c>
      <c r="R88" s="1">
        <f>MEDIAN($E88)</f>
        <v>0</v>
      </c>
      <c r="S88" s="1">
        <f>MEDIAN($G88)</f>
        <v>0</v>
      </c>
      <c r="T88" s="1">
        <f>MEDIAN($H88)</f>
        <v>0</v>
      </c>
      <c r="U88" s="1">
        <f>MAX($B88)</f>
        <v>0</v>
      </c>
      <c r="V88" s="1">
        <f>MAX($C88)</f>
        <v>0</v>
      </c>
      <c r="W88" s="1">
        <f>MAX($D88)</f>
        <v>0</v>
      </c>
      <c r="X88" s="1">
        <f>MAX($E88)</f>
        <v>0</v>
      </c>
      <c r="Y88" s="1">
        <f>MAX($G88)</f>
        <v>0</v>
      </c>
      <c r="Z88" s="1">
        <f>MAX($H88)</f>
        <v>0</v>
      </c>
    </row>
    <row r="89" spans="1:26">
      <c r="A89" s="1" t="s">
        <v>86</v>
      </c>
      <c r="B89" s="1">
        <v>1</v>
      </c>
      <c r="C89" s="1">
        <v>14076</v>
      </c>
      <c r="D89" s="1">
        <v>0</v>
      </c>
      <c r="E89" s="1">
        <v>20000</v>
      </c>
      <c r="F89" s="1" t="s">
        <v>155</v>
      </c>
      <c r="G89" s="1">
        <v>10000</v>
      </c>
      <c r="H89" s="1">
        <v>1</v>
      </c>
      <c r="I89" s="1">
        <f>MIN($B89)</f>
        <v>0</v>
      </c>
      <c r="J89" s="1">
        <f>MIN($C89)</f>
        <v>0</v>
      </c>
      <c r="K89" s="1">
        <f>MIN($D89)</f>
        <v>0</v>
      </c>
      <c r="L89" s="1">
        <f>MIN($E89)</f>
        <v>0</v>
      </c>
      <c r="M89" s="1">
        <f>MIN($G89)</f>
        <v>0</v>
      </c>
      <c r="N89" s="1">
        <f>MIN($H89)</f>
        <v>0</v>
      </c>
      <c r="O89" s="1">
        <f>MEDIAN($B89)</f>
        <v>0</v>
      </c>
      <c r="P89" s="1">
        <f>MEDIAN($C89)</f>
        <v>0</v>
      </c>
      <c r="Q89" s="1">
        <f>MEDIAN($D89)</f>
        <v>0</v>
      </c>
      <c r="R89" s="1">
        <f>MEDIAN($E89)</f>
        <v>0</v>
      </c>
      <c r="S89" s="1">
        <f>MEDIAN($G89)</f>
        <v>0</v>
      </c>
      <c r="T89" s="1">
        <f>MEDIAN($H89)</f>
        <v>0</v>
      </c>
      <c r="U89" s="1">
        <f>MAX($B89)</f>
        <v>0</v>
      </c>
      <c r="V89" s="1">
        <f>MAX($C89)</f>
        <v>0</v>
      </c>
      <c r="W89" s="1">
        <f>MAX($D89)</f>
        <v>0</v>
      </c>
      <c r="X89" s="1">
        <f>MAX($E89)</f>
        <v>0</v>
      </c>
      <c r="Y89" s="1">
        <f>MAX($G89)</f>
        <v>0</v>
      </c>
      <c r="Z89" s="1">
        <f>MAX($H89)</f>
        <v>0</v>
      </c>
    </row>
    <row r="90" spans="1:26">
      <c r="A90" s="1" t="s">
        <v>87</v>
      </c>
      <c r="B90" s="1">
        <v>1</v>
      </c>
      <c r="C90" s="1">
        <v>13760</v>
      </c>
      <c r="D90" s="1">
        <v>0</v>
      </c>
      <c r="E90" s="1">
        <v>20000</v>
      </c>
      <c r="F90" s="1" t="s">
        <v>155</v>
      </c>
      <c r="G90" s="1">
        <v>10000</v>
      </c>
      <c r="H90" s="1">
        <v>1</v>
      </c>
      <c r="I90" s="1">
        <f>MIN($B90)</f>
        <v>0</v>
      </c>
      <c r="J90" s="1">
        <f>MIN($C90)</f>
        <v>0</v>
      </c>
      <c r="K90" s="1">
        <f>MIN($D90)</f>
        <v>0</v>
      </c>
      <c r="L90" s="1">
        <f>MIN($E90)</f>
        <v>0</v>
      </c>
      <c r="M90" s="1">
        <f>MIN($G90)</f>
        <v>0</v>
      </c>
      <c r="N90" s="1">
        <f>MIN($H90)</f>
        <v>0</v>
      </c>
      <c r="O90" s="1">
        <f>MEDIAN($B90)</f>
        <v>0</v>
      </c>
      <c r="P90" s="1">
        <f>MEDIAN($C90)</f>
        <v>0</v>
      </c>
      <c r="Q90" s="1">
        <f>MEDIAN($D90)</f>
        <v>0</v>
      </c>
      <c r="R90" s="1">
        <f>MEDIAN($E90)</f>
        <v>0</v>
      </c>
      <c r="S90" s="1">
        <f>MEDIAN($G90)</f>
        <v>0</v>
      </c>
      <c r="T90" s="1">
        <f>MEDIAN($H90)</f>
        <v>0</v>
      </c>
      <c r="U90" s="1">
        <f>MAX($B90)</f>
        <v>0</v>
      </c>
      <c r="V90" s="1">
        <f>MAX($C90)</f>
        <v>0</v>
      </c>
      <c r="W90" s="1">
        <f>MAX($D90)</f>
        <v>0</v>
      </c>
      <c r="X90" s="1">
        <f>MAX($E90)</f>
        <v>0</v>
      </c>
      <c r="Y90" s="1">
        <f>MAX($G90)</f>
        <v>0</v>
      </c>
      <c r="Z90" s="1">
        <f>MAX($H90)</f>
        <v>0</v>
      </c>
    </row>
    <row r="91" spans="1:26">
      <c r="A91" s="1" t="s">
        <v>88</v>
      </c>
      <c r="B91" s="1">
        <v>0</v>
      </c>
      <c r="C91" s="1">
        <v>36409</v>
      </c>
      <c r="D91" s="1">
        <v>0</v>
      </c>
      <c r="E91" s="1">
        <v>20000</v>
      </c>
      <c r="F91" s="1" t="s">
        <v>157</v>
      </c>
      <c r="G91" s="1">
        <v>10000</v>
      </c>
      <c r="H91" s="1">
        <v>1</v>
      </c>
      <c r="I91" s="1">
        <f>MIN($B91)</f>
        <v>0</v>
      </c>
      <c r="J91" s="1">
        <f>MIN($C91)</f>
        <v>0</v>
      </c>
      <c r="K91" s="1">
        <f>MIN($D91)</f>
        <v>0</v>
      </c>
      <c r="L91" s="1">
        <f>MIN($E91)</f>
        <v>0</v>
      </c>
      <c r="M91" s="1">
        <f>MIN($G91)</f>
        <v>0</v>
      </c>
      <c r="N91" s="1">
        <f>MIN($H91)</f>
        <v>0</v>
      </c>
      <c r="O91" s="1">
        <f>MEDIAN($B91)</f>
        <v>0</v>
      </c>
      <c r="P91" s="1">
        <f>MEDIAN($C91)</f>
        <v>0</v>
      </c>
      <c r="Q91" s="1">
        <f>MEDIAN($D91)</f>
        <v>0</v>
      </c>
      <c r="R91" s="1">
        <f>MEDIAN($E91)</f>
        <v>0</v>
      </c>
      <c r="S91" s="1">
        <f>MEDIAN($G91)</f>
        <v>0</v>
      </c>
      <c r="T91" s="1">
        <f>MEDIAN($H91)</f>
        <v>0</v>
      </c>
      <c r="U91" s="1">
        <f>MAX($B91)</f>
        <v>0</v>
      </c>
      <c r="V91" s="1">
        <f>MAX($C91)</f>
        <v>0</v>
      </c>
      <c r="W91" s="1">
        <f>MAX($D91)</f>
        <v>0</v>
      </c>
      <c r="X91" s="1">
        <f>MAX($E91)</f>
        <v>0</v>
      </c>
      <c r="Y91" s="1">
        <f>MAX($G91)</f>
        <v>0</v>
      </c>
      <c r="Z91" s="1">
        <f>MAX($H91)</f>
        <v>0</v>
      </c>
    </row>
    <row r="92" spans="1:26">
      <c r="A92" s="1" t="s">
        <v>89</v>
      </c>
      <c r="B92" s="1">
        <v>1</v>
      </c>
      <c r="C92" s="1">
        <v>17823</v>
      </c>
      <c r="D92" s="1">
        <v>0</v>
      </c>
      <c r="E92" s="1">
        <v>20000</v>
      </c>
      <c r="F92" s="1" t="s">
        <v>155</v>
      </c>
      <c r="G92" s="1">
        <v>10000</v>
      </c>
      <c r="H92" s="1">
        <v>1</v>
      </c>
      <c r="I92" s="1">
        <f>MIN($B92)</f>
        <v>0</v>
      </c>
      <c r="J92" s="1">
        <f>MIN($C92)</f>
        <v>0</v>
      </c>
      <c r="K92" s="1">
        <f>MIN($D92)</f>
        <v>0</v>
      </c>
      <c r="L92" s="1">
        <f>MIN($E92)</f>
        <v>0</v>
      </c>
      <c r="M92" s="1">
        <f>MIN($G92)</f>
        <v>0</v>
      </c>
      <c r="N92" s="1">
        <f>MIN($H92)</f>
        <v>0</v>
      </c>
      <c r="O92" s="1">
        <f>MEDIAN($B92)</f>
        <v>0</v>
      </c>
      <c r="P92" s="1">
        <f>MEDIAN($C92)</f>
        <v>0</v>
      </c>
      <c r="Q92" s="1">
        <f>MEDIAN($D92)</f>
        <v>0</v>
      </c>
      <c r="R92" s="1">
        <f>MEDIAN($E92)</f>
        <v>0</v>
      </c>
      <c r="S92" s="1">
        <f>MEDIAN($G92)</f>
        <v>0</v>
      </c>
      <c r="T92" s="1">
        <f>MEDIAN($H92)</f>
        <v>0</v>
      </c>
      <c r="U92" s="1">
        <f>MAX($B92)</f>
        <v>0</v>
      </c>
      <c r="V92" s="1">
        <f>MAX($C92)</f>
        <v>0</v>
      </c>
      <c r="W92" s="1">
        <f>MAX($D92)</f>
        <v>0</v>
      </c>
      <c r="X92" s="1">
        <f>MAX($E92)</f>
        <v>0</v>
      </c>
      <c r="Y92" s="1">
        <f>MAX($G92)</f>
        <v>0</v>
      </c>
      <c r="Z92" s="1">
        <f>MAX($H92)</f>
        <v>0</v>
      </c>
    </row>
    <row r="93" spans="1:26">
      <c r="A93" s="1" t="s">
        <v>90</v>
      </c>
      <c r="B93" s="1">
        <v>1</v>
      </c>
      <c r="C93" s="1">
        <v>17899</v>
      </c>
      <c r="D93" s="1">
        <v>0</v>
      </c>
      <c r="E93" s="1">
        <v>20000</v>
      </c>
      <c r="F93" s="1" t="s">
        <v>155</v>
      </c>
      <c r="G93" s="1">
        <v>10000</v>
      </c>
      <c r="H93" s="1">
        <v>1</v>
      </c>
      <c r="I93" s="1">
        <f>MIN($B93)</f>
        <v>0</v>
      </c>
      <c r="J93" s="1">
        <f>MIN($C93)</f>
        <v>0</v>
      </c>
      <c r="K93" s="1">
        <f>MIN($D93)</f>
        <v>0</v>
      </c>
      <c r="L93" s="1">
        <f>MIN($E93)</f>
        <v>0</v>
      </c>
      <c r="M93" s="1">
        <f>MIN($G93)</f>
        <v>0</v>
      </c>
      <c r="N93" s="1">
        <f>MIN($H93)</f>
        <v>0</v>
      </c>
      <c r="O93" s="1">
        <f>MEDIAN($B93)</f>
        <v>0</v>
      </c>
      <c r="P93" s="1">
        <f>MEDIAN($C93)</f>
        <v>0</v>
      </c>
      <c r="Q93" s="1">
        <f>MEDIAN($D93)</f>
        <v>0</v>
      </c>
      <c r="R93" s="1">
        <f>MEDIAN($E93)</f>
        <v>0</v>
      </c>
      <c r="S93" s="1">
        <f>MEDIAN($G93)</f>
        <v>0</v>
      </c>
      <c r="T93" s="1">
        <f>MEDIAN($H93)</f>
        <v>0</v>
      </c>
      <c r="U93" s="1">
        <f>MAX($B93)</f>
        <v>0</v>
      </c>
      <c r="V93" s="1">
        <f>MAX($C93)</f>
        <v>0</v>
      </c>
      <c r="W93" s="1">
        <f>MAX($D93)</f>
        <v>0</v>
      </c>
      <c r="X93" s="1">
        <f>MAX($E93)</f>
        <v>0</v>
      </c>
      <c r="Y93" s="1">
        <f>MAX($G93)</f>
        <v>0</v>
      </c>
      <c r="Z93" s="1">
        <f>MAX($H93)</f>
        <v>0</v>
      </c>
    </row>
    <row r="94" spans="1:26">
      <c r="A94" s="1" t="s">
        <v>91</v>
      </c>
      <c r="B94" s="1">
        <v>1</v>
      </c>
      <c r="C94" s="1">
        <v>15360</v>
      </c>
      <c r="D94" s="1">
        <v>0</v>
      </c>
      <c r="E94" s="1">
        <v>20000</v>
      </c>
      <c r="F94" s="1" t="s">
        <v>155</v>
      </c>
      <c r="G94" s="1">
        <v>10000</v>
      </c>
      <c r="H94" s="1">
        <v>1</v>
      </c>
      <c r="I94" s="1">
        <f>MIN($B94)</f>
        <v>0</v>
      </c>
      <c r="J94" s="1">
        <f>MIN($C94)</f>
        <v>0</v>
      </c>
      <c r="K94" s="1">
        <f>MIN($D94)</f>
        <v>0</v>
      </c>
      <c r="L94" s="1">
        <f>MIN($E94)</f>
        <v>0</v>
      </c>
      <c r="M94" s="1">
        <f>MIN($G94)</f>
        <v>0</v>
      </c>
      <c r="N94" s="1">
        <f>MIN($H94)</f>
        <v>0</v>
      </c>
      <c r="O94" s="1">
        <f>MEDIAN($B94)</f>
        <v>0</v>
      </c>
      <c r="P94" s="1">
        <f>MEDIAN($C94)</f>
        <v>0</v>
      </c>
      <c r="Q94" s="1">
        <f>MEDIAN($D94)</f>
        <v>0</v>
      </c>
      <c r="R94" s="1">
        <f>MEDIAN($E94)</f>
        <v>0</v>
      </c>
      <c r="S94" s="1">
        <f>MEDIAN($G94)</f>
        <v>0</v>
      </c>
      <c r="T94" s="1">
        <f>MEDIAN($H94)</f>
        <v>0</v>
      </c>
      <c r="U94" s="1">
        <f>MAX($B94)</f>
        <v>0</v>
      </c>
      <c r="V94" s="1">
        <f>MAX($C94)</f>
        <v>0</v>
      </c>
      <c r="W94" s="1">
        <f>MAX($D94)</f>
        <v>0</v>
      </c>
      <c r="X94" s="1">
        <f>MAX($E94)</f>
        <v>0</v>
      </c>
      <c r="Y94" s="1">
        <f>MAX($G94)</f>
        <v>0</v>
      </c>
      <c r="Z94" s="1">
        <f>MAX($H94)</f>
        <v>0</v>
      </c>
    </row>
    <row r="95" spans="1:26">
      <c r="A95" s="1" t="s">
        <v>92</v>
      </c>
      <c r="B95" s="1">
        <v>1</v>
      </c>
      <c r="C95" s="1">
        <v>20051</v>
      </c>
      <c r="D95" s="1">
        <v>0</v>
      </c>
      <c r="E95" s="1">
        <v>20000</v>
      </c>
      <c r="F95" s="1" t="s">
        <v>155</v>
      </c>
      <c r="G95" s="1">
        <v>10000</v>
      </c>
      <c r="H95" s="1">
        <v>1</v>
      </c>
      <c r="I95" s="1">
        <f>MIN($B95)</f>
        <v>0</v>
      </c>
      <c r="J95" s="1">
        <f>MIN($C95)</f>
        <v>0</v>
      </c>
      <c r="K95" s="1">
        <f>MIN($D95)</f>
        <v>0</v>
      </c>
      <c r="L95" s="1">
        <f>MIN($E95)</f>
        <v>0</v>
      </c>
      <c r="M95" s="1">
        <f>MIN($G95)</f>
        <v>0</v>
      </c>
      <c r="N95" s="1">
        <f>MIN($H95)</f>
        <v>0</v>
      </c>
      <c r="O95" s="1">
        <f>MEDIAN($B95)</f>
        <v>0</v>
      </c>
      <c r="P95" s="1">
        <f>MEDIAN($C95)</f>
        <v>0</v>
      </c>
      <c r="Q95" s="1">
        <f>MEDIAN($D95)</f>
        <v>0</v>
      </c>
      <c r="R95" s="1">
        <f>MEDIAN($E95)</f>
        <v>0</v>
      </c>
      <c r="S95" s="1">
        <f>MEDIAN($G95)</f>
        <v>0</v>
      </c>
      <c r="T95" s="1">
        <f>MEDIAN($H95)</f>
        <v>0</v>
      </c>
      <c r="U95" s="1">
        <f>MAX($B95)</f>
        <v>0</v>
      </c>
      <c r="V95" s="1">
        <f>MAX($C95)</f>
        <v>0</v>
      </c>
      <c r="W95" s="1">
        <f>MAX($D95)</f>
        <v>0</v>
      </c>
      <c r="X95" s="1">
        <f>MAX($E95)</f>
        <v>0</v>
      </c>
      <c r="Y95" s="1">
        <f>MAX($G95)</f>
        <v>0</v>
      </c>
      <c r="Z95" s="1">
        <f>MAX($H95)</f>
        <v>0</v>
      </c>
    </row>
    <row r="96" spans="1:26">
      <c r="A96" s="1" t="s">
        <v>93</v>
      </c>
      <c r="B96" s="1">
        <v>1</v>
      </c>
      <c r="C96" s="1">
        <v>15145</v>
      </c>
      <c r="D96" s="1">
        <v>0</v>
      </c>
      <c r="E96" s="1">
        <v>20000</v>
      </c>
      <c r="F96" s="1" t="s">
        <v>155</v>
      </c>
      <c r="G96" s="1">
        <v>10000</v>
      </c>
      <c r="H96" s="1">
        <v>1</v>
      </c>
      <c r="I96" s="1">
        <f>MIN($B96)</f>
        <v>0</v>
      </c>
      <c r="J96" s="1">
        <f>MIN($C96)</f>
        <v>0</v>
      </c>
      <c r="K96" s="1">
        <f>MIN($D96)</f>
        <v>0</v>
      </c>
      <c r="L96" s="1">
        <f>MIN($E96)</f>
        <v>0</v>
      </c>
      <c r="M96" s="1">
        <f>MIN($G96)</f>
        <v>0</v>
      </c>
      <c r="N96" s="1">
        <f>MIN($H96)</f>
        <v>0</v>
      </c>
      <c r="O96" s="1">
        <f>MEDIAN($B96)</f>
        <v>0</v>
      </c>
      <c r="P96" s="1">
        <f>MEDIAN($C96)</f>
        <v>0</v>
      </c>
      <c r="Q96" s="1">
        <f>MEDIAN($D96)</f>
        <v>0</v>
      </c>
      <c r="R96" s="1">
        <f>MEDIAN($E96)</f>
        <v>0</v>
      </c>
      <c r="S96" s="1">
        <f>MEDIAN($G96)</f>
        <v>0</v>
      </c>
      <c r="T96" s="1">
        <f>MEDIAN($H96)</f>
        <v>0</v>
      </c>
      <c r="U96" s="1">
        <f>MAX($B96)</f>
        <v>0</v>
      </c>
      <c r="V96" s="1">
        <f>MAX($C96)</f>
        <v>0</v>
      </c>
      <c r="W96" s="1">
        <f>MAX($D96)</f>
        <v>0</v>
      </c>
      <c r="X96" s="1">
        <f>MAX($E96)</f>
        <v>0</v>
      </c>
      <c r="Y96" s="1">
        <f>MAX($G96)</f>
        <v>0</v>
      </c>
      <c r="Z96" s="1">
        <f>MAX($H96)</f>
        <v>0</v>
      </c>
    </row>
    <row r="97" spans="1:26">
      <c r="A97" s="1" t="s">
        <v>94</v>
      </c>
      <c r="B97" s="1">
        <v>0</v>
      </c>
      <c r="C97" s="1">
        <v>32979</v>
      </c>
      <c r="D97" s="1">
        <v>0</v>
      </c>
      <c r="E97" s="1">
        <v>20000</v>
      </c>
      <c r="F97" s="1" t="s">
        <v>157</v>
      </c>
      <c r="G97" s="1">
        <v>10000</v>
      </c>
      <c r="H97" s="1">
        <v>1</v>
      </c>
      <c r="I97" s="1">
        <f>MIN($B97)</f>
        <v>0</v>
      </c>
      <c r="J97" s="1">
        <f>MIN($C97)</f>
        <v>0</v>
      </c>
      <c r="K97" s="1">
        <f>MIN($D97)</f>
        <v>0</v>
      </c>
      <c r="L97" s="1">
        <f>MIN($E97)</f>
        <v>0</v>
      </c>
      <c r="M97" s="1">
        <f>MIN($G97)</f>
        <v>0</v>
      </c>
      <c r="N97" s="1">
        <f>MIN($H97)</f>
        <v>0</v>
      </c>
      <c r="O97" s="1">
        <f>MEDIAN($B97)</f>
        <v>0</v>
      </c>
      <c r="P97" s="1">
        <f>MEDIAN($C97)</f>
        <v>0</v>
      </c>
      <c r="Q97" s="1">
        <f>MEDIAN($D97)</f>
        <v>0</v>
      </c>
      <c r="R97" s="1">
        <f>MEDIAN($E97)</f>
        <v>0</v>
      </c>
      <c r="S97" s="1">
        <f>MEDIAN($G97)</f>
        <v>0</v>
      </c>
      <c r="T97" s="1">
        <f>MEDIAN($H97)</f>
        <v>0</v>
      </c>
      <c r="U97" s="1">
        <f>MAX($B97)</f>
        <v>0</v>
      </c>
      <c r="V97" s="1">
        <f>MAX($C97)</f>
        <v>0</v>
      </c>
      <c r="W97" s="1">
        <f>MAX($D97)</f>
        <v>0</v>
      </c>
      <c r="X97" s="1">
        <f>MAX($E97)</f>
        <v>0</v>
      </c>
      <c r="Y97" s="1">
        <f>MAX($G97)</f>
        <v>0</v>
      </c>
      <c r="Z97" s="1">
        <f>MAX($H97)</f>
        <v>0</v>
      </c>
    </row>
    <row r="98" spans="1:26">
      <c r="A98" s="1" t="s">
        <v>95</v>
      </c>
      <c r="B98" s="1">
        <v>1</v>
      </c>
      <c r="C98" s="1">
        <v>15292</v>
      </c>
      <c r="D98" s="1">
        <v>0</v>
      </c>
      <c r="E98" s="1">
        <v>20000</v>
      </c>
      <c r="F98" s="1" t="s">
        <v>155</v>
      </c>
      <c r="G98" s="1">
        <v>10000</v>
      </c>
      <c r="H98" s="1">
        <v>1</v>
      </c>
      <c r="I98" s="1">
        <f>MIN($B98)</f>
        <v>0</v>
      </c>
      <c r="J98" s="1">
        <f>MIN($C98)</f>
        <v>0</v>
      </c>
      <c r="K98" s="1">
        <f>MIN($D98)</f>
        <v>0</v>
      </c>
      <c r="L98" s="1">
        <f>MIN($E98)</f>
        <v>0</v>
      </c>
      <c r="M98" s="1">
        <f>MIN($G98)</f>
        <v>0</v>
      </c>
      <c r="N98" s="1">
        <f>MIN($H98)</f>
        <v>0</v>
      </c>
      <c r="O98" s="1">
        <f>MEDIAN($B98)</f>
        <v>0</v>
      </c>
      <c r="P98" s="1">
        <f>MEDIAN($C98)</f>
        <v>0</v>
      </c>
      <c r="Q98" s="1">
        <f>MEDIAN($D98)</f>
        <v>0</v>
      </c>
      <c r="R98" s="1">
        <f>MEDIAN($E98)</f>
        <v>0</v>
      </c>
      <c r="S98" s="1">
        <f>MEDIAN($G98)</f>
        <v>0</v>
      </c>
      <c r="T98" s="1">
        <f>MEDIAN($H98)</f>
        <v>0</v>
      </c>
      <c r="U98" s="1">
        <f>MAX($B98)</f>
        <v>0</v>
      </c>
      <c r="V98" s="1">
        <f>MAX($C98)</f>
        <v>0</v>
      </c>
      <c r="W98" s="1">
        <f>MAX($D98)</f>
        <v>0</v>
      </c>
      <c r="X98" s="1">
        <f>MAX($E98)</f>
        <v>0</v>
      </c>
      <c r="Y98" s="1">
        <f>MAX($G98)</f>
        <v>0</v>
      </c>
      <c r="Z98" s="1">
        <f>MAX($H98)</f>
        <v>0</v>
      </c>
    </row>
    <row r="99" spans="1:26">
      <c r="A99" s="1" t="s">
        <v>96</v>
      </c>
      <c r="B99" s="1">
        <v>1</v>
      </c>
      <c r="C99" s="1">
        <v>10792</v>
      </c>
      <c r="D99" s="1">
        <v>0</v>
      </c>
      <c r="E99" s="1">
        <v>20000</v>
      </c>
      <c r="F99" s="1" t="s">
        <v>155</v>
      </c>
      <c r="G99" s="1">
        <v>10000</v>
      </c>
      <c r="H99" s="1">
        <v>1</v>
      </c>
      <c r="I99" s="1">
        <f>MIN($B99)</f>
        <v>0</v>
      </c>
      <c r="J99" s="1">
        <f>MIN($C99)</f>
        <v>0</v>
      </c>
      <c r="K99" s="1">
        <f>MIN($D99)</f>
        <v>0</v>
      </c>
      <c r="L99" s="1">
        <f>MIN($E99)</f>
        <v>0</v>
      </c>
      <c r="M99" s="1">
        <f>MIN($G99)</f>
        <v>0</v>
      </c>
      <c r="N99" s="1">
        <f>MIN($H99)</f>
        <v>0</v>
      </c>
      <c r="O99" s="1">
        <f>MEDIAN($B99)</f>
        <v>0</v>
      </c>
      <c r="P99" s="1">
        <f>MEDIAN($C99)</f>
        <v>0</v>
      </c>
      <c r="Q99" s="1">
        <f>MEDIAN($D99)</f>
        <v>0</v>
      </c>
      <c r="R99" s="1">
        <f>MEDIAN($E99)</f>
        <v>0</v>
      </c>
      <c r="S99" s="1">
        <f>MEDIAN($G99)</f>
        <v>0</v>
      </c>
      <c r="T99" s="1">
        <f>MEDIAN($H99)</f>
        <v>0</v>
      </c>
      <c r="U99" s="1">
        <f>MAX($B99)</f>
        <v>0</v>
      </c>
      <c r="V99" s="1">
        <f>MAX($C99)</f>
        <v>0</v>
      </c>
      <c r="W99" s="1">
        <f>MAX($D99)</f>
        <v>0</v>
      </c>
      <c r="X99" s="1">
        <f>MAX($E99)</f>
        <v>0</v>
      </c>
      <c r="Y99" s="1">
        <f>MAX($G99)</f>
        <v>0</v>
      </c>
      <c r="Z99" s="1">
        <f>MAX($H99)</f>
        <v>0</v>
      </c>
    </row>
    <row r="100" spans="1:26">
      <c r="A100" s="1" t="s">
        <v>97</v>
      </c>
      <c r="B100" s="1">
        <v>1</v>
      </c>
      <c r="C100" s="1">
        <v>16857</v>
      </c>
      <c r="D100" s="1">
        <v>0</v>
      </c>
      <c r="E100" s="1">
        <v>20000</v>
      </c>
      <c r="F100" s="1" t="s">
        <v>155</v>
      </c>
      <c r="G100" s="1">
        <v>10000</v>
      </c>
      <c r="H100" s="1">
        <v>1</v>
      </c>
      <c r="I100" s="1">
        <f>MIN($B100)</f>
        <v>0</v>
      </c>
      <c r="J100" s="1">
        <f>MIN($C100)</f>
        <v>0</v>
      </c>
      <c r="K100" s="1">
        <f>MIN($D100)</f>
        <v>0</v>
      </c>
      <c r="L100" s="1">
        <f>MIN($E100)</f>
        <v>0</v>
      </c>
      <c r="M100" s="1">
        <f>MIN($G100)</f>
        <v>0</v>
      </c>
      <c r="N100" s="1">
        <f>MIN($H100)</f>
        <v>0</v>
      </c>
      <c r="O100" s="1">
        <f>MEDIAN($B100)</f>
        <v>0</v>
      </c>
      <c r="P100" s="1">
        <f>MEDIAN($C100)</f>
        <v>0</v>
      </c>
      <c r="Q100" s="1">
        <f>MEDIAN($D100)</f>
        <v>0</v>
      </c>
      <c r="R100" s="1">
        <f>MEDIAN($E100)</f>
        <v>0</v>
      </c>
      <c r="S100" s="1">
        <f>MEDIAN($G100)</f>
        <v>0</v>
      </c>
      <c r="T100" s="1">
        <f>MEDIAN($H100)</f>
        <v>0</v>
      </c>
      <c r="U100" s="1">
        <f>MAX($B100)</f>
        <v>0</v>
      </c>
      <c r="V100" s="1">
        <f>MAX($C100)</f>
        <v>0</v>
      </c>
      <c r="W100" s="1">
        <f>MAX($D100)</f>
        <v>0</v>
      </c>
      <c r="X100" s="1">
        <f>MAX($E100)</f>
        <v>0</v>
      </c>
      <c r="Y100" s="1">
        <f>MAX($G100)</f>
        <v>0</v>
      </c>
      <c r="Z100" s="1">
        <f>MAX($H100)</f>
        <v>0</v>
      </c>
    </row>
    <row r="101" spans="1:26">
      <c r="A101" s="1" t="s">
        <v>98</v>
      </c>
      <c r="B101" s="1">
        <v>1</v>
      </c>
      <c r="C101" s="1">
        <v>15037</v>
      </c>
      <c r="D101" s="1">
        <v>0</v>
      </c>
      <c r="E101" s="1">
        <v>20000</v>
      </c>
      <c r="F101" s="1" t="s">
        <v>155</v>
      </c>
      <c r="G101" s="1">
        <v>10000</v>
      </c>
      <c r="H101" s="1">
        <v>1</v>
      </c>
      <c r="I101" s="1">
        <f>MIN($B101)</f>
        <v>0</v>
      </c>
      <c r="J101" s="1">
        <f>MIN($C101)</f>
        <v>0</v>
      </c>
      <c r="K101" s="1">
        <f>MIN($D101)</f>
        <v>0</v>
      </c>
      <c r="L101" s="1">
        <f>MIN($E101)</f>
        <v>0</v>
      </c>
      <c r="M101" s="1">
        <f>MIN($G101)</f>
        <v>0</v>
      </c>
      <c r="N101" s="1">
        <f>MIN($H101)</f>
        <v>0</v>
      </c>
      <c r="O101" s="1">
        <f>MEDIAN($B101)</f>
        <v>0</v>
      </c>
      <c r="P101" s="1">
        <f>MEDIAN($C101)</f>
        <v>0</v>
      </c>
      <c r="Q101" s="1">
        <f>MEDIAN($D101)</f>
        <v>0</v>
      </c>
      <c r="R101" s="1">
        <f>MEDIAN($E101)</f>
        <v>0</v>
      </c>
      <c r="S101" s="1">
        <f>MEDIAN($G101)</f>
        <v>0</v>
      </c>
      <c r="T101" s="1">
        <f>MEDIAN($H101)</f>
        <v>0</v>
      </c>
      <c r="U101" s="1">
        <f>MAX($B101)</f>
        <v>0</v>
      </c>
      <c r="V101" s="1">
        <f>MAX($C101)</f>
        <v>0</v>
      </c>
      <c r="W101" s="1">
        <f>MAX($D101)</f>
        <v>0</v>
      </c>
      <c r="X101" s="1">
        <f>MAX($E101)</f>
        <v>0</v>
      </c>
      <c r="Y101" s="1">
        <f>MAX($G101)</f>
        <v>0</v>
      </c>
      <c r="Z101" s="1">
        <f>MAX($H101)</f>
        <v>0</v>
      </c>
    </row>
    <row r="102" spans="1:26">
      <c r="A102" s="1" t="s">
        <v>99</v>
      </c>
      <c r="B102" s="1">
        <v>1</v>
      </c>
      <c r="C102" s="1">
        <v>18149</v>
      </c>
      <c r="D102" s="1">
        <v>0</v>
      </c>
      <c r="E102" s="1">
        <v>20000</v>
      </c>
      <c r="F102" s="1" t="s">
        <v>155</v>
      </c>
      <c r="G102" s="1">
        <v>10000</v>
      </c>
      <c r="H102" s="1">
        <v>1</v>
      </c>
      <c r="I102" s="1">
        <f>MIN($B102)</f>
        <v>0</v>
      </c>
      <c r="J102" s="1">
        <f>MIN($C102)</f>
        <v>0</v>
      </c>
      <c r="K102" s="1">
        <f>MIN($D102)</f>
        <v>0</v>
      </c>
      <c r="L102" s="1">
        <f>MIN($E102)</f>
        <v>0</v>
      </c>
      <c r="M102" s="1">
        <f>MIN($G102)</f>
        <v>0</v>
      </c>
      <c r="N102" s="1">
        <f>MIN($H102)</f>
        <v>0</v>
      </c>
      <c r="O102" s="1">
        <f>MEDIAN($B102)</f>
        <v>0</v>
      </c>
      <c r="P102" s="1">
        <f>MEDIAN($C102)</f>
        <v>0</v>
      </c>
      <c r="Q102" s="1">
        <f>MEDIAN($D102)</f>
        <v>0</v>
      </c>
      <c r="R102" s="1">
        <f>MEDIAN($E102)</f>
        <v>0</v>
      </c>
      <c r="S102" s="1">
        <f>MEDIAN($G102)</f>
        <v>0</v>
      </c>
      <c r="T102" s="1">
        <f>MEDIAN($H102)</f>
        <v>0</v>
      </c>
      <c r="U102" s="1">
        <f>MAX($B102)</f>
        <v>0</v>
      </c>
      <c r="V102" s="1">
        <f>MAX($C102)</f>
        <v>0</v>
      </c>
      <c r="W102" s="1">
        <f>MAX($D102)</f>
        <v>0</v>
      </c>
      <c r="X102" s="1">
        <f>MAX($E102)</f>
        <v>0</v>
      </c>
      <c r="Y102" s="1">
        <f>MAX($G102)</f>
        <v>0</v>
      </c>
      <c r="Z102" s="1">
        <f>MAX($H102)</f>
        <v>0</v>
      </c>
    </row>
    <row r="103" spans="1:26">
      <c r="A103" s="1" t="s">
        <v>100</v>
      </c>
      <c r="B103" s="1">
        <v>1</v>
      </c>
      <c r="C103" s="1">
        <v>25144</v>
      </c>
      <c r="D103" s="1">
        <v>0</v>
      </c>
      <c r="E103" s="1">
        <v>20000</v>
      </c>
      <c r="F103" s="1" t="s">
        <v>155</v>
      </c>
      <c r="G103" s="1">
        <v>10000</v>
      </c>
      <c r="H103" s="1">
        <v>1</v>
      </c>
      <c r="I103" s="1">
        <f>MIN($B103)</f>
        <v>0</v>
      </c>
      <c r="J103" s="1">
        <f>MIN($C103)</f>
        <v>0</v>
      </c>
      <c r="K103" s="1">
        <f>MIN($D103)</f>
        <v>0</v>
      </c>
      <c r="L103" s="1">
        <f>MIN($E103)</f>
        <v>0</v>
      </c>
      <c r="M103" s="1">
        <f>MIN($G103)</f>
        <v>0</v>
      </c>
      <c r="N103" s="1">
        <f>MIN($H103)</f>
        <v>0</v>
      </c>
      <c r="O103" s="1">
        <f>MEDIAN($B103)</f>
        <v>0</v>
      </c>
      <c r="P103" s="1">
        <f>MEDIAN($C103)</f>
        <v>0</v>
      </c>
      <c r="Q103" s="1">
        <f>MEDIAN($D103)</f>
        <v>0</v>
      </c>
      <c r="R103" s="1">
        <f>MEDIAN($E103)</f>
        <v>0</v>
      </c>
      <c r="S103" s="1">
        <f>MEDIAN($G103)</f>
        <v>0</v>
      </c>
      <c r="T103" s="1">
        <f>MEDIAN($H103)</f>
        <v>0</v>
      </c>
      <c r="U103" s="1">
        <f>MAX($B103)</f>
        <v>0</v>
      </c>
      <c r="V103" s="1">
        <f>MAX($C103)</f>
        <v>0</v>
      </c>
      <c r="W103" s="1">
        <f>MAX($D103)</f>
        <v>0</v>
      </c>
      <c r="X103" s="1">
        <f>MAX($E103)</f>
        <v>0</v>
      </c>
      <c r="Y103" s="1">
        <f>MAX($G103)</f>
        <v>0</v>
      </c>
      <c r="Z103" s="1">
        <f>MAX($H103)</f>
        <v>0</v>
      </c>
    </row>
    <row r="104" spans="1:26">
      <c r="A104" s="1" t="s">
        <v>101</v>
      </c>
      <c r="B104" s="1">
        <v>1</v>
      </c>
      <c r="C104" s="1">
        <v>18222</v>
      </c>
      <c r="D104" s="1">
        <v>0</v>
      </c>
      <c r="E104" s="1">
        <v>20000</v>
      </c>
      <c r="F104" s="1" t="s">
        <v>155</v>
      </c>
      <c r="G104" s="1">
        <v>10000</v>
      </c>
      <c r="H104" s="1">
        <v>1</v>
      </c>
      <c r="I104" s="1">
        <f>MIN($B104)</f>
        <v>0</v>
      </c>
      <c r="J104" s="1">
        <f>MIN($C104)</f>
        <v>0</v>
      </c>
      <c r="K104" s="1">
        <f>MIN($D104)</f>
        <v>0</v>
      </c>
      <c r="L104" s="1">
        <f>MIN($E104)</f>
        <v>0</v>
      </c>
      <c r="M104" s="1">
        <f>MIN($G104)</f>
        <v>0</v>
      </c>
      <c r="N104" s="1">
        <f>MIN($H104)</f>
        <v>0</v>
      </c>
      <c r="O104" s="1">
        <f>MEDIAN($B104)</f>
        <v>0</v>
      </c>
      <c r="P104" s="1">
        <f>MEDIAN($C104)</f>
        <v>0</v>
      </c>
      <c r="Q104" s="1">
        <f>MEDIAN($D104)</f>
        <v>0</v>
      </c>
      <c r="R104" s="1">
        <f>MEDIAN($E104)</f>
        <v>0</v>
      </c>
      <c r="S104" s="1">
        <f>MEDIAN($G104)</f>
        <v>0</v>
      </c>
      <c r="T104" s="1">
        <f>MEDIAN($H104)</f>
        <v>0</v>
      </c>
      <c r="U104" s="1">
        <f>MAX($B104)</f>
        <v>0</v>
      </c>
      <c r="V104" s="1">
        <f>MAX($C104)</f>
        <v>0</v>
      </c>
      <c r="W104" s="1">
        <f>MAX($D104)</f>
        <v>0</v>
      </c>
      <c r="X104" s="1">
        <f>MAX($E104)</f>
        <v>0</v>
      </c>
      <c r="Y104" s="1">
        <f>MAX($G104)</f>
        <v>0</v>
      </c>
      <c r="Z104" s="1">
        <f>MAX($H104)</f>
        <v>0</v>
      </c>
    </row>
    <row r="105" spans="1:26">
      <c r="A105" s="1" t="s">
        <v>102</v>
      </c>
      <c r="B105" s="1">
        <v>1</v>
      </c>
      <c r="C105" s="1">
        <v>10788</v>
      </c>
      <c r="D105" s="1">
        <v>0</v>
      </c>
      <c r="E105" s="1">
        <v>20000</v>
      </c>
      <c r="F105" s="1" t="s">
        <v>155</v>
      </c>
      <c r="G105" s="1">
        <v>10000</v>
      </c>
      <c r="H105" s="1">
        <v>1</v>
      </c>
      <c r="I105" s="1">
        <f>MIN($B105)</f>
        <v>0</v>
      </c>
      <c r="J105" s="1">
        <f>MIN($C105)</f>
        <v>0</v>
      </c>
      <c r="K105" s="1">
        <f>MIN($D105)</f>
        <v>0</v>
      </c>
      <c r="L105" s="1">
        <f>MIN($E105)</f>
        <v>0</v>
      </c>
      <c r="M105" s="1">
        <f>MIN($G105)</f>
        <v>0</v>
      </c>
      <c r="N105" s="1">
        <f>MIN($H105)</f>
        <v>0</v>
      </c>
      <c r="O105" s="1">
        <f>MEDIAN($B105)</f>
        <v>0</v>
      </c>
      <c r="P105" s="1">
        <f>MEDIAN($C105)</f>
        <v>0</v>
      </c>
      <c r="Q105" s="1">
        <f>MEDIAN($D105)</f>
        <v>0</v>
      </c>
      <c r="R105" s="1">
        <f>MEDIAN($E105)</f>
        <v>0</v>
      </c>
      <c r="S105" s="1">
        <f>MEDIAN($G105)</f>
        <v>0</v>
      </c>
      <c r="T105" s="1">
        <f>MEDIAN($H105)</f>
        <v>0</v>
      </c>
      <c r="U105" s="1">
        <f>MAX($B105)</f>
        <v>0</v>
      </c>
      <c r="V105" s="1">
        <f>MAX($C105)</f>
        <v>0</v>
      </c>
      <c r="W105" s="1">
        <f>MAX($D105)</f>
        <v>0</v>
      </c>
      <c r="X105" s="1">
        <f>MAX($E105)</f>
        <v>0</v>
      </c>
      <c r="Y105" s="1">
        <f>MAX($G105)</f>
        <v>0</v>
      </c>
      <c r="Z105" s="1">
        <f>MAX($H105)</f>
        <v>0</v>
      </c>
    </row>
    <row r="106" spans="1:26">
      <c r="A106" s="1" t="s">
        <v>103</v>
      </c>
      <c r="B106" s="1">
        <v>0</v>
      </c>
      <c r="C106" s="1">
        <v>32921</v>
      </c>
      <c r="D106" s="1">
        <v>0</v>
      </c>
      <c r="E106" s="1">
        <v>20000</v>
      </c>
      <c r="F106" s="1" t="s">
        <v>157</v>
      </c>
      <c r="G106" s="1">
        <v>10000</v>
      </c>
      <c r="H106" s="1">
        <v>1</v>
      </c>
      <c r="I106" s="1">
        <f>MIN($B106)</f>
        <v>0</v>
      </c>
      <c r="J106" s="1">
        <f>MIN($C106)</f>
        <v>0</v>
      </c>
      <c r="K106" s="1">
        <f>MIN($D106)</f>
        <v>0</v>
      </c>
      <c r="L106" s="1">
        <f>MIN($E106)</f>
        <v>0</v>
      </c>
      <c r="M106" s="1">
        <f>MIN($G106)</f>
        <v>0</v>
      </c>
      <c r="N106" s="1">
        <f>MIN($H106)</f>
        <v>0</v>
      </c>
      <c r="O106" s="1">
        <f>MEDIAN($B106)</f>
        <v>0</v>
      </c>
      <c r="P106" s="1">
        <f>MEDIAN($C106)</f>
        <v>0</v>
      </c>
      <c r="Q106" s="1">
        <f>MEDIAN($D106)</f>
        <v>0</v>
      </c>
      <c r="R106" s="1">
        <f>MEDIAN($E106)</f>
        <v>0</v>
      </c>
      <c r="S106" s="1">
        <f>MEDIAN($G106)</f>
        <v>0</v>
      </c>
      <c r="T106" s="1">
        <f>MEDIAN($H106)</f>
        <v>0</v>
      </c>
      <c r="U106" s="1">
        <f>MAX($B106)</f>
        <v>0</v>
      </c>
      <c r="V106" s="1">
        <f>MAX($C106)</f>
        <v>0</v>
      </c>
      <c r="W106" s="1">
        <f>MAX($D106)</f>
        <v>0</v>
      </c>
      <c r="X106" s="1">
        <f>MAX($E106)</f>
        <v>0</v>
      </c>
      <c r="Y106" s="1">
        <f>MAX($G106)</f>
        <v>0</v>
      </c>
      <c r="Z106" s="1">
        <f>MAX($H106)</f>
        <v>0</v>
      </c>
    </row>
    <row r="107" spans="1:26">
      <c r="A107" s="1" t="s">
        <v>104</v>
      </c>
      <c r="B107" s="1">
        <v>1</v>
      </c>
      <c r="C107" s="1">
        <v>17127</v>
      </c>
      <c r="D107" s="1">
        <v>0</v>
      </c>
      <c r="E107" s="1">
        <v>20000</v>
      </c>
      <c r="F107" s="1" t="s">
        <v>155</v>
      </c>
      <c r="G107" s="1">
        <v>10000</v>
      </c>
      <c r="H107" s="1">
        <v>1</v>
      </c>
      <c r="I107" s="1">
        <f>MIN($B107)</f>
        <v>0</v>
      </c>
      <c r="J107" s="1">
        <f>MIN($C107)</f>
        <v>0</v>
      </c>
      <c r="K107" s="1">
        <f>MIN($D107)</f>
        <v>0</v>
      </c>
      <c r="L107" s="1">
        <f>MIN($E107)</f>
        <v>0</v>
      </c>
      <c r="M107" s="1">
        <f>MIN($G107)</f>
        <v>0</v>
      </c>
      <c r="N107" s="1">
        <f>MIN($H107)</f>
        <v>0</v>
      </c>
      <c r="O107" s="1">
        <f>MEDIAN($B107)</f>
        <v>0</v>
      </c>
      <c r="P107" s="1">
        <f>MEDIAN($C107)</f>
        <v>0</v>
      </c>
      <c r="Q107" s="1">
        <f>MEDIAN($D107)</f>
        <v>0</v>
      </c>
      <c r="R107" s="1">
        <f>MEDIAN($E107)</f>
        <v>0</v>
      </c>
      <c r="S107" s="1">
        <f>MEDIAN($G107)</f>
        <v>0</v>
      </c>
      <c r="T107" s="1">
        <f>MEDIAN($H107)</f>
        <v>0</v>
      </c>
      <c r="U107" s="1">
        <f>MAX($B107)</f>
        <v>0</v>
      </c>
      <c r="V107" s="1">
        <f>MAX($C107)</f>
        <v>0</v>
      </c>
      <c r="W107" s="1">
        <f>MAX($D107)</f>
        <v>0</v>
      </c>
      <c r="X107" s="1">
        <f>MAX($E107)</f>
        <v>0</v>
      </c>
      <c r="Y107" s="1">
        <f>MAX($G107)</f>
        <v>0</v>
      </c>
      <c r="Z107" s="1">
        <f>MAX($H107)</f>
        <v>0</v>
      </c>
    </row>
    <row r="108" spans="1:26">
      <c r="A108" s="1" t="s">
        <v>105</v>
      </c>
      <c r="B108" s="1">
        <v>1</v>
      </c>
      <c r="C108" s="1">
        <v>16925</v>
      </c>
      <c r="D108" s="1">
        <v>0</v>
      </c>
      <c r="E108" s="1">
        <v>20000</v>
      </c>
      <c r="F108" s="1" t="s">
        <v>155</v>
      </c>
      <c r="G108" s="1">
        <v>10000</v>
      </c>
      <c r="H108" s="1">
        <v>1</v>
      </c>
      <c r="I108" s="1">
        <f>MIN($B108)</f>
        <v>0</v>
      </c>
      <c r="J108" s="1">
        <f>MIN($C108)</f>
        <v>0</v>
      </c>
      <c r="K108" s="1">
        <f>MIN($D108)</f>
        <v>0</v>
      </c>
      <c r="L108" s="1">
        <f>MIN($E108)</f>
        <v>0</v>
      </c>
      <c r="M108" s="1">
        <f>MIN($G108)</f>
        <v>0</v>
      </c>
      <c r="N108" s="1">
        <f>MIN($H108)</f>
        <v>0</v>
      </c>
      <c r="O108" s="1">
        <f>MEDIAN($B108)</f>
        <v>0</v>
      </c>
      <c r="P108" s="1">
        <f>MEDIAN($C108)</f>
        <v>0</v>
      </c>
      <c r="Q108" s="1">
        <f>MEDIAN($D108)</f>
        <v>0</v>
      </c>
      <c r="R108" s="1">
        <f>MEDIAN($E108)</f>
        <v>0</v>
      </c>
      <c r="S108" s="1">
        <f>MEDIAN($G108)</f>
        <v>0</v>
      </c>
      <c r="T108" s="1">
        <f>MEDIAN($H108)</f>
        <v>0</v>
      </c>
      <c r="U108" s="1">
        <f>MAX($B108)</f>
        <v>0</v>
      </c>
      <c r="V108" s="1">
        <f>MAX($C108)</f>
        <v>0</v>
      </c>
      <c r="W108" s="1">
        <f>MAX($D108)</f>
        <v>0</v>
      </c>
      <c r="X108" s="1">
        <f>MAX($E108)</f>
        <v>0</v>
      </c>
      <c r="Y108" s="1">
        <f>MAX($G108)</f>
        <v>0</v>
      </c>
      <c r="Z108" s="1">
        <f>MAX($H108)</f>
        <v>0</v>
      </c>
    </row>
    <row r="109" spans="1:26">
      <c r="A109" s="1" t="s">
        <v>106</v>
      </c>
      <c r="B109" s="1">
        <v>1</v>
      </c>
      <c r="C109" s="1">
        <v>17302</v>
      </c>
      <c r="D109" s="1">
        <v>0</v>
      </c>
      <c r="E109" s="1">
        <v>20000</v>
      </c>
      <c r="F109" s="1" t="s">
        <v>155</v>
      </c>
      <c r="G109" s="1">
        <v>10000</v>
      </c>
      <c r="H109" s="1">
        <v>1</v>
      </c>
      <c r="I109" s="1">
        <f>MIN($B109)</f>
        <v>0</v>
      </c>
      <c r="J109" s="1">
        <f>MIN($C109)</f>
        <v>0</v>
      </c>
      <c r="K109" s="1">
        <f>MIN($D109)</f>
        <v>0</v>
      </c>
      <c r="L109" s="1">
        <f>MIN($E109)</f>
        <v>0</v>
      </c>
      <c r="M109" s="1">
        <f>MIN($G109)</f>
        <v>0</v>
      </c>
      <c r="N109" s="1">
        <f>MIN($H109)</f>
        <v>0</v>
      </c>
      <c r="O109" s="1">
        <f>MEDIAN($B109)</f>
        <v>0</v>
      </c>
      <c r="P109" s="1">
        <f>MEDIAN($C109)</f>
        <v>0</v>
      </c>
      <c r="Q109" s="1">
        <f>MEDIAN($D109)</f>
        <v>0</v>
      </c>
      <c r="R109" s="1">
        <f>MEDIAN($E109)</f>
        <v>0</v>
      </c>
      <c r="S109" s="1">
        <f>MEDIAN($G109)</f>
        <v>0</v>
      </c>
      <c r="T109" s="1">
        <f>MEDIAN($H109)</f>
        <v>0</v>
      </c>
      <c r="U109" s="1">
        <f>MAX($B109)</f>
        <v>0</v>
      </c>
      <c r="V109" s="1">
        <f>MAX($C109)</f>
        <v>0</v>
      </c>
      <c r="W109" s="1">
        <f>MAX($D109)</f>
        <v>0</v>
      </c>
      <c r="X109" s="1">
        <f>MAX($E109)</f>
        <v>0</v>
      </c>
      <c r="Y109" s="1">
        <f>MAX($G109)</f>
        <v>0</v>
      </c>
      <c r="Z109" s="1">
        <f>MAX($H109)</f>
        <v>0</v>
      </c>
    </row>
    <row r="110" spans="1:26">
      <c r="A110" s="1" t="s">
        <v>107</v>
      </c>
      <c r="B110" s="1">
        <v>0</v>
      </c>
      <c r="C110" s="1">
        <v>16219</v>
      </c>
      <c r="D110" s="1">
        <v>0</v>
      </c>
      <c r="E110" s="1">
        <v>332.31</v>
      </c>
      <c r="F110" s="1" t="s">
        <v>157</v>
      </c>
      <c r="G110" s="1">
        <v>332.31</v>
      </c>
      <c r="H110" s="1">
        <v>0</v>
      </c>
      <c r="I110" s="1">
        <f>MIN($B110)</f>
        <v>0</v>
      </c>
      <c r="J110" s="1">
        <f>MIN($C110)</f>
        <v>0</v>
      </c>
      <c r="K110" s="1">
        <f>MIN($D110)</f>
        <v>0</v>
      </c>
      <c r="L110" s="1">
        <f>MIN($E110)</f>
        <v>0</v>
      </c>
      <c r="M110" s="1">
        <f>MIN($G110)</f>
        <v>0</v>
      </c>
      <c r="N110" s="1">
        <f>MIN($H110)</f>
        <v>0</v>
      </c>
      <c r="O110" s="1">
        <f>MEDIAN($B110)</f>
        <v>0</v>
      </c>
      <c r="P110" s="1">
        <f>MEDIAN($C110)</f>
        <v>0</v>
      </c>
      <c r="Q110" s="1">
        <f>MEDIAN($D110)</f>
        <v>0</v>
      </c>
      <c r="R110" s="1">
        <f>MEDIAN($E110)</f>
        <v>0</v>
      </c>
      <c r="S110" s="1">
        <f>MEDIAN($G110)</f>
        <v>0</v>
      </c>
      <c r="T110" s="1">
        <f>MEDIAN($H110)</f>
        <v>0</v>
      </c>
      <c r="U110" s="1">
        <f>MAX($B110)</f>
        <v>0</v>
      </c>
      <c r="V110" s="1">
        <f>MAX($C110)</f>
        <v>0</v>
      </c>
      <c r="W110" s="1">
        <f>MAX($D110)</f>
        <v>0</v>
      </c>
      <c r="X110" s="1">
        <f>MAX($E110)</f>
        <v>0</v>
      </c>
      <c r="Y110" s="1">
        <f>MAX($G110)</f>
        <v>0</v>
      </c>
      <c r="Z110" s="1">
        <f>MAX($H110)</f>
        <v>0</v>
      </c>
    </row>
    <row r="111" spans="1:26">
      <c r="A111" s="1" t="s">
        <v>108</v>
      </c>
      <c r="B111" s="1">
        <v>1</v>
      </c>
      <c r="C111" s="1">
        <v>14494</v>
      </c>
      <c r="D111" s="1">
        <v>0</v>
      </c>
      <c r="E111" s="1">
        <v>20000</v>
      </c>
      <c r="F111" s="1" t="s">
        <v>155</v>
      </c>
      <c r="G111" s="1">
        <v>10000</v>
      </c>
      <c r="H111" s="1">
        <v>1</v>
      </c>
      <c r="I111" s="1">
        <f>MIN($B111)</f>
        <v>0</v>
      </c>
      <c r="J111" s="1">
        <f>MIN($C111)</f>
        <v>0</v>
      </c>
      <c r="K111" s="1">
        <f>MIN($D111)</f>
        <v>0</v>
      </c>
      <c r="L111" s="1">
        <f>MIN($E111)</f>
        <v>0</v>
      </c>
      <c r="M111" s="1">
        <f>MIN($G111)</f>
        <v>0</v>
      </c>
      <c r="N111" s="1">
        <f>MIN($H111)</f>
        <v>0</v>
      </c>
      <c r="O111" s="1">
        <f>MEDIAN($B111)</f>
        <v>0</v>
      </c>
      <c r="P111" s="1">
        <f>MEDIAN($C111)</f>
        <v>0</v>
      </c>
      <c r="Q111" s="1">
        <f>MEDIAN($D111)</f>
        <v>0</v>
      </c>
      <c r="R111" s="1">
        <f>MEDIAN($E111)</f>
        <v>0</v>
      </c>
      <c r="S111" s="1">
        <f>MEDIAN($G111)</f>
        <v>0</v>
      </c>
      <c r="T111" s="1">
        <f>MEDIAN($H111)</f>
        <v>0</v>
      </c>
      <c r="U111" s="1">
        <f>MAX($B111)</f>
        <v>0</v>
      </c>
      <c r="V111" s="1">
        <f>MAX($C111)</f>
        <v>0</v>
      </c>
      <c r="W111" s="1">
        <f>MAX($D111)</f>
        <v>0</v>
      </c>
      <c r="X111" s="1">
        <f>MAX($E111)</f>
        <v>0</v>
      </c>
      <c r="Y111" s="1">
        <f>MAX($G111)</f>
        <v>0</v>
      </c>
      <c r="Z111" s="1">
        <f>MAX($H111)</f>
        <v>0</v>
      </c>
    </row>
    <row r="112" spans="1:26">
      <c r="A112" s="1" t="s">
        <v>109</v>
      </c>
      <c r="B112" s="1">
        <v>0</v>
      </c>
      <c r="C112" s="1">
        <v>12565</v>
      </c>
      <c r="D112" s="1">
        <v>0</v>
      </c>
      <c r="E112" s="1">
        <v>581.17</v>
      </c>
      <c r="F112" s="1" t="s">
        <v>157</v>
      </c>
      <c r="G112" s="1">
        <v>581.17</v>
      </c>
      <c r="H112" s="1">
        <v>0</v>
      </c>
      <c r="I112" s="1">
        <f>MIN($B112)</f>
        <v>0</v>
      </c>
      <c r="J112" s="1">
        <f>MIN($C112)</f>
        <v>0</v>
      </c>
      <c r="K112" s="1">
        <f>MIN($D112)</f>
        <v>0</v>
      </c>
      <c r="L112" s="1">
        <f>MIN($E112)</f>
        <v>0</v>
      </c>
      <c r="M112" s="1">
        <f>MIN($G112)</f>
        <v>0</v>
      </c>
      <c r="N112" s="1">
        <f>MIN($H112)</f>
        <v>0</v>
      </c>
      <c r="O112" s="1">
        <f>MEDIAN($B112)</f>
        <v>0</v>
      </c>
      <c r="P112" s="1">
        <f>MEDIAN($C112)</f>
        <v>0</v>
      </c>
      <c r="Q112" s="1">
        <f>MEDIAN($D112)</f>
        <v>0</v>
      </c>
      <c r="R112" s="1">
        <f>MEDIAN($E112)</f>
        <v>0</v>
      </c>
      <c r="S112" s="1">
        <f>MEDIAN($G112)</f>
        <v>0</v>
      </c>
      <c r="T112" s="1">
        <f>MEDIAN($H112)</f>
        <v>0</v>
      </c>
      <c r="U112" s="1">
        <f>MAX($B112)</f>
        <v>0</v>
      </c>
      <c r="V112" s="1">
        <f>MAX($C112)</f>
        <v>0</v>
      </c>
      <c r="W112" s="1">
        <f>MAX($D112)</f>
        <v>0</v>
      </c>
      <c r="X112" s="1">
        <f>MAX($E112)</f>
        <v>0</v>
      </c>
      <c r="Y112" s="1">
        <f>MAX($G112)</f>
        <v>0</v>
      </c>
      <c r="Z112" s="1">
        <f>MAX($H112)</f>
        <v>0</v>
      </c>
    </row>
    <row r="113" spans="1:26">
      <c r="A113" s="1" t="s">
        <v>110</v>
      </c>
      <c r="B113" s="1">
        <v>1</v>
      </c>
      <c r="C113" s="1">
        <v>21424</v>
      </c>
      <c r="D113" s="1">
        <v>0</v>
      </c>
      <c r="E113" s="1">
        <v>20000</v>
      </c>
      <c r="F113" s="1" t="s">
        <v>155</v>
      </c>
      <c r="G113" s="1">
        <v>10000</v>
      </c>
      <c r="H113" s="1">
        <v>1</v>
      </c>
      <c r="I113" s="1">
        <f>MIN($B113)</f>
        <v>0</v>
      </c>
      <c r="J113" s="1">
        <f>MIN($C113)</f>
        <v>0</v>
      </c>
      <c r="K113" s="1">
        <f>MIN($D113)</f>
        <v>0</v>
      </c>
      <c r="L113" s="1">
        <f>MIN($E113)</f>
        <v>0</v>
      </c>
      <c r="M113" s="1">
        <f>MIN($G113)</f>
        <v>0</v>
      </c>
      <c r="N113" s="1">
        <f>MIN($H113)</f>
        <v>0</v>
      </c>
      <c r="O113" s="1">
        <f>MEDIAN($B113)</f>
        <v>0</v>
      </c>
      <c r="P113" s="1">
        <f>MEDIAN($C113)</f>
        <v>0</v>
      </c>
      <c r="Q113" s="1">
        <f>MEDIAN($D113)</f>
        <v>0</v>
      </c>
      <c r="R113" s="1">
        <f>MEDIAN($E113)</f>
        <v>0</v>
      </c>
      <c r="S113" s="1">
        <f>MEDIAN($G113)</f>
        <v>0</v>
      </c>
      <c r="T113" s="1">
        <f>MEDIAN($H113)</f>
        <v>0</v>
      </c>
      <c r="U113" s="1">
        <f>MAX($B113)</f>
        <v>0</v>
      </c>
      <c r="V113" s="1">
        <f>MAX($C113)</f>
        <v>0</v>
      </c>
      <c r="W113" s="1">
        <f>MAX($D113)</f>
        <v>0</v>
      </c>
      <c r="X113" s="1">
        <f>MAX($E113)</f>
        <v>0</v>
      </c>
      <c r="Y113" s="1">
        <f>MAX($G113)</f>
        <v>0</v>
      </c>
      <c r="Z113" s="1">
        <f>MAX($H113)</f>
        <v>0</v>
      </c>
    </row>
    <row r="114" spans="1:26">
      <c r="A114" s="1" t="s">
        <v>111</v>
      </c>
      <c r="B114" s="1">
        <v>1</v>
      </c>
      <c r="C114" s="1">
        <v>21397</v>
      </c>
      <c r="D114" s="1">
        <v>0</v>
      </c>
      <c r="E114" s="1">
        <v>20000</v>
      </c>
      <c r="F114" s="1" t="s">
        <v>155</v>
      </c>
      <c r="G114" s="1">
        <v>10000</v>
      </c>
      <c r="H114" s="1">
        <v>1</v>
      </c>
      <c r="I114" s="1">
        <f>MIN($B114)</f>
        <v>0</v>
      </c>
      <c r="J114" s="1">
        <f>MIN($C114)</f>
        <v>0</v>
      </c>
      <c r="K114" s="1">
        <f>MIN($D114)</f>
        <v>0</v>
      </c>
      <c r="L114" s="1">
        <f>MIN($E114)</f>
        <v>0</v>
      </c>
      <c r="M114" s="1">
        <f>MIN($G114)</f>
        <v>0</v>
      </c>
      <c r="N114" s="1">
        <f>MIN($H114)</f>
        <v>0</v>
      </c>
      <c r="O114" s="1">
        <f>MEDIAN($B114)</f>
        <v>0</v>
      </c>
      <c r="P114" s="1">
        <f>MEDIAN($C114)</f>
        <v>0</v>
      </c>
      <c r="Q114" s="1">
        <f>MEDIAN($D114)</f>
        <v>0</v>
      </c>
      <c r="R114" s="1">
        <f>MEDIAN($E114)</f>
        <v>0</v>
      </c>
      <c r="S114" s="1">
        <f>MEDIAN($G114)</f>
        <v>0</v>
      </c>
      <c r="T114" s="1">
        <f>MEDIAN($H114)</f>
        <v>0</v>
      </c>
      <c r="U114" s="1">
        <f>MAX($B114)</f>
        <v>0</v>
      </c>
      <c r="V114" s="1">
        <f>MAX($C114)</f>
        <v>0</v>
      </c>
      <c r="W114" s="1">
        <f>MAX($D114)</f>
        <v>0</v>
      </c>
      <c r="X114" s="1">
        <f>MAX($E114)</f>
        <v>0</v>
      </c>
      <c r="Y114" s="1">
        <f>MAX($G114)</f>
        <v>0</v>
      </c>
      <c r="Z114" s="1">
        <f>MAX($H114)</f>
        <v>0</v>
      </c>
    </row>
    <row r="115" spans="1:26">
      <c r="A115" s="1" t="s">
        <v>112</v>
      </c>
      <c r="B115" s="1">
        <v>0</v>
      </c>
      <c r="C115" s="1">
        <v>15281</v>
      </c>
      <c r="D115" s="1">
        <v>0</v>
      </c>
      <c r="E115" s="1">
        <v>703.6799999999999</v>
      </c>
      <c r="F115" s="1" t="s">
        <v>157</v>
      </c>
      <c r="G115" s="1">
        <v>703.6799999999999</v>
      </c>
      <c r="H115" s="1">
        <v>0</v>
      </c>
      <c r="I115" s="1">
        <f>MIN($B115)</f>
        <v>0</v>
      </c>
      <c r="J115" s="1">
        <f>MIN($C115)</f>
        <v>0</v>
      </c>
      <c r="K115" s="1">
        <f>MIN($D115)</f>
        <v>0</v>
      </c>
      <c r="L115" s="1">
        <f>MIN($E115)</f>
        <v>0</v>
      </c>
      <c r="M115" s="1">
        <f>MIN($G115)</f>
        <v>0</v>
      </c>
      <c r="N115" s="1">
        <f>MIN($H115)</f>
        <v>0</v>
      </c>
      <c r="O115" s="1">
        <f>MEDIAN($B115)</f>
        <v>0</v>
      </c>
      <c r="P115" s="1">
        <f>MEDIAN($C115)</f>
        <v>0</v>
      </c>
      <c r="Q115" s="1">
        <f>MEDIAN($D115)</f>
        <v>0</v>
      </c>
      <c r="R115" s="1">
        <f>MEDIAN($E115)</f>
        <v>0</v>
      </c>
      <c r="S115" s="1">
        <f>MEDIAN($G115)</f>
        <v>0</v>
      </c>
      <c r="T115" s="1">
        <f>MEDIAN($H115)</f>
        <v>0</v>
      </c>
      <c r="U115" s="1">
        <f>MAX($B115)</f>
        <v>0</v>
      </c>
      <c r="V115" s="1">
        <f>MAX($C115)</f>
        <v>0</v>
      </c>
      <c r="W115" s="1">
        <f>MAX($D115)</f>
        <v>0</v>
      </c>
      <c r="X115" s="1">
        <f>MAX($E115)</f>
        <v>0</v>
      </c>
      <c r="Y115" s="1">
        <f>MAX($G115)</f>
        <v>0</v>
      </c>
      <c r="Z115" s="1">
        <f>MAX($H115)</f>
        <v>0</v>
      </c>
    </row>
    <row r="116" spans="1:26">
      <c r="A116" s="1" t="s">
        <v>113</v>
      </c>
      <c r="B116" s="1">
        <v>1</v>
      </c>
      <c r="C116" s="1">
        <v>12661</v>
      </c>
      <c r="D116" s="1">
        <v>0</v>
      </c>
      <c r="E116" s="1">
        <v>20000</v>
      </c>
      <c r="F116" s="1" t="s">
        <v>155</v>
      </c>
      <c r="G116" s="1">
        <v>10000</v>
      </c>
      <c r="H116" s="1">
        <v>1</v>
      </c>
      <c r="I116" s="1">
        <f>MIN($B116)</f>
        <v>0</v>
      </c>
      <c r="J116" s="1">
        <f>MIN($C116)</f>
        <v>0</v>
      </c>
      <c r="K116" s="1">
        <f>MIN($D116)</f>
        <v>0</v>
      </c>
      <c r="L116" s="1">
        <f>MIN($E116)</f>
        <v>0</v>
      </c>
      <c r="M116" s="1">
        <f>MIN($G116)</f>
        <v>0</v>
      </c>
      <c r="N116" s="1">
        <f>MIN($H116)</f>
        <v>0</v>
      </c>
      <c r="O116" s="1">
        <f>MEDIAN($B116)</f>
        <v>0</v>
      </c>
      <c r="P116" s="1">
        <f>MEDIAN($C116)</f>
        <v>0</v>
      </c>
      <c r="Q116" s="1">
        <f>MEDIAN($D116)</f>
        <v>0</v>
      </c>
      <c r="R116" s="1">
        <f>MEDIAN($E116)</f>
        <v>0</v>
      </c>
      <c r="S116" s="1">
        <f>MEDIAN($G116)</f>
        <v>0</v>
      </c>
      <c r="T116" s="1">
        <f>MEDIAN($H116)</f>
        <v>0</v>
      </c>
      <c r="U116" s="1">
        <f>MAX($B116)</f>
        <v>0</v>
      </c>
      <c r="V116" s="1">
        <f>MAX($C116)</f>
        <v>0</v>
      </c>
      <c r="W116" s="1">
        <f>MAX($D116)</f>
        <v>0</v>
      </c>
      <c r="X116" s="1">
        <f>MAX($E116)</f>
        <v>0</v>
      </c>
      <c r="Y116" s="1">
        <f>MAX($G116)</f>
        <v>0</v>
      </c>
      <c r="Z116" s="1">
        <f>MAX($H116)</f>
        <v>0</v>
      </c>
    </row>
    <row r="117" spans="1:26">
      <c r="A117" s="1" t="s">
        <v>114</v>
      </c>
      <c r="B117" s="1">
        <v>1</v>
      </c>
      <c r="C117" s="1">
        <v>14127</v>
      </c>
      <c r="D117" s="1">
        <v>0</v>
      </c>
      <c r="E117" s="1">
        <v>20000</v>
      </c>
      <c r="F117" s="1" t="s">
        <v>155</v>
      </c>
      <c r="G117" s="1">
        <v>10000</v>
      </c>
      <c r="H117" s="1">
        <v>1</v>
      </c>
      <c r="I117" s="1">
        <f>MIN($B117)</f>
        <v>0</v>
      </c>
      <c r="J117" s="1">
        <f>MIN($C117)</f>
        <v>0</v>
      </c>
      <c r="K117" s="1">
        <f>MIN($D117)</f>
        <v>0</v>
      </c>
      <c r="L117" s="1">
        <f>MIN($E117)</f>
        <v>0</v>
      </c>
      <c r="M117" s="1">
        <f>MIN($G117)</f>
        <v>0</v>
      </c>
      <c r="N117" s="1">
        <f>MIN($H117)</f>
        <v>0</v>
      </c>
      <c r="O117" s="1">
        <f>MEDIAN($B117)</f>
        <v>0</v>
      </c>
      <c r="P117" s="1">
        <f>MEDIAN($C117)</f>
        <v>0</v>
      </c>
      <c r="Q117" s="1">
        <f>MEDIAN($D117)</f>
        <v>0</v>
      </c>
      <c r="R117" s="1">
        <f>MEDIAN($E117)</f>
        <v>0</v>
      </c>
      <c r="S117" s="1">
        <f>MEDIAN($G117)</f>
        <v>0</v>
      </c>
      <c r="T117" s="1">
        <f>MEDIAN($H117)</f>
        <v>0</v>
      </c>
      <c r="U117" s="1">
        <f>MAX($B117)</f>
        <v>0</v>
      </c>
      <c r="V117" s="1">
        <f>MAX($C117)</f>
        <v>0</v>
      </c>
      <c r="W117" s="1">
        <f>MAX($D117)</f>
        <v>0</v>
      </c>
      <c r="X117" s="1">
        <f>MAX($E117)</f>
        <v>0</v>
      </c>
      <c r="Y117" s="1">
        <f>MAX($G117)</f>
        <v>0</v>
      </c>
      <c r="Z117" s="1">
        <f>MAX($H117)</f>
        <v>0</v>
      </c>
    </row>
    <row r="118" spans="1:26">
      <c r="A118" s="1" t="s">
        <v>115</v>
      </c>
      <c r="B118" s="1">
        <v>1</v>
      </c>
      <c r="C118" s="1">
        <v>25587</v>
      </c>
      <c r="D118" s="1">
        <v>0</v>
      </c>
      <c r="E118" s="1">
        <v>20000</v>
      </c>
      <c r="F118" s="1" t="s">
        <v>155</v>
      </c>
      <c r="G118" s="1">
        <v>10000</v>
      </c>
      <c r="H118" s="1">
        <v>1</v>
      </c>
      <c r="I118" s="1">
        <f>MIN($B118)</f>
        <v>0</v>
      </c>
      <c r="J118" s="1">
        <f>MIN($C118)</f>
        <v>0</v>
      </c>
      <c r="K118" s="1">
        <f>MIN($D118)</f>
        <v>0</v>
      </c>
      <c r="L118" s="1">
        <f>MIN($E118)</f>
        <v>0</v>
      </c>
      <c r="M118" s="1">
        <f>MIN($G118)</f>
        <v>0</v>
      </c>
      <c r="N118" s="1">
        <f>MIN($H118)</f>
        <v>0</v>
      </c>
      <c r="O118" s="1">
        <f>MEDIAN($B118)</f>
        <v>0</v>
      </c>
      <c r="P118" s="1">
        <f>MEDIAN($C118)</f>
        <v>0</v>
      </c>
      <c r="Q118" s="1">
        <f>MEDIAN($D118)</f>
        <v>0</v>
      </c>
      <c r="R118" s="1">
        <f>MEDIAN($E118)</f>
        <v>0</v>
      </c>
      <c r="S118" s="1">
        <f>MEDIAN($G118)</f>
        <v>0</v>
      </c>
      <c r="T118" s="1">
        <f>MEDIAN($H118)</f>
        <v>0</v>
      </c>
      <c r="U118" s="1">
        <f>MAX($B118)</f>
        <v>0</v>
      </c>
      <c r="V118" s="1">
        <f>MAX($C118)</f>
        <v>0</v>
      </c>
      <c r="W118" s="1">
        <f>MAX($D118)</f>
        <v>0</v>
      </c>
      <c r="X118" s="1">
        <f>MAX($E118)</f>
        <v>0</v>
      </c>
      <c r="Y118" s="1">
        <f>MAX($G118)</f>
        <v>0</v>
      </c>
      <c r="Z118" s="1">
        <f>MAX($H118)</f>
        <v>0</v>
      </c>
    </row>
    <row r="119" spans="1:26">
      <c r="A119" s="1" t="s">
        <v>116</v>
      </c>
      <c r="B119" s="1">
        <v>1</v>
      </c>
      <c r="C119" s="1">
        <v>12294</v>
      </c>
      <c r="D119" s="1">
        <v>0</v>
      </c>
      <c r="E119" s="1">
        <v>20000</v>
      </c>
      <c r="F119" s="1" t="s">
        <v>155</v>
      </c>
      <c r="G119" s="1">
        <v>10000</v>
      </c>
      <c r="H119" s="1">
        <v>1</v>
      </c>
      <c r="I119" s="1">
        <f>MIN($B119)</f>
        <v>0</v>
      </c>
      <c r="J119" s="1">
        <f>MIN($C119)</f>
        <v>0</v>
      </c>
      <c r="K119" s="1">
        <f>MIN($D119)</f>
        <v>0</v>
      </c>
      <c r="L119" s="1">
        <f>MIN($E119)</f>
        <v>0</v>
      </c>
      <c r="M119" s="1">
        <f>MIN($G119)</f>
        <v>0</v>
      </c>
      <c r="N119" s="1">
        <f>MIN($H119)</f>
        <v>0</v>
      </c>
      <c r="O119" s="1">
        <f>MEDIAN($B119)</f>
        <v>0</v>
      </c>
      <c r="P119" s="1">
        <f>MEDIAN($C119)</f>
        <v>0</v>
      </c>
      <c r="Q119" s="1">
        <f>MEDIAN($D119)</f>
        <v>0</v>
      </c>
      <c r="R119" s="1">
        <f>MEDIAN($E119)</f>
        <v>0</v>
      </c>
      <c r="S119" s="1">
        <f>MEDIAN($G119)</f>
        <v>0</v>
      </c>
      <c r="T119" s="1">
        <f>MEDIAN($H119)</f>
        <v>0</v>
      </c>
      <c r="U119" s="1">
        <f>MAX($B119)</f>
        <v>0</v>
      </c>
      <c r="V119" s="1">
        <f>MAX($C119)</f>
        <v>0</v>
      </c>
      <c r="W119" s="1">
        <f>MAX($D119)</f>
        <v>0</v>
      </c>
      <c r="X119" s="1">
        <f>MAX($E119)</f>
        <v>0</v>
      </c>
      <c r="Y119" s="1">
        <f>MAX($G119)</f>
        <v>0</v>
      </c>
      <c r="Z119" s="1">
        <f>MAX($H119)</f>
        <v>0</v>
      </c>
    </row>
    <row r="120" spans="1:26">
      <c r="A120" s="1" t="s">
        <v>117</v>
      </c>
      <c r="B120" s="1">
        <v>1</v>
      </c>
      <c r="C120" s="1">
        <v>24002</v>
      </c>
      <c r="D120" s="1">
        <v>0</v>
      </c>
      <c r="E120" s="1">
        <v>20000</v>
      </c>
      <c r="F120" s="1" t="s">
        <v>155</v>
      </c>
      <c r="G120" s="1">
        <v>10000</v>
      </c>
      <c r="H120" s="1">
        <v>1</v>
      </c>
      <c r="I120" s="1">
        <f>MIN($B120)</f>
        <v>0</v>
      </c>
      <c r="J120" s="1">
        <f>MIN($C120)</f>
        <v>0</v>
      </c>
      <c r="K120" s="1">
        <f>MIN($D120)</f>
        <v>0</v>
      </c>
      <c r="L120" s="1">
        <f>MIN($E120)</f>
        <v>0</v>
      </c>
      <c r="M120" s="1">
        <f>MIN($G120)</f>
        <v>0</v>
      </c>
      <c r="N120" s="1">
        <f>MIN($H120)</f>
        <v>0</v>
      </c>
      <c r="O120" s="1">
        <f>MEDIAN($B120)</f>
        <v>0</v>
      </c>
      <c r="P120" s="1">
        <f>MEDIAN($C120)</f>
        <v>0</v>
      </c>
      <c r="Q120" s="1">
        <f>MEDIAN($D120)</f>
        <v>0</v>
      </c>
      <c r="R120" s="1">
        <f>MEDIAN($E120)</f>
        <v>0</v>
      </c>
      <c r="S120" s="1">
        <f>MEDIAN($G120)</f>
        <v>0</v>
      </c>
      <c r="T120" s="1">
        <f>MEDIAN($H120)</f>
        <v>0</v>
      </c>
      <c r="U120" s="1">
        <f>MAX($B120)</f>
        <v>0</v>
      </c>
      <c r="V120" s="1">
        <f>MAX($C120)</f>
        <v>0</v>
      </c>
      <c r="W120" s="1">
        <f>MAX($D120)</f>
        <v>0</v>
      </c>
      <c r="X120" s="1">
        <f>MAX($E120)</f>
        <v>0</v>
      </c>
      <c r="Y120" s="1">
        <f>MAX($G120)</f>
        <v>0</v>
      </c>
      <c r="Z120" s="1">
        <f>MAX($H120)</f>
        <v>0</v>
      </c>
    </row>
    <row r="121" spans="1:26">
      <c r="A121" s="1" t="s">
        <v>118</v>
      </c>
      <c r="B121" s="1">
        <v>0</v>
      </c>
      <c r="C121" s="1">
        <v>16465</v>
      </c>
      <c r="D121" s="1">
        <v>0</v>
      </c>
      <c r="E121" s="1">
        <v>477.32</v>
      </c>
      <c r="F121" s="1" t="s">
        <v>157</v>
      </c>
      <c r="G121" s="1">
        <v>477.32</v>
      </c>
      <c r="H121" s="1">
        <v>0</v>
      </c>
      <c r="I121" s="1">
        <f>MIN($B121)</f>
        <v>0</v>
      </c>
      <c r="J121" s="1">
        <f>MIN($C121)</f>
        <v>0</v>
      </c>
      <c r="K121" s="1">
        <f>MIN($D121)</f>
        <v>0</v>
      </c>
      <c r="L121" s="1">
        <f>MIN($E121)</f>
        <v>0</v>
      </c>
      <c r="M121" s="1">
        <f>MIN($G121)</f>
        <v>0</v>
      </c>
      <c r="N121" s="1">
        <f>MIN($H121)</f>
        <v>0</v>
      </c>
      <c r="O121" s="1">
        <f>MEDIAN($B121)</f>
        <v>0</v>
      </c>
      <c r="P121" s="1">
        <f>MEDIAN($C121)</f>
        <v>0</v>
      </c>
      <c r="Q121" s="1">
        <f>MEDIAN($D121)</f>
        <v>0</v>
      </c>
      <c r="R121" s="1">
        <f>MEDIAN($E121)</f>
        <v>0</v>
      </c>
      <c r="S121" s="1">
        <f>MEDIAN($G121)</f>
        <v>0</v>
      </c>
      <c r="T121" s="1">
        <f>MEDIAN($H121)</f>
        <v>0</v>
      </c>
      <c r="U121" s="1">
        <f>MAX($B121)</f>
        <v>0</v>
      </c>
      <c r="V121" s="1">
        <f>MAX($C121)</f>
        <v>0</v>
      </c>
      <c r="W121" s="1">
        <f>MAX($D121)</f>
        <v>0</v>
      </c>
      <c r="X121" s="1">
        <f>MAX($E121)</f>
        <v>0</v>
      </c>
      <c r="Y121" s="1">
        <f>MAX($G121)</f>
        <v>0</v>
      </c>
      <c r="Z121" s="1">
        <f>MAX($H121)</f>
        <v>0</v>
      </c>
    </row>
    <row r="122" spans="1:26">
      <c r="A122" s="1" t="s">
        <v>119</v>
      </c>
      <c r="B122" s="1">
        <v>0</v>
      </c>
      <c r="C122" s="1">
        <v>15147</v>
      </c>
      <c r="D122" s="1">
        <v>0</v>
      </c>
      <c r="E122" s="1">
        <v>363.59</v>
      </c>
      <c r="F122" s="1" t="s">
        <v>157</v>
      </c>
      <c r="G122" s="1">
        <v>363.59</v>
      </c>
      <c r="H122" s="1">
        <v>0</v>
      </c>
      <c r="I122" s="1">
        <f>MIN($B122)</f>
        <v>0</v>
      </c>
      <c r="J122" s="1">
        <f>MIN($C122)</f>
        <v>0</v>
      </c>
      <c r="K122" s="1">
        <f>MIN($D122)</f>
        <v>0</v>
      </c>
      <c r="L122" s="1">
        <f>MIN($E122)</f>
        <v>0</v>
      </c>
      <c r="M122" s="1">
        <f>MIN($G122)</f>
        <v>0</v>
      </c>
      <c r="N122" s="1">
        <f>MIN($H122)</f>
        <v>0</v>
      </c>
      <c r="O122" s="1">
        <f>MEDIAN($B122)</f>
        <v>0</v>
      </c>
      <c r="P122" s="1">
        <f>MEDIAN($C122)</f>
        <v>0</v>
      </c>
      <c r="Q122" s="1">
        <f>MEDIAN($D122)</f>
        <v>0</v>
      </c>
      <c r="R122" s="1">
        <f>MEDIAN($E122)</f>
        <v>0</v>
      </c>
      <c r="S122" s="1">
        <f>MEDIAN($G122)</f>
        <v>0</v>
      </c>
      <c r="T122" s="1">
        <f>MEDIAN($H122)</f>
        <v>0</v>
      </c>
      <c r="U122" s="1">
        <f>MAX($B122)</f>
        <v>0</v>
      </c>
      <c r="V122" s="1">
        <f>MAX($C122)</f>
        <v>0</v>
      </c>
      <c r="W122" s="1">
        <f>MAX($D122)</f>
        <v>0</v>
      </c>
      <c r="X122" s="1">
        <f>MAX($E122)</f>
        <v>0</v>
      </c>
      <c r="Y122" s="1">
        <f>MAX($G122)</f>
        <v>0</v>
      </c>
      <c r="Z122" s="1">
        <f>MAX($H122)</f>
        <v>0</v>
      </c>
    </row>
    <row r="123" spans="1:26">
      <c r="A123" s="1" t="s">
        <v>120</v>
      </c>
      <c r="B123" s="1">
        <v>1</v>
      </c>
      <c r="C123" s="1">
        <v>14982</v>
      </c>
      <c r="D123" s="1">
        <v>0</v>
      </c>
      <c r="E123" s="1">
        <v>20000</v>
      </c>
      <c r="F123" s="1" t="s">
        <v>155</v>
      </c>
      <c r="G123" s="1">
        <v>10000</v>
      </c>
      <c r="H123" s="1">
        <v>1</v>
      </c>
      <c r="I123" s="1">
        <f>MIN($B123)</f>
        <v>0</v>
      </c>
      <c r="J123" s="1">
        <f>MIN($C123)</f>
        <v>0</v>
      </c>
      <c r="K123" s="1">
        <f>MIN($D123)</f>
        <v>0</v>
      </c>
      <c r="L123" s="1">
        <f>MIN($E123)</f>
        <v>0</v>
      </c>
      <c r="M123" s="1">
        <f>MIN($G123)</f>
        <v>0</v>
      </c>
      <c r="N123" s="1">
        <f>MIN($H123)</f>
        <v>0</v>
      </c>
      <c r="O123" s="1">
        <f>MEDIAN($B123)</f>
        <v>0</v>
      </c>
      <c r="P123" s="1">
        <f>MEDIAN($C123)</f>
        <v>0</v>
      </c>
      <c r="Q123" s="1">
        <f>MEDIAN($D123)</f>
        <v>0</v>
      </c>
      <c r="R123" s="1">
        <f>MEDIAN($E123)</f>
        <v>0</v>
      </c>
      <c r="S123" s="1">
        <f>MEDIAN($G123)</f>
        <v>0</v>
      </c>
      <c r="T123" s="1">
        <f>MEDIAN($H123)</f>
        <v>0</v>
      </c>
      <c r="U123" s="1">
        <f>MAX($B123)</f>
        <v>0</v>
      </c>
      <c r="V123" s="1">
        <f>MAX($C123)</f>
        <v>0</v>
      </c>
      <c r="W123" s="1">
        <f>MAX($D123)</f>
        <v>0</v>
      </c>
      <c r="X123" s="1">
        <f>MAX($E123)</f>
        <v>0</v>
      </c>
      <c r="Y123" s="1">
        <f>MAX($G123)</f>
        <v>0</v>
      </c>
      <c r="Z123" s="1">
        <f>MAX($H123)</f>
        <v>0</v>
      </c>
    </row>
    <row r="124" spans="1:26">
      <c r="A124" s="1" t="s">
        <v>121</v>
      </c>
      <c r="B124" s="1">
        <v>1</v>
      </c>
      <c r="C124" s="1">
        <v>14371</v>
      </c>
      <c r="D124" s="1">
        <v>0</v>
      </c>
      <c r="E124" s="1">
        <v>20000</v>
      </c>
      <c r="F124" s="1" t="s">
        <v>155</v>
      </c>
      <c r="G124" s="1">
        <v>10000</v>
      </c>
      <c r="H124" s="1">
        <v>1</v>
      </c>
      <c r="I124" s="1">
        <f>MIN($B124)</f>
        <v>0</v>
      </c>
      <c r="J124" s="1">
        <f>MIN($C124)</f>
        <v>0</v>
      </c>
      <c r="K124" s="1">
        <f>MIN($D124)</f>
        <v>0</v>
      </c>
      <c r="L124" s="1">
        <f>MIN($E124)</f>
        <v>0</v>
      </c>
      <c r="M124" s="1">
        <f>MIN($G124)</f>
        <v>0</v>
      </c>
      <c r="N124" s="1">
        <f>MIN($H124)</f>
        <v>0</v>
      </c>
      <c r="O124" s="1">
        <f>MEDIAN($B124)</f>
        <v>0</v>
      </c>
      <c r="P124" s="1">
        <f>MEDIAN($C124)</f>
        <v>0</v>
      </c>
      <c r="Q124" s="1">
        <f>MEDIAN($D124)</f>
        <v>0</v>
      </c>
      <c r="R124" s="1">
        <f>MEDIAN($E124)</f>
        <v>0</v>
      </c>
      <c r="S124" s="1">
        <f>MEDIAN($G124)</f>
        <v>0</v>
      </c>
      <c r="T124" s="1">
        <f>MEDIAN($H124)</f>
        <v>0</v>
      </c>
      <c r="U124" s="1">
        <f>MAX($B124)</f>
        <v>0</v>
      </c>
      <c r="V124" s="1">
        <f>MAX($C124)</f>
        <v>0</v>
      </c>
      <c r="W124" s="1">
        <f>MAX($D124)</f>
        <v>0</v>
      </c>
      <c r="X124" s="1">
        <f>MAX($E124)</f>
        <v>0</v>
      </c>
      <c r="Y124" s="1">
        <f>MAX($G124)</f>
        <v>0</v>
      </c>
      <c r="Z124" s="1">
        <f>MAX($H124)</f>
        <v>0</v>
      </c>
    </row>
    <row r="125" spans="1:26">
      <c r="A125" s="1" t="s">
        <v>122</v>
      </c>
      <c r="B125" s="1">
        <v>1</v>
      </c>
      <c r="C125" s="1">
        <v>11800</v>
      </c>
      <c r="D125" s="1">
        <v>0</v>
      </c>
      <c r="E125" s="1">
        <v>20000</v>
      </c>
      <c r="F125" s="1" t="s">
        <v>155</v>
      </c>
      <c r="G125" s="1">
        <v>10000</v>
      </c>
      <c r="H125" s="1">
        <v>1</v>
      </c>
      <c r="I125" s="1">
        <f>MIN($B125)</f>
        <v>0</v>
      </c>
      <c r="J125" s="1">
        <f>MIN($C125)</f>
        <v>0</v>
      </c>
      <c r="K125" s="1">
        <f>MIN($D125)</f>
        <v>0</v>
      </c>
      <c r="L125" s="1">
        <f>MIN($E125)</f>
        <v>0</v>
      </c>
      <c r="M125" s="1">
        <f>MIN($G125)</f>
        <v>0</v>
      </c>
      <c r="N125" s="1">
        <f>MIN($H125)</f>
        <v>0</v>
      </c>
      <c r="O125" s="1">
        <f>MEDIAN($B125)</f>
        <v>0</v>
      </c>
      <c r="P125" s="1">
        <f>MEDIAN($C125)</f>
        <v>0</v>
      </c>
      <c r="Q125" s="1">
        <f>MEDIAN($D125)</f>
        <v>0</v>
      </c>
      <c r="R125" s="1">
        <f>MEDIAN($E125)</f>
        <v>0</v>
      </c>
      <c r="S125" s="1">
        <f>MEDIAN($G125)</f>
        <v>0</v>
      </c>
      <c r="T125" s="1">
        <f>MEDIAN($H125)</f>
        <v>0</v>
      </c>
      <c r="U125" s="1">
        <f>MAX($B125)</f>
        <v>0</v>
      </c>
      <c r="V125" s="1">
        <f>MAX($C125)</f>
        <v>0</v>
      </c>
      <c r="W125" s="1">
        <f>MAX($D125)</f>
        <v>0</v>
      </c>
      <c r="X125" s="1">
        <f>MAX($E125)</f>
        <v>0</v>
      </c>
      <c r="Y125" s="1">
        <f>MAX($G125)</f>
        <v>0</v>
      </c>
      <c r="Z125" s="1">
        <f>MAX($H125)</f>
        <v>0</v>
      </c>
    </row>
    <row r="126" spans="1:26">
      <c r="A126" s="1" t="s">
        <v>123</v>
      </c>
      <c r="B126" s="1">
        <v>1</v>
      </c>
      <c r="C126" s="1">
        <v>23649</v>
      </c>
      <c r="D126" s="1">
        <v>0</v>
      </c>
      <c r="E126" s="1">
        <v>20000</v>
      </c>
      <c r="F126" s="1" t="s">
        <v>155</v>
      </c>
      <c r="G126" s="1">
        <v>10000</v>
      </c>
      <c r="H126" s="1">
        <v>1</v>
      </c>
      <c r="I126" s="1">
        <f>MIN($B126)</f>
        <v>0</v>
      </c>
      <c r="J126" s="1">
        <f>MIN($C126)</f>
        <v>0</v>
      </c>
      <c r="K126" s="1">
        <f>MIN($D126)</f>
        <v>0</v>
      </c>
      <c r="L126" s="1">
        <f>MIN($E126)</f>
        <v>0</v>
      </c>
      <c r="M126" s="1">
        <f>MIN($G126)</f>
        <v>0</v>
      </c>
      <c r="N126" s="1">
        <f>MIN($H126)</f>
        <v>0</v>
      </c>
      <c r="O126" s="1">
        <f>MEDIAN($B126)</f>
        <v>0</v>
      </c>
      <c r="P126" s="1">
        <f>MEDIAN($C126)</f>
        <v>0</v>
      </c>
      <c r="Q126" s="1">
        <f>MEDIAN($D126)</f>
        <v>0</v>
      </c>
      <c r="R126" s="1">
        <f>MEDIAN($E126)</f>
        <v>0</v>
      </c>
      <c r="S126" s="1">
        <f>MEDIAN($G126)</f>
        <v>0</v>
      </c>
      <c r="T126" s="1">
        <f>MEDIAN($H126)</f>
        <v>0</v>
      </c>
      <c r="U126" s="1">
        <f>MAX($B126)</f>
        <v>0</v>
      </c>
      <c r="V126" s="1">
        <f>MAX($C126)</f>
        <v>0</v>
      </c>
      <c r="W126" s="1">
        <f>MAX($D126)</f>
        <v>0</v>
      </c>
      <c r="X126" s="1">
        <f>MAX($E126)</f>
        <v>0</v>
      </c>
      <c r="Y126" s="1">
        <f>MAX($G126)</f>
        <v>0</v>
      </c>
      <c r="Z126" s="1">
        <f>MAX($H126)</f>
        <v>0</v>
      </c>
    </row>
    <row r="127" spans="1:26">
      <c r="A127" s="1" t="s">
        <v>124</v>
      </c>
      <c r="B127" s="1">
        <v>1</v>
      </c>
      <c r="C127" s="1">
        <v>20515</v>
      </c>
      <c r="D127" s="1">
        <v>0</v>
      </c>
      <c r="E127" s="1">
        <v>20000</v>
      </c>
      <c r="F127" s="1" t="s">
        <v>155</v>
      </c>
      <c r="G127" s="1">
        <v>10000</v>
      </c>
      <c r="H127" s="1">
        <v>1</v>
      </c>
      <c r="I127" s="1">
        <f>MIN($B127)</f>
        <v>0</v>
      </c>
      <c r="J127" s="1">
        <f>MIN($C127)</f>
        <v>0</v>
      </c>
      <c r="K127" s="1">
        <f>MIN($D127)</f>
        <v>0</v>
      </c>
      <c r="L127" s="1">
        <f>MIN($E127)</f>
        <v>0</v>
      </c>
      <c r="M127" s="1">
        <f>MIN($G127)</f>
        <v>0</v>
      </c>
      <c r="N127" s="1">
        <f>MIN($H127)</f>
        <v>0</v>
      </c>
      <c r="O127" s="1">
        <f>MEDIAN($B127)</f>
        <v>0</v>
      </c>
      <c r="P127" s="1">
        <f>MEDIAN($C127)</f>
        <v>0</v>
      </c>
      <c r="Q127" s="1">
        <f>MEDIAN($D127)</f>
        <v>0</v>
      </c>
      <c r="R127" s="1">
        <f>MEDIAN($E127)</f>
        <v>0</v>
      </c>
      <c r="S127" s="1">
        <f>MEDIAN($G127)</f>
        <v>0</v>
      </c>
      <c r="T127" s="1">
        <f>MEDIAN($H127)</f>
        <v>0</v>
      </c>
      <c r="U127" s="1">
        <f>MAX($B127)</f>
        <v>0</v>
      </c>
      <c r="V127" s="1">
        <f>MAX($C127)</f>
        <v>0</v>
      </c>
      <c r="W127" s="1">
        <f>MAX($D127)</f>
        <v>0</v>
      </c>
      <c r="X127" s="1">
        <f>MAX($E127)</f>
        <v>0</v>
      </c>
      <c r="Y127" s="1">
        <f>MAX($G127)</f>
        <v>0</v>
      </c>
      <c r="Z127" s="1">
        <f>MAX($H127)</f>
        <v>0</v>
      </c>
    </row>
    <row r="128" spans="1:26">
      <c r="A128" s="1" t="s">
        <v>125</v>
      </c>
      <c r="B128" s="1">
        <v>1</v>
      </c>
      <c r="C128" s="1">
        <v>12590</v>
      </c>
      <c r="D128" s="1">
        <v>0</v>
      </c>
      <c r="E128" s="1">
        <v>20000</v>
      </c>
      <c r="F128" s="1" t="s">
        <v>155</v>
      </c>
      <c r="G128" s="1">
        <v>10000</v>
      </c>
      <c r="H128" s="1">
        <v>1</v>
      </c>
      <c r="I128" s="1">
        <f>MIN($B128)</f>
        <v>0</v>
      </c>
      <c r="J128" s="1">
        <f>MIN($C128)</f>
        <v>0</v>
      </c>
      <c r="K128" s="1">
        <f>MIN($D128)</f>
        <v>0</v>
      </c>
      <c r="L128" s="1">
        <f>MIN($E128)</f>
        <v>0</v>
      </c>
      <c r="M128" s="1">
        <f>MIN($G128)</f>
        <v>0</v>
      </c>
      <c r="N128" s="1">
        <f>MIN($H128)</f>
        <v>0</v>
      </c>
      <c r="O128" s="1">
        <f>MEDIAN($B128)</f>
        <v>0</v>
      </c>
      <c r="P128" s="1">
        <f>MEDIAN($C128)</f>
        <v>0</v>
      </c>
      <c r="Q128" s="1">
        <f>MEDIAN($D128)</f>
        <v>0</v>
      </c>
      <c r="R128" s="1">
        <f>MEDIAN($E128)</f>
        <v>0</v>
      </c>
      <c r="S128" s="1">
        <f>MEDIAN($G128)</f>
        <v>0</v>
      </c>
      <c r="T128" s="1">
        <f>MEDIAN($H128)</f>
        <v>0</v>
      </c>
      <c r="U128" s="1">
        <f>MAX($B128)</f>
        <v>0</v>
      </c>
      <c r="V128" s="1">
        <f>MAX($C128)</f>
        <v>0</v>
      </c>
      <c r="W128" s="1">
        <f>MAX($D128)</f>
        <v>0</v>
      </c>
      <c r="X128" s="1">
        <f>MAX($E128)</f>
        <v>0</v>
      </c>
      <c r="Y128" s="1">
        <f>MAX($G128)</f>
        <v>0</v>
      </c>
      <c r="Z128" s="1">
        <f>MAX($H128)</f>
        <v>0</v>
      </c>
    </row>
    <row r="129" spans="1:26">
      <c r="A129" s="1" t="s">
        <v>126</v>
      </c>
      <c r="B129" s="1">
        <v>1</v>
      </c>
      <c r="C129" s="1">
        <v>16219</v>
      </c>
      <c r="D129" s="1">
        <v>0</v>
      </c>
      <c r="E129" s="1">
        <v>20000</v>
      </c>
      <c r="F129" s="1" t="s">
        <v>155</v>
      </c>
      <c r="G129" s="1">
        <v>10000</v>
      </c>
      <c r="H129" s="1">
        <v>1</v>
      </c>
      <c r="I129" s="1">
        <f>MIN($B129)</f>
        <v>0</v>
      </c>
      <c r="J129" s="1">
        <f>MIN($C129)</f>
        <v>0</v>
      </c>
      <c r="K129" s="1">
        <f>MIN($D129)</f>
        <v>0</v>
      </c>
      <c r="L129" s="1">
        <f>MIN($E129)</f>
        <v>0</v>
      </c>
      <c r="M129" s="1">
        <f>MIN($G129)</f>
        <v>0</v>
      </c>
      <c r="N129" s="1">
        <f>MIN($H129)</f>
        <v>0</v>
      </c>
      <c r="O129" s="1">
        <f>MEDIAN($B129)</f>
        <v>0</v>
      </c>
      <c r="P129" s="1">
        <f>MEDIAN($C129)</f>
        <v>0</v>
      </c>
      <c r="Q129" s="1">
        <f>MEDIAN($D129)</f>
        <v>0</v>
      </c>
      <c r="R129" s="1">
        <f>MEDIAN($E129)</f>
        <v>0</v>
      </c>
      <c r="S129" s="1">
        <f>MEDIAN($G129)</f>
        <v>0</v>
      </c>
      <c r="T129" s="1">
        <f>MEDIAN($H129)</f>
        <v>0</v>
      </c>
      <c r="U129" s="1">
        <f>MAX($B129)</f>
        <v>0</v>
      </c>
      <c r="V129" s="1">
        <f>MAX($C129)</f>
        <v>0</v>
      </c>
      <c r="W129" s="1">
        <f>MAX($D129)</f>
        <v>0</v>
      </c>
      <c r="X129" s="1">
        <f>MAX($E129)</f>
        <v>0</v>
      </c>
      <c r="Y129" s="1">
        <f>MAX($G129)</f>
        <v>0</v>
      </c>
      <c r="Z129" s="1">
        <f>MAX($H129)</f>
        <v>0</v>
      </c>
    </row>
    <row r="130" spans="1:26">
      <c r="A130" s="1" t="s">
        <v>127</v>
      </c>
      <c r="B130" s="1">
        <v>1</v>
      </c>
      <c r="C130" s="1">
        <v>13558</v>
      </c>
      <c r="D130" s="1">
        <v>0</v>
      </c>
      <c r="E130" s="1">
        <v>20000</v>
      </c>
      <c r="F130" s="1" t="s">
        <v>155</v>
      </c>
      <c r="G130" s="1">
        <v>10000</v>
      </c>
      <c r="H130" s="1">
        <v>1</v>
      </c>
      <c r="I130" s="1">
        <f>MIN($B130)</f>
        <v>0</v>
      </c>
      <c r="J130" s="1">
        <f>MIN($C130)</f>
        <v>0</v>
      </c>
      <c r="K130" s="1">
        <f>MIN($D130)</f>
        <v>0</v>
      </c>
      <c r="L130" s="1">
        <f>MIN($E130)</f>
        <v>0</v>
      </c>
      <c r="M130" s="1">
        <f>MIN($G130)</f>
        <v>0</v>
      </c>
      <c r="N130" s="1">
        <f>MIN($H130)</f>
        <v>0</v>
      </c>
      <c r="O130" s="1">
        <f>MEDIAN($B130)</f>
        <v>0</v>
      </c>
      <c r="P130" s="1">
        <f>MEDIAN($C130)</f>
        <v>0</v>
      </c>
      <c r="Q130" s="1">
        <f>MEDIAN($D130)</f>
        <v>0</v>
      </c>
      <c r="R130" s="1">
        <f>MEDIAN($E130)</f>
        <v>0</v>
      </c>
      <c r="S130" s="1">
        <f>MEDIAN($G130)</f>
        <v>0</v>
      </c>
      <c r="T130" s="1">
        <f>MEDIAN($H130)</f>
        <v>0</v>
      </c>
      <c r="U130" s="1">
        <f>MAX($B130)</f>
        <v>0</v>
      </c>
      <c r="V130" s="1">
        <f>MAX($C130)</f>
        <v>0</v>
      </c>
      <c r="W130" s="1">
        <f>MAX($D130)</f>
        <v>0</v>
      </c>
      <c r="X130" s="1">
        <f>MAX($E130)</f>
        <v>0</v>
      </c>
      <c r="Y130" s="1">
        <f>MAX($G130)</f>
        <v>0</v>
      </c>
      <c r="Z130" s="1">
        <f>MAX($H130)</f>
        <v>0</v>
      </c>
    </row>
    <row r="131" spans="1:26">
      <c r="A131" s="1" t="s">
        <v>128</v>
      </c>
      <c r="B131" s="1">
        <v>1</v>
      </c>
      <c r="C131" s="1">
        <v>16845</v>
      </c>
      <c r="D131" s="1">
        <v>0</v>
      </c>
      <c r="E131" s="1">
        <v>20000</v>
      </c>
      <c r="F131" s="1" t="s">
        <v>155</v>
      </c>
      <c r="G131" s="1">
        <v>10000</v>
      </c>
      <c r="H131" s="1">
        <v>1</v>
      </c>
      <c r="I131" s="1">
        <f>MIN($B131)</f>
        <v>0</v>
      </c>
      <c r="J131" s="1">
        <f>MIN($C131)</f>
        <v>0</v>
      </c>
      <c r="K131" s="1">
        <f>MIN($D131)</f>
        <v>0</v>
      </c>
      <c r="L131" s="1">
        <f>MIN($E131)</f>
        <v>0</v>
      </c>
      <c r="M131" s="1">
        <f>MIN($G131)</f>
        <v>0</v>
      </c>
      <c r="N131" s="1">
        <f>MIN($H131)</f>
        <v>0</v>
      </c>
      <c r="O131" s="1">
        <f>MEDIAN($B131)</f>
        <v>0</v>
      </c>
      <c r="P131" s="1">
        <f>MEDIAN($C131)</f>
        <v>0</v>
      </c>
      <c r="Q131" s="1">
        <f>MEDIAN($D131)</f>
        <v>0</v>
      </c>
      <c r="R131" s="1">
        <f>MEDIAN($E131)</f>
        <v>0</v>
      </c>
      <c r="S131" s="1">
        <f>MEDIAN($G131)</f>
        <v>0</v>
      </c>
      <c r="T131" s="1">
        <f>MEDIAN($H131)</f>
        <v>0</v>
      </c>
      <c r="U131" s="1">
        <f>MAX($B131)</f>
        <v>0</v>
      </c>
      <c r="V131" s="1">
        <f>MAX($C131)</f>
        <v>0</v>
      </c>
      <c r="W131" s="1">
        <f>MAX($D131)</f>
        <v>0</v>
      </c>
      <c r="X131" s="1">
        <f>MAX($E131)</f>
        <v>0</v>
      </c>
      <c r="Y131" s="1">
        <f>MAX($G131)</f>
        <v>0</v>
      </c>
      <c r="Z131" s="1">
        <f>MAX($H131)</f>
        <v>0</v>
      </c>
    </row>
    <row r="132" spans="1:26">
      <c r="A132" s="1" t="s">
        <v>129</v>
      </c>
      <c r="B132" s="1">
        <v>1</v>
      </c>
      <c r="C132" s="1">
        <v>19309</v>
      </c>
      <c r="D132" s="1">
        <v>0</v>
      </c>
      <c r="E132" s="1">
        <v>20000</v>
      </c>
      <c r="F132" s="1" t="s">
        <v>155</v>
      </c>
      <c r="G132" s="1">
        <v>10000</v>
      </c>
      <c r="H132" s="1">
        <v>1</v>
      </c>
      <c r="I132" s="1">
        <f>MIN($B132)</f>
        <v>0</v>
      </c>
      <c r="J132" s="1">
        <f>MIN($C132)</f>
        <v>0</v>
      </c>
      <c r="K132" s="1">
        <f>MIN($D132)</f>
        <v>0</v>
      </c>
      <c r="L132" s="1">
        <f>MIN($E132)</f>
        <v>0</v>
      </c>
      <c r="M132" s="1">
        <f>MIN($G132)</f>
        <v>0</v>
      </c>
      <c r="N132" s="1">
        <f>MIN($H132)</f>
        <v>0</v>
      </c>
      <c r="O132" s="1">
        <f>MEDIAN($B132)</f>
        <v>0</v>
      </c>
      <c r="P132" s="1">
        <f>MEDIAN($C132)</f>
        <v>0</v>
      </c>
      <c r="Q132" s="1">
        <f>MEDIAN($D132)</f>
        <v>0</v>
      </c>
      <c r="R132" s="1">
        <f>MEDIAN($E132)</f>
        <v>0</v>
      </c>
      <c r="S132" s="1">
        <f>MEDIAN($G132)</f>
        <v>0</v>
      </c>
      <c r="T132" s="1">
        <f>MEDIAN($H132)</f>
        <v>0</v>
      </c>
      <c r="U132" s="1">
        <f>MAX($B132)</f>
        <v>0</v>
      </c>
      <c r="V132" s="1">
        <f>MAX($C132)</f>
        <v>0</v>
      </c>
      <c r="W132" s="1">
        <f>MAX($D132)</f>
        <v>0</v>
      </c>
      <c r="X132" s="1">
        <f>MAX($E132)</f>
        <v>0</v>
      </c>
      <c r="Y132" s="1">
        <f>MAX($G132)</f>
        <v>0</v>
      </c>
      <c r="Z132" s="1">
        <f>MAX($H132)</f>
        <v>0</v>
      </c>
    </row>
    <row r="133" spans="1:26">
      <c r="A133" s="1" t="s">
        <v>130</v>
      </c>
      <c r="B133" s="1">
        <v>1</v>
      </c>
      <c r="C133" s="1">
        <v>18397</v>
      </c>
      <c r="D133" s="1">
        <v>0</v>
      </c>
      <c r="E133" s="1">
        <v>20000</v>
      </c>
      <c r="F133" s="1" t="s">
        <v>155</v>
      </c>
      <c r="G133" s="1">
        <v>10000</v>
      </c>
      <c r="H133" s="1">
        <v>1</v>
      </c>
      <c r="I133" s="1">
        <f>MIN($B133)</f>
        <v>0</v>
      </c>
      <c r="J133" s="1">
        <f>MIN($C133)</f>
        <v>0</v>
      </c>
      <c r="K133" s="1">
        <f>MIN($D133)</f>
        <v>0</v>
      </c>
      <c r="L133" s="1">
        <f>MIN($E133)</f>
        <v>0</v>
      </c>
      <c r="M133" s="1">
        <f>MIN($G133)</f>
        <v>0</v>
      </c>
      <c r="N133" s="1">
        <f>MIN($H133)</f>
        <v>0</v>
      </c>
      <c r="O133" s="1">
        <f>MEDIAN($B133)</f>
        <v>0</v>
      </c>
      <c r="P133" s="1">
        <f>MEDIAN($C133)</f>
        <v>0</v>
      </c>
      <c r="Q133" s="1">
        <f>MEDIAN($D133)</f>
        <v>0</v>
      </c>
      <c r="R133" s="1">
        <f>MEDIAN($E133)</f>
        <v>0</v>
      </c>
      <c r="S133" s="1">
        <f>MEDIAN($G133)</f>
        <v>0</v>
      </c>
      <c r="T133" s="1">
        <f>MEDIAN($H133)</f>
        <v>0</v>
      </c>
      <c r="U133" s="1">
        <f>MAX($B133)</f>
        <v>0</v>
      </c>
      <c r="V133" s="1">
        <f>MAX($C133)</f>
        <v>0</v>
      </c>
      <c r="W133" s="1">
        <f>MAX($D133)</f>
        <v>0</v>
      </c>
      <c r="X133" s="1">
        <f>MAX($E133)</f>
        <v>0</v>
      </c>
      <c r="Y133" s="1">
        <f>MAX($G133)</f>
        <v>0</v>
      </c>
      <c r="Z133" s="1">
        <f>MAX($H133)</f>
        <v>0</v>
      </c>
    </row>
    <row r="134" spans="1:26">
      <c r="A134" s="1" t="s">
        <v>131</v>
      </c>
      <c r="B134" s="1">
        <v>1</v>
      </c>
      <c r="C134" s="1">
        <v>19078</v>
      </c>
      <c r="D134" s="1">
        <v>0</v>
      </c>
      <c r="E134" s="1">
        <v>20000</v>
      </c>
      <c r="F134" s="1" t="s">
        <v>155</v>
      </c>
      <c r="G134" s="1">
        <v>10000</v>
      </c>
      <c r="H134" s="1">
        <v>1</v>
      </c>
      <c r="I134" s="1">
        <f>MIN($B134)</f>
        <v>0</v>
      </c>
      <c r="J134" s="1">
        <f>MIN($C134)</f>
        <v>0</v>
      </c>
      <c r="K134" s="1">
        <f>MIN($D134)</f>
        <v>0</v>
      </c>
      <c r="L134" s="1">
        <f>MIN($E134)</f>
        <v>0</v>
      </c>
      <c r="M134" s="1">
        <f>MIN($G134)</f>
        <v>0</v>
      </c>
      <c r="N134" s="1">
        <f>MIN($H134)</f>
        <v>0</v>
      </c>
      <c r="O134" s="1">
        <f>MEDIAN($B134)</f>
        <v>0</v>
      </c>
      <c r="P134" s="1">
        <f>MEDIAN($C134)</f>
        <v>0</v>
      </c>
      <c r="Q134" s="1">
        <f>MEDIAN($D134)</f>
        <v>0</v>
      </c>
      <c r="R134" s="1">
        <f>MEDIAN($E134)</f>
        <v>0</v>
      </c>
      <c r="S134" s="1">
        <f>MEDIAN($G134)</f>
        <v>0</v>
      </c>
      <c r="T134" s="1">
        <f>MEDIAN($H134)</f>
        <v>0</v>
      </c>
      <c r="U134" s="1">
        <f>MAX($B134)</f>
        <v>0</v>
      </c>
      <c r="V134" s="1">
        <f>MAX($C134)</f>
        <v>0</v>
      </c>
      <c r="W134" s="1">
        <f>MAX($D134)</f>
        <v>0</v>
      </c>
      <c r="X134" s="1">
        <f>MAX($E134)</f>
        <v>0</v>
      </c>
      <c r="Y134" s="1">
        <f>MAX($G134)</f>
        <v>0</v>
      </c>
      <c r="Z134" s="1">
        <f>MAX($H134)</f>
        <v>0</v>
      </c>
    </row>
    <row r="135" spans="1:26">
      <c r="A135" s="1" t="s">
        <v>132</v>
      </c>
      <c r="B135" s="1">
        <v>1</v>
      </c>
      <c r="C135" s="1">
        <v>23972</v>
      </c>
      <c r="D135" s="1">
        <v>0</v>
      </c>
      <c r="E135" s="1">
        <v>20000</v>
      </c>
      <c r="F135" s="1" t="s">
        <v>155</v>
      </c>
      <c r="G135" s="1">
        <v>10000</v>
      </c>
      <c r="H135" s="1">
        <v>1</v>
      </c>
      <c r="I135" s="1">
        <f>MIN($B135)</f>
        <v>0</v>
      </c>
      <c r="J135" s="1">
        <f>MIN($C135)</f>
        <v>0</v>
      </c>
      <c r="K135" s="1">
        <f>MIN($D135)</f>
        <v>0</v>
      </c>
      <c r="L135" s="1">
        <f>MIN($E135)</f>
        <v>0</v>
      </c>
      <c r="M135" s="1">
        <f>MIN($G135)</f>
        <v>0</v>
      </c>
      <c r="N135" s="1">
        <f>MIN($H135)</f>
        <v>0</v>
      </c>
      <c r="O135" s="1">
        <f>MEDIAN($B135)</f>
        <v>0</v>
      </c>
      <c r="P135" s="1">
        <f>MEDIAN($C135)</f>
        <v>0</v>
      </c>
      <c r="Q135" s="1">
        <f>MEDIAN($D135)</f>
        <v>0</v>
      </c>
      <c r="R135" s="1">
        <f>MEDIAN($E135)</f>
        <v>0</v>
      </c>
      <c r="S135" s="1">
        <f>MEDIAN($G135)</f>
        <v>0</v>
      </c>
      <c r="T135" s="1">
        <f>MEDIAN($H135)</f>
        <v>0</v>
      </c>
      <c r="U135" s="1">
        <f>MAX($B135)</f>
        <v>0</v>
      </c>
      <c r="V135" s="1">
        <f>MAX($C135)</f>
        <v>0</v>
      </c>
      <c r="W135" s="1">
        <f>MAX($D135)</f>
        <v>0</v>
      </c>
      <c r="X135" s="1">
        <f>MAX($E135)</f>
        <v>0</v>
      </c>
      <c r="Y135" s="1">
        <f>MAX($G135)</f>
        <v>0</v>
      </c>
      <c r="Z135" s="1">
        <f>MAX($H135)</f>
        <v>0</v>
      </c>
    </row>
    <row r="136" spans="1:26">
      <c r="A136" s="1" t="s">
        <v>133</v>
      </c>
      <c r="B136" s="1">
        <v>1</v>
      </c>
      <c r="C136" s="1">
        <v>19631</v>
      </c>
      <c r="D136" s="1">
        <v>0</v>
      </c>
      <c r="E136" s="1">
        <v>20000</v>
      </c>
      <c r="F136" s="1" t="s">
        <v>155</v>
      </c>
      <c r="G136" s="1">
        <v>10000</v>
      </c>
      <c r="H136" s="1">
        <v>1</v>
      </c>
      <c r="I136" s="1">
        <f>MIN($B136)</f>
        <v>0</v>
      </c>
      <c r="J136" s="1">
        <f>MIN($C136)</f>
        <v>0</v>
      </c>
      <c r="K136" s="1">
        <f>MIN($D136)</f>
        <v>0</v>
      </c>
      <c r="L136" s="1">
        <f>MIN($E136)</f>
        <v>0</v>
      </c>
      <c r="M136" s="1">
        <f>MIN($G136)</f>
        <v>0</v>
      </c>
      <c r="N136" s="1">
        <f>MIN($H136)</f>
        <v>0</v>
      </c>
      <c r="O136" s="1">
        <f>MEDIAN($B136)</f>
        <v>0</v>
      </c>
      <c r="P136" s="1">
        <f>MEDIAN($C136)</f>
        <v>0</v>
      </c>
      <c r="Q136" s="1">
        <f>MEDIAN($D136)</f>
        <v>0</v>
      </c>
      <c r="R136" s="1">
        <f>MEDIAN($E136)</f>
        <v>0</v>
      </c>
      <c r="S136" s="1">
        <f>MEDIAN($G136)</f>
        <v>0</v>
      </c>
      <c r="T136" s="1">
        <f>MEDIAN($H136)</f>
        <v>0</v>
      </c>
      <c r="U136" s="1">
        <f>MAX($B136)</f>
        <v>0</v>
      </c>
      <c r="V136" s="1">
        <f>MAX($C136)</f>
        <v>0</v>
      </c>
      <c r="W136" s="1">
        <f>MAX($D136)</f>
        <v>0</v>
      </c>
      <c r="X136" s="1">
        <f>MAX($E136)</f>
        <v>0</v>
      </c>
      <c r="Y136" s="1">
        <f>MAX($G136)</f>
        <v>0</v>
      </c>
      <c r="Z136" s="1">
        <f>MAX($H136)</f>
        <v>0</v>
      </c>
    </row>
    <row r="137" spans="1:26">
      <c r="A137" s="1" t="s">
        <v>134</v>
      </c>
      <c r="B137" s="1">
        <v>1</v>
      </c>
      <c r="C137" s="1">
        <v>20111</v>
      </c>
      <c r="D137" s="1">
        <v>0</v>
      </c>
      <c r="E137" s="1">
        <v>20000</v>
      </c>
      <c r="F137" s="1" t="s">
        <v>155</v>
      </c>
      <c r="G137" s="1">
        <v>10000</v>
      </c>
      <c r="H137" s="1">
        <v>1</v>
      </c>
      <c r="I137" s="1">
        <f>MIN($B137)</f>
        <v>0</v>
      </c>
      <c r="J137" s="1">
        <f>MIN($C137)</f>
        <v>0</v>
      </c>
      <c r="K137" s="1">
        <f>MIN($D137)</f>
        <v>0</v>
      </c>
      <c r="L137" s="1">
        <f>MIN($E137)</f>
        <v>0</v>
      </c>
      <c r="M137" s="1">
        <f>MIN($G137)</f>
        <v>0</v>
      </c>
      <c r="N137" s="1">
        <f>MIN($H137)</f>
        <v>0</v>
      </c>
      <c r="O137" s="1">
        <f>MEDIAN($B137)</f>
        <v>0</v>
      </c>
      <c r="P137" s="1">
        <f>MEDIAN($C137)</f>
        <v>0</v>
      </c>
      <c r="Q137" s="1">
        <f>MEDIAN($D137)</f>
        <v>0</v>
      </c>
      <c r="R137" s="1">
        <f>MEDIAN($E137)</f>
        <v>0</v>
      </c>
      <c r="S137" s="1">
        <f>MEDIAN($G137)</f>
        <v>0</v>
      </c>
      <c r="T137" s="1">
        <f>MEDIAN($H137)</f>
        <v>0</v>
      </c>
      <c r="U137" s="1">
        <f>MAX($B137)</f>
        <v>0</v>
      </c>
      <c r="V137" s="1">
        <f>MAX($C137)</f>
        <v>0</v>
      </c>
      <c r="W137" s="1">
        <f>MAX($D137)</f>
        <v>0</v>
      </c>
      <c r="X137" s="1">
        <f>MAX($E137)</f>
        <v>0</v>
      </c>
      <c r="Y137" s="1">
        <f>MAX($G137)</f>
        <v>0</v>
      </c>
      <c r="Z137" s="1">
        <f>MAX($H137)</f>
        <v>0</v>
      </c>
    </row>
    <row r="138" spans="1:26">
      <c r="A138" s="1" t="s">
        <v>135</v>
      </c>
      <c r="B138" s="1">
        <v>1</v>
      </c>
      <c r="C138" s="1">
        <v>13739</v>
      </c>
      <c r="D138" s="1">
        <v>0</v>
      </c>
      <c r="E138" s="1">
        <v>20000</v>
      </c>
      <c r="F138" s="1" t="s">
        <v>155</v>
      </c>
      <c r="G138" s="1">
        <v>10000</v>
      </c>
      <c r="H138" s="1">
        <v>1</v>
      </c>
      <c r="I138" s="1">
        <f>MIN($B138)</f>
        <v>0</v>
      </c>
      <c r="J138" s="1">
        <f>MIN($C138)</f>
        <v>0</v>
      </c>
      <c r="K138" s="1">
        <f>MIN($D138)</f>
        <v>0</v>
      </c>
      <c r="L138" s="1">
        <f>MIN($E138)</f>
        <v>0</v>
      </c>
      <c r="M138" s="1">
        <f>MIN($G138)</f>
        <v>0</v>
      </c>
      <c r="N138" s="1">
        <f>MIN($H138)</f>
        <v>0</v>
      </c>
      <c r="O138" s="1">
        <f>MEDIAN($B138)</f>
        <v>0</v>
      </c>
      <c r="P138" s="1">
        <f>MEDIAN($C138)</f>
        <v>0</v>
      </c>
      <c r="Q138" s="1">
        <f>MEDIAN($D138)</f>
        <v>0</v>
      </c>
      <c r="R138" s="1">
        <f>MEDIAN($E138)</f>
        <v>0</v>
      </c>
      <c r="S138" s="1">
        <f>MEDIAN($G138)</f>
        <v>0</v>
      </c>
      <c r="T138" s="1">
        <f>MEDIAN($H138)</f>
        <v>0</v>
      </c>
      <c r="U138" s="1">
        <f>MAX($B138)</f>
        <v>0</v>
      </c>
      <c r="V138" s="1">
        <f>MAX($C138)</f>
        <v>0</v>
      </c>
      <c r="W138" s="1">
        <f>MAX($D138)</f>
        <v>0</v>
      </c>
      <c r="X138" s="1">
        <f>MAX($E138)</f>
        <v>0</v>
      </c>
      <c r="Y138" s="1">
        <f>MAX($G138)</f>
        <v>0</v>
      </c>
      <c r="Z138" s="1">
        <f>MAX($H138)</f>
        <v>0</v>
      </c>
    </row>
    <row r="139" spans="1:26">
      <c r="A139" s="1" t="s">
        <v>136</v>
      </c>
      <c r="B139" s="1">
        <v>1</v>
      </c>
      <c r="C139" s="1">
        <v>27471</v>
      </c>
      <c r="D139" s="1">
        <v>0</v>
      </c>
      <c r="E139" s="1">
        <v>20000</v>
      </c>
      <c r="F139" s="1" t="s">
        <v>155</v>
      </c>
      <c r="G139" s="1">
        <v>10000</v>
      </c>
      <c r="H139" s="1">
        <v>1</v>
      </c>
      <c r="I139" s="1">
        <f>MIN($B139)</f>
        <v>0</v>
      </c>
      <c r="J139" s="1">
        <f>MIN($C139)</f>
        <v>0</v>
      </c>
      <c r="K139" s="1">
        <f>MIN($D139)</f>
        <v>0</v>
      </c>
      <c r="L139" s="1">
        <f>MIN($E139)</f>
        <v>0</v>
      </c>
      <c r="M139" s="1">
        <f>MIN($G139)</f>
        <v>0</v>
      </c>
      <c r="N139" s="1">
        <f>MIN($H139)</f>
        <v>0</v>
      </c>
      <c r="O139" s="1">
        <f>MEDIAN($B139)</f>
        <v>0</v>
      </c>
      <c r="P139" s="1">
        <f>MEDIAN($C139)</f>
        <v>0</v>
      </c>
      <c r="Q139" s="1">
        <f>MEDIAN($D139)</f>
        <v>0</v>
      </c>
      <c r="R139" s="1">
        <f>MEDIAN($E139)</f>
        <v>0</v>
      </c>
      <c r="S139" s="1">
        <f>MEDIAN($G139)</f>
        <v>0</v>
      </c>
      <c r="T139" s="1">
        <f>MEDIAN($H139)</f>
        <v>0</v>
      </c>
      <c r="U139" s="1">
        <f>MAX($B139)</f>
        <v>0</v>
      </c>
      <c r="V139" s="1">
        <f>MAX($C139)</f>
        <v>0</v>
      </c>
      <c r="W139" s="1">
        <f>MAX($D139)</f>
        <v>0</v>
      </c>
      <c r="X139" s="1">
        <f>MAX($E139)</f>
        <v>0</v>
      </c>
      <c r="Y139" s="1">
        <f>MAX($G139)</f>
        <v>0</v>
      </c>
      <c r="Z139" s="1">
        <f>MAX($H139)</f>
        <v>0</v>
      </c>
    </row>
    <row r="140" spans="1:26">
      <c r="A140" s="1" t="s">
        <v>137</v>
      </c>
      <c r="B140" s="1">
        <v>1</v>
      </c>
      <c r="C140" s="1">
        <v>17723</v>
      </c>
      <c r="D140" s="1">
        <v>0</v>
      </c>
      <c r="E140" s="1">
        <v>20000</v>
      </c>
      <c r="F140" s="1" t="s">
        <v>155</v>
      </c>
      <c r="G140" s="1">
        <v>10000</v>
      </c>
      <c r="H140" s="1">
        <v>1</v>
      </c>
      <c r="I140" s="1">
        <f>MIN($B140)</f>
        <v>0</v>
      </c>
      <c r="J140" s="1">
        <f>MIN($C140)</f>
        <v>0</v>
      </c>
      <c r="K140" s="1">
        <f>MIN($D140)</f>
        <v>0</v>
      </c>
      <c r="L140" s="1">
        <f>MIN($E140)</f>
        <v>0</v>
      </c>
      <c r="M140" s="1">
        <f>MIN($G140)</f>
        <v>0</v>
      </c>
      <c r="N140" s="1">
        <f>MIN($H140)</f>
        <v>0</v>
      </c>
      <c r="O140" s="1">
        <f>MEDIAN($B140)</f>
        <v>0</v>
      </c>
      <c r="P140" s="1">
        <f>MEDIAN($C140)</f>
        <v>0</v>
      </c>
      <c r="Q140" s="1">
        <f>MEDIAN($D140)</f>
        <v>0</v>
      </c>
      <c r="R140" s="1">
        <f>MEDIAN($E140)</f>
        <v>0</v>
      </c>
      <c r="S140" s="1">
        <f>MEDIAN($G140)</f>
        <v>0</v>
      </c>
      <c r="T140" s="1">
        <f>MEDIAN($H140)</f>
        <v>0</v>
      </c>
      <c r="U140" s="1">
        <f>MAX($B140)</f>
        <v>0</v>
      </c>
      <c r="V140" s="1">
        <f>MAX($C140)</f>
        <v>0</v>
      </c>
      <c r="W140" s="1">
        <f>MAX($D140)</f>
        <v>0</v>
      </c>
      <c r="X140" s="1">
        <f>MAX($E140)</f>
        <v>0</v>
      </c>
      <c r="Y140" s="1">
        <f>MAX($G140)</f>
        <v>0</v>
      </c>
      <c r="Z140" s="1">
        <f>MAX($H140)</f>
        <v>0</v>
      </c>
    </row>
    <row r="141" spans="1:26">
      <c r="A141" s="1" t="s">
        <v>138</v>
      </c>
      <c r="B141" s="1">
        <v>1</v>
      </c>
      <c r="C141" s="1">
        <v>15566</v>
      </c>
      <c r="D141" s="1">
        <v>0</v>
      </c>
      <c r="E141" s="1">
        <v>20000</v>
      </c>
      <c r="F141" s="1" t="s">
        <v>155</v>
      </c>
      <c r="G141" s="1">
        <v>10000</v>
      </c>
      <c r="H141" s="1">
        <v>1</v>
      </c>
      <c r="I141" s="1">
        <f>MIN($B141)</f>
        <v>0</v>
      </c>
      <c r="J141" s="1">
        <f>MIN($C141)</f>
        <v>0</v>
      </c>
      <c r="K141" s="1">
        <f>MIN($D141)</f>
        <v>0</v>
      </c>
      <c r="L141" s="1">
        <f>MIN($E141)</f>
        <v>0</v>
      </c>
      <c r="M141" s="1">
        <f>MIN($G141)</f>
        <v>0</v>
      </c>
      <c r="N141" s="1">
        <f>MIN($H141)</f>
        <v>0</v>
      </c>
      <c r="O141" s="1">
        <f>MEDIAN($B141)</f>
        <v>0</v>
      </c>
      <c r="P141" s="1">
        <f>MEDIAN($C141)</f>
        <v>0</v>
      </c>
      <c r="Q141" s="1">
        <f>MEDIAN($D141)</f>
        <v>0</v>
      </c>
      <c r="R141" s="1">
        <f>MEDIAN($E141)</f>
        <v>0</v>
      </c>
      <c r="S141" s="1">
        <f>MEDIAN($G141)</f>
        <v>0</v>
      </c>
      <c r="T141" s="1">
        <f>MEDIAN($H141)</f>
        <v>0</v>
      </c>
      <c r="U141" s="1">
        <f>MAX($B141)</f>
        <v>0</v>
      </c>
      <c r="V141" s="1">
        <f>MAX($C141)</f>
        <v>0</v>
      </c>
      <c r="W141" s="1">
        <f>MAX($D141)</f>
        <v>0</v>
      </c>
      <c r="X141" s="1">
        <f>MAX($E141)</f>
        <v>0</v>
      </c>
      <c r="Y141" s="1">
        <f>MAX($G141)</f>
        <v>0</v>
      </c>
      <c r="Z141" s="1">
        <f>MAX($H141)</f>
        <v>0</v>
      </c>
    </row>
    <row r="142" spans="1:26">
      <c r="A142" s="1" t="s">
        <v>139</v>
      </c>
      <c r="B142" s="1">
        <v>1</v>
      </c>
      <c r="C142" s="1">
        <v>19919</v>
      </c>
      <c r="D142" s="1">
        <v>0</v>
      </c>
      <c r="E142" s="1">
        <v>20000</v>
      </c>
      <c r="F142" s="1" t="s">
        <v>155</v>
      </c>
      <c r="G142" s="1">
        <v>10000</v>
      </c>
      <c r="H142" s="1">
        <v>1</v>
      </c>
      <c r="I142" s="1">
        <f>MIN($B142)</f>
        <v>0</v>
      </c>
      <c r="J142" s="1">
        <f>MIN($C142)</f>
        <v>0</v>
      </c>
      <c r="K142" s="1">
        <f>MIN($D142)</f>
        <v>0</v>
      </c>
      <c r="L142" s="1">
        <f>MIN($E142)</f>
        <v>0</v>
      </c>
      <c r="M142" s="1">
        <f>MIN($G142)</f>
        <v>0</v>
      </c>
      <c r="N142" s="1">
        <f>MIN($H142)</f>
        <v>0</v>
      </c>
      <c r="O142" s="1">
        <f>MEDIAN($B142)</f>
        <v>0</v>
      </c>
      <c r="P142" s="1">
        <f>MEDIAN($C142)</f>
        <v>0</v>
      </c>
      <c r="Q142" s="1">
        <f>MEDIAN($D142)</f>
        <v>0</v>
      </c>
      <c r="R142" s="1">
        <f>MEDIAN($E142)</f>
        <v>0</v>
      </c>
      <c r="S142" s="1">
        <f>MEDIAN($G142)</f>
        <v>0</v>
      </c>
      <c r="T142" s="1">
        <f>MEDIAN($H142)</f>
        <v>0</v>
      </c>
      <c r="U142" s="1">
        <f>MAX($B142)</f>
        <v>0</v>
      </c>
      <c r="V142" s="1">
        <f>MAX($C142)</f>
        <v>0</v>
      </c>
      <c r="W142" s="1">
        <f>MAX($D142)</f>
        <v>0</v>
      </c>
      <c r="X142" s="1">
        <f>MAX($E142)</f>
        <v>0</v>
      </c>
      <c r="Y142" s="1">
        <f>MAX($G142)</f>
        <v>0</v>
      </c>
      <c r="Z142" s="1">
        <f>MAX($H142)</f>
        <v>0</v>
      </c>
    </row>
    <row r="143" spans="1:26">
      <c r="A143" s="1" t="s">
        <v>140</v>
      </c>
      <c r="B143" s="1">
        <v>1</v>
      </c>
      <c r="C143" s="1">
        <v>13725</v>
      </c>
      <c r="D143" s="1">
        <v>0</v>
      </c>
      <c r="E143" s="1">
        <v>20000</v>
      </c>
      <c r="F143" s="1" t="s">
        <v>155</v>
      </c>
      <c r="G143" s="1">
        <v>10000</v>
      </c>
      <c r="H143" s="1">
        <v>1</v>
      </c>
      <c r="I143" s="1">
        <f>MIN($B143)</f>
        <v>0</v>
      </c>
      <c r="J143" s="1">
        <f>MIN($C143)</f>
        <v>0</v>
      </c>
      <c r="K143" s="1">
        <f>MIN($D143)</f>
        <v>0</v>
      </c>
      <c r="L143" s="1">
        <f>MIN($E143)</f>
        <v>0</v>
      </c>
      <c r="M143" s="1">
        <f>MIN($G143)</f>
        <v>0</v>
      </c>
      <c r="N143" s="1">
        <f>MIN($H143)</f>
        <v>0</v>
      </c>
      <c r="O143" s="1">
        <f>MEDIAN($B143)</f>
        <v>0</v>
      </c>
      <c r="P143" s="1">
        <f>MEDIAN($C143)</f>
        <v>0</v>
      </c>
      <c r="Q143" s="1">
        <f>MEDIAN($D143)</f>
        <v>0</v>
      </c>
      <c r="R143" s="1">
        <f>MEDIAN($E143)</f>
        <v>0</v>
      </c>
      <c r="S143" s="1">
        <f>MEDIAN($G143)</f>
        <v>0</v>
      </c>
      <c r="T143" s="1">
        <f>MEDIAN($H143)</f>
        <v>0</v>
      </c>
      <c r="U143" s="1">
        <f>MAX($B143)</f>
        <v>0</v>
      </c>
      <c r="V143" s="1">
        <f>MAX($C143)</f>
        <v>0</v>
      </c>
      <c r="W143" s="1">
        <f>MAX($D143)</f>
        <v>0</v>
      </c>
      <c r="X143" s="1">
        <f>MAX($E143)</f>
        <v>0</v>
      </c>
      <c r="Y143" s="1">
        <f>MAX($G143)</f>
        <v>0</v>
      </c>
      <c r="Z143" s="1">
        <f>MAX($H143)</f>
        <v>0</v>
      </c>
    </row>
    <row r="144" spans="1:26">
      <c r="A144" s="1" t="s">
        <v>70</v>
      </c>
      <c r="B144" s="1">
        <v>0</v>
      </c>
      <c r="C144" s="1">
        <v>6</v>
      </c>
      <c r="D144" s="1">
        <v>0</v>
      </c>
      <c r="E144" s="1">
        <v>20000</v>
      </c>
      <c r="F144" s="1" t="s">
        <v>157</v>
      </c>
      <c r="G144" s="1">
        <v>10000</v>
      </c>
      <c r="H144" s="1">
        <v>1</v>
      </c>
      <c r="I144" s="1">
        <f>MIN($B144)</f>
        <v>0</v>
      </c>
      <c r="J144" s="1">
        <f>MIN($C144)</f>
        <v>0</v>
      </c>
      <c r="K144" s="1">
        <f>MIN($D144)</f>
        <v>0</v>
      </c>
      <c r="L144" s="1">
        <f>MIN($E144)</f>
        <v>0</v>
      </c>
      <c r="M144" s="1">
        <f>MIN($G144)</f>
        <v>0</v>
      </c>
      <c r="N144" s="1">
        <f>MIN($H144)</f>
        <v>0</v>
      </c>
      <c r="O144" s="1">
        <f>MEDIAN($B144)</f>
        <v>0</v>
      </c>
      <c r="P144" s="1">
        <f>MEDIAN($C144)</f>
        <v>0</v>
      </c>
      <c r="Q144" s="1">
        <f>MEDIAN($D144)</f>
        <v>0</v>
      </c>
      <c r="R144" s="1">
        <f>MEDIAN($E144)</f>
        <v>0</v>
      </c>
      <c r="S144" s="1">
        <f>MEDIAN($G144)</f>
        <v>0</v>
      </c>
      <c r="T144" s="1">
        <f>MEDIAN($H144)</f>
        <v>0</v>
      </c>
      <c r="U144" s="1">
        <f>MAX($B144)</f>
        <v>0</v>
      </c>
      <c r="V144" s="1">
        <f>MAX($C144)</f>
        <v>0</v>
      </c>
      <c r="W144" s="1">
        <f>MAX($D144)</f>
        <v>0</v>
      </c>
      <c r="X144" s="1">
        <f>MAX($E144)</f>
        <v>0</v>
      </c>
      <c r="Y144" s="1">
        <f>MAX($G144)</f>
        <v>0</v>
      </c>
      <c r="Z144" s="1">
        <f>MAX($H144)</f>
        <v>0</v>
      </c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">
        <v>141</v>
      </c>
      <c r="B146" s="1">
        <f>SUM(B$3:B$144)</f>
        <v>0</v>
      </c>
      <c r="C146" s="1">
        <f>SUM(C$3:C$144)</f>
        <v>0</v>
      </c>
      <c r="D146" s="1">
        <f>SUM(D$3:D$144)</f>
        <v>0</v>
      </c>
      <c r="E146" s="1">
        <f>SUM(E$3:E$144)</f>
        <v>0</v>
      </c>
      <c r="F146" s="1"/>
      <c r="G146" s="1">
        <f>SUM(G$3:G$144)</f>
        <v>0</v>
      </c>
      <c r="H146" s="1">
        <f>SUM(H$3:H$144)</f>
        <v>0</v>
      </c>
      <c r="I146" s="1">
        <f>SUM(I$3:I$144)</f>
        <v>0</v>
      </c>
      <c r="J146" s="1">
        <f>SUM(J$3:J$144)</f>
        <v>0</v>
      </c>
      <c r="K146" s="1">
        <f>SUM(K$3:K$144)</f>
        <v>0</v>
      </c>
      <c r="L146" s="1">
        <f>SUM(L$3:L$144)</f>
        <v>0</v>
      </c>
      <c r="M146" s="1">
        <f>SUM(M$3:M$144)</f>
        <v>0</v>
      </c>
      <c r="N146" s="1">
        <f>SUM(N$3:N$144)</f>
        <v>0</v>
      </c>
      <c r="O146" s="1">
        <f>SUM(O$3:O$144)</f>
        <v>0</v>
      </c>
      <c r="P146" s="1">
        <f>SUM(P$3:P$144)</f>
        <v>0</v>
      </c>
      <c r="Q146" s="1">
        <f>SUM(Q$3:Q$144)</f>
        <v>0</v>
      </c>
      <c r="R146" s="1">
        <f>SUM(R$3:R$144)</f>
        <v>0</v>
      </c>
      <c r="S146" s="1">
        <f>SUM(S$3:S$144)</f>
        <v>0</v>
      </c>
      <c r="T146" s="1">
        <f>SUM(T$3:T$144)</f>
        <v>0</v>
      </c>
      <c r="U146" s="1">
        <f>SUM(U$3:U$144)</f>
        <v>0</v>
      </c>
      <c r="V146" s="1">
        <f>SUM(V$3:V$144)</f>
        <v>0</v>
      </c>
      <c r="W146" s="1">
        <f>SUM(W$3:W$144)</f>
        <v>0</v>
      </c>
      <c r="X146" s="1">
        <f>SUM(X$3:X$144)</f>
        <v>0</v>
      </c>
      <c r="Y146" s="1">
        <f>SUM(Y$3:Y$144)</f>
        <v>0</v>
      </c>
      <c r="Z146" s="1">
        <f>SUM(Z$3:Z$144)</f>
        <v>0</v>
      </c>
    </row>
    <row r="147" spans="1:26">
      <c r="A147" s="1" t="s">
        <v>142</v>
      </c>
      <c r="B147" s="1">
        <f>AVERAGE(B$3:B$144)</f>
        <v>0</v>
      </c>
      <c r="C147" s="1">
        <f>AVERAGE(C$3:C$144)</f>
        <v>0</v>
      </c>
      <c r="D147" s="1">
        <f>AVERAGE(D$3:D$144)</f>
        <v>0</v>
      </c>
      <c r="E147" s="1">
        <f>AVERAGE(E$3:E$144)</f>
        <v>0</v>
      </c>
      <c r="F147" s="1"/>
      <c r="G147" s="1">
        <f>AVERAGE(G$3:G$144)</f>
        <v>0</v>
      </c>
      <c r="H147" s="1">
        <f>AVERAGE(H$3:H$144)</f>
        <v>0</v>
      </c>
      <c r="I147" s="1">
        <f>AVERAGE(I$3:I$144)</f>
        <v>0</v>
      </c>
      <c r="J147" s="1">
        <f>AVERAGE(J$3:J$144)</f>
        <v>0</v>
      </c>
      <c r="K147" s="1">
        <f>AVERAGE(K$3:K$144)</f>
        <v>0</v>
      </c>
      <c r="L147" s="1">
        <f>AVERAGE(L$3:L$144)</f>
        <v>0</v>
      </c>
      <c r="M147" s="1">
        <f>AVERAGE(M$3:M$144)</f>
        <v>0</v>
      </c>
      <c r="N147" s="1">
        <f>AVERAGE(N$3:N$144)</f>
        <v>0</v>
      </c>
      <c r="O147" s="1">
        <f>AVERAGE(O$3:O$144)</f>
        <v>0</v>
      </c>
      <c r="P147" s="1">
        <f>AVERAGE(P$3:P$144)</f>
        <v>0</v>
      </c>
      <c r="Q147" s="1">
        <f>AVERAGE(Q$3:Q$144)</f>
        <v>0</v>
      </c>
      <c r="R147" s="1">
        <f>AVERAGE(R$3:R$144)</f>
        <v>0</v>
      </c>
      <c r="S147" s="1">
        <f>AVERAGE(S$3:S$144)</f>
        <v>0</v>
      </c>
      <c r="T147" s="1">
        <f>AVERAGE(T$3:T$144)</f>
        <v>0</v>
      </c>
      <c r="U147" s="1">
        <f>AVERAGE(U$3:U$144)</f>
        <v>0</v>
      </c>
      <c r="V147" s="1">
        <f>AVERAGE(V$3:V$144)</f>
        <v>0</v>
      </c>
      <c r="W147" s="1">
        <f>AVERAGE(W$3:W$144)</f>
        <v>0</v>
      </c>
      <c r="X147" s="1">
        <f>AVERAGE(X$3:X$144)</f>
        <v>0</v>
      </c>
      <c r="Y147" s="1">
        <f>AVERAGE(Y$3:Y$144)</f>
        <v>0</v>
      </c>
      <c r="Z147" s="1">
        <f>AVERAGE(Z$3:Z$144)</f>
        <v>0</v>
      </c>
    </row>
    <row r="148" spans="1:26">
      <c r="A148" s="1" t="s">
        <v>143</v>
      </c>
      <c r="B148" s="1">
        <f>STDEV(B$3:B$144)</f>
        <v>0</v>
      </c>
      <c r="C148" s="1">
        <f>STDEV(C$3:C$144)</f>
        <v>0</v>
      </c>
      <c r="D148" s="1">
        <f>STDEV(D$3:D$144)</f>
        <v>0</v>
      </c>
      <c r="E148" s="1">
        <f>STDEV(E$3:E$144)</f>
        <v>0</v>
      </c>
      <c r="F148" s="1"/>
      <c r="G148" s="1">
        <f>STDEV(G$3:G$144)</f>
        <v>0</v>
      </c>
      <c r="H148" s="1">
        <f>STDEV(H$3:H$144)</f>
        <v>0</v>
      </c>
      <c r="I148" s="1">
        <f>STDEV(I$3:I$144)</f>
        <v>0</v>
      </c>
      <c r="J148" s="1">
        <f>STDEV(J$3:J$144)</f>
        <v>0</v>
      </c>
      <c r="K148" s="1">
        <f>STDEV(K$3:K$144)</f>
        <v>0</v>
      </c>
      <c r="L148" s="1">
        <f>STDEV(L$3:L$144)</f>
        <v>0</v>
      </c>
      <c r="M148" s="1">
        <f>STDEV(M$3:M$144)</f>
        <v>0</v>
      </c>
      <c r="N148" s="1">
        <f>STDEV(N$3:N$144)</f>
        <v>0</v>
      </c>
      <c r="O148" s="1">
        <f>STDEV(O$3:O$144)</f>
        <v>0</v>
      </c>
      <c r="P148" s="1">
        <f>STDEV(P$3:P$144)</f>
        <v>0</v>
      </c>
      <c r="Q148" s="1">
        <f>STDEV(Q$3:Q$144)</f>
        <v>0</v>
      </c>
      <c r="R148" s="1">
        <f>STDEV(R$3:R$144)</f>
        <v>0</v>
      </c>
      <c r="S148" s="1">
        <f>STDEV(S$3:S$144)</f>
        <v>0</v>
      </c>
      <c r="T148" s="1">
        <f>STDEV(T$3:T$144)</f>
        <v>0</v>
      </c>
      <c r="U148" s="1">
        <f>STDEV(U$3:U$144)</f>
        <v>0</v>
      </c>
      <c r="V148" s="1">
        <f>STDEV(V$3:V$144)</f>
        <v>0</v>
      </c>
      <c r="W148" s="1">
        <f>STDEV(W$3:W$144)</f>
        <v>0</v>
      </c>
      <c r="X148" s="1">
        <f>STDEV(X$3:X$144)</f>
        <v>0</v>
      </c>
      <c r="Y148" s="1">
        <f>STDEV(Y$3:Y$144)</f>
        <v>0</v>
      </c>
      <c r="Z148" s="1">
        <f>STDEV(Z$3:Z$144)</f>
        <v>0</v>
      </c>
    </row>
    <row r="149" spans="1:26">
      <c r="A149" s="1" t="s">
        <v>144</v>
      </c>
      <c r="B149" s="1">
        <f>SUMPRODUCT(--(B$3:B$144-$I$3:$I$144)^2)^0.5</f>
        <v>0</v>
      </c>
      <c r="C149" s="1">
        <f>SUMPRODUCT(--(C$3:C$144-$J$3:$J$144)^2)^0.5</f>
        <v>0</v>
      </c>
      <c r="D149" s="1">
        <f>SUMPRODUCT(--(D$3:D$144-$K$3:$K$144)^2)^0.5</f>
        <v>0</v>
      </c>
      <c r="E149" s="1">
        <f>SUMPRODUCT(--(E$3:E$144-$L$3:$L$144)^2)^0.5</f>
        <v>0</v>
      </c>
      <c r="F149" s="1"/>
      <c r="G149" s="1">
        <f>SUMPRODUCT(--(G$3:G$144-$M$3:$M$144)^2)^0.5</f>
        <v>0</v>
      </c>
      <c r="H149" s="1">
        <f>SUMPRODUCT(--(H$3:H$144-$N$3:$N$144)^2)^0.5</f>
        <v>0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 t="s">
        <v>145</v>
      </c>
      <c r="B150" s="1">
        <f>SUMPRODUCT(NOT(ISBLANK(B$3:B$144))*(B$3:B$144=$I$3:$I$144))</f>
        <v>0</v>
      </c>
      <c r="C150" s="1">
        <f>SUMPRODUCT(NOT(ISBLANK(C$3:C$144))*(C$3:C$144=$J$3:$J$144))</f>
        <v>0</v>
      </c>
      <c r="D150" s="1">
        <f>SUMPRODUCT(NOT(ISBLANK(D$3:D$144))*(D$3:D$144=$K$3:$K$144))</f>
        <v>0</v>
      </c>
      <c r="E150" s="1">
        <f>SUMPRODUCT(NOT(ISBLANK(E$3:E$144))*(E$3:E$144=$L$3:$L$144))</f>
        <v>0</v>
      </c>
      <c r="F150" s="1"/>
      <c r="G150" s="1">
        <f>SUMPRODUCT(NOT(ISBLANK(G$3:G$144))*(G$3:G$144=$M$3:$M$144))</f>
        <v>0</v>
      </c>
      <c r="H150" s="1">
        <f>SUMPRODUCT(NOT(ISBLANK(H$3:H$144))*(H$3:H$144=$N$3:$N$144))</f>
        <v>0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 t="s">
        <v>146</v>
      </c>
      <c r="B151" s="1">
        <f>SUMPRODUCT(NOT(ISBLANK(B$3:B$144))*(B$3:B$144&lt;$O$3:$O$144))</f>
        <v>0</v>
      </c>
      <c r="C151" s="1">
        <f>SUMPRODUCT(NOT(ISBLANK(C$3:C$144))*(C$3:C$144&lt;$P$3:$P$144))</f>
        <v>0</v>
      </c>
      <c r="D151" s="1">
        <f>SUMPRODUCT(NOT(ISBLANK(D$3:D$144))*(D$3:D$144&lt;$Q$3:$Q$144))</f>
        <v>0</v>
      </c>
      <c r="E151" s="1">
        <f>SUMPRODUCT(NOT(ISBLANK(E$3:E$144))*(E$3:E$144&lt;$R$3:$R$144))</f>
        <v>0</v>
      </c>
      <c r="F151" s="1"/>
      <c r="G151" s="1">
        <f>SUMPRODUCT(NOT(ISBLANK(G$3:G$144))*(G$3:G$144&lt;$S$3:$S$144))</f>
        <v>0</v>
      </c>
      <c r="H151" s="1">
        <f>SUMPRODUCT(NOT(ISBLANK(H$3:H$144))*(H$3:H$144&lt;$T$3:$T$144))</f>
        <v>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 t="s">
        <v>147</v>
      </c>
      <c r="B152" s="1">
        <f>SUMPRODUCT((NOT(ISBLANK(B$3:B$144))*(B$3:B$144&gt;$O$3:$O$144))+ISBLANK(B$3:B$144))</f>
        <v>0</v>
      </c>
      <c r="C152" s="1">
        <f>SUMPRODUCT((NOT(ISBLANK(C$3:C$144))*(C$3:C$144&gt;$P$3:$P$144))+ISBLANK(C$3:C$144))</f>
        <v>0</v>
      </c>
      <c r="D152" s="1">
        <f>SUMPRODUCT((NOT(ISBLANK(D$3:D$144))*(D$3:D$144&gt;$Q$3:$Q$144))+ISBLANK(D$3:D$144))</f>
        <v>0</v>
      </c>
      <c r="E152" s="1">
        <f>SUMPRODUCT((NOT(ISBLANK(E$3:E$144))*(E$3:E$144&gt;$R$3:$R$144))+ISBLANK(E$3:E$144))</f>
        <v>0</v>
      </c>
      <c r="F152" s="1"/>
      <c r="G152" s="1">
        <f>SUMPRODUCT((NOT(ISBLANK(G$3:G$144))*(G$3:G$144&gt;$S$3:$S$144))+ISBLANK(G$3:G$144))</f>
        <v>0</v>
      </c>
      <c r="H152" s="1">
        <f>SUMPRODUCT((NOT(ISBLANK(H$3:H$144))*(H$3:H$144&gt;$T$3:$T$144))+ISBLANK(H$3:H$144))</f>
        <v>0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 t="s">
        <v>148</v>
      </c>
      <c r="B153" s="1">
        <f>SUMPRODUCT((NOT(ISBLANK(B$3:B$144))*(B$3:B$144=$U$3:$U$144))+ISBLANK(B$3:B$144))</f>
        <v>0</v>
      </c>
      <c r="C153" s="1">
        <f>SUMPRODUCT((NOT(ISBLANK(C$3:C$144))*(C$3:C$144=$V$3:$V$144))+ISBLANK(C$3:C$144))</f>
        <v>0</v>
      </c>
      <c r="D153" s="1">
        <f>SUMPRODUCT((NOT(ISBLANK(D$3:D$144))*(D$3:D$144=$W$3:$W$144))+ISBLANK(D$3:D$144))</f>
        <v>0</v>
      </c>
      <c r="E153" s="1">
        <f>SUMPRODUCT((NOT(ISBLANK(E$3:E$144))*(E$3:E$144=$X$3:$X$144))+ISBLANK(E$3:E$144))</f>
        <v>0</v>
      </c>
      <c r="F153" s="1"/>
      <c r="G153" s="1">
        <f>SUMPRODUCT((NOT(ISBLANK(G$3:G$144))*(G$3:G$144=$Y$3:$Y$144))+ISBLANK(G$3:G$144))</f>
        <v>0</v>
      </c>
      <c r="H153" s="1">
        <f>SUMPRODUCT((NOT(ISBLANK(H$3:H$144))*(H$3:H$144=$Z$3:$Z$144))+ISBLANK(H$3:H$144))</f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Z15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0.140625" customWidth="1"/>
    <col min="2" max="26" width="11.42578125" customWidth="1"/>
  </cols>
  <sheetData>
    <row r="1" spans="1:26">
      <c r="A1" s="1" t="s">
        <v>163</v>
      </c>
      <c r="B1" s="1" t="s">
        <v>149</v>
      </c>
      <c r="C1" s="1"/>
      <c r="D1" s="1"/>
      <c r="E1" s="1"/>
      <c r="F1" s="1"/>
      <c r="G1" s="1"/>
      <c r="H1" s="1"/>
      <c r="I1" s="1" t="s">
        <v>160</v>
      </c>
      <c r="J1" s="1"/>
      <c r="K1" s="1"/>
      <c r="L1" s="1"/>
      <c r="M1" s="1"/>
      <c r="N1" s="1"/>
      <c r="O1" s="1" t="s">
        <v>161</v>
      </c>
      <c r="P1" s="1"/>
      <c r="Q1" s="1"/>
      <c r="R1" s="1"/>
      <c r="S1" s="1"/>
      <c r="T1" s="1"/>
      <c r="U1" s="1" t="s">
        <v>162</v>
      </c>
      <c r="V1" s="1"/>
      <c r="W1" s="1"/>
      <c r="X1" s="1"/>
      <c r="Y1" s="1"/>
      <c r="Z1" s="1"/>
    </row>
    <row r="2" spans="1:26">
      <c r="A2" s="2" t="s">
        <v>161</v>
      </c>
      <c r="B2" s="1" t="s">
        <v>150</v>
      </c>
      <c r="C2" s="1" t="s">
        <v>151</v>
      </c>
      <c r="D2" s="1" t="s">
        <v>152</v>
      </c>
      <c r="E2" s="1" t="s">
        <v>153</v>
      </c>
      <c r="F2" s="1" t="s">
        <v>154</v>
      </c>
      <c r="G2" s="1" t="s">
        <v>158</v>
      </c>
      <c r="H2" s="1" t="s">
        <v>159</v>
      </c>
      <c r="I2" s="1" t="s">
        <v>150</v>
      </c>
      <c r="J2" s="1" t="s">
        <v>151</v>
      </c>
      <c r="K2" s="1" t="s">
        <v>152</v>
      </c>
      <c r="L2" s="1" t="s">
        <v>153</v>
      </c>
      <c r="M2" s="1" t="s">
        <v>158</v>
      </c>
      <c r="N2" s="1" t="s">
        <v>159</v>
      </c>
      <c r="O2" s="1" t="s">
        <v>150</v>
      </c>
      <c r="P2" s="1" t="s">
        <v>151</v>
      </c>
      <c r="Q2" s="1" t="s">
        <v>152</v>
      </c>
      <c r="R2" s="1" t="s">
        <v>153</v>
      </c>
      <c r="S2" s="1" t="s">
        <v>158</v>
      </c>
      <c r="T2" s="1" t="s">
        <v>159</v>
      </c>
      <c r="U2" s="1" t="s">
        <v>150</v>
      </c>
      <c r="V2" s="1" t="s">
        <v>151</v>
      </c>
      <c r="W2" s="1" t="s">
        <v>152</v>
      </c>
      <c r="X2" s="1" t="s">
        <v>153</v>
      </c>
      <c r="Y2" s="1" t="s">
        <v>158</v>
      </c>
      <c r="Z2" s="1" t="s">
        <v>159</v>
      </c>
    </row>
    <row r="3" spans="1:26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/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>
        <f>MIN($B3)</f>
        <v>0</v>
      </c>
      <c r="J3" s="1">
        <f>MIN($C3)</f>
        <v>0</v>
      </c>
      <c r="K3" s="1">
        <f>MIN($D3)</f>
        <v>0</v>
      </c>
      <c r="L3" s="1">
        <f>MIN($E3)</f>
        <v>0</v>
      </c>
      <c r="M3" s="1">
        <f>MIN($G3)</f>
        <v>0</v>
      </c>
      <c r="N3" s="1">
        <f>MIN($H3)</f>
        <v>0</v>
      </c>
      <c r="O3" s="1">
        <f>MEDIAN($B3)</f>
        <v>0</v>
      </c>
      <c r="P3" s="1">
        <f>MEDIAN($C3)</f>
        <v>0</v>
      </c>
      <c r="Q3" s="1">
        <f>MEDIAN($D3)</f>
        <v>0</v>
      </c>
      <c r="R3" s="1">
        <f>MEDIAN($E3)</f>
        <v>0</v>
      </c>
      <c r="S3" s="1">
        <f>MEDIAN($G3)</f>
        <v>0</v>
      </c>
      <c r="T3" s="1">
        <f>MEDIAN($H3)</f>
        <v>0</v>
      </c>
      <c r="U3" s="1">
        <f>MAX($B3)</f>
        <v>0</v>
      </c>
      <c r="V3" s="1">
        <f>MAX($C3)</f>
        <v>0</v>
      </c>
      <c r="W3" s="1">
        <f>MAX($D3)</f>
        <v>0</v>
      </c>
      <c r="X3" s="1">
        <f>MAX($E3)</f>
        <v>0</v>
      </c>
      <c r="Y3" s="1">
        <f>MAX($G3)</f>
        <v>0</v>
      </c>
      <c r="Z3" s="1">
        <f>MAX($H3)</f>
        <v>0</v>
      </c>
    </row>
    <row r="4" spans="1:26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/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>
        <f>MIN($B4)</f>
        <v>0</v>
      </c>
      <c r="J4" s="1">
        <f>MIN($C4)</f>
        <v>0</v>
      </c>
      <c r="K4" s="1">
        <f>MIN($D4)</f>
        <v>0</v>
      </c>
      <c r="L4" s="1">
        <f>MIN($E4)</f>
        <v>0</v>
      </c>
      <c r="M4" s="1">
        <f>MIN($G4)</f>
        <v>0</v>
      </c>
      <c r="N4" s="1">
        <f>MIN($H4)</f>
        <v>0</v>
      </c>
      <c r="O4" s="1">
        <f>MEDIAN($B4)</f>
        <v>0</v>
      </c>
      <c r="P4" s="1">
        <f>MEDIAN($C4)</f>
        <v>0</v>
      </c>
      <c r="Q4" s="1">
        <f>MEDIAN($D4)</f>
        <v>0</v>
      </c>
      <c r="R4" s="1">
        <f>MEDIAN($E4)</f>
        <v>0</v>
      </c>
      <c r="S4" s="1">
        <f>MEDIAN($G4)</f>
        <v>0</v>
      </c>
      <c r="T4" s="1">
        <f>MEDIAN($H4)</f>
        <v>0</v>
      </c>
      <c r="U4" s="1">
        <f>MAX($B4)</f>
        <v>0</v>
      </c>
      <c r="V4" s="1">
        <f>MAX($C4)</f>
        <v>0</v>
      </c>
      <c r="W4" s="1">
        <f>MAX($D4)</f>
        <v>0</v>
      </c>
      <c r="X4" s="1">
        <f>MAX($E4)</f>
        <v>0</v>
      </c>
      <c r="Y4" s="1">
        <f>MAX($G4)</f>
        <v>0</v>
      </c>
      <c r="Z4" s="1">
        <f>MAX($H4)</f>
        <v>0</v>
      </c>
    </row>
    <row r="5" spans="1:26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/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>
        <f>MIN($B5)</f>
        <v>0</v>
      </c>
      <c r="J5" s="1">
        <f>MIN($C5)</f>
        <v>0</v>
      </c>
      <c r="K5" s="1">
        <f>MIN($D5)</f>
        <v>0</v>
      </c>
      <c r="L5" s="1">
        <f>MIN($E5)</f>
        <v>0</v>
      </c>
      <c r="M5" s="1">
        <f>MIN($G5)</f>
        <v>0</v>
      </c>
      <c r="N5" s="1">
        <f>MIN($H5)</f>
        <v>0</v>
      </c>
      <c r="O5" s="1">
        <f>MEDIAN($B5)</f>
        <v>0</v>
      </c>
      <c r="P5" s="1">
        <f>MEDIAN($C5)</f>
        <v>0</v>
      </c>
      <c r="Q5" s="1">
        <f>MEDIAN($D5)</f>
        <v>0</v>
      </c>
      <c r="R5" s="1">
        <f>MEDIAN($E5)</f>
        <v>0</v>
      </c>
      <c r="S5" s="1">
        <f>MEDIAN($G5)</f>
        <v>0</v>
      </c>
      <c r="T5" s="1">
        <f>MEDIAN($H5)</f>
        <v>0</v>
      </c>
      <c r="U5" s="1">
        <f>MAX($B5)</f>
        <v>0</v>
      </c>
      <c r="V5" s="1">
        <f>MAX($C5)</f>
        <v>0</v>
      </c>
      <c r="W5" s="1">
        <f>MAX($D5)</f>
        <v>0</v>
      </c>
      <c r="X5" s="1">
        <f>MAX($E5)</f>
        <v>0</v>
      </c>
      <c r="Y5" s="1">
        <f>MAX($G5)</f>
        <v>0</v>
      </c>
      <c r="Z5" s="1">
        <f>MAX($H5)</f>
        <v>0</v>
      </c>
    </row>
    <row r="6" spans="1:26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/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>
        <f>MIN($B6)</f>
        <v>0</v>
      </c>
      <c r="J6" s="1">
        <f>MIN($C6)</f>
        <v>0</v>
      </c>
      <c r="K6" s="1">
        <f>MIN($D6)</f>
        <v>0</v>
      </c>
      <c r="L6" s="1">
        <f>MIN($E6)</f>
        <v>0</v>
      </c>
      <c r="M6" s="1">
        <f>MIN($G6)</f>
        <v>0</v>
      </c>
      <c r="N6" s="1">
        <f>MIN($H6)</f>
        <v>0</v>
      </c>
      <c r="O6" s="1">
        <f>MEDIAN($B6)</f>
        <v>0</v>
      </c>
      <c r="P6" s="1">
        <f>MEDIAN($C6)</f>
        <v>0</v>
      </c>
      <c r="Q6" s="1">
        <f>MEDIAN($D6)</f>
        <v>0</v>
      </c>
      <c r="R6" s="1">
        <f>MEDIAN($E6)</f>
        <v>0</v>
      </c>
      <c r="S6" s="1">
        <f>MEDIAN($G6)</f>
        <v>0</v>
      </c>
      <c r="T6" s="1">
        <f>MEDIAN($H6)</f>
        <v>0</v>
      </c>
      <c r="U6" s="1">
        <f>MAX($B6)</f>
        <v>0</v>
      </c>
      <c r="V6" s="1">
        <f>MAX($C6)</f>
        <v>0</v>
      </c>
      <c r="W6" s="1">
        <f>MAX($D6)</f>
        <v>0</v>
      </c>
      <c r="X6" s="1">
        <f>MAX($E6)</f>
        <v>0</v>
      </c>
      <c r="Y6" s="1">
        <f>MAX($G6)</f>
        <v>0</v>
      </c>
      <c r="Z6" s="1">
        <f>MAX($H6)</f>
        <v>0</v>
      </c>
    </row>
    <row r="7" spans="1:26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/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>
        <f>MIN($B7)</f>
        <v>0</v>
      </c>
      <c r="J7" s="1">
        <f>MIN($C7)</f>
        <v>0</v>
      </c>
      <c r="K7" s="1">
        <f>MIN($D7)</f>
        <v>0</v>
      </c>
      <c r="L7" s="1">
        <f>MIN($E7)</f>
        <v>0</v>
      </c>
      <c r="M7" s="1">
        <f>MIN($G7)</f>
        <v>0</v>
      </c>
      <c r="N7" s="1">
        <f>MIN($H7)</f>
        <v>0</v>
      </c>
      <c r="O7" s="1">
        <f>MEDIAN($B7)</f>
        <v>0</v>
      </c>
      <c r="P7" s="1">
        <f>MEDIAN($C7)</f>
        <v>0</v>
      </c>
      <c r="Q7" s="1">
        <f>MEDIAN($D7)</f>
        <v>0</v>
      </c>
      <c r="R7" s="1">
        <f>MEDIAN($E7)</f>
        <v>0</v>
      </c>
      <c r="S7" s="1">
        <f>MEDIAN($G7)</f>
        <v>0</v>
      </c>
      <c r="T7" s="1">
        <f>MEDIAN($H7)</f>
        <v>0</v>
      </c>
      <c r="U7" s="1">
        <f>MAX($B7)</f>
        <v>0</v>
      </c>
      <c r="V7" s="1">
        <f>MAX($C7)</f>
        <v>0</v>
      </c>
      <c r="W7" s="1">
        <f>MAX($D7)</f>
        <v>0</v>
      </c>
      <c r="X7" s="1">
        <f>MAX($E7)</f>
        <v>0</v>
      </c>
      <c r="Y7" s="1">
        <f>MAX($G7)</f>
        <v>0</v>
      </c>
      <c r="Z7" s="1">
        <f>MAX($H7)</f>
        <v>0</v>
      </c>
    </row>
    <row r="8" spans="1:26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/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>
        <f>MIN($B8)</f>
        <v>0</v>
      </c>
      <c r="J8" s="1">
        <f>MIN($C8)</f>
        <v>0</v>
      </c>
      <c r="K8" s="1">
        <f>MIN($D8)</f>
        <v>0</v>
      </c>
      <c r="L8" s="1">
        <f>MIN($E8)</f>
        <v>0</v>
      </c>
      <c r="M8" s="1">
        <f>MIN($G8)</f>
        <v>0</v>
      </c>
      <c r="N8" s="1">
        <f>MIN($H8)</f>
        <v>0</v>
      </c>
      <c r="O8" s="1">
        <f>MEDIAN($B8)</f>
        <v>0</v>
      </c>
      <c r="P8" s="1">
        <f>MEDIAN($C8)</f>
        <v>0</v>
      </c>
      <c r="Q8" s="1">
        <f>MEDIAN($D8)</f>
        <v>0</v>
      </c>
      <c r="R8" s="1">
        <f>MEDIAN($E8)</f>
        <v>0</v>
      </c>
      <c r="S8" s="1">
        <f>MEDIAN($G8)</f>
        <v>0</v>
      </c>
      <c r="T8" s="1">
        <f>MEDIAN($H8)</f>
        <v>0</v>
      </c>
      <c r="U8" s="1">
        <f>MAX($B8)</f>
        <v>0</v>
      </c>
      <c r="V8" s="1">
        <f>MAX($C8)</f>
        <v>0</v>
      </c>
      <c r="W8" s="1">
        <f>MAX($D8)</f>
        <v>0</v>
      </c>
      <c r="X8" s="1">
        <f>MAX($E8)</f>
        <v>0</v>
      </c>
      <c r="Y8" s="1">
        <f>MAX($G8)</f>
        <v>0</v>
      </c>
      <c r="Z8" s="1">
        <f>MAX($H8)</f>
        <v>0</v>
      </c>
    </row>
    <row r="9" spans="1:26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/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>
        <f>MIN($B9)</f>
        <v>0</v>
      </c>
      <c r="J9" s="1">
        <f>MIN($C9)</f>
        <v>0</v>
      </c>
      <c r="K9" s="1">
        <f>MIN($D9)</f>
        <v>0</v>
      </c>
      <c r="L9" s="1">
        <f>MIN($E9)</f>
        <v>0</v>
      </c>
      <c r="M9" s="1">
        <f>MIN($G9)</f>
        <v>0</v>
      </c>
      <c r="N9" s="1">
        <f>MIN($H9)</f>
        <v>0</v>
      </c>
      <c r="O9" s="1">
        <f>MEDIAN($B9)</f>
        <v>0</v>
      </c>
      <c r="P9" s="1">
        <f>MEDIAN($C9)</f>
        <v>0</v>
      </c>
      <c r="Q9" s="1">
        <f>MEDIAN($D9)</f>
        <v>0</v>
      </c>
      <c r="R9" s="1">
        <f>MEDIAN($E9)</f>
        <v>0</v>
      </c>
      <c r="S9" s="1">
        <f>MEDIAN($G9)</f>
        <v>0</v>
      </c>
      <c r="T9" s="1">
        <f>MEDIAN($H9)</f>
        <v>0</v>
      </c>
      <c r="U9" s="1">
        <f>MAX($B9)</f>
        <v>0</v>
      </c>
      <c r="V9" s="1">
        <f>MAX($C9)</f>
        <v>0</v>
      </c>
      <c r="W9" s="1">
        <f>MAX($D9)</f>
        <v>0</v>
      </c>
      <c r="X9" s="1">
        <f>MAX($E9)</f>
        <v>0</v>
      </c>
      <c r="Y9" s="1">
        <f>MAX($G9)</f>
        <v>0</v>
      </c>
      <c r="Z9" s="1">
        <f>MAX($H9)</f>
        <v>0</v>
      </c>
    </row>
    <row r="10" spans="1:26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/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>
        <f>MIN($B10)</f>
        <v>0</v>
      </c>
      <c r="J10" s="1">
        <f>MIN($C10)</f>
        <v>0</v>
      </c>
      <c r="K10" s="1">
        <f>MIN($D10)</f>
        <v>0</v>
      </c>
      <c r="L10" s="1">
        <f>MIN($E10)</f>
        <v>0</v>
      </c>
      <c r="M10" s="1">
        <f>MIN($G10)</f>
        <v>0</v>
      </c>
      <c r="N10" s="1">
        <f>MIN($H10)</f>
        <v>0</v>
      </c>
      <c r="O10" s="1">
        <f>MEDIAN($B10)</f>
        <v>0</v>
      </c>
      <c r="P10" s="1">
        <f>MEDIAN($C10)</f>
        <v>0</v>
      </c>
      <c r="Q10" s="1">
        <f>MEDIAN($D10)</f>
        <v>0</v>
      </c>
      <c r="R10" s="1">
        <f>MEDIAN($E10)</f>
        <v>0</v>
      </c>
      <c r="S10" s="1">
        <f>MEDIAN($G10)</f>
        <v>0</v>
      </c>
      <c r="T10" s="1">
        <f>MEDIAN($H10)</f>
        <v>0</v>
      </c>
      <c r="U10" s="1">
        <f>MAX($B10)</f>
        <v>0</v>
      </c>
      <c r="V10" s="1">
        <f>MAX($C10)</f>
        <v>0</v>
      </c>
      <c r="W10" s="1">
        <f>MAX($D10)</f>
        <v>0</v>
      </c>
      <c r="X10" s="1">
        <f>MAX($E10)</f>
        <v>0</v>
      </c>
      <c r="Y10" s="1">
        <f>MAX($G10)</f>
        <v>0</v>
      </c>
      <c r="Z10" s="1">
        <f>MAX($H10)</f>
        <v>0</v>
      </c>
    </row>
    <row r="11" spans="1:26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/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>
        <f>MIN($B11)</f>
        <v>0</v>
      </c>
      <c r="J11" s="1">
        <f>MIN($C11)</f>
        <v>0</v>
      </c>
      <c r="K11" s="1">
        <f>MIN($D11)</f>
        <v>0</v>
      </c>
      <c r="L11" s="1">
        <f>MIN($E11)</f>
        <v>0</v>
      </c>
      <c r="M11" s="1">
        <f>MIN($G11)</f>
        <v>0</v>
      </c>
      <c r="N11" s="1">
        <f>MIN($H11)</f>
        <v>0</v>
      </c>
      <c r="O11" s="1">
        <f>MEDIAN($B11)</f>
        <v>0</v>
      </c>
      <c r="P11" s="1">
        <f>MEDIAN($C11)</f>
        <v>0</v>
      </c>
      <c r="Q11" s="1">
        <f>MEDIAN($D11)</f>
        <v>0</v>
      </c>
      <c r="R11" s="1">
        <f>MEDIAN($E11)</f>
        <v>0</v>
      </c>
      <c r="S11" s="1">
        <f>MEDIAN($G11)</f>
        <v>0</v>
      </c>
      <c r="T11" s="1">
        <f>MEDIAN($H11)</f>
        <v>0</v>
      </c>
      <c r="U11" s="1">
        <f>MAX($B11)</f>
        <v>0</v>
      </c>
      <c r="V11" s="1">
        <f>MAX($C11)</f>
        <v>0</v>
      </c>
      <c r="W11" s="1">
        <f>MAX($D11)</f>
        <v>0</v>
      </c>
      <c r="X11" s="1">
        <f>MAX($E11)</f>
        <v>0</v>
      </c>
      <c r="Y11" s="1">
        <f>MAX($G11)</f>
        <v>0</v>
      </c>
      <c r="Z11" s="1">
        <f>MAX($H11)</f>
        <v>0</v>
      </c>
    </row>
    <row r="12" spans="1:26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/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>
        <f>MIN($B12)</f>
        <v>0</v>
      </c>
      <c r="J12" s="1">
        <f>MIN($C12)</f>
        <v>0</v>
      </c>
      <c r="K12" s="1">
        <f>MIN($D12)</f>
        <v>0</v>
      </c>
      <c r="L12" s="1">
        <f>MIN($E12)</f>
        <v>0</v>
      </c>
      <c r="M12" s="1">
        <f>MIN($G12)</f>
        <v>0</v>
      </c>
      <c r="N12" s="1">
        <f>MIN($H12)</f>
        <v>0</v>
      </c>
      <c r="O12" s="1">
        <f>MEDIAN($B12)</f>
        <v>0</v>
      </c>
      <c r="P12" s="1">
        <f>MEDIAN($C12)</f>
        <v>0</v>
      </c>
      <c r="Q12" s="1">
        <f>MEDIAN($D12)</f>
        <v>0</v>
      </c>
      <c r="R12" s="1">
        <f>MEDIAN($E12)</f>
        <v>0</v>
      </c>
      <c r="S12" s="1">
        <f>MEDIAN($G12)</f>
        <v>0</v>
      </c>
      <c r="T12" s="1">
        <f>MEDIAN($H12)</f>
        <v>0</v>
      </c>
      <c r="U12" s="1">
        <f>MAX($B12)</f>
        <v>0</v>
      </c>
      <c r="V12" s="1">
        <f>MAX($C12)</f>
        <v>0</v>
      </c>
      <c r="W12" s="1">
        <f>MAX($D12)</f>
        <v>0</v>
      </c>
      <c r="X12" s="1">
        <f>MAX($E12)</f>
        <v>0</v>
      </c>
      <c r="Y12" s="1">
        <f>MAX($G12)</f>
        <v>0</v>
      </c>
      <c r="Z12" s="1">
        <f>MAX($H12)</f>
        <v>0</v>
      </c>
    </row>
    <row r="13" spans="1:26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/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>
        <f>MIN($B13)</f>
        <v>0</v>
      </c>
      <c r="J13" s="1">
        <f>MIN($C13)</f>
        <v>0</v>
      </c>
      <c r="K13" s="1">
        <f>MIN($D13)</f>
        <v>0</v>
      </c>
      <c r="L13" s="1">
        <f>MIN($E13)</f>
        <v>0</v>
      </c>
      <c r="M13" s="1">
        <f>MIN($G13)</f>
        <v>0</v>
      </c>
      <c r="N13" s="1">
        <f>MIN($H13)</f>
        <v>0</v>
      </c>
      <c r="O13" s="1">
        <f>MEDIAN($B13)</f>
        <v>0</v>
      </c>
      <c r="P13" s="1">
        <f>MEDIAN($C13)</f>
        <v>0</v>
      </c>
      <c r="Q13" s="1">
        <f>MEDIAN($D13)</f>
        <v>0</v>
      </c>
      <c r="R13" s="1">
        <f>MEDIAN($E13)</f>
        <v>0</v>
      </c>
      <c r="S13" s="1">
        <f>MEDIAN($G13)</f>
        <v>0</v>
      </c>
      <c r="T13" s="1">
        <f>MEDIAN($H13)</f>
        <v>0</v>
      </c>
      <c r="U13" s="1">
        <f>MAX($B13)</f>
        <v>0</v>
      </c>
      <c r="V13" s="1">
        <f>MAX($C13)</f>
        <v>0</v>
      </c>
      <c r="W13" s="1">
        <f>MAX($D13)</f>
        <v>0</v>
      </c>
      <c r="X13" s="1">
        <f>MAX($E13)</f>
        <v>0</v>
      </c>
      <c r="Y13" s="1">
        <f>MAX($G13)</f>
        <v>0</v>
      </c>
      <c r="Z13" s="1">
        <f>MAX($H13)</f>
        <v>0</v>
      </c>
    </row>
    <row r="14" spans="1:26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/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>
        <f>MIN($B14)</f>
        <v>0</v>
      </c>
      <c r="J14" s="1">
        <f>MIN($C14)</f>
        <v>0</v>
      </c>
      <c r="K14" s="1">
        <f>MIN($D14)</f>
        <v>0</v>
      </c>
      <c r="L14" s="1">
        <f>MIN($E14)</f>
        <v>0</v>
      </c>
      <c r="M14" s="1">
        <f>MIN($G14)</f>
        <v>0</v>
      </c>
      <c r="N14" s="1">
        <f>MIN($H14)</f>
        <v>0</v>
      </c>
      <c r="O14" s="1">
        <f>MEDIAN($B14)</f>
        <v>0</v>
      </c>
      <c r="P14" s="1">
        <f>MEDIAN($C14)</f>
        <v>0</v>
      </c>
      <c r="Q14" s="1">
        <f>MEDIAN($D14)</f>
        <v>0</v>
      </c>
      <c r="R14" s="1">
        <f>MEDIAN($E14)</f>
        <v>0</v>
      </c>
      <c r="S14" s="1">
        <f>MEDIAN($G14)</f>
        <v>0</v>
      </c>
      <c r="T14" s="1">
        <f>MEDIAN($H14)</f>
        <v>0</v>
      </c>
      <c r="U14" s="1">
        <f>MAX($B14)</f>
        <v>0</v>
      </c>
      <c r="V14" s="1">
        <f>MAX($C14)</f>
        <v>0</v>
      </c>
      <c r="W14" s="1">
        <f>MAX($D14)</f>
        <v>0</v>
      </c>
      <c r="X14" s="1">
        <f>MAX($E14)</f>
        <v>0</v>
      </c>
      <c r="Y14" s="1">
        <f>MAX($G14)</f>
        <v>0</v>
      </c>
      <c r="Z14" s="1">
        <f>MAX($H14)</f>
        <v>0</v>
      </c>
    </row>
    <row r="15" spans="1:26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/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>
        <f>MIN($B15)</f>
        <v>0</v>
      </c>
      <c r="J15" s="1">
        <f>MIN($C15)</f>
        <v>0</v>
      </c>
      <c r="K15" s="1">
        <f>MIN($D15)</f>
        <v>0</v>
      </c>
      <c r="L15" s="1">
        <f>MIN($E15)</f>
        <v>0</v>
      </c>
      <c r="M15" s="1">
        <f>MIN($G15)</f>
        <v>0</v>
      </c>
      <c r="N15" s="1">
        <f>MIN($H15)</f>
        <v>0</v>
      </c>
      <c r="O15" s="1">
        <f>MEDIAN($B15)</f>
        <v>0</v>
      </c>
      <c r="P15" s="1">
        <f>MEDIAN($C15)</f>
        <v>0</v>
      </c>
      <c r="Q15" s="1">
        <f>MEDIAN($D15)</f>
        <v>0</v>
      </c>
      <c r="R15" s="1">
        <f>MEDIAN($E15)</f>
        <v>0</v>
      </c>
      <c r="S15" s="1">
        <f>MEDIAN($G15)</f>
        <v>0</v>
      </c>
      <c r="T15" s="1">
        <f>MEDIAN($H15)</f>
        <v>0</v>
      </c>
      <c r="U15" s="1">
        <f>MAX($B15)</f>
        <v>0</v>
      </c>
      <c r="V15" s="1">
        <f>MAX($C15)</f>
        <v>0</v>
      </c>
      <c r="W15" s="1">
        <f>MAX($D15)</f>
        <v>0</v>
      </c>
      <c r="X15" s="1">
        <f>MAX($E15)</f>
        <v>0</v>
      </c>
      <c r="Y15" s="1">
        <f>MAX($G15)</f>
        <v>0</v>
      </c>
      <c r="Z15" s="1">
        <f>MAX($H15)</f>
        <v>0</v>
      </c>
    </row>
    <row r="16" spans="1:26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/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>
        <f>MIN($B16)</f>
        <v>0</v>
      </c>
      <c r="J16" s="1">
        <f>MIN($C16)</f>
        <v>0</v>
      </c>
      <c r="K16" s="1">
        <f>MIN($D16)</f>
        <v>0</v>
      </c>
      <c r="L16" s="1">
        <f>MIN($E16)</f>
        <v>0</v>
      </c>
      <c r="M16" s="1">
        <f>MIN($G16)</f>
        <v>0</v>
      </c>
      <c r="N16" s="1">
        <f>MIN($H16)</f>
        <v>0</v>
      </c>
      <c r="O16" s="1">
        <f>MEDIAN($B16)</f>
        <v>0</v>
      </c>
      <c r="P16" s="1">
        <f>MEDIAN($C16)</f>
        <v>0</v>
      </c>
      <c r="Q16" s="1">
        <f>MEDIAN($D16)</f>
        <v>0</v>
      </c>
      <c r="R16" s="1">
        <f>MEDIAN($E16)</f>
        <v>0</v>
      </c>
      <c r="S16" s="1">
        <f>MEDIAN($G16)</f>
        <v>0</v>
      </c>
      <c r="T16" s="1">
        <f>MEDIAN($H16)</f>
        <v>0</v>
      </c>
      <c r="U16" s="1">
        <f>MAX($B16)</f>
        <v>0</v>
      </c>
      <c r="V16" s="1">
        <f>MAX($C16)</f>
        <v>0</v>
      </c>
      <c r="W16" s="1">
        <f>MAX($D16)</f>
        <v>0</v>
      </c>
      <c r="X16" s="1">
        <f>MAX($E16)</f>
        <v>0</v>
      </c>
      <c r="Y16" s="1">
        <f>MAX($G16)</f>
        <v>0</v>
      </c>
      <c r="Z16" s="1">
        <f>MAX($H16)</f>
        <v>0</v>
      </c>
    </row>
    <row r="17" spans="1:26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/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>
        <f>MIN($B17)</f>
        <v>0</v>
      </c>
      <c r="J17" s="1">
        <f>MIN($C17)</f>
        <v>0</v>
      </c>
      <c r="K17" s="1">
        <f>MIN($D17)</f>
        <v>0</v>
      </c>
      <c r="L17" s="1">
        <f>MIN($E17)</f>
        <v>0</v>
      </c>
      <c r="M17" s="1">
        <f>MIN($G17)</f>
        <v>0</v>
      </c>
      <c r="N17" s="1">
        <f>MIN($H17)</f>
        <v>0</v>
      </c>
      <c r="O17" s="1">
        <f>MEDIAN($B17)</f>
        <v>0</v>
      </c>
      <c r="P17" s="1">
        <f>MEDIAN($C17)</f>
        <v>0</v>
      </c>
      <c r="Q17" s="1">
        <f>MEDIAN($D17)</f>
        <v>0</v>
      </c>
      <c r="R17" s="1">
        <f>MEDIAN($E17)</f>
        <v>0</v>
      </c>
      <c r="S17" s="1">
        <f>MEDIAN($G17)</f>
        <v>0</v>
      </c>
      <c r="T17" s="1">
        <f>MEDIAN($H17)</f>
        <v>0</v>
      </c>
      <c r="U17" s="1">
        <f>MAX($B17)</f>
        <v>0</v>
      </c>
      <c r="V17" s="1">
        <f>MAX($C17)</f>
        <v>0</v>
      </c>
      <c r="W17" s="1">
        <f>MAX($D17)</f>
        <v>0</v>
      </c>
      <c r="X17" s="1">
        <f>MAX($E17)</f>
        <v>0</v>
      </c>
      <c r="Y17" s="1">
        <f>MAX($G17)</f>
        <v>0</v>
      </c>
      <c r="Z17" s="1">
        <f>MAX($H17)</f>
        <v>0</v>
      </c>
    </row>
    <row r="18" spans="1:26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/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>
        <f>MIN($B18)</f>
        <v>0</v>
      </c>
      <c r="J18" s="1">
        <f>MIN($C18)</f>
        <v>0</v>
      </c>
      <c r="K18" s="1">
        <f>MIN($D18)</f>
        <v>0</v>
      </c>
      <c r="L18" s="1">
        <f>MIN($E18)</f>
        <v>0</v>
      </c>
      <c r="M18" s="1">
        <f>MIN($G18)</f>
        <v>0</v>
      </c>
      <c r="N18" s="1">
        <f>MIN($H18)</f>
        <v>0</v>
      </c>
      <c r="O18" s="1">
        <f>MEDIAN($B18)</f>
        <v>0</v>
      </c>
      <c r="P18" s="1">
        <f>MEDIAN($C18)</f>
        <v>0</v>
      </c>
      <c r="Q18" s="1">
        <f>MEDIAN($D18)</f>
        <v>0</v>
      </c>
      <c r="R18" s="1">
        <f>MEDIAN($E18)</f>
        <v>0</v>
      </c>
      <c r="S18" s="1">
        <f>MEDIAN($G18)</f>
        <v>0</v>
      </c>
      <c r="T18" s="1">
        <f>MEDIAN($H18)</f>
        <v>0</v>
      </c>
      <c r="U18" s="1">
        <f>MAX($B18)</f>
        <v>0</v>
      </c>
      <c r="V18" s="1">
        <f>MAX($C18)</f>
        <v>0</v>
      </c>
      <c r="W18" s="1">
        <f>MAX($D18)</f>
        <v>0</v>
      </c>
      <c r="X18" s="1">
        <f>MAX($E18)</f>
        <v>0</v>
      </c>
      <c r="Y18" s="1">
        <f>MAX($G18)</f>
        <v>0</v>
      </c>
      <c r="Z18" s="1">
        <f>MAX($H18)</f>
        <v>0</v>
      </c>
    </row>
    <row r="19" spans="1:26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/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>
        <f>MIN($B19)</f>
        <v>0</v>
      </c>
      <c r="J19" s="1">
        <f>MIN($C19)</f>
        <v>0</v>
      </c>
      <c r="K19" s="1">
        <f>MIN($D19)</f>
        <v>0</v>
      </c>
      <c r="L19" s="1">
        <f>MIN($E19)</f>
        <v>0</v>
      </c>
      <c r="M19" s="1">
        <f>MIN($G19)</f>
        <v>0</v>
      </c>
      <c r="N19" s="1">
        <f>MIN($H19)</f>
        <v>0</v>
      </c>
      <c r="O19" s="1">
        <f>MEDIAN($B19)</f>
        <v>0</v>
      </c>
      <c r="P19" s="1">
        <f>MEDIAN($C19)</f>
        <v>0</v>
      </c>
      <c r="Q19" s="1">
        <f>MEDIAN($D19)</f>
        <v>0</v>
      </c>
      <c r="R19" s="1">
        <f>MEDIAN($E19)</f>
        <v>0</v>
      </c>
      <c r="S19" s="1">
        <f>MEDIAN($G19)</f>
        <v>0</v>
      </c>
      <c r="T19" s="1">
        <f>MEDIAN($H19)</f>
        <v>0</v>
      </c>
      <c r="U19" s="1">
        <f>MAX($B19)</f>
        <v>0</v>
      </c>
      <c r="V19" s="1">
        <f>MAX($C19)</f>
        <v>0</v>
      </c>
      <c r="W19" s="1">
        <f>MAX($D19)</f>
        <v>0</v>
      </c>
      <c r="X19" s="1">
        <f>MAX($E19)</f>
        <v>0</v>
      </c>
      <c r="Y19" s="1">
        <f>MAX($G19)</f>
        <v>0</v>
      </c>
      <c r="Z19" s="1">
        <f>MAX($H19)</f>
        <v>0</v>
      </c>
    </row>
    <row r="20" spans="1:26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/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>
        <f>MIN($B20)</f>
        <v>0</v>
      </c>
      <c r="J20" s="1">
        <f>MIN($C20)</f>
        <v>0</v>
      </c>
      <c r="K20" s="1">
        <f>MIN($D20)</f>
        <v>0</v>
      </c>
      <c r="L20" s="1">
        <f>MIN($E20)</f>
        <v>0</v>
      </c>
      <c r="M20" s="1">
        <f>MIN($G20)</f>
        <v>0</v>
      </c>
      <c r="N20" s="1">
        <f>MIN($H20)</f>
        <v>0</v>
      </c>
      <c r="O20" s="1">
        <f>MEDIAN($B20)</f>
        <v>0</v>
      </c>
      <c r="P20" s="1">
        <f>MEDIAN($C20)</f>
        <v>0</v>
      </c>
      <c r="Q20" s="1">
        <f>MEDIAN($D20)</f>
        <v>0</v>
      </c>
      <c r="R20" s="1">
        <f>MEDIAN($E20)</f>
        <v>0</v>
      </c>
      <c r="S20" s="1">
        <f>MEDIAN($G20)</f>
        <v>0</v>
      </c>
      <c r="T20" s="1">
        <f>MEDIAN($H20)</f>
        <v>0</v>
      </c>
      <c r="U20" s="1">
        <f>MAX($B20)</f>
        <v>0</v>
      </c>
      <c r="V20" s="1">
        <f>MAX($C20)</f>
        <v>0</v>
      </c>
      <c r="W20" s="1">
        <f>MAX($D20)</f>
        <v>0</v>
      </c>
      <c r="X20" s="1">
        <f>MAX($E20)</f>
        <v>0</v>
      </c>
      <c r="Y20" s="1">
        <f>MAX($G20)</f>
        <v>0</v>
      </c>
      <c r="Z20" s="1">
        <f>MAX($H20)</f>
        <v>0</v>
      </c>
    </row>
    <row r="21" spans="1:26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/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/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>
        <f>MIN($B21)</f>
        <v>0</v>
      </c>
      <c r="J21" s="1"/>
      <c r="K21" s="1">
        <f>MIN($D21)</f>
        <v>0</v>
      </c>
      <c r="L21" s="1">
        <f>MIN($E21)</f>
        <v>0</v>
      </c>
      <c r="M21" s="1">
        <f>MIN($G21)</f>
        <v>0</v>
      </c>
      <c r="N21" s="1">
        <f>MIN($H21)</f>
        <v>0</v>
      </c>
      <c r="O21" s="1">
        <f>MEDIAN($B21)</f>
        <v>0</v>
      </c>
      <c r="P21" s="1"/>
      <c r="Q21" s="1">
        <f>MEDIAN($D21)</f>
        <v>0</v>
      </c>
      <c r="R21" s="1">
        <f>MEDIAN($E21)</f>
        <v>0</v>
      </c>
      <c r="S21" s="1">
        <f>MEDIAN($G21)</f>
        <v>0</v>
      </c>
      <c r="T21" s="1">
        <f>MEDIAN($H21)</f>
        <v>0</v>
      </c>
      <c r="U21" s="1">
        <f>MAX($B21)</f>
        <v>0</v>
      </c>
      <c r="V21" s="1"/>
      <c r="W21" s="1">
        <f>MAX($D21)</f>
        <v>0</v>
      </c>
      <c r="X21" s="1">
        <f>MAX($E21)</f>
        <v>0</v>
      </c>
      <c r="Y21" s="1">
        <f>MAX($G21)</f>
        <v>0</v>
      </c>
      <c r="Z21" s="1">
        <f>MAX($H21)</f>
        <v>0</v>
      </c>
    </row>
    <row r="22" spans="1:26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/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>
        <f>MIN($B22)</f>
        <v>0</v>
      </c>
      <c r="J22" s="1">
        <f>MIN($C22)</f>
        <v>0</v>
      </c>
      <c r="K22" s="1">
        <f>MIN($D22)</f>
        <v>0</v>
      </c>
      <c r="L22" s="1">
        <f>MIN($E22)</f>
        <v>0</v>
      </c>
      <c r="M22" s="1">
        <f>MIN($G22)</f>
        <v>0</v>
      </c>
      <c r="N22" s="1">
        <f>MIN($H22)</f>
        <v>0</v>
      </c>
      <c r="O22" s="1">
        <f>MEDIAN($B22)</f>
        <v>0</v>
      </c>
      <c r="P22" s="1">
        <f>MEDIAN($C22)</f>
        <v>0</v>
      </c>
      <c r="Q22" s="1">
        <f>MEDIAN($D22)</f>
        <v>0</v>
      </c>
      <c r="R22" s="1">
        <f>MEDIAN($E22)</f>
        <v>0</v>
      </c>
      <c r="S22" s="1">
        <f>MEDIAN($G22)</f>
        <v>0</v>
      </c>
      <c r="T22" s="1">
        <f>MEDIAN($H22)</f>
        <v>0</v>
      </c>
      <c r="U22" s="1">
        <f>MAX($B22)</f>
        <v>0</v>
      </c>
      <c r="V22" s="1">
        <f>MAX($C22)</f>
        <v>0</v>
      </c>
      <c r="W22" s="1">
        <f>MAX($D22)</f>
        <v>0</v>
      </c>
      <c r="X22" s="1">
        <f>MAX($E22)</f>
        <v>0</v>
      </c>
      <c r="Y22" s="1">
        <f>MAX($G22)</f>
        <v>0</v>
      </c>
      <c r="Z22" s="1">
        <f>MAX($H22)</f>
        <v>0</v>
      </c>
    </row>
    <row r="23" spans="1:26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/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/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>
        <f>MIN($B23)</f>
        <v>0</v>
      </c>
      <c r="J23" s="1"/>
      <c r="K23" s="1">
        <f>MIN($D23)</f>
        <v>0</v>
      </c>
      <c r="L23" s="1">
        <f>MIN($E23)</f>
        <v>0</v>
      </c>
      <c r="M23" s="1">
        <f>MIN($G23)</f>
        <v>0</v>
      </c>
      <c r="N23" s="1">
        <f>MIN($H23)</f>
        <v>0</v>
      </c>
      <c r="O23" s="1">
        <f>MEDIAN($B23)</f>
        <v>0</v>
      </c>
      <c r="P23" s="1"/>
      <c r="Q23" s="1">
        <f>MEDIAN($D23)</f>
        <v>0</v>
      </c>
      <c r="R23" s="1">
        <f>MEDIAN($E23)</f>
        <v>0</v>
      </c>
      <c r="S23" s="1">
        <f>MEDIAN($G23)</f>
        <v>0</v>
      </c>
      <c r="T23" s="1">
        <f>MEDIAN($H23)</f>
        <v>0</v>
      </c>
      <c r="U23" s="1">
        <f>MAX($B23)</f>
        <v>0</v>
      </c>
      <c r="V23" s="1"/>
      <c r="W23" s="1">
        <f>MAX($D23)</f>
        <v>0</v>
      </c>
      <c r="X23" s="1">
        <f>MAX($E23)</f>
        <v>0</v>
      </c>
      <c r="Y23" s="1">
        <f>MAX($G23)</f>
        <v>0</v>
      </c>
      <c r="Z23" s="1">
        <f>MAX($H23)</f>
        <v>0</v>
      </c>
    </row>
    <row r="24" spans="1:26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/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>
        <f>MIN($B24)</f>
        <v>0</v>
      </c>
      <c r="J24" s="1">
        <f>MIN($C24)</f>
        <v>0</v>
      </c>
      <c r="K24" s="1">
        <f>MIN($D24)</f>
        <v>0</v>
      </c>
      <c r="L24" s="1">
        <f>MIN($E24)</f>
        <v>0</v>
      </c>
      <c r="M24" s="1">
        <f>MIN($G24)</f>
        <v>0</v>
      </c>
      <c r="N24" s="1">
        <f>MIN($H24)</f>
        <v>0</v>
      </c>
      <c r="O24" s="1">
        <f>MEDIAN($B24)</f>
        <v>0</v>
      </c>
      <c r="P24" s="1">
        <f>MEDIAN($C24)</f>
        <v>0</v>
      </c>
      <c r="Q24" s="1">
        <f>MEDIAN($D24)</f>
        <v>0</v>
      </c>
      <c r="R24" s="1">
        <f>MEDIAN($E24)</f>
        <v>0</v>
      </c>
      <c r="S24" s="1">
        <f>MEDIAN($G24)</f>
        <v>0</v>
      </c>
      <c r="T24" s="1">
        <f>MEDIAN($H24)</f>
        <v>0</v>
      </c>
      <c r="U24" s="1">
        <f>MAX($B24)</f>
        <v>0</v>
      </c>
      <c r="V24" s="1">
        <f>MAX($C24)</f>
        <v>0</v>
      </c>
      <c r="W24" s="1">
        <f>MAX($D24)</f>
        <v>0</v>
      </c>
      <c r="X24" s="1">
        <f>MAX($E24)</f>
        <v>0</v>
      </c>
      <c r="Y24" s="1">
        <f>MAX($G24)</f>
        <v>0</v>
      </c>
      <c r="Z24" s="1">
        <f>MAX($H24)</f>
        <v>0</v>
      </c>
    </row>
    <row r="25" spans="1:26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/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>
        <f>MIN($B25)</f>
        <v>0</v>
      </c>
      <c r="J25" s="1">
        <f>MIN($C25)</f>
        <v>0</v>
      </c>
      <c r="K25" s="1">
        <f>MIN($D25)</f>
        <v>0</v>
      </c>
      <c r="L25" s="1">
        <f>MIN($E25)</f>
        <v>0</v>
      </c>
      <c r="M25" s="1">
        <f>MIN($G25)</f>
        <v>0</v>
      </c>
      <c r="N25" s="1">
        <f>MIN($H25)</f>
        <v>0</v>
      </c>
      <c r="O25" s="1">
        <f>MEDIAN($B25)</f>
        <v>0</v>
      </c>
      <c r="P25" s="1">
        <f>MEDIAN($C25)</f>
        <v>0</v>
      </c>
      <c r="Q25" s="1">
        <f>MEDIAN($D25)</f>
        <v>0</v>
      </c>
      <c r="R25" s="1">
        <f>MEDIAN($E25)</f>
        <v>0</v>
      </c>
      <c r="S25" s="1">
        <f>MEDIAN($G25)</f>
        <v>0</v>
      </c>
      <c r="T25" s="1">
        <f>MEDIAN($H25)</f>
        <v>0</v>
      </c>
      <c r="U25" s="1">
        <f>MAX($B25)</f>
        <v>0</v>
      </c>
      <c r="V25" s="1">
        <f>MAX($C25)</f>
        <v>0</v>
      </c>
      <c r="W25" s="1">
        <f>MAX($D25)</f>
        <v>0</v>
      </c>
      <c r="X25" s="1">
        <f>MAX($E25)</f>
        <v>0</v>
      </c>
      <c r="Y25" s="1">
        <f>MAX($G25)</f>
        <v>0</v>
      </c>
      <c r="Z25" s="1">
        <f>MAX($H25)</f>
        <v>0</v>
      </c>
    </row>
    <row r="26" spans="1:26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/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>
        <f>MIN($B26)</f>
        <v>0</v>
      </c>
      <c r="J26" s="1">
        <f>MIN($C26)</f>
        <v>0</v>
      </c>
      <c r="K26" s="1">
        <f>MIN($D26)</f>
        <v>0</v>
      </c>
      <c r="L26" s="1">
        <f>MIN($E26)</f>
        <v>0</v>
      </c>
      <c r="M26" s="1">
        <f>MIN($G26)</f>
        <v>0</v>
      </c>
      <c r="N26" s="1">
        <f>MIN($H26)</f>
        <v>0</v>
      </c>
      <c r="O26" s="1">
        <f>MEDIAN($B26)</f>
        <v>0</v>
      </c>
      <c r="P26" s="1">
        <f>MEDIAN($C26)</f>
        <v>0</v>
      </c>
      <c r="Q26" s="1">
        <f>MEDIAN($D26)</f>
        <v>0</v>
      </c>
      <c r="R26" s="1">
        <f>MEDIAN($E26)</f>
        <v>0</v>
      </c>
      <c r="S26" s="1">
        <f>MEDIAN($G26)</f>
        <v>0</v>
      </c>
      <c r="T26" s="1">
        <f>MEDIAN($H26)</f>
        <v>0</v>
      </c>
      <c r="U26" s="1">
        <f>MAX($B26)</f>
        <v>0</v>
      </c>
      <c r="V26" s="1">
        <f>MAX($C26)</f>
        <v>0</v>
      </c>
      <c r="W26" s="1">
        <f>MAX($D26)</f>
        <v>0</v>
      </c>
      <c r="X26" s="1">
        <f>MAX($E26)</f>
        <v>0</v>
      </c>
      <c r="Y26" s="1">
        <f>MAX($G26)</f>
        <v>0</v>
      </c>
      <c r="Z26" s="1">
        <f>MAX($H26)</f>
        <v>0</v>
      </c>
    </row>
    <row r="27" spans="1:26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/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>
        <f>MIN($B27)</f>
        <v>0</v>
      </c>
      <c r="J27" s="1">
        <f>MIN($C27)</f>
        <v>0</v>
      </c>
      <c r="K27" s="1">
        <f>MIN($D27)</f>
        <v>0</v>
      </c>
      <c r="L27" s="1">
        <f>MIN($E27)</f>
        <v>0</v>
      </c>
      <c r="M27" s="1">
        <f>MIN($G27)</f>
        <v>0</v>
      </c>
      <c r="N27" s="1">
        <f>MIN($H27)</f>
        <v>0</v>
      </c>
      <c r="O27" s="1">
        <f>MEDIAN($B27)</f>
        <v>0</v>
      </c>
      <c r="P27" s="1">
        <f>MEDIAN($C27)</f>
        <v>0</v>
      </c>
      <c r="Q27" s="1">
        <f>MEDIAN($D27)</f>
        <v>0</v>
      </c>
      <c r="R27" s="1">
        <f>MEDIAN($E27)</f>
        <v>0</v>
      </c>
      <c r="S27" s="1">
        <f>MEDIAN($G27)</f>
        <v>0</v>
      </c>
      <c r="T27" s="1">
        <f>MEDIAN($H27)</f>
        <v>0</v>
      </c>
      <c r="U27" s="1">
        <f>MAX($B27)</f>
        <v>0</v>
      </c>
      <c r="V27" s="1">
        <f>MAX($C27)</f>
        <v>0</v>
      </c>
      <c r="W27" s="1">
        <f>MAX($D27)</f>
        <v>0</v>
      </c>
      <c r="X27" s="1">
        <f>MAX($E27)</f>
        <v>0</v>
      </c>
      <c r="Y27" s="1">
        <f>MAX($G27)</f>
        <v>0</v>
      </c>
      <c r="Z27" s="1">
        <f>MAX($H27)</f>
        <v>0</v>
      </c>
    </row>
    <row r="28" spans="1:26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/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>
        <f>MIN($B28)</f>
        <v>0</v>
      </c>
      <c r="J28" s="1">
        <f>MIN($C28)</f>
        <v>0</v>
      </c>
      <c r="K28" s="1">
        <f>MIN($D28)</f>
        <v>0</v>
      </c>
      <c r="L28" s="1">
        <f>MIN($E28)</f>
        <v>0</v>
      </c>
      <c r="M28" s="1">
        <f>MIN($G28)</f>
        <v>0</v>
      </c>
      <c r="N28" s="1">
        <f>MIN($H28)</f>
        <v>0</v>
      </c>
      <c r="O28" s="1">
        <f>MEDIAN($B28)</f>
        <v>0</v>
      </c>
      <c r="P28" s="1">
        <f>MEDIAN($C28)</f>
        <v>0</v>
      </c>
      <c r="Q28" s="1">
        <f>MEDIAN($D28)</f>
        <v>0</v>
      </c>
      <c r="R28" s="1">
        <f>MEDIAN($E28)</f>
        <v>0</v>
      </c>
      <c r="S28" s="1">
        <f>MEDIAN($G28)</f>
        <v>0</v>
      </c>
      <c r="T28" s="1">
        <f>MEDIAN($H28)</f>
        <v>0</v>
      </c>
      <c r="U28" s="1">
        <f>MAX($B28)</f>
        <v>0</v>
      </c>
      <c r="V28" s="1">
        <f>MAX($C28)</f>
        <v>0</v>
      </c>
      <c r="W28" s="1">
        <f>MAX($D28)</f>
        <v>0</v>
      </c>
      <c r="X28" s="1">
        <f>MAX($E28)</f>
        <v>0</v>
      </c>
      <c r="Y28" s="1">
        <f>MAX($G28)</f>
        <v>0</v>
      </c>
      <c r="Z28" s="1">
        <f>MAX($H28)</f>
        <v>0</v>
      </c>
    </row>
    <row r="29" spans="1:26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/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>
        <f>MIN($B29)</f>
        <v>0</v>
      </c>
      <c r="J29" s="1">
        <f>MIN($C29)</f>
        <v>0</v>
      </c>
      <c r="K29" s="1">
        <f>MIN($D29)</f>
        <v>0</v>
      </c>
      <c r="L29" s="1">
        <f>MIN($E29)</f>
        <v>0</v>
      </c>
      <c r="M29" s="1">
        <f>MIN($G29)</f>
        <v>0</v>
      </c>
      <c r="N29" s="1">
        <f>MIN($H29)</f>
        <v>0</v>
      </c>
      <c r="O29" s="1">
        <f>MEDIAN($B29)</f>
        <v>0</v>
      </c>
      <c r="P29" s="1">
        <f>MEDIAN($C29)</f>
        <v>0</v>
      </c>
      <c r="Q29" s="1">
        <f>MEDIAN($D29)</f>
        <v>0</v>
      </c>
      <c r="R29" s="1">
        <f>MEDIAN($E29)</f>
        <v>0</v>
      </c>
      <c r="S29" s="1">
        <f>MEDIAN($G29)</f>
        <v>0</v>
      </c>
      <c r="T29" s="1">
        <f>MEDIAN($H29)</f>
        <v>0</v>
      </c>
      <c r="U29" s="1">
        <f>MAX($B29)</f>
        <v>0</v>
      </c>
      <c r="V29" s="1">
        <f>MAX($C29)</f>
        <v>0</v>
      </c>
      <c r="W29" s="1">
        <f>MAX($D29)</f>
        <v>0</v>
      </c>
      <c r="X29" s="1">
        <f>MAX($E29)</f>
        <v>0</v>
      </c>
      <c r="Y29" s="1">
        <f>MAX($G29)</f>
        <v>0</v>
      </c>
      <c r="Z29" s="1">
        <f>MAX($H29)</f>
        <v>0</v>
      </c>
    </row>
    <row r="30" spans="1:26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/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>
        <f>MIN($B30)</f>
        <v>0</v>
      </c>
      <c r="J30" s="1">
        <f>MIN($C30)</f>
        <v>0</v>
      </c>
      <c r="K30" s="1">
        <f>MIN($D30)</f>
        <v>0</v>
      </c>
      <c r="L30" s="1">
        <f>MIN($E30)</f>
        <v>0</v>
      </c>
      <c r="M30" s="1">
        <f>MIN($G30)</f>
        <v>0</v>
      </c>
      <c r="N30" s="1">
        <f>MIN($H30)</f>
        <v>0</v>
      </c>
      <c r="O30" s="1">
        <f>MEDIAN($B30)</f>
        <v>0</v>
      </c>
      <c r="P30" s="1">
        <f>MEDIAN($C30)</f>
        <v>0</v>
      </c>
      <c r="Q30" s="1">
        <f>MEDIAN($D30)</f>
        <v>0</v>
      </c>
      <c r="R30" s="1">
        <f>MEDIAN($E30)</f>
        <v>0</v>
      </c>
      <c r="S30" s="1">
        <f>MEDIAN($G30)</f>
        <v>0</v>
      </c>
      <c r="T30" s="1">
        <f>MEDIAN($H30)</f>
        <v>0</v>
      </c>
      <c r="U30" s="1">
        <f>MAX($B30)</f>
        <v>0</v>
      </c>
      <c r="V30" s="1">
        <f>MAX($C30)</f>
        <v>0</v>
      </c>
      <c r="W30" s="1">
        <f>MAX($D30)</f>
        <v>0</v>
      </c>
      <c r="X30" s="1">
        <f>MAX($E30)</f>
        <v>0</v>
      </c>
      <c r="Y30" s="1">
        <f>MAX($G30)</f>
        <v>0</v>
      </c>
      <c r="Z30" s="1">
        <f>MAX($H30)</f>
        <v>0</v>
      </c>
    </row>
    <row r="31" spans="1:26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/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>
        <f>MIN($B31)</f>
        <v>0</v>
      </c>
      <c r="J31" s="1">
        <f>MIN($C31)</f>
        <v>0</v>
      </c>
      <c r="K31" s="1">
        <f>MIN($D31)</f>
        <v>0</v>
      </c>
      <c r="L31" s="1">
        <f>MIN($E31)</f>
        <v>0</v>
      </c>
      <c r="M31" s="1">
        <f>MIN($G31)</f>
        <v>0</v>
      </c>
      <c r="N31" s="1">
        <f>MIN($H31)</f>
        <v>0</v>
      </c>
      <c r="O31" s="1">
        <f>MEDIAN($B31)</f>
        <v>0</v>
      </c>
      <c r="P31" s="1">
        <f>MEDIAN($C31)</f>
        <v>0</v>
      </c>
      <c r="Q31" s="1">
        <f>MEDIAN($D31)</f>
        <v>0</v>
      </c>
      <c r="R31" s="1">
        <f>MEDIAN($E31)</f>
        <v>0</v>
      </c>
      <c r="S31" s="1">
        <f>MEDIAN($G31)</f>
        <v>0</v>
      </c>
      <c r="T31" s="1">
        <f>MEDIAN($H31)</f>
        <v>0</v>
      </c>
      <c r="U31" s="1">
        <f>MAX($B31)</f>
        <v>0</v>
      </c>
      <c r="V31" s="1">
        <f>MAX($C31)</f>
        <v>0</v>
      </c>
      <c r="W31" s="1">
        <f>MAX($D31)</f>
        <v>0</v>
      </c>
      <c r="X31" s="1">
        <f>MAX($E31)</f>
        <v>0</v>
      </c>
      <c r="Y31" s="1">
        <f>MAX($G31)</f>
        <v>0</v>
      </c>
      <c r="Z31" s="1">
        <f>MAX($H31)</f>
        <v>0</v>
      </c>
    </row>
    <row r="32" spans="1:26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/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>
        <f>MIN($B32)</f>
        <v>0</v>
      </c>
      <c r="J32" s="1">
        <f>MIN($C32)</f>
        <v>0</v>
      </c>
      <c r="K32" s="1">
        <f>MIN($D32)</f>
        <v>0</v>
      </c>
      <c r="L32" s="1">
        <f>MIN($E32)</f>
        <v>0</v>
      </c>
      <c r="M32" s="1">
        <f>MIN($G32)</f>
        <v>0</v>
      </c>
      <c r="N32" s="1">
        <f>MIN($H32)</f>
        <v>0</v>
      </c>
      <c r="O32" s="1">
        <f>MEDIAN($B32)</f>
        <v>0</v>
      </c>
      <c r="P32" s="1">
        <f>MEDIAN($C32)</f>
        <v>0</v>
      </c>
      <c r="Q32" s="1">
        <f>MEDIAN($D32)</f>
        <v>0</v>
      </c>
      <c r="R32" s="1">
        <f>MEDIAN($E32)</f>
        <v>0</v>
      </c>
      <c r="S32" s="1">
        <f>MEDIAN($G32)</f>
        <v>0</v>
      </c>
      <c r="T32" s="1">
        <f>MEDIAN($H32)</f>
        <v>0</v>
      </c>
      <c r="U32" s="1">
        <f>MAX($B32)</f>
        <v>0</v>
      </c>
      <c r="V32" s="1">
        <f>MAX($C32)</f>
        <v>0</v>
      </c>
      <c r="W32" s="1">
        <f>MAX($D32)</f>
        <v>0</v>
      </c>
      <c r="X32" s="1">
        <f>MAX($E32)</f>
        <v>0</v>
      </c>
      <c r="Y32" s="1">
        <f>MAX($G32)</f>
        <v>0</v>
      </c>
      <c r="Z32" s="1">
        <f>MAX($H32)</f>
        <v>0</v>
      </c>
    </row>
    <row r="33" spans="1:26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 cm="1">
        <f t="array" ref="D33">_xlfn.SWITCH($A$2,"average", AVERAGE(Instances!D33:Instances!D33),"median", MEDIAN(Instances!D33:Instances!D33),"min", MIN(Instances!D33:Instances!D33),"max", MAX(Instances!D33:Instances!D33),"diff", MAX(Instances!D33:Instances!D33)-MIN(Instances!D33:Instances!D33))</f>
        <v>0</v>
      </c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/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>
        <f>MIN($B33)</f>
        <v>0</v>
      </c>
      <c r="J33" s="1">
        <f>MIN($C33)</f>
        <v>0</v>
      </c>
      <c r="K33" s="1">
        <f>MIN($D33)</f>
        <v>0</v>
      </c>
      <c r="L33" s="1">
        <f>MIN($E33)</f>
        <v>0</v>
      </c>
      <c r="M33" s="1">
        <f>MIN($G33)</f>
        <v>0</v>
      </c>
      <c r="N33" s="1">
        <f>MIN($H33)</f>
        <v>0</v>
      </c>
      <c r="O33" s="1">
        <f>MEDIAN($B33)</f>
        <v>0</v>
      </c>
      <c r="P33" s="1">
        <f>MEDIAN($C33)</f>
        <v>0</v>
      </c>
      <c r="Q33" s="1">
        <f>MEDIAN($D33)</f>
        <v>0</v>
      </c>
      <c r="R33" s="1">
        <f>MEDIAN($E33)</f>
        <v>0</v>
      </c>
      <c r="S33" s="1">
        <f>MEDIAN($G33)</f>
        <v>0</v>
      </c>
      <c r="T33" s="1">
        <f>MEDIAN($H33)</f>
        <v>0</v>
      </c>
      <c r="U33" s="1">
        <f>MAX($B33)</f>
        <v>0</v>
      </c>
      <c r="V33" s="1">
        <f>MAX($C33)</f>
        <v>0</v>
      </c>
      <c r="W33" s="1">
        <f>MAX($D33)</f>
        <v>0</v>
      </c>
      <c r="X33" s="1">
        <f>MAX($E33)</f>
        <v>0</v>
      </c>
      <c r="Y33" s="1">
        <f>MAX($G33)</f>
        <v>0</v>
      </c>
      <c r="Z33" s="1">
        <f>MAX($H33)</f>
        <v>0</v>
      </c>
    </row>
    <row r="34" spans="1:26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 cm="1">
        <f t="array" ref="D34">_xlfn.SWITCH($A$2,"average", AVERAGE(Instances!D34:Instances!D34),"median", MEDIAN(Instances!D34:Instances!D34),"min", MIN(Instances!D34:Instances!D34),"max", MAX(Instances!D34:Instances!D34),"diff", MAX(Instances!D34:Instances!D34)-MIN(Instances!D34:Instances!D34))</f>
        <v>0</v>
      </c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/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>
        <f>MIN($B34)</f>
        <v>0</v>
      </c>
      <c r="J34" s="1">
        <f>MIN($C34)</f>
        <v>0</v>
      </c>
      <c r="K34" s="1">
        <f>MIN($D34)</f>
        <v>0</v>
      </c>
      <c r="L34" s="1">
        <f>MIN($E34)</f>
        <v>0</v>
      </c>
      <c r="M34" s="1">
        <f>MIN($G34)</f>
        <v>0</v>
      </c>
      <c r="N34" s="1">
        <f>MIN($H34)</f>
        <v>0</v>
      </c>
      <c r="O34" s="1">
        <f>MEDIAN($B34)</f>
        <v>0</v>
      </c>
      <c r="P34" s="1">
        <f>MEDIAN($C34)</f>
        <v>0</v>
      </c>
      <c r="Q34" s="1">
        <f>MEDIAN($D34)</f>
        <v>0</v>
      </c>
      <c r="R34" s="1">
        <f>MEDIAN($E34)</f>
        <v>0</v>
      </c>
      <c r="S34" s="1">
        <f>MEDIAN($G34)</f>
        <v>0</v>
      </c>
      <c r="T34" s="1">
        <f>MEDIAN($H34)</f>
        <v>0</v>
      </c>
      <c r="U34" s="1">
        <f>MAX($B34)</f>
        <v>0</v>
      </c>
      <c r="V34" s="1">
        <f>MAX($C34)</f>
        <v>0</v>
      </c>
      <c r="W34" s="1">
        <f>MAX($D34)</f>
        <v>0</v>
      </c>
      <c r="X34" s="1">
        <f>MAX($E34)</f>
        <v>0</v>
      </c>
      <c r="Y34" s="1">
        <f>MAX($G34)</f>
        <v>0</v>
      </c>
      <c r="Z34" s="1">
        <f>MAX($H34)</f>
        <v>0</v>
      </c>
    </row>
    <row r="35" spans="1:26">
      <c r="A35" s="1" t="s">
        <v>32</v>
      </c>
      <c r="B35" s="1" cm="1">
        <f t="array" ref="B35">_xlfn.SWITCH($A$2,"average", AVERAGE(Instances!B35:Instances!B35),"median", MEDIAN(Instances!B35:Instances!B35),"min", MIN(Instances!B35:Instances!B35),"max", MAX(Instances!B35:Instances!B35),"diff", MAX(Instances!B35:Instances!B35)-MIN(Instances!B35:Instances!B35))</f>
        <v>0</v>
      </c>
      <c r="C35" s="1" cm="1">
        <f t="array" ref="C35">_xlfn.SWITCH($A$2,"average", AVERAGE(Instances!C35:Instances!C35),"median", MEDIAN(Instances!C35:Instances!C35),"min", MIN(Instances!C35:Instances!C35),"max", MAX(Instances!C35:Instances!C35),"diff", MAX(Instances!C35:Instances!C35)-MIN(Instances!C35:Instances!C35))</f>
        <v>0</v>
      </c>
      <c r="D35" s="1" cm="1">
        <f t="array" ref="D35">_xlfn.SWITCH($A$2,"average", AVERAGE(Instances!D35:Instances!D35),"median", MEDIAN(Instances!D35:Instances!D35),"min", MIN(Instances!D35:Instances!D35),"max", MAX(Instances!D35:Instances!D35),"diff", MAX(Instances!D35:Instances!D35)-MIN(Instances!D35:Instances!D35))</f>
        <v>0</v>
      </c>
      <c r="E35" s="1" cm="1">
        <f t="array" ref="E35">_xlfn.SWITCH($A$2,"average", AVERAGE(Instances!E35:Instances!E35),"median", MEDIAN(Instances!E35:Instances!E35),"min", MIN(Instances!E35:Instances!E35),"max", MAX(Instances!E35:Instances!E35),"diff", MAX(Instances!E35:Instances!E35)-MIN(Instances!E35:Instances!E35))</f>
        <v>0</v>
      </c>
      <c r="F35" s="1"/>
      <c r="G35" s="1" cm="1">
        <f t="array" ref="G35">_xlfn.SWITCH($A$2,"average", AVERAGE(Instances!G35:Instances!G35),"median", MEDIAN(Instances!G35:Instances!G35),"min", MIN(Instances!G35:Instances!G35),"max", MAX(Instances!G35:Instances!G35),"diff", MAX(Instances!G35:Instances!G35)-MIN(Instances!G35:Instances!G35))</f>
        <v>0</v>
      </c>
      <c r="H35" s="1" cm="1">
        <f t="array" ref="H35">_xlfn.SWITCH($A$2,"average", AVERAGE(Instances!H35:Instances!H35),"median", MEDIAN(Instances!H35:Instances!H35),"min", MIN(Instances!H35:Instances!H35),"max", MAX(Instances!H35:Instances!H35),"diff", MAX(Instances!H35:Instances!H35)-MIN(Instances!H35:Instances!H35))</f>
        <v>0</v>
      </c>
      <c r="I35" s="1">
        <f>MIN($B35)</f>
        <v>0</v>
      </c>
      <c r="J35" s="1">
        <f>MIN($C35)</f>
        <v>0</v>
      </c>
      <c r="K35" s="1">
        <f>MIN($D35)</f>
        <v>0</v>
      </c>
      <c r="L35" s="1">
        <f>MIN($E35)</f>
        <v>0</v>
      </c>
      <c r="M35" s="1">
        <f>MIN($G35)</f>
        <v>0</v>
      </c>
      <c r="N35" s="1">
        <f>MIN($H35)</f>
        <v>0</v>
      </c>
      <c r="O35" s="1">
        <f>MEDIAN($B35)</f>
        <v>0</v>
      </c>
      <c r="P35" s="1">
        <f>MEDIAN($C35)</f>
        <v>0</v>
      </c>
      <c r="Q35" s="1">
        <f>MEDIAN($D35)</f>
        <v>0</v>
      </c>
      <c r="R35" s="1">
        <f>MEDIAN($E35)</f>
        <v>0</v>
      </c>
      <c r="S35" s="1">
        <f>MEDIAN($G35)</f>
        <v>0</v>
      </c>
      <c r="T35" s="1">
        <f>MEDIAN($H35)</f>
        <v>0</v>
      </c>
      <c r="U35" s="1">
        <f>MAX($B35)</f>
        <v>0</v>
      </c>
      <c r="V35" s="1">
        <f>MAX($C35)</f>
        <v>0</v>
      </c>
      <c r="W35" s="1">
        <f>MAX($D35)</f>
        <v>0</v>
      </c>
      <c r="X35" s="1">
        <f>MAX($E35)</f>
        <v>0</v>
      </c>
      <c r="Y35" s="1">
        <f>MAX($G35)</f>
        <v>0</v>
      </c>
      <c r="Z35" s="1">
        <f>MAX($H35)</f>
        <v>0</v>
      </c>
    </row>
    <row r="36" spans="1:26">
      <c r="A36" s="1" t="s">
        <v>33</v>
      </c>
      <c r="B36" s="1" cm="1">
        <f t="array" ref="B36">_xlfn.SWITCH($A$2,"average", AVERAGE(Instances!B36:Instances!B36),"median", MEDIAN(Instances!B36:Instances!B36),"min", MIN(Instances!B36:Instances!B36),"max", MAX(Instances!B36:Instances!B36),"diff", MAX(Instances!B36:Instances!B36)-MIN(Instances!B36:Instances!B36))</f>
        <v>0</v>
      </c>
      <c r="C36" s="1" cm="1">
        <f t="array" ref="C36">_xlfn.SWITCH($A$2,"average", AVERAGE(Instances!C36:Instances!C36),"median", MEDIAN(Instances!C36:Instances!C36),"min", MIN(Instances!C36:Instances!C36),"max", MAX(Instances!C36:Instances!C36),"diff", MAX(Instances!C36:Instances!C36)-MIN(Instances!C36:Instances!C36))</f>
        <v>0</v>
      </c>
      <c r="D36" s="1" cm="1">
        <f t="array" ref="D36">_xlfn.SWITCH($A$2,"average", AVERAGE(Instances!D36:Instances!D36),"median", MEDIAN(Instances!D36:Instances!D36),"min", MIN(Instances!D36:Instances!D36),"max", MAX(Instances!D36:Instances!D36),"diff", MAX(Instances!D36:Instances!D36)-MIN(Instances!D36:Instances!D36))</f>
        <v>0</v>
      </c>
      <c r="E36" s="1" cm="1">
        <f t="array" ref="E36">_xlfn.SWITCH($A$2,"average", AVERAGE(Instances!E36:Instances!E36),"median", MEDIAN(Instances!E36:Instances!E36),"min", MIN(Instances!E36:Instances!E36),"max", MAX(Instances!E36:Instances!E36),"diff", MAX(Instances!E36:Instances!E36)-MIN(Instances!E36:Instances!E36))</f>
        <v>0</v>
      </c>
      <c r="F36" s="1"/>
      <c r="G36" s="1" cm="1">
        <f t="array" ref="G36">_xlfn.SWITCH($A$2,"average", AVERAGE(Instances!G36:Instances!G36),"median", MEDIAN(Instances!G36:Instances!G36),"min", MIN(Instances!G36:Instances!G36),"max", MAX(Instances!G36:Instances!G36),"diff", MAX(Instances!G36:Instances!G36)-MIN(Instances!G36:Instances!G36))</f>
        <v>0</v>
      </c>
      <c r="H36" s="1" cm="1">
        <f t="array" ref="H36">_xlfn.SWITCH($A$2,"average", AVERAGE(Instances!H36:Instances!H36),"median", MEDIAN(Instances!H36:Instances!H36),"min", MIN(Instances!H36:Instances!H36),"max", MAX(Instances!H36:Instances!H36),"diff", MAX(Instances!H36:Instances!H36)-MIN(Instances!H36:Instances!H36))</f>
        <v>0</v>
      </c>
      <c r="I36" s="1">
        <f>MIN($B36)</f>
        <v>0</v>
      </c>
      <c r="J36" s="1">
        <f>MIN($C36)</f>
        <v>0</v>
      </c>
      <c r="K36" s="1">
        <f>MIN($D36)</f>
        <v>0</v>
      </c>
      <c r="L36" s="1">
        <f>MIN($E36)</f>
        <v>0</v>
      </c>
      <c r="M36" s="1">
        <f>MIN($G36)</f>
        <v>0</v>
      </c>
      <c r="N36" s="1">
        <f>MIN($H36)</f>
        <v>0</v>
      </c>
      <c r="O36" s="1">
        <f>MEDIAN($B36)</f>
        <v>0</v>
      </c>
      <c r="P36" s="1">
        <f>MEDIAN($C36)</f>
        <v>0</v>
      </c>
      <c r="Q36" s="1">
        <f>MEDIAN($D36)</f>
        <v>0</v>
      </c>
      <c r="R36" s="1">
        <f>MEDIAN($E36)</f>
        <v>0</v>
      </c>
      <c r="S36" s="1">
        <f>MEDIAN($G36)</f>
        <v>0</v>
      </c>
      <c r="T36" s="1">
        <f>MEDIAN($H36)</f>
        <v>0</v>
      </c>
      <c r="U36" s="1">
        <f>MAX($B36)</f>
        <v>0</v>
      </c>
      <c r="V36" s="1">
        <f>MAX($C36)</f>
        <v>0</v>
      </c>
      <c r="W36" s="1">
        <f>MAX($D36)</f>
        <v>0</v>
      </c>
      <c r="X36" s="1">
        <f>MAX($E36)</f>
        <v>0</v>
      </c>
      <c r="Y36" s="1">
        <f>MAX($G36)</f>
        <v>0</v>
      </c>
      <c r="Z36" s="1">
        <f>MAX($H36)</f>
        <v>0</v>
      </c>
    </row>
    <row r="37" spans="1:26">
      <c r="A37" s="1" t="s">
        <v>34</v>
      </c>
      <c r="B37" s="1" cm="1">
        <f t="array" ref="B37">_xlfn.SWITCH($A$2,"average", AVERAGE(Instances!B37:Instances!B37),"median", MEDIAN(Instances!B37:Instances!B37),"min", MIN(Instances!B37:Instances!B37),"max", MAX(Instances!B37:Instances!B37),"diff", MAX(Instances!B37:Instances!B37)-MIN(Instances!B37:Instances!B37))</f>
        <v>0</v>
      </c>
      <c r="C37" s="1" cm="1">
        <f t="array" ref="C37">_xlfn.SWITCH($A$2,"average", AVERAGE(Instances!C37:Instances!C37),"median", MEDIAN(Instances!C37:Instances!C37),"min", MIN(Instances!C37:Instances!C37),"max", MAX(Instances!C37:Instances!C37),"diff", MAX(Instances!C37:Instances!C37)-MIN(Instances!C37:Instances!C37))</f>
        <v>0</v>
      </c>
      <c r="D37" s="1" cm="1">
        <f t="array" ref="D37">_xlfn.SWITCH($A$2,"average", AVERAGE(Instances!D37:Instances!D37),"median", MEDIAN(Instances!D37:Instances!D37),"min", MIN(Instances!D37:Instances!D37),"max", MAX(Instances!D37:Instances!D37),"diff", MAX(Instances!D37:Instances!D37)-MIN(Instances!D37:Instances!D37))</f>
        <v>0</v>
      </c>
      <c r="E37" s="1" cm="1">
        <f t="array" ref="E37">_xlfn.SWITCH($A$2,"average", AVERAGE(Instances!E37:Instances!E37),"median", MEDIAN(Instances!E37:Instances!E37),"min", MIN(Instances!E37:Instances!E37),"max", MAX(Instances!E37:Instances!E37),"diff", MAX(Instances!E37:Instances!E37)-MIN(Instances!E37:Instances!E37))</f>
        <v>0</v>
      </c>
      <c r="F37" s="1"/>
      <c r="G37" s="1" cm="1">
        <f t="array" ref="G37">_xlfn.SWITCH($A$2,"average", AVERAGE(Instances!G37:Instances!G37),"median", MEDIAN(Instances!G37:Instances!G37),"min", MIN(Instances!G37:Instances!G37),"max", MAX(Instances!G37:Instances!G37),"diff", MAX(Instances!G37:Instances!G37)-MIN(Instances!G37:Instances!G37))</f>
        <v>0</v>
      </c>
      <c r="H37" s="1" cm="1">
        <f t="array" ref="H37">_xlfn.SWITCH($A$2,"average", AVERAGE(Instances!H37:Instances!H37),"median", MEDIAN(Instances!H37:Instances!H37),"min", MIN(Instances!H37:Instances!H37),"max", MAX(Instances!H37:Instances!H37),"diff", MAX(Instances!H37:Instances!H37)-MIN(Instances!H37:Instances!H37))</f>
        <v>0</v>
      </c>
      <c r="I37" s="1">
        <f>MIN($B37)</f>
        <v>0</v>
      </c>
      <c r="J37" s="1">
        <f>MIN($C37)</f>
        <v>0</v>
      </c>
      <c r="K37" s="1">
        <f>MIN($D37)</f>
        <v>0</v>
      </c>
      <c r="L37" s="1">
        <f>MIN($E37)</f>
        <v>0</v>
      </c>
      <c r="M37" s="1">
        <f>MIN($G37)</f>
        <v>0</v>
      </c>
      <c r="N37" s="1">
        <f>MIN($H37)</f>
        <v>0</v>
      </c>
      <c r="O37" s="1">
        <f>MEDIAN($B37)</f>
        <v>0</v>
      </c>
      <c r="P37" s="1">
        <f>MEDIAN($C37)</f>
        <v>0</v>
      </c>
      <c r="Q37" s="1">
        <f>MEDIAN($D37)</f>
        <v>0</v>
      </c>
      <c r="R37" s="1">
        <f>MEDIAN($E37)</f>
        <v>0</v>
      </c>
      <c r="S37" s="1">
        <f>MEDIAN($G37)</f>
        <v>0</v>
      </c>
      <c r="T37" s="1">
        <f>MEDIAN($H37)</f>
        <v>0</v>
      </c>
      <c r="U37" s="1">
        <f>MAX($B37)</f>
        <v>0</v>
      </c>
      <c r="V37" s="1">
        <f>MAX($C37)</f>
        <v>0</v>
      </c>
      <c r="W37" s="1">
        <f>MAX($D37)</f>
        <v>0</v>
      </c>
      <c r="X37" s="1">
        <f>MAX($E37)</f>
        <v>0</v>
      </c>
      <c r="Y37" s="1">
        <f>MAX($G37)</f>
        <v>0</v>
      </c>
      <c r="Z37" s="1">
        <f>MAX($H37)</f>
        <v>0</v>
      </c>
    </row>
    <row r="38" spans="1:26">
      <c r="A38" s="1" t="s">
        <v>35</v>
      </c>
      <c r="B38" s="1" cm="1">
        <f t="array" ref="B38">_xlfn.SWITCH($A$2,"average", AVERAGE(Instances!B38:Instances!B38),"median", MEDIAN(Instances!B38:Instances!B38),"min", MIN(Instances!B38:Instances!B38),"max", MAX(Instances!B38:Instances!B38),"diff", MAX(Instances!B38:Instances!B38)-MIN(Instances!B38:Instances!B38))</f>
        <v>0</v>
      </c>
      <c r="C38" s="1" cm="1">
        <f t="array" ref="C38">_xlfn.SWITCH($A$2,"average", AVERAGE(Instances!C38:Instances!C38),"median", MEDIAN(Instances!C38:Instances!C38),"min", MIN(Instances!C38:Instances!C38),"max", MAX(Instances!C38:Instances!C38),"diff", MAX(Instances!C38:Instances!C38)-MIN(Instances!C38:Instances!C38))</f>
        <v>0</v>
      </c>
      <c r="D38" s="1" cm="1">
        <f t="array" ref="D38">_xlfn.SWITCH($A$2,"average", AVERAGE(Instances!D38:Instances!D38),"median", MEDIAN(Instances!D38:Instances!D38),"min", MIN(Instances!D38:Instances!D38),"max", MAX(Instances!D38:Instances!D38),"diff", MAX(Instances!D38:Instances!D38)-MIN(Instances!D38:Instances!D38))</f>
        <v>0</v>
      </c>
      <c r="E38" s="1" cm="1">
        <f t="array" ref="E38">_xlfn.SWITCH($A$2,"average", AVERAGE(Instances!E38:Instances!E38),"median", MEDIAN(Instances!E38:Instances!E38),"min", MIN(Instances!E38:Instances!E38),"max", MAX(Instances!E38:Instances!E38),"diff", MAX(Instances!E38:Instances!E38)-MIN(Instances!E38:Instances!E38))</f>
        <v>0</v>
      </c>
      <c r="F38" s="1"/>
      <c r="G38" s="1" cm="1">
        <f t="array" ref="G38">_xlfn.SWITCH($A$2,"average", AVERAGE(Instances!G38:Instances!G38),"median", MEDIAN(Instances!G38:Instances!G38),"min", MIN(Instances!G38:Instances!G38),"max", MAX(Instances!G38:Instances!G38),"diff", MAX(Instances!G38:Instances!G38)-MIN(Instances!G38:Instances!G38))</f>
        <v>0</v>
      </c>
      <c r="H38" s="1" cm="1">
        <f t="array" ref="H38">_xlfn.SWITCH($A$2,"average", AVERAGE(Instances!H38:Instances!H38),"median", MEDIAN(Instances!H38:Instances!H38),"min", MIN(Instances!H38:Instances!H38),"max", MAX(Instances!H38:Instances!H38),"diff", MAX(Instances!H38:Instances!H38)-MIN(Instances!H38:Instances!H38))</f>
        <v>0</v>
      </c>
      <c r="I38" s="1">
        <f>MIN($B38)</f>
        <v>0</v>
      </c>
      <c r="J38" s="1">
        <f>MIN($C38)</f>
        <v>0</v>
      </c>
      <c r="K38" s="1">
        <f>MIN($D38)</f>
        <v>0</v>
      </c>
      <c r="L38" s="1">
        <f>MIN($E38)</f>
        <v>0</v>
      </c>
      <c r="M38" s="1">
        <f>MIN($G38)</f>
        <v>0</v>
      </c>
      <c r="N38" s="1">
        <f>MIN($H38)</f>
        <v>0</v>
      </c>
      <c r="O38" s="1">
        <f>MEDIAN($B38)</f>
        <v>0</v>
      </c>
      <c r="P38" s="1">
        <f>MEDIAN($C38)</f>
        <v>0</v>
      </c>
      <c r="Q38" s="1">
        <f>MEDIAN($D38)</f>
        <v>0</v>
      </c>
      <c r="R38" s="1">
        <f>MEDIAN($E38)</f>
        <v>0</v>
      </c>
      <c r="S38" s="1">
        <f>MEDIAN($G38)</f>
        <v>0</v>
      </c>
      <c r="T38" s="1">
        <f>MEDIAN($H38)</f>
        <v>0</v>
      </c>
      <c r="U38" s="1">
        <f>MAX($B38)</f>
        <v>0</v>
      </c>
      <c r="V38" s="1">
        <f>MAX($C38)</f>
        <v>0</v>
      </c>
      <c r="W38" s="1">
        <f>MAX($D38)</f>
        <v>0</v>
      </c>
      <c r="X38" s="1">
        <f>MAX($E38)</f>
        <v>0</v>
      </c>
      <c r="Y38" s="1">
        <f>MAX($G38)</f>
        <v>0</v>
      </c>
      <c r="Z38" s="1">
        <f>MAX($H38)</f>
        <v>0</v>
      </c>
    </row>
    <row r="39" spans="1:26">
      <c r="A39" s="1" t="s">
        <v>36</v>
      </c>
      <c r="B39" s="1" cm="1">
        <f t="array" ref="B39">_xlfn.SWITCH($A$2,"average", AVERAGE(Instances!B39:Instances!B39),"median", MEDIAN(Instances!B39:Instances!B39),"min", MIN(Instances!B39:Instances!B39),"max", MAX(Instances!B39:Instances!B39),"diff", MAX(Instances!B39:Instances!B39)-MIN(Instances!B39:Instances!B39))</f>
        <v>0</v>
      </c>
      <c r="C39" s="1" cm="1">
        <f t="array" ref="C39">_xlfn.SWITCH($A$2,"average", AVERAGE(Instances!C39:Instances!C39),"median", MEDIAN(Instances!C39:Instances!C39),"min", MIN(Instances!C39:Instances!C39),"max", MAX(Instances!C39:Instances!C39),"diff", MAX(Instances!C39:Instances!C39)-MIN(Instances!C39:Instances!C39))</f>
        <v>0</v>
      </c>
      <c r="D39" s="1" cm="1">
        <f t="array" ref="D39">_xlfn.SWITCH($A$2,"average", AVERAGE(Instances!D39:Instances!D39),"median", MEDIAN(Instances!D39:Instances!D39),"min", MIN(Instances!D39:Instances!D39),"max", MAX(Instances!D39:Instances!D39),"diff", MAX(Instances!D39:Instances!D39)-MIN(Instances!D39:Instances!D39))</f>
        <v>0</v>
      </c>
      <c r="E39" s="1" cm="1">
        <f t="array" ref="E39">_xlfn.SWITCH($A$2,"average", AVERAGE(Instances!E39:Instances!E39),"median", MEDIAN(Instances!E39:Instances!E39),"min", MIN(Instances!E39:Instances!E39),"max", MAX(Instances!E39:Instances!E39),"diff", MAX(Instances!E39:Instances!E39)-MIN(Instances!E39:Instances!E39))</f>
        <v>0</v>
      </c>
      <c r="F39" s="1"/>
      <c r="G39" s="1" cm="1">
        <f t="array" ref="G39">_xlfn.SWITCH($A$2,"average", AVERAGE(Instances!G39:Instances!G39),"median", MEDIAN(Instances!G39:Instances!G39),"min", MIN(Instances!G39:Instances!G39),"max", MAX(Instances!G39:Instances!G39),"diff", MAX(Instances!G39:Instances!G39)-MIN(Instances!G39:Instances!G39))</f>
        <v>0</v>
      </c>
      <c r="H39" s="1" cm="1">
        <f t="array" ref="H39">_xlfn.SWITCH($A$2,"average", AVERAGE(Instances!H39:Instances!H39),"median", MEDIAN(Instances!H39:Instances!H39),"min", MIN(Instances!H39:Instances!H39),"max", MAX(Instances!H39:Instances!H39),"diff", MAX(Instances!H39:Instances!H39)-MIN(Instances!H39:Instances!H39))</f>
        <v>0</v>
      </c>
      <c r="I39" s="1">
        <f>MIN($B39)</f>
        <v>0</v>
      </c>
      <c r="J39" s="1">
        <f>MIN($C39)</f>
        <v>0</v>
      </c>
      <c r="K39" s="1">
        <f>MIN($D39)</f>
        <v>0</v>
      </c>
      <c r="L39" s="1">
        <f>MIN($E39)</f>
        <v>0</v>
      </c>
      <c r="M39" s="1">
        <f>MIN($G39)</f>
        <v>0</v>
      </c>
      <c r="N39" s="1">
        <f>MIN($H39)</f>
        <v>0</v>
      </c>
      <c r="O39" s="1">
        <f>MEDIAN($B39)</f>
        <v>0</v>
      </c>
      <c r="P39" s="1">
        <f>MEDIAN($C39)</f>
        <v>0</v>
      </c>
      <c r="Q39" s="1">
        <f>MEDIAN($D39)</f>
        <v>0</v>
      </c>
      <c r="R39" s="1">
        <f>MEDIAN($E39)</f>
        <v>0</v>
      </c>
      <c r="S39" s="1">
        <f>MEDIAN($G39)</f>
        <v>0</v>
      </c>
      <c r="T39" s="1">
        <f>MEDIAN($H39)</f>
        <v>0</v>
      </c>
      <c r="U39" s="1">
        <f>MAX($B39)</f>
        <v>0</v>
      </c>
      <c r="V39" s="1">
        <f>MAX($C39)</f>
        <v>0</v>
      </c>
      <c r="W39" s="1">
        <f>MAX($D39)</f>
        <v>0</v>
      </c>
      <c r="X39" s="1">
        <f>MAX($E39)</f>
        <v>0</v>
      </c>
      <c r="Y39" s="1">
        <f>MAX($G39)</f>
        <v>0</v>
      </c>
      <c r="Z39" s="1">
        <f>MAX($H39)</f>
        <v>0</v>
      </c>
    </row>
    <row r="40" spans="1:26">
      <c r="A40" s="1" t="s">
        <v>37</v>
      </c>
      <c r="B40" s="1" cm="1">
        <f t="array" ref="B40">_xlfn.SWITCH($A$2,"average", AVERAGE(Instances!B40:Instances!B40),"median", MEDIAN(Instances!B40:Instances!B40),"min", MIN(Instances!B40:Instances!B40),"max", MAX(Instances!B40:Instances!B40),"diff", MAX(Instances!B40:Instances!B40)-MIN(Instances!B40:Instances!B40))</f>
        <v>0</v>
      </c>
      <c r="C40" s="1" cm="1">
        <f t="array" ref="C40">_xlfn.SWITCH($A$2,"average", AVERAGE(Instances!C40:Instances!C40),"median", MEDIAN(Instances!C40:Instances!C40),"min", MIN(Instances!C40:Instances!C40),"max", MAX(Instances!C40:Instances!C40),"diff", MAX(Instances!C40:Instances!C40)-MIN(Instances!C40:Instances!C40))</f>
        <v>0</v>
      </c>
      <c r="D40" s="1" cm="1">
        <f t="array" ref="D40">_xlfn.SWITCH($A$2,"average", AVERAGE(Instances!D40:Instances!D40),"median", MEDIAN(Instances!D40:Instances!D40),"min", MIN(Instances!D40:Instances!D40),"max", MAX(Instances!D40:Instances!D40),"diff", MAX(Instances!D40:Instances!D40)-MIN(Instances!D40:Instances!D40))</f>
        <v>0</v>
      </c>
      <c r="E40" s="1" cm="1">
        <f t="array" ref="E40">_xlfn.SWITCH($A$2,"average", AVERAGE(Instances!E40:Instances!E40),"median", MEDIAN(Instances!E40:Instances!E40),"min", MIN(Instances!E40:Instances!E40),"max", MAX(Instances!E40:Instances!E40),"diff", MAX(Instances!E40:Instances!E40)-MIN(Instances!E40:Instances!E40))</f>
        <v>0</v>
      </c>
      <c r="F40" s="1"/>
      <c r="G40" s="1" cm="1">
        <f t="array" ref="G40">_xlfn.SWITCH($A$2,"average", AVERAGE(Instances!G40:Instances!G40),"median", MEDIAN(Instances!G40:Instances!G40),"min", MIN(Instances!G40:Instances!G40),"max", MAX(Instances!G40:Instances!G40),"diff", MAX(Instances!G40:Instances!G40)-MIN(Instances!G40:Instances!G40))</f>
        <v>0</v>
      </c>
      <c r="H40" s="1" cm="1">
        <f t="array" ref="H40">_xlfn.SWITCH($A$2,"average", AVERAGE(Instances!H40:Instances!H40),"median", MEDIAN(Instances!H40:Instances!H40),"min", MIN(Instances!H40:Instances!H40),"max", MAX(Instances!H40:Instances!H40),"diff", MAX(Instances!H40:Instances!H40)-MIN(Instances!H40:Instances!H40))</f>
        <v>0</v>
      </c>
      <c r="I40" s="1">
        <f>MIN($B40)</f>
        <v>0</v>
      </c>
      <c r="J40" s="1">
        <f>MIN($C40)</f>
        <v>0</v>
      </c>
      <c r="K40" s="1">
        <f>MIN($D40)</f>
        <v>0</v>
      </c>
      <c r="L40" s="1">
        <f>MIN($E40)</f>
        <v>0</v>
      </c>
      <c r="M40" s="1">
        <f>MIN($G40)</f>
        <v>0</v>
      </c>
      <c r="N40" s="1">
        <f>MIN($H40)</f>
        <v>0</v>
      </c>
      <c r="O40" s="1">
        <f>MEDIAN($B40)</f>
        <v>0</v>
      </c>
      <c r="P40" s="1">
        <f>MEDIAN($C40)</f>
        <v>0</v>
      </c>
      <c r="Q40" s="1">
        <f>MEDIAN($D40)</f>
        <v>0</v>
      </c>
      <c r="R40" s="1">
        <f>MEDIAN($E40)</f>
        <v>0</v>
      </c>
      <c r="S40" s="1">
        <f>MEDIAN($G40)</f>
        <v>0</v>
      </c>
      <c r="T40" s="1">
        <f>MEDIAN($H40)</f>
        <v>0</v>
      </c>
      <c r="U40" s="1">
        <f>MAX($B40)</f>
        <v>0</v>
      </c>
      <c r="V40" s="1">
        <f>MAX($C40)</f>
        <v>0</v>
      </c>
      <c r="W40" s="1">
        <f>MAX($D40)</f>
        <v>0</v>
      </c>
      <c r="X40" s="1">
        <f>MAX($E40)</f>
        <v>0</v>
      </c>
      <c r="Y40" s="1">
        <f>MAX($G40)</f>
        <v>0</v>
      </c>
      <c r="Z40" s="1">
        <f>MAX($H40)</f>
        <v>0</v>
      </c>
    </row>
    <row r="41" spans="1:26">
      <c r="A41" s="1" t="s">
        <v>38</v>
      </c>
      <c r="B41" s="1" cm="1">
        <f t="array" ref="B41">_xlfn.SWITCH($A$2,"average", AVERAGE(Instances!B41:Instances!B41),"median", MEDIAN(Instances!B41:Instances!B41),"min", MIN(Instances!B41:Instances!B41),"max", MAX(Instances!B41:Instances!B41),"diff", MAX(Instances!B41:Instances!B41)-MIN(Instances!B41:Instances!B41))</f>
        <v>0</v>
      </c>
      <c r="C41" s="1" cm="1">
        <f t="array" ref="C41">_xlfn.SWITCH($A$2,"average", AVERAGE(Instances!C41:Instances!C41),"median", MEDIAN(Instances!C41:Instances!C41),"min", MIN(Instances!C41:Instances!C41),"max", MAX(Instances!C41:Instances!C41),"diff", MAX(Instances!C41:Instances!C41)-MIN(Instances!C41:Instances!C41))</f>
        <v>0</v>
      </c>
      <c r="D41" s="1" cm="1">
        <f t="array" ref="D41">_xlfn.SWITCH($A$2,"average", AVERAGE(Instances!D41:Instances!D41),"median", MEDIAN(Instances!D41:Instances!D41),"min", MIN(Instances!D41:Instances!D41),"max", MAX(Instances!D41:Instances!D41),"diff", MAX(Instances!D41:Instances!D41)-MIN(Instances!D41:Instances!D41))</f>
        <v>0</v>
      </c>
      <c r="E41" s="1" cm="1">
        <f t="array" ref="E41">_xlfn.SWITCH($A$2,"average", AVERAGE(Instances!E41:Instances!E41),"median", MEDIAN(Instances!E41:Instances!E41),"min", MIN(Instances!E41:Instances!E41),"max", MAX(Instances!E41:Instances!E41),"diff", MAX(Instances!E41:Instances!E41)-MIN(Instances!E41:Instances!E41))</f>
        <v>0</v>
      </c>
      <c r="F41" s="1"/>
      <c r="G41" s="1" cm="1">
        <f t="array" ref="G41">_xlfn.SWITCH($A$2,"average", AVERAGE(Instances!G41:Instances!G41),"median", MEDIAN(Instances!G41:Instances!G41),"min", MIN(Instances!G41:Instances!G41),"max", MAX(Instances!G41:Instances!G41),"diff", MAX(Instances!G41:Instances!G41)-MIN(Instances!G41:Instances!G41))</f>
        <v>0</v>
      </c>
      <c r="H41" s="1" cm="1">
        <f t="array" ref="H41">_xlfn.SWITCH($A$2,"average", AVERAGE(Instances!H41:Instances!H41),"median", MEDIAN(Instances!H41:Instances!H41),"min", MIN(Instances!H41:Instances!H41),"max", MAX(Instances!H41:Instances!H41),"diff", MAX(Instances!H41:Instances!H41)-MIN(Instances!H41:Instances!H41))</f>
        <v>0</v>
      </c>
      <c r="I41" s="1">
        <f>MIN($B41)</f>
        <v>0</v>
      </c>
      <c r="J41" s="1">
        <f>MIN($C41)</f>
        <v>0</v>
      </c>
      <c r="K41" s="1">
        <f>MIN($D41)</f>
        <v>0</v>
      </c>
      <c r="L41" s="1">
        <f>MIN($E41)</f>
        <v>0</v>
      </c>
      <c r="M41" s="1">
        <f>MIN($G41)</f>
        <v>0</v>
      </c>
      <c r="N41" s="1">
        <f>MIN($H41)</f>
        <v>0</v>
      </c>
      <c r="O41" s="1">
        <f>MEDIAN($B41)</f>
        <v>0</v>
      </c>
      <c r="P41" s="1">
        <f>MEDIAN($C41)</f>
        <v>0</v>
      </c>
      <c r="Q41" s="1">
        <f>MEDIAN($D41)</f>
        <v>0</v>
      </c>
      <c r="R41" s="1">
        <f>MEDIAN($E41)</f>
        <v>0</v>
      </c>
      <c r="S41" s="1">
        <f>MEDIAN($G41)</f>
        <v>0</v>
      </c>
      <c r="T41" s="1">
        <f>MEDIAN($H41)</f>
        <v>0</v>
      </c>
      <c r="U41" s="1">
        <f>MAX($B41)</f>
        <v>0</v>
      </c>
      <c r="V41" s="1">
        <f>MAX($C41)</f>
        <v>0</v>
      </c>
      <c r="W41" s="1">
        <f>MAX($D41)</f>
        <v>0</v>
      </c>
      <c r="X41" s="1">
        <f>MAX($E41)</f>
        <v>0</v>
      </c>
      <c r="Y41" s="1">
        <f>MAX($G41)</f>
        <v>0</v>
      </c>
      <c r="Z41" s="1">
        <f>MAX($H41)</f>
        <v>0</v>
      </c>
    </row>
    <row r="42" spans="1:26">
      <c r="A42" s="1" t="s">
        <v>39</v>
      </c>
      <c r="B42" s="1" cm="1">
        <f t="array" ref="B42">_xlfn.SWITCH($A$2,"average", AVERAGE(Instances!B42:Instances!B42),"median", MEDIAN(Instances!B42:Instances!B42),"min", MIN(Instances!B42:Instances!B42),"max", MAX(Instances!B42:Instances!B42),"diff", MAX(Instances!B42:Instances!B42)-MIN(Instances!B42:Instances!B42))</f>
        <v>0</v>
      </c>
      <c r="C42" s="1" cm="1">
        <f t="array" ref="C42">_xlfn.SWITCH($A$2,"average", AVERAGE(Instances!C42:Instances!C42),"median", MEDIAN(Instances!C42:Instances!C42),"min", MIN(Instances!C42:Instances!C42),"max", MAX(Instances!C42:Instances!C42),"diff", MAX(Instances!C42:Instances!C42)-MIN(Instances!C42:Instances!C42))</f>
        <v>0</v>
      </c>
      <c r="D42" s="1" cm="1">
        <f t="array" ref="D42">_xlfn.SWITCH($A$2,"average", AVERAGE(Instances!D42:Instances!D42),"median", MEDIAN(Instances!D42:Instances!D42),"min", MIN(Instances!D42:Instances!D42),"max", MAX(Instances!D42:Instances!D42),"diff", MAX(Instances!D42:Instances!D42)-MIN(Instances!D42:Instances!D42))</f>
        <v>0</v>
      </c>
      <c r="E42" s="1" cm="1">
        <f t="array" ref="E42">_xlfn.SWITCH($A$2,"average", AVERAGE(Instances!E42:Instances!E42),"median", MEDIAN(Instances!E42:Instances!E42),"min", MIN(Instances!E42:Instances!E42),"max", MAX(Instances!E42:Instances!E42),"diff", MAX(Instances!E42:Instances!E42)-MIN(Instances!E42:Instances!E42))</f>
        <v>0</v>
      </c>
      <c r="F42" s="1"/>
      <c r="G42" s="1" cm="1">
        <f t="array" ref="G42">_xlfn.SWITCH($A$2,"average", AVERAGE(Instances!G42:Instances!G42),"median", MEDIAN(Instances!G42:Instances!G42),"min", MIN(Instances!G42:Instances!G42),"max", MAX(Instances!G42:Instances!G42),"diff", MAX(Instances!G42:Instances!G42)-MIN(Instances!G42:Instances!G42))</f>
        <v>0</v>
      </c>
      <c r="H42" s="1" cm="1">
        <f t="array" ref="H42">_xlfn.SWITCH($A$2,"average", AVERAGE(Instances!H42:Instances!H42),"median", MEDIAN(Instances!H42:Instances!H42),"min", MIN(Instances!H42:Instances!H42),"max", MAX(Instances!H42:Instances!H42),"diff", MAX(Instances!H42:Instances!H42)-MIN(Instances!H42:Instances!H42))</f>
        <v>0</v>
      </c>
      <c r="I42" s="1">
        <f>MIN($B42)</f>
        <v>0</v>
      </c>
      <c r="J42" s="1">
        <f>MIN($C42)</f>
        <v>0</v>
      </c>
      <c r="K42" s="1">
        <f>MIN($D42)</f>
        <v>0</v>
      </c>
      <c r="L42" s="1">
        <f>MIN($E42)</f>
        <v>0</v>
      </c>
      <c r="M42" s="1">
        <f>MIN($G42)</f>
        <v>0</v>
      </c>
      <c r="N42" s="1">
        <f>MIN($H42)</f>
        <v>0</v>
      </c>
      <c r="O42" s="1">
        <f>MEDIAN($B42)</f>
        <v>0</v>
      </c>
      <c r="P42" s="1">
        <f>MEDIAN($C42)</f>
        <v>0</v>
      </c>
      <c r="Q42" s="1">
        <f>MEDIAN($D42)</f>
        <v>0</v>
      </c>
      <c r="R42" s="1">
        <f>MEDIAN($E42)</f>
        <v>0</v>
      </c>
      <c r="S42" s="1">
        <f>MEDIAN($G42)</f>
        <v>0</v>
      </c>
      <c r="T42" s="1">
        <f>MEDIAN($H42)</f>
        <v>0</v>
      </c>
      <c r="U42" s="1">
        <f>MAX($B42)</f>
        <v>0</v>
      </c>
      <c r="V42" s="1">
        <f>MAX($C42)</f>
        <v>0</v>
      </c>
      <c r="W42" s="1">
        <f>MAX($D42)</f>
        <v>0</v>
      </c>
      <c r="X42" s="1">
        <f>MAX($E42)</f>
        <v>0</v>
      </c>
      <c r="Y42" s="1">
        <f>MAX($G42)</f>
        <v>0</v>
      </c>
      <c r="Z42" s="1">
        <f>MAX($H42)</f>
        <v>0</v>
      </c>
    </row>
    <row r="43" spans="1:26">
      <c r="A43" s="1" t="s">
        <v>40</v>
      </c>
      <c r="B43" s="1" cm="1">
        <f t="array" ref="B43">_xlfn.SWITCH($A$2,"average", AVERAGE(Instances!B43:Instances!B43),"median", MEDIAN(Instances!B43:Instances!B43),"min", MIN(Instances!B43:Instances!B43),"max", MAX(Instances!B43:Instances!B43),"diff", MAX(Instances!B43:Instances!B43)-MIN(Instances!B43:Instances!B43))</f>
        <v>0</v>
      </c>
      <c r="C43" s="1" cm="1">
        <f t="array" ref="C43">_xlfn.SWITCH($A$2,"average", AVERAGE(Instances!C43:Instances!C43),"median", MEDIAN(Instances!C43:Instances!C43),"min", MIN(Instances!C43:Instances!C43),"max", MAX(Instances!C43:Instances!C43),"diff", MAX(Instances!C43:Instances!C43)-MIN(Instances!C43:Instances!C43))</f>
        <v>0</v>
      </c>
      <c r="D43" s="1" cm="1">
        <f t="array" ref="D43">_xlfn.SWITCH($A$2,"average", AVERAGE(Instances!D43:Instances!D43),"median", MEDIAN(Instances!D43:Instances!D43),"min", MIN(Instances!D43:Instances!D43),"max", MAX(Instances!D43:Instances!D43),"diff", MAX(Instances!D43:Instances!D43)-MIN(Instances!D43:Instances!D43))</f>
        <v>0</v>
      </c>
      <c r="E43" s="1" cm="1">
        <f t="array" ref="E43">_xlfn.SWITCH($A$2,"average", AVERAGE(Instances!E43:Instances!E43),"median", MEDIAN(Instances!E43:Instances!E43),"min", MIN(Instances!E43:Instances!E43),"max", MAX(Instances!E43:Instances!E43),"diff", MAX(Instances!E43:Instances!E43)-MIN(Instances!E43:Instances!E43))</f>
        <v>0</v>
      </c>
      <c r="F43" s="1"/>
      <c r="G43" s="1" cm="1">
        <f t="array" ref="G43">_xlfn.SWITCH($A$2,"average", AVERAGE(Instances!G43:Instances!G43),"median", MEDIAN(Instances!G43:Instances!G43),"min", MIN(Instances!G43:Instances!G43),"max", MAX(Instances!G43:Instances!G43),"diff", MAX(Instances!G43:Instances!G43)-MIN(Instances!G43:Instances!G43))</f>
        <v>0</v>
      </c>
      <c r="H43" s="1" cm="1">
        <f t="array" ref="H43">_xlfn.SWITCH($A$2,"average", AVERAGE(Instances!H43:Instances!H43),"median", MEDIAN(Instances!H43:Instances!H43),"min", MIN(Instances!H43:Instances!H43),"max", MAX(Instances!H43:Instances!H43),"diff", MAX(Instances!H43:Instances!H43)-MIN(Instances!H43:Instances!H43))</f>
        <v>0</v>
      </c>
      <c r="I43" s="1">
        <f>MIN($B43)</f>
        <v>0</v>
      </c>
      <c r="J43" s="1">
        <f>MIN($C43)</f>
        <v>0</v>
      </c>
      <c r="K43" s="1">
        <f>MIN($D43)</f>
        <v>0</v>
      </c>
      <c r="L43" s="1">
        <f>MIN($E43)</f>
        <v>0</v>
      </c>
      <c r="M43" s="1">
        <f>MIN($G43)</f>
        <v>0</v>
      </c>
      <c r="N43" s="1">
        <f>MIN($H43)</f>
        <v>0</v>
      </c>
      <c r="O43" s="1">
        <f>MEDIAN($B43)</f>
        <v>0</v>
      </c>
      <c r="P43" s="1">
        <f>MEDIAN($C43)</f>
        <v>0</v>
      </c>
      <c r="Q43" s="1">
        <f>MEDIAN($D43)</f>
        <v>0</v>
      </c>
      <c r="R43" s="1">
        <f>MEDIAN($E43)</f>
        <v>0</v>
      </c>
      <c r="S43" s="1">
        <f>MEDIAN($G43)</f>
        <v>0</v>
      </c>
      <c r="T43" s="1">
        <f>MEDIAN($H43)</f>
        <v>0</v>
      </c>
      <c r="U43" s="1">
        <f>MAX($B43)</f>
        <v>0</v>
      </c>
      <c r="V43" s="1">
        <f>MAX($C43)</f>
        <v>0</v>
      </c>
      <c r="W43" s="1">
        <f>MAX($D43)</f>
        <v>0</v>
      </c>
      <c r="X43" s="1">
        <f>MAX($E43)</f>
        <v>0</v>
      </c>
      <c r="Y43" s="1">
        <f>MAX($G43)</f>
        <v>0</v>
      </c>
      <c r="Z43" s="1">
        <f>MAX($H43)</f>
        <v>0</v>
      </c>
    </row>
    <row r="44" spans="1:26">
      <c r="A44" s="1" t="s">
        <v>41</v>
      </c>
      <c r="B44" s="1" cm="1">
        <f t="array" ref="B44">_xlfn.SWITCH($A$2,"average", AVERAGE(Instances!B44:Instances!B44),"median", MEDIAN(Instances!B44:Instances!B44),"min", MIN(Instances!B44:Instances!B44),"max", MAX(Instances!B44:Instances!B44),"diff", MAX(Instances!B44:Instances!B44)-MIN(Instances!B44:Instances!B44))</f>
        <v>0</v>
      </c>
      <c r="C44" s="1" cm="1">
        <f t="array" ref="C44">_xlfn.SWITCH($A$2,"average", AVERAGE(Instances!C44:Instances!C44),"median", MEDIAN(Instances!C44:Instances!C44),"min", MIN(Instances!C44:Instances!C44),"max", MAX(Instances!C44:Instances!C44),"diff", MAX(Instances!C44:Instances!C44)-MIN(Instances!C44:Instances!C44))</f>
        <v>0</v>
      </c>
      <c r="D44" s="1" cm="1">
        <f t="array" ref="D44">_xlfn.SWITCH($A$2,"average", AVERAGE(Instances!D44:Instances!D44),"median", MEDIAN(Instances!D44:Instances!D44),"min", MIN(Instances!D44:Instances!D44),"max", MAX(Instances!D44:Instances!D44),"diff", MAX(Instances!D44:Instances!D44)-MIN(Instances!D44:Instances!D44))</f>
        <v>0</v>
      </c>
      <c r="E44" s="1" cm="1">
        <f t="array" ref="E44">_xlfn.SWITCH($A$2,"average", AVERAGE(Instances!E44:Instances!E44),"median", MEDIAN(Instances!E44:Instances!E44),"min", MIN(Instances!E44:Instances!E44),"max", MAX(Instances!E44:Instances!E44),"diff", MAX(Instances!E44:Instances!E44)-MIN(Instances!E44:Instances!E44))</f>
        <v>0</v>
      </c>
      <c r="F44" s="1"/>
      <c r="G44" s="1" cm="1">
        <f t="array" ref="G44">_xlfn.SWITCH($A$2,"average", AVERAGE(Instances!G44:Instances!G44),"median", MEDIAN(Instances!G44:Instances!G44),"min", MIN(Instances!G44:Instances!G44),"max", MAX(Instances!G44:Instances!G44),"diff", MAX(Instances!G44:Instances!G44)-MIN(Instances!G44:Instances!G44))</f>
        <v>0</v>
      </c>
      <c r="H44" s="1" cm="1">
        <f t="array" ref="H44">_xlfn.SWITCH($A$2,"average", AVERAGE(Instances!H44:Instances!H44),"median", MEDIAN(Instances!H44:Instances!H44),"min", MIN(Instances!H44:Instances!H44),"max", MAX(Instances!H44:Instances!H44),"diff", MAX(Instances!H44:Instances!H44)-MIN(Instances!H44:Instances!H44))</f>
        <v>0</v>
      </c>
      <c r="I44" s="1">
        <f>MIN($B44)</f>
        <v>0</v>
      </c>
      <c r="J44" s="1">
        <f>MIN($C44)</f>
        <v>0</v>
      </c>
      <c r="K44" s="1">
        <f>MIN($D44)</f>
        <v>0</v>
      </c>
      <c r="L44" s="1">
        <f>MIN($E44)</f>
        <v>0</v>
      </c>
      <c r="M44" s="1">
        <f>MIN($G44)</f>
        <v>0</v>
      </c>
      <c r="N44" s="1">
        <f>MIN($H44)</f>
        <v>0</v>
      </c>
      <c r="O44" s="1">
        <f>MEDIAN($B44)</f>
        <v>0</v>
      </c>
      <c r="P44" s="1">
        <f>MEDIAN($C44)</f>
        <v>0</v>
      </c>
      <c r="Q44" s="1">
        <f>MEDIAN($D44)</f>
        <v>0</v>
      </c>
      <c r="R44" s="1">
        <f>MEDIAN($E44)</f>
        <v>0</v>
      </c>
      <c r="S44" s="1">
        <f>MEDIAN($G44)</f>
        <v>0</v>
      </c>
      <c r="T44" s="1">
        <f>MEDIAN($H44)</f>
        <v>0</v>
      </c>
      <c r="U44" s="1">
        <f>MAX($B44)</f>
        <v>0</v>
      </c>
      <c r="V44" s="1">
        <f>MAX($C44)</f>
        <v>0</v>
      </c>
      <c r="W44" s="1">
        <f>MAX($D44)</f>
        <v>0</v>
      </c>
      <c r="X44" s="1">
        <f>MAX($E44)</f>
        <v>0</v>
      </c>
      <c r="Y44" s="1">
        <f>MAX($G44)</f>
        <v>0</v>
      </c>
      <c r="Z44" s="1">
        <f>MAX($H44)</f>
        <v>0</v>
      </c>
    </row>
    <row r="45" spans="1:26">
      <c r="A45" s="1" t="s">
        <v>42</v>
      </c>
      <c r="B45" s="1" cm="1">
        <f t="array" ref="B45">_xlfn.SWITCH($A$2,"average", AVERAGE(Instances!B45:Instances!B45),"median", MEDIAN(Instances!B45:Instances!B45),"min", MIN(Instances!B45:Instances!B45),"max", MAX(Instances!B45:Instances!B45),"diff", MAX(Instances!B45:Instances!B45)-MIN(Instances!B45:Instances!B45))</f>
        <v>0</v>
      </c>
      <c r="C45" s="1" cm="1">
        <f t="array" ref="C45">_xlfn.SWITCH($A$2,"average", AVERAGE(Instances!C45:Instances!C45),"median", MEDIAN(Instances!C45:Instances!C45),"min", MIN(Instances!C45:Instances!C45),"max", MAX(Instances!C45:Instances!C45),"diff", MAX(Instances!C45:Instances!C45)-MIN(Instances!C45:Instances!C45))</f>
        <v>0</v>
      </c>
      <c r="D45" s="1" cm="1">
        <f t="array" ref="D45">_xlfn.SWITCH($A$2,"average", AVERAGE(Instances!D45:Instances!D45),"median", MEDIAN(Instances!D45:Instances!D45),"min", MIN(Instances!D45:Instances!D45),"max", MAX(Instances!D45:Instances!D45),"diff", MAX(Instances!D45:Instances!D45)-MIN(Instances!D45:Instances!D45))</f>
        <v>0</v>
      </c>
      <c r="E45" s="1" cm="1">
        <f t="array" ref="E45">_xlfn.SWITCH($A$2,"average", AVERAGE(Instances!E45:Instances!E45),"median", MEDIAN(Instances!E45:Instances!E45),"min", MIN(Instances!E45:Instances!E45),"max", MAX(Instances!E45:Instances!E45),"diff", MAX(Instances!E45:Instances!E45)-MIN(Instances!E45:Instances!E45))</f>
        <v>0</v>
      </c>
      <c r="F45" s="1"/>
      <c r="G45" s="1" cm="1">
        <f t="array" ref="G45">_xlfn.SWITCH($A$2,"average", AVERAGE(Instances!G45:Instances!G45),"median", MEDIAN(Instances!G45:Instances!G45),"min", MIN(Instances!G45:Instances!G45),"max", MAX(Instances!G45:Instances!G45),"diff", MAX(Instances!G45:Instances!G45)-MIN(Instances!G45:Instances!G45))</f>
        <v>0</v>
      </c>
      <c r="H45" s="1" cm="1">
        <f t="array" ref="H45">_xlfn.SWITCH($A$2,"average", AVERAGE(Instances!H45:Instances!H45),"median", MEDIAN(Instances!H45:Instances!H45),"min", MIN(Instances!H45:Instances!H45),"max", MAX(Instances!H45:Instances!H45),"diff", MAX(Instances!H45:Instances!H45)-MIN(Instances!H45:Instances!H45))</f>
        <v>0</v>
      </c>
      <c r="I45" s="1">
        <f>MIN($B45)</f>
        <v>0</v>
      </c>
      <c r="J45" s="1">
        <f>MIN($C45)</f>
        <v>0</v>
      </c>
      <c r="K45" s="1">
        <f>MIN($D45)</f>
        <v>0</v>
      </c>
      <c r="L45" s="1">
        <f>MIN($E45)</f>
        <v>0</v>
      </c>
      <c r="M45" s="1">
        <f>MIN($G45)</f>
        <v>0</v>
      </c>
      <c r="N45" s="1">
        <f>MIN($H45)</f>
        <v>0</v>
      </c>
      <c r="O45" s="1">
        <f>MEDIAN($B45)</f>
        <v>0</v>
      </c>
      <c r="P45" s="1">
        <f>MEDIAN($C45)</f>
        <v>0</v>
      </c>
      <c r="Q45" s="1">
        <f>MEDIAN($D45)</f>
        <v>0</v>
      </c>
      <c r="R45" s="1">
        <f>MEDIAN($E45)</f>
        <v>0</v>
      </c>
      <c r="S45" s="1">
        <f>MEDIAN($G45)</f>
        <v>0</v>
      </c>
      <c r="T45" s="1">
        <f>MEDIAN($H45)</f>
        <v>0</v>
      </c>
      <c r="U45" s="1">
        <f>MAX($B45)</f>
        <v>0</v>
      </c>
      <c r="V45" s="1">
        <f>MAX($C45)</f>
        <v>0</v>
      </c>
      <c r="W45" s="1">
        <f>MAX($D45)</f>
        <v>0</v>
      </c>
      <c r="X45" s="1">
        <f>MAX($E45)</f>
        <v>0</v>
      </c>
      <c r="Y45" s="1">
        <f>MAX($G45)</f>
        <v>0</v>
      </c>
      <c r="Z45" s="1">
        <f>MAX($H45)</f>
        <v>0</v>
      </c>
    </row>
    <row r="46" spans="1:26">
      <c r="A46" s="1" t="s">
        <v>43</v>
      </c>
      <c r="B46" s="1" cm="1">
        <f t="array" ref="B46">_xlfn.SWITCH($A$2,"average", AVERAGE(Instances!B46:Instances!B46),"median", MEDIAN(Instances!B46:Instances!B46),"min", MIN(Instances!B46:Instances!B46),"max", MAX(Instances!B46:Instances!B46),"diff", MAX(Instances!B46:Instances!B46)-MIN(Instances!B46:Instances!B46))</f>
        <v>0</v>
      </c>
      <c r="C46" s="1" cm="1">
        <f t="array" ref="C46">_xlfn.SWITCH($A$2,"average", AVERAGE(Instances!C46:Instances!C46),"median", MEDIAN(Instances!C46:Instances!C46),"min", MIN(Instances!C46:Instances!C46),"max", MAX(Instances!C46:Instances!C46),"diff", MAX(Instances!C46:Instances!C46)-MIN(Instances!C46:Instances!C46))</f>
        <v>0</v>
      </c>
      <c r="D46" s="1" cm="1">
        <f t="array" ref="D46">_xlfn.SWITCH($A$2,"average", AVERAGE(Instances!D46:Instances!D46),"median", MEDIAN(Instances!D46:Instances!D46),"min", MIN(Instances!D46:Instances!D46),"max", MAX(Instances!D46:Instances!D46),"diff", MAX(Instances!D46:Instances!D46)-MIN(Instances!D46:Instances!D46))</f>
        <v>0</v>
      </c>
      <c r="E46" s="1" cm="1">
        <f t="array" ref="E46">_xlfn.SWITCH($A$2,"average", AVERAGE(Instances!E46:Instances!E46),"median", MEDIAN(Instances!E46:Instances!E46),"min", MIN(Instances!E46:Instances!E46),"max", MAX(Instances!E46:Instances!E46),"diff", MAX(Instances!E46:Instances!E46)-MIN(Instances!E46:Instances!E46))</f>
        <v>0</v>
      </c>
      <c r="F46" s="1"/>
      <c r="G46" s="1" cm="1">
        <f t="array" ref="G46">_xlfn.SWITCH($A$2,"average", AVERAGE(Instances!G46:Instances!G46),"median", MEDIAN(Instances!G46:Instances!G46),"min", MIN(Instances!G46:Instances!G46),"max", MAX(Instances!G46:Instances!G46),"diff", MAX(Instances!G46:Instances!G46)-MIN(Instances!G46:Instances!G46))</f>
        <v>0</v>
      </c>
      <c r="H46" s="1" cm="1">
        <f t="array" ref="H46">_xlfn.SWITCH($A$2,"average", AVERAGE(Instances!H46:Instances!H46),"median", MEDIAN(Instances!H46:Instances!H46),"min", MIN(Instances!H46:Instances!H46),"max", MAX(Instances!H46:Instances!H46),"diff", MAX(Instances!H46:Instances!H46)-MIN(Instances!H46:Instances!H46))</f>
        <v>0</v>
      </c>
      <c r="I46" s="1">
        <f>MIN($B46)</f>
        <v>0</v>
      </c>
      <c r="J46" s="1">
        <f>MIN($C46)</f>
        <v>0</v>
      </c>
      <c r="K46" s="1">
        <f>MIN($D46)</f>
        <v>0</v>
      </c>
      <c r="L46" s="1">
        <f>MIN($E46)</f>
        <v>0</v>
      </c>
      <c r="M46" s="1">
        <f>MIN($G46)</f>
        <v>0</v>
      </c>
      <c r="N46" s="1">
        <f>MIN($H46)</f>
        <v>0</v>
      </c>
      <c r="O46" s="1">
        <f>MEDIAN($B46)</f>
        <v>0</v>
      </c>
      <c r="P46" s="1">
        <f>MEDIAN($C46)</f>
        <v>0</v>
      </c>
      <c r="Q46" s="1">
        <f>MEDIAN($D46)</f>
        <v>0</v>
      </c>
      <c r="R46" s="1">
        <f>MEDIAN($E46)</f>
        <v>0</v>
      </c>
      <c r="S46" s="1">
        <f>MEDIAN($G46)</f>
        <v>0</v>
      </c>
      <c r="T46" s="1">
        <f>MEDIAN($H46)</f>
        <v>0</v>
      </c>
      <c r="U46" s="1">
        <f>MAX($B46)</f>
        <v>0</v>
      </c>
      <c r="V46" s="1">
        <f>MAX($C46)</f>
        <v>0</v>
      </c>
      <c r="W46" s="1">
        <f>MAX($D46)</f>
        <v>0</v>
      </c>
      <c r="X46" s="1">
        <f>MAX($E46)</f>
        <v>0</v>
      </c>
      <c r="Y46" s="1">
        <f>MAX($G46)</f>
        <v>0</v>
      </c>
      <c r="Z46" s="1">
        <f>MAX($H46)</f>
        <v>0</v>
      </c>
    </row>
    <row r="47" spans="1:26">
      <c r="A47" s="1" t="s">
        <v>44</v>
      </c>
      <c r="B47" s="1" cm="1">
        <f t="array" ref="B47">_xlfn.SWITCH($A$2,"average", AVERAGE(Instances!B47:Instances!B47),"median", MEDIAN(Instances!B47:Instances!B47),"min", MIN(Instances!B47:Instances!B47),"max", MAX(Instances!B47:Instances!B47),"diff", MAX(Instances!B47:Instances!B47)-MIN(Instances!B47:Instances!B47))</f>
        <v>0</v>
      </c>
      <c r="C47" s="1" cm="1">
        <f t="array" ref="C47">_xlfn.SWITCH($A$2,"average", AVERAGE(Instances!C47:Instances!C47),"median", MEDIAN(Instances!C47:Instances!C47),"min", MIN(Instances!C47:Instances!C47),"max", MAX(Instances!C47:Instances!C47),"diff", MAX(Instances!C47:Instances!C47)-MIN(Instances!C47:Instances!C47))</f>
        <v>0</v>
      </c>
      <c r="D47" s="1" cm="1">
        <f t="array" ref="D47">_xlfn.SWITCH($A$2,"average", AVERAGE(Instances!D47:Instances!D47),"median", MEDIAN(Instances!D47:Instances!D47),"min", MIN(Instances!D47:Instances!D47),"max", MAX(Instances!D47:Instances!D47),"diff", MAX(Instances!D47:Instances!D47)-MIN(Instances!D47:Instances!D47))</f>
        <v>0</v>
      </c>
      <c r="E47" s="1" cm="1">
        <f t="array" ref="E47">_xlfn.SWITCH($A$2,"average", AVERAGE(Instances!E47:Instances!E47),"median", MEDIAN(Instances!E47:Instances!E47),"min", MIN(Instances!E47:Instances!E47),"max", MAX(Instances!E47:Instances!E47),"diff", MAX(Instances!E47:Instances!E47)-MIN(Instances!E47:Instances!E47))</f>
        <v>0</v>
      </c>
      <c r="F47" s="1"/>
      <c r="G47" s="1" cm="1">
        <f t="array" ref="G47">_xlfn.SWITCH($A$2,"average", AVERAGE(Instances!G47:Instances!G47),"median", MEDIAN(Instances!G47:Instances!G47),"min", MIN(Instances!G47:Instances!G47),"max", MAX(Instances!G47:Instances!G47),"diff", MAX(Instances!G47:Instances!G47)-MIN(Instances!G47:Instances!G47))</f>
        <v>0</v>
      </c>
      <c r="H47" s="1" cm="1">
        <f t="array" ref="H47">_xlfn.SWITCH($A$2,"average", AVERAGE(Instances!H47:Instances!H47),"median", MEDIAN(Instances!H47:Instances!H47),"min", MIN(Instances!H47:Instances!H47),"max", MAX(Instances!H47:Instances!H47),"diff", MAX(Instances!H47:Instances!H47)-MIN(Instances!H47:Instances!H47))</f>
        <v>0</v>
      </c>
      <c r="I47" s="1">
        <f>MIN($B47)</f>
        <v>0</v>
      </c>
      <c r="J47" s="1">
        <f>MIN($C47)</f>
        <v>0</v>
      </c>
      <c r="K47" s="1">
        <f>MIN($D47)</f>
        <v>0</v>
      </c>
      <c r="L47" s="1">
        <f>MIN($E47)</f>
        <v>0</v>
      </c>
      <c r="M47" s="1">
        <f>MIN($G47)</f>
        <v>0</v>
      </c>
      <c r="N47" s="1">
        <f>MIN($H47)</f>
        <v>0</v>
      </c>
      <c r="O47" s="1">
        <f>MEDIAN($B47)</f>
        <v>0</v>
      </c>
      <c r="P47" s="1">
        <f>MEDIAN($C47)</f>
        <v>0</v>
      </c>
      <c r="Q47" s="1">
        <f>MEDIAN($D47)</f>
        <v>0</v>
      </c>
      <c r="R47" s="1">
        <f>MEDIAN($E47)</f>
        <v>0</v>
      </c>
      <c r="S47" s="1">
        <f>MEDIAN($G47)</f>
        <v>0</v>
      </c>
      <c r="T47" s="1">
        <f>MEDIAN($H47)</f>
        <v>0</v>
      </c>
      <c r="U47" s="1">
        <f>MAX($B47)</f>
        <v>0</v>
      </c>
      <c r="V47" s="1">
        <f>MAX($C47)</f>
        <v>0</v>
      </c>
      <c r="W47" s="1">
        <f>MAX($D47)</f>
        <v>0</v>
      </c>
      <c r="X47" s="1">
        <f>MAX($E47)</f>
        <v>0</v>
      </c>
      <c r="Y47" s="1">
        <f>MAX($G47)</f>
        <v>0</v>
      </c>
      <c r="Z47" s="1">
        <f>MAX($H47)</f>
        <v>0</v>
      </c>
    </row>
    <row r="48" spans="1:26">
      <c r="A48" s="1" t="s">
        <v>45</v>
      </c>
      <c r="B48" s="1" cm="1">
        <f t="array" ref="B48">_xlfn.SWITCH($A$2,"average", AVERAGE(Instances!B48:Instances!B48),"median", MEDIAN(Instances!B48:Instances!B48),"min", MIN(Instances!B48:Instances!B48),"max", MAX(Instances!B48:Instances!B48),"diff", MAX(Instances!B48:Instances!B48)-MIN(Instances!B48:Instances!B48))</f>
        <v>0</v>
      </c>
      <c r="C48" s="1" cm="1">
        <f t="array" ref="C48">_xlfn.SWITCH($A$2,"average", AVERAGE(Instances!C48:Instances!C48),"median", MEDIAN(Instances!C48:Instances!C48),"min", MIN(Instances!C48:Instances!C48),"max", MAX(Instances!C48:Instances!C48),"diff", MAX(Instances!C48:Instances!C48)-MIN(Instances!C48:Instances!C48))</f>
        <v>0</v>
      </c>
      <c r="D48" s="1" cm="1">
        <f t="array" ref="D48">_xlfn.SWITCH($A$2,"average", AVERAGE(Instances!D48:Instances!D48),"median", MEDIAN(Instances!D48:Instances!D48),"min", MIN(Instances!D48:Instances!D48),"max", MAX(Instances!D48:Instances!D48),"diff", MAX(Instances!D48:Instances!D48)-MIN(Instances!D48:Instances!D48))</f>
        <v>0</v>
      </c>
      <c r="E48" s="1" cm="1">
        <f t="array" ref="E48">_xlfn.SWITCH($A$2,"average", AVERAGE(Instances!E48:Instances!E48),"median", MEDIAN(Instances!E48:Instances!E48),"min", MIN(Instances!E48:Instances!E48),"max", MAX(Instances!E48:Instances!E48),"diff", MAX(Instances!E48:Instances!E48)-MIN(Instances!E48:Instances!E48))</f>
        <v>0</v>
      </c>
      <c r="F48" s="1"/>
      <c r="G48" s="1" cm="1">
        <f t="array" ref="G48">_xlfn.SWITCH($A$2,"average", AVERAGE(Instances!G48:Instances!G48),"median", MEDIAN(Instances!G48:Instances!G48),"min", MIN(Instances!G48:Instances!G48),"max", MAX(Instances!G48:Instances!G48),"diff", MAX(Instances!G48:Instances!G48)-MIN(Instances!G48:Instances!G48))</f>
        <v>0</v>
      </c>
      <c r="H48" s="1" cm="1">
        <f t="array" ref="H48">_xlfn.SWITCH($A$2,"average", AVERAGE(Instances!H48:Instances!H48),"median", MEDIAN(Instances!H48:Instances!H48),"min", MIN(Instances!H48:Instances!H48),"max", MAX(Instances!H48:Instances!H48),"diff", MAX(Instances!H48:Instances!H48)-MIN(Instances!H48:Instances!H48))</f>
        <v>0</v>
      </c>
      <c r="I48" s="1">
        <f>MIN($B48)</f>
        <v>0</v>
      </c>
      <c r="J48" s="1">
        <f>MIN($C48)</f>
        <v>0</v>
      </c>
      <c r="K48" s="1">
        <f>MIN($D48)</f>
        <v>0</v>
      </c>
      <c r="L48" s="1">
        <f>MIN($E48)</f>
        <v>0</v>
      </c>
      <c r="M48" s="1">
        <f>MIN($G48)</f>
        <v>0</v>
      </c>
      <c r="N48" s="1">
        <f>MIN($H48)</f>
        <v>0</v>
      </c>
      <c r="O48" s="1">
        <f>MEDIAN($B48)</f>
        <v>0</v>
      </c>
      <c r="P48" s="1">
        <f>MEDIAN($C48)</f>
        <v>0</v>
      </c>
      <c r="Q48" s="1">
        <f>MEDIAN($D48)</f>
        <v>0</v>
      </c>
      <c r="R48" s="1">
        <f>MEDIAN($E48)</f>
        <v>0</v>
      </c>
      <c r="S48" s="1">
        <f>MEDIAN($G48)</f>
        <v>0</v>
      </c>
      <c r="T48" s="1">
        <f>MEDIAN($H48)</f>
        <v>0</v>
      </c>
      <c r="U48" s="1">
        <f>MAX($B48)</f>
        <v>0</v>
      </c>
      <c r="V48" s="1">
        <f>MAX($C48)</f>
        <v>0</v>
      </c>
      <c r="W48" s="1">
        <f>MAX($D48)</f>
        <v>0</v>
      </c>
      <c r="X48" s="1">
        <f>MAX($E48)</f>
        <v>0</v>
      </c>
      <c r="Y48" s="1">
        <f>MAX($G48)</f>
        <v>0</v>
      </c>
      <c r="Z48" s="1">
        <f>MAX($H48)</f>
        <v>0</v>
      </c>
    </row>
    <row r="49" spans="1:26">
      <c r="A49" s="1" t="s">
        <v>46</v>
      </c>
      <c r="B49" s="1" cm="1">
        <f t="array" ref="B49">_xlfn.SWITCH($A$2,"average", AVERAGE(Instances!B49:Instances!B49),"median", MEDIAN(Instances!B49:Instances!B49),"min", MIN(Instances!B49:Instances!B49),"max", MAX(Instances!B49:Instances!B49),"diff", MAX(Instances!B49:Instances!B49)-MIN(Instances!B49:Instances!B49))</f>
        <v>0</v>
      </c>
      <c r="C49" s="1" cm="1">
        <f t="array" ref="C49">_xlfn.SWITCH($A$2,"average", AVERAGE(Instances!C49:Instances!C49),"median", MEDIAN(Instances!C49:Instances!C49),"min", MIN(Instances!C49:Instances!C49),"max", MAX(Instances!C49:Instances!C49),"diff", MAX(Instances!C49:Instances!C49)-MIN(Instances!C49:Instances!C49))</f>
        <v>0</v>
      </c>
      <c r="D49" s="1" cm="1">
        <f t="array" ref="D49">_xlfn.SWITCH($A$2,"average", AVERAGE(Instances!D49:Instances!D49),"median", MEDIAN(Instances!D49:Instances!D49),"min", MIN(Instances!D49:Instances!D49),"max", MAX(Instances!D49:Instances!D49),"diff", MAX(Instances!D49:Instances!D49)-MIN(Instances!D49:Instances!D49))</f>
        <v>0</v>
      </c>
      <c r="E49" s="1" cm="1">
        <f t="array" ref="E49">_xlfn.SWITCH($A$2,"average", AVERAGE(Instances!E49:Instances!E49),"median", MEDIAN(Instances!E49:Instances!E49),"min", MIN(Instances!E49:Instances!E49),"max", MAX(Instances!E49:Instances!E49),"diff", MAX(Instances!E49:Instances!E49)-MIN(Instances!E49:Instances!E49))</f>
        <v>0</v>
      </c>
      <c r="F49" s="1"/>
      <c r="G49" s="1" cm="1">
        <f t="array" ref="G49">_xlfn.SWITCH($A$2,"average", AVERAGE(Instances!G49:Instances!G49),"median", MEDIAN(Instances!G49:Instances!G49),"min", MIN(Instances!G49:Instances!G49),"max", MAX(Instances!G49:Instances!G49),"diff", MAX(Instances!G49:Instances!G49)-MIN(Instances!G49:Instances!G49))</f>
        <v>0</v>
      </c>
      <c r="H49" s="1" cm="1">
        <f t="array" ref="H49">_xlfn.SWITCH($A$2,"average", AVERAGE(Instances!H49:Instances!H49),"median", MEDIAN(Instances!H49:Instances!H49),"min", MIN(Instances!H49:Instances!H49),"max", MAX(Instances!H49:Instances!H49),"diff", MAX(Instances!H49:Instances!H49)-MIN(Instances!H49:Instances!H49))</f>
        <v>0</v>
      </c>
      <c r="I49" s="1">
        <f>MIN($B49)</f>
        <v>0</v>
      </c>
      <c r="J49" s="1">
        <f>MIN($C49)</f>
        <v>0</v>
      </c>
      <c r="K49" s="1">
        <f>MIN($D49)</f>
        <v>0</v>
      </c>
      <c r="L49" s="1">
        <f>MIN($E49)</f>
        <v>0</v>
      </c>
      <c r="M49" s="1">
        <f>MIN($G49)</f>
        <v>0</v>
      </c>
      <c r="N49" s="1">
        <f>MIN($H49)</f>
        <v>0</v>
      </c>
      <c r="O49" s="1">
        <f>MEDIAN($B49)</f>
        <v>0</v>
      </c>
      <c r="P49" s="1">
        <f>MEDIAN($C49)</f>
        <v>0</v>
      </c>
      <c r="Q49" s="1">
        <f>MEDIAN($D49)</f>
        <v>0</v>
      </c>
      <c r="R49" s="1">
        <f>MEDIAN($E49)</f>
        <v>0</v>
      </c>
      <c r="S49" s="1">
        <f>MEDIAN($G49)</f>
        <v>0</v>
      </c>
      <c r="T49" s="1">
        <f>MEDIAN($H49)</f>
        <v>0</v>
      </c>
      <c r="U49" s="1">
        <f>MAX($B49)</f>
        <v>0</v>
      </c>
      <c r="V49" s="1">
        <f>MAX($C49)</f>
        <v>0</v>
      </c>
      <c r="W49" s="1">
        <f>MAX($D49)</f>
        <v>0</v>
      </c>
      <c r="X49" s="1">
        <f>MAX($E49)</f>
        <v>0</v>
      </c>
      <c r="Y49" s="1">
        <f>MAX($G49)</f>
        <v>0</v>
      </c>
      <c r="Z49" s="1">
        <f>MAX($H49)</f>
        <v>0</v>
      </c>
    </row>
    <row r="50" spans="1:26">
      <c r="A50" s="1" t="s">
        <v>47</v>
      </c>
      <c r="B50" s="1" cm="1">
        <f t="array" ref="B50">_xlfn.SWITCH($A$2,"average", AVERAGE(Instances!B50:Instances!B50),"median", MEDIAN(Instances!B50:Instances!B50),"min", MIN(Instances!B50:Instances!B50),"max", MAX(Instances!B50:Instances!B50),"diff", MAX(Instances!B50:Instances!B50)-MIN(Instances!B50:Instances!B50))</f>
        <v>0</v>
      </c>
      <c r="C50" s="1" cm="1">
        <f t="array" ref="C50">_xlfn.SWITCH($A$2,"average", AVERAGE(Instances!C50:Instances!C50),"median", MEDIAN(Instances!C50:Instances!C50),"min", MIN(Instances!C50:Instances!C50),"max", MAX(Instances!C50:Instances!C50),"diff", MAX(Instances!C50:Instances!C50)-MIN(Instances!C50:Instances!C50))</f>
        <v>0</v>
      </c>
      <c r="D50" s="1" cm="1">
        <f t="array" ref="D50">_xlfn.SWITCH($A$2,"average", AVERAGE(Instances!D50:Instances!D50),"median", MEDIAN(Instances!D50:Instances!D50),"min", MIN(Instances!D50:Instances!D50),"max", MAX(Instances!D50:Instances!D50),"diff", MAX(Instances!D50:Instances!D50)-MIN(Instances!D50:Instances!D50))</f>
        <v>0</v>
      </c>
      <c r="E50" s="1" cm="1">
        <f t="array" ref="E50">_xlfn.SWITCH($A$2,"average", AVERAGE(Instances!E50:Instances!E50),"median", MEDIAN(Instances!E50:Instances!E50),"min", MIN(Instances!E50:Instances!E50),"max", MAX(Instances!E50:Instances!E50),"diff", MAX(Instances!E50:Instances!E50)-MIN(Instances!E50:Instances!E50))</f>
        <v>0</v>
      </c>
      <c r="F50" s="1"/>
      <c r="G50" s="1" cm="1">
        <f t="array" ref="G50">_xlfn.SWITCH($A$2,"average", AVERAGE(Instances!G50:Instances!G50),"median", MEDIAN(Instances!G50:Instances!G50),"min", MIN(Instances!G50:Instances!G50),"max", MAX(Instances!G50:Instances!G50),"diff", MAX(Instances!G50:Instances!G50)-MIN(Instances!G50:Instances!G50))</f>
        <v>0</v>
      </c>
      <c r="H50" s="1" cm="1">
        <f t="array" ref="H50">_xlfn.SWITCH($A$2,"average", AVERAGE(Instances!H50:Instances!H50),"median", MEDIAN(Instances!H50:Instances!H50),"min", MIN(Instances!H50:Instances!H50),"max", MAX(Instances!H50:Instances!H50),"diff", MAX(Instances!H50:Instances!H50)-MIN(Instances!H50:Instances!H50))</f>
        <v>0</v>
      </c>
      <c r="I50" s="1">
        <f>MIN($B50)</f>
        <v>0</v>
      </c>
      <c r="J50" s="1">
        <f>MIN($C50)</f>
        <v>0</v>
      </c>
      <c r="K50" s="1">
        <f>MIN($D50)</f>
        <v>0</v>
      </c>
      <c r="L50" s="1">
        <f>MIN($E50)</f>
        <v>0</v>
      </c>
      <c r="M50" s="1">
        <f>MIN($G50)</f>
        <v>0</v>
      </c>
      <c r="N50" s="1">
        <f>MIN($H50)</f>
        <v>0</v>
      </c>
      <c r="O50" s="1">
        <f>MEDIAN($B50)</f>
        <v>0</v>
      </c>
      <c r="P50" s="1">
        <f>MEDIAN($C50)</f>
        <v>0</v>
      </c>
      <c r="Q50" s="1">
        <f>MEDIAN($D50)</f>
        <v>0</v>
      </c>
      <c r="R50" s="1">
        <f>MEDIAN($E50)</f>
        <v>0</v>
      </c>
      <c r="S50" s="1">
        <f>MEDIAN($G50)</f>
        <v>0</v>
      </c>
      <c r="T50" s="1">
        <f>MEDIAN($H50)</f>
        <v>0</v>
      </c>
      <c r="U50" s="1">
        <f>MAX($B50)</f>
        <v>0</v>
      </c>
      <c r="V50" s="1">
        <f>MAX($C50)</f>
        <v>0</v>
      </c>
      <c r="W50" s="1">
        <f>MAX($D50)</f>
        <v>0</v>
      </c>
      <c r="X50" s="1">
        <f>MAX($E50)</f>
        <v>0</v>
      </c>
      <c r="Y50" s="1">
        <f>MAX($G50)</f>
        <v>0</v>
      </c>
      <c r="Z50" s="1">
        <f>MAX($H50)</f>
        <v>0</v>
      </c>
    </row>
    <row r="51" spans="1:26">
      <c r="A51" s="1" t="s">
        <v>48</v>
      </c>
      <c r="B51" s="1" cm="1">
        <f t="array" ref="B51">_xlfn.SWITCH($A$2,"average", AVERAGE(Instances!B51:Instances!B51),"median", MEDIAN(Instances!B51:Instances!B51),"min", MIN(Instances!B51:Instances!B51),"max", MAX(Instances!B51:Instances!B51),"diff", MAX(Instances!B51:Instances!B51)-MIN(Instances!B51:Instances!B51))</f>
        <v>0</v>
      </c>
      <c r="C51" s="1" cm="1">
        <f t="array" ref="C51">_xlfn.SWITCH($A$2,"average", AVERAGE(Instances!C51:Instances!C51),"median", MEDIAN(Instances!C51:Instances!C51),"min", MIN(Instances!C51:Instances!C51),"max", MAX(Instances!C51:Instances!C51),"diff", MAX(Instances!C51:Instances!C51)-MIN(Instances!C51:Instances!C51))</f>
        <v>0</v>
      </c>
      <c r="D51" s="1" cm="1">
        <f t="array" ref="D51">_xlfn.SWITCH($A$2,"average", AVERAGE(Instances!D51:Instances!D51),"median", MEDIAN(Instances!D51:Instances!D51),"min", MIN(Instances!D51:Instances!D51),"max", MAX(Instances!D51:Instances!D51),"diff", MAX(Instances!D51:Instances!D51)-MIN(Instances!D51:Instances!D51))</f>
        <v>0</v>
      </c>
      <c r="E51" s="1" cm="1">
        <f t="array" ref="E51">_xlfn.SWITCH($A$2,"average", AVERAGE(Instances!E51:Instances!E51),"median", MEDIAN(Instances!E51:Instances!E51),"min", MIN(Instances!E51:Instances!E51),"max", MAX(Instances!E51:Instances!E51),"diff", MAX(Instances!E51:Instances!E51)-MIN(Instances!E51:Instances!E51))</f>
        <v>0</v>
      </c>
      <c r="F51" s="1"/>
      <c r="G51" s="1" cm="1">
        <f t="array" ref="G51">_xlfn.SWITCH($A$2,"average", AVERAGE(Instances!G51:Instances!G51),"median", MEDIAN(Instances!G51:Instances!G51),"min", MIN(Instances!G51:Instances!G51),"max", MAX(Instances!G51:Instances!G51),"diff", MAX(Instances!G51:Instances!G51)-MIN(Instances!G51:Instances!G51))</f>
        <v>0</v>
      </c>
      <c r="H51" s="1" cm="1">
        <f t="array" ref="H51">_xlfn.SWITCH($A$2,"average", AVERAGE(Instances!H51:Instances!H51),"median", MEDIAN(Instances!H51:Instances!H51),"min", MIN(Instances!H51:Instances!H51),"max", MAX(Instances!H51:Instances!H51),"diff", MAX(Instances!H51:Instances!H51)-MIN(Instances!H51:Instances!H51))</f>
        <v>0</v>
      </c>
      <c r="I51" s="1">
        <f>MIN($B51)</f>
        <v>0</v>
      </c>
      <c r="J51" s="1">
        <f>MIN($C51)</f>
        <v>0</v>
      </c>
      <c r="K51" s="1">
        <f>MIN($D51)</f>
        <v>0</v>
      </c>
      <c r="L51" s="1">
        <f>MIN($E51)</f>
        <v>0</v>
      </c>
      <c r="M51" s="1">
        <f>MIN($G51)</f>
        <v>0</v>
      </c>
      <c r="N51" s="1">
        <f>MIN($H51)</f>
        <v>0</v>
      </c>
      <c r="O51" s="1">
        <f>MEDIAN($B51)</f>
        <v>0</v>
      </c>
      <c r="P51" s="1">
        <f>MEDIAN($C51)</f>
        <v>0</v>
      </c>
      <c r="Q51" s="1">
        <f>MEDIAN($D51)</f>
        <v>0</v>
      </c>
      <c r="R51" s="1">
        <f>MEDIAN($E51)</f>
        <v>0</v>
      </c>
      <c r="S51" s="1">
        <f>MEDIAN($G51)</f>
        <v>0</v>
      </c>
      <c r="T51" s="1">
        <f>MEDIAN($H51)</f>
        <v>0</v>
      </c>
      <c r="U51" s="1">
        <f>MAX($B51)</f>
        <v>0</v>
      </c>
      <c r="V51" s="1">
        <f>MAX($C51)</f>
        <v>0</v>
      </c>
      <c r="W51" s="1">
        <f>MAX($D51)</f>
        <v>0</v>
      </c>
      <c r="X51" s="1">
        <f>MAX($E51)</f>
        <v>0</v>
      </c>
      <c r="Y51" s="1">
        <f>MAX($G51)</f>
        <v>0</v>
      </c>
      <c r="Z51" s="1">
        <f>MAX($H51)</f>
        <v>0</v>
      </c>
    </row>
    <row r="52" spans="1:26">
      <c r="A52" s="1" t="s">
        <v>49</v>
      </c>
      <c r="B52" s="1" cm="1">
        <f t="array" ref="B52">_xlfn.SWITCH($A$2,"average", AVERAGE(Instances!B52:Instances!B52),"median", MEDIAN(Instances!B52:Instances!B52),"min", MIN(Instances!B52:Instances!B52),"max", MAX(Instances!B52:Instances!B52),"diff", MAX(Instances!B52:Instances!B52)-MIN(Instances!B52:Instances!B52))</f>
        <v>0</v>
      </c>
      <c r="C52" s="1" cm="1">
        <f t="array" ref="C52">_xlfn.SWITCH($A$2,"average", AVERAGE(Instances!C52:Instances!C52),"median", MEDIAN(Instances!C52:Instances!C52),"min", MIN(Instances!C52:Instances!C52),"max", MAX(Instances!C52:Instances!C52),"diff", MAX(Instances!C52:Instances!C52)-MIN(Instances!C52:Instances!C52))</f>
        <v>0</v>
      </c>
      <c r="D52" s="1" cm="1">
        <f t="array" ref="D52">_xlfn.SWITCH($A$2,"average", AVERAGE(Instances!D52:Instances!D52),"median", MEDIAN(Instances!D52:Instances!D52),"min", MIN(Instances!D52:Instances!D52),"max", MAX(Instances!D52:Instances!D52),"diff", MAX(Instances!D52:Instances!D52)-MIN(Instances!D52:Instances!D52))</f>
        <v>0</v>
      </c>
      <c r="E52" s="1" cm="1">
        <f t="array" ref="E52">_xlfn.SWITCH($A$2,"average", AVERAGE(Instances!E52:Instances!E52),"median", MEDIAN(Instances!E52:Instances!E52),"min", MIN(Instances!E52:Instances!E52),"max", MAX(Instances!E52:Instances!E52),"diff", MAX(Instances!E52:Instances!E52)-MIN(Instances!E52:Instances!E52))</f>
        <v>0</v>
      </c>
      <c r="F52" s="1"/>
      <c r="G52" s="1" cm="1">
        <f t="array" ref="G52">_xlfn.SWITCH($A$2,"average", AVERAGE(Instances!G52:Instances!G52),"median", MEDIAN(Instances!G52:Instances!G52),"min", MIN(Instances!G52:Instances!G52),"max", MAX(Instances!G52:Instances!G52),"diff", MAX(Instances!G52:Instances!G52)-MIN(Instances!G52:Instances!G52))</f>
        <v>0</v>
      </c>
      <c r="H52" s="1" cm="1">
        <f t="array" ref="H52">_xlfn.SWITCH($A$2,"average", AVERAGE(Instances!H52:Instances!H52),"median", MEDIAN(Instances!H52:Instances!H52),"min", MIN(Instances!H52:Instances!H52),"max", MAX(Instances!H52:Instances!H52),"diff", MAX(Instances!H52:Instances!H52)-MIN(Instances!H52:Instances!H52))</f>
        <v>0</v>
      </c>
      <c r="I52" s="1">
        <f>MIN($B52)</f>
        <v>0</v>
      </c>
      <c r="J52" s="1">
        <f>MIN($C52)</f>
        <v>0</v>
      </c>
      <c r="K52" s="1">
        <f>MIN($D52)</f>
        <v>0</v>
      </c>
      <c r="L52" s="1">
        <f>MIN($E52)</f>
        <v>0</v>
      </c>
      <c r="M52" s="1">
        <f>MIN($G52)</f>
        <v>0</v>
      </c>
      <c r="N52" s="1">
        <f>MIN($H52)</f>
        <v>0</v>
      </c>
      <c r="O52" s="1">
        <f>MEDIAN($B52)</f>
        <v>0</v>
      </c>
      <c r="P52" s="1">
        <f>MEDIAN($C52)</f>
        <v>0</v>
      </c>
      <c r="Q52" s="1">
        <f>MEDIAN($D52)</f>
        <v>0</v>
      </c>
      <c r="R52" s="1">
        <f>MEDIAN($E52)</f>
        <v>0</v>
      </c>
      <c r="S52" s="1">
        <f>MEDIAN($G52)</f>
        <v>0</v>
      </c>
      <c r="T52" s="1">
        <f>MEDIAN($H52)</f>
        <v>0</v>
      </c>
      <c r="U52" s="1">
        <f>MAX($B52)</f>
        <v>0</v>
      </c>
      <c r="V52" s="1">
        <f>MAX($C52)</f>
        <v>0</v>
      </c>
      <c r="W52" s="1">
        <f>MAX($D52)</f>
        <v>0</v>
      </c>
      <c r="X52" s="1">
        <f>MAX($E52)</f>
        <v>0</v>
      </c>
      <c r="Y52" s="1">
        <f>MAX($G52)</f>
        <v>0</v>
      </c>
      <c r="Z52" s="1">
        <f>MAX($H52)</f>
        <v>0</v>
      </c>
    </row>
    <row r="53" spans="1:26">
      <c r="A53" s="1" t="s">
        <v>50</v>
      </c>
      <c r="B53" s="1" cm="1">
        <f t="array" ref="B53">_xlfn.SWITCH($A$2,"average", AVERAGE(Instances!B53:Instances!B53),"median", MEDIAN(Instances!B53:Instances!B53),"min", MIN(Instances!B53:Instances!B53),"max", MAX(Instances!B53:Instances!B53),"diff", MAX(Instances!B53:Instances!B53)-MIN(Instances!B53:Instances!B53))</f>
        <v>0</v>
      </c>
      <c r="C53" s="1" cm="1">
        <f t="array" ref="C53">_xlfn.SWITCH($A$2,"average", AVERAGE(Instances!C53:Instances!C53),"median", MEDIAN(Instances!C53:Instances!C53),"min", MIN(Instances!C53:Instances!C53),"max", MAX(Instances!C53:Instances!C53),"diff", MAX(Instances!C53:Instances!C53)-MIN(Instances!C53:Instances!C53))</f>
        <v>0</v>
      </c>
      <c r="D53" s="1" cm="1">
        <f t="array" ref="D53">_xlfn.SWITCH($A$2,"average", AVERAGE(Instances!D53:Instances!D53),"median", MEDIAN(Instances!D53:Instances!D53),"min", MIN(Instances!D53:Instances!D53),"max", MAX(Instances!D53:Instances!D53),"diff", MAX(Instances!D53:Instances!D53)-MIN(Instances!D53:Instances!D53))</f>
        <v>0</v>
      </c>
      <c r="E53" s="1" cm="1">
        <f t="array" ref="E53">_xlfn.SWITCH($A$2,"average", AVERAGE(Instances!E53:Instances!E53),"median", MEDIAN(Instances!E53:Instances!E53),"min", MIN(Instances!E53:Instances!E53),"max", MAX(Instances!E53:Instances!E53),"diff", MAX(Instances!E53:Instances!E53)-MIN(Instances!E53:Instances!E53))</f>
        <v>0</v>
      </c>
      <c r="F53" s="1"/>
      <c r="G53" s="1" cm="1">
        <f t="array" ref="G53">_xlfn.SWITCH($A$2,"average", AVERAGE(Instances!G53:Instances!G53),"median", MEDIAN(Instances!G53:Instances!G53),"min", MIN(Instances!G53:Instances!G53),"max", MAX(Instances!G53:Instances!G53),"diff", MAX(Instances!G53:Instances!G53)-MIN(Instances!G53:Instances!G53))</f>
        <v>0</v>
      </c>
      <c r="H53" s="1" cm="1">
        <f t="array" ref="H53">_xlfn.SWITCH($A$2,"average", AVERAGE(Instances!H53:Instances!H53),"median", MEDIAN(Instances!H53:Instances!H53),"min", MIN(Instances!H53:Instances!H53),"max", MAX(Instances!H53:Instances!H53),"diff", MAX(Instances!H53:Instances!H53)-MIN(Instances!H53:Instances!H53))</f>
        <v>0</v>
      </c>
      <c r="I53" s="1">
        <f>MIN($B53)</f>
        <v>0</v>
      </c>
      <c r="J53" s="1">
        <f>MIN($C53)</f>
        <v>0</v>
      </c>
      <c r="K53" s="1">
        <f>MIN($D53)</f>
        <v>0</v>
      </c>
      <c r="L53" s="1">
        <f>MIN($E53)</f>
        <v>0</v>
      </c>
      <c r="M53" s="1">
        <f>MIN($G53)</f>
        <v>0</v>
      </c>
      <c r="N53" s="1">
        <f>MIN($H53)</f>
        <v>0</v>
      </c>
      <c r="O53" s="1">
        <f>MEDIAN($B53)</f>
        <v>0</v>
      </c>
      <c r="P53" s="1">
        <f>MEDIAN($C53)</f>
        <v>0</v>
      </c>
      <c r="Q53" s="1">
        <f>MEDIAN($D53)</f>
        <v>0</v>
      </c>
      <c r="R53" s="1">
        <f>MEDIAN($E53)</f>
        <v>0</v>
      </c>
      <c r="S53" s="1">
        <f>MEDIAN($G53)</f>
        <v>0</v>
      </c>
      <c r="T53" s="1">
        <f>MEDIAN($H53)</f>
        <v>0</v>
      </c>
      <c r="U53" s="1">
        <f>MAX($B53)</f>
        <v>0</v>
      </c>
      <c r="V53" s="1">
        <f>MAX($C53)</f>
        <v>0</v>
      </c>
      <c r="W53" s="1">
        <f>MAX($D53)</f>
        <v>0</v>
      </c>
      <c r="X53" s="1">
        <f>MAX($E53)</f>
        <v>0</v>
      </c>
      <c r="Y53" s="1">
        <f>MAX($G53)</f>
        <v>0</v>
      </c>
      <c r="Z53" s="1">
        <f>MAX($H53)</f>
        <v>0</v>
      </c>
    </row>
    <row r="54" spans="1:26">
      <c r="A54" s="1" t="s">
        <v>51</v>
      </c>
      <c r="B54" s="1" cm="1">
        <f t="array" ref="B54">_xlfn.SWITCH($A$2,"average", AVERAGE(Instances!B54:Instances!B54),"median", MEDIAN(Instances!B54:Instances!B54),"min", MIN(Instances!B54:Instances!B54),"max", MAX(Instances!B54:Instances!B54),"diff", MAX(Instances!B54:Instances!B54)-MIN(Instances!B54:Instances!B54))</f>
        <v>0</v>
      </c>
      <c r="C54" s="1" cm="1">
        <f t="array" ref="C54">_xlfn.SWITCH($A$2,"average", AVERAGE(Instances!C54:Instances!C54),"median", MEDIAN(Instances!C54:Instances!C54),"min", MIN(Instances!C54:Instances!C54),"max", MAX(Instances!C54:Instances!C54),"diff", MAX(Instances!C54:Instances!C54)-MIN(Instances!C54:Instances!C54))</f>
        <v>0</v>
      </c>
      <c r="D54" s="1" cm="1">
        <f t="array" ref="D54">_xlfn.SWITCH($A$2,"average", AVERAGE(Instances!D54:Instances!D54),"median", MEDIAN(Instances!D54:Instances!D54),"min", MIN(Instances!D54:Instances!D54),"max", MAX(Instances!D54:Instances!D54),"diff", MAX(Instances!D54:Instances!D54)-MIN(Instances!D54:Instances!D54))</f>
        <v>0</v>
      </c>
      <c r="E54" s="1" cm="1">
        <f t="array" ref="E54">_xlfn.SWITCH($A$2,"average", AVERAGE(Instances!E54:Instances!E54),"median", MEDIAN(Instances!E54:Instances!E54),"min", MIN(Instances!E54:Instances!E54),"max", MAX(Instances!E54:Instances!E54),"diff", MAX(Instances!E54:Instances!E54)-MIN(Instances!E54:Instances!E54))</f>
        <v>0</v>
      </c>
      <c r="F54" s="1"/>
      <c r="G54" s="1" cm="1">
        <f t="array" ref="G54">_xlfn.SWITCH($A$2,"average", AVERAGE(Instances!G54:Instances!G54),"median", MEDIAN(Instances!G54:Instances!G54),"min", MIN(Instances!G54:Instances!G54),"max", MAX(Instances!G54:Instances!G54),"diff", MAX(Instances!G54:Instances!G54)-MIN(Instances!G54:Instances!G54))</f>
        <v>0</v>
      </c>
      <c r="H54" s="1" cm="1">
        <f t="array" ref="H54">_xlfn.SWITCH($A$2,"average", AVERAGE(Instances!H54:Instances!H54),"median", MEDIAN(Instances!H54:Instances!H54),"min", MIN(Instances!H54:Instances!H54),"max", MAX(Instances!H54:Instances!H54),"diff", MAX(Instances!H54:Instances!H54)-MIN(Instances!H54:Instances!H54))</f>
        <v>0</v>
      </c>
      <c r="I54" s="1">
        <f>MIN($B54)</f>
        <v>0</v>
      </c>
      <c r="J54" s="1">
        <f>MIN($C54)</f>
        <v>0</v>
      </c>
      <c r="K54" s="1">
        <f>MIN($D54)</f>
        <v>0</v>
      </c>
      <c r="L54" s="1">
        <f>MIN($E54)</f>
        <v>0</v>
      </c>
      <c r="M54" s="1">
        <f>MIN($G54)</f>
        <v>0</v>
      </c>
      <c r="N54" s="1">
        <f>MIN($H54)</f>
        <v>0</v>
      </c>
      <c r="O54" s="1">
        <f>MEDIAN($B54)</f>
        <v>0</v>
      </c>
      <c r="P54" s="1">
        <f>MEDIAN($C54)</f>
        <v>0</v>
      </c>
      <c r="Q54" s="1">
        <f>MEDIAN($D54)</f>
        <v>0</v>
      </c>
      <c r="R54" s="1">
        <f>MEDIAN($E54)</f>
        <v>0</v>
      </c>
      <c r="S54" s="1">
        <f>MEDIAN($G54)</f>
        <v>0</v>
      </c>
      <c r="T54" s="1">
        <f>MEDIAN($H54)</f>
        <v>0</v>
      </c>
      <c r="U54" s="1">
        <f>MAX($B54)</f>
        <v>0</v>
      </c>
      <c r="V54" s="1">
        <f>MAX($C54)</f>
        <v>0</v>
      </c>
      <c r="W54" s="1">
        <f>MAX($D54)</f>
        <v>0</v>
      </c>
      <c r="X54" s="1">
        <f>MAX($E54)</f>
        <v>0</v>
      </c>
      <c r="Y54" s="1">
        <f>MAX($G54)</f>
        <v>0</v>
      </c>
      <c r="Z54" s="1">
        <f>MAX($H54)</f>
        <v>0</v>
      </c>
    </row>
    <row r="55" spans="1:26">
      <c r="A55" s="1" t="s">
        <v>52</v>
      </c>
      <c r="B55" s="1" cm="1">
        <f t="array" ref="B55">_xlfn.SWITCH($A$2,"average", AVERAGE(Instances!B55:Instances!B55),"median", MEDIAN(Instances!B55:Instances!B55),"min", MIN(Instances!B55:Instances!B55),"max", MAX(Instances!B55:Instances!B55),"diff", MAX(Instances!B55:Instances!B55)-MIN(Instances!B55:Instances!B55))</f>
        <v>0</v>
      </c>
      <c r="C55" s="1" cm="1">
        <f t="array" ref="C55">_xlfn.SWITCH($A$2,"average", AVERAGE(Instances!C55:Instances!C55),"median", MEDIAN(Instances!C55:Instances!C55),"min", MIN(Instances!C55:Instances!C55),"max", MAX(Instances!C55:Instances!C55),"diff", MAX(Instances!C55:Instances!C55)-MIN(Instances!C55:Instances!C55))</f>
        <v>0</v>
      </c>
      <c r="D55" s="1" cm="1">
        <f t="array" ref="D55">_xlfn.SWITCH($A$2,"average", AVERAGE(Instances!D55:Instances!D55),"median", MEDIAN(Instances!D55:Instances!D55),"min", MIN(Instances!D55:Instances!D55),"max", MAX(Instances!D55:Instances!D55),"diff", MAX(Instances!D55:Instances!D55)-MIN(Instances!D55:Instances!D55))</f>
        <v>0</v>
      </c>
      <c r="E55" s="1" cm="1">
        <f t="array" ref="E55">_xlfn.SWITCH($A$2,"average", AVERAGE(Instances!E55:Instances!E55),"median", MEDIAN(Instances!E55:Instances!E55),"min", MIN(Instances!E55:Instances!E55),"max", MAX(Instances!E55:Instances!E55),"diff", MAX(Instances!E55:Instances!E55)-MIN(Instances!E55:Instances!E55))</f>
        <v>0</v>
      </c>
      <c r="F55" s="1"/>
      <c r="G55" s="1" cm="1">
        <f t="array" ref="G55">_xlfn.SWITCH($A$2,"average", AVERAGE(Instances!G55:Instances!G55),"median", MEDIAN(Instances!G55:Instances!G55),"min", MIN(Instances!G55:Instances!G55),"max", MAX(Instances!G55:Instances!G55),"diff", MAX(Instances!G55:Instances!G55)-MIN(Instances!G55:Instances!G55))</f>
        <v>0</v>
      </c>
      <c r="H55" s="1" cm="1">
        <f t="array" ref="H55">_xlfn.SWITCH($A$2,"average", AVERAGE(Instances!H55:Instances!H55),"median", MEDIAN(Instances!H55:Instances!H55),"min", MIN(Instances!H55:Instances!H55),"max", MAX(Instances!H55:Instances!H55),"diff", MAX(Instances!H55:Instances!H55)-MIN(Instances!H55:Instances!H55))</f>
        <v>0</v>
      </c>
      <c r="I55" s="1">
        <f>MIN($B55)</f>
        <v>0</v>
      </c>
      <c r="J55" s="1">
        <f>MIN($C55)</f>
        <v>0</v>
      </c>
      <c r="K55" s="1">
        <f>MIN($D55)</f>
        <v>0</v>
      </c>
      <c r="L55" s="1">
        <f>MIN($E55)</f>
        <v>0</v>
      </c>
      <c r="M55" s="1">
        <f>MIN($G55)</f>
        <v>0</v>
      </c>
      <c r="N55" s="1">
        <f>MIN($H55)</f>
        <v>0</v>
      </c>
      <c r="O55" s="1">
        <f>MEDIAN($B55)</f>
        <v>0</v>
      </c>
      <c r="P55" s="1">
        <f>MEDIAN($C55)</f>
        <v>0</v>
      </c>
      <c r="Q55" s="1">
        <f>MEDIAN($D55)</f>
        <v>0</v>
      </c>
      <c r="R55" s="1">
        <f>MEDIAN($E55)</f>
        <v>0</v>
      </c>
      <c r="S55" s="1">
        <f>MEDIAN($G55)</f>
        <v>0</v>
      </c>
      <c r="T55" s="1">
        <f>MEDIAN($H55)</f>
        <v>0</v>
      </c>
      <c r="U55" s="1">
        <f>MAX($B55)</f>
        <v>0</v>
      </c>
      <c r="V55" s="1">
        <f>MAX($C55)</f>
        <v>0</v>
      </c>
      <c r="W55" s="1">
        <f>MAX($D55)</f>
        <v>0</v>
      </c>
      <c r="X55" s="1">
        <f>MAX($E55)</f>
        <v>0</v>
      </c>
      <c r="Y55" s="1">
        <f>MAX($G55)</f>
        <v>0</v>
      </c>
      <c r="Z55" s="1">
        <f>MAX($H55)</f>
        <v>0</v>
      </c>
    </row>
    <row r="56" spans="1:26">
      <c r="A56" s="1" t="s">
        <v>53</v>
      </c>
      <c r="B56" s="1" cm="1">
        <f t="array" ref="B56">_xlfn.SWITCH($A$2,"average", AVERAGE(Instances!B56:Instances!B56),"median", MEDIAN(Instances!B56:Instances!B56),"min", MIN(Instances!B56:Instances!B56),"max", MAX(Instances!B56:Instances!B56),"diff", MAX(Instances!B56:Instances!B56)-MIN(Instances!B56:Instances!B56))</f>
        <v>0</v>
      </c>
      <c r="C56" s="1" cm="1">
        <f t="array" ref="C56">_xlfn.SWITCH($A$2,"average", AVERAGE(Instances!C56:Instances!C56),"median", MEDIAN(Instances!C56:Instances!C56),"min", MIN(Instances!C56:Instances!C56),"max", MAX(Instances!C56:Instances!C56),"diff", MAX(Instances!C56:Instances!C56)-MIN(Instances!C56:Instances!C56))</f>
        <v>0</v>
      </c>
      <c r="D56" s="1" cm="1">
        <f t="array" ref="D56">_xlfn.SWITCH($A$2,"average", AVERAGE(Instances!D56:Instances!D56),"median", MEDIAN(Instances!D56:Instances!D56),"min", MIN(Instances!D56:Instances!D56),"max", MAX(Instances!D56:Instances!D56),"diff", MAX(Instances!D56:Instances!D56)-MIN(Instances!D56:Instances!D56))</f>
        <v>0</v>
      </c>
      <c r="E56" s="1" cm="1">
        <f t="array" ref="E56">_xlfn.SWITCH($A$2,"average", AVERAGE(Instances!E56:Instances!E56),"median", MEDIAN(Instances!E56:Instances!E56),"min", MIN(Instances!E56:Instances!E56),"max", MAX(Instances!E56:Instances!E56),"diff", MAX(Instances!E56:Instances!E56)-MIN(Instances!E56:Instances!E56))</f>
        <v>0</v>
      </c>
      <c r="F56" s="1"/>
      <c r="G56" s="1" cm="1">
        <f t="array" ref="G56">_xlfn.SWITCH($A$2,"average", AVERAGE(Instances!G56:Instances!G56),"median", MEDIAN(Instances!G56:Instances!G56),"min", MIN(Instances!G56:Instances!G56),"max", MAX(Instances!G56:Instances!G56),"diff", MAX(Instances!G56:Instances!G56)-MIN(Instances!G56:Instances!G56))</f>
        <v>0</v>
      </c>
      <c r="H56" s="1" cm="1">
        <f t="array" ref="H56">_xlfn.SWITCH($A$2,"average", AVERAGE(Instances!H56:Instances!H56),"median", MEDIAN(Instances!H56:Instances!H56),"min", MIN(Instances!H56:Instances!H56),"max", MAX(Instances!H56:Instances!H56),"diff", MAX(Instances!H56:Instances!H56)-MIN(Instances!H56:Instances!H56))</f>
        <v>0</v>
      </c>
      <c r="I56" s="1">
        <f>MIN($B56)</f>
        <v>0</v>
      </c>
      <c r="J56" s="1">
        <f>MIN($C56)</f>
        <v>0</v>
      </c>
      <c r="K56" s="1">
        <f>MIN($D56)</f>
        <v>0</v>
      </c>
      <c r="L56" s="1">
        <f>MIN($E56)</f>
        <v>0</v>
      </c>
      <c r="M56" s="1">
        <f>MIN($G56)</f>
        <v>0</v>
      </c>
      <c r="N56" s="1">
        <f>MIN($H56)</f>
        <v>0</v>
      </c>
      <c r="O56" s="1">
        <f>MEDIAN($B56)</f>
        <v>0</v>
      </c>
      <c r="P56" s="1">
        <f>MEDIAN($C56)</f>
        <v>0</v>
      </c>
      <c r="Q56" s="1">
        <f>MEDIAN($D56)</f>
        <v>0</v>
      </c>
      <c r="R56" s="1">
        <f>MEDIAN($E56)</f>
        <v>0</v>
      </c>
      <c r="S56" s="1">
        <f>MEDIAN($G56)</f>
        <v>0</v>
      </c>
      <c r="T56" s="1">
        <f>MEDIAN($H56)</f>
        <v>0</v>
      </c>
      <c r="U56" s="1">
        <f>MAX($B56)</f>
        <v>0</v>
      </c>
      <c r="V56" s="1">
        <f>MAX($C56)</f>
        <v>0</v>
      </c>
      <c r="W56" s="1">
        <f>MAX($D56)</f>
        <v>0</v>
      </c>
      <c r="X56" s="1">
        <f>MAX($E56)</f>
        <v>0</v>
      </c>
      <c r="Y56" s="1">
        <f>MAX($G56)</f>
        <v>0</v>
      </c>
      <c r="Z56" s="1">
        <f>MAX($H56)</f>
        <v>0</v>
      </c>
    </row>
    <row r="57" spans="1:26">
      <c r="A57" s="1" t="s">
        <v>54</v>
      </c>
      <c r="B57" s="1" cm="1">
        <f t="array" ref="B57">_xlfn.SWITCH($A$2,"average", AVERAGE(Instances!B57:Instances!B57),"median", MEDIAN(Instances!B57:Instances!B57),"min", MIN(Instances!B57:Instances!B57),"max", MAX(Instances!B57:Instances!B57),"diff", MAX(Instances!B57:Instances!B57)-MIN(Instances!B57:Instances!B57))</f>
        <v>0</v>
      </c>
      <c r="C57" s="1" cm="1">
        <f t="array" ref="C57">_xlfn.SWITCH($A$2,"average", AVERAGE(Instances!C57:Instances!C57),"median", MEDIAN(Instances!C57:Instances!C57),"min", MIN(Instances!C57:Instances!C57),"max", MAX(Instances!C57:Instances!C57),"diff", MAX(Instances!C57:Instances!C57)-MIN(Instances!C57:Instances!C57))</f>
        <v>0</v>
      </c>
      <c r="D57" s="1" cm="1">
        <f t="array" ref="D57">_xlfn.SWITCH($A$2,"average", AVERAGE(Instances!D57:Instances!D57),"median", MEDIAN(Instances!D57:Instances!D57),"min", MIN(Instances!D57:Instances!D57),"max", MAX(Instances!D57:Instances!D57),"diff", MAX(Instances!D57:Instances!D57)-MIN(Instances!D57:Instances!D57))</f>
        <v>0</v>
      </c>
      <c r="E57" s="1" cm="1">
        <f t="array" ref="E57">_xlfn.SWITCH($A$2,"average", AVERAGE(Instances!E57:Instances!E57),"median", MEDIAN(Instances!E57:Instances!E57),"min", MIN(Instances!E57:Instances!E57),"max", MAX(Instances!E57:Instances!E57),"diff", MAX(Instances!E57:Instances!E57)-MIN(Instances!E57:Instances!E57))</f>
        <v>0</v>
      </c>
      <c r="F57" s="1"/>
      <c r="G57" s="1" cm="1">
        <f t="array" ref="G57">_xlfn.SWITCH($A$2,"average", AVERAGE(Instances!G57:Instances!G57),"median", MEDIAN(Instances!G57:Instances!G57),"min", MIN(Instances!G57:Instances!G57),"max", MAX(Instances!G57:Instances!G57),"diff", MAX(Instances!G57:Instances!G57)-MIN(Instances!G57:Instances!G57))</f>
        <v>0</v>
      </c>
      <c r="H57" s="1" cm="1">
        <f t="array" ref="H57">_xlfn.SWITCH($A$2,"average", AVERAGE(Instances!H57:Instances!H57),"median", MEDIAN(Instances!H57:Instances!H57),"min", MIN(Instances!H57:Instances!H57),"max", MAX(Instances!H57:Instances!H57),"diff", MAX(Instances!H57:Instances!H57)-MIN(Instances!H57:Instances!H57))</f>
        <v>0</v>
      </c>
      <c r="I57" s="1">
        <f>MIN($B57)</f>
        <v>0</v>
      </c>
      <c r="J57" s="1">
        <f>MIN($C57)</f>
        <v>0</v>
      </c>
      <c r="K57" s="1">
        <f>MIN($D57)</f>
        <v>0</v>
      </c>
      <c r="L57" s="1">
        <f>MIN($E57)</f>
        <v>0</v>
      </c>
      <c r="M57" s="1">
        <f>MIN($G57)</f>
        <v>0</v>
      </c>
      <c r="N57" s="1">
        <f>MIN($H57)</f>
        <v>0</v>
      </c>
      <c r="O57" s="1">
        <f>MEDIAN($B57)</f>
        <v>0</v>
      </c>
      <c r="P57" s="1">
        <f>MEDIAN($C57)</f>
        <v>0</v>
      </c>
      <c r="Q57" s="1">
        <f>MEDIAN($D57)</f>
        <v>0</v>
      </c>
      <c r="R57" s="1">
        <f>MEDIAN($E57)</f>
        <v>0</v>
      </c>
      <c r="S57" s="1">
        <f>MEDIAN($G57)</f>
        <v>0</v>
      </c>
      <c r="T57" s="1">
        <f>MEDIAN($H57)</f>
        <v>0</v>
      </c>
      <c r="U57" s="1">
        <f>MAX($B57)</f>
        <v>0</v>
      </c>
      <c r="V57" s="1">
        <f>MAX($C57)</f>
        <v>0</v>
      </c>
      <c r="W57" s="1">
        <f>MAX($D57)</f>
        <v>0</v>
      </c>
      <c r="X57" s="1">
        <f>MAX($E57)</f>
        <v>0</v>
      </c>
      <c r="Y57" s="1">
        <f>MAX($G57)</f>
        <v>0</v>
      </c>
      <c r="Z57" s="1">
        <f>MAX($H57)</f>
        <v>0</v>
      </c>
    </row>
    <row r="58" spans="1:26">
      <c r="A58" s="1" t="s">
        <v>55</v>
      </c>
      <c r="B58" s="1" cm="1">
        <f t="array" ref="B58">_xlfn.SWITCH($A$2,"average", AVERAGE(Instances!B58:Instances!B58),"median", MEDIAN(Instances!B58:Instances!B58),"min", MIN(Instances!B58:Instances!B58),"max", MAX(Instances!B58:Instances!B58),"diff", MAX(Instances!B58:Instances!B58)-MIN(Instances!B58:Instances!B58))</f>
        <v>0</v>
      </c>
      <c r="C58" s="1" cm="1">
        <f t="array" ref="C58">_xlfn.SWITCH($A$2,"average", AVERAGE(Instances!C58:Instances!C58),"median", MEDIAN(Instances!C58:Instances!C58),"min", MIN(Instances!C58:Instances!C58),"max", MAX(Instances!C58:Instances!C58),"diff", MAX(Instances!C58:Instances!C58)-MIN(Instances!C58:Instances!C58))</f>
        <v>0</v>
      </c>
      <c r="D58" s="1" cm="1">
        <f t="array" ref="D58">_xlfn.SWITCH($A$2,"average", AVERAGE(Instances!D58:Instances!D58),"median", MEDIAN(Instances!D58:Instances!D58),"min", MIN(Instances!D58:Instances!D58),"max", MAX(Instances!D58:Instances!D58),"diff", MAX(Instances!D58:Instances!D58)-MIN(Instances!D58:Instances!D58))</f>
        <v>0</v>
      </c>
      <c r="E58" s="1" cm="1">
        <f t="array" ref="E58">_xlfn.SWITCH($A$2,"average", AVERAGE(Instances!E58:Instances!E58),"median", MEDIAN(Instances!E58:Instances!E58),"min", MIN(Instances!E58:Instances!E58),"max", MAX(Instances!E58:Instances!E58),"diff", MAX(Instances!E58:Instances!E58)-MIN(Instances!E58:Instances!E58))</f>
        <v>0</v>
      </c>
      <c r="F58" s="1"/>
      <c r="G58" s="1" cm="1">
        <f t="array" ref="G58">_xlfn.SWITCH($A$2,"average", AVERAGE(Instances!G58:Instances!G58),"median", MEDIAN(Instances!G58:Instances!G58),"min", MIN(Instances!G58:Instances!G58),"max", MAX(Instances!G58:Instances!G58),"diff", MAX(Instances!G58:Instances!G58)-MIN(Instances!G58:Instances!G58))</f>
        <v>0</v>
      </c>
      <c r="H58" s="1" cm="1">
        <f t="array" ref="H58">_xlfn.SWITCH($A$2,"average", AVERAGE(Instances!H58:Instances!H58),"median", MEDIAN(Instances!H58:Instances!H58),"min", MIN(Instances!H58:Instances!H58),"max", MAX(Instances!H58:Instances!H58),"diff", MAX(Instances!H58:Instances!H58)-MIN(Instances!H58:Instances!H58))</f>
        <v>0</v>
      </c>
      <c r="I58" s="1">
        <f>MIN($B58)</f>
        <v>0</v>
      </c>
      <c r="J58" s="1">
        <f>MIN($C58)</f>
        <v>0</v>
      </c>
      <c r="K58" s="1">
        <f>MIN($D58)</f>
        <v>0</v>
      </c>
      <c r="L58" s="1">
        <f>MIN($E58)</f>
        <v>0</v>
      </c>
      <c r="M58" s="1">
        <f>MIN($G58)</f>
        <v>0</v>
      </c>
      <c r="N58" s="1">
        <f>MIN($H58)</f>
        <v>0</v>
      </c>
      <c r="O58" s="1">
        <f>MEDIAN($B58)</f>
        <v>0</v>
      </c>
      <c r="P58" s="1">
        <f>MEDIAN($C58)</f>
        <v>0</v>
      </c>
      <c r="Q58" s="1">
        <f>MEDIAN($D58)</f>
        <v>0</v>
      </c>
      <c r="R58" s="1">
        <f>MEDIAN($E58)</f>
        <v>0</v>
      </c>
      <c r="S58" s="1">
        <f>MEDIAN($G58)</f>
        <v>0</v>
      </c>
      <c r="T58" s="1">
        <f>MEDIAN($H58)</f>
        <v>0</v>
      </c>
      <c r="U58" s="1">
        <f>MAX($B58)</f>
        <v>0</v>
      </c>
      <c r="V58" s="1">
        <f>MAX($C58)</f>
        <v>0</v>
      </c>
      <c r="W58" s="1">
        <f>MAX($D58)</f>
        <v>0</v>
      </c>
      <c r="X58" s="1">
        <f>MAX($E58)</f>
        <v>0</v>
      </c>
      <c r="Y58" s="1">
        <f>MAX($G58)</f>
        <v>0</v>
      </c>
      <c r="Z58" s="1">
        <f>MAX($H58)</f>
        <v>0</v>
      </c>
    </row>
    <row r="59" spans="1:26">
      <c r="A59" s="1" t="s">
        <v>56</v>
      </c>
      <c r="B59" s="1" cm="1">
        <f t="array" ref="B59">_xlfn.SWITCH($A$2,"average", AVERAGE(Instances!B59:Instances!B59),"median", MEDIAN(Instances!B59:Instances!B59),"min", MIN(Instances!B59:Instances!B59),"max", MAX(Instances!B59:Instances!B59),"diff", MAX(Instances!B59:Instances!B59)-MIN(Instances!B59:Instances!B59))</f>
        <v>0</v>
      </c>
      <c r="C59" s="1" cm="1">
        <f t="array" ref="C59">_xlfn.SWITCH($A$2,"average", AVERAGE(Instances!C59:Instances!C59),"median", MEDIAN(Instances!C59:Instances!C59),"min", MIN(Instances!C59:Instances!C59),"max", MAX(Instances!C59:Instances!C59),"diff", MAX(Instances!C59:Instances!C59)-MIN(Instances!C59:Instances!C59))</f>
        <v>0</v>
      </c>
      <c r="D59" s="1" cm="1">
        <f t="array" ref="D59">_xlfn.SWITCH($A$2,"average", AVERAGE(Instances!D59:Instances!D59),"median", MEDIAN(Instances!D59:Instances!D59),"min", MIN(Instances!D59:Instances!D59),"max", MAX(Instances!D59:Instances!D59),"diff", MAX(Instances!D59:Instances!D59)-MIN(Instances!D59:Instances!D59))</f>
        <v>0</v>
      </c>
      <c r="E59" s="1" cm="1">
        <f t="array" ref="E59">_xlfn.SWITCH($A$2,"average", AVERAGE(Instances!E59:Instances!E59),"median", MEDIAN(Instances!E59:Instances!E59),"min", MIN(Instances!E59:Instances!E59),"max", MAX(Instances!E59:Instances!E59),"diff", MAX(Instances!E59:Instances!E59)-MIN(Instances!E59:Instances!E59))</f>
        <v>0</v>
      </c>
      <c r="F59" s="1"/>
      <c r="G59" s="1" cm="1">
        <f t="array" ref="G59">_xlfn.SWITCH($A$2,"average", AVERAGE(Instances!G59:Instances!G59),"median", MEDIAN(Instances!G59:Instances!G59),"min", MIN(Instances!G59:Instances!G59),"max", MAX(Instances!G59:Instances!G59),"diff", MAX(Instances!G59:Instances!G59)-MIN(Instances!G59:Instances!G59))</f>
        <v>0</v>
      </c>
      <c r="H59" s="1" cm="1">
        <f t="array" ref="H59">_xlfn.SWITCH($A$2,"average", AVERAGE(Instances!H59:Instances!H59),"median", MEDIAN(Instances!H59:Instances!H59),"min", MIN(Instances!H59:Instances!H59),"max", MAX(Instances!H59:Instances!H59),"diff", MAX(Instances!H59:Instances!H59)-MIN(Instances!H59:Instances!H59))</f>
        <v>0</v>
      </c>
      <c r="I59" s="1">
        <f>MIN($B59)</f>
        <v>0</v>
      </c>
      <c r="J59" s="1">
        <f>MIN($C59)</f>
        <v>0</v>
      </c>
      <c r="K59" s="1">
        <f>MIN($D59)</f>
        <v>0</v>
      </c>
      <c r="L59" s="1">
        <f>MIN($E59)</f>
        <v>0</v>
      </c>
      <c r="M59" s="1">
        <f>MIN($G59)</f>
        <v>0</v>
      </c>
      <c r="N59" s="1">
        <f>MIN($H59)</f>
        <v>0</v>
      </c>
      <c r="O59" s="1">
        <f>MEDIAN($B59)</f>
        <v>0</v>
      </c>
      <c r="P59" s="1">
        <f>MEDIAN($C59)</f>
        <v>0</v>
      </c>
      <c r="Q59" s="1">
        <f>MEDIAN($D59)</f>
        <v>0</v>
      </c>
      <c r="R59" s="1">
        <f>MEDIAN($E59)</f>
        <v>0</v>
      </c>
      <c r="S59" s="1">
        <f>MEDIAN($G59)</f>
        <v>0</v>
      </c>
      <c r="T59" s="1">
        <f>MEDIAN($H59)</f>
        <v>0</v>
      </c>
      <c r="U59" s="1">
        <f>MAX($B59)</f>
        <v>0</v>
      </c>
      <c r="V59" s="1">
        <f>MAX($C59)</f>
        <v>0</v>
      </c>
      <c r="W59" s="1">
        <f>MAX($D59)</f>
        <v>0</v>
      </c>
      <c r="X59" s="1">
        <f>MAX($E59)</f>
        <v>0</v>
      </c>
      <c r="Y59" s="1">
        <f>MAX($G59)</f>
        <v>0</v>
      </c>
      <c r="Z59" s="1">
        <f>MAX($H59)</f>
        <v>0</v>
      </c>
    </row>
    <row r="60" spans="1:26">
      <c r="A60" s="1" t="s">
        <v>57</v>
      </c>
      <c r="B60" s="1" cm="1">
        <f t="array" ref="B60">_xlfn.SWITCH($A$2,"average", AVERAGE(Instances!B60:Instances!B60),"median", MEDIAN(Instances!B60:Instances!B60),"min", MIN(Instances!B60:Instances!B60),"max", MAX(Instances!B60:Instances!B60),"diff", MAX(Instances!B60:Instances!B60)-MIN(Instances!B60:Instances!B60))</f>
        <v>0</v>
      </c>
      <c r="C60" s="1" cm="1">
        <f t="array" ref="C60">_xlfn.SWITCH($A$2,"average", AVERAGE(Instances!C60:Instances!C60),"median", MEDIAN(Instances!C60:Instances!C60),"min", MIN(Instances!C60:Instances!C60),"max", MAX(Instances!C60:Instances!C60),"diff", MAX(Instances!C60:Instances!C60)-MIN(Instances!C60:Instances!C60))</f>
        <v>0</v>
      </c>
      <c r="D60" s="1" cm="1">
        <f t="array" ref="D60">_xlfn.SWITCH($A$2,"average", AVERAGE(Instances!D60:Instances!D60),"median", MEDIAN(Instances!D60:Instances!D60),"min", MIN(Instances!D60:Instances!D60),"max", MAX(Instances!D60:Instances!D60),"diff", MAX(Instances!D60:Instances!D60)-MIN(Instances!D60:Instances!D60))</f>
        <v>0</v>
      </c>
      <c r="E60" s="1" cm="1">
        <f t="array" ref="E60">_xlfn.SWITCH($A$2,"average", AVERAGE(Instances!E60:Instances!E60),"median", MEDIAN(Instances!E60:Instances!E60),"min", MIN(Instances!E60:Instances!E60),"max", MAX(Instances!E60:Instances!E60),"diff", MAX(Instances!E60:Instances!E60)-MIN(Instances!E60:Instances!E60))</f>
        <v>0</v>
      </c>
      <c r="F60" s="1"/>
      <c r="G60" s="1" cm="1">
        <f t="array" ref="G60">_xlfn.SWITCH($A$2,"average", AVERAGE(Instances!G60:Instances!G60),"median", MEDIAN(Instances!G60:Instances!G60),"min", MIN(Instances!G60:Instances!G60),"max", MAX(Instances!G60:Instances!G60),"diff", MAX(Instances!G60:Instances!G60)-MIN(Instances!G60:Instances!G60))</f>
        <v>0</v>
      </c>
      <c r="H60" s="1" cm="1">
        <f t="array" ref="H60">_xlfn.SWITCH($A$2,"average", AVERAGE(Instances!H60:Instances!H60),"median", MEDIAN(Instances!H60:Instances!H60),"min", MIN(Instances!H60:Instances!H60),"max", MAX(Instances!H60:Instances!H60),"diff", MAX(Instances!H60:Instances!H60)-MIN(Instances!H60:Instances!H60))</f>
        <v>0</v>
      </c>
      <c r="I60" s="1">
        <f>MIN($B60)</f>
        <v>0</v>
      </c>
      <c r="J60" s="1">
        <f>MIN($C60)</f>
        <v>0</v>
      </c>
      <c r="K60" s="1">
        <f>MIN($D60)</f>
        <v>0</v>
      </c>
      <c r="L60" s="1">
        <f>MIN($E60)</f>
        <v>0</v>
      </c>
      <c r="M60" s="1">
        <f>MIN($G60)</f>
        <v>0</v>
      </c>
      <c r="N60" s="1">
        <f>MIN($H60)</f>
        <v>0</v>
      </c>
      <c r="O60" s="1">
        <f>MEDIAN($B60)</f>
        <v>0</v>
      </c>
      <c r="P60" s="1">
        <f>MEDIAN($C60)</f>
        <v>0</v>
      </c>
      <c r="Q60" s="1">
        <f>MEDIAN($D60)</f>
        <v>0</v>
      </c>
      <c r="R60" s="1">
        <f>MEDIAN($E60)</f>
        <v>0</v>
      </c>
      <c r="S60" s="1">
        <f>MEDIAN($G60)</f>
        <v>0</v>
      </c>
      <c r="T60" s="1">
        <f>MEDIAN($H60)</f>
        <v>0</v>
      </c>
      <c r="U60" s="1">
        <f>MAX($B60)</f>
        <v>0</v>
      </c>
      <c r="V60" s="1">
        <f>MAX($C60)</f>
        <v>0</v>
      </c>
      <c r="W60" s="1">
        <f>MAX($D60)</f>
        <v>0</v>
      </c>
      <c r="X60" s="1">
        <f>MAX($E60)</f>
        <v>0</v>
      </c>
      <c r="Y60" s="1">
        <f>MAX($G60)</f>
        <v>0</v>
      </c>
      <c r="Z60" s="1">
        <f>MAX($H60)</f>
        <v>0</v>
      </c>
    </row>
    <row r="61" spans="1:26">
      <c r="A61" s="1" t="s">
        <v>58</v>
      </c>
      <c r="B61" s="1" cm="1">
        <f t="array" ref="B61">_xlfn.SWITCH($A$2,"average", AVERAGE(Instances!B61:Instances!B61),"median", MEDIAN(Instances!B61:Instances!B61),"min", MIN(Instances!B61:Instances!B61),"max", MAX(Instances!B61:Instances!B61),"diff", MAX(Instances!B61:Instances!B61)-MIN(Instances!B61:Instances!B61))</f>
        <v>0</v>
      </c>
      <c r="C61" s="1" cm="1">
        <f t="array" ref="C61">_xlfn.SWITCH($A$2,"average", AVERAGE(Instances!C61:Instances!C61),"median", MEDIAN(Instances!C61:Instances!C61),"min", MIN(Instances!C61:Instances!C61),"max", MAX(Instances!C61:Instances!C61),"diff", MAX(Instances!C61:Instances!C61)-MIN(Instances!C61:Instances!C61))</f>
        <v>0</v>
      </c>
      <c r="D61" s="1" cm="1">
        <f t="array" ref="D61">_xlfn.SWITCH($A$2,"average", AVERAGE(Instances!D61:Instances!D61),"median", MEDIAN(Instances!D61:Instances!D61),"min", MIN(Instances!D61:Instances!D61),"max", MAX(Instances!D61:Instances!D61),"diff", MAX(Instances!D61:Instances!D61)-MIN(Instances!D61:Instances!D61))</f>
        <v>0</v>
      </c>
      <c r="E61" s="1" cm="1">
        <f t="array" ref="E61">_xlfn.SWITCH($A$2,"average", AVERAGE(Instances!E61:Instances!E61),"median", MEDIAN(Instances!E61:Instances!E61),"min", MIN(Instances!E61:Instances!E61),"max", MAX(Instances!E61:Instances!E61),"diff", MAX(Instances!E61:Instances!E61)-MIN(Instances!E61:Instances!E61))</f>
        <v>0</v>
      </c>
      <c r="F61" s="1"/>
      <c r="G61" s="1" cm="1">
        <f t="array" ref="G61">_xlfn.SWITCH($A$2,"average", AVERAGE(Instances!G61:Instances!G61),"median", MEDIAN(Instances!G61:Instances!G61),"min", MIN(Instances!G61:Instances!G61),"max", MAX(Instances!G61:Instances!G61),"diff", MAX(Instances!G61:Instances!G61)-MIN(Instances!G61:Instances!G61))</f>
        <v>0</v>
      </c>
      <c r="H61" s="1" cm="1">
        <f t="array" ref="H61">_xlfn.SWITCH($A$2,"average", AVERAGE(Instances!H61:Instances!H61),"median", MEDIAN(Instances!H61:Instances!H61),"min", MIN(Instances!H61:Instances!H61),"max", MAX(Instances!H61:Instances!H61),"diff", MAX(Instances!H61:Instances!H61)-MIN(Instances!H61:Instances!H61))</f>
        <v>0</v>
      </c>
      <c r="I61" s="1">
        <f>MIN($B61)</f>
        <v>0</v>
      </c>
      <c r="J61" s="1">
        <f>MIN($C61)</f>
        <v>0</v>
      </c>
      <c r="K61" s="1">
        <f>MIN($D61)</f>
        <v>0</v>
      </c>
      <c r="L61" s="1">
        <f>MIN($E61)</f>
        <v>0</v>
      </c>
      <c r="M61" s="1">
        <f>MIN($G61)</f>
        <v>0</v>
      </c>
      <c r="N61" s="1">
        <f>MIN($H61)</f>
        <v>0</v>
      </c>
      <c r="O61" s="1">
        <f>MEDIAN($B61)</f>
        <v>0</v>
      </c>
      <c r="P61" s="1">
        <f>MEDIAN($C61)</f>
        <v>0</v>
      </c>
      <c r="Q61" s="1">
        <f>MEDIAN($D61)</f>
        <v>0</v>
      </c>
      <c r="R61" s="1">
        <f>MEDIAN($E61)</f>
        <v>0</v>
      </c>
      <c r="S61" s="1">
        <f>MEDIAN($G61)</f>
        <v>0</v>
      </c>
      <c r="T61" s="1">
        <f>MEDIAN($H61)</f>
        <v>0</v>
      </c>
      <c r="U61" s="1">
        <f>MAX($B61)</f>
        <v>0</v>
      </c>
      <c r="V61" s="1">
        <f>MAX($C61)</f>
        <v>0</v>
      </c>
      <c r="W61" s="1">
        <f>MAX($D61)</f>
        <v>0</v>
      </c>
      <c r="X61" s="1">
        <f>MAX($E61)</f>
        <v>0</v>
      </c>
      <c r="Y61" s="1">
        <f>MAX($G61)</f>
        <v>0</v>
      </c>
      <c r="Z61" s="1">
        <f>MAX($H61)</f>
        <v>0</v>
      </c>
    </row>
    <row r="62" spans="1:26">
      <c r="A62" s="1" t="s">
        <v>59</v>
      </c>
      <c r="B62" s="1" cm="1">
        <f t="array" ref="B62">_xlfn.SWITCH($A$2,"average", AVERAGE(Instances!B62:Instances!B62),"median", MEDIAN(Instances!B62:Instances!B62),"min", MIN(Instances!B62:Instances!B62),"max", MAX(Instances!B62:Instances!B62),"diff", MAX(Instances!B62:Instances!B62)-MIN(Instances!B62:Instances!B62))</f>
        <v>0</v>
      </c>
      <c r="C62" s="1" cm="1">
        <f t="array" ref="C62">_xlfn.SWITCH($A$2,"average", AVERAGE(Instances!C62:Instances!C62),"median", MEDIAN(Instances!C62:Instances!C62),"min", MIN(Instances!C62:Instances!C62),"max", MAX(Instances!C62:Instances!C62),"diff", MAX(Instances!C62:Instances!C62)-MIN(Instances!C62:Instances!C62))</f>
        <v>0</v>
      </c>
      <c r="D62" s="1" cm="1">
        <f t="array" ref="D62">_xlfn.SWITCH($A$2,"average", AVERAGE(Instances!D62:Instances!D62),"median", MEDIAN(Instances!D62:Instances!D62),"min", MIN(Instances!D62:Instances!D62),"max", MAX(Instances!D62:Instances!D62),"diff", MAX(Instances!D62:Instances!D62)-MIN(Instances!D62:Instances!D62))</f>
        <v>0</v>
      </c>
      <c r="E62" s="1" cm="1">
        <f t="array" ref="E62">_xlfn.SWITCH($A$2,"average", AVERAGE(Instances!E62:Instances!E62),"median", MEDIAN(Instances!E62:Instances!E62),"min", MIN(Instances!E62:Instances!E62),"max", MAX(Instances!E62:Instances!E62),"diff", MAX(Instances!E62:Instances!E62)-MIN(Instances!E62:Instances!E62))</f>
        <v>0</v>
      </c>
      <c r="F62" s="1"/>
      <c r="G62" s="1" cm="1">
        <f t="array" ref="G62">_xlfn.SWITCH($A$2,"average", AVERAGE(Instances!G62:Instances!G62),"median", MEDIAN(Instances!G62:Instances!G62),"min", MIN(Instances!G62:Instances!G62),"max", MAX(Instances!G62:Instances!G62),"diff", MAX(Instances!G62:Instances!G62)-MIN(Instances!G62:Instances!G62))</f>
        <v>0</v>
      </c>
      <c r="H62" s="1" cm="1">
        <f t="array" ref="H62">_xlfn.SWITCH($A$2,"average", AVERAGE(Instances!H62:Instances!H62),"median", MEDIAN(Instances!H62:Instances!H62),"min", MIN(Instances!H62:Instances!H62),"max", MAX(Instances!H62:Instances!H62),"diff", MAX(Instances!H62:Instances!H62)-MIN(Instances!H62:Instances!H62))</f>
        <v>0</v>
      </c>
      <c r="I62" s="1">
        <f>MIN($B62)</f>
        <v>0</v>
      </c>
      <c r="J62" s="1">
        <f>MIN($C62)</f>
        <v>0</v>
      </c>
      <c r="K62" s="1">
        <f>MIN($D62)</f>
        <v>0</v>
      </c>
      <c r="L62" s="1">
        <f>MIN($E62)</f>
        <v>0</v>
      </c>
      <c r="M62" s="1">
        <f>MIN($G62)</f>
        <v>0</v>
      </c>
      <c r="N62" s="1">
        <f>MIN($H62)</f>
        <v>0</v>
      </c>
      <c r="O62" s="1">
        <f>MEDIAN($B62)</f>
        <v>0</v>
      </c>
      <c r="P62" s="1">
        <f>MEDIAN($C62)</f>
        <v>0</v>
      </c>
      <c r="Q62" s="1">
        <f>MEDIAN($D62)</f>
        <v>0</v>
      </c>
      <c r="R62" s="1">
        <f>MEDIAN($E62)</f>
        <v>0</v>
      </c>
      <c r="S62" s="1">
        <f>MEDIAN($G62)</f>
        <v>0</v>
      </c>
      <c r="T62" s="1">
        <f>MEDIAN($H62)</f>
        <v>0</v>
      </c>
      <c r="U62" s="1">
        <f>MAX($B62)</f>
        <v>0</v>
      </c>
      <c r="V62" s="1">
        <f>MAX($C62)</f>
        <v>0</v>
      </c>
      <c r="W62" s="1">
        <f>MAX($D62)</f>
        <v>0</v>
      </c>
      <c r="X62" s="1">
        <f>MAX($E62)</f>
        <v>0</v>
      </c>
      <c r="Y62" s="1">
        <f>MAX($G62)</f>
        <v>0</v>
      </c>
      <c r="Z62" s="1">
        <f>MAX($H62)</f>
        <v>0</v>
      </c>
    </row>
    <row r="63" spans="1:26">
      <c r="A63" s="1" t="s">
        <v>60</v>
      </c>
      <c r="B63" s="1" cm="1">
        <f t="array" ref="B63">_xlfn.SWITCH($A$2,"average", AVERAGE(Instances!B63:Instances!B63),"median", MEDIAN(Instances!B63:Instances!B63),"min", MIN(Instances!B63:Instances!B63),"max", MAX(Instances!B63:Instances!B63),"diff", MAX(Instances!B63:Instances!B63)-MIN(Instances!B63:Instances!B63))</f>
        <v>0</v>
      </c>
      <c r="C63" s="1" cm="1">
        <f t="array" ref="C63">_xlfn.SWITCH($A$2,"average", AVERAGE(Instances!C63:Instances!C63),"median", MEDIAN(Instances!C63:Instances!C63),"min", MIN(Instances!C63:Instances!C63),"max", MAX(Instances!C63:Instances!C63),"diff", MAX(Instances!C63:Instances!C63)-MIN(Instances!C63:Instances!C63))</f>
        <v>0</v>
      </c>
      <c r="D63" s="1" cm="1">
        <f t="array" ref="D63">_xlfn.SWITCH($A$2,"average", AVERAGE(Instances!D63:Instances!D63),"median", MEDIAN(Instances!D63:Instances!D63),"min", MIN(Instances!D63:Instances!D63),"max", MAX(Instances!D63:Instances!D63),"diff", MAX(Instances!D63:Instances!D63)-MIN(Instances!D63:Instances!D63))</f>
        <v>0</v>
      </c>
      <c r="E63" s="1" cm="1">
        <f t="array" ref="E63">_xlfn.SWITCH($A$2,"average", AVERAGE(Instances!E63:Instances!E63),"median", MEDIAN(Instances!E63:Instances!E63),"min", MIN(Instances!E63:Instances!E63),"max", MAX(Instances!E63:Instances!E63),"diff", MAX(Instances!E63:Instances!E63)-MIN(Instances!E63:Instances!E63))</f>
        <v>0</v>
      </c>
      <c r="F63" s="1"/>
      <c r="G63" s="1" cm="1">
        <f t="array" ref="G63">_xlfn.SWITCH($A$2,"average", AVERAGE(Instances!G63:Instances!G63),"median", MEDIAN(Instances!G63:Instances!G63),"min", MIN(Instances!G63:Instances!G63),"max", MAX(Instances!G63:Instances!G63),"diff", MAX(Instances!G63:Instances!G63)-MIN(Instances!G63:Instances!G63))</f>
        <v>0</v>
      </c>
      <c r="H63" s="1" cm="1">
        <f t="array" ref="H63">_xlfn.SWITCH($A$2,"average", AVERAGE(Instances!H63:Instances!H63),"median", MEDIAN(Instances!H63:Instances!H63),"min", MIN(Instances!H63:Instances!H63),"max", MAX(Instances!H63:Instances!H63),"diff", MAX(Instances!H63:Instances!H63)-MIN(Instances!H63:Instances!H63))</f>
        <v>0</v>
      </c>
      <c r="I63" s="1">
        <f>MIN($B63)</f>
        <v>0</v>
      </c>
      <c r="J63" s="1">
        <f>MIN($C63)</f>
        <v>0</v>
      </c>
      <c r="K63" s="1">
        <f>MIN($D63)</f>
        <v>0</v>
      </c>
      <c r="L63" s="1">
        <f>MIN($E63)</f>
        <v>0</v>
      </c>
      <c r="M63" s="1">
        <f>MIN($G63)</f>
        <v>0</v>
      </c>
      <c r="N63" s="1">
        <f>MIN($H63)</f>
        <v>0</v>
      </c>
      <c r="O63" s="1">
        <f>MEDIAN($B63)</f>
        <v>0</v>
      </c>
      <c r="P63" s="1">
        <f>MEDIAN($C63)</f>
        <v>0</v>
      </c>
      <c r="Q63" s="1">
        <f>MEDIAN($D63)</f>
        <v>0</v>
      </c>
      <c r="R63" s="1">
        <f>MEDIAN($E63)</f>
        <v>0</v>
      </c>
      <c r="S63" s="1">
        <f>MEDIAN($G63)</f>
        <v>0</v>
      </c>
      <c r="T63" s="1">
        <f>MEDIAN($H63)</f>
        <v>0</v>
      </c>
      <c r="U63" s="1">
        <f>MAX($B63)</f>
        <v>0</v>
      </c>
      <c r="V63" s="1">
        <f>MAX($C63)</f>
        <v>0</v>
      </c>
      <c r="W63" s="1">
        <f>MAX($D63)</f>
        <v>0</v>
      </c>
      <c r="X63" s="1">
        <f>MAX($E63)</f>
        <v>0</v>
      </c>
      <c r="Y63" s="1">
        <f>MAX($G63)</f>
        <v>0</v>
      </c>
      <c r="Z63" s="1">
        <f>MAX($H63)</f>
        <v>0</v>
      </c>
    </row>
    <row r="64" spans="1:26">
      <c r="A64" s="1" t="s">
        <v>61</v>
      </c>
      <c r="B64" s="1" cm="1">
        <f t="array" ref="B64">_xlfn.SWITCH($A$2,"average", AVERAGE(Instances!B64:Instances!B64),"median", MEDIAN(Instances!B64:Instances!B64),"min", MIN(Instances!B64:Instances!B64),"max", MAX(Instances!B64:Instances!B64),"diff", MAX(Instances!B64:Instances!B64)-MIN(Instances!B64:Instances!B64))</f>
        <v>0</v>
      </c>
      <c r="C64" s="1" cm="1">
        <f t="array" ref="C64">_xlfn.SWITCH($A$2,"average", AVERAGE(Instances!C64:Instances!C64),"median", MEDIAN(Instances!C64:Instances!C64),"min", MIN(Instances!C64:Instances!C64),"max", MAX(Instances!C64:Instances!C64),"diff", MAX(Instances!C64:Instances!C64)-MIN(Instances!C64:Instances!C64))</f>
        <v>0</v>
      </c>
      <c r="D64" s="1" cm="1">
        <f t="array" ref="D64">_xlfn.SWITCH($A$2,"average", AVERAGE(Instances!D64:Instances!D64),"median", MEDIAN(Instances!D64:Instances!D64),"min", MIN(Instances!D64:Instances!D64),"max", MAX(Instances!D64:Instances!D64),"diff", MAX(Instances!D64:Instances!D64)-MIN(Instances!D64:Instances!D64))</f>
        <v>0</v>
      </c>
      <c r="E64" s="1" cm="1">
        <f t="array" ref="E64">_xlfn.SWITCH($A$2,"average", AVERAGE(Instances!E64:Instances!E64),"median", MEDIAN(Instances!E64:Instances!E64),"min", MIN(Instances!E64:Instances!E64),"max", MAX(Instances!E64:Instances!E64),"diff", MAX(Instances!E64:Instances!E64)-MIN(Instances!E64:Instances!E64))</f>
        <v>0</v>
      </c>
      <c r="F64" s="1"/>
      <c r="G64" s="1" cm="1">
        <f t="array" ref="G64">_xlfn.SWITCH($A$2,"average", AVERAGE(Instances!G64:Instances!G64),"median", MEDIAN(Instances!G64:Instances!G64),"min", MIN(Instances!G64:Instances!G64),"max", MAX(Instances!G64:Instances!G64),"diff", MAX(Instances!G64:Instances!G64)-MIN(Instances!G64:Instances!G64))</f>
        <v>0</v>
      </c>
      <c r="H64" s="1" cm="1">
        <f t="array" ref="H64">_xlfn.SWITCH($A$2,"average", AVERAGE(Instances!H64:Instances!H64),"median", MEDIAN(Instances!H64:Instances!H64),"min", MIN(Instances!H64:Instances!H64),"max", MAX(Instances!H64:Instances!H64),"diff", MAX(Instances!H64:Instances!H64)-MIN(Instances!H64:Instances!H64))</f>
        <v>0</v>
      </c>
      <c r="I64" s="1">
        <f>MIN($B64)</f>
        <v>0</v>
      </c>
      <c r="J64" s="1">
        <f>MIN($C64)</f>
        <v>0</v>
      </c>
      <c r="K64" s="1">
        <f>MIN($D64)</f>
        <v>0</v>
      </c>
      <c r="L64" s="1">
        <f>MIN($E64)</f>
        <v>0</v>
      </c>
      <c r="M64" s="1">
        <f>MIN($G64)</f>
        <v>0</v>
      </c>
      <c r="N64" s="1">
        <f>MIN($H64)</f>
        <v>0</v>
      </c>
      <c r="O64" s="1">
        <f>MEDIAN($B64)</f>
        <v>0</v>
      </c>
      <c r="P64" s="1">
        <f>MEDIAN($C64)</f>
        <v>0</v>
      </c>
      <c r="Q64" s="1">
        <f>MEDIAN($D64)</f>
        <v>0</v>
      </c>
      <c r="R64" s="1">
        <f>MEDIAN($E64)</f>
        <v>0</v>
      </c>
      <c r="S64" s="1">
        <f>MEDIAN($G64)</f>
        <v>0</v>
      </c>
      <c r="T64" s="1">
        <f>MEDIAN($H64)</f>
        <v>0</v>
      </c>
      <c r="U64" s="1">
        <f>MAX($B64)</f>
        <v>0</v>
      </c>
      <c r="V64" s="1">
        <f>MAX($C64)</f>
        <v>0</v>
      </c>
      <c r="W64" s="1">
        <f>MAX($D64)</f>
        <v>0</v>
      </c>
      <c r="X64" s="1">
        <f>MAX($E64)</f>
        <v>0</v>
      </c>
      <c r="Y64" s="1">
        <f>MAX($G64)</f>
        <v>0</v>
      </c>
      <c r="Z64" s="1">
        <f>MAX($H64)</f>
        <v>0</v>
      </c>
    </row>
    <row r="65" spans="1:26">
      <c r="A65" s="1" t="s">
        <v>62</v>
      </c>
      <c r="B65" s="1" cm="1">
        <f t="array" ref="B65">_xlfn.SWITCH($A$2,"average", AVERAGE(Instances!B65:Instances!B65),"median", MEDIAN(Instances!B65:Instances!B65),"min", MIN(Instances!B65:Instances!B65),"max", MAX(Instances!B65:Instances!B65),"diff", MAX(Instances!B65:Instances!B65)-MIN(Instances!B65:Instances!B65))</f>
        <v>0</v>
      </c>
      <c r="C65" s="1" cm="1">
        <f t="array" ref="C65">_xlfn.SWITCH($A$2,"average", AVERAGE(Instances!C65:Instances!C65),"median", MEDIAN(Instances!C65:Instances!C65),"min", MIN(Instances!C65:Instances!C65),"max", MAX(Instances!C65:Instances!C65),"diff", MAX(Instances!C65:Instances!C65)-MIN(Instances!C65:Instances!C65))</f>
        <v>0</v>
      </c>
      <c r="D65" s="1" cm="1">
        <f t="array" ref="D65">_xlfn.SWITCH($A$2,"average", AVERAGE(Instances!D65:Instances!D65),"median", MEDIAN(Instances!D65:Instances!D65),"min", MIN(Instances!D65:Instances!D65),"max", MAX(Instances!D65:Instances!D65),"diff", MAX(Instances!D65:Instances!D65)-MIN(Instances!D65:Instances!D65))</f>
        <v>0</v>
      </c>
      <c r="E65" s="1" cm="1">
        <f t="array" ref="E65">_xlfn.SWITCH($A$2,"average", AVERAGE(Instances!E65:Instances!E65),"median", MEDIAN(Instances!E65:Instances!E65),"min", MIN(Instances!E65:Instances!E65),"max", MAX(Instances!E65:Instances!E65),"diff", MAX(Instances!E65:Instances!E65)-MIN(Instances!E65:Instances!E65))</f>
        <v>0</v>
      </c>
      <c r="F65" s="1"/>
      <c r="G65" s="1" cm="1">
        <f t="array" ref="G65">_xlfn.SWITCH($A$2,"average", AVERAGE(Instances!G65:Instances!G65),"median", MEDIAN(Instances!G65:Instances!G65),"min", MIN(Instances!G65:Instances!G65),"max", MAX(Instances!G65:Instances!G65),"diff", MAX(Instances!G65:Instances!G65)-MIN(Instances!G65:Instances!G65))</f>
        <v>0</v>
      </c>
      <c r="H65" s="1" cm="1">
        <f t="array" ref="H65">_xlfn.SWITCH($A$2,"average", AVERAGE(Instances!H65:Instances!H65),"median", MEDIAN(Instances!H65:Instances!H65),"min", MIN(Instances!H65:Instances!H65),"max", MAX(Instances!H65:Instances!H65),"diff", MAX(Instances!H65:Instances!H65)-MIN(Instances!H65:Instances!H65))</f>
        <v>0</v>
      </c>
      <c r="I65" s="1">
        <f>MIN($B65)</f>
        <v>0</v>
      </c>
      <c r="J65" s="1">
        <f>MIN($C65)</f>
        <v>0</v>
      </c>
      <c r="K65" s="1">
        <f>MIN($D65)</f>
        <v>0</v>
      </c>
      <c r="L65" s="1">
        <f>MIN($E65)</f>
        <v>0</v>
      </c>
      <c r="M65" s="1">
        <f>MIN($G65)</f>
        <v>0</v>
      </c>
      <c r="N65" s="1">
        <f>MIN($H65)</f>
        <v>0</v>
      </c>
      <c r="O65" s="1">
        <f>MEDIAN($B65)</f>
        <v>0</v>
      </c>
      <c r="P65" s="1">
        <f>MEDIAN($C65)</f>
        <v>0</v>
      </c>
      <c r="Q65" s="1">
        <f>MEDIAN($D65)</f>
        <v>0</v>
      </c>
      <c r="R65" s="1">
        <f>MEDIAN($E65)</f>
        <v>0</v>
      </c>
      <c r="S65" s="1">
        <f>MEDIAN($G65)</f>
        <v>0</v>
      </c>
      <c r="T65" s="1">
        <f>MEDIAN($H65)</f>
        <v>0</v>
      </c>
      <c r="U65" s="1">
        <f>MAX($B65)</f>
        <v>0</v>
      </c>
      <c r="V65" s="1">
        <f>MAX($C65)</f>
        <v>0</v>
      </c>
      <c r="W65" s="1">
        <f>MAX($D65)</f>
        <v>0</v>
      </c>
      <c r="X65" s="1">
        <f>MAX($E65)</f>
        <v>0</v>
      </c>
      <c r="Y65" s="1">
        <f>MAX($G65)</f>
        <v>0</v>
      </c>
      <c r="Z65" s="1">
        <f>MAX($H65)</f>
        <v>0</v>
      </c>
    </row>
    <row r="66" spans="1:26">
      <c r="A66" s="1" t="s">
        <v>63</v>
      </c>
      <c r="B66" s="1" cm="1">
        <f t="array" ref="B66">_xlfn.SWITCH($A$2,"average", AVERAGE(Instances!B66:Instances!B66),"median", MEDIAN(Instances!B66:Instances!B66),"min", MIN(Instances!B66:Instances!B66),"max", MAX(Instances!B66:Instances!B66),"diff", MAX(Instances!B66:Instances!B66)-MIN(Instances!B66:Instances!B66))</f>
        <v>0</v>
      </c>
      <c r="C66" s="1" cm="1">
        <f t="array" ref="C66">_xlfn.SWITCH($A$2,"average", AVERAGE(Instances!C66:Instances!C66),"median", MEDIAN(Instances!C66:Instances!C66),"min", MIN(Instances!C66:Instances!C66),"max", MAX(Instances!C66:Instances!C66),"diff", MAX(Instances!C66:Instances!C66)-MIN(Instances!C66:Instances!C66))</f>
        <v>0</v>
      </c>
      <c r="D66" s="1" cm="1">
        <f t="array" ref="D66">_xlfn.SWITCH($A$2,"average", AVERAGE(Instances!D66:Instances!D66),"median", MEDIAN(Instances!D66:Instances!D66),"min", MIN(Instances!D66:Instances!D66),"max", MAX(Instances!D66:Instances!D66),"diff", MAX(Instances!D66:Instances!D66)-MIN(Instances!D66:Instances!D66))</f>
        <v>0</v>
      </c>
      <c r="E66" s="1" cm="1">
        <f t="array" ref="E66">_xlfn.SWITCH($A$2,"average", AVERAGE(Instances!E66:Instances!E66),"median", MEDIAN(Instances!E66:Instances!E66),"min", MIN(Instances!E66:Instances!E66),"max", MAX(Instances!E66:Instances!E66),"diff", MAX(Instances!E66:Instances!E66)-MIN(Instances!E66:Instances!E66))</f>
        <v>0</v>
      </c>
      <c r="F66" s="1"/>
      <c r="G66" s="1" cm="1">
        <f t="array" ref="G66">_xlfn.SWITCH($A$2,"average", AVERAGE(Instances!G66:Instances!G66),"median", MEDIAN(Instances!G66:Instances!G66),"min", MIN(Instances!G66:Instances!G66),"max", MAX(Instances!G66:Instances!G66),"diff", MAX(Instances!G66:Instances!G66)-MIN(Instances!G66:Instances!G66))</f>
        <v>0</v>
      </c>
      <c r="H66" s="1" cm="1">
        <f t="array" ref="H66">_xlfn.SWITCH($A$2,"average", AVERAGE(Instances!H66:Instances!H66),"median", MEDIAN(Instances!H66:Instances!H66),"min", MIN(Instances!H66:Instances!H66),"max", MAX(Instances!H66:Instances!H66),"diff", MAX(Instances!H66:Instances!H66)-MIN(Instances!H66:Instances!H66))</f>
        <v>0</v>
      </c>
      <c r="I66" s="1">
        <f>MIN($B66)</f>
        <v>0</v>
      </c>
      <c r="J66" s="1">
        <f>MIN($C66)</f>
        <v>0</v>
      </c>
      <c r="K66" s="1">
        <f>MIN($D66)</f>
        <v>0</v>
      </c>
      <c r="L66" s="1">
        <f>MIN($E66)</f>
        <v>0</v>
      </c>
      <c r="M66" s="1">
        <f>MIN($G66)</f>
        <v>0</v>
      </c>
      <c r="N66" s="1">
        <f>MIN($H66)</f>
        <v>0</v>
      </c>
      <c r="O66" s="1">
        <f>MEDIAN($B66)</f>
        <v>0</v>
      </c>
      <c r="P66" s="1">
        <f>MEDIAN($C66)</f>
        <v>0</v>
      </c>
      <c r="Q66" s="1">
        <f>MEDIAN($D66)</f>
        <v>0</v>
      </c>
      <c r="R66" s="1">
        <f>MEDIAN($E66)</f>
        <v>0</v>
      </c>
      <c r="S66" s="1">
        <f>MEDIAN($G66)</f>
        <v>0</v>
      </c>
      <c r="T66" s="1">
        <f>MEDIAN($H66)</f>
        <v>0</v>
      </c>
      <c r="U66" s="1">
        <f>MAX($B66)</f>
        <v>0</v>
      </c>
      <c r="V66" s="1">
        <f>MAX($C66)</f>
        <v>0</v>
      </c>
      <c r="W66" s="1">
        <f>MAX($D66)</f>
        <v>0</v>
      </c>
      <c r="X66" s="1">
        <f>MAX($E66)</f>
        <v>0</v>
      </c>
      <c r="Y66" s="1">
        <f>MAX($G66)</f>
        <v>0</v>
      </c>
      <c r="Z66" s="1">
        <f>MAX($H66)</f>
        <v>0</v>
      </c>
    </row>
    <row r="67" spans="1:26">
      <c r="A67" s="1" t="s">
        <v>64</v>
      </c>
      <c r="B67" s="1" cm="1">
        <f t="array" ref="B67">_xlfn.SWITCH($A$2,"average", AVERAGE(Instances!B67:Instances!B67),"median", MEDIAN(Instances!B67:Instances!B67),"min", MIN(Instances!B67:Instances!B67),"max", MAX(Instances!B67:Instances!B67),"diff", MAX(Instances!B67:Instances!B67)-MIN(Instances!B67:Instances!B67))</f>
        <v>0</v>
      </c>
      <c r="C67" s="1" cm="1">
        <f t="array" ref="C67">_xlfn.SWITCH($A$2,"average", AVERAGE(Instances!C67:Instances!C67),"median", MEDIAN(Instances!C67:Instances!C67),"min", MIN(Instances!C67:Instances!C67),"max", MAX(Instances!C67:Instances!C67),"diff", MAX(Instances!C67:Instances!C67)-MIN(Instances!C67:Instances!C67))</f>
        <v>0</v>
      </c>
      <c r="D67" s="1" cm="1">
        <f t="array" ref="D67">_xlfn.SWITCH($A$2,"average", AVERAGE(Instances!D67:Instances!D67),"median", MEDIAN(Instances!D67:Instances!D67),"min", MIN(Instances!D67:Instances!D67),"max", MAX(Instances!D67:Instances!D67),"diff", MAX(Instances!D67:Instances!D67)-MIN(Instances!D67:Instances!D67))</f>
        <v>0</v>
      </c>
      <c r="E67" s="1" cm="1">
        <f t="array" ref="E67">_xlfn.SWITCH($A$2,"average", AVERAGE(Instances!E67:Instances!E67),"median", MEDIAN(Instances!E67:Instances!E67),"min", MIN(Instances!E67:Instances!E67),"max", MAX(Instances!E67:Instances!E67),"diff", MAX(Instances!E67:Instances!E67)-MIN(Instances!E67:Instances!E67))</f>
        <v>0</v>
      </c>
      <c r="F67" s="1"/>
      <c r="G67" s="1" cm="1">
        <f t="array" ref="G67">_xlfn.SWITCH($A$2,"average", AVERAGE(Instances!G67:Instances!G67),"median", MEDIAN(Instances!G67:Instances!G67),"min", MIN(Instances!G67:Instances!G67),"max", MAX(Instances!G67:Instances!G67),"diff", MAX(Instances!G67:Instances!G67)-MIN(Instances!G67:Instances!G67))</f>
        <v>0</v>
      </c>
      <c r="H67" s="1" cm="1">
        <f t="array" ref="H67">_xlfn.SWITCH($A$2,"average", AVERAGE(Instances!H67:Instances!H67),"median", MEDIAN(Instances!H67:Instances!H67),"min", MIN(Instances!H67:Instances!H67),"max", MAX(Instances!H67:Instances!H67),"diff", MAX(Instances!H67:Instances!H67)-MIN(Instances!H67:Instances!H67))</f>
        <v>0</v>
      </c>
      <c r="I67" s="1">
        <f>MIN($B67)</f>
        <v>0</v>
      </c>
      <c r="J67" s="1">
        <f>MIN($C67)</f>
        <v>0</v>
      </c>
      <c r="K67" s="1">
        <f>MIN($D67)</f>
        <v>0</v>
      </c>
      <c r="L67" s="1">
        <f>MIN($E67)</f>
        <v>0</v>
      </c>
      <c r="M67" s="1">
        <f>MIN($G67)</f>
        <v>0</v>
      </c>
      <c r="N67" s="1">
        <f>MIN($H67)</f>
        <v>0</v>
      </c>
      <c r="O67" s="1">
        <f>MEDIAN($B67)</f>
        <v>0</v>
      </c>
      <c r="P67" s="1">
        <f>MEDIAN($C67)</f>
        <v>0</v>
      </c>
      <c r="Q67" s="1">
        <f>MEDIAN($D67)</f>
        <v>0</v>
      </c>
      <c r="R67" s="1">
        <f>MEDIAN($E67)</f>
        <v>0</v>
      </c>
      <c r="S67" s="1">
        <f>MEDIAN($G67)</f>
        <v>0</v>
      </c>
      <c r="T67" s="1">
        <f>MEDIAN($H67)</f>
        <v>0</v>
      </c>
      <c r="U67" s="1">
        <f>MAX($B67)</f>
        <v>0</v>
      </c>
      <c r="V67" s="1">
        <f>MAX($C67)</f>
        <v>0</v>
      </c>
      <c r="W67" s="1">
        <f>MAX($D67)</f>
        <v>0</v>
      </c>
      <c r="X67" s="1">
        <f>MAX($E67)</f>
        <v>0</v>
      </c>
      <c r="Y67" s="1">
        <f>MAX($G67)</f>
        <v>0</v>
      </c>
      <c r="Z67" s="1">
        <f>MAX($H67)</f>
        <v>0</v>
      </c>
    </row>
    <row r="68" spans="1:26">
      <c r="A68" s="1" t="s">
        <v>65</v>
      </c>
      <c r="B68" s="1" cm="1">
        <f t="array" ref="B68">_xlfn.SWITCH($A$2,"average", AVERAGE(Instances!B68:Instances!B68),"median", MEDIAN(Instances!B68:Instances!B68),"min", MIN(Instances!B68:Instances!B68),"max", MAX(Instances!B68:Instances!B68),"diff", MAX(Instances!B68:Instances!B68)-MIN(Instances!B68:Instances!B68))</f>
        <v>0</v>
      </c>
      <c r="C68" s="1" cm="1">
        <f t="array" ref="C68">_xlfn.SWITCH($A$2,"average", AVERAGE(Instances!C68:Instances!C68),"median", MEDIAN(Instances!C68:Instances!C68),"min", MIN(Instances!C68:Instances!C68),"max", MAX(Instances!C68:Instances!C68),"diff", MAX(Instances!C68:Instances!C68)-MIN(Instances!C68:Instances!C68))</f>
        <v>0</v>
      </c>
      <c r="D68" s="1" cm="1">
        <f t="array" ref="D68">_xlfn.SWITCH($A$2,"average", AVERAGE(Instances!D68:Instances!D68),"median", MEDIAN(Instances!D68:Instances!D68),"min", MIN(Instances!D68:Instances!D68),"max", MAX(Instances!D68:Instances!D68),"diff", MAX(Instances!D68:Instances!D68)-MIN(Instances!D68:Instances!D68))</f>
        <v>0</v>
      </c>
      <c r="E68" s="1" cm="1">
        <f t="array" ref="E68">_xlfn.SWITCH($A$2,"average", AVERAGE(Instances!E68:Instances!E68),"median", MEDIAN(Instances!E68:Instances!E68),"min", MIN(Instances!E68:Instances!E68),"max", MAX(Instances!E68:Instances!E68),"diff", MAX(Instances!E68:Instances!E68)-MIN(Instances!E68:Instances!E68))</f>
        <v>0</v>
      </c>
      <c r="F68" s="1"/>
      <c r="G68" s="1" cm="1">
        <f t="array" ref="G68">_xlfn.SWITCH($A$2,"average", AVERAGE(Instances!G68:Instances!G68),"median", MEDIAN(Instances!G68:Instances!G68),"min", MIN(Instances!G68:Instances!G68),"max", MAX(Instances!G68:Instances!G68),"diff", MAX(Instances!G68:Instances!G68)-MIN(Instances!G68:Instances!G68))</f>
        <v>0</v>
      </c>
      <c r="H68" s="1" cm="1">
        <f t="array" ref="H68">_xlfn.SWITCH($A$2,"average", AVERAGE(Instances!H68:Instances!H68),"median", MEDIAN(Instances!H68:Instances!H68),"min", MIN(Instances!H68:Instances!H68),"max", MAX(Instances!H68:Instances!H68),"diff", MAX(Instances!H68:Instances!H68)-MIN(Instances!H68:Instances!H68))</f>
        <v>0</v>
      </c>
      <c r="I68" s="1">
        <f>MIN($B68)</f>
        <v>0</v>
      </c>
      <c r="J68" s="1">
        <f>MIN($C68)</f>
        <v>0</v>
      </c>
      <c r="K68" s="1">
        <f>MIN($D68)</f>
        <v>0</v>
      </c>
      <c r="L68" s="1">
        <f>MIN($E68)</f>
        <v>0</v>
      </c>
      <c r="M68" s="1">
        <f>MIN($G68)</f>
        <v>0</v>
      </c>
      <c r="N68" s="1">
        <f>MIN($H68)</f>
        <v>0</v>
      </c>
      <c r="O68" s="1">
        <f>MEDIAN($B68)</f>
        <v>0</v>
      </c>
      <c r="P68" s="1">
        <f>MEDIAN($C68)</f>
        <v>0</v>
      </c>
      <c r="Q68" s="1">
        <f>MEDIAN($D68)</f>
        <v>0</v>
      </c>
      <c r="R68" s="1">
        <f>MEDIAN($E68)</f>
        <v>0</v>
      </c>
      <c r="S68" s="1">
        <f>MEDIAN($G68)</f>
        <v>0</v>
      </c>
      <c r="T68" s="1">
        <f>MEDIAN($H68)</f>
        <v>0</v>
      </c>
      <c r="U68" s="1">
        <f>MAX($B68)</f>
        <v>0</v>
      </c>
      <c r="V68" s="1">
        <f>MAX($C68)</f>
        <v>0</v>
      </c>
      <c r="W68" s="1">
        <f>MAX($D68)</f>
        <v>0</v>
      </c>
      <c r="X68" s="1">
        <f>MAX($E68)</f>
        <v>0</v>
      </c>
      <c r="Y68" s="1">
        <f>MAX($G68)</f>
        <v>0</v>
      </c>
      <c r="Z68" s="1">
        <f>MAX($H68)</f>
        <v>0</v>
      </c>
    </row>
    <row r="69" spans="1:26">
      <c r="A69" s="1" t="s">
        <v>66</v>
      </c>
      <c r="B69" s="1" cm="1">
        <f t="array" ref="B69">_xlfn.SWITCH($A$2,"average", AVERAGE(Instances!B69:Instances!B69),"median", MEDIAN(Instances!B69:Instances!B69),"min", MIN(Instances!B69:Instances!B69),"max", MAX(Instances!B69:Instances!B69),"diff", MAX(Instances!B69:Instances!B69)-MIN(Instances!B69:Instances!B69))</f>
        <v>0</v>
      </c>
      <c r="C69" s="1" cm="1">
        <f t="array" ref="C69">_xlfn.SWITCH($A$2,"average", AVERAGE(Instances!C69:Instances!C69),"median", MEDIAN(Instances!C69:Instances!C69),"min", MIN(Instances!C69:Instances!C69),"max", MAX(Instances!C69:Instances!C69),"diff", MAX(Instances!C69:Instances!C69)-MIN(Instances!C69:Instances!C69))</f>
        <v>0</v>
      </c>
      <c r="D69" s="1" cm="1">
        <f t="array" ref="D69">_xlfn.SWITCH($A$2,"average", AVERAGE(Instances!D69:Instances!D69),"median", MEDIAN(Instances!D69:Instances!D69),"min", MIN(Instances!D69:Instances!D69),"max", MAX(Instances!D69:Instances!D69),"diff", MAX(Instances!D69:Instances!D69)-MIN(Instances!D69:Instances!D69))</f>
        <v>0</v>
      </c>
      <c r="E69" s="1" cm="1">
        <f t="array" ref="E69">_xlfn.SWITCH($A$2,"average", AVERAGE(Instances!E69:Instances!E69),"median", MEDIAN(Instances!E69:Instances!E69),"min", MIN(Instances!E69:Instances!E69),"max", MAX(Instances!E69:Instances!E69),"diff", MAX(Instances!E69:Instances!E69)-MIN(Instances!E69:Instances!E69))</f>
        <v>0</v>
      </c>
      <c r="F69" s="1"/>
      <c r="G69" s="1" cm="1">
        <f t="array" ref="G69">_xlfn.SWITCH($A$2,"average", AVERAGE(Instances!G69:Instances!G69),"median", MEDIAN(Instances!G69:Instances!G69),"min", MIN(Instances!G69:Instances!G69),"max", MAX(Instances!G69:Instances!G69),"diff", MAX(Instances!G69:Instances!G69)-MIN(Instances!G69:Instances!G69))</f>
        <v>0</v>
      </c>
      <c r="H69" s="1" cm="1">
        <f t="array" ref="H69">_xlfn.SWITCH($A$2,"average", AVERAGE(Instances!H69:Instances!H69),"median", MEDIAN(Instances!H69:Instances!H69),"min", MIN(Instances!H69:Instances!H69),"max", MAX(Instances!H69:Instances!H69),"diff", MAX(Instances!H69:Instances!H69)-MIN(Instances!H69:Instances!H69))</f>
        <v>0</v>
      </c>
      <c r="I69" s="1">
        <f>MIN($B69)</f>
        <v>0</v>
      </c>
      <c r="J69" s="1">
        <f>MIN($C69)</f>
        <v>0</v>
      </c>
      <c r="K69" s="1">
        <f>MIN($D69)</f>
        <v>0</v>
      </c>
      <c r="L69" s="1">
        <f>MIN($E69)</f>
        <v>0</v>
      </c>
      <c r="M69" s="1">
        <f>MIN($G69)</f>
        <v>0</v>
      </c>
      <c r="N69" s="1">
        <f>MIN($H69)</f>
        <v>0</v>
      </c>
      <c r="O69" s="1">
        <f>MEDIAN($B69)</f>
        <v>0</v>
      </c>
      <c r="P69" s="1">
        <f>MEDIAN($C69)</f>
        <v>0</v>
      </c>
      <c r="Q69" s="1">
        <f>MEDIAN($D69)</f>
        <v>0</v>
      </c>
      <c r="R69" s="1">
        <f>MEDIAN($E69)</f>
        <v>0</v>
      </c>
      <c r="S69" s="1">
        <f>MEDIAN($G69)</f>
        <v>0</v>
      </c>
      <c r="T69" s="1">
        <f>MEDIAN($H69)</f>
        <v>0</v>
      </c>
      <c r="U69" s="1">
        <f>MAX($B69)</f>
        <v>0</v>
      </c>
      <c r="V69" s="1">
        <f>MAX($C69)</f>
        <v>0</v>
      </c>
      <c r="W69" s="1">
        <f>MAX($D69)</f>
        <v>0</v>
      </c>
      <c r="X69" s="1">
        <f>MAX($E69)</f>
        <v>0</v>
      </c>
      <c r="Y69" s="1">
        <f>MAX($G69)</f>
        <v>0</v>
      </c>
      <c r="Z69" s="1">
        <f>MAX($H69)</f>
        <v>0</v>
      </c>
    </row>
    <row r="70" spans="1:26">
      <c r="A70" s="1" t="s">
        <v>67</v>
      </c>
      <c r="B70" s="1" cm="1">
        <f t="array" ref="B70">_xlfn.SWITCH($A$2,"average", AVERAGE(Instances!B70:Instances!B70),"median", MEDIAN(Instances!B70:Instances!B70),"min", MIN(Instances!B70:Instances!B70),"max", MAX(Instances!B70:Instances!B70),"diff", MAX(Instances!B70:Instances!B70)-MIN(Instances!B70:Instances!B70))</f>
        <v>0</v>
      </c>
      <c r="C70" s="1" cm="1">
        <f t="array" ref="C70">_xlfn.SWITCH($A$2,"average", AVERAGE(Instances!C70:Instances!C70),"median", MEDIAN(Instances!C70:Instances!C70),"min", MIN(Instances!C70:Instances!C70),"max", MAX(Instances!C70:Instances!C70),"diff", MAX(Instances!C70:Instances!C70)-MIN(Instances!C70:Instances!C70))</f>
        <v>0</v>
      </c>
      <c r="D70" s="1" cm="1">
        <f t="array" ref="D70">_xlfn.SWITCH($A$2,"average", AVERAGE(Instances!D70:Instances!D70),"median", MEDIAN(Instances!D70:Instances!D70),"min", MIN(Instances!D70:Instances!D70),"max", MAX(Instances!D70:Instances!D70),"diff", MAX(Instances!D70:Instances!D70)-MIN(Instances!D70:Instances!D70))</f>
        <v>0</v>
      </c>
      <c r="E70" s="1" cm="1">
        <f t="array" ref="E70">_xlfn.SWITCH($A$2,"average", AVERAGE(Instances!E70:Instances!E70),"median", MEDIAN(Instances!E70:Instances!E70),"min", MIN(Instances!E70:Instances!E70),"max", MAX(Instances!E70:Instances!E70),"diff", MAX(Instances!E70:Instances!E70)-MIN(Instances!E70:Instances!E70))</f>
        <v>0</v>
      </c>
      <c r="F70" s="1"/>
      <c r="G70" s="1" cm="1">
        <f t="array" ref="G70">_xlfn.SWITCH($A$2,"average", AVERAGE(Instances!G70:Instances!G70),"median", MEDIAN(Instances!G70:Instances!G70),"min", MIN(Instances!G70:Instances!G70),"max", MAX(Instances!G70:Instances!G70),"diff", MAX(Instances!G70:Instances!G70)-MIN(Instances!G70:Instances!G70))</f>
        <v>0</v>
      </c>
      <c r="H70" s="1" cm="1">
        <f t="array" ref="H70">_xlfn.SWITCH($A$2,"average", AVERAGE(Instances!H70:Instances!H70),"median", MEDIAN(Instances!H70:Instances!H70),"min", MIN(Instances!H70:Instances!H70),"max", MAX(Instances!H70:Instances!H70),"diff", MAX(Instances!H70:Instances!H70)-MIN(Instances!H70:Instances!H70))</f>
        <v>0</v>
      </c>
      <c r="I70" s="1">
        <f>MIN($B70)</f>
        <v>0</v>
      </c>
      <c r="J70" s="1">
        <f>MIN($C70)</f>
        <v>0</v>
      </c>
      <c r="K70" s="1">
        <f>MIN($D70)</f>
        <v>0</v>
      </c>
      <c r="L70" s="1">
        <f>MIN($E70)</f>
        <v>0</v>
      </c>
      <c r="M70" s="1">
        <f>MIN($G70)</f>
        <v>0</v>
      </c>
      <c r="N70" s="1">
        <f>MIN($H70)</f>
        <v>0</v>
      </c>
      <c r="O70" s="1">
        <f>MEDIAN($B70)</f>
        <v>0</v>
      </c>
      <c r="P70" s="1">
        <f>MEDIAN($C70)</f>
        <v>0</v>
      </c>
      <c r="Q70" s="1">
        <f>MEDIAN($D70)</f>
        <v>0</v>
      </c>
      <c r="R70" s="1">
        <f>MEDIAN($E70)</f>
        <v>0</v>
      </c>
      <c r="S70" s="1">
        <f>MEDIAN($G70)</f>
        <v>0</v>
      </c>
      <c r="T70" s="1">
        <f>MEDIAN($H70)</f>
        <v>0</v>
      </c>
      <c r="U70" s="1">
        <f>MAX($B70)</f>
        <v>0</v>
      </c>
      <c r="V70" s="1">
        <f>MAX($C70)</f>
        <v>0</v>
      </c>
      <c r="W70" s="1">
        <f>MAX($D70)</f>
        <v>0</v>
      </c>
      <c r="X70" s="1">
        <f>MAX($E70)</f>
        <v>0</v>
      </c>
      <c r="Y70" s="1">
        <f>MAX($G70)</f>
        <v>0</v>
      </c>
      <c r="Z70" s="1">
        <f>MAX($H70)</f>
        <v>0</v>
      </c>
    </row>
    <row r="71" spans="1:26">
      <c r="A71" s="1" t="s">
        <v>68</v>
      </c>
      <c r="B71" s="1" cm="1">
        <f t="array" ref="B71">_xlfn.SWITCH($A$2,"average", AVERAGE(Instances!B71:Instances!B71),"median", MEDIAN(Instances!B71:Instances!B71),"min", MIN(Instances!B71:Instances!B71),"max", MAX(Instances!B71:Instances!B71),"diff", MAX(Instances!B71:Instances!B71)-MIN(Instances!B71:Instances!B71))</f>
        <v>0</v>
      </c>
      <c r="C71" s="1" cm="1">
        <f t="array" ref="C71">_xlfn.SWITCH($A$2,"average", AVERAGE(Instances!C71:Instances!C71),"median", MEDIAN(Instances!C71:Instances!C71),"min", MIN(Instances!C71:Instances!C71),"max", MAX(Instances!C71:Instances!C71),"diff", MAX(Instances!C71:Instances!C71)-MIN(Instances!C71:Instances!C71))</f>
        <v>0</v>
      </c>
      <c r="D71" s="1" cm="1">
        <f t="array" ref="D71">_xlfn.SWITCH($A$2,"average", AVERAGE(Instances!D71:Instances!D71),"median", MEDIAN(Instances!D71:Instances!D71),"min", MIN(Instances!D71:Instances!D71),"max", MAX(Instances!D71:Instances!D71),"diff", MAX(Instances!D71:Instances!D71)-MIN(Instances!D71:Instances!D71))</f>
        <v>0</v>
      </c>
      <c r="E71" s="1" cm="1">
        <f t="array" ref="E71">_xlfn.SWITCH($A$2,"average", AVERAGE(Instances!E71:Instances!E71),"median", MEDIAN(Instances!E71:Instances!E71),"min", MIN(Instances!E71:Instances!E71),"max", MAX(Instances!E71:Instances!E71),"diff", MAX(Instances!E71:Instances!E71)-MIN(Instances!E71:Instances!E71))</f>
        <v>0</v>
      </c>
      <c r="F71" s="1"/>
      <c r="G71" s="1" cm="1">
        <f t="array" ref="G71">_xlfn.SWITCH($A$2,"average", AVERAGE(Instances!G71:Instances!G71),"median", MEDIAN(Instances!G71:Instances!G71),"min", MIN(Instances!G71:Instances!G71),"max", MAX(Instances!G71:Instances!G71),"diff", MAX(Instances!G71:Instances!G71)-MIN(Instances!G71:Instances!G71))</f>
        <v>0</v>
      </c>
      <c r="H71" s="1" cm="1">
        <f t="array" ref="H71">_xlfn.SWITCH($A$2,"average", AVERAGE(Instances!H71:Instances!H71),"median", MEDIAN(Instances!H71:Instances!H71),"min", MIN(Instances!H71:Instances!H71),"max", MAX(Instances!H71:Instances!H71),"diff", MAX(Instances!H71:Instances!H71)-MIN(Instances!H71:Instances!H71))</f>
        <v>0</v>
      </c>
      <c r="I71" s="1">
        <f>MIN($B71)</f>
        <v>0</v>
      </c>
      <c r="J71" s="1">
        <f>MIN($C71)</f>
        <v>0</v>
      </c>
      <c r="K71" s="1">
        <f>MIN($D71)</f>
        <v>0</v>
      </c>
      <c r="L71" s="1">
        <f>MIN($E71)</f>
        <v>0</v>
      </c>
      <c r="M71" s="1">
        <f>MIN($G71)</f>
        <v>0</v>
      </c>
      <c r="N71" s="1">
        <f>MIN($H71)</f>
        <v>0</v>
      </c>
      <c r="O71" s="1">
        <f>MEDIAN($B71)</f>
        <v>0</v>
      </c>
      <c r="P71" s="1">
        <f>MEDIAN($C71)</f>
        <v>0</v>
      </c>
      <c r="Q71" s="1">
        <f>MEDIAN($D71)</f>
        <v>0</v>
      </c>
      <c r="R71" s="1">
        <f>MEDIAN($E71)</f>
        <v>0</v>
      </c>
      <c r="S71" s="1">
        <f>MEDIAN($G71)</f>
        <v>0</v>
      </c>
      <c r="T71" s="1">
        <f>MEDIAN($H71)</f>
        <v>0</v>
      </c>
      <c r="U71" s="1">
        <f>MAX($B71)</f>
        <v>0</v>
      </c>
      <c r="V71" s="1">
        <f>MAX($C71)</f>
        <v>0</v>
      </c>
      <c r="W71" s="1">
        <f>MAX($D71)</f>
        <v>0</v>
      </c>
      <c r="X71" s="1">
        <f>MAX($E71)</f>
        <v>0</v>
      </c>
      <c r="Y71" s="1">
        <f>MAX($G71)</f>
        <v>0</v>
      </c>
      <c r="Z71" s="1">
        <f>MAX($H71)</f>
        <v>0</v>
      </c>
    </row>
    <row r="72" spans="1:26">
      <c r="A72" s="1" t="s">
        <v>69</v>
      </c>
      <c r="B72" s="1" cm="1">
        <f t="array" ref="B72">_xlfn.SWITCH($A$2,"average", AVERAGE(Instances!B72:Instances!B72),"median", MEDIAN(Instances!B72:Instances!B72),"min", MIN(Instances!B72:Instances!B72),"max", MAX(Instances!B72:Instances!B72),"diff", MAX(Instances!B72:Instances!B72)-MIN(Instances!B72:Instances!B72))</f>
        <v>0</v>
      </c>
      <c r="C72" s="1" cm="1">
        <f t="array" ref="C72">_xlfn.SWITCH($A$2,"average", AVERAGE(Instances!C72:Instances!C72),"median", MEDIAN(Instances!C72:Instances!C72),"min", MIN(Instances!C72:Instances!C72),"max", MAX(Instances!C72:Instances!C72),"diff", MAX(Instances!C72:Instances!C72)-MIN(Instances!C72:Instances!C72))</f>
        <v>0</v>
      </c>
      <c r="D72" s="1" cm="1">
        <f t="array" ref="D72">_xlfn.SWITCH($A$2,"average", AVERAGE(Instances!D72:Instances!D72),"median", MEDIAN(Instances!D72:Instances!D72),"min", MIN(Instances!D72:Instances!D72),"max", MAX(Instances!D72:Instances!D72),"diff", MAX(Instances!D72:Instances!D72)-MIN(Instances!D72:Instances!D72))</f>
        <v>0</v>
      </c>
      <c r="E72" s="1" cm="1">
        <f t="array" ref="E72">_xlfn.SWITCH($A$2,"average", AVERAGE(Instances!E72:Instances!E72),"median", MEDIAN(Instances!E72:Instances!E72),"min", MIN(Instances!E72:Instances!E72),"max", MAX(Instances!E72:Instances!E72),"diff", MAX(Instances!E72:Instances!E72)-MIN(Instances!E72:Instances!E72))</f>
        <v>0</v>
      </c>
      <c r="F72" s="1"/>
      <c r="G72" s="1" cm="1">
        <f t="array" ref="G72">_xlfn.SWITCH($A$2,"average", AVERAGE(Instances!G72:Instances!G72),"median", MEDIAN(Instances!G72:Instances!G72),"min", MIN(Instances!G72:Instances!G72),"max", MAX(Instances!G72:Instances!G72),"diff", MAX(Instances!G72:Instances!G72)-MIN(Instances!G72:Instances!G72))</f>
        <v>0</v>
      </c>
      <c r="H72" s="1" cm="1">
        <f t="array" ref="H72">_xlfn.SWITCH($A$2,"average", AVERAGE(Instances!H72:Instances!H72),"median", MEDIAN(Instances!H72:Instances!H72),"min", MIN(Instances!H72:Instances!H72),"max", MAX(Instances!H72:Instances!H72),"diff", MAX(Instances!H72:Instances!H72)-MIN(Instances!H72:Instances!H72))</f>
        <v>0</v>
      </c>
      <c r="I72" s="1">
        <f>MIN($B72)</f>
        <v>0</v>
      </c>
      <c r="J72" s="1">
        <f>MIN($C72)</f>
        <v>0</v>
      </c>
      <c r="K72" s="1">
        <f>MIN($D72)</f>
        <v>0</v>
      </c>
      <c r="L72" s="1">
        <f>MIN($E72)</f>
        <v>0</v>
      </c>
      <c r="M72" s="1">
        <f>MIN($G72)</f>
        <v>0</v>
      </c>
      <c r="N72" s="1">
        <f>MIN($H72)</f>
        <v>0</v>
      </c>
      <c r="O72" s="1">
        <f>MEDIAN($B72)</f>
        <v>0</v>
      </c>
      <c r="P72" s="1">
        <f>MEDIAN($C72)</f>
        <v>0</v>
      </c>
      <c r="Q72" s="1">
        <f>MEDIAN($D72)</f>
        <v>0</v>
      </c>
      <c r="R72" s="1">
        <f>MEDIAN($E72)</f>
        <v>0</v>
      </c>
      <c r="S72" s="1">
        <f>MEDIAN($G72)</f>
        <v>0</v>
      </c>
      <c r="T72" s="1">
        <f>MEDIAN($H72)</f>
        <v>0</v>
      </c>
      <c r="U72" s="1">
        <f>MAX($B72)</f>
        <v>0</v>
      </c>
      <c r="V72" s="1">
        <f>MAX($C72)</f>
        <v>0</v>
      </c>
      <c r="W72" s="1">
        <f>MAX($D72)</f>
        <v>0</v>
      </c>
      <c r="X72" s="1">
        <f>MAX($E72)</f>
        <v>0</v>
      </c>
      <c r="Y72" s="1">
        <f>MAX($G72)</f>
        <v>0</v>
      </c>
      <c r="Z72" s="1">
        <f>MAX($H72)</f>
        <v>0</v>
      </c>
    </row>
    <row r="73" spans="1:26">
      <c r="A73" s="1" t="s">
        <v>70</v>
      </c>
      <c r="B73" s="1" cm="1">
        <f t="array" ref="B73">_xlfn.SWITCH($A$2,"average", AVERAGE(Instances!B73:Instances!B73),"median", MEDIAN(Instances!B73:Instances!B73),"min", MIN(Instances!B73:Instances!B73),"max", MAX(Instances!B73:Instances!B73),"diff", MAX(Instances!B73:Instances!B73)-MIN(Instances!B73:Instances!B73))</f>
        <v>0</v>
      </c>
      <c r="C73" s="1" cm="1">
        <f t="array" ref="C73">_xlfn.SWITCH($A$2,"average", AVERAGE(Instances!C73:Instances!C73),"median", MEDIAN(Instances!C73:Instances!C73),"min", MIN(Instances!C73:Instances!C73),"max", MAX(Instances!C73:Instances!C73),"diff", MAX(Instances!C73:Instances!C73)-MIN(Instances!C73:Instances!C73))</f>
        <v>0</v>
      </c>
      <c r="D73" s="1" cm="1">
        <f t="array" ref="D73">_xlfn.SWITCH($A$2,"average", AVERAGE(Instances!D73:Instances!D73),"median", MEDIAN(Instances!D73:Instances!D73),"min", MIN(Instances!D73:Instances!D73),"max", MAX(Instances!D73:Instances!D73),"diff", MAX(Instances!D73:Instances!D73)-MIN(Instances!D73:Instances!D73))</f>
        <v>0</v>
      </c>
      <c r="E73" s="1" cm="1">
        <f t="array" ref="E73">_xlfn.SWITCH($A$2,"average", AVERAGE(Instances!E73:Instances!E73),"median", MEDIAN(Instances!E73:Instances!E73),"min", MIN(Instances!E73:Instances!E73),"max", MAX(Instances!E73:Instances!E73),"diff", MAX(Instances!E73:Instances!E73)-MIN(Instances!E73:Instances!E73))</f>
        <v>0</v>
      </c>
      <c r="F73" s="1"/>
      <c r="G73" s="1" cm="1">
        <f t="array" ref="G73">_xlfn.SWITCH($A$2,"average", AVERAGE(Instances!G73:Instances!G73),"median", MEDIAN(Instances!G73:Instances!G73),"min", MIN(Instances!G73:Instances!G73),"max", MAX(Instances!G73:Instances!G73),"diff", MAX(Instances!G73:Instances!G73)-MIN(Instances!G73:Instances!G73))</f>
        <v>0</v>
      </c>
      <c r="H73" s="1" cm="1">
        <f t="array" ref="H73">_xlfn.SWITCH($A$2,"average", AVERAGE(Instances!H73:Instances!H73),"median", MEDIAN(Instances!H73:Instances!H73),"min", MIN(Instances!H73:Instances!H73),"max", MAX(Instances!H73:Instances!H73),"diff", MAX(Instances!H73:Instances!H73)-MIN(Instances!H73:Instances!H73))</f>
        <v>0</v>
      </c>
      <c r="I73" s="1">
        <f>MIN($B73)</f>
        <v>0</v>
      </c>
      <c r="J73" s="1">
        <f>MIN($C73)</f>
        <v>0</v>
      </c>
      <c r="K73" s="1">
        <f>MIN($D73)</f>
        <v>0</v>
      </c>
      <c r="L73" s="1">
        <f>MIN($E73)</f>
        <v>0</v>
      </c>
      <c r="M73" s="1">
        <f>MIN($G73)</f>
        <v>0</v>
      </c>
      <c r="N73" s="1">
        <f>MIN($H73)</f>
        <v>0</v>
      </c>
      <c r="O73" s="1">
        <f>MEDIAN($B73)</f>
        <v>0</v>
      </c>
      <c r="P73" s="1">
        <f>MEDIAN($C73)</f>
        <v>0</v>
      </c>
      <c r="Q73" s="1">
        <f>MEDIAN($D73)</f>
        <v>0</v>
      </c>
      <c r="R73" s="1">
        <f>MEDIAN($E73)</f>
        <v>0</v>
      </c>
      <c r="S73" s="1">
        <f>MEDIAN($G73)</f>
        <v>0</v>
      </c>
      <c r="T73" s="1">
        <f>MEDIAN($H73)</f>
        <v>0</v>
      </c>
      <c r="U73" s="1">
        <f>MAX($B73)</f>
        <v>0</v>
      </c>
      <c r="V73" s="1">
        <f>MAX($C73)</f>
        <v>0</v>
      </c>
      <c r="W73" s="1">
        <f>MAX($D73)</f>
        <v>0</v>
      </c>
      <c r="X73" s="1">
        <f>MAX($E73)</f>
        <v>0</v>
      </c>
      <c r="Y73" s="1">
        <f>MAX($G73)</f>
        <v>0</v>
      </c>
      <c r="Z73" s="1">
        <f>MAX($H73)</f>
        <v>0</v>
      </c>
    </row>
    <row r="74" spans="1:26">
      <c r="A74" s="1" t="s">
        <v>71</v>
      </c>
      <c r="B74" s="1" cm="1">
        <f t="array" ref="B74">_xlfn.SWITCH($A$2,"average", AVERAGE(Instances!B74:Instances!B74),"median", MEDIAN(Instances!B74:Instances!B74),"min", MIN(Instances!B74:Instances!B74),"max", MAX(Instances!B74:Instances!B74),"diff", MAX(Instances!B74:Instances!B74)-MIN(Instances!B74:Instances!B74))</f>
        <v>0</v>
      </c>
      <c r="C74" s="1" cm="1">
        <f t="array" ref="C74">_xlfn.SWITCH($A$2,"average", AVERAGE(Instances!C74:Instances!C74),"median", MEDIAN(Instances!C74:Instances!C74),"min", MIN(Instances!C74:Instances!C74),"max", MAX(Instances!C74:Instances!C74),"diff", MAX(Instances!C74:Instances!C74)-MIN(Instances!C74:Instances!C74))</f>
        <v>0</v>
      </c>
      <c r="D74" s="1" cm="1">
        <f t="array" ref="D74">_xlfn.SWITCH($A$2,"average", AVERAGE(Instances!D74:Instances!D74),"median", MEDIAN(Instances!D74:Instances!D74),"min", MIN(Instances!D74:Instances!D74),"max", MAX(Instances!D74:Instances!D74),"diff", MAX(Instances!D74:Instances!D74)-MIN(Instances!D74:Instances!D74))</f>
        <v>0</v>
      </c>
      <c r="E74" s="1" cm="1">
        <f t="array" ref="E74">_xlfn.SWITCH($A$2,"average", AVERAGE(Instances!E74:Instances!E74),"median", MEDIAN(Instances!E74:Instances!E74),"min", MIN(Instances!E74:Instances!E74),"max", MAX(Instances!E74:Instances!E74),"diff", MAX(Instances!E74:Instances!E74)-MIN(Instances!E74:Instances!E74))</f>
        <v>0</v>
      </c>
      <c r="F74" s="1"/>
      <c r="G74" s="1" cm="1">
        <f t="array" ref="G74">_xlfn.SWITCH($A$2,"average", AVERAGE(Instances!G74:Instances!G74),"median", MEDIAN(Instances!G74:Instances!G74),"min", MIN(Instances!G74:Instances!G74),"max", MAX(Instances!G74:Instances!G74),"diff", MAX(Instances!G74:Instances!G74)-MIN(Instances!G74:Instances!G74))</f>
        <v>0</v>
      </c>
      <c r="H74" s="1" cm="1">
        <f t="array" ref="H74">_xlfn.SWITCH($A$2,"average", AVERAGE(Instances!H74:Instances!H74),"median", MEDIAN(Instances!H74:Instances!H74),"min", MIN(Instances!H74:Instances!H74),"max", MAX(Instances!H74:Instances!H74),"diff", MAX(Instances!H74:Instances!H74)-MIN(Instances!H74:Instances!H74))</f>
        <v>0</v>
      </c>
      <c r="I74" s="1">
        <f>MIN($B74)</f>
        <v>0</v>
      </c>
      <c r="J74" s="1">
        <f>MIN($C74)</f>
        <v>0</v>
      </c>
      <c r="K74" s="1">
        <f>MIN($D74)</f>
        <v>0</v>
      </c>
      <c r="L74" s="1">
        <f>MIN($E74)</f>
        <v>0</v>
      </c>
      <c r="M74" s="1">
        <f>MIN($G74)</f>
        <v>0</v>
      </c>
      <c r="N74" s="1">
        <f>MIN($H74)</f>
        <v>0</v>
      </c>
      <c r="O74" s="1">
        <f>MEDIAN($B74)</f>
        <v>0</v>
      </c>
      <c r="P74" s="1">
        <f>MEDIAN($C74)</f>
        <v>0</v>
      </c>
      <c r="Q74" s="1">
        <f>MEDIAN($D74)</f>
        <v>0</v>
      </c>
      <c r="R74" s="1">
        <f>MEDIAN($E74)</f>
        <v>0</v>
      </c>
      <c r="S74" s="1">
        <f>MEDIAN($G74)</f>
        <v>0</v>
      </c>
      <c r="T74" s="1">
        <f>MEDIAN($H74)</f>
        <v>0</v>
      </c>
      <c r="U74" s="1">
        <f>MAX($B74)</f>
        <v>0</v>
      </c>
      <c r="V74" s="1">
        <f>MAX($C74)</f>
        <v>0</v>
      </c>
      <c r="W74" s="1">
        <f>MAX($D74)</f>
        <v>0</v>
      </c>
      <c r="X74" s="1">
        <f>MAX($E74)</f>
        <v>0</v>
      </c>
      <c r="Y74" s="1">
        <f>MAX($G74)</f>
        <v>0</v>
      </c>
      <c r="Z74" s="1">
        <f>MAX($H74)</f>
        <v>0</v>
      </c>
    </row>
    <row r="75" spans="1:26">
      <c r="A75" s="1" t="s">
        <v>72</v>
      </c>
      <c r="B75" s="1" cm="1">
        <f t="array" ref="B75">_xlfn.SWITCH($A$2,"average", AVERAGE(Instances!B75:Instances!B75),"median", MEDIAN(Instances!B75:Instances!B75),"min", MIN(Instances!B75:Instances!B75),"max", MAX(Instances!B75:Instances!B75),"diff", MAX(Instances!B75:Instances!B75)-MIN(Instances!B75:Instances!B75))</f>
        <v>0</v>
      </c>
      <c r="C75" s="1" cm="1">
        <f t="array" ref="C75">_xlfn.SWITCH($A$2,"average", AVERAGE(Instances!C75:Instances!C75),"median", MEDIAN(Instances!C75:Instances!C75),"min", MIN(Instances!C75:Instances!C75),"max", MAX(Instances!C75:Instances!C75),"diff", MAX(Instances!C75:Instances!C75)-MIN(Instances!C75:Instances!C75))</f>
        <v>0</v>
      </c>
      <c r="D75" s="1" cm="1">
        <f t="array" ref="D75">_xlfn.SWITCH($A$2,"average", AVERAGE(Instances!D75:Instances!D75),"median", MEDIAN(Instances!D75:Instances!D75),"min", MIN(Instances!D75:Instances!D75),"max", MAX(Instances!D75:Instances!D75),"diff", MAX(Instances!D75:Instances!D75)-MIN(Instances!D75:Instances!D75))</f>
        <v>0</v>
      </c>
      <c r="E75" s="1" cm="1">
        <f t="array" ref="E75">_xlfn.SWITCH($A$2,"average", AVERAGE(Instances!E75:Instances!E75),"median", MEDIAN(Instances!E75:Instances!E75),"min", MIN(Instances!E75:Instances!E75),"max", MAX(Instances!E75:Instances!E75),"diff", MAX(Instances!E75:Instances!E75)-MIN(Instances!E75:Instances!E75))</f>
        <v>0</v>
      </c>
      <c r="F75" s="1"/>
      <c r="G75" s="1" cm="1">
        <f t="array" ref="G75">_xlfn.SWITCH($A$2,"average", AVERAGE(Instances!G75:Instances!G75),"median", MEDIAN(Instances!G75:Instances!G75),"min", MIN(Instances!G75:Instances!G75),"max", MAX(Instances!G75:Instances!G75),"diff", MAX(Instances!G75:Instances!G75)-MIN(Instances!G75:Instances!G75))</f>
        <v>0</v>
      </c>
      <c r="H75" s="1" cm="1">
        <f t="array" ref="H75">_xlfn.SWITCH($A$2,"average", AVERAGE(Instances!H75:Instances!H75),"median", MEDIAN(Instances!H75:Instances!H75),"min", MIN(Instances!H75:Instances!H75),"max", MAX(Instances!H75:Instances!H75),"diff", MAX(Instances!H75:Instances!H75)-MIN(Instances!H75:Instances!H75))</f>
        <v>0</v>
      </c>
      <c r="I75" s="1">
        <f>MIN($B75)</f>
        <v>0</v>
      </c>
      <c r="J75" s="1">
        <f>MIN($C75)</f>
        <v>0</v>
      </c>
      <c r="K75" s="1">
        <f>MIN($D75)</f>
        <v>0</v>
      </c>
      <c r="L75" s="1">
        <f>MIN($E75)</f>
        <v>0</v>
      </c>
      <c r="M75" s="1">
        <f>MIN($G75)</f>
        <v>0</v>
      </c>
      <c r="N75" s="1">
        <f>MIN($H75)</f>
        <v>0</v>
      </c>
      <c r="O75" s="1">
        <f>MEDIAN($B75)</f>
        <v>0</v>
      </c>
      <c r="P75" s="1">
        <f>MEDIAN($C75)</f>
        <v>0</v>
      </c>
      <c r="Q75" s="1">
        <f>MEDIAN($D75)</f>
        <v>0</v>
      </c>
      <c r="R75" s="1">
        <f>MEDIAN($E75)</f>
        <v>0</v>
      </c>
      <c r="S75" s="1">
        <f>MEDIAN($G75)</f>
        <v>0</v>
      </c>
      <c r="T75" s="1">
        <f>MEDIAN($H75)</f>
        <v>0</v>
      </c>
      <c r="U75" s="1">
        <f>MAX($B75)</f>
        <v>0</v>
      </c>
      <c r="V75" s="1">
        <f>MAX($C75)</f>
        <v>0</v>
      </c>
      <c r="W75" s="1">
        <f>MAX($D75)</f>
        <v>0</v>
      </c>
      <c r="X75" s="1">
        <f>MAX($E75)</f>
        <v>0</v>
      </c>
      <c r="Y75" s="1">
        <f>MAX($G75)</f>
        <v>0</v>
      </c>
      <c r="Z75" s="1">
        <f>MAX($H75)</f>
        <v>0</v>
      </c>
    </row>
    <row r="76" spans="1:26">
      <c r="A76" s="1" t="s">
        <v>73</v>
      </c>
      <c r="B76" s="1" cm="1">
        <f t="array" ref="B76">_xlfn.SWITCH($A$2,"average", AVERAGE(Instances!B76:Instances!B76),"median", MEDIAN(Instances!B76:Instances!B76),"min", MIN(Instances!B76:Instances!B76),"max", MAX(Instances!B76:Instances!B76),"diff", MAX(Instances!B76:Instances!B76)-MIN(Instances!B76:Instances!B76))</f>
        <v>0</v>
      </c>
      <c r="C76" s="1" cm="1">
        <f t="array" ref="C76">_xlfn.SWITCH($A$2,"average", AVERAGE(Instances!C76:Instances!C76),"median", MEDIAN(Instances!C76:Instances!C76),"min", MIN(Instances!C76:Instances!C76),"max", MAX(Instances!C76:Instances!C76),"diff", MAX(Instances!C76:Instances!C76)-MIN(Instances!C76:Instances!C76))</f>
        <v>0</v>
      </c>
      <c r="D76" s="1" cm="1">
        <f t="array" ref="D76">_xlfn.SWITCH($A$2,"average", AVERAGE(Instances!D76:Instances!D76),"median", MEDIAN(Instances!D76:Instances!D76),"min", MIN(Instances!D76:Instances!D76),"max", MAX(Instances!D76:Instances!D76),"diff", MAX(Instances!D76:Instances!D76)-MIN(Instances!D76:Instances!D76))</f>
        <v>0</v>
      </c>
      <c r="E76" s="1" cm="1">
        <f t="array" ref="E76">_xlfn.SWITCH($A$2,"average", AVERAGE(Instances!E76:Instances!E76),"median", MEDIAN(Instances!E76:Instances!E76),"min", MIN(Instances!E76:Instances!E76),"max", MAX(Instances!E76:Instances!E76),"diff", MAX(Instances!E76:Instances!E76)-MIN(Instances!E76:Instances!E76))</f>
        <v>0</v>
      </c>
      <c r="F76" s="1"/>
      <c r="G76" s="1" cm="1">
        <f t="array" ref="G76">_xlfn.SWITCH($A$2,"average", AVERAGE(Instances!G76:Instances!G76),"median", MEDIAN(Instances!G76:Instances!G76),"min", MIN(Instances!G76:Instances!G76),"max", MAX(Instances!G76:Instances!G76),"diff", MAX(Instances!G76:Instances!G76)-MIN(Instances!G76:Instances!G76))</f>
        <v>0</v>
      </c>
      <c r="H76" s="1" cm="1">
        <f t="array" ref="H76">_xlfn.SWITCH($A$2,"average", AVERAGE(Instances!H76:Instances!H76),"median", MEDIAN(Instances!H76:Instances!H76),"min", MIN(Instances!H76:Instances!H76),"max", MAX(Instances!H76:Instances!H76),"diff", MAX(Instances!H76:Instances!H76)-MIN(Instances!H76:Instances!H76))</f>
        <v>0</v>
      </c>
      <c r="I76" s="1">
        <f>MIN($B76)</f>
        <v>0</v>
      </c>
      <c r="J76" s="1">
        <f>MIN($C76)</f>
        <v>0</v>
      </c>
      <c r="K76" s="1">
        <f>MIN($D76)</f>
        <v>0</v>
      </c>
      <c r="L76" s="1">
        <f>MIN($E76)</f>
        <v>0</v>
      </c>
      <c r="M76" s="1">
        <f>MIN($G76)</f>
        <v>0</v>
      </c>
      <c r="N76" s="1">
        <f>MIN($H76)</f>
        <v>0</v>
      </c>
      <c r="O76" s="1">
        <f>MEDIAN($B76)</f>
        <v>0</v>
      </c>
      <c r="P76" s="1">
        <f>MEDIAN($C76)</f>
        <v>0</v>
      </c>
      <c r="Q76" s="1">
        <f>MEDIAN($D76)</f>
        <v>0</v>
      </c>
      <c r="R76" s="1">
        <f>MEDIAN($E76)</f>
        <v>0</v>
      </c>
      <c r="S76" s="1">
        <f>MEDIAN($G76)</f>
        <v>0</v>
      </c>
      <c r="T76" s="1">
        <f>MEDIAN($H76)</f>
        <v>0</v>
      </c>
      <c r="U76" s="1">
        <f>MAX($B76)</f>
        <v>0</v>
      </c>
      <c r="V76" s="1">
        <f>MAX($C76)</f>
        <v>0</v>
      </c>
      <c r="W76" s="1">
        <f>MAX($D76)</f>
        <v>0</v>
      </c>
      <c r="X76" s="1">
        <f>MAX($E76)</f>
        <v>0</v>
      </c>
      <c r="Y76" s="1">
        <f>MAX($G76)</f>
        <v>0</v>
      </c>
      <c r="Z76" s="1">
        <f>MAX($H76)</f>
        <v>0</v>
      </c>
    </row>
    <row r="77" spans="1:26">
      <c r="A77" s="1" t="s">
        <v>74</v>
      </c>
      <c r="B77" s="1" cm="1">
        <f t="array" ref="B77">_xlfn.SWITCH($A$2,"average", AVERAGE(Instances!B77:Instances!B77),"median", MEDIAN(Instances!B77:Instances!B77),"min", MIN(Instances!B77:Instances!B77),"max", MAX(Instances!B77:Instances!B77),"diff", MAX(Instances!B77:Instances!B77)-MIN(Instances!B77:Instances!B77))</f>
        <v>0</v>
      </c>
      <c r="C77" s="1" cm="1">
        <f t="array" ref="C77">_xlfn.SWITCH($A$2,"average", AVERAGE(Instances!C77:Instances!C77),"median", MEDIAN(Instances!C77:Instances!C77),"min", MIN(Instances!C77:Instances!C77),"max", MAX(Instances!C77:Instances!C77),"diff", MAX(Instances!C77:Instances!C77)-MIN(Instances!C77:Instances!C77))</f>
        <v>0</v>
      </c>
      <c r="D77" s="1" cm="1">
        <f t="array" ref="D77">_xlfn.SWITCH($A$2,"average", AVERAGE(Instances!D77:Instances!D77),"median", MEDIAN(Instances!D77:Instances!D77),"min", MIN(Instances!D77:Instances!D77),"max", MAX(Instances!D77:Instances!D77),"diff", MAX(Instances!D77:Instances!D77)-MIN(Instances!D77:Instances!D77))</f>
        <v>0</v>
      </c>
      <c r="E77" s="1" cm="1">
        <f t="array" ref="E77">_xlfn.SWITCH($A$2,"average", AVERAGE(Instances!E77:Instances!E77),"median", MEDIAN(Instances!E77:Instances!E77),"min", MIN(Instances!E77:Instances!E77),"max", MAX(Instances!E77:Instances!E77),"diff", MAX(Instances!E77:Instances!E77)-MIN(Instances!E77:Instances!E77))</f>
        <v>0</v>
      </c>
      <c r="F77" s="1"/>
      <c r="G77" s="1" cm="1">
        <f t="array" ref="G77">_xlfn.SWITCH($A$2,"average", AVERAGE(Instances!G77:Instances!G77),"median", MEDIAN(Instances!G77:Instances!G77),"min", MIN(Instances!G77:Instances!G77),"max", MAX(Instances!G77:Instances!G77),"diff", MAX(Instances!G77:Instances!G77)-MIN(Instances!G77:Instances!G77))</f>
        <v>0</v>
      </c>
      <c r="H77" s="1" cm="1">
        <f t="array" ref="H77">_xlfn.SWITCH($A$2,"average", AVERAGE(Instances!H77:Instances!H77),"median", MEDIAN(Instances!H77:Instances!H77),"min", MIN(Instances!H77:Instances!H77),"max", MAX(Instances!H77:Instances!H77),"diff", MAX(Instances!H77:Instances!H77)-MIN(Instances!H77:Instances!H77))</f>
        <v>0</v>
      </c>
      <c r="I77" s="1">
        <f>MIN($B77)</f>
        <v>0</v>
      </c>
      <c r="J77" s="1">
        <f>MIN($C77)</f>
        <v>0</v>
      </c>
      <c r="K77" s="1">
        <f>MIN($D77)</f>
        <v>0</v>
      </c>
      <c r="L77" s="1">
        <f>MIN($E77)</f>
        <v>0</v>
      </c>
      <c r="M77" s="1">
        <f>MIN($G77)</f>
        <v>0</v>
      </c>
      <c r="N77" s="1">
        <f>MIN($H77)</f>
        <v>0</v>
      </c>
      <c r="O77" s="1">
        <f>MEDIAN($B77)</f>
        <v>0</v>
      </c>
      <c r="P77" s="1">
        <f>MEDIAN($C77)</f>
        <v>0</v>
      </c>
      <c r="Q77" s="1">
        <f>MEDIAN($D77)</f>
        <v>0</v>
      </c>
      <c r="R77" s="1">
        <f>MEDIAN($E77)</f>
        <v>0</v>
      </c>
      <c r="S77" s="1">
        <f>MEDIAN($G77)</f>
        <v>0</v>
      </c>
      <c r="T77" s="1">
        <f>MEDIAN($H77)</f>
        <v>0</v>
      </c>
      <c r="U77" s="1">
        <f>MAX($B77)</f>
        <v>0</v>
      </c>
      <c r="V77" s="1">
        <f>MAX($C77)</f>
        <v>0</v>
      </c>
      <c r="W77" s="1">
        <f>MAX($D77)</f>
        <v>0</v>
      </c>
      <c r="X77" s="1">
        <f>MAX($E77)</f>
        <v>0</v>
      </c>
      <c r="Y77" s="1">
        <f>MAX($G77)</f>
        <v>0</v>
      </c>
      <c r="Z77" s="1">
        <f>MAX($H77)</f>
        <v>0</v>
      </c>
    </row>
    <row r="78" spans="1:26">
      <c r="A78" s="1" t="s">
        <v>75</v>
      </c>
      <c r="B78" s="1" cm="1">
        <f t="array" ref="B78">_xlfn.SWITCH($A$2,"average", AVERAGE(Instances!B78:Instances!B78),"median", MEDIAN(Instances!B78:Instances!B78),"min", MIN(Instances!B78:Instances!B78),"max", MAX(Instances!B78:Instances!B78),"diff", MAX(Instances!B78:Instances!B78)-MIN(Instances!B78:Instances!B78))</f>
        <v>0</v>
      </c>
      <c r="C78" s="1" cm="1">
        <f t="array" ref="C78">_xlfn.SWITCH($A$2,"average", AVERAGE(Instances!C78:Instances!C78),"median", MEDIAN(Instances!C78:Instances!C78),"min", MIN(Instances!C78:Instances!C78),"max", MAX(Instances!C78:Instances!C78),"diff", MAX(Instances!C78:Instances!C78)-MIN(Instances!C78:Instances!C78))</f>
        <v>0</v>
      </c>
      <c r="D78" s="1" cm="1">
        <f t="array" ref="D78">_xlfn.SWITCH($A$2,"average", AVERAGE(Instances!D78:Instances!D78),"median", MEDIAN(Instances!D78:Instances!D78),"min", MIN(Instances!D78:Instances!D78),"max", MAX(Instances!D78:Instances!D78),"diff", MAX(Instances!D78:Instances!D78)-MIN(Instances!D78:Instances!D78))</f>
        <v>0</v>
      </c>
      <c r="E78" s="1" cm="1">
        <f t="array" ref="E78">_xlfn.SWITCH($A$2,"average", AVERAGE(Instances!E78:Instances!E78),"median", MEDIAN(Instances!E78:Instances!E78),"min", MIN(Instances!E78:Instances!E78),"max", MAX(Instances!E78:Instances!E78),"diff", MAX(Instances!E78:Instances!E78)-MIN(Instances!E78:Instances!E78))</f>
        <v>0</v>
      </c>
      <c r="F78" s="1"/>
      <c r="G78" s="1" cm="1">
        <f t="array" ref="G78">_xlfn.SWITCH($A$2,"average", AVERAGE(Instances!G78:Instances!G78),"median", MEDIAN(Instances!G78:Instances!G78),"min", MIN(Instances!G78:Instances!G78),"max", MAX(Instances!G78:Instances!G78),"diff", MAX(Instances!G78:Instances!G78)-MIN(Instances!G78:Instances!G78))</f>
        <v>0</v>
      </c>
      <c r="H78" s="1" cm="1">
        <f t="array" ref="H78">_xlfn.SWITCH($A$2,"average", AVERAGE(Instances!H78:Instances!H78),"median", MEDIAN(Instances!H78:Instances!H78),"min", MIN(Instances!H78:Instances!H78),"max", MAX(Instances!H78:Instances!H78),"diff", MAX(Instances!H78:Instances!H78)-MIN(Instances!H78:Instances!H78))</f>
        <v>0</v>
      </c>
      <c r="I78" s="1">
        <f>MIN($B78)</f>
        <v>0</v>
      </c>
      <c r="J78" s="1">
        <f>MIN($C78)</f>
        <v>0</v>
      </c>
      <c r="K78" s="1">
        <f>MIN($D78)</f>
        <v>0</v>
      </c>
      <c r="L78" s="1">
        <f>MIN($E78)</f>
        <v>0</v>
      </c>
      <c r="M78" s="1">
        <f>MIN($G78)</f>
        <v>0</v>
      </c>
      <c r="N78" s="1">
        <f>MIN($H78)</f>
        <v>0</v>
      </c>
      <c r="O78" s="1">
        <f>MEDIAN($B78)</f>
        <v>0</v>
      </c>
      <c r="P78" s="1">
        <f>MEDIAN($C78)</f>
        <v>0</v>
      </c>
      <c r="Q78" s="1">
        <f>MEDIAN($D78)</f>
        <v>0</v>
      </c>
      <c r="R78" s="1">
        <f>MEDIAN($E78)</f>
        <v>0</v>
      </c>
      <c r="S78" s="1">
        <f>MEDIAN($G78)</f>
        <v>0</v>
      </c>
      <c r="T78" s="1">
        <f>MEDIAN($H78)</f>
        <v>0</v>
      </c>
      <c r="U78" s="1">
        <f>MAX($B78)</f>
        <v>0</v>
      </c>
      <c r="V78" s="1">
        <f>MAX($C78)</f>
        <v>0</v>
      </c>
      <c r="W78" s="1">
        <f>MAX($D78)</f>
        <v>0</v>
      </c>
      <c r="X78" s="1">
        <f>MAX($E78)</f>
        <v>0</v>
      </c>
      <c r="Y78" s="1">
        <f>MAX($G78)</f>
        <v>0</v>
      </c>
      <c r="Z78" s="1">
        <f>MAX($H78)</f>
        <v>0</v>
      </c>
    </row>
    <row r="79" spans="1:26">
      <c r="A79" s="1" t="s">
        <v>76</v>
      </c>
      <c r="B79" s="1" cm="1">
        <f t="array" ref="B79">_xlfn.SWITCH($A$2,"average", AVERAGE(Instances!B79:Instances!B79),"median", MEDIAN(Instances!B79:Instances!B79),"min", MIN(Instances!B79:Instances!B79),"max", MAX(Instances!B79:Instances!B79),"diff", MAX(Instances!B79:Instances!B79)-MIN(Instances!B79:Instances!B79))</f>
        <v>0</v>
      </c>
      <c r="C79" s="1" cm="1">
        <f t="array" ref="C79">_xlfn.SWITCH($A$2,"average", AVERAGE(Instances!C79:Instances!C79),"median", MEDIAN(Instances!C79:Instances!C79),"min", MIN(Instances!C79:Instances!C79),"max", MAX(Instances!C79:Instances!C79),"diff", MAX(Instances!C79:Instances!C79)-MIN(Instances!C79:Instances!C79))</f>
        <v>0</v>
      </c>
      <c r="D79" s="1" cm="1">
        <f t="array" ref="D79">_xlfn.SWITCH($A$2,"average", AVERAGE(Instances!D79:Instances!D79),"median", MEDIAN(Instances!D79:Instances!D79),"min", MIN(Instances!D79:Instances!D79),"max", MAX(Instances!D79:Instances!D79),"diff", MAX(Instances!D79:Instances!D79)-MIN(Instances!D79:Instances!D79))</f>
        <v>0</v>
      </c>
      <c r="E79" s="1" cm="1">
        <f t="array" ref="E79">_xlfn.SWITCH($A$2,"average", AVERAGE(Instances!E79:Instances!E79),"median", MEDIAN(Instances!E79:Instances!E79),"min", MIN(Instances!E79:Instances!E79),"max", MAX(Instances!E79:Instances!E79),"diff", MAX(Instances!E79:Instances!E79)-MIN(Instances!E79:Instances!E79))</f>
        <v>0</v>
      </c>
      <c r="F79" s="1"/>
      <c r="G79" s="1" cm="1">
        <f t="array" ref="G79">_xlfn.SWITCH($A$2,"average", AVERAGE(Instances!G79:Instances!G79),"median", MEDIAN(Instances!G79:Instances!G79),"min", MIN(Instances!G79:Instances!G79),"max", MAX(Instances!G79:Instances!G79),"diff", MAX(Instances!G79:Instances!G79)-MIN(Instances!G79:Instances!G79))</f>
        <v>0</v>
      </c>
      <c r="H79" s="1" cm="1">
        <f t="array" ref="H79">_xlfn.SWITCH($A$2,"average", AVERAGE(Instances!H79:Instances!H79),"median", MEDIAN(Instances!H79:Instances!H79),"min", MIN(Instances!H79:Instances!H79),"max", MAX(Instances!H79:Instances!H79),"diff", MAX(Instances!H79:Instances!H79)-MIN(Instances!H79:Instances!H79))</f>
        <v>0</v>
      </c>
      <c r="I79" s="1">
        <f>MIN($B79)</f>
        <v>0</v>
      </c>
      <c r="J79" s="1">
        <f>MIN($C79)</f>
        <v>0</v>
      </c>
      <c r="K79" s="1">
        <f>MIN($D79)</f>
        <v>0</v>
      </c>
      <c r="L79" s="1">
        <f>MIN($E79)</f>
        <v>0</v>
      </c>
      <c r="M79" s="1">
        <f>MIN($G79)</f>
        <v>0</v>
      </c>
      <c r="N79" s="1">
        <f>MIN($H79)</f>
        <v>0</v>
      </c>
      <c r="O79" s="1">
        <f>MEDIAN($B79)</f>
        <v>0</v>
      </c>
      <c r="P79" s="1">
        <f>MEDIAN($C79)</f>
        <v>0</v>
      </c>
      <c r="Q79" s="1">
        <f>MEDIAN($D79)</f>
        <v>0</v>
      </c>
      <c r="R79" s="1">
        <f>MEDIAN($E79)</f>
        <v>0</v>
      </c>
      <c r="S79" s="1">
        <f>MEDIAN($G79)</f>
        <v>0</v>
      </c>
      <c r="T79" s="1">
        <f>MEDIAN($H79)</f>
        <v>0</v>
      </c>
      <c r="U79" s="1">
        <f>MAX($B79)</f>
        <v>0</v>
      </c>
      <c r="V79" s="1">
        <f>MAX($C79)</f>
        <v>0</v>
      </c>
      <c r="W79" s="1">
        <f>MAX($D79)</f>
        <v>0</v>
      </c>
      <c r="X79" s="1">
        <f>MAX($E79)</f>
        <v>0</v>
      </c>
      <c r="Y79" s="1">
        <f>MAX($G79)</f>
        <v>0</v>
      </c>
      <c r="Z79" s="1">
        <f>MAX($H79)</f>
        <v>0</v>
      </c>
    </row>
    <row r="80" spans="1:26">
      <c r="A80" s="1" t="s">
        <v>77</v>
      </c>
      <c r="B80" s="1" cm="1">
        <f t="array" ref="B80">_xlfn.SWITCH($A$2,"average", AVERAGE(Instances!B80:Instances!B80),"median", MEDIAN(Instances!B80:Instances!B80),"min", MIN(Instances!B80:Instances!B80),"max", MAX(Instances!B80:Instances!B80),"diff", MAX(Instances!B80:Instances!B80)-MIN(Instances!B80:Instances!B80))</f>
        <v>0</v>
      </c>
      <c r="C80" s="1" cm="1">
        <f t="array" ref="C80">_xlfn.SWITCH($A$2,"average", AVERAGE(Instances!C80:Instances!C80),"median", MEDIAN(Instances!C80:Instances!C80),"min", MIN(Instances!C80:Instances!C80),"max", MAX(Instances!C80:Instances!C80),"diff", MAX(Instances!C80:Instances!C80)-MIN(Instances!C80:Instances!C80))</f>
        <v>0</v>
      </c>
      <c r="D80" s="1" cm="1">
        <f t="array" ref="D80">_xlfn.SWITCH($A$2,"average", AVERAGE(Instances!D80:Instances!D80),"median", MEDIAN(Instances!D80:Instances!D80),"min", MIN(Instances!D80:Instances!D80),"max", MAX(Instances!D80:Instances!D80),"diff", MAX(Instances!D80:Instances!D80)-MIN(Instances!D80:Instances!D80))</f>
        <v>0</v>
      </c>
      <c r="E80" s="1" cm="1">
        <f t="array" ref="E80">_xlfn.SWITCH($A$2,"average", AVERAGE(Instances!E80:Instances!E80),"median", MEDIAN(Instances!E80:Instances!E80),"min", MIN(Instances!E80:Instances!E80),"max", MAX(Instances!E80:Instances!E80),"diff", MAX(Instances!E80:Instances!E80)-MIN(Instances!E80:Instances!E80))</f>
        <v>0</v>
      </c>
      <c r="F80" s="1"/>
      <c r="G80" s="1" cm="1">
        <f t="array" ref="G80">_xlfn.SWITCH($A$2,"average", AVERAGE(Instances!G80:Instances!G80),"median", MEDIAN(Instances!G80:Instances!G80),"min", MIN(Instances!G80:Instances!G80),"max", MAX(Instances!G80:Instances!G80),"diff", MAX(Instances!G80:Instances!G80)-MIN(Instances!G80:Instances!G80))</f>
        <v>0</v>
      </c>
      <c r="H80" s="1" cm="1">
        <f t="array" ref="H80">_xlfn.SWITCH($A$2,"average", AVERAGE(Instances!H80:Instances!H80),"median", MEDIAN(Instances!H80:Instances!H80),"min", MIN(Instances!H80:Instances!H80),"max", MAX(Instances!H80:Instances!H80),"diff", MAX(Instances!H80:Instances!H80)-MIN(Instances!H80:Instances!H80))</f>
        <v>0</v>
      </c>
      <c r="I80" s="1">
        <f>MIN($B80)</f>
        <v>0</v>
      </c>
      <c r="J80" s="1">
        <f>MIN($C80)</f>
        <v>0</v>
      </c>
      <c r="K80" s="1">
        <f>MIN($D80)</f>
        <v>0</v>
      </c>
      <c r="L80" s="1">
        <f>MIN($E80)</f>
        <v>0</v>
      </c>
      <c r="M80" s="1">
        <f>MIN($G80)</f>
        <v>0</v>
      </c>
      <c r="N80" s="1">
        <f>MIN($H80)</f>
        <v>0</v>
      </c>
      <c r="O80" s="1">
        <f>MEDIAN($B80)</f>
        <v>0</v>
      </c>
      <c r="P80" s="1">
        <f>MEDIAN($C80)</f>
        <v>0</v>
      </c>
      <c r="Q80" s="1">
        <f>MEDIAN($D80)</f>
        <v>0</v>
      </c>
      <c r="R80" s="1">
        <f>MEDIAN($E80)</f>
        <v>0</v>
      </c>
      <c r="S80" s="1">
        <f>MEDIAN($G80)</f>
        <v>0</v>
      </c>
      <c r="T80" s="1">
        <f>MEDIAN($H80)</f>
        <v>0</v>
      </c>
      <c r="U80" s="1">
        <f>MAX($B80)</f>
        <v>0</v>
      </c>
      <c r="V80" s="1">
        <f>MAX($C80)</f>
        <v>0</v>
      </c>
      <c r="W80" s="1">
        <f>MAX($D80)</f>
        <v>0</v>
      </c>
      <c r="X80" s="1">
        <f>MAX($E80)</f>
        <v>0</v>
      </c>
      <c r="Y80" s="1">
        <f>MAX($G80)</f>
        <v>0</v>
      </c>
      <c r="Z80" s="1">
        <f>MAX($H80)</f>
        <v>0</v>
      </c>
    </row>
    <row r="81" spans="1:26">
      <c r="A81" s="1" t="s">
        <v>78</v>
      </c>
      <c r="B81" s="1" cm="1">
        <f t="array" ref="B81">_xlfn.SWITCH($A$2,"average", AVERAGE(Instances!B81:Instances!B81),"median", MEDIAN(Instances!B81:Instances!B81),"min", MIN(Instances!B81:Instances!B81),"max", MAX(Instances!B81:Instances!B81),"diff", MAX(Instances!B81:Instances!B81)-MIN(Instances!B81:Instances!B81))</f>
        <v>0</v>
      </c>
      <c r="C81" s="1" cm="1">
        <f t="array" ref="C81">_xlfn.SWITCH($A$2,"average", AVERAGE(Instances!C81:Instances!C81),"median", MEDIAN(Instances!C81:Instances!C81),"min", MIN(Instances!C81:Instances!C81),"max", MAX(Instances!C81:Instances!C81),"diff", MAX(Instances!C81:Instances!C81)-MIN(Instances!C81:Instances!C81))</f>
        <v>0</v>
      </c>
      <c r="D81" s="1" cm="1">
        <f t="array" ref="D81">_xlfn.SWITCH($A$2,"average", AVERAGE(Instances!D81:Instances!D81),"median", MEDIAN(Instances!D81:Instances!D81),"min", MIN(Instances!D81:Instances!D81),"max", MAX(Instances!D81:Instances!D81),"diff", MAX(Instances!D81:Instances!D81)-MIN(Instances!D81:Instances!D81))</f>
        <v>0</v>
      </c>
      <c r="E81" s="1" cm="1">
        <f t="array" ref="E81">_xlfn.SWITCH($A$2,"average", AVERAGE(Instances!E81:Instances!E81),"median", MEDIAN(Instances!E81:Instances!E81),"min", MIN(Instances!E81:Instances!E81),"max", MAX(Instances!E81:Instances!E81),"diff", MAX(Instances!E81:Instances!E81)-MIN(Instances!E81:Instances!E81))</f>
        <v>0</v>
      </c>
      <c r="F81" s="1"/>
      <c r="G81" s="1" cm="1">
        <f t="array" ref="G81">_xlfn.SWITCH($A$2,"average", AVERAGE(Instances!G81:Instances!G81),"median", MEDIAN(Instances!G81:Instances!G81),"min", MIN(Instances!G81:Instances!G81),"max", MAX(Instances!G81:Instances!G81),"diff", MAX(Instances!G81:Instances!G81)-MIN(Instances!G81:Instances!G81))</f>
        <v>0</v>
      </c>
      <c r="H81" s="1" cm="1">
        <f t="array" ref="H81">_xlfn.SWITCH($A$2,"average", AVERAGE(Instances!H81:Instances!H81),"median", MEDIAN(Instances!H81:Instances!H81),"min", MIN(Instances!H81:Instances!H81),"max", MAX(Instances!H81:Instances!H81),"diff", MAX(Instances!H81:Instances!H81)-MIN(Instances!H81:Instances!H81))</f>
        <v>0</v>
      </c>
      <c r="I81" s="1">
        <f>MIN($B81)</f>
        <v>0</v>
      </c>
      <c r="J81" s="1">
        <f>MIN($C81)</f>
        <v>0</v>
      </c>
      <c r="K81" s="1">
        <f>MIN($D81)</f>
        <v>0</v>
      </c>
      <c r="L81" s="1">
        <f>MIN($E81)</f>
        <v>0</v>
      </c>
      <c r="M81" s="1">
        <f>MIN($G81)</f>
        <v>0</v>
      </c>
      <c r="N81" s="1">
        <f>MIN($H81)</f>
        <v>0</v>
      </c>
      <c r="O81" s="1">
        <f>MEDIAN($B81)</f>
        <v>0</v>
      </c>
      <c r="P81" s="1">
        <f>MEDIAN($C81)</f>
        <v>0</v>
      </c>
      <c r="Q81" s="1">
        <f>MEDIAN($D81)</f>
        <v>0</v>
      </c>
      <c r="R81" s="1">
        <f>MEDIAN($E81)</f>
        <v>0</v>
      </c>
      <c r="S81" s="1">
        <f>MEDIAN($G81)</f>
        <v>0</v>
      </c>
      <c r="T81" s="1">
        <f>MEDIAN($H81)</f>
        <v>0</v>
      </c>
      <c r="U81" s="1">
        <f>MAX($B81)</f>
        <v>0</v>
      </c>
      <c r="V81" s="1">
        <f>MAX($C81)</f>
        <v>0</v>
      </c>
      <c r="W81" s="1">
        <f>MAX($D81)</f>
        <v>0</v>
      </c>
      <c r="X81" s="1">
        <f>MAX($E81)</f>
        <v>0</v>
      </c>
      <c r="Y81" s="1">
        <f>MAX($G81)</f>
        <v>0</v>
      </c>
      <c r="Z81" s="1">
        <f>MAX($H81)</f>
        <v>0</v>
      </c>
    </row>
    <row r="82" spans="1:26">
      <c r="A82" s="1" t="s">
        <v>79</v>
      </c>
      <c r="B82" s="1" cm="1">
        <f t="array" ref="B82">_xlfn.SWITCH($A$2,"average", AVERAGE(Instances!B82:Instances!B82),"median", MEDIAN(Instances!B82:Instances!B82),"min", MIN(Instances!B82:Instances!B82),"max", MAX(Instances!B82:Instances!B82),"diff", MAX(Instances!B82:Instances!B82)-MIN(Instances!B82:Instances!B82))</f>
        <v>0</v>
      </c>
      <c r="C82" s="1" cm="1">
        <f t="array" ref="C82">_xlfn.SWITCH($A$2,"average", AVERAGE(Instances!C82:Instances!C82),"median", MEDIAN(Instances!C82:Instances!C82),"min", MIN(Instances!C82:Instances!C82),"max", MAX(Instances!C82:Instances!C82),"diff", MAX(Instances!C82:Instances!C82)-MIN(Instances!C82:Instances!C82))</f>
        <v>0</v>
      </c>
      <c r="D82" s="1" cm="1">
        <f t="array" ref="D82">_xlfn.SWITCH($A$2,"average", AVERAGE(Instances!D82:Instances!D82),"median", MEDIAN(Instances!D82:Instances!D82),"min", MIN(Instances!D82:Instances!D82),"max", MAX(Instances!D82:Instances!D82),"diff", MAX(Instances!D82:Instances!D82)-MIN(Instances!D82:Instances!D82))</f>
        <v>0</v>
      </c>
      <c r="E82" s="1" cm="1">
        <f t="array" ref="E82">_xlfn.SWITCH($A$2,"average", AVERAGE(Instances!E82:Instances!E82),"median", MEDIAN(Instances!E82:Instances!E82),"min", MIN(Instances!E82:Instances!E82),"max", MAX(Instances!E82:Instances!E82),"diff", MAX(Instances!E82:Instances!E82)-MIN(Instances!E82:Instances!E82))</f>
        <v>0</v>
      </c>
      <c r="F82" s="1"/>
      <c r="G82" s="1" cm="1">
        <f t="array" ref="G82">_xlfn.SWITCH($A$2,"average", AVERAGE(Instances!G82:Instances!G82),"median", MEDIAN(Instances!G82:Instances!G82),"min", MIN(Instances!G82:Instances!G82),"max", MAX(Instances!G82:Instances!G82),"diff", MAX(Instances!G82:Instances!G82)-MIN(Instances!G82:Instances!G82))</f>
        <v>0</v>
      </c>
      <c r="H82" s="1" cm="1">
        <f t="array" ref="H82">_xlfn.SWITCH($A$2,"average", AVERAGE(Instances!H82:Instances!H82),"median", MEDIAN(Instances!H82:Instances!H82),"min", MIN(Instances!H82:Instances!H82),"max", MAX(Instances!H82:Instances!H82),"diff", MAX(Instances!H82:Instances!H82)-MIN(Instances!H82:Instances!H82))</f>
        <v>0</v>
      </c>
      <c r="I82" s="1">
        <f>MIN($B82)</f>
        <v>0</v>
      </c>
      <c r="J82" s="1">
        <f>MIN($C82)</f>
        <v>0</v>
      </c>
      <c r="K82" s="1">
        <f>MIN($D82)</f>
        <v>0</v>
      </c>
      <c r="L82" s="1">
        <f>MIN($E82)</f>
        <v>0</v>
      </c>
      <c r="M82" s="1">
        <f>MIN($G82)</f>
        <v>0</v>
      </c>
      <c r="N82" s="1">
        <f>MIN($H82)</f>
        <v>0</v>
      </c>
      <c r="O82" s="1">
        <f>MEDIAN($B82)</f>
        <v>0</v>
      </c>
      <c r="P82" s="1">
        <f>MEDIAN($C82)</f>
        <v>0</v>
      </c>
      <c r="Q82" s="1">
        <f>MEDIAN($D82)</f>
        <v>0</v>
      </c>
      <c r="R82" s="1">
        <f>MEDIAN($E82)</f>
        <v>0</v>
      </c>
      <c r="S82" s="1">
        <f>MEDIAN($G82)</f>
        <v>0</v>
      </c>
      <c r="T82" s="1">
        <f>MEDIAN($H82)</f>
        <v>0</v>
      </c>
      <c r="U82" s="1">
        <f>MAX($B82)</f>
        <v>0</v>
      </c>
      <c r="V82" s="1">
        <f>MAX($C82)</f>
        <v>0</v>
      </c>
      <c r="W82" s="1">
        <f>MAX($D82)</f>
        <v>0</v>
      </c>
      <c r="X82" s="1">
        <f>MAX($E82)</f>
        <v>0</v>
      </c>
      <c r="Y82" s="1">
        <f>MAX($G82)</f>
        <v>0</v>
      </c>
      <c r="Z82" s="1">
        <f>MAX($H82)</f>
        <v>0</v>
      </c>
    </row>
    <row r="83" spans="1:26">
      <c r="A83" s="1" t="s">
        <v>80</v>
      </c>
      <c r="B83" s="1" cm="1">
        <f t="array" ref="B83">_xlfn.SWITCH($A$2,"average", AVERAGE(Instances!B83:Instances!B83),"median", MEDIAN(Instances!B83:Instances!B83),"min", MIN(Instances!B83:Instances!B83),"max", MAX(Instances!B83:Instances!B83),"diff", MAX(Instances!B83:Instances!B83)-MIN(Instances!B83:Instances!B83))</f>
        <v>0</v>
      </c>
      <c r="C83" s="1" cm="1">
        <f t="array" ref="C83">_xlfn.SWITCH($A$2,"average", AVERAGE(Instances!C83:Instances!C83),"median", MEDIAN(Instances!C83:Instances!C83),"min", MIN(Instances!C83:Instances!C83),"max", MAX(Instances!C83:Instances!C83),"diff", MAX(Instances!C83:Instances!C83)-MIN(Instances!C83:Instances!C83))</f>
        <v>0</v>
      </c>
      <c r="D83" s="1" cm="1">
        <f t="array" ref="D83">_xlfn.SWITCH($A$2,"average", AVERAGE(Instances!D83:Instances!D83),"median", MEDIAN(Instances!D83:Instances!D83),"min", MIN(Instances!D83:Instances!D83),"max", MAX(Instances!D83:Instances!D83),"diff", MAX(Instances!D83:Instances!D83)-MIN(Instances!D83:Instances!D83))</f>
        <v>0</v>
      </c>
      <c r="E83" s="1" cm="1">
        <f t="array" ref="E83">_xlfn.SWITCH($A$2,"average", AVERAGE(Instances!E83:Instances!E83),"median", MEDIAN(Instances!E83:Instances!E83),"min", MIN(Instances!E83:Instances!E83),"max", MAX(Instances!E83:Instances!E83),"diff", MAX(Instances!E83:Instances!E83)-MIN(Instances!E83:Instances!E83))</f>
        <v>0</v>
      </c>
      <c r="F83" s="1"/>
      <c r="G83" s="1" cm="1">
        <f t="array" ref="G83">_xlfn.SWITCH($A$2,"average", AVERAGE(Instances!G83:Instances!G83),"median", MEDIAN(Instances!G83:Instances!G83),"min", MIN(Instances!G83:Instances!G83),"max", MAX(Instances!G83:Instances!G83),"diff", MAX(Instances!G83:Instances!G83)-MIN(Instances!G83:Instances!G83))</f>
        <v>0</v>
      </c>
      <c r="H83" s="1" cm="1">
        <f t="array" ref="H83">_xlfn.SWITCH($A$2,"average", AVERAGE(Instances!H83:Instances!H83),"median", MEDIAN(Instances!H83:Instances!H83),"min", MIN(Instances!H83:Instances!H83),"max", MAX(Instances!H83:Instances!H83),"diff", MAX(Instances!H83:Instances!H83)-MIN(Instances!H83:Instances!H83))</f>
        <v>0</v>
      </c>
      <c r="I83" s="1">
        <f>MIN($B83)</f>
        <v>0</v>
      </c>
      <c r="J83" s="1">
        <f>MIN($C83)</f>
        <v>0</v>
      </c>
      <c r="K83" s="1">
        <f>MIN($D83)</f>
        <v>0</v>
      </c>
      <c r="L83" s="1">
        <f>MIN($E83)</f>
        <v>0</v>
      </c>
      <c r="M83" s="1">
        <f>MIN($G83)</f>
        <v>0</v>
      </c>
      <c r="N83" s="1">
        <f>MIN($H83)</f>
        <v>0</v>
      </c>
      <c r="O83" s="1">
        <f>MEDIAN($B83)</f>
        <v>0</v>
      </c>
      <c r="P83" s="1">
        <f>MEDIAN($C83)</f>
        <v>0</v>
      </c>
      <c r="Q83" s="1">
        <f>MEDIAN($D83)</f>
        <v>0</v>
      </c>
      <c r="R83" s="1">
        <f>MEDIAN($E83)</f>
        <v>0</v>
      </c>
      <c r="S83" s="1">
        <f>MEDIAN($G83)</f>
        <v>0</v>
      </c>
      <c r="T83" s="1">
        <f>MEDIAN($H83)</f>
        <v>0</v>
      </c>
      <c r="U83" s="1">
        <f>MAX($B83)</f>
        <v>0</v>
      </c>
      <c r="V83" s="1">
        <f>MAX($C83)</f>
        <v>0</v>
      </c>
      <c r="W83" s="1">
        <f>MAX($D83)</f>
        <v>0</v>
      </c>
      <c r="X83" s="1">
        <f>MAX($E83)</f>
        <v>0</v>
      </c>
      <c r="Y83" s="1">
        <f>MAX($G83)</f>
        <v>0</v>
      </c>
      <c r="Z83" s="1">
        <f>MAX($H83)</f>
        <v>0</v>
      </c>
    </row>
    <row r="84" spans="1:26">
      <c r="A84" s="1" t="s">
        <v>81</v>
      </c>
      <c r="B84" s="1" cm="1">
        <f t="array" ref="B84">_xlfn.SWITCH($A$2,"average", AVERAGE(Instances!B84:Instances!B84),"median", MEDIAN(Instances!B84:Instances!B84),"min", MIN(Instances!B84:Instances!B84),"max", MAX(Instances!B84:Instances!B84),"diff", MAX(Instances!B84:Instances!B84)-MIN(Instances!B84:Instances!B84))</f>
        <v>0</v>
      </c>
      <c r="C84" s="1" cm="1">
        <f t="array" ref="C84">_xlfn.SWITCH($A$2,"average", AVERAGE(Instances!C84:Instances!C84),"median", MEDIAN(Instances!C84:Instances!C84),"min", MIN(Instances!C84:Instances!C84),"max", MAX(Instances!C84:Instances!C84),"diff", MAX(Instances!C84:Instances!C84)-MIN(Instances!C84:Instances!C84))</f>
        <v>0</v>
      </c>
      <c r="D84" s="1" cm="1">
        <f t="array" ref="D84">_xlfn.SWITCH($A$2,"average", AVERAGE(Instances!D84:Instances!D84),"median", MEDIAN(Instances!D84:Instances!D84),"min", MIN(Instances!D84:Instances!D84),"max", MAX(Instances!D84:Instances!D84),"diff", MAX(Instances!D84:Instances!D84)-MIN(Instances!D84:Instances!D84))</f>
        <v>0</v>
      </c>
      <c r="E84" s="1" cm="1">
        <f t="array" ref="E84">_xlfn.SWITCH($A$2,"average", AVERAGE(Instances!E84:Instances!E84),"median", MEDIAN(Instances!E84:Instances!E84),"min", MIN(Instances!E84:Instances!E84),"max", MAX(Instances!E84:Instances!E84),"diff", MAX(Instances!E84:Instances!E84)-MIN(Instances!E84:Instances!E84))</f>
        <v>0</v>
      </c>
      <c r="F84" s="1"/>
      <c r="G84" s="1" cm="1">
        <f t="array" ref="G84">_xlfn.SWITCH($A$2,"average", AVERAGE(Instances!G84:Instances!G84),"median", MEDIAN(Instances!G84:Instances!G84),"min", MIN(Instances!G84:Instances!G84),"max", MAX(Instances!G84:Instances!G84),"diff", MAX(Instances!G84:Instances!G84)-MIN(Instances!G84:Instances!G84))</f>
        <v>0</v>
      </c>
      <c r="H84" s="1" cm="1">
        <f t="array" ref="H84">_xlfn.SWITCH($A$2,"average", AVERAGE(Instances!H84:Instances!H84),"median", MEDIAN(Instances!H84:Instances!H84),"min", MIN(Instances!H84:Instances!H84),"max", MAX(Instances!H84:Instances!H84),"diff", MAX(Instances!H84:Instances!H84)-MIN(Instances!H84:Instances!H84))</f>
        <v>0</v>
      </c>
      <c r="I84" s="1">
        <f>MIN($B84)</f>
        <v>0</v>
      </c>
      <c r="J84" s="1">
        <f>MIN($C84)</f>
        <v>0</v>
      </c>
      <c r="K84" s="1">
        <f>MIN($D84)</f>
        <v>0</v>
      </c>
      <c r="L84" s="1">
        <f>MIN($E84)</f>
        <v>0</v>
      </c>
      <c r="M84" s="1">
        <f>MIN($G84)</f>
        <v>0</v>
      </c>
      <c r="N84" s="1">
        <f>MIN($H84)</f>
        <v>0</v>
      </c>
      <c r="O84" s="1">
        <f>MEDIAN($B84)</f>
        <v>0</v>
      </c>
      <c r="P84" s="1">
        <f>MEDIAN($C84)</f>
        <v>0</v>
      </c>
      <c r="Q84" s="1">
        <f>MEDIAN($D84)</f>
        <v>0</v>
      </c>
      <c r="R84" s="1">
        <f>MEDIAN($E84)</f>
        <v>0</v>
      </c>
      <c r="S84" s="1">
        <f>MEDIAN($G84)</f>
        <v>0</v>
      </c>
      <c r="T84" s="1">
        <f>MEDIAN($H84)</f>
        <v>0</v>
      </c>
      <c r="U84" s="1">
        <f>MAX($B84)</f>
        <v>0</v>
      </c>
      <c r="V84" s="1">
        <f>MAX($C84)</f>
        <v>0</v>
      </c>
      <c r="W84" s="1">
        <f>MAX($D84)</f>
        <v>0</v>
      </c>
      <c r="X84" s="1">
        <f>MAX($E84)</f>
        <v>0</v>
      </c>
      <c r="Y84" s="1">
        <f>MAX($G84)</f>
        <v>0</v>
      </c>
      <c r="Z84" s="1">
        <f>MAX($H84)</f>
        <v>0</v>
      </c>
    </row>
    <row r="85" spans="1:26">
      <c r="A85" s="1" t="s">
        <v>82</v>
      </c>
      <c r="B85" s="1" cm="1">
        <f t="array" ref="B85">_xlfn.SWITCH($A$2,"average", AVERAGE(Instances!B85:Instances!B85),"median", MEDIAN(Instances!B85:Instances!B85),"min", MIN(Instances!B85:Instances!B85),"max", MAX(Instances!B85:Instances!B85),"diff", MAX(Instances!B85:Instances!B85)-MIN(Instances!B85:Instances!B85))</f>
        <v>0</v>
      </c>
      <c r="C85" s="1" cm="1">
        <f t="array" ref="C85">_xlfn.SWITCH($A$2,"average", AVERAGE(Instances!C85:Instances!C85),"median", MEDIAN(Instances!C85:Instances!C85),"min", MIN(Instances!C85:Instances!C85),"max", MAX(Instances!C85:Instances!C85),"diff", MAX(Instances!C85:Instances!C85)-MIN(Instances!C85:Instances!C85))</f>
        <v>0</v>
      </c>
      <c r="D85" s="1" cm="1">
        <f t="array" ref="D85">_xlfn.SWITCH($A$2,"average", AVERAGE(Instances!D85:Instances!D85),"median", MEDIAN(Instances!D85:Instances!D85),"min", MIN(Instances!D85:Instances!D85),"max", MAX(Instances!D85:Instances!D85),"diff", MAX(Instances!D85:Instances!D85)-MIN(Instances!D85:Instances!D85))</f>
        <v>0</v>
      </c>
      <c r="E85" s="1" cm="1">
        <f t="array" ref="E85">_xlfn.SWITCH($A$2,"average", AVERAGE(Instances!E85:Instances!E85),"median", MEDIAN(Instances!E85:Instances!E85),"min", MIN(Instances!E85:Instances!E85),"max", MAX(Instances!E85:Instances!E85),"diff", MAX(Instances!E85:Instances!E85)-MIN(Instances!E85:Instances!E85))</f>
        <v>0</v>
      </c>
      <c r="F85" s="1"/>
      <c r="G85" s="1" cm="1">
        <f t="array" ref="G85">_xlfn.SWITCH($A$2,"average", AVERAGE(Instances!G85:Instances!G85),"median", MEDIAN(Instances!G85:Instances!G85),"min", MIN(Instances!G85:Instances!G85),"max", MAX(Instances!G85:Instances!G85),"diff", MAX(Instances!G85:Instances!G85)-MIN(Instances!G85:Instances!G85))</f>
        <v>0</v>
      </c>
      <c r="H85" s="1" cm="1">
        <f t="array" ref="H85">_xlfn.SWITCH($A$2,"average", AVERAGE(Instances!H85:Instances!H85),"median", MEDIAN(Instances!H85:Instances!H85),"min", MIN(Instances!H85:Instances!H85),"max", MAX(Instances!H85:Instances!H85),"diff", MAX(Instances!H85:Instances!H85)-MIN(Instances!H85:Instances!H85))</f>
        <v>0</v>
      </c>
      <c r="I85" s="1">
        <f>MIN($B85)</f>
        <v>0</v>
      </c>
      <c r="J85" s="1">
        <f>MIN($C85)</f>
        <v>0</v>
      </c>
      <c r="K85" s="1">
        <f>MIN($D85)</f>
        <v>0</v>
      </c>
      <c r="L85" s="1">
        <f>MIN($E85)</f>
        <v>0</v>
      </c>
      <c r="M85" s="1">
        <f>MIN($G85)</f>
        <v>0</v>
      </c>
      <c r="N85" s="1">
        <f>MIN($H85)</f>
        <v>0</v>
      </c>
      <c r="O85" s="1">
        <f>MEDIAN($B85)</f>
        <v>0</v>
      </c>
      <c r="P85" s="1">
        <f>MEDIAN($C85)</f>
        <v>0</v>
      </c>
      <c r="Q85" s="1">
        <f>MEDIAN($D85)</f>
        <v>0</v>
      </c>
      <c r="R85" s="1">
        <f>MEDIAN($E85)</f>
        <v>0</v>
      </c>
      <c r="S85" s="1">
        <f>MEDIAN($G85)</f>
        <v>0</v>
      </c>
      <c r="T85" s="1">
        <f>MEDIAN($H85)</f>
        <v>0</v>
      </c>
      <c r="U85" s="1">
        <f>MAX($B85)</f>
        <v>0</v>
      </c>
      <c r="V85" s="1">
        <f>MAX($C85)</f>
        <v>0</v>
      </c>
      <c r="W85" s="1">
        <f>MAX($D85)</f>
        <v>0</v>
      </c>
      <c r="X85" s="1">
        <f>MAX($E85)</f>
        <v>0</v>
      </c>
      <c r="Y85" s="1">
        <f>MAX($G85)</f>
        <v>0</v>
      </c>
      <c r="Z85" s="1">
        <f>MAX($H85)</f>
        <v>0</v>
      </c>
    </row>
    <row r="86" spans="1:26">
      <c r="A86" s="1" t="s">
        <v>83</v>
      </c>
      <c r="B86" s="1" cm="1">
        <f t="array" ref="B86">_xlfn.SWITCH($A$2,"average", AVERAGE(Instances!B86:Instances!B86),"median", MEDIAN(Instances!B86:Instances!B86),"min", MIN(Instances!B86:Instances!B86),"max", MAX(Instances!B86:Instances!B86),"diff", MAX(Instances!B86:Instances!B86)-MIN(Instances!B86:Instances!B86))</f>
        <v>0</v>
      </c>
      <c r="C86" s="1" cm="1">
        <f t="array" ref="C86">_xlfn.SWITCH($A$2,"average", AVERAGE(Instances!C86:Instances!C86),"median", MEDIAN(Instances!C86:Instances!C86),"min", MIN(Instances!C86:Instances!C86),"max", MAX(Instances!C86:Instances!C86),"diff", MAX(Instances!C86:Instances!C86)-MIN(Instances!C86:Instances!C86))</f>
        <v>0</v>
      </c>
      <c r="D86" s="1" cm="1">
        <f t="array" ref="D86">_xlfn.SWITCH($A$2,"average", AVERAGE(Instances!D86:Instances!D86),"median", MEDIAN(Instances!D86:Instances!D86),"min", MIN(Instances!D86:Instances!D86),"max", MAX(Instances!D86:Instances!D86),"diff", MAX(Instances!D86:Instances!D86)-MIN(Instances!D86:Instances!D86))</f>
        <v>0</v>
      </c>
      <c r="E86" s="1" cm="1">
        <f t="array" ref="E86">_xlfn.SWITCH($A$2,"average", AVERAGE(Instances!E86:Instances!E86),"median", MEDIAN(Instances!E86:Instances!E86),"min", MIN(Instances!E86:Instances!E86),"max", MAX(Instances!E86:Instances!E86),"diff", MAX(Instances!E86:Instances!E86)-MIN(Instances!E86:Instances!E86))</f>
        <v>0</v>
      </c>
      <c r="F86" s="1"/>
      <c r="G86" s="1" cm="1">
        <f t="array" ref="G86">_xlfn.SWITCH($A$2,"average", AVERAGE(Instances!G86:Instances!G86),"median", MEDIAN(Instances!G86:Instances!G86),"min", MIN(Instances!G86:Instances!G86),"max", MAX(Instances!G86:Instances!G86),"diff", MAX(Instances!G86:Instances!G86)-MIN(Instances!G86:Instances!G86))</f>
        <v>0</v>
      </c>
      <c r="H86" s="1" cm="1">
        <f t="array" ref="H86">_xlfn.SWITCH($A$2,"average", AVERAGE(Instances!H86:Instances!H86),"median", MEDIAN(Instances!H86:Instances!H86),"min", MIN(Instances!H86:Instances!H86),"max", MAX(Instances!H86:Instances!H86),"diff", MAX(Instances!H86:Instances!H86)-MIN(Instances!H86:Instances!H86))</f>
        <v>0</v>
      </c>
      <c r="I86" s="1">
        <f>MIN($B86)</f>
        <v>0</v>
      </c>
      <c r="J86" s="1">
        <f>MIN($C86)</f>
        <v>0</v>
      </c>
      <c r="K86" s="1">
        <f>MIN($D86)</f>
        <v>0</v>
      </c>
      <c r="L86" s="1">
        <f>MIN($E86)</f>
        <v>0</v>
      </c>
      <c r="M86" s="1">
        <f>MIN($G86)</f>
        <v>0</v>
      </c>
      <c r="N86" s="1">
        <f>MIN($H86)</f>
        <v>0</v>
      </c>
      <c r="O86" s="1">
        <f>MEDIAN($B86)</f>
        <v>0</v>
      </c>
      <c r="P86" s="1">
        <f>MEDIAN($C86)</f>
        <v>0</v>
      </c>
      <c r="Q86" s="1">
        <f>MEDIAN($D86)</f>
        <v>0</v>
      </c>
      <c r="R86" s="1">
        <f>MEDIAN($E86)</f>
        <v>0</v>
      </c>
      <c r="S86" s="1">
        <f>MEDIAN($G86)</f>
        <v>0</v>
      </c>
      <c r="T86" s="1">
        <f>MEDIAN($H86)</f>
        <v>0</v>
      </c>
      <c r="U86" s="1">
        <f>MAX($B86)</f>
        <v>0</v>
      </c>
      <c r="V86" s="1">
        <f>MAX($C86)</f>
        <v>0</v>
      </c>
      <c r="W86" s="1">
        <f>MAX($D86)</f>
        <v>0</v>
      </c>
      <c r="X86" s="1">
        <f>MAX($E86)</f>
        <v>0</v>
      </c>
      <c r="Y86" s="1">
        <f>MAX($G86)</f>
        <v>0</v>
      </c>
      <c r="Z86" s="1">
        <f>MAX($H86)</f>
        <v>0</v>
      </c>
    </row>
    <row r="87" spans="1:26">
      <c r="A87" s="1" t="s">
        <v>84</v>
      </c>
      <c r="B87" s="1" cm="1">
        <f t="array" ref="B87">_xlfn.SWITCH($A$2,"average", AVERAGE(Instances!B87:Instances!B87),"median", MEDIAN(Instances!B87:Instances!B87),"min", MIN(Instances!B87:Instances!B87),"max", MAX(Instances!B87:Instances!B87),"diff", MAX(Instances!B87:Instances!B87)-MIN(Instances!B87:Instances!B87))</f>
        <v>0</v>
      </c>
      <c r="C87" s="1" cm="1">
        <f t="array" ref="C87">_xlfn.SWITCH($A$2,"average", AVERAGE(Instances!C87:Instances!C87),"median", MEDIAN(Instances!C87:Instances!C87),"min", MIN(Instances!C87:Instances!C87),"max", MAX(Instances!C87:Instances!C87),"diff", MAX(Instances!C87:Instances!C87)-MIN(Instances!C87:Instances!C87))</f>
        <v>0</v>
      </c>
      <c r="D87" s="1" cm="1">
        <f t="array" ref="D87">_xlfn.SWITCH($A$2,"average", AVERAGE(Instances!D87:Instances!D87),"median", MEDIAN(Instances!D87:Instances!D87),"min", MIN(Instances!D87:Instances!D87),"max", MAX(Instances!D87:Instances!D87),"diff", MAX(Instances!D87:Instances!D87)-MIN(Instances!D87:Instances!D87))</f>
        <v>0</v>
      </c>
      <c r="E87" s="1" cm="1">
        <f t="array" ref="E87">_xlfn.SWITCH($A$2,"average", AVERAGE(Instances!E87:Instances!E87),"median", MEDIAN(Instances!E87:Instances!E87),"min", MIN(Instances!E87:Instances!E87),"max", MAX(Instances!E87:Instances!E87),"diff", MAX(Instances!E87:Instances!E87)-MIN(Instances!E87:Instances!E87))</f>
        <v>0</v>
      </c>
      <c r="F87" s="1"/>
      <c r="G87" s="1" cm="1">
        <f t="array" ref="G87">_xlfn.SWITCH($A$2,"average", AVERAGE(Instances!G87:Instances!G87),"median", MEDIAN(Instances!G87:Instances!G87),"min", MIN(Instances!G87:Instances!G87),"max", MAX(Instances!G87:Instances!G87),"diff", MAX(Instances!G87:Instances!G87)-MIN(Instances!G87:Instances!G87))</f>
        <v>0</v>
      </c>
      <c r="H87" s="1" cm="1">
        <f t="array" ref="H87">_xlfn.SWITCH($A$2,"average", AVERAGE(Instances!H87:Instances!H87),"median", MEDIAN(Instances!H87:Instances!H87),"min", MIN(Instances!H87:Instances!H87),"max", MAX(Instances!H87:Instances!H87),"diff", MAX(Instances!H87:Instances!H87)-MIN(Instances!H87:Instances!H87))</f>
        <v>0</v>
      </c>
      <c r="I87" s="1">
        <f>MIN($B87)</f>
        <v>0</v>
      </c>
      <c r="J87" s="1">
        <f>MIN($C87)</f>
        <v>0</v>
      </c>
      <c r="K87" s="1">
        <f>MIN($D87)</f>
        <v>0</v>
      </c>
      <c r="L87" s="1">
        <f>MIN($E87)</f>
        <v>0</v>
      </c>
      <c r="M87" s="1">
        <f>MIN($G87)</f>
        <v>0</v>
      </c>
      <c r="N87" s="1">
        <f>MIN($H87)</f>
        <v>0</v>
      </c>
      <c r="O87" s="1">
        <f>MEDIAN($B87)</f>
        <v>0</v>
      </c>
      <c r="P87" s="1">
        <f>MEDIAN($C87)</f>
        <v>0</v>
      </c>
      <c r="Q87" s="1">
        <f>MEDIAN($D87)</f>
        <v>0</v>
      </c>
      <c r="R87" s="1">
        <f>MEDIAN($E87)</f>
        <v>0</v>
      </c>
      <c r="S87" s="1">
        <f>MEDIAN($G87)</f>
        <v>0</v>
      </c>
      <c r="T87" s="1">
        <f>MEDIAN($H87)</f>
        <v>0</v>
      </c>
      <c r="U87" s="1">
        <f>MAX($B87)</f>
        <v>0</v>
      </c>
      <c r="V87" s="1">
        <f>MAX($C87)</f>
        <v>0</v>
      </c>
      <c r="W87" s="1">
        <f>MAX($D87)</f>
        <v>0</v>
      </c>
      <c r="X87" s="1">
        <f>MAX($E87)</f>
        <v>0</v>
      </c>
      <c r="Y87" s="1">
        <f>MAX($G87)</f>
        <v>0</v>
      </c>
      <c r="Z87" s="1">
        <f>MAX($H87)</f>
        <v>0</v>
      </c>
    </row>
    <row r="88" spans="1:26">
      <c r="A88" s="1" t="s">
        <v>85</v>
      </c>
      <c r="B88" s="1" cm="1">
        <f t="array" ref="B88">_xlfn.SWITCH($A$2,"average", AVERAGE(Instances!B88:Instances!B88),"median", MEDIAN(Instances!B88:Instances!B88),"min", MIN(Instances!B88:Instances!B88),"max", MAX(Instances!B88:Instances!B88),"diff", MAX(Instances!B88:Instances!B88)-MIN(Instances!B88:Instances!B88))</f>
        <v>0</v>
      </c>
      <c r="C88" s="1" cm="1">
        <f t="array" ref="C88">_xlfn.SWITCH($A$2,"average", AVERAGE(Instances!C88:Instances!C88),"median", MEDIAN(Instances!C88:Instances!C88),"min", MIN(Instances!C88:Instances!C88),"max", MAX(Instances!C88:Instances!C88),"diff", MAX(Instances!C88:Instances!C88)-MIN(Instances!C88:Instances!C88))</f>
        <v>0</v>
      </c>
      <c r="D88" s="1" cm="1">
        <f t="array" ref="D88">_xlfn.SWITCH($A$2,"average", AVERAGE(Instances!D88:Instances!D88),"median", MEDIAN(Instances!D88:Instances!D88),"min", MIN(Instances!D88:Instances!D88),"max", MAX(Instances!D88:Instances!D88),"diff", MAX(Instances!D88:Instances!D88)-MIN(Instances!D88:Instances!D88))</f>
        <v>0</v>
      </c>
      <c r="E88" s="1" cm="1">
        <f t="array" ref="E88">_xlfn.SWITCH($A$2,"average", AVERAGE(Instances!E88:Instances!E88),"median", MEDIAN(Instances!E88:Instances!E88),"min", MIN(Instances!E88:Instances!E88),"max", MAX(Instances!E88:Instances!E88),"diff", MAX(Instances!E88:Instances!E88)-MIN(Instances!E88:Instances!E88))</f>
        <v>0</v>
      </c>
      <c r="F88" s="1"/>
      <c r="G88" s="1" cm="1">
        <f t="array" ref="G88">_xlfn.SWITCH($A$2,"average", AVERAGE(Instances!G88:Instances!G88),"median", MEDIAN(Instances!G88:Instances!G88),"min", MIN(Instances!G88:Instances!G88),"max", MAX(Instances!G88:Instances!G88),"diff", MAX(Instances!G88:Instances!G88)-MIN(Instances!G88:Instances!G88))</f>
        <v>0</v>
      </c>
      <c r="H88" s="1" cm="1">
        <f t="array" ref="H88">_xlfn.SWITCH($A$2,"average", AVERAGE(Instances!H88:Instances!H88),"median", MEDIAN(Instances!H88:Instances!H88),"min", MIN(Instances!H88:Instances!H88),"max", MAX(Instances!H88:Instances!H88),"diff", MAX(Instances!H88:Instances!H88)-MIN(Instances!H88:Instances!H88))</f>
        <v>0</v>
      </c>
      <c r="I88" s="1">
        <f>MIN($B88)</f>
        <v>0</v>
      </c>
      <c r="J88" s="1">
        <f>MIN($C88)</f>
        <v>0</v>
      </c>
      <c r="K88" s="1">
        <f>MIN($D88)</f>
        <v>0</v>
      </c>
      <c r="L88" s="1">
        <f>MIN($E88)</f>
        <v>0</v>
      </c>
      <c r="M88" s="1">
        <f>MIN($G88)</f>
        <v>0</v>
      </c>
      <c r="N88" s="1">
        <f>MIN($H88)</f>
        <v>0</v>
      </c>
      <c r="O88" s="1">
        <f>MEDIAN($B88)</f>
        <v>0</v>
      </c>
      <c r="P88" s="1">
        <f>MEDIAN($C88)</f>
        <v>0</v>
      </c>
      <c r="Q88" s="1">
        <f>MEDIAN($D88)</f>
        <v>0</v>
      </c>
      <c r="R88" s="1">
        <f>MEDIAN($E88)</f>
        <v>0</v>
      </c>
      <c r="S88" s="1">
        <f>MEDIAN($G88)</f>
        <v>0</v>
      </c>
      <c r="T88" s="1">
        <f>MEDIAN($H88)</f>
        <v>0</v>
      </c>
      <c r="U88" s="1">
        <f>MAX($B88)</f>
        <v>0</v>
      </c>
      <c r="V88" s="1">
        <f>MAX($C88)</f>
        <v>0</v>
      </c>
      <c r="W88" s="1">
        <f>MAX($D88)</f>
        <v>0</v>
      </c>
      <c r="X88" s="1">
        <f>MAX($E88)</f>
        <v>0</v>
      </c>
      <c r="Y88" s="1">
        <f>MAX($G88)</f>
        <v>0</v>
      </c>
      <c r="Z88" s="1">
        <f>MAX($H88)</f>
        <v>0</v>
      </c>
    </row>
    <row r="89" spans="1:26">
      <c r="A89" s="1" t="s">
        <v>86</v>
      </c>
      <c r="B89" s="1" cm="1">
        <f t="array" ref="B89">_xlfn.SWITCH($A$2,"average", AVERAGE(Instances!B89:Instances!B89),"median", MEDIAN(Instances!B89:Instances!B89),"min", MIN(Instances!B89:Instances!B89),"max", MAX(Instances!B89:Instances!B89),"diff", MAX(Instances!B89:Instances!B89)-MIN(Instances!B89:Instances!B89))</f>
        <v>0</v>
      </c>
      <c r="C89" s="1" cm="1">
        <f t="array" ref="C89">_xlfn.SWITCH($A$2,"average", AVERAGE(Instances!C89:Instances!C89),"median", MEDIAN(Instances!C89:Instances!C89),"min", MIN(Instances!C89:Instances!C89),"max", MAX(Instances!C89:Instances!C89),"diff", MAX(Instances!C89:Instances!C89)-MIN(Instances!C89:Instances!C89))</f>
        <v>0</v>
      </c>
      <c r="D89" s="1" cm="1">
        <f t="array" ref="D89">_xlfn.SWITCH($A$2,"average", AVERAGE(Instances!D89:Instances!D89),"median", MEDIAN(Instances!D89:Instances!D89),"min", MIN(Instances!D89:Instances!D89),"max", MAX(Instances!D89:Instances!D89),"diff", MAX(Instances!D89:Instances!D89)-MIN(Instances!D89:Instances!D89))</f>
        <v>0</v>
      </c>
      <c r="E89" s="1" cm="1">
        <f t="array" ref="E89">_xlfn.SWITCH($A$2,"average", AVERAGE(Instances!E89:Instances!E89),"median", MEDIAN(Instances!E89:Instances!E89),"min", MIN(Instances!E89:Instances!E89),"max", MAX(Instances!E89:Instances!E89),"diff", MAX(Instances!E89:Instances!E89)-MIN(Instances!E89:Instances!E89))</f>
        <v>0</v>
      </c>
      <c r="F89" s="1"/>
      <c r="G89" s="1" cm="1">
        <f t="array" ref="G89">_xlfn.SWITCH($A$2,"average", AVERAGE(Instances!G89:Instances!G89),"median", MEDIAN(Instances!G89:Instances!G89),"min", MIN(Instances!G89:Instances!G89),"max", MAX(Instances!G89:Instances!G89),"diff", MAX(Instances!G89:Instances!G89)-MIN(Instances!G89:Instances!G89))</f>
        <v>0</v>
      </c>
      <c r="H89" s="1" cm="1">
        <f t="array" ref="H89">_xlfn.SWITCH($A$2,"average", AVERAGE(Instances!H89:Instances!H89),"median", MEDIAN(Instances!H89:Instances!H89),"min", MIN(Instances!H89:Instances!H89),"max", MAX(Instances!H89:Instances!H89),"diff", MAX(Instances!H89:Instances!H89)-MIN(Instances!H89:Instances!H89))</f>
        <v>0</v>
      </c>
      <c r="I89" s="1">
        <f>MIN($B89)</f>
        <v>0</v>
      </c>
      <c r="J89" s="1">
        <f>MIN($C89)</f>
        <v>0</v>
      </c>
      <c r="K89" s="1">
        <f>MIN($D89)</f>
        <v>0</v>
      </c>
      <c r="L89" s="1">
        <f>MIN($E89)</f>
        <v>0</v>
      </c>
      <c r="M89" s="1">
        <f>MIN($G89)</f>
        <v>0</v>
      </c>
      <c r="N89" s="1">
        <f>MIN($H89)</f>
        <v>0</v>
      </c>
      <c r="O89" s="1">
        <f>MEDIAN($B89)</f>
        <v>0</v>
      </c>
      <c r="P89" s="1">
        <f>MEDIAN($C89)</f>
        <v>0</v>
      </c>
      <c r="Q89" s="1">
        <f>MEDIAN($D89)</f>
        <v>0</v>
      </c>
      <c r="R89" s="1">
        <f>MEDIAN($E89)</f>
        <v>0</v>
      </c>
      <c r="S89" s="1">
        <f>MEDIAN($G89)</f>
        <v>0</v>
      </c>
      <c r="T89" s="1">
        <f>MEDIAN($H89)</f>
        <v>0</v>
      </c>
      <c r="U89" s="1">
        <f>MAX($B89)</f>
        <v>0</v>
      </c>
      <c r="V89" s="1">
        <f>MAX($C89)</f>
        <v>0</v>
      </c>
      <c r="W89" s="1">
        <f>MAX($D89)</f>
        <v>0</v>
      </c>
      <c r="X89" s="1">
        <f>MAX($E89)</f>
        <v>0</v>
      </c>
      <c r="Y89" s="1">
        <f>MAX($G89)</f>
        <v>0</v>
      </c>
      <c r="Z89" s="1">
        <f>MAX($H89)</f>
        <v>0</v>
      </c>
    </row>
    <row r="90" spans="1:26">
      <c r="A90" s="1" t="s">
        <v>87</v>
      </c>
      <c r="B90" s="1" cm="1">
        <f t="array" ref="B90">_xlfn.SWITCH($A$2,"average", AVERAGE(Instances!B90:Instances!B90),"median", MEDIAN(Instances!B90:Instances!B90),"min", MIN(Instances!B90:Instances!B90),"max", MAX(Instances!B90:Instances!B90),"diff", MAX(Instances!B90:Instances!B90)-MIN(Instances!B90:Instances!B90))</f>
        <v>0</v>
      </c>
      <c r="C90" s="1" cm="1">
        <f t="array" ref="C90">_xlfn.SWITCH($A$2,"average", AVERAGE(Instances!C90:Instances!C90),"median", MEDIAN(Instances!C90:Instances!C90),"min", MIN(Instances!C90:Instances!C90),"max", MAX(Instances!C90:Instances!C90),"diff", MAX(Instances!C90:Instances!C90)-MIN(Instances!C90:Instances!C90))</f>
        <v>0</v>
      </c>
      <c r="D90" s="1" cm="1">
        <f t="array" ref="D90">_xlfn.SWITCH($A$2,"average", AVERAGE(Instances!D90:Instances!D90),"median", MEDIAN(Instances!D90:Instances!D90),"min", MIN(Instances!D90:Instances!D90),"max", MAX(Instances!D90:Instances!D90),"diff", MAX(Instances!D90:Instances!D90)-MIN(Instances!D90:Instances!D90))</f>
        <v>0</v>
      </c>
      <c r="E90" s="1" cm="1">
        <f t="array" ref="E90">_xlfn.SWITCH($A$2,"average", AVERAGE(Instances!E90:Instances!E90),"median", MEDIAN(Instances!E90:Instances!E90),"min", MIN(Instances!E90:Instances!E90),"max", MAX(Instances!E90:Instances!E90),"diff", MAX(Instances!E90:Instances!E90)-MIN(Instances!E90:Instances!E90))</f>
        <v>0</v>
      </c>
      <c r="F90" s="1"/>
      <c r="G90" s="1" cm="1">
        <f t="array" ref="G90">_xlfn.SWITCH($A$2,"average", AVERAGE(Instances!G90:Instances!G90),"median", MEDIAN(Instances!G90:Instances!G90),"min", MIN(Instances!G90:Instances!G90),"max", MAX(Instances!G90:Instances!G90),"diff", MAX(Instances!G90:Instances!G90)-MIN(Instances!G90:Instances!G90))</f>
        <v>0</v>
      </c>
      <c r="H90" s="1" cm="1">
        <f t="array" ref="H90">_xlfn.SWITCH($A$2,"average", AVERAGE(Instances!H90:Instances!H90),"median", MEDIAN(Instances!H90:Instances!H90),"min", MIN(Instances!H90:Instances!H90),"max", MAX(Instances!H90:Instances!H90),"diff", MAX(Instances!H90:Instances!H90)-MIN(Instances!H90:Instances!H90))</f>
        <v>0</v>
      </c>
      <c r="I90" s="1">
        <f>MIN($B90)</f>
        <v>0</v>
      </c>
      <c r="J90" s="1">
        <f>MIN($C90)</f>
        <v>0</v>
      </c>
      <c r="K90" s="1">
        <f>MIN($D90)</f>
        <v>0</v>
      </c>
      <c r="L90" s="1">
        <f>MIN($E90)</f>
        <v>0</v>
      </c>
      <c r="M90" s="1">
        <f>MIN($G90)</f>
        <v>0</v>
      </c>
      <c r="N90" s="1">
        <f>MIN($H90)</f>
        <v>0</v>
      </c>
      <c r="O90" s="1">
        <f>MEDIAN($B90)</f>
        <v>0</v>
      </c>
      <c r="P90" s="1">
        <f>MEDIAN($C90)</f>
        <v>0</v>
      </c>
      <c r="Q90" s="1">
        <f>MEDIAN($D90)</f>
        <v>0</v>
      </c>
      <c r="R90" s="1">
        <f>MEDIAN($E90)</f>
        <v>0</v>
      </c>
      <c r="S90" s="1">
        <f>MEDIAN($G90)</f>
        <v>0</v>
      </c>
      <c r="T90" s="1">
        <f>MEDIAN($H90)</f>
        <v>0</v>
      </c>
      <c r="U90" s="1">
        <f>MAX($B90)</f>
        <v>0</v>
      </c>
      <c r="V90" s="1">
        <f>MAX($C90)</f>
        <v>0</v>
      </c>
      <c r="W90" s="1">
        <f>MAX($D90)</f>
        <v>0</v>
      </c>
      <c r="X90" s="1">
        <f>MAX($E90)</f>
        <v>0</v>
      </c>
      <c r="Y90" s="1">
        <f>MAX($G90)</f>
        <v>0</v>
      </c>
      <c r="Z90" s="1">
        <f>MAX($H90)</f>
        <v>0</v>
      </c>
    </row>
    <row r="91" spans="1:26">
      <c r="A91" s="1" t="s">
        <v>88</v>
      </c>
      <c r="B91" s="1" cm="1">
        <f t="array" ref="B91">_xlfn.SWITCH($A$2,"average", AVERAGE(Instances!B91:Instances!B91),"median", MEDIAN(Instances!B91:Instances!B91),"min", MIN(Instances!B91:Instances!B91),"max", MAX(Instances!B91:Instances!B91),"diff", MAX(Instances!B91:Instances!B91)-MIN(Instances!B91:Instances!B91))</f>
        <v>0</v>
      </c>
      <c r="C91" s="1" cm="1">
        <f t="array" ref="C91">_xlfn.SWITCH($A$2,"average", AVERAGE(Instances!C91:Instances!C91),"median", MEDIAN(Instances!C91:Instances!C91),"min", MIN(Instances!C91:Instances!C91),"max", MAX(Instances!C91:Instances!C91),"diff", MAX(Instances!C91:Instances!C91)-MIN(Instances!C91:Instances!C91))</f>
        <v>0</v>
      </c>
      <c r="D91" s="1" cm="1">
        <f t="array" ref="D91">_xlfn.SWITCH($A$2,"average", AVERAGE(Instances!D91:Instances!D91),"median", MEDIAN(Instances!D91:Instances!D91),"min", MIN(Instances!D91:Instances!D91),"max", MAX(Instances!D91:Instances!D91),"diff", MAX(Instances!D91:Instances!D91)-MIN(Instances!D91:Instances!D91))</f>
        <v>0</v>
      </c>
      <c r="E91" s="1" cm="1">
        <f t="array" ref="E91">_xlfn.SWITCH($A$2,"average", AVERAGE(Instances!E91:Instances!E91),"median", MEDIAN(Instances!E91:Instances!E91),"min", MIN(Instances!E91:Instances!E91),"max", MAX(Instances!E91:Instances!E91),"diff", MAX(Instances!E91:Instances!E91)-MIN(Instances!E91:Instances!E91))</f>
        <v>0</v>
      </c>
      <c r="F91" s="1"/>
      <c r="G91" s="1" cm="1">
        <f t="array" ref="G91">_xlfn.SWITCH($A$2,"average", AVERAGE(Instances!G91:Instances!G91),"median", MEDIAN(Instances!G91:Instances!G91),"min", MIN(Instances!G91:Instances!G91),"max", MAX(Instances!G91:Instances!G91),"diff", MAX(Instances!G91:Instances!G91)-MIN(Instances!G91:Instances!G91))</f>
        <v>0</v>
      </c>
      <c r="H91" s="1" cm="1">
        <f t="array" ref="H91">_xlfn.SWITCH($A$2,"average", AVERAGE(Instances!H91:Instances!H91),"median", MEDIAN(Instances!H91:Instances!H91),"min", MIN(Instances!H91:Instances!H91),"max", MAX(Instances!H91:Instances!H91),"diff", MAX(Instances!H91:Instances!H91)-MIN(Instances!H91:Instances!H91))</f>
        <v>0</v>
      </c>
      <c r="I91" s="1">
        <f>MIN($B91)</f>
        <v>0</v>
      </c>
      <c r="J91" s="1">
        <f>MIN($C91)</f>
        <v>0</v>
      </c>
      <c r="K91" s="1">
        <f>MIN($D91)</f>
        <v>0</v>
      </c>
      <c r="L91" s="1">
        <f>MIN($E91)</f>
        <v>0</v>
      </c>
      <c r="M91" s="1">
        <f>MIN($G91)</f>
        <v>0</v>
      </c>
      <c r="N91" s="1">
        <f>MIN($H91)</f>
        <v>0</v>
      </c>
      <c r="O91" s="1">
        <f>MEDIAN($B91)</f>
        <v>0</v>
      </c>
      <c r="P91" s="1">
        <f>MEDIAN($C91)</f>
        <v>0</v>
      </c>
      <c r="Q91" s="1">
        <f>MEDIAN($D91)</f>
        <v>0</v>
      </c>
      <c r="R91" s="1">
        <f>MEDIAN($E91)</f>
        <v>0</v>
      </c>
      <c r="S91" s="1">
        <f>MEDIAN($G91)</f>
        <v>0</v>
      </c>
      <c r="T91" s="1">
        <f>MEDIAN($H91)</f>
        <v>0</v>
      </c>
      <c r="U91" s="1">
        <f>MAX($B91)</f>
        <v>0</v>
      </c>
      <c r="V91" s="1">
        <f>MAX($C91)</f>
        <v>0</v>
      </c>
      <c r="W91" s="1">
        <f>MAX($D91)</f>
        <v>0</v>
      </c>
      <c r="X91" s="1">
        <f>MAX($E91)</f>
        <v>0</v>
      </c>
      <c r="Y91" s="1">
        <f>MAX($G91)</f>
        <v>0</v>
      </c>
      <c r="Z91" s="1">
        <f>MAX($H91)</f>
        <v>0</v>
      </c>
    </row>
    <row r="92" spans="1:26">
      <c r="A92" s="1" t="s">
        <v>89</v>
      </c>
      <c r="B92" s="1" cm="1">
        <f t="array" ref="B92">_xlfn.SWITCH($A$2,"average", AVERAGE(Instances!B92:Instances!B92),"median", MEDIAN(Instances!B92:Instances!B92),"min", MIN(Instances!B92:Instances!B92),"max", MAX(Instances!B92:Instances!B92),"diff", MAX(Instances!B92:Instances!B92)-MIN(Instances!B92:Instances!B92))</f>
        <v>0</v>
      </c>
      <c r="C92" s="1" cm="1">
        <f t="array" ref="C92">_xlfn.SWITCH($A$2,"average", AVERAGE(Instances!C92:Instances!C92),"median", MEDIAN(Instances!C92:Instances!C92),"min", MIN(Instances!C92:Instances!C92),"max", MAX(Instances!C92:Instances!C92),"diff", MAX(Instances!C92:Instances!C92)-MIN(Instances!C92:Instances!C92))</f>
        <v>0</v>
      </c>
      <c r="D92" s="1" cm="1">
        <f t="array" ref="D92">_xlfn.SWITCH($A$2,"average", AVERAGE(Instances!D92:Instances!D92),"median", MEDIAN(Instances!D92:Instances!D92),"min", MIN(Instances!D92:Instances!D92),"max", MAX(Instances!D92:Instances!D92),"diff", MAX(Instances!D92:Instances!D92)-MIN(Instances!D92:Instances!D92))</f>
        <v>0</v>
      </c>
      <c r="E92" s="1" cm="1">
        <f t="array" ref="E92">_xlfn.SWITCH($A$2,"average", AVERAGE(Instances!E92:Instances!E92),"median", MEDIAN(Instances!E92:Instances!E92),"min", MIN(Instances!E92:Instances!E92),"max", MAX(Instances!E92:Instances!E92),"diff", MAX(Instances!E92:Instances!E92)-MIN(Instances!E92:Instances!E92))</f>
        <v>0</v>
      </c>
      <c r="F92" s="1"/>
      <c r="G92" s="1" cm="1">
        <f t="array" ref="G92">_xlfn.SWITCH($A$2,"average", AVERAGE(Instances!G92:Instances!G92),"median", MEDIAN(Instances!G92:Instances!G92),"min", MIN(Instances!G92:Instances!G92),"max", MAX(Instances!G92:Instances!G92),"diff", MAX(Instances!G92:Instances!G92)-MIN(Instances!G92:Instances!G92))</f>
        <v>0</v>
      </c>
      <c r="H92" s="1" cm="1">
        <f t="array" ref="H92">_xlfn.SWITCH($A$2,"average", AVERAGE(Instances!H92:Instances!H92),"median", MEDIAN(Instances!H92:Instances!H92),"min", MIN(Instances!H92:Instances!H92),"max", MAX(Instances!H92:Instances!H92),"diff", MAX(Instances!H92:Instances!H92)-MIN(Instances!H92:Instances!H92))</f>
        <v>0</v>
      </c>
      <c r="I92" s="1">
        <f>MIN($B92)</f>
        <v>0</v>
      </c>
      <c r="J92" s="1">
        <f>MIN($C92)</f>
        <v>0</v>
      </c>
      <c r="K92" s="1">
        <f>MIN($D92)</f>
        <v>0</v>
      </c>
      <c r="L92" s="1">
        <f>MIN($E92)</f>
        <v>0</v>
      </c>
      <c r="M92" s="1">
        <f>MIN($G92)</f>
        <v>0</v>
      </c>
      <c r="N92" s="1">
        <f>MIN($H92)</f>
        <v>0</v>
      </c>
      <c r="O92" s="1">
        <f>MEDIAN($B92)</f>
        <v>0</v>
      </c>
      <c r="P92" s="1">
        <f>MEDIAN($C92)</f>
        <v>0</v>
      </c>
      <c r="Q92" s="1">
        <f>MEDIAN($D92)</f>
        <v>0</v>
      </c>
      <c r="R92" s="1">
        <f>MEDIAN($E92)</f>
        <v>0</v>
      </c>
      <c r="S92" s="1">
        <f>MEDIAN($G92)</f>
        <v>0</v>
      </c>
      <c r="T92" s="1">
        <f>MEDIAN($H92)</f>
        <v>0</v>
      </c>
      <c r="U92" s="1">
        <f>MAX($B92)</f>
        <v>0</v>
      </c>
      <c r="V92" s="1">
        <f>MAX($C92)</f>
        <v>0</v>
      </c>
      <c r="W92" s="1">
        <f>MAX($D92)</f>
        <v>0</v>
      </c>
      <c r="X92" s="1">
        <f>MAX($E92)</f>
        <v>0</v>
      </c>
      <c r="Y92" s="1">
        <f>MAX($G92)</f>
        <v>0</v>
      </c>
      <c r="Z92" s="1">
        <f>MAX($H92)</f>
        <v>0</v>
      </c>
    </row>
    <row r="93" spans="1:26">
      <c r="A93" s="1" t="s">
        <v>90</v>
      </c>
      <c r="B93" s="1" cm="1">
        <f t="array" ref="B93">_xlfn.SWITCH($A$2,"average", AVERAGE(Instances!B93:Instances!B93),"median", MEDIAN(Instances!B93:Instances!B93),"min", MIN(Instances!B93:Instances!B93),"max", MAX(Instances!B93:Instances!B93),"diff", MAX(Instances!B93:Instances!B93)-MIN(Instances!B93:Instances!B93))</f>
        <v>0</v>
      </c>
      <c r="C93" s="1" cm="1">
        <f t="array" ref="C93">_xlfn.SWITCH($A$2,"average", AVERAGE(Instances!C93:Instances!C93),"median", MEDIAN(Instances!C93:Instances!C93),"min", MIN(Instances!C93:Instances!C93),"max", MAX(Instances!C93:Instances!C93),"diff", MAX(Instances!C93:Instances!C93)-MIN(Instances!C93:Instances!C93))</f>
        <v>0</v>
      </c>
      <c r="D93" s="1" cm="1">
        <f t="array" ref="D93">_xlfn.SWITCH($A$2,"average", AVERAGE(Instances!D93:Instances!D93),"median", MEDIAN(Instances!D93:Instances!D93),"min", MIN(Instances!D93:Instances!D93),"max", MAX(Instances!D93:Instances!D93),"diff", MAX(Instances!D93:Instances!D93)-MIN(Instances!D93:Instances!D93))</f>
        <v>0</v>
      </c>
      <c r="E93" s="1" cm="1">
        <f t="array" ref="E93">_xlfn.SWITCH($A$2,"average", AVERAGE(Instances!E93:Instances!E93),"median", MEDIAN(Instances!E93:Instances!E93),"min", MIN(Instances!E93:Instances!E93),"max", MAX(Instances!E93:Instances!E93),"diff", MAX(Instances!E93:Instances!E93)-MIN(Instances!E93:Instances!E93))</f>
        <v>0</v>
      </c>
      <c r="F93" s="1"/>
      <c r="G93" s="1" cm="1">
        <f t="array" ref="G93">_xlfn.SWITCH($A$2,"average", AVERAGE(Instances!G93:Instances!G93),"median", MEDIAN(Instances!G93:Instances!G93),"min", MIN(Instances!G93:Instances!G93),"max", MAX(Instances!G93:Instances!G93),"diff", MAX(Instances!G93:Instances!G93)-MIN(Instances!G93:Instances!G93))</f>
        <v>0</v>
      </c>
      <c r="H93" s="1" cm="1">
        <f t="array" ref="H93">_xlfn.SWITCH($A$2,"average", AVERAGE(Instances!H93:Instances!H93),"median", MEDIAN(Instances!H93:Instances!H93),"min", MIN(Instances!H93:Instances!H93),"max", MAX(Instances!H93:Instances!H93),"diff", MAX(Instances!H93:Instances!H93)-MIN(Instances!H93:Instances!H93))</f>
        <v>0</v>
      </c>
      <c r="I93" s="1">
        <f>MIN($B93)</f>
        <v>0</v>
      </c>
      <c r="J93" s="1">
        <f>MIN($C93)</f>
        <v>0</v>
      </c>
      <c r="K93" s="1">
        <f>MIN($D93)</f>
        <v>0</v>
      </c>
      <c r="L93" s="1">
        <f>MIN($E93)</f>
        <v>0</v>
      </c>
      <c r="M93" s="1">
        <f>MIN($G93)</f>
        <v>0</v>
      </c>
      <c r="N93" s="1">
        <f>MIN($H93)</f>
        <v>0</v>
      </c>
      <c r="O93" s="1">
        <f>MEDIAN($B93)</f>
        <v>0</v>
      </c>
      <c r="P93" s="1">
        <f>MEDIAN($C93)</f>
        <v>0</v>
      </c>
      <c r="Q93" s="1">
        <f>MEDIAN($D93)</f>
        <v>0</v>
      </c>
      <c r="R93" s="1">
        <f>MEDIAN($E93)</f>
        <v>0</v>
      </c>
      <c r="S93" s="1">
        <f>MEDIAN($G93)</f>
        <v>0</v>
      </c>
      <c r="T93" s="1">
        <f>MEDIAN($H93)</f>
        <v>0</v>
      </c>
      <c r="U93" s="1">
        <f>MAX($B93)</f>
        <v>0</v>
      </c>
      <c r="V93" s="1">
        <f>MAX($C93)</f>
        <v>0</v>
      </c>
      <c r="W93" s="1">
        <f>MAX($D93)</f>
        <v>0</v>
      </c>
      <c r="X93" s="1">
        <f>MAX($E93)</f>
        <v>0</v>
      </c>
      <c r="Y93" s="1">
        <f>MAX($G93)</f>
        <v>0</v>
      </c>
      <c r="Z93" s="1">
        <f>MAX($H93)</f>
        <v>0</v>
      </c>
    </row>
    <row r="94" spans="1:26">
      <c r="A94" s="1" t="s">
        <v>91</v>
      </c>
      <c r="B94" s="1" cm="1">
        <f t="array" ref="B94">_xlfn.SWITCH($A$2,"average", AVERAGE(Instances!B94:Instances!B94),"median", MEDIAN(Instances!B94:Instances!B94),"min", MIN(Instances!B94:Instances!B94),"max", MAX(Instances!B94:Instances!B94),"diff", MAX(Instances!B94:Instances!B94)-MIN(Instances!B94:Instances!B94))</f>
        <v>0</v>
      </c>
      <c r="C94" s="1" cm="1">
        <f t="array" ref="C94">_xlfn.SWITCH($A$2,"average", AVERAGE(Instances!C94:Instances!C94),"median", MEDIAN(Instances!C94:Instances!C94),"min", MIN(Instances!C94:Instances!C94),"max", MAX(Instances!C94:Instances!C94),"diff", MAX(Instances!C94:Instances!C94)-MIN(Instances!C94:Instances!C94))</f>
        <v>0</v>
      </c>
      <c r="D94" s="1" cm="1">
        <f t="array" ref="D94">_xlfn.SWITCH($A$2,"average", AVERAGE(Instances!D94:Instances!D94),"median", MEDIAN(Instances!D94:Instances!D94),"min", MIN(Instances!D94:Instances!D94),"max", MAX(Instances!D94:Instances!D94),"diff", MAX(Instances!D94:Instances!D94)-MIN(Instances!D94:Instances!D94))</f>
        <v>0</v>
      </c>
      <c r="E94" s="1" cm="1">
        <f t="array" ref="E94">_xlfn.SWITCH($A$2,"average", AVERAGE(Instances!E94:Instances!E94),"median", MEDIAN(Instances!E94:Instances!E94),"min", MIN(Instances!E94:Instances!E94),"max", MAX(Instances!E94:Instances!E94),"diff", MAX(Instances!E94:Instances!E94)-MIN(Instances!E94:Instances!E94))</f>
        <v>0</v>
      </c>
      <c r="F94" s="1"/>
      <c r="G94" s="1" cm="1">
        <f t="array" ref="G94">_xlfn.SWITCH($A$2,"average", AVERAGE(Instances!G94:Instances!G94),"median", MEDIAN(Instances!G94:Instances!G94),"min", MIN(Instances!G94:Instances!G94),"max", MAX(Instances!G94:Instances!G94),"diff", MAX(Instances!G94:Instances!G94)-MIN(Instances!G94:Instances!G94))</f>
        <v>0</v>
      </c>
      <c r="H94" s="1" cm="1">
        <f t="array" ref="H94">_xlfn.SWITCH($A$2,"average", AVERAGE(Instances!H94:Instances!H94),"median", MEDIAN(Instances!H94:Instances!H94),"min", MIN(Instances!H94:Instances!H94),"max", MAX(Instances!H94:Instances!H94),"diff", MAX(Instances!H94:Instances!H94)-MIN(Instances!H94:Instances!H94))</f>
        <v>0</v>
      </c>
      <c r="I94" s="1">
        <f>MIN($B94)</f>
        <v>0</v>
      </c>
      <c r="J94" s="1">
        <f>MIN($C94)</f>
        <v>0</v>
      </c>
      <c r="K94" s="1">
        <f>MIN($D94)</f>
        <v>0</v>
      </c>
      <c r="L94" s="1">
        <f>MIN($E94)</f>
        <v>0</v>
      </c>
      <c r="M94" s="1">
        <f>MIN($G94)</f>
        <v>0</v>
      </c>
      <c r="N94" s="1">
        <f>MIN($H94)</f>
        <v>0</v>
      </c>
      <c r="O94" s="1">
        <f>MEDIAN($B94)</f>
        <v>0</v>
      </c>
      <c r="P94" s="1">
        <f>MEDIAN($C94)</f>
        <v>0</v>
      </c>
      <c r="Q94" s="1">
        <f>MEDIAN($D94)</f>
        <v>0</v>
      </c>
      <c r="R94" s="1">
        <f>MEDIAN($E94)</f>
        <v>0</v>
      </c>
      <c r="S94" s="1">
        <f>MEDIAN($G94)</f>
        <v>0</v>
      </c>
      <c r="T94" s="1">
        <f>MEDIAN($H94)</f>
        <v>0</v>
      </c>
      <c r="U94" s="1">
        <f>MAX($B94)</f>
        <v>0</v>
      </c>
      <c r="V94" s="1">
        <f>MAX($C94)</f>
        <v>0</v>
      </c>
      <c r="W94" s="1">
        <f>MAX($D94)</f>
        <v>0</v>
      </c>
      <c r="X94" s="1">
        <f>MAX($E94)</f>
        <v>0</v>
      </c>
      <c r="Y94" s="1">
        <f>MAX($G94)</f>
        <v>0</v>
      </c>
      <c r="Z94" s="1">
        <f>MAX($H94)</f>
        <v>0</v>
      </c>
    </row>
    <row r="95" spans="1:26">
      <c r="A95" s="1" t="s">
        <v>92</v>
      </c>
      <c r="B95" s="1" cm="1">
        <f t="array" ref="B95">_xlfn.SWITCH($A$2,"average", AVERAGE(Instances!B95:Instances!B95),"median", MEDIAN(Instances!B95:Instances!B95),"min", MIN(Instances!B95:Instances!B95),"max", MAX(Instances!B95:Instances!B95),"diff", MAX(Instances!B95:Instances!B95)-MIN(Instances!B95:Instances!B95))</f>
        <v>0</v>
      </c>
      <c r="C95" s="1" cm="1">
        <f t="array" ref="C95">_xlfn.SWITCH($A$2,"average", AVERAGE(Instances!C95:Instances!C95),"median", MEDIAN(Instances!C95:Instances!C95),"min", MIN(Instances!C95:Instances!C95),"max", MAX(Instances!C95:Instances!C95),"diff", MAX(Instances!C95:Instances!C95)-MIN(Instances!C95:Instances!C95))</f>
        <v>0</v>
      </c>
      <c r="D95" s="1" cm="1">
        <f t="array" ref="D95">_xlfn.SWITCH($A$2,"average", AVERAGE(Instances!D95:Instances!D95),"median", MEDIAN(Instances!D95:Instances!D95),"min", MIN(Instances!D95:Instances!D95),"max", MAX(Instances!D95:Instances!D95),"diff", MAX(Instances!D95:Instances!D95)-MIN(Instances!D95:Instances!D95))</f>
        <v>0</v>
      </c>
      <c r="E95" s="1" cm="1">
        <f t="array" ref="E95">_xlfn.SWITCH($A$2,"average", AVERAGE(Instances!E95:Instances!E95),"median", MEDIAN(Instances!E95:Instances!E95),"min", MIN(Instances!E95:Instances!E95),"max", MAX(Instances!E95:Instances!E95),"diff", MAX(Instances!E95:Instances!E95)-MIN(Instances!E95:Instances!E95))</f>
        <v>0</v>
      </c>
      <c r="F95" s="1"/>
      <c r="G95" s="1" cm="1">
        <f t="array" ref="G95">_xlfn.SWITCH($A$2,"average", AVERAGE(Instances!G95:Instances!G95),"median", MEDIAN(Instances!G95:Instances!G95),"min", MIN(Instances!G95:Instances!G95),"max", MAX(Instances!G95:Instances!G95),"diff", MAX(Instances!G95:Instances!G95)-MIN(Instances!G95:Instances!G95))</f>
        <v>0</v>
      </c>
      <c r="H95" s="1" cm="1">
        <f t="array" ref="H95">_xlfn.SWITCH($A$2,"average", AVERAGE(Instances!H95:Instances!H95),"median", MEDIAN(Instances!H95:Instances!H95),"min", MIN(Instances!H95:Instances!H95),"max", MAX(Instances!H95:Instances!H95),"diff", MAX(Instances!H95:Instances!H95)-MIN(Instances!H95:Instances!H95))</f>
        <v>0</v>
      </c>
      <c r="I95" s="1">
        <f>MIN($B95)</f>
        <v>0</v>
      </c>
      <c r="J95" s="1">
        <f>MIN($C95)</f>
        <v>0</v>
      </c>
      <c r="K95" s="1">
        <f>MIN($D95)</f>
        <v>0</v>
      </c>
      <c r="L95" s="1">
        <f>MIN($E95)</f>
        <v>0</v>
      </c>
      <c r="M95" s="1">
        <f>MIN($G95)</f>
        <v>0</v>
      </c>
      <c r="N95" s="1">
        <f>MIN($H95)</f>
        <v>0</v>
      </c>
      <c r="O95" s="1">
        <f>MEDIAN($B95)</f>
        <v>0</v>
      </c>
      <c r="P95" s="1">
        <f>MEDIAN($C95)</f>
        <v>0</v>
      </c>
      <c r="Q95" s="1">
        <f>MEDIAN($D95)</f>
        <v>0</v>
      </c>
      <c r="R95" s="1">
        <f>MEDIAN($E95)</f>
        <v>0</v>
      </c>
      <c r="S95" s="1">
        <f>MEDIAN($G95)</f>
        <v>0</v>
      </c>
      <c r="T95" s="1">
        <f>MEDIAN($H95)</f>
        <v>0</v>
      </c>
      <c r="U95" s="1">
        <f>MAX($B95)</f>
        <v>0</v>
      </c>
      <c r="V95" s="1">
        <f>MAX($C95)</f>
        <v>0</v>
      </c>
      <c r="W95" s="1">
        <f>MAX($D95)</f>
        <v>0</v>
      </c>
      <c r="X95" s="1">
        <f>MAX($E95)</f>
        <v>0</v>
      </c>
      <c r="Y95" s="1">
        <f>MAX($G95)</f>
        <v>0</v>
      </c>
      <c r="Z95" s="1">
        <f>MAX($H95)</f>
        <v>0</v>
      </c>
    </row>
    <row r="96" spans="1:26">
      <c r="A96" s="1" t="s">
        <v>93</v>
      </c>
      <c r="B96" s="1" cm="1">
        <f t="array" ref="B96">_xlfn.SWITCH($A$2,"average", AVERAGE(Instances!B96:Instances!B96),"median", MEDIAN(Instances!B96:Instances!B96),"min", MIN(Instances!B96:Instances!B96),"max", MAX(Instances!B96:Instances!B96),"diff", MAX(Instances!B96:Instances!B96)-MIN(Instances!B96:Instances!B96))</f>
        <v>0</v>
      </c>
      <c r="C96" s="1" cm="1">
        <f t="array" ref="C96">_xlfn.SWITCH($A$2,"average", AVERAGE(Instances!C96:Instances!C96),"median", MEDIAN(Instances!C96:Instances!C96),"min", MIN(Instances!C96:Instances!C96),"max", MAX(Instances!C96:Instances!C96),"diff", MAX(Instances!C96:Instances!C96)-MIN(Instances!C96:Instances!C96))</f>
        <v>0</v>
      </c>
      <c r="D96" s="1" cm="1">
        <f t="array" ref="D96">_xlfn.SWITCH($A$2,"average", AVERAGE(Instances!D96:Instances!D96),"median", MEDIAN(Instances!D96:Instances!D96),"min", MIN(Instances!D96:Instances!D96),"max", MAX(Instances!D96:Instances!D96),"diff", MAX(Instances!D96:Instances!D96)-MIN(Instances!D96:Instances!D96))</f>
        <v>0</v>
      </c>
      <c r="E96" s="1" cm="1">
        <f t="array" ref="E96">_xlfn.SWITCH($A$2,"average", AVERAGE(Instances!E96:Instances!E96),"median", MEDIAN(Instances!E96:Instances!E96),"min", MIN(Instances!E96:Instances!E96),"max", MAX(Instances!E96:Instances!E96),"diff", MAX(Instances!E96:Instances!E96)-MIN(Instances!E96:Instances!E96))</f>
        <v>0</v>
      </c>
      <c r="F96" s="1"/>
      <c r="G96" s="1" cm="1">
        <f t="array" ref="G96">_xlfn.SWITCH($A$2,"average", AVERAGE(Instances!G96:Instances!G96),"median", MEDIAN(Instances!G96:Instances!G96),"min", MIN(Instances!G96:Instances!G96),"max", MAX(Instances!G96:Instances!G96),"diff", MAX(Instances!G96:Instances!G96)-MIN(Instances!G96:Instances!G96))</f>
        <v>0</v>
      </c>
      <c r="H96" s="1" cm="1">
        <f t="array" ref="H96">_xlfn.SWITCH($A$2,"average", AVERAGE(Instances!H96:Instances!H96),"median", MEDIAN(Instances!H96:Instances!H96),"min", MIN(Instances!H96:Instances!H96),"max", MAX(Instances!H96:Instances!H96),"diff", MAX(Instances!H96:Instances!H96)-MIN(Instances!H96:Instances!H96))</f>
        <v>0</v>
      </c>
      <c r="I96" s="1">
        <f>MIN($B96)</f>
        <v>0</v>
      </c>
      <c r="J96" s="1">
        <f>MIN($C96)</f>
        <v>0</v>
      </c>
      <c r="K96" s="1">
        <f>MIN($D96)</f>
        <v>0</v>
      </c>
      <c r="L96" s="1">
        <f>MIN($E96)</f>
        <v>0</v>
      </c>
      <c r="M96" s="1">
        <f>MIN($G96)</f>
        <v>0</v>
      </c>
      <c r="N96" s="1">
        <f>MIN($H96)</f>
        <v>0</v>
      </c>
      <c r="O96" s="1">
        <f>MEDIAN($B96)</f>
        <v>0</v>
      </c>
      <c r="P96" s="1">
        <f>MEDIAN($C96)</f>
        <v>0</v>
      </c>
      <c r="Q96" s="1">
        <f>MEDIAN($D96)</f>
        <v>0</v>
      </c>
      <c r="R96" s="1">
        <f>MEDIAN($E96)</f>
        <v>0</v>
      </c>
      <c r="S96" s="1">
        <f>MEDIAN($G96)</f>
        <v>0</v>
      </c>
      <c r="T96" s="1">
        <f>MEDIAN($H96)</f>
        <v>0</v>
      </c>
      <c r="U96" s="1">
        <f>MAX($B96)</f>
        <v>0</v>
      </c>
      <c r="V96" s="1">
        <f>MAX($C96)</f>
        <v>0</v>
      </c>
      <c r="W96" s="1">
        <f>MAX($D96)</f>
        <v>0</v>
      </c>
      <c r="X96" s="1">
        <f>MAX($E96)</f>
        <v>0</v>
      </c>
      <c r="Y96" s="1">
        <f>MAX($G96)</f>
        <v>0</v>
      </c>
      <c r="Z96" s="1">
        <f>MAX($H96)</f>
        <v>0</v>
      </c>
    </row>
    <row r="97" spans="1:26">
      <c r="A97" s="1" t="s">
        <v>94</v>
      </c>
      <c r="B97" s="1" cm="1">
        <f t="array" ref="B97">_xlfn.SWITCH($A$2,"average", AVERAGE(Instances!B97:Instances!B97),"median", MEDIAN(Instances!B97:Instances!B97),"min", MIN(Instances!B97:Instances!B97),"max", MAX(Instances!B97:Instances!B97),"diff", MAX(Instances!B97:Instances!B97)-MIN(Instances!B97:Instances!B97))</f>
        <v>0</v>
      </c>
      <c r="C97" s="1" cm="1">
        <f t="array" ref="C97">_xlfn.SWITCH($A$2,"average", AVERAGE(Instances!C97:Instances!C97),"median", MEDIAN(Instances!C97:Instances!C97),"min", MIN(Instances!C97:Instances!C97),"max", MAX(Instances!C97:Instances!C97),"diff", MAX(Instances!C97:Instances!C97)-MIN(Instances!C97:Instances!C97))</f>
        <v>0</v>
      </c>
      <c r="D97" s="1" cm="1">
        <f t="array" ref="D97">_xlfn.SWITCH($A$2,"average", AVERAGE(Instances!D97:Instances!D97),"median", MEDIAN(Instances!D97:Instances!D97),"min", MIN(Instances!D97:Instances!D97),"max", MAX(Instances!D97:Instances!D97),"diff", MAX(Instances!D97:Instances!D97)-MIN(Instances!D97:Instances!D97))</f>
        <v>0</v>
      </c>
      <c r="E97" s="1" cm="1">
        <f t="array" ref="E97">_xlfn.SWITCH($A$2,"average", AVERAGE(Instances!E97:Instances!E97),"median", MEDIAN(Instances!E97:Instances!E97),"min", MIN(Instances!E97:Instances!E97),"max", MAX(Instances!E97:Instances!E97),"diff", MAX(Instances!E97:Instances!E97)-MIN(Instances!E97:Instances!E97))</f>
        <v>0</v>
      </c>
      <c r="F97" s="1"/>
      <c r="G97" s="1" cm="1">
        <f t="array" ref="G97">_xlfn.SWITCH($A$2,"average", AVERAGE(Instances!G97:Instances!G97),"median", MEDIAN(Instances!G97:Instances!G97),"min", MIN(Instances!G97:Instances!G97),"max", MAX(Instances!G97:Instances!G97),"diff", MAX(Instances!G97:Instances!G97)-MIN(Instances!G97:Instances!G97))</f>
        <v>0</v>
      </c>
      <c r="H97" s="1" cm="1">
        <f t="array" ref="H97">_xlfn.SWITCH($A$2,"average", AVERAGE(Instances!H97:Instances!H97),"median", MEDIAN(Instances!H97:Instances!H97),"min", MIN(Instances!H97:Instances!H97),"max", MAX(Instances!H97:Instances!H97),"diff", MAX(Instances!H97:Instances!H97)-MIN(Instances!H97:Instances!H97))</f>
        <v>0</v>
      </c>
      <c r="I97" s="1">
        <f>MIN($B97)</f>
        <v>0</v>
      </c>
      <c r="J97" s="1">
        <f>MIN($C97)</f>
        <v>0</v>
      </c>
      <c r="K97" s="1">
        <f>MIN($D97)</f>
        <v>0</v>
      </c>
      <c r="L97" s="1">
        <f>MIN($E97)</f>
        <v>0</v>
      </c>
      <c r="M97" s="1">
        <f>MIN($G97)</f>
        <v>0</v>
      </c>
      <c r="N97" s="1">
        <f>MIN($H97)</f>
        <v>0</v>
      </c>
      <c r="O97" s="1">
        <f>MEDIAN($B97)</f>
        <v>0</v>
      </c>
      <c r="P97" s="1">
        <f>MEDIAN($C97)</f>
        <v>0</v>
      </c>
      <c r="Q97" s="1">
        <f>MEDIAN($D97)</f>
        <v>0</v>
      </c>
      <c r="R97" s="1">
        <f>MEDIAN($E97)</f>
        <v>0</v>
      </c>
      <c r="S97" s="1">
        <f>MEDIAN($G97)</f>
        <v>0</v>
      </c>
      <c r="T97" s="1">
        <f>MEDIAN($H97)</f>
        <v>0</v>
      </c>
      <c r="U97" s="1">
        <f>MAX($B97)</f>
        <v>0</v>
      </c>
      <c r="V97" s="1">
        <f>MAX($C97)</f>
        <v>0</v>
      </c>
      <c r="W97" s="1">
        <f>MAX($D97)</f>
        <v>0</v>
      </c>
      <c r="X97" s="1">
        <f>MAX($E97)</f>
        <v>0</v>
      </c>
      <c r="Y97" s="1">
        <f>MAX($G97)</f>
        <v>0</v>
      </c>
      <c r="Z97" s="1">
        <f>MAX($H97)</f>
        <v>0</v>
      </c>
    </row>
    <row r="98" spans="1:26">
      <c r="A98" s="1" t="s">
        <v>95</v>
      </c>
      <c r="B98" s="1" cm="1">
        <f t="array" ref="B98">_xlfn.SWITCH($A$2,"average", AVERAGE(Instances!B98:Instances!B98),"median", MEDIAN(Instances!B98:Instances!B98),"min", MIN(Instances!B98:Instances!B98),"max", MAX(Instances!B98:Instances!B98),"diff", MAX(Instances!B98:Instances!B98)-MIN(Instances!B98:Instances!B98))</f>
        <v>0</v>
      </c>
      <c r="C98" s="1" cm="1">
        <f t="array" ref="C98">_xlfn.SWITCH($A$2,"average", AVERAGE(Instances!C98:Instances!C98),"median", MEDIAN(Instances!C98:Instances!C98),"min", MIN(Instances!C98:Instances!C98),"max", MAX(Instances!C98:Instances!C98),"diff", MAX(Instances!C98:Instances!C98)-MIN(Instances!C98:Instances!C98))</f>
        <v>0</v>
      </c>
      <c r="D98" s="1" cm="1">
        <f t="array" ref="D98">_xlfn.SWITCH($A$2,"average", AVERAGE(Instances!D98:Instances!D98),"median", MEDIAN(Instances!D98:Instances!D98),"min", MIN(Instances!D98:Instances!D98),"max", MAX(Instances!D98:Instances!D98),"diff", MAX(Instances!D98:Instances!D98)-MIN(Instances!D98:Instances!D98))</f>
        <v>0</v>
      </c>
      <c r="E98" s="1" cm="1">
        <f t="array" ref="E98">_xlfn.SWITCH($A$2,"average", AVERAGE(Instances!E98:Instances!E98),"median", MEDIAN(Instances!E98:Instances!E98),"min", MIN(Instances!E98:Instances!E98),"max", MAX(Instances!E98:Instances!E98),"diff", MAX(Instances!E98:Instances!E98)-MIN(Instances!E98:Instances!E98))</f>
        <v>0</v>
      </c>
      <c r="F98" s="1"/>
      <c r="G98" s="1" cm="1">
        <f t="array" ref="G98">_xlfn.SWITCH($A$2,"average", AVERAGE(Instances!G98:Instances!G98),"median", MEDIAN(Instances!G98:Instances!G98),"min", MIN(Instances!G98:Instances!G98),"max", MAX(Instances!G98:Instances!G98),"diff", MAX(Instances!G98:Instances!G98)-MIN(Instances!G98:Instances!G98))</f>
        <v>0</v>
      </c>
      <c r="H98" s="1" cm="1">
        <f t="array" ref="H98">_xlfn.SWITCH($A$2,"average", AVERAGE(Instances!H98:Instances!H98),"median", MEDIAN(Instances!H98:Instances!H98),"min", MIN(Instances!H98:Instances!H98),"max", MAX(Instances!H98:Instances!H98),"diff", MAX(Instances!H98:Instances!H98)-MIN(Instances!H98:Instances!H98))</f>
        <v>0</v>
      </c>
      <c r="I98" s="1">
        <f>MIN($B98)</f>
        <v>0</v>
      </c>
      <c r="J98" s="1">
        <f>MIN($C98)</f>
        <v>0</v>
      </c>
      <c r="K98" s="1">
        <f>MIN($D98)</f>
        <v>0</v>
      </c>
      <c r="L98" s="1">
        <f>MIN($E98)</f>
        <v>0</v>
      </c>
      <c r="M98" s="1">
        <f>MIN($G98)</f>
        <v>0</v>
      </c>
      <c r="N98" s="1">
        <f>MIN($H98)</f>
        <v>0</v>
      </c>
      <c r="O98" s="1">
        <f>MEDIAN($B98)</f>
        <v>0</v>
      </c>
      <c r="P98" s="1">
        <f>MEDIAN($C98)</f>
        <v>0</v>
      </c>
      <c r="Q98" s="1">
        <f>MEDIAN($D98)</f>
        <v>0</v>
      </c>
      <c r="R98" s="1">
        <f>MEDIAN($E98)</f>
        <v>0</v>
      </c>
      <c r="S98" s="1">
        <f>MEDIAN($G98)</f>
        <v>0</v>
      </c>
      <c r="T98" s="1">
        <f>MEDIAN($H98)</f>
        <v>0</v>
      </c>
      <c r="U98" s="1">
        <f>MAX($B98)</f>
        <v>0</v>
      </c>
      <c r="V98" s="1">
        <f>MAX($C98)</f>
        <v>0</v>
      </c>
      <c r="W98" s="1">
        <f>MAX($D98)</f>
        <v>0</v>
      </c>
      <c r="X98" s="1">
        <f>MAX($E98)</f>
        <v>0</v>
      </c>
      <c r="Y98" s="1">
        <f>MAX($G98)</f>
        <v>0</v>
      </c>
      <c r="Z98" s="1">
        <f>MAX($H98)</f>
        <v>0</v>
      </c>
    </row>
    <row r="99" spans="1:26">
      <c r="A99" s="1" t="s">
        <v>96</v>
      </c>
      <c r="B99" s="1" cm="1">
        <f t="array" ref="B99">_xlfn.SWITCH($A$2,"average", AVERAGE(Instances!B99:Instances!B99),"median", MEDIAN(Instances!B99:Instances!B99),"min", MIN(Instances!B99:Instances!B99),"max", MAX(Instances!B99:Instances!B99),"diff", MAX(Instances!B99:Instances!B99)-MIN(Instances!B99:Instances!B99))</f>
        <v>0</v>
      </c>
      <c r="C99" s="1" cm="1">
        <f t="array" ref="C99">_xlfn.SWITCH($A$2,"average", AVERAGE(Instances!C99:Instances!C99),"median", MEDIAN(Instances!C99:Instances!C99),"min", MIN(Instances!C99:Instances!C99),"max", MAX(Instances!C99:Instances!C99),"diff", MAX(Instances!C99:Instances!C99)-MIN(Instances!C99:Instances!C99))</f>
        <v>0</v>
      </c>
      <c r="D99" s="1" cm="1">
        <f t="array" ref="D99">_xlfn.SWITCH($A$2,"average", AVERAGE(Instances!D99:Instances!D99),"median", MEDIAN(Instances!D99:Instances!D99),"min", MIN(Instances!D99:Instances!D99),"max", MAX(Instances!D99:Instances!D99),"diff", MAX(Instances!D99:Instances!D99)-MIN(Instances!D99:Instances!D99))</f>
        <v>0</v>
      </c>
      <c r="E99" s="1" cm="1">
        <f t="array" ref="E99">_xlfn.SWITCH($A$2,"average", AVERAGE(Instances!E99:Instances!E99),"median", MEDIAN(Instances!E99:Instances!E99),"min", MIN(Instances!E99:Instances!E99),"max", MAX(Instances!E99:Instances!E99),"diff", MAX(Instances!E99:Instances!E99)-MIN(Instances!E99:Instances!E99))</f>
        <v>0</v>
      </c>
      <c r="F99" s="1"/>
      <c r="G99" s="1" cm="1">
        <f t="array" ref="G99">_xlfn.SWITCH($A$2,"average", AVERAGE(Instances!G99:Instances!G99),"median", MEDIAN(Instances!G99:Instances!G99),"min", MIN(Instances!G99:Instances!G99),"max", MAX(Instances!G99:Instances!G99),"diff", MAX(Instances!G99:Instances!G99)-MIN(Instances!G99:Instances!G99))</f>
        <v>0</v>
      </c>
      <c r="H99" s="1" cm="1">
        <f t="array" ref="H99">_xlfn.SWITCH($A$2,"average", AVERAGE(Instances!H99:Instances!H99),"median", MEDIAN(Instances!H99:Instances!H99),"min", MIN(Instances!H99:Instances!H99),"max", MAX(Instances!H99:Instances!H99),"diff", MAX(Instances!H99:Instances!H99)-MIN(Instances!H99:Instances!H99))</f>
        <v>0</v>
      </c>
      <c r="I99" s="1">
        <f>MIN($B99)</f>
        <v>0</v>
      </c>
      <c r="J99" s="1">
        <f>MIN($C99)</f>
        <v>0</v>
      </c>
      <c r="K99" s="1">
        <f>MIN($D99)</f>
        <v>0</v>
      </c>
      <c r="L99" s="1">
        <f>MIN($E99)</f>
        <v>0</v>
      </c>
      <c r="M99" s="1">
        <f>MIN($G99)</f>
        <v>0</v>
      </c>
      <c r="N99" s="1">
        <f>MIN($H99)</f>
        <v>0</v>
      </c>
      <c r="O99" s="1">
        <f>MEDIAN($B99)</f>
        <v>0</v>
      </c>
      <c r="P99" s="1">
        <f>MEDIAN($C99)</f>
        <v>0</v>
      </c>
      <c r="Q99" s="1">
        <f>MEDIAN($D99)</f>
        <v>0</v>
      </c>
      <c r="R99" s="1">
        <f>MEDIAN($E99)</f>
        <v>0</v>
      </c>
      <c r="S99" s="1">
        <f>MEDIAN($G99)</f>
        <v>0</v>
      </c>
      <c r="T99" s="1">
        <f>MEDIAN($H99)</f>
        <v>0</v>
      </c>
      <c r="U99" s="1">
        <f>MAX($B99)</f>
        <v>0</v>
      </c>
      <c r="V99" s="1">
        <f>MAX($C99)</f>
        <v>0</v>
      </c>
      <c r="W99" s="1">
        <f>MAX($D99)</f>
        <v>0</v>
      </c>
      <c r="X99" s="1">
        <f>MAX($E99)</f>
        <v>0</v>
      </c>
      <c r="Y99" s="1">
        <f>MAX($G99)</f>
        <v>0</v>
      </c>
      <c r="Z99" s="1">
        <f>MAX($H99)</f>
        <v>0</v>
      </c>
    </row>
    <row r="100" spans="1:26">
      <c r="A100" s="1" t="s">
        <v>97</v>
      </c>
      <c r="B100" s="1" cm="1">
        <f t="array" ref="B100">_xlfn.SWITCH($A$2,"average", AVERAGE(Instances!B100:Instances!B100),"median", MEDIAN(Instances!B100:Instances!B100),"min", MIN(Instances!B100:Instances!B100),"max", MAX(Instances!B100:Instances!B100),"diff", MAX(Instances!B100:Instances!B100)-MIN(Instances!B100:Instances!B100))</f>
        <v>0</v>
      </c>
      <c r="C100" s="1" cm="1">
        <f t="array" ref="C100">_xlfn.SWITCH($A$2,"average", AVERAGE(Instances!C100:Instances!C100),"median", MEDIAN(Instances!C100:Instances!C100),"min", MIN(Instances!C100:Instances!C100),"max", MAX(Instances!C100:Instances!C100),"diff", MAX(Instances!C100:Instances!C100)-MIN(Instances!C100:Instances!C100))</f>
        <v>0</v>
      </c>
      <c r="D100" s="1" cm="1">
        <f t="array" ref="D100">_xlfn.SWITCH($A$2,"average", AVERAGE(Instances!D100:Instances!D100),"median", MEDIAN(Instances!D100:Instances!D100),"min", MIN(Instances!D100:Instances!D100),"max", MAX(Instances!D100:Instances!D100),"diff", MAX(Instances!D100:Instances!D100)-MIN(Instances!D100:Instances!D100))</f>
        <v>0</v>
      </c>
      <c r="E100" s="1" cm="1">
        <f t="array" ref="E100">_xlfn.SWITCH($A$2,"average", AVERAGE(Instances!E100:Instances!E100),"median", MEDIAN(Instances!E100:Instances!E100),"min", MIN(Instances!E100:Instances!E100),"max", MAX(Instances!E100:Instances!E100),"diff", MAX(Instances!E100:Instances!E100)-MIN(Instances!E100:Instances!E100))</f>
        <v>0</v>
      </c>
      <c r="F100" s="1"/>
      <c r="G100" s="1" cm="1">
        <f t="array" ref="G100">_xlfn.SWITCH($A$2,"average", AVERAGE(Instances!G100:Instances!G100),"median", MEDIAN(Instances!G100:Instances!G100),"min", MIN(Instances!G100:Instances!G100),"max", MAX(Instances!G100:Instances!G100),"diff", MAX(Instances!G100:Instances!G100)-MIN(Instances!G100:Instances!G100))</f>
        <v>0</v>
      </c>
      <c r="H100" s="1" cm="1">
        <f t="array" ref="H100">_xlfn.SWITCH($A$2,"average", AVERAGE(Instances!H100:Instances!H100),"median", MEDIAN(Instances!H100:Instances!H100),"min", MIN(Instances!H100:Instances!H100),"max", MAX(Instances!H100:Instances!H100),"diff", MAX(Instances!H100:Instances!H100)-MIN(Instances!H100:Instances!H100))</f>
        <v>0</v>
      </c>
      <c r="I100" s="1">
        <f>MIN($B100)</f>
        <v>0</v>
      </c>
      <c r="J100" s="1">
        <f>MIN($C100)</f>
        <v>0</v>
      </c>
      <c r="K100" s="1">
        <f>MIN($D100)</f>
        <v>0</v>
      </c>
      <c r="L100" s="1">
        <f>MIN($E100)</f>
        <v>0</v>
      </c>
      <c r="M100" s="1">
        <f>MIN($G100)</f>
        <v>0</v>
      </c>
      <c r="N100" s="1">
        <f>MIN($H100)</f>
        <v>0</v>
      </c>
      <c r="O100" s="1">
        <f>MEDIAN($B100)</f>
        <v>0</v>
      </c>
      <c r="P100" s="1">
        <f>MEDIAN($C100)</f>
        <v>0</v>
      </c>
      <c r="Q100" s="1">
        <f>MEDIAN($D100)</f>
        <v>0</v>
      </c>
      <c r="R100" s="1">
        <f>MEDIAN($E100)</f>
        <v>0</v>
      </c>
      <c r="S100" s="1">
        <f>MEDIAN($G100)</f>
        <v>0</v>
      </c>
      <c r="T100" s="1">
        <f>MEDIAN($H100)</f>
        <v>0</v>
      </c>
      <c r="U100" s="1">
        <f>MAX($B100)</f>
        <v>0</v>
      </c>
      <c r="V100" s="1">
        <f>MAX($C100)</f>
        <v>0</v>
      </c>
      <c r="W100" s="1">
        <f>MAX($D100)</f>
        <v>0</v>
      </c>
      <c r="X100" s="1">
        <f>MAX($E100)</f>
        <v>0</v>
      </c>
      <c r="Y100" s="1">
        <f>MAX($G100)</f>
        <v>0</v>
      </c>
      <c r="Z100" s="1">
        <f>MAX($H100)</f>
        <v>0</v>
      </c>
    </row>
    <row r="101" spans="1:26">
      <c r="A101" s="1" t="s">
        <v>98</v>
      </c>
      <c r="B101" s="1" cm="1">
        <f t="array" ref="B101">_xlfn.SWITCH($A$2,"average", AVERAGE(Instances!B101:Instances!B101),"median", MEDIAN(Instances!B101:Instances!B101),"min", MIN(Instances!B101:Instances!B101),"max", MAX(Instances!B101:Instances!B101),"diff", MAX(Instances!B101:Instances!B101)-MIN(Instances!B101:Instances!B101))</f>
        <v>0</v>
      </c>
      <c r="C101" s="1" cm="1">
        <f t="array" ref="C101">_xlfn.SWITCH($A$2,"average", AVERAGE(Instances!C101:Instances!C101),"median", MEDIAN(Instances!C101:Instances!C101),"min", MIN(Instances!C101:Instances!C101),"max", MAX(Instances!C101:Instances!C101),"diff", MAX(Instances!C101:Instances!C101)-MIN(Instances!C101:Instances!C101))</f>
        <v>0</v>
      </c>
      <c r="D101" s="1" cm="1">
        <f t="array" ref="D101">_xlfn.SWITCH($A$2,"average", AVERAGE(Instances!D101:Instances!D101),"median", MEDIAN(Instances!D101:Instances!D101),"min", MIN(Instances!D101:Instances!D101),"max", MAX(Instances!D101:Instances!D101),"diff", MAX(Instances!D101:Instances!D101)-MIN(Instances!D101:Instances!D101))</f>
        <v>0</v>
      </c>
      <c r="E101" s="1" cm="1">
        <f t="array" ref="E101">_xlfn.SWITCH($A$2,"average", AVERAGE(Instances!E101:Instances!E101),"median", MEDIAN(Instances!E101:Instances!E101),"min", MIN(Instances!E101:Instances!E101),"max", MAX(Instances!E101:Instances!E101),"diff", MAX(Instances!E101:Instances!E101)-MIN(Instances!E101:Instances!E101))</f>
        <v>0</v>
      </c>
      <c r="F101" s="1"/>
      <c r="G101" s="1" cm="1">
        <f t="array" ref="G101">_xlfn.SWITCH($A$2,"average", AVERAGE(Instances!G101:Instances!G101),"median", MEDIAN(Instances!G101:Instances!G101),"min", MIN(Instances!G101:Instances!G101),"max", MAX(Instances!G101:Instances!G101),"diff", MAX(Instances!G101:Instances!G101)-MIN(Instances!G101:Instances!G101))</f>
        <v>0</v>
      </c>
      <c r="H101" s="1" cm="1">
        <f t="array" ref="H101">_xlfn.SWITCH($A$2,"average", AVERAGE(Instances!H101:Instances!H101),"median", MEDIAN(Instances!H101:Instances!H101),"min", MIN(Instances!H101:Instances!H101),"max", MAX(Instances!H101:Instances!H101),"diff", MAX(Instances!H101:Instances!H101)-MIN(Instances!H101:Instances!H101))</f>
        <v>0</v>
      </c>
      <c r="I101" s="1">
        <f>MIN($B101)</f>
        <v>0</v>
      </c>
      <c r="J101" s="1">
        <f>MIN($C101)</f>
        <v>0</v>
      </c>
      <c r="K101" s="1">
        <f>MIN($D101)</f>
        <v>0</v>
      </c>
      <c r="L101" s="1">
        <f>MIN($E101)</f>
        <v>0</v>
      </c>
      <c r="M101" s="1">
        <f>MIN($G101)</f>
        <v>0</v>
      </c>
      <c r="N101" s="1">
        <f>MIN($H101)</f>
        <v>0</v>
      </c>
      <c r="O101" s="1">
        <f>MEDIAN($B101)</f>
        <v>0</v>
      </c>
      <c r="P101" s="1">
        <f>MEDIAN($C101)</f>
        <v>0</v>
      </c>
      <c r="Q101" s="1">
        <f>MEDIAN($D101)</f>
        <v>0</v>
      </c>
      <c r="R101" s="1">
        <f>MEDIAN($E101)</f>
        <v>0</v>
      </c>
      <c r="S101" s="1">
        <f>MEDIAN($G101)</f>
        <v>0</v>
      </c>
      <c r="T101" s="1">
        <f>MEDIAN($H101)</f>
        <v>0</v>
      </c>
      <c r="U101" s="1">
        <f>MAX($B101)</f>
        <v>0</v>
      </c>
      <c r="V101" s="1">
        <f>MAX($C101)</f>
        <v>0</v>
      </c>
      <c r="W101" s="1">
        <f>MAX($D101)</f>
        <v>0</v>
      </c>
      <c r="X101" s="1">
        <f>MAX($E101)</f>
        <v>0</v>
      </c>
      <c r="Y101" s="1">
        <f>MAX($G101)</f>
        <v>0</v>
      </c>
      <c r="Z101" s="1">
        <f>MAX($H101)</f>
        <v>0</v>
      </c>
    </row>
    <row r="102" spans="1:26">
      <c r="A102" s="1" t="s">
        <v>99</v>
      </c>
      <c r="B102" s="1" cm="1">
        <f t="array" ref="B102">_xlfn.SWITCH($A$2,"average", AVERAGE(Instances!B102:Instances!B102),"median", MEDIAN(Instances!B102:Instances!B102),"min", MIN(Instances!B102:Instances!B102),"max", MAX(Instances!B102:Instances!B102),"diff", MAX(Instances!B102:Instances!B102)-MIN(Instances!B102:Instances!B102))</f>
        <v>0</v>
      </c>
      <c r="C102" s="1" cm="1">
        <f t="array" ref="C102">_xlfn.SWITCH($A$2,"average", AVERAGE(Instances!C102:Instances!C102),"median", MEDIAN(Instances!C102:Instances!C102),"min", MIN(Instances!C102:Instances!C102),"max", MAX(Instances!C102:Instances!C102),"diff", MAX(Instances!C102:Instances!C102)-MIN(Instances!C102:Instances!C102))</f>
        <v>0</v>
      </c>
      <c r="D102" s="1" cm="1">
        <f t="array" ref="D102">_xlfn.SWITCH($A$2,"average", AVERAGE(Instances!D102:Instances!D102),"median", MEDIAN(Instances!D102:Instances!D102),"min", MIN(Instances!D102:Instances!D102),"max", MAX(Instances!D102:Instances!D102),"diff", MAX(Instances!D102:Instances!D102)-MIN(Instances!D102:Instances!D102))</f>
        <v>0</v>
      </c>
      <c r="E102" s="1" cm="1">
        <f t="array" ref="E102">_xlfn.SWITCH($A$2,"average", AVERAGE(Instances!E102:Instances!E102),"median", MEDIAN(Instances!E102:Instances!E102),"min", MIN(Instances!E102:Instances!E102),"max", MAX(Instances!E102:Instances!E102),"diff", MAX(Instances!E102:Instances!E102)-MIN(Instances!E102:Instances!E102))</f>
        <v>0</v>
      </c>
      <c r="F102" s="1"/>
      <c r="G102" s="1" cm="1">
        <f t="array" ref="G102">_xlfn.SWITCH($A$2,"average", AVERAGE(Instances!G102:Instances!G102),"median", MEDIAN(Instances!G102:Instances!G102),"min", MIN(Instances!G102:Instances!G102),"max", MAX(Instances!G102:Instances!G102),"diff", MAX(Instances!G102:Instances!G102)-MIN(Instances!G102:Instances!G102))</f>
        <v>0</v>
      </c>
      <c r="H102" s="1" cm="1">
        <f t="array" ref="H102">_xlfn.SWITCH($A$2,"average", AVERAGE(Instances!H102:Instances!H102),"median", MEDIAN(Instances!H102:Instances!H102),"min", MIN(Instances!H102:Instances!H102),"max", MAX(Instances!H102:Instances!H102),"diff", MAX(Instances!H102:Instances!H102)-MIN(Instances!H102:Instances!H102))</f>
        <v>0</v>
      </c>
      <c r="I102" s="1">
        <f>MIN($B102)</f>
        <v>0</v>
      </c>
      <c r="J102" s="1">
        <f>MIN($C102)</f>
        <v>0</v>
      </c>
      <c r="K102" s="1">
        <f>MIN($D102)</f>
        <v>0</v>
      </c>
      <c r="L102" s="1">
        <f>MIN($E102)</f>
        <v>0</v>
      </c>
      <c r="M102" s="1">
        <f>MIN($G102)</f>
        <v>0</v>
      </c>
      <c r="N102" s="1">
        <f>MIN($H102)</f>
        <v>0</v>
      </c>
      <c r="O102" s="1">
        <f>MEDIAN($B102)</f>
        <v>0</v>
      </c>
      <c r="P102" s="1">
        <f>MEDIAN($C102)</f>
        <v>0</v>
      </c>
      <c r="Q102" s="1">
        <f>MEDIAN($D102)</f>
        <v>0</v>
      </c>
      <c r="R102" s="1">
        <f>MEDIAN($E102)</f>
        <v>0</v>
      </c>
      <c r="S102" s="1">
        <f>MEDIAN($G102)</f>
        <v>0</v>
      </c>
      <c r="T102" s="1">
        <f>MEDIAN($H102)</f>
        <v>0</v>
      </c>
      <c r="U102" s="1">
        <f>MAX($B102)</f>
        <v>0</v>
      </c>
      <c r="V102" s="1">
        <f>MAX($C102)</f>
        <v>0</v>
      </c>
      <c r="W102" s="1">
        <f>MAX($D102)</f>
        <v>0</v>
      </c>
      <c r="X102" s="1">
        <f>MAX($E102)</f>
        <v>0</v>
      </c>
      <c r="Y102" s="1">
        <f>MAX($G102)</f>
        <v>0</v>
      </c>
      <c r="Z102" s="1">
        <f>MAX($H102)</f>
        <v>0</v>
      </c>
    </row>
    <row r="103" spans="1:26">
      <c r="A103" s="1" t="s">
        <v>100</v>
      </c>
      <c r="B103" s="1" cm="1">
        <f t="array" ref="B103">_xlfn.SWITCH($A$2,"average", AVERAGE(Instances!B103:Instances!B103),"median", MEDIAN(Instances!B103:Instances!B103),"min", MIN(Instances!B103:Instances!B103),"max", MAX(Instances!B103:Instances!B103),"diff", MAX(Instances!B103:Instances!B103)-MIN(Instances!B103:Instances!B103))</f>
        <v>0</v>
      </c>
      <c r="C103" s="1" cm="1">
        <f t="array" ref="C103">_xlfn.SWITCH($A$2,"average", AVERAGE(Instances!C103:Instances!C103),"median", MEDIAN(Instances!C103:Instances!C103),"min", MIN(Instances!C103:Instances!C103),"max", MAX(Instances!C103:Instances!C103),"diff", MAX(Instances!C103:Instances!C103)-MIN(Instances!C103:Instances!C103))</f>
        <v>0</v>
      </c>
      <c r="D103" s="1" cm="1">
        <f t="array" ref="D103">_xlfn.SWITCH($A$2,"average", AVERAGE(Instances!D103:Instances!D103),"median", MEDIAN(Instances!D103:Instances!D103),"min", MIN(Instances!D103:Instances!D103),"max", MAX(Instances!D103:Instances!D103),"diff", MAX(Instances!D103:Instances!D103)-MIN(Instances!D103:Instances!D103))</f>
        <v>0</v>
      </c>
      <c r="E103" s="1" cm="1">
        <f t="array" ref="E103">_xlfn.SWITCH($A$2,"average", AVERAGE(Instances!E103:Instances!E103),"median", MEDIAN(Instances!E103:Instances!E103),"min", MIN(Instances!E103:Instances!E103),"max", MAX(Instances!E103:Instances!E103),"diff", MAX(Instances!E103:Instances!E103)-MIN(Instances!E103:Instances!E103))</f>
        <v>0</v>
      </c>
      <c r="F103" s="1"/>
      <c r="G103" s="1" cm="1">
        <f t="array" ref="G103">_xlfn.SWITCH($A$2,"average", AVERAGE(Instances!G103:Instances!G103),"median", MEDIAN(Instances!G103:Instances!G103),"min", MIN(Instances!G103:Instances!G103),"max", MAX(Instances!G103:Instances!G103),"diff", MAX(Instances!G103:Instances!G103)-MIN(Instances!G103:Instances!G103))</f>
        <v>0</v>
      </c>
      <c r="H103" s="1" cm="1">
        <f t="array" ref="H103">_xlfn.SWITCH($A$2,"average", AVERAGE(Instances!H103:Instances!H103),"median", MEDIAN(Instances!H103:Instances!H103),"min", MIN(Instances!H103:Instances!H103),"max", MAX(Instances!H103:Instances!H103),"diff", MAX(Instances!H103:Instances!H103)-MIN(Instances!H103:Instances!H103))</f>
        <v>0</v>
      </c>
      <c r="I103" s="1">
        <f>MIN($B103)</f>
        <v>0</v>
      </c>
      <c r="J103" s="1">
        <f>MIN($C103)</f>
        <v>0</v>
      </c>
      <c r="K103" s="1">
        <f>MIN($D103)</f>
        <v>0</v>
      </c>
      <c r="L103" s="1">
        <f>MIN($E103)</f>
        <v>0</v>
      </c>
      <c r="M103" s="1">
        <f>MIN($G103)</f>
        <v>0</v>
      </c>
      <c r="N103" s="1">
        <f>MIN($H103)</f>
        <v>0</v>
      </c>
      <c r="O103" s="1">
        <f>MEDIAN($B103)</f>
        <v>0</v>
      </c>
      <c r="P103" s="1">
        <f>MEDIAN($C103)</f>
        <v>0</v>
      </c>
      <c r="Q103" s="1">
        <f>MEDIAN($D103)</f>
        <v>0</v>
      </c>
      <c r="R103" s="1">
        <f>MEDIAN($E103)</f>
        <v>0</v>
      </c>
      <c r="S103" s="1">
        <f>MEDIAN($G103)</f>
        <v>0</v>
      </c>
      <c r="T103" s="1">
        <f>MEDIAN($H103)</f>
        <v>0</v>
      </c>
      <c r="U103" s="1">
        <f>MAX($B103)</f>
        <v>0</v>
      </c>
      <c r="V103" s="1">
        <f>MAX($C103)</f>
        <v>0</v>
      </c>
      <c r="W103" s="1">
        <f>MAX($D103)</f>
        <v>0</v>
      </c>
      <c r="X103" s="1">
        <f>MAX($E103)</f>
        <v>0</v>
      </c>
      <c r="Y103" s="1">
        <f>MAX($G103)</f>
        <v>0</v>
      </c>
      <c r="Z103" s="1">
        <f>MAX($H103)</f>
        <v>0</v>
      </c>
    </row>
    <row r="104" spans="1:26">
      <c r="A104" s="1" t="s">
        <v>101</v>
      </c>
      <c r="B104" s="1" cm="1">
        <f t="array" ref="B104">_xlfn.SWITCH($A$2,"average", AVERAGE(Instances!B104:Instances!B104),"median", MEDIAN(Instances!B104:Instances!B104),"min", MIN(Instances!B104:Instances!B104),"max", MAX(Instances!B104:Instances!B104),"diff", MAX(Instances!B104:Instances!B104)-MIN(Instances!B104:Instances!B104))</f>
        <v>0</v>
      </c>
      <c r="C104" s="1" cm="1">
        <f t="array" ref="C104">_xlfn.SWITCH($A$2,"average", AVERAGE(Instances!C104:Instances!C104),"median", MEDIAN(Instances!C104:Instances!C104),"min", MIN(Instances!C104:Instances!C104),"max", MAX(Instances!C104:Instances!C104),"diff", MAX(Instances!C104:Instances!C104)-MIN(Instances!C104:Instances!C104))</f>
        <v>0</v>
      </c>
      <c r="D104" s="1" cm="1">
        <f t="array" ref="D104">_xlfn.SWITCH($A$2,"average", AVERAGE(Instances!D104:Instances!D104),"median", MEDIAN(Instances!D104:Instances!D104),"min", MIN(Instances!D104:Instances!D104),"max", MAX(Instances!D104:Instances!D104),"diff", MAX(Instances!D104:Instances!D104)-MIN(Instances!D104:Instances!D104))</f>
        <v>0</v>
      </c>
      <c r="E104" s="1" cm="1">
        <f t="array" ref="E104">_xlfn.SWITCH($A$2,"average", AVERAGE(Instances!E104:Instances!E104),"median", MEDIAN(Instances!E104:Instances!E104),"min", MIN(Instances!E104:Instances!E104),"max", MAX(Instances!E104:Instances!E104),"diff", MAX(Instances!E104:Instances!E104)-MIN(Instances!E104:Instances!E104))</f>
        <v>0</v>
      </c>
      <c r="F104" s="1"/>
      <c r="G104" s="1" cm="1">
        <f t="array" ref="G104">_xlfn.SWITCH($A$2,"average", AVERAGE(Instances!G104:Instances!G104),"median", MEDIAN(Instances!G104:Instances!G104),"min", MIN(Instances!G104:Instances!G104),"max", MAX(Instances!G104:Instances!G104),"diff", MAX(Instances!G104:Instances!G104)-MIN(Instances!G104:Instances!G104))</f>
        <v>0</v>
      </c>
      <c r="H104" s="1" cm="1">
        <f t="array" ref="H104">_xlfn.SWITCH($A$2,"average", AVERAGE(Instances!H104:Instances!H104),"median", MEDIAN(Instances!H104:Instances!H104),"min", MIN(Instances!H104:Instances!H104),"max", MAX(Instances!H104:Instances!H104),"diff", MAX(Instances!H104:Instances!H104)-MIN(Instances!H104:Instances!H104))</f>
        <v>0</v>
      </c>
      <c r="I104" s="1">
        <f>MIN($B104)</f>
        <v>0</v>
      </c>
      <c r="J104" s="1">
        <f>MIN($C104)</f>
        <v>0</v>
      </c>
      <c r="K104" s="1">
        <f>MIN($D104)</f>
        <v>0</v>
      </c>
      <c r="L104" s="1">
        <f>MIN($E104)</f>
        <v>0</v>
      </c>
      <c r="M104" s="1">
        <f>MIN($G104)</f>
        <v>0</v>
      </c>
      <c r="N104" s="1">
        <f>MIN($H104)</f>
        <v>0</v>
      </c>
      <c r="O104" s="1">
        <f>MEDIAN($B104)</f>
        <v>0</v>
      </c>
      <c r="P104" s="1">
        <f>MEDIAN($C104)</f>
        <v>0</v>
      </c>
      <c r="Q104" s="1">
        <f>MEDIAN($D104)</f>
        <v>0</v>
      </c>
      <c r="R104" s="1">
        <f>MEDIAN($E104)</f>
        <v>0</v>
      </c>
      <c r="S104" s="1">
        <f>MEDIAN($G104)</f>
        <v>0</v>
      </c>
      <c r="T104" s="1">
        <f>MEDIAN($H104)</f>
        <v>0</v>
      </c>
      <c r="U104" s="1">
        <f>MAX($B104)</f>
        <v>0</v>
      </c>
      <c r="V104" s="1">
        <f>MAX($C104)</f>
        <v>0</v>
      </c>
      <c r="W104" s="1">
        <f>MAX($D104)</f>
        <v>0</v>
      </c>
      <c r="X104" s="1">
        <f>MAX($E104)</f>
        <v>0</v>
      </c>
      <c r="Y104" s="1">
        <f>MAX($G104)</f>
        <v>0</v>
      </c>
      <c r="Z104" s="1">
        <f>MAX($H104)</f>
        <v>0</v>
      </c>
    </row>
    <row r="105" spans="1:26">
      <c r="A105" s="1" t="s">
        <v>102</v>
      </c>
      <c r="B105" s="1" cm="1">
        <f t="array" ref="B105">_xlfn.SWITCH($A$2,"average", AVERAGE(Instances!B105:Instances!B105),"median", MEDIAN(Instances!B105:Instances!B105),"min", MIN(Instances!B105:Instances!B105),"max", MAX(Instances!B105:Instances!B105),"diff", MAX(Instances!B105:Instances!B105)-MIN(Instances!B105:Instances!B105))</f>
        <v>0</v>
      </c>
      <c r="C105" s="1" cm="1">
        <f t="array" ref="C105">_xlfn.SWITCH($A$2,"average", AVERAGE(Instances!C105:Instances!C105),"median", MEDIAN(Instances!C105:Instances!C105),"min", MIN(Instances!C105:Instances!C105),"max", MAX(Instances!C105:Instances!C105),"diff", MAX(Instances!C105:Instances!C105)-MIN(Instances!C105:Instances!C105))</f>
        <v>0</v>
      </c>
      <c r="D105" s="1" cm="1">
        <f t="array" ref="D105">_xlfn.SWITCH($A$2,"average", AVERAGE(Instances!D105:Instances!D105),"median", MEDIAN(Instances!D105:Instances!D105),"min", MIN(Instances!D105:Instances!D105),"max", MAX(Instances!D105:Instances!D105),"diff", MAX(Instances!D105:Instances!D105)-MIN(Instances!D105:Instances!D105))</f>
        <v>0</v>
      </c>
      <c r="E105" s="1" cm="1">
        <f t="array" ref="E105">_xlfn.SWITCH($A$2,"average", AVERAGE(Instances!E105:Instances!E105),"median", MEDIAN(Instances!E105:Instances!E105),"min", MIN(Instances!E105:Instances!E105),"max", MAX(Instances!E105:Instances!E105),"diff", MAX(Instances!E105:Instances!E105)-MIN(Instances!E105:Instances!E105))</f>
        <v>0</v>
      </c>
      <c r="F105" s="1"/>
      <c r="G105" s="1" cm="1">
        <f t="array" ref="G105">_xlfn.SWITCH($A$2,"average", AVERAGE(Instances!G105:Instances!G105),"median", MEDIAN(Instances!G105:Instances!G105),"min", MIN(Instances!G105:Instances!G105),"max", MAX(Instances!G105:Instances!G105),"diff", MAX(Instances!G105:Instances!G105)-MIN(Instances!G105:Instances!G105))</f>
        <v>0</v>
      </c>
      <c r="H105" s="1" cm="1">
        <f t="array" ref="H105">_xlfn.SWITCH($A$2,"average", AVERAGE(Instances!H105:Instances!H105),"median", MEDIAN(Instances!H105:Instances!H105),"min", MIN(Instances!H105:Instances!H105),"max", MAX(Instances!H105:Instances!H105),"diff", MAX(Instances!H105:Instances!H105)-MIN(Instances!H105:Instances!H105))</f>
        <v>0</v>
      </c>
      <c r="I105" s="1">
        <f>MIN($B105)</f>
        <v>0</v>
      </c>
      <c r="J105" s="1">
        <f>MIN($C105)</f>
        <v>0</v>
      </c>
      <c r="K105" s="1">
        <f>MIN($D105)</f>
        <v>0</v>
      </c>
      <c r="L105" s="1">
        <f>MIN($E105)</f>
        <v>0</v>
      </c>
      <c r="M105" s="1">
        <f>MIN($G105)</f>
        <v>0</v>
      </c>
      <c r="N105" s="1">
        <f>MIN($H105)</f>
        <v>0</v>
      </c>
      <c r="O105" s="1">
        <f>MEDIAN($B105)</f>
        <v>0</v>
      </c>
      <c r="P105" s="1">
        <f>MEDIAN($C105)</f>
        <v>0</v>
      </c>
      <c r="Q105" s="1">
        <f>MEDIAN($D105)</f>
        <v>0</v>
      </c>
      <c r="R105" s="1">
        <f>MEDIAN($E105)</f>
        <v>0</v>
      </c>
      <c r="S105" s="1">
        <f>MEDIAN($G105)</f>
        <v>0</v>
      </c>
      <c r="T105" s="1">
        <f>MEDIAN($H105)</f>
        <v>0</v>
      </c>
      <c r="U105" s="1">
        <f>MAX($B105)</f>
        <v>0</v>
      </c>
      <c r="V105" s="1">
        <f>MAX($C105)</f>
        <v>0</v>
      </c>
      <c r="W105" s="1">
        <f>MAX($D105)</f>
        <v>0</v>
      </c>
      <c r="X105" s="1">
        <f>MAX($E105)</f>
        <v>0</v>
      </c>
      <c r="Y105" s="1">
        <f>MAX($G105)</f>
        <v>0</v>
      </c>
      <c r="Z105" s="1">
        <f>MAX($H105)</f>
        <v>0</v>
      </c>
    </row>
    <row r="106" spans="1:26">
      <c r="A106" s="1" t="s">
        <v>103</v>
      </c>
      <c r="B106" s="1" cm="1">
        <f t="array" ref="B106">_xlfn.SWITCH($A$2,"average", AVERAGE(Instances!B106:Instances!B106),"median", MEDIAN(Instances!B106:Instances!B106),"min", MIN(Instances!B106:Instances!B106),"max", MAX(Instances!B106:Instances!B106),"diff", MAX(Instances!B106:Instances!B106)-MIN(Instances!B106:Instances!B106))</f>
        <v>0</v>
      </c>
      <c r="C106" s="1" cm="1">
        <f t="array" ref="C106">_xlfn.SWITCH($A$2,"average", AVERAGE(Instances!C106:Instances!C106),"median", MEDIAN(Instances!C106:Instances!C106),"min", MIN(Instances!C106:Instances!C106),"max", MAX(Instances!C106:Instances!C106),"diff", MAX(Instances!C106:Instances!C106)-MIN(Instances!C106:Instances!C106))</f>
        <v>0</v>
      </c>
      <c r="D106" s="1" cm="1">
        <f t="array" ref="D106">_xlfn.SWITCH($A$2,"average", AVERAGE(Instances!D106:Instances!D106),"median", MEDIAN(Instances!D106:Instances!D106),"min", MIN(Instances!D106:Instances!D106),"max", MAX(Instances!D106:Instances!D106),"diff", MAX(Instances!D106:Instances!D106)-MIN(Instances!D106:Instances!D106))</f>
        <v>0</v>
      </c>
      <c r="E106" s="1" cm="1">
        <f t="array" ref="E106">_xlfn.SWITCH($A$2,"average", AVERAGE(Instances!E106:Instances!E106),"median", MEDIAN(Instances!E106:Instances!E106),"min", MIN(Instances!E106:Instances!E106),"max", MAX(Instances!E106:Instances!E106),"diff", MAX(Instances!E106:Instances!E106)-MIN(Instances!E106:Instances!E106))</f>
        <v>0</v>
      </c>
      <c r="F106" s="1"/>
      <c r="G106" s="1" cm="1">
        <f t="array" ref="G106">_xlfn.SWITCH($A$2,"average", AVERAGE(Instances!G106:Instances!G106),"median", MEDIAN(Instances!G106:Instances!G106),"min", MIN(Instances!G106:Instances!G106),"max", MAX(Instances!G106:Instances!G106),"diff", MAX(Instances!G106:Instances!G106)-MIN(Instances!G106:Instances!G106))</f>
        <v>0</v>
      </c>
      <c r="H106" s="1" cm="1">
        <f t="array" ref="H106">_xlfn.SWITCH($A$2,"average", AVERAGE(Instances!H106:Instances!H106),"median", MEDIAN(Instances!H106:Instances!H106),"min", MIN(Instances!H106:Instances!H106),"max", MAX(Instances!H106:Instances!H106),"diff", MAX(Instances!H106:Instances!H106)-MIN(Instances!H106:Instances!H106))</f>
        <v>0</v>
      </c>
      <c r="I106" s="1">
        <f>MIN($B106)</f>
        <v>0</v>
      </c>
      <c r="J106" s="1">
        <f>MIN($C106)</f>
        <v>0</v>
      </c>
      <c r="K106" s="1">
        <f>MIN($D106)</f>
        <v>0</v>
      </c>
      <c r="L106" s="1">
        <f>MIN($E106)</f>
        <v>0</v>
      </c>
      <c r="M106" s="1">
        <f>MIN($G106)</f>
        <v>0</v>
      </c>
      <c r="N106" s="1">
        <f>MIN($H106)</f>
        <v>0</v>
      </c>
      <c r="O106" s="1">
        <f>MEDIAN($B106)</f>
        <v>0</v>
      </c>
      <c r="P106" s="1">
        <f>MEDIAN($C106)</f>
        <v>0</v>
      </c>
      <c r="Q106" s="1">
        <f>MEDIAN($D106)</f>
        <v>0</v>
      </c>
      <c r="R106" s="1">
        <f>MEDIAN($E106)</f>
        <v>0</v>
      </c>
      <c r="S106" s="1">
        <f>MEDIAN($G106)</f>
        <v>0</v>
      </c>
      <c r="T106" s="1">
        <f>MEDIAN($H106)</f>
        <v>0</v>
      </c>
      <c r="U106" s="1">
        <f>MAX($B106)</f>
        <v>0</v>
      </c>
      <c r="V106" s="1">
        <f>MAX($C106)</f>
        <v>0</v>
      </c>
      <c r="W106" s="1">
        <f>MAX($D106)</f>
        <v>0</v>
      </c>
      <c r="X106" s="1">
        <f>MAX($E106)</f>
        <v>0</v>
      </c>
      <c r="Y106" s="1">
        <f>MAX($G106)</f>
        <v>0</v>
      </c>
      <c r="Z106" s="1">
        <f>MAX($H106)</f>
        <v>0</v>
      </c>
    </row>
    <row r="107" spans="1:26">
      <c r="A107" s="1" t="s">
        <v>104</v>
      </c>
      <c r="B107" s="1" cm="1">
        <f t="array" ref="B107">_xlfn.SWITCH($A$2,"average", AVERAGE(Instances!B107:Instances!B107),"median", MEDIAN(Instances!B107:Instances!B107),"min", MIN(Instances!B107:Instances!B107),"max", MAX(Instances!B107:Instances!B107),"diff", MAX(Instances!B107:Instances!B107)-MIN(Instances!B107:Instances!B107))</f>
        <v>0</v>
      </c>
      <c r="C107" s="1" cm="1">
        <f t="array" ref="C107">_xlfn.SWITCH($A$2,"average", AVERAGE(Instances!C107:Instances!C107),"median", MEDIAN(Instances!C107:Instances!C107),"min", MIN(Instances!C107:Instances!C107),"max", MAX(Instances!C107:Instances!C107),"diff", MAX(Instances!C107:Instances!C107)-MIN(Instances!C107:Instances!C107))</f>
        <v>0</v>
      </c>
      <c r="D107" s="1" cm="1">
        <f t="array" ref="D107">_xlfn.SWITCH($A$2,"average", AVERAGE(Instances!D107:Instances!D107),"median", MEDIAN(Instances!D107:Instances!D107),"min", MIN(Instances!D107:Instances!D107),"max", MAX(Instances!D107:Instances!D107),"diff", MAX(Instances!D107:Instances!D107)-MIN(Instances!D107:Instances!D107))</f>
        <v>0</v>
      </c>
      <c r="E107" s="1" cm="1">
        <f t="array" ref="E107">_xlfn.SWITCH($A$2,"average", AVERAGE(Instances!E107:Instances!E107),"median", MEDIAN(Instances!E107:Instances!E107),"min", MIN(Instances!E107:Instances!E107),"max", MAX(Instances!E107:Instances!E107),"diff", MAX(Instances!E107:Instances!E107)-MIN(Instances!E107:Instances!E107))</f>
        <v>0</v>
      </c>
      <c r="F107" s="1"/>
      <c r="G107" s="1" cm="1">
        <f t="array" ref="G107">_xlfn.SWITCH($A$2,"average", AVERAGE(Instances!G107:Instances!G107),"median", MEDIAN(Instances!G107:Instances!G107),"min", MIN(Instances!G107:Instances!G107),"max", MAX(Instances!G107:Instances!G107),"diff", MAX(Instances!G107:Instances!G107)-MIN(Instances!G107:Instances!G107))</f>
        <v>0</v>
      </c>
      <c r="H107" s="1" cm="1">
        <f t="array" ref="H107">_xlfn.SWITCH($A$2,"average", AVERAGE(Instances!H107:Instances!H107),"median", MEDIAN(Instances!H107:Instances!H107),"min", MIN(Instances!H107:Instances!H107),"max", MAX(Instances!H107:Instances!H107),"diff", MAX(Instances!H107:Instances!H107)-MIN(Instances!H107:Instances!H107))</f>
        <v>0</v>
      </c>
      <c r="I107" s="1">
        <f>MIN($B107)</f>
        <v>0</v>
      </c>
      <c r="J107" s="1">
        <f>MIN($C107)</f>
        <v>0</v>
      </c>
      <c r="K107" s="1">
        <f>MIN($D107)</f>
        <v>0</v>
      </c>
      <c r="L107" s="1">
        <f>MIN($E107)</f>
        <v>0</v>
      </c>
      <c r="M107" s="1">
        <f>MIN($G107)</f>
        <v>0</v>
      </c>
      <c r="N107" s="1">
        <f>MIN($H107)</f>
        <v>0</v>
      </c>
      <c r="O107" s="1">
        <f>MEDIAN($B107)</f>
        <v>0</v>
      </c>
      <c r="P107" s="1">
        <f>MEDIAN($C107)</f>
        <v>0</v>
      </c>
      <c r="Q107" s="1">
        <f>MEDIAN($D107)</f>
        <v>0</v>
      </c>
      <c r="R107" s="1">
        <f>MEDIAN($E107)</f>
        <v>0</v>
      </c>
      <c r="S107" s="1">
        <f>MEDIAN($G107)</f>
        <v>0</v>
      </c>
      <c r="T107" s="1">
        <f>MEDIAN($H107)</f>
        <v>0</v>
      </c>
      <c r="U107" s="1">
        <f>MAX($B107)</f>
        <v>0</v>
      </c>
      <c r="V107" s="1">
        <f>MAX($C107)</f>
        <v>0</v>
      </c>
      <c r="W107" s="1">
        <f>MAX($D107)</f>
        <v>0</v>
      </c>
      <c r="X107" s="1">
        <f>MAX($E107)</f>
        <v>0</v>
      </c>
      <c r="Y107" s="1">
        <f>MAX($G107)</f>
        <v>0</v>
      </c>
      <c r="Z107" s="1">
        <f>MAX($H107)</f>
        <v>0</v>
      </c>
    </row>
    <row r="108" spans="1:26">
      <c r="A108" s="1" t="s">
        <v>105</v>
      </c>
      <c r="B108" s="1" cm="1">
        <f t="array" ref="B108">_xlfn.SWITCH($A$2,"average", AVERAGE(Instances!B108:Instances!B108),"median", MEDIAN(Instances!B108:Instances!B108),"min", MIN(Instances!B108:Instances!B108),"max", MAX(Instances!B108:Instances!B108),"diff", MAX(Instances!B108:Instances!B108)-MIN(Instances!B108:Instances!B108))</f>
        <v>0</v>
      </c>
      <c r="C108" s="1" cm="1">
        <f t="array" ref="C108">_xlfn.SWITCH($A$2,"average", AVERAGE(Instances!C108:Instances!C108),"median", MEDIAN(Instances!C108:Instances!C108),"min", MIN(Instances!C108:Instances!C108),"max", MAX(Instances!C108:Instances!C108),"diff", MAX(Instances!C108:Instances!C108)-MIN(Instances!C108:Instances!C108))</f>
        <v>0</v>
      </c>
      <c r="D108" s="1" cm="1">
        <f t="array" ref="D108">_xlfn.SWITCH($A$2,"average", AVERAGE(Instances!D108:Instances!D108),"median", MEDIAN(Instances!D108:Instances!D108),"min", MIN(Instances!D108:Instances!D108),"max", MAX(Instances!D108:Instances!D108),"diff", MAX(Instances!D108:Instances!D108)-MIN(Instances!D108:Instances!D108))</f>
        <v>0</v>
      </c>
      <c r="E108" s="1" cm="1">
        <f t="array" ref="E108">_xlfn.SWITCH($A$2,"average", AVERAGE(Instances!E108:Instances!E108),"median", MEDIAN(Instances!E108:Instances!E108),"min", MIN(Instances!E108:Instances!E108),"max", MAX(Instances!E108:Instances!E108),"diff", MAX(Instances!E108:Instances!E108)-MIN(Instances!E108:Instances!E108))</f>
        <v>0</v>
      </c>
      <c r="F108" s="1"/>
      <c r="G108" s="1" cm="1">
        <f t="array" ref="G108">_xlfn.SWITCH($A$2,"average", AVERAGE(Instances!G108:Instances!G108),"median", MEDIAN(Instances!G108:Instances!G108),"min", MIN(Instances!G108:Instances!G108),"max", MAX(Instances!G108:Instances!G108),"diff", MAX(Instances!G108:Instances!G108)-MIN(Instances!G108:Instances!G108))</f>
        <v>0</v>
      </c>
      <c r="H108" s="1" cm="1">
        <f t="array" ref="H108">_xlfn.SWITCH($A$2,"average", AVERAGE(Instances!H108:Instances!H108),"median", MEDIAN(Instances!H108:Instances!H108),"min", MIN(Instances!H108:Instances!H108),"max", MAX(Instances!H108:Instances!H108),"diff", MAX(Instances!H108:Instances!H108)-MIN(Instances!H108:Instances!H108))</f>
        <v>0</v>
      </c>
      <c r="I108" s="1">
        <f>MIN($B108)</f>
        <v>0</v>
      </c>
      <c r="J108" s="1">
        <f>MIN($C108)</f>
        <v>0</v>
      </c>
      <c r="K108" s="1">
        <f>MIN($D108)</f>
        <v>0</v>
      </c>
      <c r="L108" s="1">
        <f>MIN($E108)</f>
        <v>0</v>
      </c>
      <c r="M108" s="1">
        <f>MIN($G108)</f>
        <v>0</v>
      </c>
      <c r="N108" s="1">
        <f>MIN($H108)</f>
        <v>0</v>
      </c>
      <c r="O108" s="1">
        <f>MEDIAN($B108)</f>
        <v>0</v>
      </c>
      <c r="P108" s="1">
        <f>MEDIAN($C108)</f>
        <v>0</v>
      </c>
      <c r="Q108" s="1">
        <f>MEDIAN($D108)</f>
        <v>0</v>
      </c>
      <c r="R108" s="1">
        <f>MEDIAN($E108)</f>
        <v>0</v>
      </c>
      <c r="S108" s="1">
        <f>MEDIAN($G108)</f>
        <v>0</v>
      </c>
      <c r="T108" s="1">
        <f>MEDIAN($H108)</f>
        <v>0</v>
      </c>
      <c r="U108" s="1">
        <f>MAX($B108)</f>
        <v>0</v>
      </c>
      <c r="V108" s="1">
        <f>MAX($C108)</f>
        <v>0</v>
      </c>
      <c r="W108" s="1">
        <f>MAX($D108)</f>
        <v>0</v>
      </c>
      <c r="X108" s="1">
        <f>MAX($E108)</f>
        <v>0</v>
      </c>
      <c r="Y108" s="1">
        <f>MAX($G108)</f>
        <v>0</v>
      </c>
      <c r="Z108" s="1">
        <f>MAX($H108)</f>
        <v>0</v>
      </c>
    </row>
    <row r="109" spans="1:26">
      <c r="A109" s="1" t="s">
        <v>106</v>
      </c>
      <c r="B109" s="1" cm="1">
        <f t="array" ref="B109">_xlfn.SWITCH($A$2,"average", AVERAGE(Instances!B109:Instances!B109),"median", MEDIAN(Instances!B109:Instances!B109),"min", MIN(Instances!B109:Instances!B109),"max", MAX(Instances!B109:Instances!B109),"diff", MAX(Instances!B109:Instances!B109)-MIN(Instances!B109:Instances!B109))</f>
        <v>0</v>
      </c>
      <c r="C109" s="1" cm="1">
        <f t="array" ref="C109">_xlfn.SWITCH($A$2,"average", AVERAGE(Instances!C109:Instances!C109),"median", MEDIAN(Instances!C109:Instances!C109),"min", MIN(Instances!C109:Instances!C109),"max", MAX(Instances!C109:Instances!C109),"diff", MAX(Instances!C109:Instances!C109)-MIN(Instances!C109:Instances!C109))</f>
        <v>0</v>
      </c>
      <c r="D109" s="1" cm="1">
        <f t="array" ref="D109">_xlfn.SWITCH($A$2,"average", AVERAGE(Instances!D109:Instances!D109),"median", MEDIAN(Instances!D109:Instances!D109),"min", MIN(Instances!D109:Instances!D109),"max", MAX(Instances!D109:Instances!D109),"diff", MAX(Instances!D109:Instances!D109)-MIN(Instances!D109:Instances!D109))</f>
        <v>0</v>
      </c>
      <c r="E109" s="1" cm="1">
        <f t="array" ref="E109">_xlfn.SWITCH($A$2,"average", AVERAGE(Instances!E109:Instances!E109),"median", MEDIAN(Instances!E109:Instances!E109),"min", MIN(Instances!E109:Instances!E109),"max", MAX(Instances!E109:Instances!E109),"diff", MAX(Instances!E109:Instances!E109)-MIN(Instances!E109:Instances!E109))</f>
        <v>0</v>
      </c>
      <c r="F109" s="1"/>
      <c r="G109" s="1" cm="1">
        <f t="array" ref="G109">_xlfn.SWITCH($A$2,"average", AVERAGE(Instances!G109:Instances!G109),"median", MEDIAN(Instances!G109:Instances!G109),"min", MIN(Instances!G109:Instances!G109),"max", MAX(Instances!G109:Instances!G109),"diff", MAX(Instances!G109:Instances!G109)-MIN(Instances!G109:Instances!G109))</f>
        <v>0</v>
      </c>
      <c r="H109" s="1" cm="1">
        <f t="array" ref="H109">_xlfn.SWITCH($A$2,"average", AVERAGE(Instances!H109:Instances!H109),"median", MEDIAN(Instances!H109:Instances!H109),"min", MIN(Instances!H109:Instances!H109),"max", MAX(Instances!H109:Instances!H109),"diff", MAX(Instances!H109:Instances!H109)-MIN(Instances!H109:Instances!H109))</f>
        <v>0</v>
      </c>
      <c r="I109" s="1">
        <f>MIN($B109)</f>
        <v>0</v>
      </c>
      <c r="J109" s="1">
        <f>MIN($C109)</f>
        <v>0</v>
      </c>
      <c r="K109" s="1">
        <f>MIN($D109)</f>
        <v>0</v>
      </c>
      <c r="L109" s="1">
        <f>MIN($E109)</f>
        <v>0</v>
      </c>
      <c r="M109" s="1">
        <f>MIN($G109)</f>
        <v>0</v>
      </c>
      <c r="N109" s="1">
        <f>MIN($H109)</f>
        <v>0</v>
      </c>
      <c r="O109" s="1">
        <f>MEDIAN($B109)</f>
        <v>0</v>
      </c>
      <c r="P109" s="1">
        <f>MEDIAN($C109)</f>
        <v>0</v>
      </c>
      <c r="Q109" s="1">
        <f>MEDIAN($D109)</f>
        <v>0</v>
      </c>
      <c r="R109" s="1">
        <f>MEDIAN($E109)</f>
        <v>0</v>
      </c>
      <c r="S109" s="1">
        <f>MEDIAN($G109)</f>
        <v>0</v>
      </c>
      <c r="T109" s="1">
        <f>MEDIAN($H109)</f>
        <v>0</v>
      </c>
      <c r="U109" s="1">
        <f>MAX($B109)</f>
        <v>0</v>
      </c>
      <c r="V109" s="1">
        <f>MAX($C109)</f>
        <v>0</v>
      </c>
      <c r="W109" s="1">
        <f>MAX($D109)</f>
        <v>0</v>
      </c>
      <c r="X109" s="1">
        <f>MAX($E109)</f>
        <v>0</v>
      </c>
      <c r="Y109" s="1">
        <f>MAX($G109)</f>
        <v>0</v>
      </c>
      <c r="Z109" s="1">
        <f>MAX($H109)</f>
        <v>0</v>
      </c>
    </row>
    <row r="110" spans="1:26">
      <c r="A110" s="1" t="s">
        <v>107</v>
      </c>
      <c r="B110" s="1" cm="1">
        <f t="array" ref="B110">_xlfn.SWITCH($A$2,"average", AVERAGE(Instances!B110:Instances!B110),"median", MEDIAN(Instances!B110:Instances!B110),"min", MIN(Instances!B110:Instances!B110),"max", MAX(Instances!B110:Instances!B110),"diff", MAX(Instances!B110:Instances!B110)-MIN(Instances!B110:Instances!B110))</f>
        <v>0</v>
      </c>
      <c r="C110" s="1" cm="1">
        <f t="array" ref="C110">_xlfn.SWITCH($A$2,"average", AVERAGE(Instances!C110:Instances!C110),"median", MEDIAN(Instances!C110:Instances!C110),"min", MIN(Instances!C110:Instances!C110),"max", MAX(Instances!C110:Instances!C110),"diff", MAX(Instances!C110:Instances!C110)-MIN(Instances!C110:Instances!C110))</f>
        <v>0</v>
      </c>
      <c r="D110" s="1" cm="1">
        <f t="array" ref="D110">_xlfn.SWITCH($A$2,"average", AVERAGE(Instances!D110:Instances!D110),"median", MEDIAN(Instances!D110:Instances!D110),"min", MIN(Instances!D110:Instances!D110),"max", MAX(Instances!D110:Instances!D110),"diff", MAX(Instances!D110:Instances!D110)-MIN(Instances!D110:Instances!D110))</f>
        <v>0</v>
      </c>
      <c r="E110" s="1" cm="1">
        <f t="array" ref="E110">_xlfn.SWITCH($A$2,"average", AVERAGE(Instances!E110:Instances!E110),"median", MEDIAN(Instances!E110:Instances!E110),"min", MIN(Instances!E110:Instances!E110),"max", MAX(Instances!E110:Instances!E110),"diff", MAX(Instances!E110:Instances!E110)-MIN(Instances!E110:Instances!E110))</f>
        <v>0</v>
      </c>
      <c r="F110" s="1"/>
      <c r="G110" s="1" cm="1">
        <f t="array" ref="G110">_xlfn.SWITCH($A$2,"average", AVERAGE(Instances!G110:Instances!G110),"median", MEDIAN(Instances!G110:Instances!G110),"min", MIN(Instances!G110:Instances!G110),"max", MAX(Instances!G110:Instances!G110),"diff", MAX(Instances!G110:Instances!G110)-MIN(Instances!G110:Instances!G110))</f>
        <v>0</v>
      </c>
      <c r="H110" s="1" cm="1">
        <f t="array" ref="H110">_xlfn.SWITCH($A$2,"average", AVERAGE(Instances!H110:Instances!H110),"median", MEDIAN(Instances!H110:Instances!H110),"min", MIN(Instances!H110:Instances!H110),"max", MAX(Instances!H110:Instances!H110),"diff", MAX(Instances!H110:Instances!H110)-MIN(Instances!H110:Instances!H110))</f>
        <v>0</v>
      </c>
      <c r="I110" s="1">
        <f>MIN($B110)</f>
        <v>0</v>
      </c>
      <c r="J110" s="1">
        <f>MIN($C110)</f>
        <v>0</v>
      </c>
      <c r="K110" s="1">
        <f>MIN($D110)</f>
        <v>0</v>
      </c>
      <c r="L110" s="1">
        <f>MIN($E110)</f>
        <v>0</v>
      </c>
      <c r="M110" s="1">
        <f>MIN($G110)</f>
        <v>0</v>
      </c>
      <c r="N110" s="1">
        <f>MIN($H110)</f>
        <v>0</v>
      </c>
      <c r="O110" s="1">
        <f>MEDIAN($B110)</f>
        <v>0</v>
      </c>
      <c r="P110" s="1">
        <f>MEDIAN($C110)</f>
        <v>0</v>
      </c>
      <c r="Q110" s="1">
        <f>MEDIAN($D110)</f>
        <v>0</v>
      </c>
      <c r="R110" s="1">
        <f>MEDIAN($E110)</f>
        <v>0</v>
      </c>
      <c r="S110" s="1">
        <f>MEDIAN($G110)</f>
        <v>0</v>
      </c>
      <c r="T110" s="1">
        <f>MEDIAN($H110)</f>
        <v>0</v>
      </c>
      <c r="U110" s="1">
        <f>MAX($B110)</f>
        <v>0</v>
      </c>
      <c r="V110" s="1">
        <f>MAX($C110)</f>
        <v>0</v>
      </c>
      <c r="W110" s="1">
        <f>MAX($D110)</f>
        <v>0</v>
      </c>
      <c r="X110" s="1">
        <f>MAX($E110)</f>
        <v>0</v>
      </c>
      <c r="Y110" s="1">
        <f>MAX($G110)</f>
        <v>0</v>
      </c>
      <c r="Z110" s="1">
        <f>MAX($H110)</f>
        <v>0</v>
      </c>
    </row>
    <row r="111" spans="1:26">
      <c r="A111" s="1" t="s">
        <v>108</v>
      </c>
      <c r="B111" s="1" cm="1">
        <f t="array" ref="B111">_xlfn.SWITCH($A$2,"average", AVERAGE(Instances!B111:Instances!B111),"median", MEDIAN(Instances!B111:Instances!B111),"min", MIN(Instances!B111:Instances!B111),"max", MAX(Instances!B111:Instances!B111),"diff", MAX(Instances!B111:Instances!B111)-MIN(Instances!B111:Instances!B111))</f>
        <v>0</v>
      </c>
      <c r="C111" s="1" cm="1">
        <f t="array" ref="C111">_xlfn.SWITCH($A$2,"average", AVERAGE(Instances!C111:Instances!C111),"median", MEDIAN(Instances!C111:Instances!C111),"min", MIN(Instances!C111:Instances!C111),"max", MAX(Instances!C111:Instances!C111),"diff", MAX(Instances!C111:Instances!C111)-MIN(Instances!C111:Instances!C111))</f>
        <v>0</v>
      </c>
      <c r="D111" s="1" cm="1">
        <f t="array" ref="D111">_xlfn.SWITCH($A$2,"average", AVERAGE(Instances!D111:Instances!D111),"median", MEDIAN(Instances!D111:Instances!D111),"min", MIN(Instances!D111:Instances!D111),"max", MAX(Instances!D111:Instances!D111),"diff", MAX(Instances!D111:Instances!D111)-MIN(Instances!D111:Instances!D111))</f>
        <v>0</v>
      </c>
      <c r="E111" s="1" cm="1">
        <f t="array" ref="E111">_xlfn.SWITCH($A$2,"average", AVERAGE(Instances!E111:Instances!E111),"median", MEDIAN(Instances!E111:Instances!E111),"min", MIN(Instances!E111:Instances!E111),"max", MAX(Instances!E111:Instances!E111),"diff", MAX(Instances!E111:Instances!E111)-MIN(Instances!E111:Instances!E111))</f>
        <v>0</v>
      </c>
      <c r="F111" s="1"/>
      <c r="G111" s="1" cm="1">
        <f t="array" ref="G111">_xlfn.SWITCH($A$2,"average", AVERAGE(Instances!G111:Instances!G111),"median", MEDIAN(Instances!G111:Instances!G111),"min", MIN(Instances!G111:Instances!G111),"max", MAX(Instances!G111:Instances!G111),"diff", MAX(Instances!G111:Instances!G111)-MIN(Instances!G111:Instances!G111))</f>
        <v>0</v>
      </c>
      <c r="H111" s="1" cm="1">
        <f t="array" ref="H111">_xlfn.SWITCH($A$2,"average", AVERAGE(Instances!H111:Instances!H111),"median", MEDIAN(Instances!H111:Instances!H111),"min", MIN(Instances!H111:Instances!H111),"max", MAX(Instances!H111:Instances!H111),"diff", MAX(Instances!H111:Instances!H111)-MIN(Instances!H111:Instances!H111))</f>
        <v>0</v>
      </c>
      <c r="I111" s="1">
        <f>MIN($B111)</f>
        <v>0</v>
      </c>
      <c r="J111" s="1">
        <f>MIN($C111)</f>
        <v>0</v>
      </c>
      <c r="K111" s="1">
        <f>MIN($D111)</f>
        <v>0</v>
      </c>
      <c r="L111" s="1">
        <f>MIN($E111)</f>
        <v>0</v>
      </c>
      <c r="M111" s="1">
        <f>MIN($G111)</f>
        <v>0</v>
      </c>
      <c r="N111" s="1">
        <f>MIN($H111)</f>
        <v>0</v>
      </c>
      <c r="O111" s="1">
        <f>MEDIAN($B111)</f>
        <v>0</v>
      </c>
      <c r="P111" s="1">
        <f>MEDIAN($C111)</f>
        <v>0</v>
      </c>
      <c r="Q111" s="1">
        <f>MEDIAN($D111)</f>
        <v>0</v>
      </c>
      <c r="R111" s="1">
        <f>MEDIAN($E111)</f>
        <v>0</v>
      </c>
      <c r="S111" s="1">
        <f>MEDIAN($G111)</f>
        <v>0</v>
      </c>
      <c r="T111" s="1">
        <f>MEDIAN($H111)</f>
        <v>0</v>
      </c>
      <c r="U111" s="1">
        <f>MAX($B111)</f>
        <v>0</v>
      </c>
      <c r="V111" s="1">
        <f>MAX($C111)</f>
        <v>0</v>
      </c>
      <c r="W111" s="1">
        <f>MAX($D111)</f>
        <v>0</v>
      </c>
      <c r="X111" s="1">
        <f>MAX($E111)</f>
        <v>0</v>
      </c>
      <c r="Y111" s="1">
        <f>MAX($G111)</f>
        <v>0</v>
      </c>
      <c r="Z111" s="1">
        <f>MAX($H111)</f>
        <v>0</v>
      </c>
    </row>
    <row r="112" spans="1:26">
      <c r="A112" s="1" t="s">
        <v>109</v>
      </c>
      <c r="B112" s="1" cm="1">
        <f t="array" ref="B112">_xlfn.SWITCH($A$2,"average", AVERAGE(Instances!B112:Instances!B112),"median", MEDIAN(Instances!B112:Instances!B112),"min", MIN(Instances!B112:Instances!B112),"max", MAX(Instances!B112:Instances!B112),"diff", MAX(Instances!B112:Instances!B112)-MIN(Instances!B112:Instances!B112))</f>
        <v>0</v>
      </c>
      <c r="C112" s="1" cm="1">
        <f t="array" ref="C112">_xlfn.SWITCH($A$2,"average", AVERAGE(Instances!C112:Instances!C112),"median", MEDIAN(Instances!C112:Instances!C112),"min", MIN(Instances!C112:Instances!C112),"max", MAX(Instances!C112:Instances!C112),"diff", MAX(Instances!C112:Instances!C112)-MIN(Instances!C112:Instances!C112))</f>
        <v>0</v>
      </c>
      <c r="D112" s="1" cm="1">
        <f t="array" ref="D112">_xlfn.SWITCH($A$2,"average", AVERAGE(Instances!D112:Instances!D112),"median", MEDIAN(Instances!D112:Instances!D112),"min", MIN(Instances!D112:Instances!D112),"max", MAX(Instances!D112:Instances!D112),"diff", MAX(Instances!D112:Instances!D112)-MIN(Instances!D112:Instances!D112))</f>
        <v>0</v>
      </c>
      <c r="E112" s="1" cm="1">
        <f t="array" ref="E112">_xlfn.SWITCH($A$2,"average", AVERAGE(Instances!E112:Instances!E112),"median", MEDIAN(Instances!E112:Instances!E112),"min", MIN(Instances!E112:Instances!E112),"max", MAX(Instances!E112:Instances!E112),"diff", MAX(Instances!E112:Instances!E112)-MIN(Instances!E112:Instances!E112))</f>
        <v>0</v>
      </c>
      <c r="F112" s="1"/>
      <c r="G112" s="1" cm="1">
        <f t="array" ref="G112">_xlfn.SWITCH($A$2,"average", AVERAGE(Instances!G112:Instances!G112),"median", MEDIAN(Instances!G112:Instances!G112),"min", MIN(Instances!G112:Instances!G112),"max", MAX(Instances!G112:Instances!G112),"diff", MAX(Instances!G112:Instances!G112)-MIN(Instances!G112:Instances!G112))</f>
        <v>0</v>
      </c>
      <c r="H112" s="1" cm="1">
        <f t="array" ref="H112">_xlfn.SWITCH($A$2,"average", AVERAGE(Instances!H112:Instances!H112),"median", MEDIAN(Instances!H112:Instances!H112),"min", MIN(Instances!H112:Instances!H112),"max", MAX(Instances!H112:Instances!H112),"diff", MAX(Instances!H112:Instances!H112)-MIN(Instances!H112:Instances!H112))</f>
        <v>0</v>
      </c>
      <c r="I112" s="1">
        <f>MIN($B112)</f>
        <v>0</v>
      </c>
      <c r="J112" s="1">
        <f>MIN($C112)</f>
        <v>0</v>
      </c>
      <c r="K112" s="1">
        <f>MIN($D112)</f>
        <v>0</v>
      </c>
      <c r="L112" s="1">
        <f>MIN($E112)</f>
        <v>0</v>
      </c>
      <c r="M112" s="1">
        <f>MIN($G112)</f>
        <v>0</v>
      </c>
      <c r="N112" s="1">
        <f>MIN($H112)</f>
        <v>0</v>
      </c>
      <c r="O112" s="1">
        <f>MEDIAN($B112)</f>
        <v>0</v>
      </c>
      <c r="P112" s="1">
        <f>MEDIAN($C112)</f>
        <v>0</v>
      </c>
      <c r="Q112" s="1">
        <f>MEDIAN($D112)</f>
        <v>0</v>
      </c>
      <c r="R112" s="1">
        <f>MEDIAN($E112)</f>
        <v>0</v>
      </c>
      <c r="S112" s="1">
        <f>MEDIAN($G112)</f>
        <v>0</v>
      </c>
      <c r="T112" s="1">
        <f>MEDIAN($H112)</f>
        <v>0</v>
      </c>
      <c r="U112" s="1">
        <f>MAX($B112)</f>
        <v>0</v>
      </c>
      <c r="V112" s="1">
        <f>MAX($C112)</f>
        <v>0</v>
      </c>
      <c r="W112" s="1">
        <f>MAX($D112)</f>
        <v>0</v>
      </c>
      <c r="X112" s="1">
        <f>MAX($E112)</f>
        <v>0</v>
      </c>
      <c r="Y112" s="1">
        <f>MAX($G112)</f>
        <v>0</v>
      </c>
      <c r="Z112" s="1">
        <f>MAX($H112)</f>
        <v>0</v>
      </c>
    </row>
    <row r="113" spans="1:26">
      <c r="A113" s="1" t="s">
        <v>110</v>
      </c>
      <c r="B113" s="1" cm="1">
        <f t="array" ref="B113">_xlfn.SWITCH($A$2,"average", AVERAGE(Instances!B113:Instances!B113),"median", MEDIAN(Instances!B113:Instances!B113),"min", MIN(Instances!B113:Instances!B113),"max", MAX(Instances!B113:Instances!B113),"diff", MAX(Instances!B113:Instances!B113)-MIN(Instances!B113:Instances!B113))</f>
        <v>0</v>
      </c>
      <c r="C113" s="1" cm="1">
        <f t="array" ref="C113">_xlfn.SWITCH($A$2,"average", AVERAGE(Instances!C113:Instances!C113),"median", MEDIAN(Instances!C113:Instances!C113),"min", MIN(Instances!C113:Instances!C113),"max", MAX(Instances!C113:Instances!C113),"diff", MAX(Instances!C113:Instances!C113)-MIN(Instances!C113:Instances!C113))</f>
        <v>0</v>
      </c>
      <c r="D113" s="1" cm="1">
        <f t="array" ref="D113">_xlfn.SWITCH($A$2,"average", AVERAGE(Instances!D113:Instances!D113),"median", MEDIAN(Instances!D113:Instances!D113),"min", MIN(Instances!D113:Instances!D113),"max", MAX(Instances!D113:Instances!D113),"diff", MAX(Instances!D113:Instances!D113)-MIN(Instances!D113:Instances!D113))</f>
        <v>0</v>
      </c>
      <c r="E113" s="1" cm="1">
        <f t="array" ref="E113">_xlfn.SWITCH($A$2,"average", AVERAGE(Instances!E113:Instances!E113),"median", MEDIAN(Instances!E113:Instances!E113),"min", MIN(Instances!E113:Instances!E113),"max", MAX(Instances!E113:Instances!E113),"diff", MAX(Instances!E113:Instances!E113)-MIN(Instances!E113:Instances!E113))</f>
        <v>0</v>
      </c>
      <c r="F113" s="1"/>
      <c r="G113" s="1" cm="1">
        <f t="array" ref="G113">_xlfn.SWITCH($A$2,"average", AVERAGE(Instances!G113:Instances!G113),"median", MEDIAN(Instances!G113:Instances!G113),"min", MIN(Instances!G113:Instances!G113),"max", MAX(Instances!G113:Instances!G113),"diff", MAX(Instances!G113:Instances!G113)-MIN(Instances!G113:Instances!G113))</f>
        <v>0</v>
      </c>
      <c r="H113" s="1" cm="1">
        <f t="array" ref="H113">_xlfn.SWITCH($A$2,"average", AVERAGE(Instances!H113:Instances!H113),"median", MEDIAN(Instances!H113:Instances!H113),"min", MIN(Instances!H113:Instances!H113),"max", MAX(Instances!H113:Instances!H113),"diff", MAX(Instances!H113:Instances!H113)-MIN(Instances!H113:Instances!H113))</f>
        <v>0</v>
      </c>
      <c r="I113" s="1">
        <f>MIN($B113)</f>
        <v>0</v>
      </c>
      <c r="J113" s="1">
        <f>MIN($C113)</f>
        <v>0</v>
      </c>
      <c r="K113" s="1">
        <f>MIN($D113)</f>
        <v>0</v>
      </c>
      <c r="L113" s="1">
        <f>MIN($E113)</f>
        <v>0</v>
      </c>
      <c r="M113" s="1">
        <f>MIN($G113)</f>
        <v>0</v>
      </c>
      <c r="N113" s="1">
        <f>MIN($H113)</f>
        <v>0</v>
      </c>
      <c r="O113" s="1">
        <f>MEDIAN($B113)</f>
        <v>0</v>
      </c>
      <c r="P113" s="1">
        <f>MEDIAN($C113)</f>
        <v>0</v>
      </c>
      <c r="Q113" s="1">
        <f>MEDIAN($D113)</f>
        <v>0</v>
      </c>
      <c r="R113" s="1">
        <f>MEDIAN($E113)</f>
        <v>0</v>
      </c>
      <c r="S113" s="1">
        <f>MEDIAN($G113)</f>
        <v>0</v>
      </c>
      <c r="T113" s="1">
        <f>MEDIAN($H113)</f>
        <v>0</v>
      </c>
      <c r="U113" s="1">
        <f>MAX($B113)</f>
        <v>0</v>
      </c>
      <c r="V113" s="1">
        <f>MAX($C113)</f>
        <v>0</v>
      </c>
      <c r="W113" s="1">
        <f>MAX($D113)</f>
        <v>0</v>
      </c>
      <c r="X113" s="1">
        <f>MAX($E113)</f>
        <v>0</v>
      </c>
      <c r="Y113" s="1">
        <f>MAX($G113)</f>
        <v>0</v>
      </c>
      <c r="Z113" s="1">
        <f>MAX($H113)</f>
        <v>0</v>
      </c>
    </row>
    <row r="114" spans="1:26">
      <c r="A114" s="1" t="s">
        <v>111</v>
      </c>
      <c r="B114" s="1" cm="1">
        <f t="array" ref="B114">_xlfn.SWITCH($A$2,"average", AVERAGE(Instances!B114:Instances!B114),"median", MEDIAN(Instances!B114:Instances!B114),"min", MIN(Instances!B114:Instances!B114),"max", MAX(Instances!B114:Instances!B114),"diff", MAX(Instances!B114:Instances!B114)-MIN(Instances!B114:Instances!B114))</f>
        <v>0</v>
      </c>
      <c r="C114" s="1" cm="1">
        <f t="array" ref="C114">_xlfn.SWITCH($A$2,"average", AVERAGE(Instances!C114:Instances!C114),"median", MEDIAN(Instances!C114:Instances!C114),"min", MIN(Instances!C114:Instances!C114),"max", MAX(Instances!C114:Instances!C114),"diff", MAX(Instances!C114:Instances!C114)-MIN(Instances!C114:Instances!C114))</f>
        <v>0</v>
      </c>
      <c r="D114" s="1" cm="1">
        <f t="array" ref="D114">_xlfn.SWITCH($A$2,"average", AVERAGE(Instances!D114:Instances!D114),"median", MEDIAN(Instances!D114:Instances!D114),"min", MIN(Instances!D114:Instances!D114),"max", MAX(Instances!D114:Instances!D114),"diff", MAX(Instances!D114:Instances!D114)-MIN(Instances!D114:Instances!D114))</f>
        <v>0</v>
      </c>
      <c r="E114" s="1" cm="1">
        <f t="array" ref="E114">_xlfn.SWITCH($A$2,"average", AVERAGE(Instances!E114:Instances!E114),"median", MEDIAN(Instances!E114:Instances!E114),"min", MIN(Instances!E114:Instances!E114),"max", MAX(Instances!E114:Instances!E114),"diff", MAX(Instances!E114:Instances!E114)-MIN(Instances!E114:Instances!E114))</f>
        <v>0</v>
      </c>
      <c r="F114" s="1"/>
      <c r="G114" s="1" cm="1">
        <f t="array" ref="G114">_xlfn.SWITCH($A$2,"average", AVERAGE(Instances!G114:Instances!G114),"median", MEDIAN(Instances!G114:Instances!G114),"min", MIN(Instances!G114:Instances!G114),"max", MAX(Instances!G114:Instances!G114),"diff", MAX(Instances!G114:Instances!G114)-MIN(Instances!G114:Instances!G114))</f>
        <v>0</v>
      </c>
      <c r="H114" s="1" cm="1">
        <f t="array" ref="H114">_xlfn.SWITCH($A$2,"average", AVERAGE(Instances!H114:Instances!H114),"median", MEDIAN(Instances!H114:Instances!H114),"min", MIN(Instances!H114:Instances!H114),"max", MAX(Instances!H114:Instances!H114),"diff", MAX(Instances!H114:Instances!H114)-MIN(Instances!H114:Instances!H114))</f>
        <v>0</v>
      </c>
      <c r="I114" s="1">
        <f>MIN($B114)</f>
        <v>0</v>
      </c>
      <c r="J114" s="1">
        <f>MIN($C114)</f>
        <v>0</v>
      </c>
      <c r="K114" s="1">
        <f>MIN($D114)</f>
        <v>0</v>
      </c>
      <c r="L114" s="1">
        <f>MIN($E114)</f>
        <v>0</v>
      </c>
      <c r="M114" s="1">
        <f>MIN($G114)</f>
        <v>0</v>
      </c>
      <c r="N114" s="1">
        <f>MIN($H114)</f>
        <v>0</v>
      </c>
      <c r="O114" s="1">
        <f>MEDIAN($B114)</f>
        <v>0</v>
      </c>
      <c r="P114" s="1">
        <f>MEDIAN($C114)</f>
        <v>0</v>
      </c>
      <c r="Q114" s="1">
        <f>MEDIAN($D114)</f>
        <v>0</v>
      </c>
      <c r="R114" s="1">
        <f>MEDIAN($E114)</f>
        <v>0</v>
      </c>
      <c r="S114" s="1">
        <f>MEDIAN($G114)</f>
        <v>0</v>
      </c>
      <c r="T114" s="1">
        <f>MEDIAN($H114)</f>
        <v>0</v>
      </c>
      <c r="U114" s="1">
        <f>MAX($B114)</f>
        <v>0</v>
      </c>
      <c r="V114" s="1">
        <f>MAX($C114)</f>
        <v>0</v>
      </c>
      <c r="W114" s="1">
        <f>MAX($D114)</f>
        <v>0</v>
      </c>
      <c r="X114" s="1">
        <f>MAX($E114)</f>
        <v>0</v>
      </c>
      <c r="Y114" s="1">
        <f>MAX($G114)</f>
        <v>0</v>
      </c>
      <c r="Z114" s="1">
        <f>MAX($H114)</f>
        <v>0</v>
      </c>
    </row>
    <row r="115" spans="1:26">
      <c r="A115" s="1" t="s">
        <v>112</v>
      </c>
      <c r="B115" s="1" cm="1">
        <f t="array" ref="B115">_xlfn.SWITCH($A$2,"average", AVERAGE(Instances!B115:Instances!B115),"median", MEDIAN(Instances!B115:Instances!B115),"min", MIN(Instances!B115:Instances!B115),"max", MAX(Instances!B115:Instances!B115),"diff", MAX(Instances!B115:Instances!B115)-MIN(Instances!B115:Instances!B115))</f>
        <v>0</v>
      </c>
      <c r="C115" s="1" cm="1">
        <f t="array" ref="C115">_xlfn.SWITCH($A$2,"average", AVERAGE(Instances!C115:Instances!C115),"median", MEDIAN(Instances!C115:Instances!C115),"min", MIN(Instances!C115:Instances!C115),"max", MAX(Instances!C115:Instances!C115),"diff", MAX(Instances!C115:Instances!C115)-MIN(Instances!C115:Instances!C115))</f>
        <v>0</v>
      </c>
      <c r="D115" s="1" cm="1">
        <f t="array" ref="D115">_xlfn.SWITCH($A$2,"average", AVERAGE(Instances!D115:Instances!D115),"median", MEDIAN(Instances!D115:Instances!D115),"min", MIN(Instances!D115:Instances!D115),"max", MAX(Instances!D115:Instances!D115),"diff", MAX(Instances!D115:Instances!D115)-MIN(Instances!D115:Instances!D115))</f>
        <v>0</v>
      </c>
      <c r="E115" s="1" cm="1">
        <f t="array" ref="E115">_xlfn.SWITCH($A$2,"average", AVERAGE(Instances!E115:Instances!E115),"median", MEDIAN(Instances!E115:Instances!E115),"min", MIN(Instances!E115:Instances!E115),"max", MAX(Instances!E115:Instances!E115),"diff", MAX(Instances!E115:Instances!E115)-MIN(Instances!E115:Instances!E115))</f>
        <v>0</v>
      </c>
      <c r="F115" s="1"/>
      <c r="G115" s="1" cm="1">
        <f t="array" ref="G115">_xlfn.SWITCH($A$2,"average", AVERAGE(Instances!G115:Instances!G115),"median", MEDIAN(Instances!G115:Instances!G115),"min", MIN(Instances!G115:Instances!G115),"max", MAX(Instances!G115:Instances!G115),"diff", MAX(Instances!G115:Instances!G115)-MIN(Instances!G115:Instances!G115))</f>
        <v>0</v>
      </c>
      <c r="H115" s="1" cm="1">
        <f t="array" ref="H115">_xlfn.SWITCH($A$2,"average", AVERAGE(Instances!H115:Instances!H115),"median", MEDIAN(Instances!H115:Instances!H115),"min", MIN(Instances!H115:Instances!H115),"max", MAX(Instances!H115:Instances!H115),"diff", MAX(Instances!H115:Instances!H115)-MIN(Instances!H115:Instances!H115))</f>
        <v>0</v>
      </c>
      <c r="I115" s="1">
        <f>MIN($B115)</f>
        <v>0</v>
      </c>
      <c r="J115" s="1">
        <f>MIN($C115)</f>
        <v>0</v>
      </c>
      <c r="K115" s="1">
        <f>MIN($D115)</f>
        <v>0</v>
      </c>
      <c r="L115" s="1">
        <f>MIN($E115)</f>
        <v>0</v>
      </c>
      <c r="M115" s="1">
        <f>MIN($G115)</f>
        <v>0</v>
      </c>
      <c r="N115" s="1">
        <f>MIN($H115)</f>
        <v>0</v>
      </c>
      <c r="O115" s="1">
        <f>MEDIAN($B115)</f>
        <v>0</v>
      </c>
      <c r="P115" s="1">
        <f>MEDIAN($C115)</f>
        <v>0</v>
      </c>
      <c r="Q115" s="1">
        <f>MEDIAN($D115)</f>
        <v>0</v>
      </c>
      <c r="R115" s="1">
        <f>MEDIAN($E115)</f>
        <v>0</v>
      </c>
      <c r="S115" s="1">
        <f>MEDIAN($G115)</f>
        <v>0</v>
      </c>
      <c r="T115" s="1">
        <f>MEDIAN($H115)</f>
        <v>0</v>
      </c>
      <c r="U115" s="1">
        <f>MAX($B115)</f>
        <v>0</v>
      </c>
      <c r="V115" s="1">
        <f>MAX($C115)</f>
        <v>0</v>
      </c>
      <c r="W115" s="1">
        <f>MAX($D115)</f>
        <v>0</v>
      </c>
      <c r="X115" s="1">
        <f>MAX($E115)</f>
        <v>0</v>
      </c>
      <c r="Y115" s="1">
        <f>MAX($G115)</f>
        <v>0</v>
      </c>
      <c r="Z115" s="1">
        <f>MAX($H115)</f>
        <v>0</v>
      </c>
    </row>
    <row r="116" spans="1:26">
      <c r="A116" s="1" t="s">
        <v>113</v>
      </c>
      <c r="B116" s="1" cm="1">
        <f t="array" ref="B116">_xlfn.SWITCH($A$2,"average", AVERAGE(Instances!B116:Instances!B116),"median", MEDIAN(Instances!B116:Instances!B116),"min", MIN(Instances!B116:Instances!B116),"max", MAX(Instances!B116:Instances!B116),"diff", MAX(Instances!B116:Instances!B116)-MIN(Instances!B116:Instances!B116))</f>
        <v>0</v>
      </c>
      <c r="C116" s="1" cm="1">
        <f t="array" ref="C116">_xlfn.SWITCH($A$2,"average", AVERAGE(Instances!C116:Instances!C116),"median", MEDIAN(Instances!C116:Instances!C116),"min", MIN(Instances!C116:Instances!C116),"max", MAX(Instances!C116:Instances!C116),"diff", MAX(Instances!C116:Instances!C116)-MIN(Instances!C116:Instances!C116))</f>
        <v>0</v>
      </c>
      <c r="D116" s="1" cm="1">
        <f t="array" ref="D116">_xlfn.SWITCH($A$2,"average", AVERAGE(Instances!D116:Instances!D116),"median", MEDIAN(Instances!D116:Instances!D116),"min", MIN(Instances!D116:Instances!D116),"max", MAX(Instances!D116:Instances!D116),"diff", MAX(Instances!D116:Instances!D116)-MIN(Instances!D116:Instances!D116))</f>
        <v>0</v>
      </c>
      <c r="E116" s="1" cm="1">
        <f t="array" ref="E116">_xlfn.SWITCH($A$2,"average", AVERAGE(Instances!E116:Instances!E116),"median", MEDIAN(Instances!E116:Instances!E116),"min", MIN(Instances!E116:Instances!E116),"max", MAX(Instances!E116:Instances!E116),"diff", MAX(Instances!E116:Instances!E116)-MIN(Instances!E116:Instances!E116))</f>
        <v>0</v>
      </c>
      <c r="F116" s="1"/>
      <c r="G116" s="1" cm="1">
        <f t="array" ref="G116">_xlfn.SWITCH($A$2,"average", AVERAGE(Instances!G116:Instances!G116),"median", MEDIAN(Instances!G116:Instances!G116),"min", MIN(Instances!G116:Instances!G116),"max", MAX(Instances!G116:Instances!G116),"diff", MAX(Instances!G116:Instances!G116)-MIN(Instances!G116:Instances!G116))</f>
        <v>0</v>
      </c>
      <c r="H116" s="1" cm="1">
        <f t="array" ref="H116">_xlfn.SWITCH($A$2,"average", AVERAGE(Instances!H116:Instances!H116),"median", MEDIAN(Instances!H116:Instances!H116),"min", MIN(Instances!H116:Instances!H116),"max", MAX(Instances!H116:Instances!H116),"diff", MAX(Instances!H116:Instances!H116)-MIN(Instances!H116:Instances!H116))</f>
        <v>0</v>
      </c>
      <c r="I116" s="1">
        <f>MIN($B116)</f>
        <v>0</v>
      </c>
      <c r="J116" s="1">
        <f>MIN($C116)</f>
        <v>0</v>
      </c>
      <c r="K116" s="1">
        <f>MIN($D116)</f>
        <v>0</v>
      </c>
      <c r="L116" s="1">
        <f>MIN($E116)</f>
        <v>0</v>
      </c>
      <c r="M116" s="1">
        <f>MIN($G116)</f>
        <v>0</v>
      </c>
      <c r="N116" s="1">
        <f>MIN($H116)</f>
        <v>0</v>
      </c>
      <c r="O116" s="1">
        <f>MEDIAN($B116)</f>
        <v>0</v>
      </c>
      <c r="P116" s="1">
        <f>MEDIAN($C116)</f>
        <v>0</v>
      </c>
      <c r="Q116" s="1">
        <f>MEDIAN($D116)</f>
        <v>0</v>
      </c>
      <c r="R116" s="1">
        <f>MEDIAN($E116)</f>
        <v>0</v>
      </c>
      <c r="S116" s="1">
        <f>MEDIAN($G116)</f>
        <v>0</v>
      </c>
      <c r="T116" s="1">
        <f>MEDIAN($H116)</f>
        <v>0</v>
      </c>
      <c r="U116" s="1">
        <f>MAX($B116)</f>
        <v>0</v>
      </c>
      <c r="V116" s="1">
        <f>MAX($C116)</f>
        <v>0</v>
      </c>
      <c r="W116" s="1">
        <f>MAX($D116)</f>
        <v>0</v>
      </c>
      <c r="X116" s="1">
        <f>MAX($E116)</f>
        <v>0</v>
      </c>
      <c r="Y116" s="1">
        <f>MAX($G116)</f>
        <v>0</v>
      </c>
      <c r="Z116" s="1">
        <f>MAX($H116)</f>
        <v>0</v>
      </c>
    </row>
    <row r="117" spans="1:26">
      <c r="A117" s="1" t="s">
        <v>114</v>
      </c>
      <c r="B117" s="1" cm="1">
        <f t="array" ref="B117">_xlfn.SWITCH($A$2,"average", AVERAGE(Instances!B117:Instances!B117),"median", MEDIAN(Instances!B117:Instances!B117),"min", MIN(Instances!B117:Instances!B117),"max", MAX(Instances!B117:Instances!B117),"diff", MAX(Instances!B117:Instances!B117)-MIN(Instances!B117:Instances!B117))</f>
        <v>0</v>
      </c>
      <c r="C117" s="1" cm="1">
        <f t="array" ref="C117">_xlfn.SWITCH($A$2,"average", AVERAGE(Instances!C117:Instances!C117),"median", MEDIAN(Instances!C117:Instances!C117),"min", MIN(Instances!C117:Instances!C117),"max", MAX(Instances!C117:Instances!C117),"diff", MAX(Instances!C117:Instances!C117)-MIN(Instances!C117:Instances!C117))</f>
        <v>0</v>
      </c>
      <c r="D117" s="1" cm="1">
        <f t="array" ref="D117">_xlfn.SWITCH($A$2,"average", AVERAGE(Instances!D117:Instances!D117),"median", MEDIAN(Instances!D117:Instances!D117),"min", MIN(Instances!D117:Instances!D117),"max", MAX(Instances!D117:Instances!D117),"diff", MAX(Instances!D117:Instances!D117)-MIN(Instances!D117:Instances!D117))</f>
        <v>0</v>
      </c>
      <c r="E117" s="1" cm="1">
        <f t="array" ref="E117">_xlfn.SWITCH($A$2,"average", AVERAGE(Instances!E117:Instances!E117),"median", MEDIAN(Instances!E117:Instances!E117),"min", MIN(Instances!E117:Instances!E117),"max", MAX(Instances!E117:Instances!E117),"diff", MAX(Instances!E117:Instances!E117)-MIN(Instances!E117:Instances!E117))</f>
        <v>0</v>
      </c>
      <c r="F117" s="1"/>
      <c r="G117" s="1" cm="1">
        <f t="array" ref="G117">_xlfn.SWITCH($A$2,"average", AVERAGE(Instances!G117:Instances!G117),"median", MEDIAN(Instances!G117:Instances!G117),"min", MIN(Instances!G117:Instances!G117),"max", MAX(Instances!G117:Instances!G117),"diff", MAX(Instances!G117:Instances!G117)-MIN(Instances!G117:Instances!G117))</f>
        <v>0</v>
      </c>
      <c r="H117" s="1" cm="1">
        <f t="array" ref="H117">_xlfn.SWITCH($A$2,"average", AVERAGE(Instances!H117:Instances!H117),"median", MEDIAN(Instances!H117:Instances!H117),"min", MIN(Instances!H117:Instances!H117),"max", MAX(Instances!H117:Instances!H117),"diff", MAX(Instances!H117:Instances!H117)-MIN(Instances!H117:Instances!H117))</f>
        <v>0</v>
      </c>
      <c r="I117" s="1">
        <f>MIN($B117)</f>
        <v>0</v>
      </c>
      <c r="J117" s="1">
        <f>MIN($C117)</f>
        <v>0</v>
      </c>
      <c r="K117" s="1">
        <f>MIN($D117)</f>
        <v>0</v>
      </c>
      <c r="L117" s="1">
        <f>MIN($E117)</f>
        <v>0</v>
      </c>
      <c r="M117" s="1">
        <f>MIN($G117)</f>
        <v>0</v>
      </c>
      <c r="N117" s="1">
        <f>MIN($H117)</f>
        <v>0</v>
      </c>
      <c r="O117" s="1">
        <f>MEDIAN($B117)</f>
        <v>0</v>
      </c>
      <c r="P117" s="1">
        <f>MEDIAN($C117)</f>
        <v>0</v>
      </c>
      <c r="Q117" s="1">
        <f>MEDIAN($D117)</f>
        <v>0</v>
      </c>
      <c r="R117" s="1">
        <f>MEDIAN($E117)</f>
        <v>0</v>
      </c>
      <c r="S117" s="1">
        <f>MEDIAN($G117)</f>
        <v>0</v>
      </c>
      <c r="T117" s="1">
        <f>MEDIAN($H117)</f>
        <v>0</v>
      </c>
      <c r="U117" s="1">
        <f>MAX($B117)</f>
        <v>0</v>
      </c>
      <c r="V117" s="1">
        <f>MAX($C117)</f>
        <v>0</v>
      </c>
      <c r="W117" s="1">
        <f>MAX($D117)</f>
        <v>0</v>
      </c>
      <c r="X117" s="1">
        <f>MAX($E117)</f>
        <v>0</v>
      </c>
      <c r="Y117" s="1">
        <f>MAX($G117)</f>
        <v>0</v>
      </c>
      <c r="Z117" s="1">
        <f>MAX($H117)</f>
        <v>0</v>
      </c>
    </row>
    <row r="118" spans="1:26">
      <c r="A118" s="1" t="s">
        <v>115</v>
      </c>
      <c r="B118" s="1" cm="1">
        <f t="array" ref="B118">_xlfn.SWITCH($A$2,"average", AVERAGE(Instances!B118:Instances!B118),"median", MEDIAN(Instances!B118:Instances!B118),"min", MIN(Instances!B118:Instances!B118),"max", MAX(Instances!B118:Instances!B118),"diff", MAX(Instances!B118:Instances!B118)-MIN(Instances!B118:Instances!B118))</f>
        <v>0</v>
      </c>
      <c r="C118" s="1" cm="1">
        <f t="array" ref="C118">_xlfn.SWITCH($A$2,"average", AVERAGE(Instances!C118:Instances!C118),"median", MEDIAN(Instances!C118:Instances!C118),"min", MIN(Instances!C118:Instances!C118),"max", MAX(Instances!C118:Instances!C118),"diff", MAX(Instances!C118:Instances!C118)-MIN(Instances!C118:Instances!C118))</f>
        <v>0</v>
      </c>
      <c r="D118" s="1" cm="1">
        <f t="array" ref="D118">_xlfn.SWITCH($A$2,"average", AVERAGE(Instances!D118:Instances!D118),"median", MEDIAN(Instances!D118:Instances!D118),"min", MIN(Instances!D118:Instances!D118),"max", MAX(Instances!D118:Instances!D118),"diff", MAX(Instances!D118:Instances!D118)-MIN(Instances!D118:Instances!D118))</f>
        <v>0</v>
      </c>
      <c r="E118" s="1" cm="1">
        <f t="array" ref="E118">_xlfn.SWITCH($A$2,"average", AVERAGE(Instances!E118:Instances!E118),"median", MEDIAN(Instances!E118:Instances!E118),"min", MIN(Instances!E118:Instances!E118),"max", MAX(Instances!E118:Instances!E118),"diff", MAX(Instances!E118:Instances!E118)-MIN(Instances!E118:Instances!E118))</f>
        <v>0</v>
      </c>
      <c r="F118" s="1"/>
      <c r="G118" s="1" cm="1">
        <f t="array" ref="G118">_xlfn.SWITCH($A$2,"average", AVERAGE(Instances!G118:Instances!G118),"median", MEDIAN(Instances!G118:Instances!G118),"min", MIN(Instances!G118:Instances!G118),"max", MAX(Instances!G118:Instances!G118),"diff", MAX(Instances!G118:Instances!G118)-MIN(Instances!G118:Instances!G118))</f>
        <v>0</v>
      </c>
      <c r="H118" s="1" cm="1">
        <f t="array" ref="H118">_xlfn.SWITCH($A$2,"average", AVERAGE(Instances!H118:Instances!H118),"median", MEDIAN(Instances!H118:Instances!H118),"min", MIN(Instances!H118:Instances!H118),"max", MAX(Instances!H118:Instances!H118),"diff", MAX(Instances!H118:Instances!H118)-MIN(Instances!H118:Instances!H118))</f>
        <v>0</v>
      </c>
      <c r="I118" s="1">
        <f>MIN($B118)</f>
        <v>0</v>
      </c>
      <c r="J118" s="1">
        <f>MIN($C118)</f>
        <v>0</v>
      </c>
      <c r="K118" s="1">
        <f>MIN($D118)</f>
        <v>0</v>
      </c>
      <c r="L118" s="1">
        <f>MIN($E118)</f>
        <v>0</v>
      </c>
      <c r="M118" s="1">
        <f>MIN($G118)</f>
        <v>0</v>
      </c>
      <c r="N118" s="1">
        <f>MIN($H118)</f>
        <v>0</v>
      </c>
      <c r="O118" s="1">
        <f>MEDIAN($B118)</f>
        <v>0</v>
      </c>
      <c r="P118" s="1">
        <f>MEDIAN($C118)</f>
        <v>0</v>
      </c>
      <c r="Q118" s="1">
        <f>MEDIAN($D118)</f>
        <v>0</v>
      </c>
      <c r="R118" s="1">
        <f>MEDIAN($E118)</f>
        <v>0</v>
      </c>
      <c r="S118" s="1">
        <f>MEDIAN($G118)</f>
        <v>0</v>
      </c>
      <c r="T118" s="1">
        <f>MEDIAN($H118)</f>
        <v>0</v>
      </c>
      <c r="U118" s="1">
        <f>MAX($B118)</f>
        <v>0</v>
      </c>
      <c r="V118" s="1">
        <f>MAX($C118)</f>
        <v>0</v>
      </c>
      <c r="W118" s="1">
        <f>MAX($D118)</f>
        <v>0</v>
      </c>
      <c r="X118" s="1">
        <f>MAX($E118)</f>
        <v>0</v>
      </c>
      <c r="Y118" s="1">
        <f>MAX($G118)</f>
        <v>0</v>
      </c>
      <c r="Z118" s="1">
        <f>MAX($H118)</f>
        <v>0</v>
      </c>
    </row>
    <row r="119" spans="1:26">
      <c r="A119" s="1" t="s">
        <v>116</v>
      </c>
      <c r="B119" s="1" cm="1">
        <f t="array" ref="B119">_xlfn.SWITCH($A$2,"average", AVERAGE(Instances!B119:Instances!B119),"median", MEDIAN(Instances!B119:Instances!B119),"min", MIN(Instances!B119:Instances!B119),"max", MAX(Instances!B119:Instances!B119),"diff", MAX(Instances!B119:Instances!B119)-MIN(Instances!B119:Instances!B119))</f>
        <v>0</v>
      </c>
      <c r="C119" s="1" cm="1">
        <f t="array" ref="C119">_xlfn.SWITCH($A$2,"average", AVERAGE(Instances!C119:Instances!C119),"median", MEDIAN(Instances!C119:Instances!C119),"min", MIN(Instances!C119:Instances!C119),"max", MAX(Instances!C119:Instances!C119),"diff", MAX(Instances!C119:Instances!C119)-MIN(Instances!C119:Instances!C119))</f>
        <v>0</v>
      </c>
      <c r="D119" s="1" cm="1">
        <f t="array" ref="D119">_xlfn.SWITCH($A$2,"average", AVERAGE(Instances!D119:Instances!D119),"median", MEDIAN(Instances!D119:Instances!D119),"min", MIN(Instances!D119:Instances!D119),"max", MAX(Instances!D119:Instances!D119),"diff", MAX(Instances!D119:Instances!D119)-MIN(Instances!D119:Instances!D119))</f>
        <v>0</v>
      </c>
      <c r="E119" s="1" cm="1">
        <f t="array" ref="E119">_xlfn.SWITCH($A$2,"average", AVERAGE(Instances!E119:Instances!E119),"median", MEDIAN(Instances!E119:Instances!E119),"min", MIN(Instances!E119:Instances!E119),"max", MAX(Instances!E119:Instances!E119),"diff", MAX(Instances!E119:Instances!E119)-MIN(Instances!E119:Instances!E119))</f>
        <v>0</v>
      </c>
      <c r="F119" s="1"/>
      <c r="G119" s="1" cm="1">
        <f t="array" ref="G119">_xlfn.SWITCH($A$2,"average", AVERAGE(Instances!G119:Instances!G119),"median", MEDIAN(Instances!G119:Instances!G119),"min", MIN(Instances!G119:Instances!G119),"max", MAX(Instances!G119:Instances!G119),"diff", MAX(Instances!G119:Instances!G119)-MIN(Instances!G119:Instances!G119))</f>
        <v>0</v>
      </c>
      <c r="H119" s="1" cm="1">
        <f t="array" ref="H119">_xlfn.SWITCH($A$2,"average", AVERAGE(Instances!H119:Instances!H119),"median", MEDIAN(Instances!H119:Instances!H119),"min", MIN(Instances!H119:Instances!H119),"max", MAX(Instances!H119:Instances!H119),"diff", MAX(Instances!H119:Instances!H119)-MIN(Instances!H119:Instances!H119))</f>
        <v>0</v>
      </c>
      <c r="I119" s="1">
        <f>MIN($B119)</f>
        <v>0</v>
      </c>
      <c r="J119" s="1">
        <f>MIN($C119)</f>
        <v>0</v>
      </c>
      <c r="K119" s="1">
        <f>MIN($D119)</f>
        <v>0</v>
      </c>
      <c r="L119" s="1">
        <f>MIN($E119)</f>
        <v>0</v>
      </c>
      <c r="M119" s="1">
        <f>MIN($G119)</f>
        <v>0</v>
      </c>
      <c r="N119" s="1">
        <f>MIN($H119)</f>
        <v>0</v>
      </c>
      <c r="O119" s="1">
        <f>MEDIAN($B119)</f>
        <v>0</v>
      </c>
      <c r="P119" s="1">
        <f>MEDIAN($C119)</f>
        <v>0</v>
      </c>
      <c r="Q119" s="1">
        <f>MEDIAN($D119)</f>
        <v>0</v>
      </c>
      <c r="R119" s="1">
        <f>MEDIAN($E119)</f>
        <v>0</v>
      </c>
      <c r="S119" s="1">
        <f>MEDIAN($G119)</f>
        <v>0</v>
      </c>
      <c r="T119" s="1">
        <f>MEDIAN($H119)</f>
        <v>0</v>
      </c>
      <c r="U119" s="1">
        <f>MAX($B119)</f>
        <v>0</v>
      </c>
      <c r="V119" s="1">
        <f>MAX($C119)</f>
        <v>0</v>
      </c>
      <c r="W119" s="1">
        <f>MAX($D119)</f>
        <v>0</v>
      </c>
      <c r="X119" s="1">
        <f>MAX($E119)</f>
        <v>0</v>
      </c>
      <c r="Y119" s="1">
        <f>MAX($G119)</f>
        <v>0</v>
      </c>
      <c r="Z119" s="1">
        <f>MAX($H119)</f>
        <v>0</v>
      </c>
    </row>
    <row r="120" spans="1:26">
      <c r="A120" s="1" t="s">
        <v>117</v>
      </c>
      <c r="B120" s="1" cm="1">
        <f t="array" ref="B120">_xlfn.SWITCH($A$2,"average", AVERAGE(Instances!B120:Instances!B120),"median", MEDIAN(Instances!B120:Instances!B120),"min", MIN(Instances!B120:Instances!B120),"max", MAX(Instances!B120:Instances!B120),"diff", MAX(Instances!B120:Instances!B120)-MIN(Instances!B120:Instances!B120))</f>
        <v>0</v>
      </c>
      <c r="C120" s="1" cm="1">
        <f t="array" ref="C120">_xlfn.SWITCH($A$2,"average", AVERAGE(Instances!C120:Instances!C120),"median", MEDIAN(Instances!C120:Instances!C120),"min", MIN(Instances!C120:Instances!C120),"max", MAX(Instances!C120:Instances!C120),"diff", MAX(Instances!C120:Instances!C120)-MIN(Instances!C120:Instances!C120))</f>
        <v>0</v>
      </c>
      <c r="D120" s="1" cm="1">
        <f t="array" ref="D120">_xlfn.SWITCH($A$2,"average", AVERAGE(Instances!D120:Instances!D120),"median", MEDIAN(Instances!D120:Instances!D120),"min", MIN(Instances!D120:Instances!D120),"max", MAX(Instances!D120:Instances!D120),"diff", MAX(Instances!D120:Instances!D120)-MIN(Instances!D120:Instances!D120))</f>
        <v>0</v>
      </c>
      <c r="E120" s="1" cm="1">
        <f t="array" ref="E120">_xlfn.SWITCH($A$2,"average", AVERAGE(Instances!E120:Instances!E120),"median", MEDIAN(Instances!E120:Instances!E120),"min", MIN(Instances!E120:Instances!E120),"max", MAX(Instances!E120:Instances!E120),"diff", MAX(Instances!E120:Instances!E120)-MIN(Instances!E120:Instances!E120))</f>
        <v>0</v>
      </c>
      <c r="F120" s="1"/>
      <c r="G120" s="1" cm="1">
        <f t="array" ref="G120">_xlfn.SWITCH($A$2,"average", AVERAGE(Instances!G120:Instances!G120),"median", MEDIAN(Instances!G120:Instances!G120),"min", MIN(Instances!G120:Instances!G120),"max", MAX(Instances!G120:Instances!G120),"diff", MAX(Instances!G120:Instances!G120)-MIN(Instances!G120:Instances!G120))</f>
        <v>0</v>
      </c>
      <c r="H120" s="1" cm="1">
        <f t="array" ref="H120">_xlfn.SWITCH($A$2,"average", AVERAGE(Instances!H120:Instances!H120),"median", MEDIAN(Instances!H120:Instances!H120),"min", MIN(Instances!H120:Instances!H120),"max", MAX(Instances!H120:Instances!H120),"diff", MAX(Instances!H120:Instances!H120)-MIN(Instances!H120:Instances!H120))</f>
        <v>0</v>
      </c>
      <c r="I120" s="1">
        <f>MIN($B120)</f>
        <v>0</v>
      </c>
      <c r="J120" s="1">
        <f>MIN($C120)</f>
        <v>0</v>
      </c>
      <c r="K120" s="1">
        <f>MIN($D120)</f>
        <v>0</v>
      </c>
      <c r="L120" s="1">
        <f>MIN($E120)</f>
        <v>0</v>
      </c>
      <c r="M120" s="1">
        <f>MIN($G120)</f>
        <v>0</v>
      </c>
      <c r="N120" s="1">
        <f>MIN($H120)</f>
        <v>0</v>
      </c>
      <c r="O120" s="1">
        <f>MEDIAN($B120)</f>
        <v>0</v>
      </c>
      <c r="P120" s="1">
        <f>MEDIAN($C120)</f>
        <v>0</v>
      </c>
      <c r="Q120" s="1">
        <f>MEDIAN($D120)</f>
        <v>0</v>
      </c>
      <c r="R120" s="1">
        <f>MEDIAN($E120)</f>
        <v>0</v>
      </c>
      <c r="S120" s="1">
        <f>MEDIAN($G120)</f>
        <v>0</v>
      </c>
      <c r="T120" s="1">
        <f>MEDIAN($H120)</f>
        <v>0</v>
      </c>
      <c r="U120" s="1">
        <f>MAX($B120)</f>
        <v>0</v>
      </c>
      <c r="V120" s="1">
        <f>MAX($C120)</f>
        <v>0</v>
      </c>
      <c r="W120" s="1">
        <f>MAX($D120)</f>
        <v>0</v>
      </c>
      <c r="X120" s="1">
        <f>MAX($E120)</f>
        <v>0</v>
      </c>
      <c r="Y120" s="1">
        <f>MAX($G120)</f>
        <v>0</v>
      </c>
      <c r="Z120" s="1">
        <f>MAX($H120)</f>
        <v>0</v>
      </c>
    </row>
    <row r="121" spans="1:26">
      <c r="A121" s="1" t="s">
        <v>118</v>
      </c>
      <c r="B121" s="1" cm="1">
        <f t="array" ref="B121">_xlfn.SWITCH($A$2,"average", AVERAGE(Instances!B121:Instances!B121),"median", MEDIAN(Instances!B121:Instances!B121),"min", MIN(Instances!B121:Instances!B121),"max", MAX(Instances!B121:Instances!B121),"diff", MAX(Instances!B121:Instances!B121)-MIN(Instances!B121:Instances!B121))</f>
        <v>0</v>
      </c>
      <c r="C121" s="1" cm="1">
        <f t="array" ref="C121">_xlfn.SWITCH($A$2,"average", AVERAGE(Instances!C121:Instances!C121),"median", MEDIAN(Instances!C121:Instances!C121),"min", MIN(Instances!C121:Instances!C121),"max", MAX(Instances!C121:Instances!C121),"diff", MAX(Instances!C121:Instances!C121)-MIN(Instances!C121:Instances!C121))</f>
        <v>0</v>
      </c>
      <c r="D121" s="1" cm="1">
        <f t="array" ref="D121">_xlfn.SWITCH($A$2,"average", AVERAGE(Instances!D121:Instances!D121),"median", MEDIAN(Instances!D121:Instances!D121),"min", MIN(Instances!D121:Instances!D121),"max", MAX(Instances!D121:Instances!D121),"diff", MAX(Instances!D121:Instances!D121)-MIN(Instances!D121:Instances!D121))</f>
        <v>0</v>
      </c>
      <c r="E121" s="1" cm="1">
        <f t="array" ref="E121">_xlfn.SWITCH($A$2,"average", AVERAGE(Instances!E121:Instances!E121),"median", MEDIAN(Instances!E121:Instances!E121),"min", MIN(Instances!E121:Instances!E121),"max", MAX(Instances!E121:Instances!E121),"diff", MAX(Instances!E121:Instances!E121)-MIN(Instances!E121:Instances!E121))</f>
        <v>0</v>
      </c>
      <c r="F121" s="1"/>
      <c r="G121" s="1" cm="1">
        <f t="array" ref="G121">_xlfn.SWITCH($A$2,"average", AVERAGE(Instances!G121:Instances!G121),"median", MEDIAN(Instances!G121:Instances!G121),"min", MIN(Instances!G121:Instances!G121),"max", MAX(Instances!G121:Instances!G121),"diff", MAX(Instances!G121:Instances!G121)-MIN(Instances!G121:Instances!G121))</f>
        <v>0</v>
      </c>
      <c r="H121" s="1" cm="1">
        <f t="array" ref="H121">_xlfn.SWITCH($A$2,"average", AVERAGE(Instances!H121:Instances!H121),"median", MEDIAN(Instances!H121:Instances!H121),"min", MIN(Instances!H121:Instances!H121),"max", MAX(Instances!H121:Instances!H121),"diff", MAX(Instances!H121:Instances!H121)-MIN(Instances!H121:Instances!H121))</f>
        <v>0</v>
      </c>
      <c r="I121" s="1">
        <f>MIN($B121)</f>
        <v>0</v>
      </c>
      <c r="J121" s="1">
        <f>MIN($C121)</f>
        <v>0</v>
      </c>
      <c r="K121" s="1">
        <f>MIN($D121)</f>
        <v>0</v>
      </c>
      <c r="L121" s="1">
        <f>MIN($E121)</f>
        <v>0</v>
      </c>
      <c r="M121" s="1">
        <f>MIN($G121)</f>
        <v>0</v>
      </c>
      <c r="N121" s="1">
        <f>MIN($H121)</f>
        <v>0</v>
      </c>
      <c r="O121" s="1">
        <f>MEDIAN($B121)</f>
        <v>0</v>
      </c>
      <c r="P121" s="1">
        <f>MEDIAN($C121)</f>
        <v>0</v>
      </c>
      <c r="Q121" s="1">
        <f>MEDIAN($D121)</f>
        <v>0</v>
      </c>
      <c r="R121" s="1">
        <f>MEDIAN($E121)</f>
        <v>0</v>
      </c>
      <c r="S121" s="1">
        <f>MEDIAN($G121)</f>
        <v>0</v>
      </c>
      <c r="T121" s="1">
        <f>MEDIAN($H121)</f>
        <v>0</v>
      </c>
      <c r="U121" s="1">
        <f>MAX($B121)</f>
        <v>0</v>
      </c>
      <c r="V121" s="1">
        <f>MAX($C121)</f>
        <v>0</v>
      </c>
      <c r="W121" s="1">
        <f>MAX($D121)</f>
        <v>0</v>
      </c>
      <c r="X121" s="1">
        <f>MAX($E121)</f>
        <v>0</v>
      </c>
      <c r="Y121" s="1">
        <f>MAX($G121)</f>
        <v>0</v>
      </c>
      <c r="Z121" s="1">
        <f>MAX($H121)</f>
        <v>0</v>
      </c>
    </row>
    <row r="122" spans="1:26">
      <c r="A122" s="1" t="s">
        <v>119</v>
      </c>
      <c r="B122" s="1" cm="1">
        <f t="array" ref="B122">_xlfn.SWITCH($A$2,"average", AVERAGE(Instances!B122:Instances!B122),"median", MEDIAN(Instances!B122:Instances!B122),"min", MIN(Instances!B122:Instances!B122),"max", MAX(Instances!B122:Instances!B122),"diff", MAX(Instances!B122:Instances!B122)-MIN(Instances!B122:Instances!B122))</f>
        <v>0</v>
      </c>
      <c r="C122" s="1" cm="1">
        <f t="array" ref="C122">_xlfn.SWITCH($A$2,"average", AVERAGE(Instances!C122:Instances!C122),"median", MEDIAN(Instances!C122:Instances!C122),"min", MIN(Instances!C122:Instances!C122),"max", MAX(Instances!C122:Instances!C122),"diff", MAX(Instances!C122:Instances!C122)-MIN(Instances!C122:Instances!C122))</f>
        <v>0</v>
      </c>
      <c r="D122" s="1" cm="1">
        <f t="array" ref="D122">_xlfn.SWITCH($A$2,"average", AVERAGE(Instances!D122:Instances!D122),"median", MEDIAN(Instances!D122:Instances!D122),"min", MIN(Instances!D122:Instances!D122),"max", MAX(Instances!D122:Instances!D122),"diff", MAX(Instances!D122:Instances!D122)-MIN(Instances!D122:Instances!D122))</f>
        <v>0</v>
      </c>
      <c r="E122" s="1" cm="1">
        <f t="array" ref="E122">_xlfn.SWITCH($A$2,"average", AVERAGE(Instances!E122:Instances!E122),"median", MEDIAN(Instances!E122:Instances!E122),"min", MIN(Instances!E122:Instances!E122),"max", MAX(Instances!E122:Instances!E122),"diff", MAX(Instances!E122:Instances!E122)-MIN(Instances!E122:Instances!E122))</f>
        <v>0</v>
      </c>
      <c r="F122" s="1"/>
      <c r="G122" s="1" cm="1">
        <f t="array" ref="G122">_xlfn.SWITCH($A$2,"average", AVERAGE(Instances!G122:Instances!G122),"median", MEDIAN(Instances!G122:Instances!G122),"min", MIN(Instances!G122:Instances!G122),"max", MAX(Instances!G122:Instances!G122),"diff", MAX(Instances!G122:Instances!G122)-MIN(Instances!G122:Instances!G122))</f>
        <v>0</v>
      </c>
      <c r="H122" s="1" cm="1">
        <f t="array" ref="H122">_xlfn.SWITCH($A$2,"average", AVERAGE(Instances!H122:Instances!H122),"median", MEDIAN(Instances!H122:Instances!H122),"min", MIN(Instances!H122:Instances!H122),"max", MAX(Instances!H122:Instances!H122),"diff", MAX(Instances!H122:Instances!H122)-MIN(Instances!H122:Instances!H122))</f>
        <v>0</v>
      </c>
      <c r="I122" s="1">
        <f>MIN($B122)</f>
        <v>0</v>
      </c>
      <c r="J122" s="1">
        <f>MIN($C122)</f>
        <v>0</v>
      </c>
      <c r="K122" s="1">
        <f>MIN($D122)</f>
        <v>0</v>
      </c>
      <c r="L122" s="1">
        <f>MIN($E122)</f>
        <v>0</v>
      </c>
      <c r="M122" s="1">
        <f>MIN($G122)</f>
        <v>0</v>
      </c>
      <c r="N122" s="1">
        <f>MIN($H122)</f>
        <v>0</v>
      </c>
      <c r="O122" s="1">
        <f>MEDIAN($B122)</f>
        <v>0</v>
      </c>
      <c r="P122" s="1">
        <f>MEDIAN($C122)</f>
        <v>0</v>
      </c>
      <c r="Q122" s="1">
        <f>MEDIAN($D122)</f>
        <v>0</v>
      </c>
      <c r="R122" s="1">
        <f>MEDIAN($E122)</f>
        <v>0</v>
      </c>
      <c r="S122" s="1">
        <f>MEDIAN($G122)</f>
        <v>0</v>
      </c>
      <c r="T122" s="1">
        <f>MEDIAN($H122)</f>
        <v>0</v>
      </c>
      <c r="U122" s="1">
        <f>MAX($B122)</f>
        <v>0</v>
      </c>
      <c r="V122" s="1">
        <f>MAX($C122)</f>
        <v>0</v>
      </c>
      <c r="W122" s="1">
        <f>MAX($D122)</f>
        <v>0</v>
      </c>
      <c r="X122" s="1">
        <f>MAX($E122)</f>
        <v>0</v>
      </c>
      <c r="Y122" s="1">
        <f>MAX($G122)</f>
        <v>0</v>
      </c>
      <c r="Z122" s="1">
        <f>MAX($H122)</f>
        <v>0</v>
      </c>
    </row>
    <row r="123" spans="1:26">
      <c r="A123" s="1" t="s">
        <v>120</v>
      </c>
      <c r="B123" s="1" cm="1">
        <f t="array" ref="B123">_xlfn.SWITCH($A$2,"average", AVERAGE(Instances!B123:Instances!B123),"median", MEDIAN(Instances!B123:Instances!B123),"min", MIN(Instances!B123:Instances!B123),"max", MAX(Instances!B123:Instances!B123),"diff", MAX(Instances!B123:Instances!B123)-MIN(Instances!B123:Instances!B123))</f>
        <v>0</v>
      </c>
      <c r="C123" s="1" cm="1">
        <f t="array" ref="C123">_xlfn.SWITCH($A$2,"average", AVERAGE(Instances!C123:Instances!C123),"median", MEDIAN(Instances!C123:Instances!C123),"min", MIN(Instances!C123:Instances!C123),"max", MAX(Instances!C123:Instances!C123),"diff", MAX(Instances!C123:Instances!C123)-MIN(Instances!C123:Instances!C123))</f>
        <v>0</v>
      </c>
      <c r="D123" s="1" cm="1">
        <f t="array" ref="D123">_xlfn.SWITCH($A$2,"average", AVERAGE(Instances!D123:Instances!D123),"median", MEDIAN(Instances!D123:Instances!D123),"min", MIN(Instances!D123:Instances!D123),"max", MAX(Instances!D123:Instances!D123),"diff", MAX(Instances!D123:Instances!D123)-MIN(Instances!D123:Instances!D123))</f>
        <v>0</v>
      </c>
      <c r="E123" s="1" cm="1">
        <f t="array" ref="E123">_xlfn.SWITCH($A$2,"average", AVERAGE(Instances!E123:Instances!E123),"median", MEDIAN(Instances!E123:Instances!E123),"min", MIN(Instances!E123:Instances!E123),"max", MAX(Instances!E123:Instances!E123),"diff", MAX(Instances!E123:Instances!E123)-MIN(Instances!E123:Instances!E123))</f>
        <v>0</v>
      </c>
      <c r="F123" s="1"/>
      <c r="G123" s="1" cm="1">
        <f t="array" ref="G123">_xlfn.SWITCH($A$2,"average", AVERAGE(Instances!G123:Instances!G123),"median", MEDIAN(Instances!G123:Instances!G123),"min", MIN(Instances!G123:Instances!G123),"max", MAX(Instances!G123:Instances!G123),"diff", MAX(Instances!G123:Instances!G123)-MIN(Instances!G123:Instances!G123))</f>
        <v>0</v>
      </c>
      <c r="H123" s="1" cm="1">
        <f t="array" ref="H123">_xlfn.SWITCH($A$2,"average", AVERAGE(Instances!H123:Instances!H123),"median", MEDIAN(Instances!H123:Instances!H123),"min", MIN(Instances!H123:Instances!H123),"max", MAX(Instances!H123:Instances!H123),"diff", MAX(Instances!H123:Instances!H123)-MIN(Instances!H123:Instances!H123))</f>
        <v>0</v>
      </c>
      <c r="I123" s="1">
        <f>MIN($B123)</f>
        <v>0</v>
      </c>
      <c r="J123" s="1">
        <f>MIN($C123)</f>
        <v>0</v>
      </c>
      <c r="K123" s="1">
        <f>MIN($D123)</f>
        <v>0</v>
      </c>
      <c r="L123" s="1">
        <f>MIN($E123)</f>
        <v>0</v>
      </c>
      <c r="M123" s="1">
        <f>MIN($G123)</f>
        <v>0</v>
      </c>
      <c r="N123" s="1">
        <f>MIN($H123)</f>
        <v>0</v>
      </c>
      <c r="O123" s="1">
        <f>MEDIAN($B123)</f>
        <v>0</v>
      </c>
      <c r="P123" s="1">
        <f>MEDIAN($C123)</f>
        <v>0</v>
      </c>
      <c r="Q123" s="1">
        <f>MEDIAN($D123)</f>
        <v>0</v>
      </c>
      <c r="R123" s="1">
        <f>MEDIAN($E123)</f>
        <v>0</v>
      </c>
      <c r="S123" s="1">
        <f>MEDIAN($G123)</f>
        <v>0</v>
      </c>
      <c r="T123" s="1">
        <f>MEDIAN($H123)</f>
        <v>0</v>
      </c>
      <c r="U123" s="1">
        <f>MAX($B123)</f>
        <v>0</v>
      </c>
      <c r="V123" s="1">
        <f>MAX($C123)</f>
        <v>0</v>
      </c>
      <c r="W123" s="1">
        <f>MAX($D123)</f>
        <v>0</v>
      </c>
      <c r="X123" s="1">
        <f>MAX($E123)</f>
        <v>0</v>
      </c>
      <c r="Y123" s="1">
        <f>MAX($G123)</f>
        <v>0</v>
      </c>
      <c r="Z123" s="1">
        <f>MAX($H123)</f>
        <v>0</v>
      </c>
    </row>
    <row r="124" spans="1:26">
      <c r="A124" s="1" t="s">
        <v>121</v>
      </c>
      <c r="B124" s="1" cm="1">
        <f t="array" ref="B124">_xlfn.SWITCH($A$2,"average", AVERAGE(Instances!B124:Instances!B124),"median", MEDIAN(Instances!B124:Instances!B124),"min", MIN(Instances!B124:Instances!B124),"max", MAX(Instances!B124:Instances!B124),"diff", MAX(Instances!B124:Instances!B124)-MIN(Instances!B124:Instances!B124))</f>
        <v>0</v>
      </c>
      <c r="C124" s="1" cm="1">
        <f t="array" ref="C124">_xlfn.SWITCH($A$2,"average", AVERAGE(Instances!C124:Instances!C124),"median", MEDIAN(Instances!C124:Instances!C124),"min", MIN(Instances!C124:Instances!C124),"max", MAX(Instances!C124:Instances!C124),"diff", MAX(Instances!C124:Instances!C124)-MIN(Instances!C124:Instances!C124))</f>
        <v>0</v>
      </c>
      <c r="D124" s="1" cm="1">
        <f t="array" ref="D124">_xlfn.SWITCH($A$2,"average", AVERAGE(Instances!D124:Instances!D124),"median", MEDIAN(Instances!D124:Instances!D124),"min", MIN(Instances!D124:Instances!D124),"max", MAX(Instances!D124:Instances!D124),"diff", MAX(Instances!D124:Instances!D124)-MIN(Instances!D124:Instances!D124))</f>
        <v>0</v>
      </c>
      <c r="E124" s="1" cm="1">
        <f t="array" ref="E124">_xlfn.SWITCH($A$2,"average", AVERAGE(Instances!E124:Instances!E124),"median", MEDIAN(Instances!E124:Instances!E124),"min", MIN(Instances!E124:Instances!E124),"max", MAX(Instances!E124:Instances!E124),"diff", MAX(Instances!E124:Instances!E124)-MIN(Instances!E124:Instances!E124))</f>
        <v>0</v>
      </c>
      <c r="F124" s="1"/>
      <c r="G124" s="1" cm="1">
        <f t="array" ref="G124">_xlfn.SWITCH($A$2,"average", AVERAGE(Instances!G124:Instances!G124),"median", MEDIAN(Instances!G124:Instances!G124),"min", MIN(Instances!G124:Instances!G124),"max", MAX(Instances!G124:Instances!G124),"diff", MAX(Instances!G124:Instances!G124)-MIN(Instances!G124:Instances!G124))</f>
        <v>0</v>
      </c>
      <c r="H124" s="1" cm="1">
        <f t="array" ref="H124">_xlfn.SWITCH($A$2,"average", AVERAGE(Instances!H124:Instances!H124),"median", MEDIAN(Instances!H124:Instances!H124),"min", MIN(Instances!H124:Instances!H124),"max", MAX(Instances!H124:Instances!H124),"diff", MAX(Instances!H124:Instances!H124)-MIN(Instances!H124:Instances!H124))</f>
        <v>0</v>
      </c>
      <c r="I124" s="1">
        <f>MIN($B124)</f>
        <v>0</v>
      </c>
      <c r="J124" s="1">
        <f>MIN($C124)</f>
        <v>0</v>
      </c>
      <c r="K124" s="1">
        <f>MIN($D124)</f>
        <v>0</v>
      </c>
      <c r="L124" s="1">
        <f>MIN($E124)</f>
        <v>0</v>
      </c>
      <c r="M124" s="1">
        <f>MIN($G124)</f>
        <v>0</v>
      </c>
      <c r="N124" s="1">
        <f>MIN($H124)</f>
        <v>0</v>
      </c>
      <c r="O124" s="1">
        <f>MEDIAN($B124)</f>
        <v>0</v>
      </c>
      <c r="P124" s="1">
        <f>MEDIAN($C124)</f>
        <v>0</v>
      </c>
      <c r="Q124" s="1">
        <f>MEDIAN($D124)</f>
        <v>0</v>
      </c>
      <c r="R124" s="1">
        <f>MEDIAN($E124)</f>
        <v>0</v>
      </c>
      <c r="S124" s="1">
        <f>MEDIAN($G124)</f>
        <v>0</v>
      </c>
      <c r="T124" s="1">
        <f>MEDIAN($H124)</f>
        <v>0</v>
      </c>
      <c r="U124" s="1">
        <f>MAX($B124)</f>
        <v>0</v>
      </c>
      <c r="V124" s="1">
        <f>MAX($C124)</f>
        <v>0</v>
      </c>
      <c r="W124" s="1">
        <f>MAX($D124)</f>
        <v>0</v>
      </c>
      <c r="X124" s="1">
        <f>MAX($E124)</f>
        <v>0</v>
      </c>
      <c r="Y124" s="1">
        <f>MAX($G124)</f>
        <v>0</v>
      </c>
      <c r="Z124" s="1">
        <f>MAX($H124)</f>
        <v>0</v>
      </c>
    </row>
    <row r="125" spans="1:26">
      <c r="A125" s="1" t="s">
        <v>122</v>
      </c>
      <c r="B125" s="1" cm="1">
        <f t="array" ref="B125">_xlfn.SWITCH($A$2,"average", AVERAGE(Instances!B125:Instances!B125),"median", MEDIAN(Instances!B125:Instances!B125),"min", MIN(Instances!B125:Instances!B125),"max", MAX(Instances!B125:Instances!B125),"diff", MAX(Instances!B125:Instances!B125)-MIN(Instances!B125:Instances!B125))</f>
        <v>0</v>
      </c>
      <c r="C125" s="1" cm="1">
        <f t="array" ref="C125">_xlfn.SWITCH($A$2,"average", AVERAGE(Instances!C125:Instances!C125),"median", MEDIAN(Instances!C125:Instances!C125),"min", MIN(Instances!C125:Instances!C125),"max", MAX(Instances!C125:Instances!C125),"diff", MAX(Instances!C125:Instances!C125)-MIN(Instances!C125:Instances!C125))</f>
        <v>0</v>
      </c>
      <c r="D125" s="1" cm="1">
        <f t="array" ref="D125">_xlfn.SWITCH($A$2,"average", AVERAGE(Instances!D125:Instances!D125),"median", MEDIAN(Instances!D125:Instances!D125),"min", MIN(Instances!D125:Instances!D125),"max", MAX(Instances!D125:Instances!D125),"diff", MAX(Instances!D125:Instances!D125)-MIN(Instances!D125:Instances!D125))</f>
        <v>0</v>
      </c>
      <c r="E125" s="1" cm="1">
        <f t="array" ref="E125">_xlfn.SWITCH($A$2,"average", AVERAGE(Instances!E125:Instances!E125),"median", MEDIAN(Instances!E125:Instances!E125),"min", MIN(Instances!E125:Instances!E125),"max", MAX(Instances!E125:Instances!E125),"diff", MAX(Instances!E125:Instances!E125)-MIN(Instances!E125:Instances!E125))</f>
        <v>0</v>
      </c>
      <c r="F125" s="1"/>
      <c r="G125" s="1" cm="1">
        <f t="array" ref="G125">_xlfn.SWITCH($A$2,"average", AVERAGE(Instances!G125:Instances!G125),"median", MEDIAN(Instances!G125:Instances!G125),"min", MIN(Instances!G125:Instances!G125),"max", MAX(Instances!G125:Instances!G125),"diff", MAX(Instances!G125:Instances!G125)-MIN(Instances!G125:Instances!G125))</f>
        <v>0</v>
      </c>
      <c r="H125" s="1" cm="1">
        <f t="array" ref="H125">_xlfn.SWITCH($A$2,"average", AVERAGE(Instances!H125:Instances!H125),"median", MEDIAN(Instances!H125:Instances!H125),"min", MIN(Instances!H125:Instances!H125),"max", MAX(Instances!H125:Instances!H125),"diff", MAX(Instances!H125:Instances!H125)-MIN(Instances!H125:Instances!H125))</f>
        <v>0</v>
      </c>
      <c r="I125" s="1">
        <f>MIN($B125)</f>
        <v>0</v>
      </c>
      <c r="J125" s="1">
        <f>MIN($C125)</f>
        <v>0</v>
      </c>
      <c r="K125" s="1">
        <f>MIN($D125)</f>
        <v>0</v>
      </c>
      <c r="L125" s="1">
        <f>MIN($E125)</f>
        <v>0</v>
      </c>
      <c r="M125" s="1">
        <f>MIN($G125)</f>
        <v>0</v>
      </c>
      <c r="N125" s="1">
        <f>MIN($H125)</f>
        <v>0</v>
      </c>
      <c r="O125" s="1">
        <f>MEDIAN($B125)</f>
        <v>0</v>
      </c>
      <c r="P125" s="1">
        <f>MEDIAN($C125)</f>
        <v>0</v>
      </c>
      <c r="Q125" s="1">
        <f>MEDIAN($D125)</f>
        <v>0</v>
      </c>
      <c r="R125" s="1">
        <f>MEDIAN($E125)</f>
        <v>0</v>
      </c>
      <c r="S125" s="1">
        <f>MEDIAN($G125)</f>
        <v>0</v>
      </c>
      <c r="T125" s="1">
        <f>MEDIAN($H125)</f>
        <v>0</v>
      </c>
      <c r="U125" s="1">
        <f>MAX($B125)</f>
        <v>0</v>
      </c>
      <c r="V125" s="1">
        <f>MAX($C125)</f>
        <v>0</v>
      </c>
      <c r="W125" s="1">
        <f>MAX($D125)</f>
        <v>0</v>
      </c>
      <c r="X125" s="1">
        <f>MAX($E125)</f>
        <v>0</v>
      </c>
      <c r="Y125" s="1">
        <f>MAX($G125)</f>
        <v>0</v>
      </c>
      <c r="Z125" s="1">
        <f>MAX($H125)</f>
        <v>0</v>
      </c>
    </row>
    <row r="126" spans="1:26">
      <c r="A126" s="1" t="s">
        <v>123</v>
      </c>
      <c r="B126" s="1" cm="1">
        <f t="array" ref="B126">_xlfn.SWITCH($A$2,"average", AVERAGE(Instances!B126:Instances!B126),"median", MEDIAN(Instances!B126:Instances!B126),"min", MIN(Instances!B126:Instances!B126),"max", MAX(Instances!B126:Instances!B126),"diff", MAX(Instances!B126:Instances!B126)-MIN(Instances!B126:Instances!B126))</f>
        <v>0</v>
      </c>
      <c r="C126" s="1" cm="1">
        <f t="array" ref="C126">_xlfn.SWITCH($A$2,"average", AVERAGE(Instances!C126:Instances!C126),"median", MEDIAN(Instances!C126:Instances!C126),"min", MIN(Instances!C126:Instances!C126),"max", MAX(Instances!C126:Instances!C126),"diff", MAX(Instances!C126:Instances!C126)-MIN(Instances!C126:Instances!C126))</f>
        <v>0</v>
      </c>
      <c r="D126" s="1" cm="1">
        <f t="array" ref="D126">_xlfn.SWITCH($A$2,"average", AVERAGE(Instances!D126:Instances!D126),"median", MEDIAN(Instances!D126:Instances!D126),"min", MIN(Instances!D126:Instances!D126),"max", MAX(Instances!D126:Instances!D126),"diff", MAX(Instances!D126:Instances!D126)-MIN(Instances!D126:Instances!D126))</f>
        <v>0</v>
      </c>
      <c r="E126" s="1" cm="1">
        <f t="array" ref="E126">_xlfn.SWITCH($A$2,"average", AVERAGE(Instances!E126:Instances!E126),"median", MEDIAN(Instances!E126:Instances!E126),"min", MIN(Instances!E126:Instances!E126),"max", MAX(Instances!E126:Instances!E126),"diff", MAX(Instances!E126:Instances!E126)-MIN(Instances!E126:Instances!E126))</f>
        <v>0</v>
      </c>
      <c r="F126" s="1"/>
      <c r="G126" s="1" cm="1">
        <f t="array" ref="G126">_xlfn.SWITCH($A$2,"average", AVERAGE(Instances!G126:Instances!G126),"median", MEDIAN(Instances!G126:Instances!G126),"min", MIN(Instances!G126:Instances!G126),"max", MAX(Instances!G126:Instances!G126),"diff", MAX(Instances!G126:Instances!G126)-MIN(Instances!G126:Instances!G126))</f>
        <v>0</v>
      </c>
      <c r="H126" s="1" cm="1">
        <f t="array" ref="H126">_xlfn.SWITCH($A$2,"average", AVERAGE(Instances!H126:Instances!H126),"median", MEDIAN(Instances!H126:Instances!H126),"min", MIN(Instances!H126:Instances!H126),"max", MAX(Instances!H126:Instances!H126),"diff", MAX(Instances!H126:Instances!H126)-MIN(Instances!H126:Instances!H126))</f>
        <v>0</v>
      </c>
      <c r="I126" s="1">
        <f>MIN($B126)</f>
        <v>0</v>
      </c>
      <c r="J126" s="1">
        <f>MIN($C126)</f>
        <v>0</v>
      </c>
      <c r="K126" s="1">
        <f>MIN($D126)</f>
        <v>0</v>
      </c>
      <c r="L126" s="1">
        <f>MIN($E126)</f>
        <v>0</v>
      </c>
      <c r="M126" s="1">
        <f>MIN($G126)</f>
        <v>0</v>
      </c>
      <c r="N126" s="1">
        <f>MIN($H126)</f>
        <v>0</v>
      </c>
      <c r="O126" s="1">
        <f>MEDIAN($B126)</f>
        <v>0</v>
      </c>
      <c r="P126" s="1">
        <f>MEDIAN($C126)</f>
        <v>0</v>
      </c>
      <c r="Q126" s="1">
        <f>MEDIAN($D126)</f>
        <v>0</v>
      </c>
      <c r="R126" s="1">
        <f>MEDIAN($E126)</f>
        <v>0</v>
      </c>
      <c r="S126" s="1">
        <f>MEDIAN($G126)</f>
        <v>0</v>
      </c>
      <c r="T126" s="1">
        <f>MEDIAN($H126)</f>
        <v>0</v>
      </c>
      <c r="U126" s="1">
        <f>MAX($B126)</f>
        <v>0</v>
      </c>
      <c r="V126" s="1">
        <f>MAX($C126)</f>
        <v>0</v>
      </c>
      <c r="W126" s="1">
        <f>MAX($D126)</f>
        <v>0</v>
      </c>
      <c r="X126" s="1">
        <f>MAX($E126)</f>
        <v>0</v>
      </c>
      <c r="Y126" s="1">
        <f>MAX($G126)</f>
        <v>0</v>
      </c>
      <c r="Z126" s="1">
        <f>MAX($H126)</f>
        <v>0</v>
      </c>
    </row>
    <row r="127" spans="1:26">
      <c r="A127" s="1" t="s">
        <v>124</v>
      </c>
      <c r="B127" s="1" cm="1">
        <f t="array" ref="B127">_xlfn.SWITCH($A$2,"average", AVERAGE(Instances!B127:Instances!B127),"median", MEDIAN(Instances!B127:Instances!B127),"min", MIN(Instances!B127:Instances!B127),"max", MAX(Instances!B127:Instances!B127),"diff", MAX(Instances!B127:Instances!B127)-MIN(Instances!B127:Instances!B127))</f>
        <v>0</v>
      </c>
      <c r="C127" s="1" cm="1">
        <f t="array" ref="C127">_xlfn.SWITCH($A$2,"average", AVERAGE(Instances!C127:Instances!C127),"median", MEDIAN(Instances!C127:Instances!C127),"min", MIN(Instances!C127:Instances!C127),"max", MAX(Instances!C127:Instances!C127),"diff", MAX(Instances!C127:Instances!C127)-MIN(Instances!C127:Instances!C127))</f>
        <v>0</v>
      </c>
      <c r="D127" s="1" cm="1">
        <f t="array" ref="D127">_xlfn.SWITCH($A$2,"average", AVERAGE(Instances!D127:Instances!D127),"median", MEDIAN(Instances!D127:Instances!D127),"min", MIN(Instances!D127:Instances!D127),"max", MAX(Instances!D127:Instances!D127),"diff", MAX(Instances!D127:Instances!D127)-MIN(Instances!D127:Instances!D127))</f>
        <v>0</v>
      </c>
      <c r="E127" s="1" cm="1">
        <f t="array" ref="E127">_xlfn.SWITCH($A$2,"average", AVERAGE(Instances!E127:Instances!E127),"median", MEDIAN(Instances!E127:Instances!E127),"min", MIN(Instances!E127:Instances!E127),"max", MAX(Instances!E127:Instances!E127),"diff", MAX(Instances!E127:Instances!E127)-MIN(Instances!E127:Instances!E127))</f>
        <v>0</v>
      </c>
      <c r="F127" s="1"/>
      <c r="G127" s="1" cm="1">
        <f t="array" ref="G127">_xlfn.SWITCH($A$2,"average", AVERAGE(Instances!G127:Instances!G127),"median", MEDIAN(Instances!G127:Instances!G127),"min", MIN(Instances!G127:Instances!G127),"max", MAX(Instances!G127:Instances!G127),"diff", MAX(Instances!G127:Instances!G127)-MIN(Instances!G127:Instances!G127))</f>
        <v>0</v>
      </c>
      <c r="H127" s="1" cm="1">
        <f t="array" ref="H127">_xlfn.SWITCH($A$2,"average", AVERAGE(Instances!H127:Instances!H127),"median", MEDIAN(Instances!H127:Instances!H127),"min", MIN(Instances!H127:Instances!H127),"max", MAX(Instances!H127:Instances!H127),"diff", MAX(Instances!H127:Instances!H127)-MIN(Instances!H127:Instances!H127))</f>
        <v>0</v>
      </c>
      <c r="I127" s="1">
        <f>MIN($B127)</f>
        <v>0</v>
      </c>
      <c r="J127" s="1">
        <f>MIN($C127)</f>
        <v>0</v>
      </c>
      <c r="K127" s="1">
        <f>MIN($D127)</f>
        <v>0</v>
      </c>
      <c r="L127" s="1">
        <f>MIN($E127)</f>
        <v>0</v>
      </c>
      <c r="M127" s="1">
        <f>MIN($G127)</f>
        <v>0</v>
      </c>
      <c r="N127" s="1">
        <f>MIN($H127)</f>
        <v>0</v>
      </c>
      <c r="O127" s="1">
        <f>MEDIAN($B127)</f>
        <v>0</v>
      </c>
      <c r="P127" s="1">
        <f>MEDIAN($C127)</f>
        <v>0</v>
      </c>
      <c r="Q127" s="1">
        <f>MEDIAN($D127)</f>
        <v>0</v>
      </c>
      <c r="R127" s="1">
        <f>MEDIAN($E127)</f>
        <v>0</v>
      </c>
      <c r="S127" s="1">
        <f>MEDIAN($G127)</f>
        <v>0</v>
      </c>
      <c r="T127" s="1">
        <f>MEDIAN($H127)</f>
        <v>0</v>
      </c>
      <c r="U127" s="1">
        <f>MAX($B127)</f>
        <v>0</v>
      </c>
      <c r="V127" s="1">
        <f>MAX($C127)</f>
        <v>0</v>
      </c>
      <c r="W127" s="1">
        <f>MAX($D127)</f>
        <v>0</v>
      </c>
      <c r="X127" s="1">
        <f>MAX($E127)</f>
        <v>0</v>
      </c>
      <c r="Y127" s="1">
        <f>MAX($G127)</f>
        <v>0</v>
      </c>
      <c r="Z127" s="1">
        <f>MAX($H127)</f>
        <v>0</v>
      </c>
    </row>
    <row r="128" spans="1:26">
      <c r="A128" s="1" t="s">
        <v>125</v>
      </c>
      <c r="B128" s="1" cm="1">
        <f t="array" ref="B128">_xlfn.SWITCH($A$2,"average", AVERAGE(Instances!B128:Instances!B128),"median", MEDIAN(Instances!B128:Instances!B128),"min", MIN(Instances!B128:Instances!B128),"max", MAX(Instances!B128:Instances!B128),"diff", MAX(Instances!B128:Instances!B128)-MIN(Instances!B128:Instances!B128))</f>
        <v>0</v>
      </c>
      <c r="C128" s="1" cm="1">
        <f t="array" ref="C128">_xlfn.SWITCH($A$2,"average", AVERAGE(Instances!C128:Instances!C128),"median", MEDIAN(Instances!C128:Instances!C128),"min", MIN(Instances!C128:Instances!C128),"max", MAX(Instances!C128:Instances!C128),"diff", MAX(Instances!C128:Instances!C128)-MIN(Instances!C128:Instances!C128))</f>
        <v>0</v>
      </c>
      <c r="D128" s="1" cm="1">
        <f t="array" ref="D128">_xlfn.SWITCH($A$2,"average", AVERAGE(Instances!D128:Instances!D128),"median", MEDIAN(Instances!D128:Instances!D128),"min", MIN(Instances!D128:Instances!D128),"max", MAX(Instances!D128:Instances!D128),"diff", MAX(Instances!D128:Instances!D128)-MIN(Instances!D128:Instances!D128))</f>
        <v>0</v>
      </c>
      <c r="E128" s="1" cm="1">
        <f t="array" ref="E128">_xlfn.SWITCH($A$2,"average", AVERAGE(Instances!E128:Instances!E128),"median", MEDIAN(Instances!E128:Instances!E128),"min", MIN(Instances!E128:Instances!E128),"max", MAX(Instances!E128:Instances!E128),"diff", MAX(Instances!E128:Instances!E128)-MIN(Instances!E128:Instances!E128))</f>
        <v>0</v>
      </c>
      <c r="F128" s="1"/>
      <c r="G128" s="1" cm="1">
        <f t="array" ref="G128">_xlfn.SWITCH($A$2,"average", AVERAGE(Instances!G128:Instances!G128),"median", MEDIAN(Instances!G128:Instances!G128),"min", MIN(Instances!G128:Instances!G128),"max", MAX(Instances!G128:Instances!G128),"diff", MAX(Instances!G128:Instances!G128)-MIN(Instances!G128:Instances!G128))</f>
        <v>0</v>
      </c>
      <c r="H128" s="1" cm="1">
        <f t="array" ref="H128">_xlfn.SWITCH($A$2,"average", AVERAGE(Instances!H128:Instances!H128),"median", MEDIAN(Instances!H128:Instances!H128),"min", MIN(Instances!H128:Instances!H128),"max", MAX(Instances!H128:Instances!H128),"diff", MAX(Instances!H128:Instances!H128)-MIN(Instances!H128:Instances!H128))</f>
        <v>0</v>
      </c>
      <c r="I128" s="1">
        <f>MIN($B128)</f>
        <v>0</v>
      </c>
      <c r="J128" s="1">
        <f>MIN($C128)</f>
        <v>0</v>
      </c>
      <c r="K128" s="1">
        <f>MIN($D128)</f>
        <v>0</v>
      </c>
      <c r="L128" s="1">
        <f>MIN($E128)</f>
        <v>0</v>
      </c>
      <c r="M128" s="1">
        <f>MIN($G128)</f>
        <v>0</v>
      </c>
      <c r="N128" s="1">
        <f>MIN($H128)</f>
        <v>0</v>
      </c>
      <c r="O128" s="1">
        <f>MEDIAN($B128)</f>
        <v>0</v>
      </c>
      <c r="P128" s="1">
        <f>MEDIAN($C128)</f>
        <v>0</v>
      </c>
      <c r="Q128" s="1">
        <f>MEDIAN($D128)</f>
        <v>0</v>
      </c>
      <c r="R128" s="1">
        <f>MEDIAN($E128)</f>
        <v>0</v>
      </c>
      <c r="S128" s="1">
        <f>MEDIAN($G128)</f>
        <v>0</v>
      </c>
      <c r="T128" s="1">
        <f>MEDIAN($H128)</f>
        <v>0</v>
      </c>
      <c r="U128" s="1">
        <f>MAX($B128)</f>
        <v>0</v>
      </c>
      <c r="V128" s="1">
        <f>MAX($C128)</f>
        <v>0</v>
      </c>
      <c r="W128" s="1">
        <f>MAX($D128)</f>
        <v>0</v>
      </c>
      <c r="X128" s="1">
        <f>MAX($E128)</f>
        <v>0</v>
      </c>
      <c r="Y128" s="1">
        <f>MAX($G128)</f>
        <v>0</v>
      </c>
      <c r="Z128" s="1">
        <f>MAX($H128)</f>
        <v>0</v>
      </c>
    </row>
    <row r="129" spans="1:26">
      <c r="A129" s="1" t="s">
        <v>126</v>
      </c>
      <c r="B129" s="1" cm="1">
        <f t="array" ref="B129">_xlfn.SWITCH($A$2,"average", AVERAGE(Instances!B129:Instances!B129),"median", MEDIAN(Instances!B129:Instances!B129),"min", MIN(Instances!B129:Instances!B129),"max", MAX(Instances!B129:Instances!B129),"diff", MAX(Instances!B129:Instances!B129)-MIN(Instances!B129:Instances!B129))</f>
        <v>0</v>
      </c>
      <c r="C129" s="1" cm="1">
        <f t="array" ref="C129">_xlfn.SWITCH($A$2,"average", AVERAGE(Instances!C129:Instances!C129),"median", MEDIAN(Instances!C129:Instances!C129),"min", MIN(Instances!C129:Instances!C129),"max", MAX(Instances!C129:Instances!C129),"diff", MAX(Instances!C129:Instances!C129)-MIN(Instances!C129:Instances!C129))</f>
        <v>0</v>
      </c>
      <c r="D129" s="1" cm="1">
        <f t="array" ref="D129">_xlfn.SWITCH($A$2,"average", AVERAGE(Instances!D129:Instances!D129),"median", MEDIAN(Instances!D129:Instances!D129),"min", MIN(Instances!D129:Instances!D129),"max", MAX(Instances!D129:Instances!D129),"diff", MAX(Instances!D129:Instances!D129)-MIN(Instances!D129:Instances!D129))</f>
        <v>0</v>
      </c>
      <c r="E129" s="1" cm="1">
        <f t="array" ref="E129">_xlfn.SWITCH($A$2,"average", AVERAGE(Instances!E129:Instances!E129),"median", MEDIAN(Instances!E129:Instances!E129),"min", MIN(Instances!E129:Instances!E129),"max", MAX(Instances!E129:Instances!E129),"diff", MAX(Instances!E129:Instances!E129)-MIN(Instances!E129:Instances!E129))</f>
        <v>0</v>
      </c>
      <c r="F129" s="1"/>
      <c r="G129" s="1" cm="1">
        <f t="array" ref="G129">_xlfn.SWITCH($A$2,"average", AVERAGE(Instances!G129:Instances!G129),"median", MEDIAN(Instances!G129:Instances!G129),"min", MIN(Instances!G129:Instances!G129),"max", MAX(Instances!G129:Instances!G129),"diff", MAX(Instances!G129:Instances!G129)-MIN(Instances!G129:Instances!G129))</f>
        <v>0</v>
      </c>
      <c r="H129" s="1" cm="1">
        <f t="array" ref="H129">_xlfn.SWITCH($A$2,"average", AVERAGE(Instances!H129:Instances!H129),"median", MEDIAN(Instances!H129:Instances!H129),"min", MIN(Instances!H129:Instances!H129),"max", MAX(Instances!H129:Instances!H129),"diff", MAX(Instances!H129:Instances!H129)-MIN(Instances!H129:Instances!H129))</f>
        <v>0</v>
      </c>
      <c r="I129" s="1">
        <f>MIN($B129)</f>
        <v>0</v>
      </c>
      <c r="J129" s="1">
        <f>MIN($C129)</f>
        <v>0</v>
      </c>
      <c r="K129" s="1">
        <f>MIN($D129)</f>
        <v>0</v>
      </c>
      <c r="L129" s="1">
        <f>MIN($E129)</f>
        <v>0</v>
      </c>
      <c r="M129" s="1">
        <f>MIN($G129)</f>
        <v>0</v>
      </c>
      <c r="N129" s="1">
        <f>MIN($H129)</f>
        <v>0</v>
      </c>
      <c r="O129" s="1">
        <f>MEDIAN($B129)</f>
        <v>0</v>
      </c>
      <c r="P129" s="1">
        <f>MEDIAN($C129)</f>
        <v>0</v>
      </c>
      <c r="Q129" s="1">
        <f>MEDIAN($D129)</f>
        <v>0</v>
      </c>
      <c r="R129" s="1">
        <f>MEDIAN($E129)</f>
        <v>0</v>
      </c>
      <c r="S129" s="1">
        <f>MEDIAN($G129)</f>
        <v>0</v>
      </c>
      <c r="T129" s="1">
        <f>MEDIAN($H129)</f>
        <v>0</v>
      </c>
      <c r="U129" s="1">
        <f>MAX($B129)</f>
        <v>0</v>
      </c>
      <c r="V129" s="1">
        <f>MAX($C129)</f>
        <v>0</v>
      </c>
      <c r="W129" s="1">
        <f>MAX($D129)</f>
        <v>0</v>
      </c>
      <c r="X129" s="1">
        <f>MAX($E129)</f>
        <v>0</v>
      </c>
      <c r="Y129" s="1">
        <f>MAX($G129)</f>
        <v>0</v>
      </c>
      <c r="Z129" s="1">
        <f>MAX($H129)</f>
        <v>0</v>
      </c>
    </row>
    <row r="130" spans="1:26">
      <c r="A130" s="1" t="s">
        <v>127</v>
      </c>
      <c r="B130" s="1" cm="1">
        <f t="array" ref="B130">_xlfn.SWITCH($A$2,"average", AVERAGE(Instances!B130:Instances!B130),"median", MEDIAN(Instances!B130:Instances!B130),"min", MIN(Instances!B130:Instances!B130),"max", MAX(Instances!B130:Instances!B130),"diff", MAX(Instances!B130:Instances!B130)-MIN(Instances!B130:Instances!B130))</f>
        <v>0</v>
      </c>
      <c r="C130" s="1" cm="1">
        <f t="array" ref="C130">_xlfn.SWITCH($A$2,"average", AVERAGE(Instances!C130:Instances!C130),"median", MEDIAN(Instances!C130:Instances!C130),"min", MIN(Instances!C130:Instances!C130),"max", MAX(Instances!C130:Instances!C130),"diff", MAX(Instances!C130:Instances!C130)-MIN(Instances!C130:Instances!C130))</f>
        <v>0</v>
      </c>
      <c r="D130" s="1" cm="1">
        <f t="array" ref="D130">_xlfn.SWITCH($A$2,"average", AVERAGE(Instances!D130:Instances!D130),"median", MEDIAN(Instances!D130:Instances!D130),"min", MIN(Instances!D130:Instances!D130),"max", MAX(Instances!D130:Instances!D130),"diff", MAX(Instances!D130:Instances!D130)-MIN(Instances!D130:Instances!D130))</f>
        <v>0</v>
      </c>
      <c r="E130" s="1" cm="1">
        <f t="array" ref="E130">_xlfn.SWITCH($A$2,"average", AVERAGE(Instances!E130:Instances!E130),"median", MEDIAN(Instances!E130:Instances!E130),"min", MIN(Instances!E130:Instances!E130),"max", MAX(Instances!E130:Instances!E130),"diff", MAX(Instances!E130:Instances!E130)-MIN(Instances!E130:Instances!E130))</f>
        <v>0</v>
      </c>
      <c r="F130" s="1"/>
      <c r="G130" s="1" cm="1">
        <f t="array" ref="G130">_xlfn.SWITCH($A$2,"average", AVERAGE(Instances!G130:Instances!G130),"median", MEDIAN(Instances!G130:Instances!G130),"min", MIN(Instances!G130:Instances!G130),"max", MAX(Instances!G130:Instances!G130),"diff", MAX(Instances!G130:Instances!G130)-MIN(Instances!G130:Instances!G130))</f>
        <v>0</v>
      </c>
      <c r="H130" s="1" cm="1">
        <f t="array" ref="H130">_xlfn.SWITCH($A$2,"average", AVERAGE(Instances!H130:Instances!H130),"median", MEDIAN(Instances!H130:Instances!H130),"min", MIN(Instances!H130:Instances!H130),"max", MAX(Instances!H130:Instances!H130),"diff", MAX(Instances!H130:Instances!H130)-MIN(Instances!H130:Instances!H130))</f>
        <v>0</v>
      </c>
      <c r="I130" s="1">
        <f>MIN($B130)</f>
        <v>0</v>
      </c>
      <c r="J130" s="1">
        <f>MIN($C130)</f>
        <v>0</v>
      </c>
      <c r="K130" s="1">
        <f>MIN($D130)</f>
        <v>0</v>
      </c>
      <c r="L130" s="1">
        <f>MIN($E130)</f>
        <v>0</v>
      </c>
      <c r="M130" s="1">
        <f>MIN($G130)</f>
        <v>0</v>
      </c>
      <c r="N130" s="1">
        <f>MIN($H130)</f>
        <v>0</v>
      </c>
      <c r="O130" s="1">
        <f>MEDIAN($B130)</f>
        <v>0</v>
      </c>
      <c r="P130" s="1">
        <f>MEDIAN($C130)</f>
        <v>0</v>
      </c>
      <c r="Q130" s="1">
        <f>MEDIAN($D130)</f>
        <v>0</v>
      </c>
      <c r="R130" s="1">
        <f>MEDIAN($E130)</f>
        <v>0</v>
      </c>
      <c r="S130" s="1">
        <f>MEDIAN($G130)</f>
        <v>0</v>
      </c>
      <c r="T130" s="1">
        <f>MEDIAN($H130)</f>
        <v>0</v>
      </c>
      <c r="U130" s="1">
        <f>MAX($B130)</f>
        <v>0</v>
      </c>
      <c r="V130" s="1">
        <f>MAX($C130)</f>
        <v>0</v>
      </c>
      <c r="W130" s="1">
        <f>MAX($D130)</f>
        <v>0</v>
      </c>
      <c r="X130" s="1">
        <f>MAX($E130)</f>
        <v>0</v>
      </c>
      <c r="Y130" s="1">
        <f>MAX($G130)</f>
        <v>0</v>
      </c>
      <c r="Z130" s="1">
        <f>MAX($H130)</f>
        <v>0</v>
      </c>
    </row>
    <row r="131" spans="1:26">
      <c r="A131" s="1" t="s">
        <v>128</v>
      </c>
      <c r="B131" s="1" cm="1">
        <f t="array" ref="B131">_xlfn.SWITCH($A$2,"average", AVERAGE(Instances!B131:Instances!B131),"median", MEDIAN(Instances!B131:Instances!B131),"min", MIN(Instances!B131:Instances!B131),"max", MAX(Instances!B131:Instances!B131),"diff", MAX(Instances!B131:Instances!B131)-MIN(Instances!B131:Instances!B131))</f>
        <v>0</v>
      </c>
      <c r="C131" s="1" cm="1">
        <f t="array" ref="C131">_xlfn.SWITCH($A$2,"average", AVERAGE(Instances!C131:Instances!C131),"median", MEDIAN(Instances!C131:Instances!C131),"min", MIN(Instances!C131:Instances!C131),"max", MAX(Instances!C131:Instances!C131),"diff", MAX(Instances!C131:Instances!C131)-MIN(Instances!C131:Instances!C131))</f>
        <v>0</v>
      </c>
      <c r="D131" s="1" cm="1">
        <f t="array" ref="D131">_xlfn.SWITCH($A$2,"average", AVERAGE(Instances!D131:Instances!D131),"median", MEDIAN(Instances!D131:Instances!D131),"min", MIN(Instances!D131:Instances!D131),"max", MAX(Instances!D131:Instances!D131),"diff", MAX(Instances!D131:Instances!D131)-MIN(Instances!D131:Instances!D131))</f>
        <v>0</v>
      </c>
      <c r="E131" s="1" cm="1">
        <f t="array" ref="E131">_xlfn.SWITCH($A$2,"average", AVERAGE(Instances!E131:Instances!E131),"median", MEDIAN(Instances!E131:Instances!E131),"min", MIN(Instances!E131:Instances!E131),"max", MAX(Instances!E131:Instances!E131),"diff", MAX(Instances!E131:Instances!E131)-MIN(Instances!E131:Instances!E131))</f>
        <v>0</v>
      </c>
      <c r="F131" s="1"/>
      <c r="G131" s="1" cm="1">
        <f t="array" ref="G131">_xlfn.SWITCH($A$2,"average", AVERAGE(Instances!G131:Instances!G131),"median", MEDIAN(Instances!G131:Instances!G131),"min", MIN(Instances!G131:Instances!G131),"max", MAX(Instances!G131:Instances!G131),"diff", MAX(Instances!G131:Instances!G131)-MIN(Instances!G131:Instances!G131))</f>
        <v>0</v>
      </c>
      <c r="H131" s="1" cm="1">
        <f t="array" ref="H131">_xlfn.SWITCH($A$2,"average", AVERAGE(Instances!H131:Instances!H131),"median", MEDIAN(Instances!H131:Instances!H131),"min", MIN(Instances!H131:Instances!H131),"max", MAX(Instances!H131:Instances!H131),"diff", MAX(Instances!H131:Instances!H131)-MIN(Instances!H131:Instances!H131))</f>
        <v>0</v>
      </c>
      <c r="I131" s="1">
        <f>MIN($B131)</f>
        <v>0</v>
      </c>
      <c r="J131" s="1">
        <f>MIN($C131)</f>
        <v>0</v>
      </c>
      <c r="K131" s="1">
        <f>MIN($D131)</f>
        <v>0</v>
      </c>
      <c r="L131" s="1">
        <f>MIN($E131)</f>
        <v>0</v>
      </c>
      <c r="M131" s="1">
        <f>MIN($G131)</f>
        <v>0</v>
      </c>
      <c r="N131" s="1">
        <f>MIN($H131)</f>
        <v>0</v>
      </c>
      <c r="O131" s="1">
        <f>MEDIAN($B131)</f>
        <v>0</v>
      </c>
      <c r="P131" s="1">
        <f>MEDIAN($C131)</f>
        <v>0</v>
      </c>
      <c r="Q131" s="1">
        <f>MEDIAN($D131)</f>
        <v>0</v>
      </c>
      <c r="R131" s="1">
        <f>MEDIAN($E131)</f>
        <v>0</v>
      </c>
      <c r="S131" s="1">
        <f>MEDIAN($G131)</f>
        <v>0</v>
      </c>
      <c r="T131" s="1">
        <f>MEDIAN($H131)</f>
        <v>0</v>
      </c>
      <c r="U131" s="1">
        <f>MAX($B131)</f>
        <v>0</v>
      </c>
      <c r="V131" s="1">
        <f>MAX($C131)</f>
        <v>0</v>
      </c>
      <c r="W131" s="1">
        <f>MAX($D131)</f>
        <v>0</v>
      </c>
      <c r="X131" s="1">
        <f>MAX($E131)</f>
        <v>0</v>
      </c>
      <c r="Y131" s="1">
        <f>MAX($G131)</f>
        <v>0</v>
      </c>
      <c r="Z131" s="1">
        <f>MAX($H131)</f>
        <v>0</v>
      </c>
    </row>
    <row r="132" spans="1:26">
      <c r="A132" s="1" t="s">
        <v>129</v>
      </c>
      <c r="B132" s="1" cm="1">
        <f t="array" ref="B132">_xlfn.SWITCH($A$2,"average", AVERAGE(Instances!B132:Instances!B132),"median", MEDIAN(Instances!B132:Instances!B132),"min", MIN(Instances!B132:Instances!B132),"max", MAX(Instances!B132:Instances!B132),"diff", MAX(Instances!B132:Instances!B132)-MIN(Instances!B132:Instances!B132))</f>
        <v>0</v>
      </c>
      <c r="C132" s="1" cm="1">
        <f t="array" ref="C132">_xlfn.SWITCH($A$2,"average", AVERAGE(Instances!C132:Instances!C132),"median", MEDIAN(Instances!C132:Instances!C132),"min", MIN(Instances!C132:Instances!C132),"max", MAX(Instances!C132:Instances!C132),"diff", MAX(Instances!C132:Instances!C132)-MIN(Instances!C132:Instances!C132))</f>
        <v>0</v>
      </c>
      <c r="D132" s="1" cm="1">
        <f t="array" ref="D132">_xlfn.SWITCH($A$2,"average", AVERAGE(Instances!D132:Instances!D132),"median", MEDIAN(Instances!D132:Instances!D132),"min", MIN(Instances!D132:Instances!D132),"max", MAX(Instances!D132:Instances!D132),"diff", MAX(Instances!D132:Instances!D132)-MIN(Instances!D132:Instances!D132))</f>
        <v>0</v>
      </c>
      <c r="E132" s="1" cm="1">
        <f t="array" ref="E132">_xlfn.SWITCH($A$2,"average", AVERAGE(Instances!E132:Instances!E132),"median", MEDIAN(Instances!E132:Instances!E132),"min", MIN(Instances!E132:Instances!E132),"max", MAX(Instances!E132:Instances!E132),"diff", MAX(Instances!E132:Instances!E132)-MIN(Instances!E132:Instances!E132))</f>
        <v>0</v>
      </c>
      <c r="F132" s="1"/>
      <c r="G132" s="1" cm="1">
        <f t="array" ref="G132">_xlfn.SWITCH($A$2,"average", AVERAGE(Instances!G132:Instances!G132),"median", MEDIAN(Instances!G132:Instances!G132),"min", MIN(Instances!G132:Instances!G132),"max", MAX(Instances!G132:Instances!G132),"diff", MAX(Instances!G132:Instances!G132)-MIN(Instances!G132:Instances!G132))</f>
        <v>0</v>
      </c>
      <c r="H132" s="1" cm="1">
        <f t="array" ref="H132">_xlfn.SWITCH($A$2,"average", AVERAGE(Instances!H132:Instances!H132),"median", MEDIAN(Instances!H132:Instances!H132),"min", MIN(Instances!H132:Instances!H132),"max", MAX(Instances!H132:Instances!H132),"diff", MAX(Instances!H132:Instances!H132)-MIN(Instances!H132:Instances!H132))</f>
        <v>0</v>
      </c>
      <c r="I132" s="1">
        <f>MIN($B132)</f>
        <v>0</v>
      </c>
      <c r="J132" s="1">
        <f>MIN($C132)</f>
        <v>0</v>
      </c>
      <c r="K132" s="1">
        <f>MIN($D132)</f>
        <v>0</v>
      </c>
      <c r="L132" s="1">
        <f>MIN($E132)</f>
        <v>0</v>
      </c>
      <c r="M132" s="1">
        <f>MIN($G132)</f>
        <v>0</v>
      </c>
      <c r="N132" s="1">
        <f>MIN($H132)</f>
        <v>0</v>
      </c>
      <c r="O132" s="1">
        <f>MEDIAN($B132)</f>
        <v>0</v>
      </c>
      <c r="P132" s="1">
        <f>MEDIAN($C132)</f>
        <v>0</v>
      </c>
      <c r="Q132" s="1">
        <f>MEDIAN($D132)</f>
        <v>0</v>
      </c>
      <c r="R132" s="1">
        <f>MEDIAN($E132)</f>
        <v>0</v>
      </c>
      <c r="S132" s="1">
        <f>MEDIAN($G132)</f>
        <v>0</v>
      </c>
      <c r="T132" s="1">
        <f>MEDIAN($H132)</f>
        <v>0</v>
      </c>
      <c r="U132" s="1">
        <f>MAX($B132)</f>
        <v>0</v>
      </c>
      <c r="V132" s="1">
        <f>MAX($C132)</f>
        <v>0</v>
      </c>
      <c r="W132" s="1">
        <f>MAX($D132)</f>
        <v>0</v>
      </c>
      <c r="X132" s="1">
        <f>MAX($E132)</f>
        <v>0</v>
      </c>
      <c r="Y132" s="1">
        <f>MAX($G132)</f>
        <v>0</v>
      </c>
      <c r="Z132" s="1">
        <f>MAX($H132)</f>
        <v>0</v>
      </c>
    </row>
    <row r="133" spans="1:26">
      <c r="A133" s="1" t="s">
        <v>130</v>
      </c>
      <c r="B133" s="1" cm="1">
        <f t="array" ref="B133">_xlfn.SWITCH($A$2,"average", AVERAGE(Instances!B133:Instances!B133),"median", MEDIAN(Instances!B133:Instances!B133),"min", MIN(Instances!B133:Instances!B133),"max", MAX(Instances!B133:Instances!B133),"diff", MAX(Instances!B133:Instances!B133)-MIN(Instances!B133:Instances!B133))</f>
        <v>0</v>
      </c>
      <c r="C133" s="1" cm="1">
        <f t="array" ref="C133">_xlfn.SWITCH($A$2,"average", AVERAGE(Instances!C133:Instances!C133),"median", MEDIAN(Instances!C133:Instances!C133),"min", MIN(Instances!C133:Instances!C133),"max", MAX(Instances!C133:Instances!C133),"diff", MAX(Instances!C133:Instances!C133)-MIN(Instances!C133:Instances!C133))</f>
        <v>0</v>
      </c>
      <c r="D133" s="1" cm="1">
        <f t="array" ref="D133">_xlfn.SWITCH($A$2,"average", AVERAGE(Instances!D133:Instances!D133),"median", MEDIAN(Instances!D133:Instances!D133),"min", MIN(Instances!D133:Instances!D133),"max", MAX(Instances!D133:Instances!D133),"diff", MAX(Instances!D133:Instances!D133)-MIN(Instances!D133:Instances!D133))</f>
        <v>0</v>
      </c>
      <c r="E133" s="1" cm="1">
        <f t="array" ref="E133">_xlfn.SWITCH($A$2,"average", AVERAGE(Instances!E133:Instances!E133),"median", MEDIAN(Instances!E133:Instances!E133),"min", MIN(Instances!E133:Instances!E133),"max", MAX(Instances!E133:Instances!E133),"diff", MAX(Instances!E133:Instances!E133)-MIN(Instances!E133:Instances!E133))</f>
        <v>0</v>
      </c>
      <c r="F133" s="1"/>
      <c r="G133" s="1" cm="1">
        <f t="array" ref="G133">_xlfn.SWITCH($A$2,"average", AVERAGE(Instances!G133:Instances!G133),"median", MEDIAN(Instances!G133:Instances!G133),"min", MIN(Instances!G133:Instances!G133),"max", MAX(Instances!G133:Instances!G133),"diff", MAX(Instances!G133:Instances!G133)-MIN(Instances!G133:Instances!G133))</f>
        <v>0</v>
      </c>
      <c r="H133" s="1" cm="1">
        <f t="array" ref="H133">_xlfn.SWITCH($A$2,"average", AVERAGE(Instances!H133:Instances!H133),"median", MEDIAN(Instances!H133:Instances!H133),"min", MIN(Instances!H133:Instances!H133),"max", MAX(Instances!H133:Instances!H133),"diff", MAX(Instances!H133:Instances!H133)-MIN(Instances!H133:Instances!H133))</f>
        <v>0</v>
      </c>
      <c r="I133" s="1">
        <f>MIN($B133)</f>
        <v>0</v>
      </c>
      <c r="J133" s="1">
        <f>MIN($C133)</f>
        <v>0</v>
      </c>
      <c r="K133" s="1">
        <f>MIN($D133)</f>
        <v>0</v>
      </c>
      <c r="L133" s="1">
        <f>MIN($E133)</f>
        <v>0</v>
      </c>
      <c r="M133" s="1">
        <f>MIN($G133)</f>
        <v>0</v>
      </c>
      <c r="N133" s="1">
        <f>MIN($H133)</f>
        <v>0</v>
      </c>
      <c r="O133" s="1">
        <f>MEDIAN($B133)</f>
        <v>0</v>
      </c>
      <c r="P133" s="1">
        <f>MEDIAN($C133)</f>
        <v>0</v>
      </c>
      <c r="Q133" s="1">
        <f>MEDIAN($D133)</f>
        <v>0</v>
      </c>
      <c r="R133" s="1">
        <f>MEDIAN($E133)</f>
        <v>0</v>
      </c>
      <c r="S133" s="1">
        <f>MEDIAN($G133)</f>
        <v>0</v>
      </c>
      <c r="T133" s="1">
        <f>MEDIAN($H133)</f>
        <v>0</v>
      </c>
      <c r="U133" s="1">
        <f>MAX($B133)</f>
        <v>0</v>
      </c>
      <c r="V133" s="1">
        <f>MAX($C133)</f>
        <v>0</v>
      </c>
      <c r="W133" s="1">
        <f>MAX($D133)</f>
        <v>0</v>
      </c>
      <c r="X133" s="1">
        <f>MAX($E133)</f>
        <v>0</v>
      </c>
      <c r="Y133" s="1">
        <f>MAX($G133)</f>
        <v>0</v>
      </c>
      <c r="Z133" s="1">
        <f>MAX($H133)</f>
        <v>0</v>
      </c>
    </row>
    <row r="134" spans="1:26">
      <c r="A134" s="1" t="s">
        <v>131</v>
      </c>
      <c r="B134" s="1" cm="1">
        <f t="array" ref="B134">_xlfn.SWITCH($A$2,"average", AVERAGE(Instances!B134:Instances!B134),"median", MEDIAN(Instances!B134:Instances!B134),"min", MIN(Instances!B134:Instances!B134),"max", MAX(Instances!B134:Instances!B134),"diff", MAX(Instances!B134:Instances!B134)-MIN(Instances!B134:Instances!B134))</f>
        <v>0</v>
      </c>
      <c r="C134" s="1" cm="1">
        <f t="array" ref="C134">_xlfn.SWITCH($A$2,"average", AVERAGE(Instances!C134:Instances!C134),"median", MEDIAN(Instances!C134:Instances!C134),"min", MIN(Instances!C134:Instances!C134),"max", MAX(Instances!C134:Instances!C134),"diff", MAX(Instances!C134:Instances!C134)-MIN(Instances!C134:Instances!C134))</f>
        <v>0</v>
      </c>
      <c r="D134" s="1" cm="1">
        <f t="array" ref="D134">_xlfn.SWITCH($A$2,"average", AVERAGE(Instances!D134:Instances!D134),"median", MEDIAN(Instances!D134:Instances!D134),"min", MIN(Instances!D134:Instances!D134),"max", MAX(Instances!D134:Instances!D134),"diff", MAX(Instances!D134:Instances!D134)-MIN(Instances!D134:Instances!D134))</f>
        <v>0</v>
      </c>
      <c r="E134" s="1" cm="1">
        <f t="array" ref="E134">_xlfn.SWITCH($A$2,"average", AVERAGE(Instances!E134:Instances!E134),"median", MEDIAN(Instances!E134:Instances!E134),"min", MIN(Instances!E134:Instances!E134),"max", MAX(Instances!E134:Instances!E134),"diff", MAX(Instances!E134:Instances!E134)-MIN(Instances!E134:Instances!E134))</f>
        <v>0</v>
      </c>
      <c r="F134" s="1"/>
      <c r="G134" s="1" cm="1">
        <f t="array" ref="G134">_xlfn.SWITCH($A$2,"average", AVERAGE(Instances!G134:Instances!G134),"median", MEDIAN(Instances!G134:Instances!G134),"min", MIN(Instances!G134:Instances!G134),"max", MAX(Instances!G134:Instances!G134),"diff", MAX(Instances!G134:Instances!G134)-MIN(Instances!G134:Instances!G134))</f>
        <v>0</v>
      </c>
      <c r="H134" s="1" cm="1">
        <f t="array" ref="H134">_xlfn.SWITCH($A$2,"average", AVERAGE(Instances!H134:Instances!H134),"median", MEDIAN(Instances!H134:Instances!H134),"min", MIN(Instances!H134:Instances!H134),"max", MAX(Instances!H134:Instances!H134),"diff", MAX(Instances!H134:Instances!H134)-MIN(Instances!H134:Instances!H134))</f>
        <v>0</v>
      </c>
      <c r="I134" s="1">
        <f>MIN($B134)</f>
        <v>0</v>
      </c>
      <c r="J134" s="1">
        <f>MIN($C134)</f>
        <v>0</v>
      </c>
      <c r="K134" s="1">
        <f>MIN($D134)</f>
        <v>0</v>
      </c>
      <c r="L134" s="1">
        <f>MIN($E134)</f>
        <v>0</v>
      </c>
      <c r="M134" s="1">
        <f>MIN($G134)</f>
        <v>0</v>
      </c>
      <c r="N134" s="1">
        <f>MIN($H134)</f>
        <v>0</v>
      </c>
      <c r="O134" s="1">
        <f>MEDIAN($B134)</f>
        <v>0</v>
      </c>
      <c r="P134" s="1">
        <f>MEDIAN($C134)</f>
        <v>0</v>
      </c>
      <c r="Q134" s="1">
        <f>MEDIAN($D134)</f>
        <v>0</v>
      </c>
      <c r="R134" s="1">
        <f>MEDIAN($E134)</f>
        <v>0</v>
      </c>
      <c r="S134" s="1">
        <f>MEDIAN($G134)</f>
        <v>0</v>
      </c>
      <c r="T134" s="1">
        <f>MEDIAN($H134)</f>
        <v>0</v>
      </c>
      <c r="U134" s="1">
        <f>MAX($B134)</f>
        <v>0</v>
      </c>
      <c r="V134" s="1">
        <f>MAX($C134)</f>
        <v>0</v>
      </c>
      <c r="W134" s="1">
        <f>MAX($D134)</f>
        <v>0</v>
      </c>
      <c r="X134" s="1">
        <f>MAX($E134)</f>
        <v>0</v>
      </c>
      <c r="Y134" s="1">
        <f>MAX($G134)</f>
        <v>0</v>
      </c>
      <c r="Z134" s="1">
        <f>MAX($H134)</f>
        <v>0</v>
      </c>
    </row>
    <row r="135" spans="1:26">
      <c r="A135" s="1" t="s">
        <v>132</v>
      </c>
      <c r="B135" s="1" cm="1">
        <f t="array" ref="B135">_xlfn.SWITCH($A$2,"average", AVERAGE(Instances!B135:Instances!B135),"median", MEDIAN(Instances!B135:Instances!B135),"min", MIN(Instances!B135:Instances!B135),"max", MAX(Instances!B135:Instances!B135),"diff", MAX(Instances!B135:Instances!B135)-MIN(Instances!B135:Instances!B135))</f>
        <v>0</v>
      </c>
      <c r="C135" s="1" cm="1">
        <f t="array" ref="C135">_xlfn.SWITCH($A$2,"average", AVERAGE(Instances!C135:Instances!C135),"median", MEDIAN(Instances!C135:Instances!C135),"min", MIN(Instances!C135:Instances!C135),"max", MAX(Instances!C135:Instances!C135),"diff", MAX(Instances!C135:Instances!C135)-MIN(Instances!C135:Instances!C135))</f>
        <v>0</v>
      </c>
      <c r="D135" s="1" cm="1">
        <f t="array" ref="D135">_xlfn.SWITCH($A$2,"average", AVERAGE(Instances!D135:Instances!D135),"median", MEDIAN(Instances!D135:Instances!D135),"min", MIN(Instances!D135:Instances!D135),"max", MAX(Instances!D135:Instances!D135),"diff", MAX(Instances!D135:Instances!D135)-MIN(Instances!D135:Instances!D135))</f>
        <v>0</v>
      </c>
      <c r="E135" s="1" cm="1">
        <f t="array" ref="E135">_xlfn.SWITCH($A$2,"average", AVERAGE(Instances!E135:Instances!E135),"median", MEDIAN(Instances!E135:Instances!E135),"min", MIN(Instances!E135:Instances!E135),"max", MAX(Instances!E135:Instances!E135),"diff", MAX(Instances!E135:Instances!E135)-MIN(Instances!E135:Instances!E135))</f>
        <v>0</v>
      </c>
      <c r="F135" s="1"/>
      <c r="G135" s="1" cm="1">
        <f t="array" ref="G135">_xlfn.SWITCH($A$2,"average", AVERAGE(Instances!G135:Instances!G135),"median", MEDIAN(Instances!G135:Instances!G135),"min", MIN(Instances!G135:Instances!G135),"max", MAX(Instances!G135:Instances!G135),"diff", MAX(Instances!G135:Instances!G135)-MIN(Instances!G135:Instances!G135))</f>
        <v>0</v>
      </c>
      <c r="H135" s="1" cm="1">
        <f t="array" ref="H135">_xlfn.SWITCH($A$2,"average", AVERAGE(Instances!H135:Instances!H135),"median", MEDIAN(Instances!H135:Instances!H135),"min", MIN(Instances!H135:Instances!H135),"max", MAX(Instances!H135:Instances!H135),"diff", MAX(Instances!H135:Instances!H135)-MIN(Instances!H135:Instances!H135))</f>
        <v>0</v>
      </c>
      <c r="I135" s="1">
        <f>MIN($B135)</f>
        <v>0</v>
      </c>
      <c r="J135" s="1">
        <f>MIN($C135)</f>
        <v>0</v>
      </c>
      <c r="K135" s="1">
        <f>MIN($D135)</f>
        <v>0</v>
      </c>
      <c r="L135" s="1">
        <f>MIN($E135)</f>
        <v>0</v>
      </c>
      <c r="M135" s="1">
        <f>MIN($G135)</f>
        <v>0</v>
      </c>
      <c r="N135" s="1">
        <f>MIN($H135)</f>
        <v>0</v>
      </c>
      <c r="O135" s="1">
        <f>MEDIAN($B135)</f>
        <v>0</v>
      </c>
      <c r="P135" s="1">
        <f>MEDIAN($C135)</f>
        <v>0</v>
      </c>
      <c r="Q135" s="1">
        <f>MEDIAN($D135)</f>
        <v>0</v>
      </c>
      <c r="R135" s="1">
        <f>MEDIAN($E135)</f>
        <v>0</v>
      </c>
      <c r="S135" s="1">
        <f>MEDIAN($G135)</f>
        <v>0</v>
      </c>
      <c r="T135" s="1">
        <f>MEDIAN($H135)</f>
        <v>0</v>
      </c>
      <c r="U135" s="1">
        <f>MAX($B135)</f>
        <v>0</v>
      </c>
      <c r="V135" s="1">
        <f>MAX($C135)</f>
        <v>0</v>
      </c>
      <c r="W135" s="1">
        <f>MAX($D135)</f>
        <v>0</v>
      </c>
      <c r="X135" s="1">
        <f>MAX($E135)</f>
        <v>0</v>
      </c>
      <c r="Y135" s="1">
        <f>MAX($G135)</f>
        <v>0</v>
      </c>
      <c r="Z135" s="1">
        <f>MAX($H135)</f>
        <v>0</v>
      </c>
    </row>
    <row r="136" spans="1:26">
      <c r="A136" s="1" t="s">
        <v>133</v>
      </c>
      <c r="B136" s="1" cm="1">
        <f t="array" ref="B136">_xlfn.SWITCH($A$2,"average", AVERAGE(Instances!B136:Instances!B136),"median", MEDIAN(Instances!B136:Instances!B136),"min", MIN(Instances!B136:Instances!B136),"max", MAX(Instances!B136:Instances!B136),"diff", MAX(Instances!B136:Instances!B136)-MIN(Instances!B136:Instances!B136))</f>
        <v>0</v>
      </c>
      <c r="C136" s="1" cm="1">
        <f t="array" ref="C136">_xlfn.SWITCH($A$2,"average", AVERAGE(Instances!C136:Instances!C136),"median", MEDIAN(Instances!C136:Instances!C136),"min", MIN(Instances!C136:Instances!C136),"max", MAX(Instances!C136:Instances!C136),"diff", MAX(Instances!C136:Instances!C136)-MIN(Instances!C136:Instances!C136))</f>
        <v>0</v>
      </c>
      <c r="D136" s="1" cm="1">
        <f t="array" ref="D136">_xlfn.SWITCH($A$2,"average", AVERAGE(Instances!D136:Instances!D136),"median", MEDIAN(Instances!D136:Instances!D136),"min", MIN(Instances!D136:Instances!D136),"max", MAX(Instances!D136:Instances!D136),"diff", MAX(Instances!D136:Instances!D136)-MIN(Instances!D136:Instances!D136))</f>
        <v>0</v>
      </c>
      <c r="E136" s="1" cm="1">
        <f t="array" ref="E136">_xlfn.SWITCH($A$2,"average", AVERAGE(Instances!E136:Instances!E136),"median", MEDIAN(Instances!E136:Instances!E136),"min", MIN(Instances!E136:Instances!E136),"max", MAX(Instances!E136:Instances!E136),"diff", MAX(Instances!E136:Instances!E136)-MIN(Instances!E136:Instances!E136))</f>
        <v>0</v>
      </c>
      <c r="F136" s="1"/>
      <c r="G136" s="1" cm="1">
        <f t="array" ref="G136">_xlfn.SWITCH($A$2,"average", AVERAGE(Instances!G136:Instances!G136),"median", MEDIAN(Instances!G136:Instances!G136),"min", MIN(Instances!G136:Instances!G136),"max", MAX(Instances!G136:Instances!G136),"diff", MAX(Instances!G136:Instances!G136)-MIN(Instances!G136:Instances!G136))</f>
        <v>0</v>
      </c>
      <c r="H136" s="1" cm="1">
        <f t="array" ref="H136">_xlfn.SWITCH($A$2,"average", AVERAGE(Instances!H136:Instances!H136),"median", MEDIAN(Instances!H136:Instances!H136),"min", MIN(Instances!H136:Instances!H136),"max", MAX(Instances!H136:Instances!H136),"diff", MAX(Instances!H136:Instances!H136)-MIN(Instances!H136:Instances!H136))</f>
        <v>0</v>
      </c>
      <c r="I136" s="1">
        <f>MIN($B136)</f>
        <v>0</v>
      </c>
      <c r="J136" s="1">
        <f>MIN($C136)</f>
        <v>0</v>
      </c>
      <c r="K136" s="1">
        <f>MIN($D136)</f>
        <v>0</v>
      </c>
      <c r="L136" s="1">
        <f>MIN($E136)</f>
        <v>0</v>
      </c>
      <c r="M136" s="1">
        <f>MIN($G136)</f>
        <v>0</v>
      </c>
      <c r="N136" s="1">
        <f>MIN($H136)</f>
        <v>0</v>
      </c>
      <c r="O136" s="1">
        <f>MEDIAN($B136)</f>
        <v>0</v>
      </c>
      <c r="P136" s="1">
        <f>MEDIAN($C136)</f>
        <v>0</v>
      </c>
      <c r="Q136" s="1">
        <f>MEDIAN($D136)</f>
        <v>0</v>
      </c>
      <c r="R136" s="1">
        <f>MEDIAN($E136)</f>
        <v>0</v>
      </c>
      <c r="S136" s="1">
        <f>MEDIAN($G136)</f>
        <v>0</v>
      </c>
      <c r="T136" s="1">
        <f>MEDIAN($H136)</f>
        <v>0</v>
      </c>
      <c r="U136" s="1">
        <f>MAX($B136)</f>
        <v>0</v>
      </c>
      <c r="V136" s="1">
        <f>MAX($C136)</f>
        <v>0</v>
      </c>
      <c r="W136" s="1">
        <f>MAX($D136)</f>
        <v>0</v>
      </c>
      <c r="X136" s="1">
        <f>MAX($E136)</f>
        <v>0</v>
      </c>
      <c r="Y136" s="1">
        <f>MAX($G136)</f>
        <v>0</v>
      </c>
      <c r="Z136" s="1">
        <f>MAX($H136)</f>
        <v>0</v>
      </c>
    </row>
    <row r="137" spans="1:26">
      <c r="A137" s="1" t="s">
        <v>134</v>
      </c>
      <c r="B137" s="1" cm="1">
        <f t="array" ref="B137">_xlfn.SWITCH($A$2,"average", AVERAGE(Instances!B137:Instances!B137),"median", MEDIAN(Instances!B137:Instances!B137),"min", MIN(Instances!B137:Instances!B137),"max", MAX(Instances!B137:Instances!B137),"diff", MAX(Instances!B137:Instances!B137)-MIN(Instances!B137:Instances!B137))</f>
        <v>0</v>
      </c>
      <c r="C137" s="1" cm="1">
        <f t="array" ref="C137">_xlfn.SWITCH($A$2,"average", AVERAGE(Instances!C137:Instances!C137),"median", MEDIAN(Instances!C137:Instances!C137),"min", MIN(Instances!C137:Instances!C137),"max", MAX(Instances!C137:Instances!C137),"diff", MAX(Instances!C137:Instances!C137)-MIN(Instances!C137:Instances!C137))</f>
        <v>0</v>
      </c>
      <c r="D137" s="1" cm="1">
        <f t="array" ref="D137">_xlfn.SWITCH($A$2,"average", AVERAGE(Instances!D137:Instances!D137),"median", MEDIAN(Instances!D137:Instances!D137),"min", MIN(Instances!D137:Instances!D137),"max", MAX(Instances!D137:Instances!D137),"diff", MAX(Instances!D137:Instances!D137)-MIN(Instances!D137:Instances!D137))</f>
        <v>0</v>
      </c>
      <c r="E137" s="1" cm="1">
        <f t="array" ref="E137">_xlfn.SWITCH($A$2,"average", AVERAGE(Instances!E137:Instances!E137),"median", MEDIAN(Instances!E137:Instances!E137),"min", MIN(Instances!E137:Instances!E137),"max", MAX(Instances!E137:Instances!E137),"diff", MAX(Instances!E137:Instances!E137)-MIN(Instances!E137:Instances!E137))</f>
        <v>0</v>
      </c>
      <c r="F137" s="1"/>
      <c r="G137" s="1" cm="1">
        <f t="array" ref="G137">_xlfn.SWITCH($A$2,"average", AVERAGE(Instances!G137:Instances!G137),"median", MEDIAN(Instances!G137:Instances!G137),"min", MIN(Instances!G137:Instances!G137),"max", MAX(Instances!G137:Instances!G137),"diff", MAX(Instances!G137:Instances!G137)-MIN(Instances!G137:Instances!G137))</f>
        <v>0</v>
      </c>
      <c r="H137" s="1" cm="1">
        <f t="array" ref="H137">_xlfn.SWITCH($A$2,"average", AVERAGE(Instances!H137:Instances!H137),"median", MEDIAN(Instances!H137:Instances!H137),"min", MIN(Instances!H137:Instances!H137),"max", MAX(Instances!H137:Instances!H137),"diff", MAX(Instances!H137:Instances!H137)-MIN(Instances!H137:Instances!H137))</f>
        <v>0</v>
      </c>
      <c r="I137" s="1">
        <f>MIN($B137)</f>
        <v>0</v>
      </c>
      <c r="J137" s="1">
        <f>MIN($C137)</f>
        <v>0</v>
      </c>
      <c r="K137" s="1">
        <f>MIN($D137)</f>
        <v>0</v>
      </c>
      <c r="L137" s="1">
        <f>MIN($E137)</f>
        <v>0</v>
      </c>
      <c r="M137" s="1">
        <f>MIN($G137)</f>
        <v>0</v>
      </c>
      <c r="N137" s="1">
        <f>MIN($H137)</f>
        <v>0</v>
      </c>
      <c r="O137" s="1">
        <f>MEDIAN($B137)</f>
        <v>0</v>
      </c>
      <c r="P137" s="1">
        <f>MEDIAN($C137)</f>
        <v>0</v>
      </c>
      <c r="Q137" s="1">
        <f>MEDIAN($D137)</f>
        <v>0</v>
      </c>
      <c r="R137" s="1">
        <f>MEDIAN($E137)</f>
        <v>0</v>
      </c>
      <c r="S137" s="1">
        <f>MEDIAN($G137)</f>
        <v>0</v>
      </c>
      <c r="T137" s="1">
        <f>MEDIAN($H137)</f>
        <v>0</v>
      </c>
      <c r="U137" s="1">
        <f>MAX($B137)</f>
        <v>0</v>
      </c>
      <c r="V137" s="1">
        <f>MAX($C137)</f>
        <v>0</v>
      </c>
      <c r="W137" s="1">
        <f>MAX($D137)</f>
        <v>0</v>
      </c>
      <c r="X137" s="1">
        <f>MAX($E137)</f>
        <v>0</v>
      </c>
      <c r="Y137" s="1">
        <f>MAX($G137)</f>
        <v>0</v>
      </c>
      <c r="Z137" s="1">
        <f>MAX($H137)</f>
        <v>0</v>
      </c>
    </row>
    <row r="138" spans="1:26">
      <c r="A138" s="1" t="s">
        <v>135</v>
      </c>
      <c r="B138" s="1" cm="1">
        <f t="array" ref="B138">_xlfn.SWITCH($A$2,"average", AVERAGE(Instances!B138:Instances!B138),"median", MEDIAN(Instances!B138:Instances!B138),"min", MIN(Instances!B138:Instances!B138),"max", MAX(Instances!B138:Instances!B138),"diff", MAX(Instances!B138:Instances!B138)-MIN(Instances!B138:Instances!B138))</f>
        <v>0</v>
      </c>
      <c r="C138" s="1" cm="1">
        <f t="array" ref="C138">_xlfn.SWITCH($A$2,"average", AVERAGE(Instances!C138:Instances!C138),"median", MEDIAN(Instances!C138:Instances!C138),"min", MIN(Instances!C138:Instances!C138),"max", MAX(Instances!C138:Instances!C138),"diff", MAX(Instances!C138:Instances!C138)-MIN(Instances!C138:Instances!C138))</f>
        <v>0</v>
      </c>
      <c r="D138" s="1" cm="1">
        <f t="array" ref="D138">_xlfn.SWITCH($A$2,"average", AVERAGE(Instances!D138:Instances!D138),"median", MEDIAN(Instances!D138:Instances!D138),"min", MIN(Instances!D138:Instances!D138),"max", MAX(Instances!D138:Instances!D138),"diff", MAX(Instances!D138:Instances!D138)-MIN(Instances!D138:Instances!D138))</f>
        <v>0</v>
      </c>
      <c r="E138" s="1" cm="1">
        <f t="array" ref="E138">_xlfn.SWITCH($A$2,"average", AVERAGE(Instances!E138:Instances!E138),"median", MEDIAN(Instances!E138:Instances!E138),"min", MIN(Instances!E138:Instances!E138),"max", MAX(Instances!E138:Instances!E138),"diff", MAX(Instances!E138:Instances!E138)-MIN(Instances!E138:Instances!E138))</f>
        <v>0</v>
      </c>
      <c r="F138" s="1"/>
      <c r="G138" s="1" cm="1">
        <f t="array" ref="G138">_xlfn.SWITCH($A$2,"average", AVERAGE(Instances!G138:Instances!G138),"median", MEDIAN(Instances!G138:Instances!G138),"min", MIN(Instances!G138:Instances!G138),"max", MAX(Instances!G138:Instances!G138),"diff", MAX(Instances!G138:Instances!G138)-MIN(Instances!G138:Instances!G138))</f>
        <v>0</v>
      </c>
      <c r="H138" s="1" cm="1">
        <f t="array" ref="H138">_xlfn.SWITCH($A$2,"average", AVERAGE(Instances!H138:Instances!H138),"median", MEDIAN(Instances!H138:Instances!H138),"min", MIN(Instances!H138:Instances!H138),"max", MAX(Instances!H138:Instances!H138),"diff", MAX(Instances!H138:Instances!H138)-MIN(Instances!H138:Instances!H138))</f>
        <v>0</v>
      </c>
      <c r="I138" s="1">
        <f>MIN($B138)</f>
        <v>0</v>
      </c>
      <c r="J138" s="1">
        <f>MIN($C138)</f>
        <v>0</v>
      </c>
      <c r="K138" s="1">
        <f>MIN($D138)</f>
        <v>0</v>
      </c>
      <c r="L138" s="1">
        <f>MIN($E138)</f>
        <v>0</v>
      </c>
      <c r="M138" s="1">
        <f>MIN($G138)</f>
        <v>0</v>
      </c>
      <c r="N138" s="1">
        <f>MIN($H138)</f>
        <v>0</v>
      </c>
      <c r="O138" s="1">
        <f>MEDIAN($B138)</f>
        <v>0</v>
      </c>
      <c r="P138" s="1">
        <f>MEDIAN($C138)</f>
        <v>0</v>
      </c>
      <c r="Q138" s="1">
        <f>MEDIAN($D138)</f>
        <v>0</v>
      </c>
      <c r="R138" s="1">
        <f>MEDIAN($E138)</f>
        <v>0</v>
      </c>
      <c r="S138" s="1">
        <f>MEDIAN($G138)</f>
        <v>0</v>
      </c>
      <c r="T138" s="1">
        <f>MEDIAN($H138)</f>
        <v>0</v>
      </c>
      <c r="U138" s="1">
        <f>MAX($B138)</f>
        <v>0</v>
      </c>
      <c r="V138" s="1">
        <f>MAX($C138)</f>
        <v>0</v>
      </c>
      <c r="W138" s="1">
        <f>MAX($D138)</f>
        <v>0</v>
      </c>
      <c r="X138" s="1">
        <f>MAX($E138)</f>
        <v>0</v>
      </c>
      <c r="Y138" s="1">
        <f>MAX($G138)</f>
        <v>0</v>
      </c>
      <c r="Z138" s="1">
        <f>MAX($H138)</f>
        <v>0</v>
      </c>
    </row>
    <row r="139" spans="1:26">
      <c r="A139" s="1" t="s">
        <v>136</v>
      </c>
      <c r="B139" s="1" cm="1">
        <f t="array" ref="B139">_xlfn.SWITCH($A$2,"average", AVERAGE(Instances!B139:Instances!B139),"median", MEDIAN(Instances!B139:Instances!B139),"min", MIN(Instances!B139:Instances!B139),"max", MAX(Instances!B139:Instances!B139),"diff", MAX(Instances!B139:Instances!B139)-MIN(Instances!B139:Instances!B139))</f>
        <v>0</v>
      </c>
      <c r="C139" s="1" cm="1">
        <f t="array" ref="C139">_xlfn.SWITCH($A$2,"average", AVERAGE(Instances!C139:Instances!C139),"median", MEDIAN(Instances!C139:Instances!C139),"min", MIN(Instances!C139:Instances!C139),"max", MAX(Instances!C139:Instances!C139),"diff", MAX(Instances!C139:Instances!C139)-MIN(Instances!C139:Instances!C139))</f>
        <v>0</v>
      </c>
      <c r="D139" s="1" cm="1">
        <f t="array" ref="D139">_xlfn.SWITCH($A$2,"average", AVERAGE(Instances!D139:Instances!D139),"median", MEDIAN(Instances!D139:Instances!D139),"min", MIN(Instances!D139:Instances!D139),"max", MAX(Instances!D139:Instances!D139),"diff", MAX(Instances!D139:Instances!D139)-MIN(Instances!D139:Instances!D139))</f>
        <v>0</v>
      </c>
      <c r="E139" s="1" cm="1">
        <f t="array" ref="E139">_xlfn.SWITCH($A$2,"average", AVERAGE(Instances!E139:Instances!E139),"median", MEDIAN(Instances!E139:Instances!E139),"min", MIN(Instances!E139:Instances!E139),"max", MAX(Instances!E139:Instances!E139),"diff", MAX(Instances!E139:Instances!E139)-MIN(Instances!E139:Instances!E139))</f>
        <v>0</v>
      </c>
      <c r="F139" s="1"/>
      <c r="G139" s="1" cm="1">
        <f t="array" ref="G139">_xlfn.SWITCH($A$2,"average", AVERAGE(Instances!G139:Instances!G139),"median", MEDIAN(Instances!G139:Instances!G139),"min", MIN(Instances!G139:Instances!G139),"max", MAX(Instances!G139:Instances!G139),"diff", MAX(Instances!G139:Instances!G139)-MIN(Instances!G139:Instances!G139))</f>
        <v>0</v>
      </c>
      <c r="H139" s="1" cm="1">
        <f t="array" ref="H139">_xlfn.SWITCH($A$2,"average", AVERAGE(Instances!H139:Instances!H139),"median", MEDIAN(Instances!H139:Instances!H139),"min", MIN(Instances!H139:Instances!H139),"max", MAX(Instances!H139:Instances!H139),"diff", MAX(Instances!H139:Instances!H139)-MIN(Instances!H139:Instances!H139))</f>
        <v>0</v>
      </c>
      <c r="I139" s="1">
        <f>MIN($B139)</f>
        <v>0</v>
      </c>
      <c r="J139" s="1">
        <f>MIN($C139)</f>
        <v>0</v>
      </c>
      <c r="K139" s="1">
        <f>MIN($D139)</f>
        <v>0</v>
      </c>
      <c r="L139" s="1">
        <f>MIN($E139)</f>
        <v>0</v>
      </c>
      <c r="M139" s="1">
        <f>MIN($G139)</f>
        <v>0</v>
      </c>
      <c r="N139" s="1">
        <f>MIN($H139)</f>
        <v>0</v>
      </c>
      <c r="O139" s="1">
        <f>MEDIAN($B139)</f>
        <v>0</v>
      </c>
      <c r="P139" s="1">
        <f>MEDIAN($C139)</f>
        <v>0</v>
      </c>
      <c r="Q139" s="1">
        <f>MEDIAN($D139)</f>
        <v>0</v>
      </c>
      <c r="R139" s="1">
        <f>MEDIAN($E139)</f>
        <v>0</v>
      </c>
      <c r="S139" s="1">
        <f>MEDIAN($G139)</f>
        <v>0</v>
      </c>
      <c r="T139" s="1">
        <f>MEDIAN($H139)</f>
        <v>0</v>
      </c>
      <c r="U139" s="1">
        <f>MAX($B139)</f>
        <v>0</v>
      </c>
      <c r="V139" s="1">
        <f>MAX($C139)</f>
        <v>0</v>
      </c>
      <c r="W139" s="1">
        <f>MAX($D139)</f>
        <v>0</v>
      </c>
      <c r="X139" s="1">
        <f>MAX($E139)</f>
        <v>0</v>
      </c>
      <c r="Y139" s="1">
        <f>MAX($G139)</f>
        <v>0</v>
      </c>
      <c r="Z139" s="1">
        <f>MAX($H139)</f>
        <v>0</v>
      </c>
    </row>
    <row r="140" spans="1:26">
      <c r="A140" s="1" t="s">
        <v>137</v>
      </c>
      <c r="B140" s="1" cm="1">
        <f t="array" ref="B140">_xlfn.SWITCH($A$2,"average", AVERAGE(Instances!B140:Instances!B140),"median", MEDIAN(Instances!B140:Instances!B140),"min", MIN(Instances!B140:Instances!B140),"max", MAX(Instances!B140:Instances!B140),"diff", MAX(Instances!B140:Instances!B140)-MIN(Instances!B140:Instances!B140))</f>
        <v>0</v>
      </c>
      <c r="C140" s="1" cm="1">
        <f t="array" ref="C140">_xlfn.SWITCH($A$2,"average", AVERAGE(Instances!C140:Instances!C140),"median", MEDIAN(Instances!C140:Instances!C140),"min", MIN(Instances!C140:Instances!C140),"max", MAX(Instances!C140:Instances!C140),"diff", MAX(Instances!C140:Instances!C140)-MIN(Instances!C140:Instances!C140))</f>
        <v>0</v>
      </c>
      <c r="D140" s="1" cm="1">
        <f t="array" ref="D140">_xlfn.SWITCH($A$2,"average", AVERAGE(Instances!D140:Instances!D140),"median", MEDIAN(Instances!D140:Instances!D140),"min", MIN(Instances!D140:Instances!D140),"max", MAX(Instances!D140:Instances!D140),"diff", MAX(Instances!D140:Instances!D140)-MIN(Instances!D140:Instances!D140))</f>
        <v>0</v>
      </c>
      <c r="E140" s="1" cm="1">
        <f t="array" ref="E140">_xlfn.SWITCH($A$2,"average", AVERAGE(Instances!E140:Instances!E140),"median", MEDIAN(Instances!E140:Instances!E140),"min", MIN(Instances!E140:Instances!E140),"max", MAX(Instances!E140:Instances!E140),"diff", MAX(Instances!E140:Instances!E140)-MIN(Instances!E140:Instances!E140))</f>
        <v>0</v>
      </c>
      <c r="F140" s="1"/>
      <c r="G140" s="1" cm="1">
        <f t="array" ref="G140">_xlfn.SWITCH($A$2,"average", AVERAGE(Instances!G140:Instances!G140),"median", MEDIAN(Instances!G140:Instances!G140),"min", MIN(Instances!G140:Instances!G140),"max", MAX(Instances!G140:Instances!G140),"diff", MAX(Instances!G140:Instances!G140)-MIN(Instances!G140:Instances!G140))</f>
        <v>0</v>
      </c>
      <c r="H140" s="1" cm="1">
        <f t="array" ref="H140">_xlfn.SWITCH($A$2,"average", AVERAGE(Instances!H140:Instances!H140),"median", MEDIAN(Instances!H140:Instances!H140),"min", MIN(Instances!H140:Instances!H140),"max", MAX(Instances!H140:Instances!H140),"diff", MAX(Instances!H140:Instances!H140)-MIN(Instances!H140:Instances!H140))</f>
        <v>0</v>
      </c>
      <c r="I140" s="1">
        <f>MIN($B140)</f>
        <v>0</v>
      </c>
      <c r="J140" s="1">
        <f>MIN($C140)</f>
        <v>0</v>
      </c>
      <c r="K140" s="1">
        <f>MIN($D140)</f>
        <v>0</v>
      </c>
      <c r="L140" s="1">
        <f>MIN($E140)</f>
        <v>0</v>
      </c>
      <c r="M140" s="1">
        <f>MIN($G140)</f>
        <v>0</v>
      </c>
      <c r="N140" s="1">
        <f>MIN($H140)</f>
        <v>0</v>
      </c>
      <c r="O140" s="1">
        <f>MEDIAN($B140)</f>
        <v>0</v>
      </c>
      <c r="P140" s="1">
        <f>MEDIAN($C140)</f>
        <v>0</v>
      </c>
      <c r="Q140" s="1">
        <f>MEDIAN($D140)</f>
        <v>0</v>
      </c>
      <c r="R140" s="1">
        <f>MEDIAN($E140)</f>
        <v>0</v>
      </c>
      <c r="S140" s="1">
        <f>MEDIAN($G140)</f>
        <v>0</v>
      </c>
      <c r="T140" s="1">
        <f>MEDIAN($H140)</f>
        <v>0</v>
      </c>
      <c r="U140" s="1">
        <f>MAX($B140)</f>
        <v>0</v>
      </c>
      <c r="V140" s="1">
        <f>MAX($C140)</f>
        <v>0</v>
      </c>
      <c r="W140" s="1">
        <f>MAX($D140)</f>
        <v>0</v>
      </c>
      <c r="X140" s="1">
        <f>MAX($E140)</f>
        <v>0</v>
      </c>
      <c r="Y140" s="1">
        <f>MAX($G140)</f>
        <v>0</v>
      </c>
      <c r="Z140" s="1">
        <f>MAX($H140)</f>
        <v>0</v>
      </c>
    </row>
    <row r="141" spans="1:26">
      <c r="A141" s="1" t="s">
        <v>138</v>
      </c>
      <c r="B141" s="1" cm="1">
        <f t="array" ref="B141">_xlfn.SWITCH($A$2,"average", AVERAGE(Instances!B141:Instances!B141),"median", MEDIAN(Instances!B141:Instances!B141),"min", MIN(Instances!B141:Instances!B141),"max", MAX(Instances!B141:Instances!B141),"diff", MAX(Instances!B141:Instances!B141)-MIN(Instances!B141:Instances!B141))</f>
        <v>0</v>
      </c>
      <c r="C141" s="1" cm="1">
        <f t="array" ref="C141">_xlfn.SWITCH($A$2,"average", AVERAGE(Instances!C141:Instances!C141),"median", MEDIAN(Instances!C141:Instances!C141),"min", MIN(Instances!C141:Instances!C141),"max", MAX(Instances!C141:Instances!C141),"diff", MAX(Instances!C141:Instances!C141)-MIN(Instances!C141:Instances!C141))</f>
        <v>0</v>
      </c>
      <c r="D141" s="1" cm="1">
        <f t="array" ref="D141">_xlfn.SWITCH($A$2,"average", AVERAGE(Instances!D141:Instances!D141),"median", MEDIAN(Instances!D141:Instances!D141),"min", MIN(Instances!D141:Instances!D141),"max", MAX(Instances!D141:Instances!D141),"diff", MAX(Instances!D141:Instances!D141)-MIN(Instances!D141:Instances!D141))</f>
        <v>0</v>
      </c>
      <c r="E141" s="1" cm="1">
        <f t="array" ref="E141">_xlfn.SWITCH($A$2,"average", AVERAGE(Instances!E141:Instances!E141),"median", MEDIAN(Instances!E141:Instances!E141),"min", MIN(Instances!E141:Instances!E141),"max", MAX(Instances!E141:Instances!E141),"diff", MAX(Instances!E141:Instances!E141)-MIN(Instances!E141:Instances!E141))</f>
        <v>0</v>
      </c>
      <c r="F141" s="1"/>
      <c r="G141" s="1" cm="1">
        <f t="array" ref="G141">_xlfn.SWITCH($A$2,"average", AVERAGE(Instances!G141:Instances!G141),"median", MEDIAN(Instances!G141:Instances!G141),"min", MIN(Instances!G141:Instances!G141),"max", MAX(Instances!G141:Instances!G141),"diff", MAX(Instances!G141:Instances!G141)-MIN(Instances!G141:Instances!G141))</f>
        <v>0</v>
      </c>
      <c r="H141" s="1" cm="1">
        <f t="array" ref="H141">_xlfn.SWITCH($A$2,"average", AVERAGE(Instances!H141:Instances!H141),"median", MEDIAN(Instances!H141:Instances!H141),"min", MIN(Instances!H141:Instances!H141),"max", MAX(Instances!H141:Instances!H141),"diff", MAX(Instances!H141:Instances!H141)-MIN(Instances!H141:Instances!H141))</f>
        <v>0</v>
      </c>
      <c r="I141" s="1">
        <f>MIN($B141)</f>
        <v>0</v>
      </c>
      <c r="J141" s="1">
        <f>MIN($C141)</f>
        <v>0</v>
      </c>
      <c r="K141" s="1">
        <f>MIN($D141)</f>
        <v>0</v>
      </c>
      <c r="L141" s="1">
        <f>MIN($E141)</f>
        <v>0</v>
      </c>
      <c r="M141" s="1">
        <f>MIN($G141)</f>
        <v>0</v>
      </c>
      <c r="N141" s="1">
        <f>MIN($H141)</f>
        <v>0</v>
      </c>
      <c r="O141" s="1">
        <f>MEDIAN($B141)</f>
        <v>0</v>
      </c>
      <c r="P141" s="1">
        <f>MEDIAN($C141)</f>
        <v>0</v>
      </c>
      <c r="Q141" s="1">
        <f>MEDIAN($D141)</f>
        <v>0</v>
      </c>
      <c r="R141" s="1">
        <f>MEDIAN($E141)</f>
        <v>0</v>
      </c>
      <c r="S141" s="1">
        <f>MEDIAN($G141)</f>
        <v>0</v>
      </c>
      <c r="T141" s="1">
        <f>MEDIAN($H141)</f>
        <v>0</v>
      </c>
      <c r="U141" s="1">
        <f>MAX($B141)</f>
        <v>0</v>
      </c>
      <c r="V141" s="1">
        <f>MAX($C141)</f>
        <v>0</v>
      </c>
      <c r="W141" s="1">
        <f>MAX($D141)</f>
        <v>0</v>
      </c>
      <c r="X141" s="1">
        <f>MAX($E141)</f>
        <v>0</v>
      </c>
      <c r="Y141" s="1">
        <f>MAX($G141)</f>
        <v>0</v>
      </c>
      <c r="Z141" s="1">
        <f>MAX($H141)</f>
        <v>0</v>
      </c>
    </row>
    <row r="142" spans="1:26">
      <c r="A142" s="1" t="s">
        <v>139</v>
      </c>
      <c r="B142" s="1" cm="1">
        <f t="array" ref="B142">_xlfn.SWITCH($A$2,"average", AVERAGE(Instances!B142:Instances!B142),"median", MEDIAN(Instances!B142:Instances!B142),"min", MIN(Instances!B142:Instances!B142),"max", MAX(Instances!B142:Instances!B142),"diff", MAX(Instances!B142:Instances!B142)-MIN(Instances!B142:Instances!B142))</f>
        <v>0</v>
      </c>
      <c r="C142" s="1" cm="1">
        <f t="array" ref="C142">_xlfn.SWITCH($A$2,"average", AVERAGE(Instances!C142:Instances!C142),"median", MEDIAN(Instances!C142:Instances!C142),"min", MIN(Instances!C142:Instances!C142),"max", MAX(Instances!C142:Instances!C142),"diff", MAX(Instances!C142:Instances!C142)-MIN(Instances!C142:Instances!C142))</f>
        <v>0</v>
      </c>
      <c r="D142" s="1" cm="1">
        <f t="array" ref="D142">_xlfn.SWITCH($A$2,"average", AVERAGE(Instances!D142:Instances!D142),"median", MEDIAN(Instances!D142:Instances!D142),"min", MIN(Instances!D142:Instances!D142),"max", MAX(Instances!D142:Instances!D142),"diff", MAX(Instances!D142:Instances!D142)-MIN(Instances!D142:Instances!D142))</f>
        <v>0</v>
      </c>
      <c r="E142" s="1" cm="1">
        <f t="array" ref="E142">_xlfn.SWITCH($A$2,"average", AVERAGE(Instances!E142:Instances!E142),"median", MEDIAN(Instances!E142:Instances!E142),"min", MIN(Instances!E142:Instances!E142),"max", MAX(Instances!E142:Instances!E142),"diff", MAX(Instances!E142:Instances!E142)-MIN(Instances!E142:Instances!E142))</f>
        <v>0</v>
      </c>
      <c r="F142" s="1"/>
      <c r="G142" s="1" cm="1">
        <f t="array" ref="G142">_xlfn.SWITCH($A$2,"average", AVERAGE(Instances!G142:Instances!G142),"median", MEDIAN(Instances!G142:Instances!G142),"min", MIN(Instances!G142:Instances!G142),"max", MAX(Instances!G142:Instances!G142),"diff", MAX(Instances!G142:Instances!G142)-MIN(Instances!G142:Instances!G142))</f>
        <v>0</v>
      </c>
      <c r="H142" s="1" cm="1">
        <f t="array" ref="H142">_xlfn.SWITCH($A$2,"average", AVERAGE(Instances!H142:Instances!H142),"median", MEDIAN(Instances!H142:Instances!H142),"min", MIN(Instances!H142:Instances!H142),"max", MAX(Instances!H142:Instances!H142),"diff", MAX(Instances!H142:Instances!H142)-MIN(Instances!H142:Instances!H142))</f>
        <v>0</v>
      </c>
      <c r="I142" s="1">
        <f>MIN($B142)</f>
        <v>0</v>
      </c>
      <c r="J142" s="1">
        <f>MIN($C142)</f>
        <v>0</v>
      </c>
      <c r="K142" s="1">
        <f>MIN($D142)</f>
        <v>0</v>
      </c>
      <c r="L142" s="1">
        <f>MIN($E142)</f>
        <v>0</v>
      </c>
      <c r="M142" s="1">
        <f>MIN($G142)</f>
        <v>0</v>
      </c>
      <c r="N142" s="1">
        <f>MIN($H142)</f>
        <v>0</v>
      </c>
      <c r="O142" s="1">
        <f>MEDIAN($B142)</f>
        <v>0</v>
      </c>
      <c r="P142" s="1">
        <f>MEDIAN($C142)</f>
        <v>0</v>
      </c>
      <c r="Q142" s="1">
        <f>MEDIAN($D142)</f>
        <v>0</v>
      </c>
      <c r="R142" s="1">
        <f>MEDIAN($E142)</f>
        <v>0</v>
      </c>
      <c r="S142" s="1">
        <f>MEDIAN($G142)</f>
        <v>0</v>
      </c>
      <c r="T142" s="1">
        <f>MEDIAN($H142)</f>
        <v>0</v>
      </c>
      <c r="U142" s="1">
        <f>MAX($B142)</f>
        <v>0</v>
      </c>
      <c r="V142" s="1">
        <f>MAX($C142)</f>
        <v>0</v>
      </c>
      <c r="W142" s="1">
        <f>MAX($D142)</f>
        <v>0</v>
      </c>
      <c r="X142" s="1">
        <f>MAX($E142)</f>
        <v>0</v>
      </c>
      <c r="Y142" s="1">
        <f>MAX($G142)</f>
        <v>0</v>
      </c>
      <c r="Z142" s="1">
        <f>MAX($H142)</f>
        <v>0</v>
      </c>
    </row>
    <row r="143" spans="1:26">
      <c r="A143" s="1" t="s">
        <v>140</v>
      </c>
      <c r="B143" s="1" cm="1">
        <f t="array" ref="B143">_xlfn.SWITCH($A$2,"average", AVERAGE(Instances!B143:Instances!B143),"median", MEDIAN(Instances!B143:Instances!B143),"min", MIN(Instances!B143:Instances!B143),"max", MAX(Instances!B143:Instances!B143),"diff", MAX(Instances!B143:Instances!B143)-MIN(Instances!B143:Instances!B143))</f>
        <v>0</v>
      </c>
      <c r="C143" s="1" cm="1">
        <f t="array" ref="C143">_xlfn.SWITCH($A$2,"average", AVERAGE(Instances!C143:Instances!C143),"median", MEDIAN(Instances!C143:Instances!C143),"min", MIN(Instances!C143:Instances!C143),"max", MAX(Instances!C143:Instances!C143),"diff", MAX(Instances!C143:Instances!C143)-MIN(Instances!C143:Instances!C143))</f>
        <v>0</v>
      </c>
      <c r="D143" s="1" cm="1">
        <f t="array" ref="D143">_xlfn.SWITCH($A$2,"average", AVERAGE(Instances!D143:Instances!D143),"median", MEDIAN(Instances!D143:Instances!D143),"min", MIN(Instances!D143:Instances!D143),"max", MAX(Instances!D143:Instances!D143),"diff", MAX(Instances!D143:Instances!D143)-MIN(Instances!D143:Instances!D143))</f>
        <v>0</v>
      </c>
      <c r="E143" s="1" cm="1">
        <f t="array" ref="E143">_xlfn.SWITCH($A$2,"average", AVERAGE(Instances!E143:Instances!E143),"median", MEDIAN(Instances!E143:Instances!E143),"min", MIN(Instances!E143:Instances!E143),"max", MAX(Instances!E143:Instances!E143),"diff", MAX(Instances!E143:Instances!E143)-MIN(Instances!E143:Instances!E143))</f>
        <v>0</v>
      </c>
      <c r="F143" s="1"/>
      <c r="G143" s="1" cm="1">
        <f t="array" ref="G143">_xlfn.SWITCH($A$2,"average", AVERAGE(Instances!G143:Instances!G143),"median", MEDIAN(Instances!G143:Instances!G143),"min", MIN(Instances!G143:Instances!G143),"max", MAX(Instances!G143:Instances!G143),"diff", MAX(Instances!G143:Instances!G143)-MIN(Instances!G143:Instances!G143))</f>
        <v>0</v>
      </c>
      <c r="H143" s="1" cm="1">
        <f t="array" ref="H143">_xlfn.SWITCH($A$2,"average", AVERAGE(Instances!H143:Instances!H143),"median", MEDIAN(Instances!H143:Instances!H143),"min", MIN(Instances!H143:Instances!H143),"max", MAX(Instances!H143:Instances!H143),"diff", MAX(Instances!H143:Instances!H143)-MIN(Instances!H143:Instances!H143))</f>
        <v>0</v>
      </c>
      <c r="I143" s="1">
        <f>MIN($B143)</f>
        <v>0</v>
      </c>
      <c r="J143" s="1">
        <f>MIN($C143)</f>
        <v>0</v>
      </c>
      <c r="K143" s="1">
        <f>MIN($D143)</f>
        <v>0</v>
      </c>
      <c r="L143" s="1">
        <f>MIN($E143)</f>
        <v>0</v>
      </c>
      <c r="M143" s="1">
        <f>MIN($G143)</f>
        <v>0</v>
      </c>
      <c r="N143" s="1">
        <f>MIN($H143)</f>
        <v>0</v>
      </c>
      <c r="O143" s="1">
        <f>MEDIAN($B143)</f>
        <v>0</v>
      </c>
      <c r="P143" s="1">
        <f>MEDIAN($C143)</f>
        <v>0</v>
      </c>
      <c r="Q143" s="1">
        <f>MEDIAN($D143)</f>
        <v>0</v>
      </c>
      <c r="R143" s="1">
        <f>MEDIAN($E143)</f>
        <v>0</v>
      </c>
      <c r="S143" s="1">
        <f>MEDIAN($G143)</f>
        <v>0</v>
      </c>
      <c r="T143" s="1">
        <f>MEDIAN($H143)</f>
        <v>0</v>
      </c>
      <c r="U143" s="1">
        <f>MAX($B143)</f>
        <v>0</v>
      </c>
      <c r="V143" s="1">
        <f>MAX($C143)</f>
        <v>0</v>
      </c>
      <c r="W143" s="1">
        <f>MAX($D143)</f>
        <v>0</v>
      </c>
      <c r="X143" s="1">
        <f>MAX($E143)</f>
        <v>0</v>
      </c>
      <c r="Y143" s="1">
        <f>MAX($G143)</f>
        <v>0</v>
      </c>
      <c r="Z143" s="1">
        <f>MAX($H143)</f>
        <v>0</v>
      </c>
    </row>
    <row r="144" spans="1:26">
      <c r="A144" s="1" t="s">
        <v>70</v>
      </c>
      <c r="B144" s="1" cm="1">
        <f t="array" ref="B144">_xlfn.SWITCH($A$2,"average", AVERAGE(Instances!B144:Instances!B144),"median", MEDIAN(Instances!B144:Instances!B144),"min", MIN(Instances!B144:Instances!B144),"max", MAX(Instances!B144:Instances!B144),"diff", MAX(Instances!B144:Instances!B144)-MIN(Instances!B144:Instances!B144))</f>
        <v>0</v>
      </c>
      <c r="C144" s="1" cm="1">
        <f t="array" ref="C144">_xlfn.SWITCH($A$2,"average", AVERAGE(Instances!C144:Instances!C144),"median", MEDIAN(Instances!C144:Instances!C144),"min", MIN(Instances!C144:Instances!C144),"max", MAX(Instances!C144:Instances!C144),"diff", MAX(Instances!C144:Instances!C144)-MIN(Instances!C144:Instances!C144))</f>
        <v>0</v>
      </c>
      <c r="D144" s="1" cm="1">
        <f t="array" ref="D144">_xlfn.SWITCH($A$2,"average", AVERAGE(Instances!D144:Instances!D144),"median", MEDIAN(Instances!D144:Instances!D144),"min", MIN(Instances!D144:Instances!D144),"max", MAX(Instances!D144:Instances!D144),"diff", MAX(Instances!D144:Instances!D144)-MIN(Instances!D144:Instances!D144))</f>
        <v>0</v>
      </c>
      <c r="E144" s="1" cm="1">
        <f t="array" ref="E144">_xlfn.SWITCH($A$2,"average", AVERAGE(Instances!E144:Instances!E144),"median", MEDIAN(Instances!E144:Instances!E144),"min", MIN(Instances!E144:Instances!E144),"max", MAX(Instances!E144:Instances!E144),"diff", MAX(Instances!E144:Instances!E144)-MIN(Instances!E144:Instances!E144))</f>
        <v>0</v>
      </c>
      <c r="F144" s="1"/>
      <c r="G144" s="1" cm="1">
        <f t="array" ref="G144">_xlfn.SWITCH($A$2,"average", AVERAGE(Instances!G144:Instances!G144),"median", MEDIAN(Instances!G144:Instances!G144),"min", MIN(Instances!G144:Instances!G144),"max", MAX(Instances!G144:Instances!G144),"diff", MAX(Instances!G144:Instances!G144)-MIN(Instances!G144:Instances!G144))</f>
        <v>0</v>
      </c>
      <c r="H144" s="1" cm="1">
        <f t="array" ref="H144">_xlfn.SWITCH($A$2,"average", AVERAGE(Instances!H144:Instances!H144),"median", MEDIAN(Instances!H144:Instances!H144),"min", MIN(Instances!H144:Instances!H144),"max", MAX(Instances!H144:Instances!H144),"diff", MAX(Instances!H144:Instances!H144)-MIN(Instances!H144:Instances!H144))</f>
        <v>0</v>
      </c>
      <c r="I144" s="1">
        <f>MIN($B144)</f>
        <v>0</v>
      </c>
      <c r="J144" s="1">
        <f>MIN($C144)</f>
        <v>0</v>
      </c>
      <c r="K144" s="1">
        <f>MIN($D144)</f>
        <v>0</v>
      </c>
      <c r="L144" s="1">
        <f>MIN($E144)</f>
        <v>0</v>
      </c>
      <c r="M144" s="1">
        <f>MIN($G144)</f>
        <v>0</v>
      </c>
      <c r="N144" s="1">
        <f>MIN($H144)</f>
        <v>0</v>
      </c>
      <c r="O144" s="1">
        <f>MEDIAN($B144)</f>
        <v>0</v>
      </c>
      <c r="P144" s="1">
        <f>MEDIAN($C144)</f>
        <v>0</v>
      </c>
      <c r="Q144" s="1">
        <f>MEDIAN($D144)</f>
        <v>0</v>
      </c>
      <c r="R144" s="1">
        <f>MEDIAN($E144)</f>
        <v>0</v>
      </c>
      <c r="S144" s="1">
        <f>MEDIAN($G144)</f>
        <v>0</v>
      </c>
      <c r="T144" s="1">
        <f>MEDIAN($H144)</f>
        <v>0</v>
      </c>
      <c r="U144" s="1">
        <f>MAX($B144)</f>
        <v>0</v>
      </c>
      <c r="V144" s="1">
        <f>MAX($C144)</f>
        <v>0</v>
      </c>
      <c r="W144" s="1">
        <f>MAX($D144)</f>
        <v>0</v>
      </c>
      <c r="X144" s="1">
        <f>MAX($E144)</f>
        <v>0</v>
      </c>
      <c r="Y144" s="1">
        <f>MAX($G144)</f>
        <v>0</v>
      </c>
      <c r="Z144" s="1">
        <f>MAX($H144)</f>
        <v>0</v>
      </c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">
        <v>141</v>
      </c>
      <c r="B146" s="1">
        <f>SUM(B$3:B$144)</f>
        <v>0</v>
      </c>
      <c r="C146" s="1">
        <f>SUM(C$3:C$144)</f>
        <v>0</v>
      </c>
      <c r="D146" s="1">
        <f>SUM(D$3:D$144)</f>
        <v>0</v>
      </c>
      <c r="E146" s="1">
        <f>SUM(E$3:E$144)</f>
        <v>0</v>
      </c>
      <c r="F146" s="1"/>
      <c r="G146" s="1">
        <f>SUM(G$3:G$144)</f>
        <v>0</v>
      </c>
      <c r="H146" s="1">
        <f>SUM(H$3:H$144)</f>
        <v>0</v>
      </c>
      <c r="I146" s="1">
        <f>SUM(I$3:I$144)</f>
        <v>0</v>
      </c>
      <c r="J146" s="1">
        <f>SUM(J$3:J$144)</f>
        <v>0</v>
      </c>
      <c r="K146" s="1">
        <f>SUM(K$3:K$144)</f>
        <v>0</v>
      </c>
      <c r="L146" s="1">
        <f>SUM(L$3:L$144)</f>
        <v>0</v>
      </c>
      <c r="M146" s="1">
        <f>SUM(M$3:M$144)</f>
        <v>0</v>
      </c>
      <c r="N146" s="1">
        <f>SUM(N$3:N$144)</f>
        <v>0</v>
      </c>
      <c r="O146" s="1">
        <f>SUM(O$3:O$144)</f>
        <v>0</v>
      </c>
      <c r="P146" s="1">
        <f>SUM(P$3:P$144)</f>
        <v>0</v>
      </c>
      <c r="Q146" s="1">
        <f>SUM(Q$3:Q$144)</f>
        <v>0</v>
      </c>
      <c r="R146" s="1">
        <f>SUM(R$3:R$144)</f>
        <v>0</v>
      </c>
      <c r="S146" s="1">
        <f>SUM(S$3:S$144)</f>
        <v>0</v>
      </c>
      <c r="T146" s="1">
        <f>SUM(T$3:T$144)</f>
        <v>0</v>
      </c>
      <c r="U146" s="1">
        <f>SUM(U$3:U$144)</f>
        <v>0</v>
      </c>
      <c r="V146" s="1">
        <f>SUM(V$3:V$144)</f>
        <v>0</v>
      </c>
      <c r="W146" s="1">
        <f>SUM(W$3:W$144)</f>
        <v>0</v>
      </c>
      <c r="X146" s="1">
        <f>SUM(X$3:X$144)</f>
        <v>0</v>
      </c>
      <c r="Y146" s="1">
        <f>SUM(Y$3:Y$144)</f>
        <v>0</v>
      </c>
      <c r="Z146" s="1">
        <f>SUM(Z$3:Z$144)</f>
        <v>0</v>
      </c>
    </row>
    <row r="147" spans="1:26">
      <c r="A147" s="1" t="s">
        <v>142</v>
      </c>
      <c r="B147" s="1">
        <f>AVERAGE(B$3:B$144)</f>
        <v>0</v>
      </c>
      <c r="C147" s="1">
        <f>AVERAGE(C$3:C$144)</f>
        <v>0</v>
      </c>
      <c r="D147" s="1">
        <f>AVERAGE(D$3:D$144)</f>
        <v>0</v>
      </c>
      <c r="E147" s="1">
        <f>AVERAGE(E$3:E$144)</f>
        <v>0</v>
      </c>
      <c r="F147" s="1"/>
      <c r="G147" s="1">
        <f>AVERAGE(G$3:G$144)</f>
        <v>0</v>
      </c>
      <c r="H147" s="1">
        <f>AVERAGE(H$3:H$144)</f>
        <v>0</v>
      </c>
      <c r="I147" s="1">
        <f>AVERAGE(I$3:I$144)</f>
        <v>0</v>
      </c>
      <c r="J147" s="1">
        <f>AVERAGE(J$3:J$144)</f>
        <v>0</v>
      </c>
      <c r="K147" s="1">
        <f>AVERAGE(K$3:K$144)</f>
        <v>0</v>
      </c>
      <c r="L147" s="1">
        <f>AVERAGE(L$3:L$144)</f>
        <v>0</v>
      </c>
      <c r="M147" s="1">
        <f>AVERAGE(M$3:M$144)</f>
        <v>0</v>
      </c>
      <c r="N147" s="1">
        <f>AVERAGE(N$3:N$144)</f>
        <v>0</v>
      </c>
      <c r="O147" s="1">
        <f>AVERAGE(O$3:O$144)</f>
        <v>0</v>
      </c>
      <c r="P147" s="1">
        <f>AVERAGE(P$3:P$144)</f>
        <v>0</v>
      </c>
      <c r="Q147" s="1">
        <f>AVERAGE(Q$3:Q$144)</f>
        <v>0</v>
      </c>
      <c r="R147" s="1">
        <f>AVERAGE(R$3:R$144)</f>
        <v>0</v>
      </c>
      <c r="S147" s="1">
        <f>AVERAGE(S$3:S$144)</f>
        <v>0</v>
      </c>
      <c r="T147" s="1">
        <f>AVERAGE(T$3:T$144)</f>
        <v>0</v>
      </c>
      <c r="U147" s="1">
        <f>AVERAGE(U$3:U$144)</f>
        <v>0</v>
      </c>
      <c r="V147" s="1">
        <f>AVERAGE(V$3:V$144)</f>
        <v>0</v>
      </c>
      <c r="W147" s="1">
        <f>AVERAGE(W$3:W$144)</f>
        <v>0</v>
      </c>
      <c r="X147" s="1">
        <f>AVERAGE(X$3:X$144)</f>
        <v>0</v>
      </c>
      <c r="Y147" s="1">
        <f>AVERAGE(Y$3:Y$144)</f>
        <v>0</v>
      </c>
      <c r="Z147" s="1">
        <f>AVERAGE(Z$3:Z$144)</f>
        <v>0</v>
      </c>
    </row>
    <row r="148" spans="1:26">
      <c r="A148" s="1" t="s">
        <v>143</v>
      </c>
      <c r="B148" s="1">
        <f>STDEV(B$3:B$144)</f>
        <v>0</v>
      </c>
      <c r="C148" s="1">
        <f>STDEV(C$3:C$144)</f>
        <v>0</v>
      </c>
      <c r="D148" s="1">
        <f>STDEV(D$3:D$144)</f>
        <v>0</v>
      </c>
      <c r="E148" s="1">
        <f>STDEV(E$3:E$144)</f>
        <v>0</v>
      </c>
      <c r="F148" s="1"/>
      <c r="G148" s="1">
        <f>STDEV(G$3:G$144)</f>
        <v>0</v>
      </c>
      <c r="H148" s="1">
        <f>STDEV(H$3:H$144)</f>
        <v>0</v>
      </c>
      <c r="I148" s="1">
        <f>STDEV(I$3:I$144)</f>
        <v>0</v>
      </c>
      <c r="J148" s="1">
        <f>STDEV(J$3:J$144)</f>
        <v>0</v>
      </c>
      <c r="K148" s="1">
        <f>STDEV(K$3:K$144)</f>
        <v>0</v>
      </c>
      <c r="L148" s="1">
        <f>STDEV(L$3:L$144)</f>
        <v>0</v>
      </c>
      <c r="M148" s="1">
        <f>STDEV(M$3:M$144)</f>
        <v>0</v>
      </c>
      <c r="N148" s="1">
        <f>STDEV(N$3:N$144)</f>
        <v>0</v>
      </c>
      <c r="O148" s="1">
        <f>STDEV(O$3:O$144)</f>
        <v>0</v>
      </c>
      <c r="P148" s="1">
        <f>STDEV(P$3:P$144)</f>
        <v>0</v>
      </c>
      <c r="Q148" s="1">
        <f>STDEV(Q$3:Q$144)</f>
        <v>0</v>
      </c>
      <c r="R148" s="1">
        <f>STDEV(R$3:R$144)</f>
        <v>0</v>
      </c>
      <c r="S148" s="1">
        <f>STDEV(S$3:S$144)</f>
        <v>0</v>
      </c>
      <c r="T148" s="1">
        <f>STDEV(T$3:T$144)</f>
        <v>0</v>
      </c>
      <c r="U148" s="1">
        <f>STDEV(U$3:U$144)</f>
        <v>0</v>
      </c>
      <c r="V148" s="1">
        <f>STDEV(V$3:V$144)</f>
        <v>0</v>
      </c>
      <c r="W148" s="1">
        <f>STDEV(W$3:W$144)</f>
        <v>0</v>
      </c>
      <c r="X148" s="1">
        <f>STDEV(X$3:X$144)</f>
        <v>0</v>
      </c>
      <c r="Y148" s="1">
        <f>STDEV(Y$3:Y$144)</f>
        <v>0</v>
      </c>
      <c r="Z148" s="1">
        <f>STDEV(Z$3:Z$144)</f>
        <v>0</v>
      </c>
    </row>
    <row r="149" spans="1:26">
      <c r="A149" s="1" t="s">
        <v>144</v>
      </c>
      <c r="B149" s="1">
        <f>SUMPRODUCT(--(B$3:B$144-$I$3:$I$144)^2)^0.5</f>
        <v>0</v>
      </c>
      <c r="C149" s="1">
        <f>SUMPRODUCT(--(C$3:C$144-$J$3:$J$144)^2)^0.5</f>
        <v>0</v>
      </c>
      <c r="D149" s="1">
        <f>SUMPRODUCT(--(D$3:D$144-$K$3:$K$144)^2)^0.5</f>
        <v>0</v>
      </c>
      <c r="E149" s="1">
        <f>SUMPRODUCT(--(E$3:E$144-$L$3:$L$144)^2)^0.5</f>
        <v>0</v>
      </c>
      <c r="F149" s="1"/>
      <c r="G149" s="1">
        <f>SUMPRODUCT(--(G$3:G$144-$M$3:$M$144)^2)^0.5</f>
        <v>0</v>
      </c>
      <c r="H149" s="1">
        <f>SUMPRODUCT(--(H$3:H$144-$N$3:$N$144)^2)^0.5</f>
        <v>0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 t="s">
        <v>145</v>
      </c>
      <c r="B150" s="1">
        <f>SUMPRODUCT(NOT(ISBLANK(B$3:B$144))*(B$3:B$144=$I$3:$I$144))</f>
        <v>0</v>
      </c>
      <c r="C150" s="1">
        <f>SUMPRODUCT(NOT(ISBLANK(C$3:C$144))*(C$3:C$144=$J$3:$J$144))</f>
        <v>0</v>
      </c>
      <c r="D150" s="1">
        <f>SUMPRODUCT(NOT(ISBLANK(D$3:D$144))*(D$3:D$144=$K$3:$K$144))</f>
        <v>0</v>
      </c>
      <c r="E150" s="1">
        <f>SUMPRODUCT(NOT(ISBLANK(E$3:E$144))*(E$3:E$144=$L$3:$L$144))</f>
        <v>0</v>
      </c>
      <c r="F150" s="1"/>
      <c r="G150" s="1">
        <f>SUMPRODUCT(NOT(ISBLANK(G$3:G$144))*(G$3:G$144=$M$3:$M$144))</f>
        <v>0</v>
      </c>
      <c r="H150" s="1">
        <f>SUMPRODUCT(NOT(ISBLANK(H$3:H$144))*(H$3:H$144=$N$3:$N$144))</f>
        <v>0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 t="s">
        <v>146</v>
      </c>
      <c r="B151" s="1">
        <f>SUMPRODUCT(NOT(ISBLANK(B$3:B$144))*(B$3:B$144&lt;$O$3:$O$144))</f>
        <v>0</v>
      </c>
      <c r="C151" s="1">
        <f>SUMPRODUCT(NOT(ISBLANK(C$3:C$144))*(C$3:C$144&lt;$P$3:$P$144))</f>
        <v>0</v>
      </c>
      <c r="D151" s="1">
        <f>SUMPRODUCT(NOT(ISBLANK(D$3:D$144))*(D$3:D$144&lt;$Q$3:$Q$144))</f>
        <v>0</v>
      </c>
      <c r="E151" s="1">
        <f>SUMPRODUCT(NOT(ISBLANK(E$3:E$144))*(E$3:E$144&lt;$R$3:$R$144))</f>
        <v>0</v>
      </c>
      <c r="F151" s="1"/>
      <c r="G151" s="1">
        <f>SUMPRODUCT(NOT(ISBLANK(G$3:G$144))*(G$3:G$144&lt;$S$3:$S$144))</f>
        <v>0</v>
      </c>
      <c r="H151" s="1">
        <f>SUMPRODUCT(NOT(ISBLANK(H$3:H$144))*(H$3:H$144&lt;$T$3:$T$144))</f>
        <v>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 t="s">
        <v>147</v>
      </c>
      <c r="B152" s="1">
        <f>SUMPRODUCT((NOT(ISBLANK(B$3:B$144))*(B$3:B$144&gt;$O$3:$O$144))+ISBLANK(B$3:B$144))</f>
        <v>0</v>
      </c>
      <c r="C152" s="1">
        <f>SUMPRODUCT((NOT(ISBLANK(C$3:C$144))*(C$3:C$144&gt;$P$3:$P$144))+ISBLANK(C$3:C$144))</f>
        <v>0</v>
      </c>
      <c r="D152" s="1">
        <f>SUMPRODUCT((NOT(ISBLANK(D$3:D$144))*(D$3:D$144&gt;$Q$3:$Q$144))+ISBLANK(D$3:D$144))</f>
        <v>0</v>
      </c>
      <c r="E152" s="1">
        <f>SUMPRODUCT((NOT(ISBLANK(E$3:E$144))*(E$3:E$144&gt;$R$3:$R$144))+ISBLANK(E$3:E$144))</f>
        <v>0</v>
      </c>
      <c r="F152" s="1"/>
      <c r="G152" s="1">
        <f>SUMPRODUCT((NOT(ISBLANK(G$3:G$144))*(G$3:G$144&gt;$S$3:$S$144))+ISBLANK(G$3:G$144))</f>
        <v>0</v>
      </c>
      <c r="H152" s="1">
        <f>SUMPRODUCT((NOT(ISBLANK(H$3:H$144))*(H$3:H$144&gt;$T$3:$T$144))+ISBLANK(H$3:H$144))</f>
        <v>0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 t="s">
        <v>148</v>
      </c>
      <c r="B153" s="1">
        <f>SUMPRODUCT((NOT(ISBLANK(B$3:B$144))*(B$3:B$144=$U$3:$U$144))+ISBLANK(B$3:B$144))</f>
        <v>0</v>
      </c>
      <c r="C153" s="1">
        <f>SUMPRODUCT((NOT(ISBLANK(C$3:C$144))*(C$3:C$144=$V$3:$V$144))+ISBLANK(C$3:C$144))</f>
        <v>0</v>
      </c>
      <c r="D153" s="1">
        <f>SUMPRODUCT((NOT(ISBLANK(D$3:D$144))*(D$3:D$144=$W$3:$W$144))+ISBLANK(D$3:D$144))</f>
        <v>0</v>
      </c>
      <c r="E153" s="1">
        <f>SUMPRODUCT((NOT(ISBLANK(E$3:E$144))*(E$3:E$144=$X$3:$X$144))+ISBLANK(E$3:E$144))</f>
        <v>0</v>
      </c>
      <c r="F153" s="1"/>
      <c r="G153" s="1">
        <f>SUMPRODUCT((NOT(ISBLANK(G$3:G$144))*(G$3:G$144=$Y$3:$Y$144))+ISBLANK(G$3:G$144))</f>
        <v>0</v>
      </c>
      <c r="H153" s="1">
        <f>SUMPRODUCT((NOT(ISBLANK(H$3:H$144))*(H$3:H$144=$Z$3:$Z$144))+ISBLANK(H$3:H$144))</f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Z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6" width="11.42578125" customWidth="1"/>
  </cols>
  <sheetData>
    <row r="1" spans="1:26">
      <c r="A1" s="1"/>
      <c r="B1" s="1" t="s">
        <v>149</v>
      </c>
      <c r="C1" s="1"/>
      <c r="D1" s="1"/>
      <c r="E1" s="1"/>
      <c r="F1" s="1"/>
      <c r="G1" s="1"/>
      <c r="H1" s="1"/>
      <c r="I1" s="1" t="s">
        <v>160</v>
      </c>
      <c r="J1" s="1"/>
      <c r="K1" s="1"/>
      <c r="L1" s="1"/>
      <c r="M1" s="1"/>
      <c r="N1" s="1"/>
      <c r="O1" s="1" t="s">
        <v>161</v>
      </c>
      <c r="P1" s="1"/>
      <c r="Q1" s="1"/>
      <c r="R1" s="1"/>
      <c r="S1" s="1"/>
      <c r="T1" s="1"/>
      <c r="U1" s="1" t="s">
        <v>162</v>
      </c>
      <c r="V1" s="1"/>
      <c r="W1" s="1"/>
      <c r="X1" s="1"/>
      <c r="Y1" s="1"/>
      <c r="Z1" s="1"/>
    </row>
    <row r="2" spans="1:26">
      <c r="A2" s="1"/>
      <c r="B2" s="1" t="s">
        <v>150</v>
      </c>
      <c r="C2" s="1" t="s">
        <v>151</v>
      </c>
      <c r="D2" s="1" t="s">
        <v>152</v>
      </c>
      <c r="E2" s="1" t="s">
        <v>153</v>
      </c>
      <c r="F2" s="1" t="s">
        <v>154</v>
      </c>
      <c r="G2" s="1" t="s">
        <v>158</v>
      </c>
      <c r="H2" s="1" t="s">
        <v>159</v>
      </c>
      <c r="I2" s="1" t="s">
        <v>150</v>
      </c>
      <c r="J2" s="1" t="s">
        <v>151</v>
      </c>
      <c r="K2" s="1" t="s">
        <v>152</v>
      </c>
      <c r="L2" s="1" t="s">
        <v>153</v>
      </c>
      <c r="M2" s="1" t="s">
        <v>158</v>
      </c>
      <c r="N2" s="1" t="s">
        <v>159</v>
      </c>
      <c r="O2" s="1" t="s">
        <v>150</v>
      </c>
      <c r="P2" s="1" t="s">
        <v>151</v>
      </c>
      <c r="Q2" s="1" t="s">
        <v>152</v>
      </c>
      <c r="R2" s="1" t="s">
        <v>153</v>
      </c>
      <c r="S2" s="1" t="s">
        <v>158</v>
      </c>
      <c r="T2" s="1" t="s">
        <v>159</v>
      </c>
      <c r="U2" s="1" t="s">
        <v>150</v>
      </c>
      <c r="V2" s="1" t="s">
        <v>151</v>
      </c>
      <c r="W2" s="1" t="s">
        <v>152</v>
      </c>
      <c r="X2" s="1" t="s">
        <v>153</v>
      </c>
      <c r="Y2" s="1" t="s">
        <v>158</v>
      </c>
      <c r="Z2" s="1" t="s">
        <v>159</v>
      </c>
    </row>
    <row r="3" spans="1:26">
      <c r="A3" s="1" t="s">
        <v>164</v>
      </c>
      <c r="B3" s="1">
        <f>AVERAGE(Instances!B3:Instances!B73)</f>
        <v>0</v>
      </c>
      <c r="C3" s="1">
        <f>AVERAGE(Instances!C3:Instances!C73)</f>
        <v>0</v>
      </c>
      <c r="D3" s="1">
        <f>AVERAGE(Instances!D3:Instances!D73)</f>
        <v>0</v>
      </c>
      <c r="E3" s="1">
        <f>AVERAGE(Instances!E3:Instances!E73)</f>
        <v>0</v>
      </c>
      <c r="F3" s="1"/>
      <c r="G3" s="1">
        <f>AVERAGE(Instances!G3:Instances!G73)</f>
        <v>0</v>
      </c>
      <c r="H3" s="1">
        <f>SUM(Instances!H3:Instances!H73)</f>
        <v>0</v>
      </c>
      <c r="I3" s="1">
        <f>MIN($B3)</f>
        <v>0</v>
      </c>
      <c r="J3" s="1">
        <f>MIN($C3)</f>
        <v>0</v>
      </c>
      <c r="K3" s="1">
        <f>MIN($D3)</f>
        <v>0</v>
      </c>
      <c r="L3" s="1">
        <f>MIN($E3)</f>
        <v>0</v>
      </c>
      <c r="M3" s="1">
        <f>MIN($G3)</f>
        <v>0</v>
      </c>
      <c r="N3" s="1">
        <f>MIN($H3)</f>
        <v>0</v>
      </c>
      <c r="O3" s="1">
        <f>MEDIAN($B3)</f>
        <v>0</v>
      </c>
      <c r="P3" s="1">
        <f>MEDIAN($C3)</f>
        <v>0</v>
      </c>
      <c r="Q3" s="1">
        <f>MEDIAN($D3)</f>
        <v>0</v>
      </c>
      <c r="R3" s="1">
        <f>MEDIAN($E3)</f>
        <v>0</v>
      </c>
      <c r="S3" s="1">
        <f>MEDIAN($G3)</f>
        <v>0</v>
      </c>
      <c r="T3" s="1">
        <f>MEDIAN($H3)</f>
        <v>0</v>
      </c>
      <c r="U3" s="1">
        <f>MAX($B3)</f>
        <v>0</v>
      </c>
      <c r="V3" s="1">
        <f>MAX($C3)</f>
        <v>0</v>
      </c>
      <c r="W3" s="1">
        <f>MAX($D3)</f>
        <v>0</v>
      </c>
      <c r="X3" s="1">
        <f>MAX($E3)</f>
        <v>0</v>
      </c>
      <c r="Y3" s="1">
        <f>MAX($G3)</f>
        <v>0</v>
      </c>
      <c r="Z3" s="1">
        <f>MAX($H3)</f>
        <v>0</v>
      </c>
    </row>
    <row r="4" spans="1:26">
      <c r="A4" s="1" t="s">
        <v>164</v>
      </c>
      <c r="B4" s="1">
        <f>AVERAGE(Instances!B74:Instances!B144)</f>
        <v>0</v>
      </c>
      <c r="C4" s="1">
        <f>AVERAGE(Instances!C74:Instances!C144)</f>
        <v>0</v>
      </c>
      <c r="D4" s="1">
        <f>AVERAGE(Instances!D74:Instances!D144)</f>
        <v>0</v>
      </c>
      <c r="E4" s="1">
        <f>AVERAGE(Instances!E74:Instances!E144)</f>
        <v>0</v>
      </c>
      <c r="F4" s="1"/>
      <c r="G4" s="1">
        <f>AVERAGE(Instances!G74:Instances!G144)</f>
        <v>0</v>
      </c>
      <c r="H4" s="1">
        <f>SUM(Instances!H74:Instances!H144)</f>
        <v>0</v>
      </c>
      <c r="I4" s="1">
        <f>MIN($B4)</f>
        <v>0</v>
      </c>
      <c r="J4" s="1">
        <f>MIN($C4)</f>
        <v>0</v>
      </c>
      <c r="K4" s="1">
        <f>MIN($D4)</f>
        <v>0</v>
      </c>
      <c r="L4" s="1">
        <f>MIN($E4)</f>
        <v>0</v>
      </c>
      <c r="M4" s="1">
        <f>MIN($G4)</f>
        <v>0</v>
      </c>
      <c r="N4" s="1">
        <f>MIN($H4)</f>
        <v>0</v>
      </c>
      <c r="O4" s="1">
        <f>MEDIAN($B4)</f>
        <v>0</v>
      </c>
      <c r="P4" s="1">
        <f>MEDIAN($C4)</f>
        <v>0</v>
      </c>
      <c r="Q4" s="1">
        <f>MEDIAN($D4)</f>
        <v>0</v>
      </c>
      <c r="R4" s="1">
        <f>MEDIAN($E4)</f>
        <v>0</v>
      </c>
      <c r="S4" s="1">
        <f>MEDIAN($G4)</f>
        <v>0</v>
      </c>
      <c r="T4" s="1">
        <f>MEDIAN($H4)</f>
        <v>0</v>
      </c>
      <c r="U4" s="1">
        <f>MAX($B4)</f>
        <v>0</v>
      </c>
      <c r="V4" s="1">
        <f>MAX($C4)</f>
        <v>0</v>
      </c>
      <c r="W4" s="1">
        <f>MAX($D4)</f>
        <v>0</v>
      </c>
      <c r="X4" s="1">
        <f>MAX($E4)</f>
        <v>0</v>
      </c>
      <c r="Y4" s="1">
        <f>MAX($G4)</f>
        <v>0</v>
      </c>
      <c r="Z4" s="1">
        <f>MAX($H4)</f>
        <v>0</v>
      </c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">
        <v>141</v>
      </c>
      <c r="B6" s="1">
        <f>SUM(B$3:B$4)</f>
        <v>0</v>
      </c>
      <c r="C6" s="1">
        <f>SUM(C$3:C$4)</f>
        <v>0</v>
      </c>
      <c r="D6" s="1">
        <f>SUM(D$3:D$4)</f>
        <v>0</v>
      </c>
      <c r="E6" s="1">
        <f>SUM(E$3:E$4)</f>
        <v>0</v>
      </c>
      <c r="F6" s="1"/>
      <c r="G6" s="1">
        <f>SUM(G$3:G$4)</f>
        <v>0</v>
      </c>
      <c r="H6" s="1">
        <f>SUM(H$3:H$4)</f>
        <v>0</v>
      </c>
      <c r="I6" s="1">
        <f>SUM(I$3:I$4)</f>
        <v>0</v>
      </c>
      <c r="J6" s="1">
        <f>SUM(J$3:J$4)</f>
        <v>0</v>
      </c>
      <c r="K6" s="1">
        <f>SUM(K$3:K$4)</f>
        <v>0</v>
      </c>
      <c r="L6" s="1">
        <f>SUM(L$3:L$4)</f>
        <v>0</v>
      </c>
      <c r="M6" s="1">
        <f>SUM(M$3:M$4)</f>
        <v>0</v>
      </c>
      <c r="N6" s="1">
        <f>SUM(N$3:N$4)</f>
        <v>0</v>
      </c>
      <c r="O6" s="1">
        <f>SUM(O$3:O$4)</f>
        <v>0</v>
      </c>
      <c r="P6" s="1">
        <f>SUM(P$3:P$4)</f>
        <v>0</v>
      </c>
      <c r="Q6" s="1">
        <f>SUM(Q$3:Q$4)</f>
        <v>0</v>
      </c>
      <c r="R6" s="1">
        <f>SUM(R$3:R$4)</f>
        <v>0</v>
      </c>
      <c r="S6" s="1">
        <f>SUM(S$3:S$4)</f>
        <v>0</v>
      </c>
      <c r="T6" s="1">
        <f>SUM(T$3:T$4)</f>
        <v>0</v>
      </c>
      <c r="U6" s="1">
        <f>SUM(U$3:U$4)</f>
        <v>0</v>
      </c>
      <c r="V6" s="1">
        <f>SUM(V$3:V$4)</f>
        <v>0</v>
      </c>
      <c r="W6" s="1">
        <f>SUM(W$3:W$4)</f>
        <v>0</v>
      </c>
      <c r="X6" s="1">
        <f>SUM(X$3:X$4)</f>
        <v>0</v>
      </c>
      <c r="Y6" s="1">
        <f>SUM(Y$3:Y$4)</f>
        <v>0</v>
      </c>
      <c r="Z6" s="1">
        <f>SUM(Z$3:Z$4)</f>
        <v>0</v>
      </c>
    </row>
    <row r="7" spans="1:26">
      <c r="A7" s="1" t="s">
        <v>142</v>
      </c>
      <c r="B7" s="1">
        <f>AVERAGE(B$3:B$4)</f>
        <v>0</v>
      </c>
      <c r="C7" s="1">
        <f>AVERAGE(C$3:C$4)</f>
        <v>0</v>
      </c>
      <c r="D7" s="1">
        <f>AVERAGE(D$3:D$4)</f>
        <v>0</v>
      </c>
      <c r="E7" s="1">
        <f>AVERAGE(E$3:E$4)</f>
        <v>0</v>
      </c>
      <c r="F7" s="1"/>
      <c r="G7" s="1">
        <f>AVERAGE(G$3:G$4)</f>
        <v>0</v>
      </c>
      <c r="H7" s="1">
        <f>AVERAGE(H$3:H$4)</f>
        <v>0</v>
      </c>
      <c r="I7" s="1">
        <f>AVERAGE(I$3:I$4)</f>
        <v>0</v>
      </c>
      <c r="J7" s="1">
        <f>AVERAGE(J$3:J$4)</f>
        <v>0</v>
      </c>
      <c r="K7" s="1">
        <f>AVERAGE(K$3:K$4)</f>
        <v>0</v>
      </c>
      <c r="L7" s="1">
        <f>AVERAGE(L$3:L$4)</f>
        <v>0</v>
      </c>
      <c r="M7" s="1">
        <f>AVERAGE(M$3:M$4)</f>
        <v>0</v>
      </c>
      <c r="N7" s="1">
        <f>AVERAGE(N$3:N$4)</f>
        <v>0</v>
      </c>
      <c r="O7" s="1">
        <f>AVERAGE(O$3:O$4)</f>
        <v>0</v>
      </c>
      <c r="P7" s="1">
        <f>AVERAGE(P$3:P$4)</f>
        <v>0</v>
      </c>
      <c r="Q7" s="1">
        <f>AVERAGE(Q$3:Q$4)</f>
        <v>0</v>
      </c>
      <c r="R7" s="1">
        <f>AVERAGE(R$3:R$4)</f>
        <v>0</v>
      </c>
      <c r="S7" s="1">
        <f>AVERAGE(S$3:S$4)</f>
        <v>0</v>
      </c>
      <c r="T7" s="1">
        <f>AVERAGE(T$3:T$4)</f>
        <v>0</v>
      </c>
      <c r="U7" s="1">
        <f>AVERAGE(U$3:U$4)</f>
        <v>0</v>
      </c>
      <c r="V7" s="1">
        <f>AVERAGE(V$3:V$4)</f>
        <v>0</v>
      </c>
      <c r="W7" s="1">
        <f>AVERAGE(W$3:W$4)</f>
        <v>0</v>
      </c>
      <c r="X7" s="1">
        <f>AVERAGE(X$3:X$4)</f>
        <v>0</v>
      </c>
      <c r="Y7" s="1">
        <f>AVERAGE(Y$3:Y$4)</f>
        <v>0</v>
      </c>
      <c r="Z7" s="1">
        <f>AVERAGE(Z$3:Z$4)</f>
        <v>0</v>
      </c>
    </row>
    <row r="8" spans="1:26">
      <c r="A8" s="1" t="s">
        <v>143</v>
      </c>
      <c r="B8" s="1">
        <f>STDEV(B$3:B$4)</f>
        <v>0</v>
      </c>
      <c r="C8" s="1">
        <f>STDEV(C$3:C$4)</f>
        <v>0</v>
      </c>
      <c r="D8" s="1">
        <f>STDEV(D$3:D$4)</f>
        <v>0</v>
      </c>
      <c r="E8" s="1">
        <f>STDEV(E$3:E$4)</f>
        <v>0</v>
      </c>
      <c r="F8" s="1"/>
      <c r="G8" s="1">
        <f>STDEV(G$3:G$4)</f>
        <v>0</v>
      </c>
      <c r="H8" s="1">
        <f>STDEV(H$3:H$4)</f>
        <v>0</v>
      </c>
      <c r="I8" s="1">
        <f>STDEV(I$3:I$4)</f>
        <v>0</v>
      </c>
      <c r="J8" s="1">
        <f>STDEV(J$3:J$4)</f>
        <v>0</v>
      </c>
      <c r="K8" s="1">
        <f>STDEV(K$3:K$4)</f>
        <v>0</v>
      </c>
      <c r="L8" s="1">
        <f>STDEV(L$3:L$4)</f>
        <v>0</v>
      </c>
      <c r="M8" s="1">
        <f>STDEV(M$3:M$4)</f>
        <v>0</v>
      </c>
      <c r="N8" s="1">
        <f>STDEV(N$3:N$4)</f>
        <v>0</v>
      </c>
      <c r="O8" s="1">
        <f>STDEV(O$3:O$4)</f>
        <v>0</v>
      </c>
      <c r="P8" s="1">
        <f>STDEV(P$3:P$4)</f>
        <v>0</v>
      </c>
      <c r="Q8" s="1">
        <f>STDEV(Q$3:Q$4)</f>
        <v>0</v>
      </c>
      <c r="R8" s="1">
        <f>STDEV(R$3:R$4)</f>
        <v>0</v>
      </c>
      <c r="S8" s="1">
        <f>STDEV(S$3:S$4)</f>
        <v>0</v>
      </c>
      <c r="T8" s="1">
        <f>STDEV(T$3:T$4)</f>
        <v>0</v>
      </c>
      <c r="U8" s="1">
        <f>STDEV(U$3:U$4)</f>
        <v>0</v>
      </c>
      <c r="V8" s="1">
        <f>STDEV(V$3:V$4)</f>
        <v>0</v>
      </c>
      <c r="W8" s="1">
        <f>STDEV(W$3:W$4)</f>
        <v>0</v>
      </c>
      <c r="X8" s="1">
        <f>STDEV(X$3:X$4)</f>
        <v>0</v>
      </c>
      <c r="Y8" s="1">
        <f>STDEV(Y$3:Y$4)</f>
        <v>0</v>
      </c>
      <c r="Z8" s="1">
        <f>STDEV(Z$3:Z$4)</f>
        <v>0</v>
      </c>
    </row>
    <row r="9" spans="1:26">
      <c r="A9" s="1" t="s">
        <v>144</v>
      </c>
      <c r="B9" s="1">
        <f>SUMPRODUCT(--(B$3:B$4-$I$3:$I$4)^2)^0.5</f>
        <v>0</v>
      </c>
      <c r="C9" s="1">
        <f>SUMPRODUCT(--(C$3:C$4-$J$3:$J$4)^2)^0.5</f>
        <v>0</v>
      </c>
      <c r="D9" s="1">
        <f>SUMPRODUCT(--(D$3:D$4-$K$3:$K$4)^2)^0.5</f>
        <v>0</v>
      </c>
      <c r="E9" s="1">
        <f>SUMPRODUCT(--(E$3:E$4-$L$3:$L$4)^2)^0.5</f>
        <v>0</v>
      </c>
      <c r="F9" s="1"/>
      <c r="G9" s="1">
        <f>SUMPRODUCT(--(G$3:G$4-$M$3:$M$4)^2)^0.5</f>
        <v>0</v>
      </c>
      <c r="H9" s="1">
        <f>SUMPRODUCT(--(H$3:H$4-$N$3:$N$4)^2)^0.5</f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">
        <v>145</v>
      </c>
      <c r="B10" s="1">
        <f>SUMPRODUCT(NOT(ISBLANK(B$3:B$4))*(B$3:B$4=$I$3:$I$4))</f>
        <v>0</v>
      </c>
      <c r="C10" s="1">
        <f>SUMPRODUCT(NOT(ISBLANK(C$3:C$4))*(C$3:C$4=$J$3:$J$4))</f>
        <v>0</v>
      </c>
      <c r="D10" s="1">
        <f>SUMPRODUCT(NOT(ISBLANK(D$3:D$4))*(D$3:D$4=$K$3:$K$4))</f>
        <v>0</v>
      </c>
      <c r="E10" s="1">
        <f>SUMPRODUCT(NOT(ISBLANK(E$3:E$4))*(E$3:E$4=$L$3:$L$4))</f>
        <v>0</v>
      </c>
      <c r="F10" s="1"/>
      <c r="G10" s="1">
        <f>SUMPRODUCT(NOT(ISBLANK(G$3:G$4))*(G$3:G$4=$M$3:$M$4))</f>
        <v>0</v>
      </c>
      <c r="H10" s="1">
        <f>SUMPRODUCT(NOT(ISBLANK(H$3:H$4))*(H$3:H$4=$N$3:$N$4))</f>
        <v>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">
        <v>146</v>
      </c>
      <c r="B11" s="1">
        <f>SUMPRODUCT(NOT(ISBLANK(B$3:B$4))*(B$3:B$4&lt;$O$3:$O$4))</f>
        <v>0</v>
      </c>
      <c r="C11" s="1">
        <f>SUMPRODUCT(NOT(ISBLANK(C$3:C$4))*(C$3:C$4&lt;$P$3:$P$4))</f>
        <v>0</v>
      </c>
      <c r="D11" s="1">
        <f>SUMPRODUCT(NOT(ISBLANK(D$3:D$4))*(D$3:D$4&lt;$Q$3:$Q$4))</f>
        <v>0</v>
      </c>
      <c r="E11" s="1">
        <f>SUMPRODUCT(NOT(ISBLANK(E$3:E$4))*(E$3:E$4&lt;$R$3:$R$4))</f>
        <v>0</v>
      </c>
      <c r="F11" s="1"/>
      <c r="G11" s="1">
        <f>SUMPRODUCT(NOT(ISBLANK(G$3:G$4))*(G$3:G$4&lt;$S$3:$S$4))</f>
        <v>0</v>
      </c>
      <c r="H11" s="1">
        <f>SUMPRODUCT(NOT(ISBLANK(H$3:H$4))*(H$3:H$4&lt;$T$3:$T$4))</f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 t="s">
        <v>147</v>
      </c>
      <c r="B12" s="1">
        <f>SUMPRODUCT((NOT(ISBLANK(B$3:B$4))*(B$3:B$4&gt;$O$3:$O$4))+ISBLANK(B$3:B$4))</f>
        <v>0</v>
      </c>
      <c r="C12" s="1">
        <f>SUMPRODUCT((NOT(ISBLANK(C$3:C$4))*(C$3:C$4&gt;$P$3:$P$4))+ISBLANK(C$3:C$4))</f>
        <v>0</v>
      </c>
      <c r="D12" s="1">
        <f>SUMPRODUCT((NOT(ISBLANK(D$3:D$4))*(D$3:D$4&gt;$Q$3:$Q$4))+ISBLANK(D$3:D$4))</f>
        <v>0</v>
      </c>
      <c r="E12" s="1">
        <f>SUMPRODUCT((NOT(ISBLANK(E$3:E$4))*(E$3:E$4&gt;$R$3:$R$4))+ISBLANK(E$3:E$4))</f>
        <v>0</v>
      </c>
      <c r="F12" s="1"/>
      <c r="G12" s="1">
        <f>SUMPRODUCT((NOT(ISBLANK(G$3:G$4))*(G$3:G$4&gt;$S$3:$S$4))+ISBLANK(G$3:G$4))</f>
        <v>0</v>
      </c>
      <c r="H12" s="1">
        <f>SUMPRODUCT((NOT(ISBLANK(H$3:H$4))*(H$3:H$4&gt;$T$3:$T$4))+ISBLANK(H$3:H$4))</f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 t="s">
        <v>148</v>
      </c>
      <c r="B13" s="1">
        <f>SUMPRODUCT((NOT(ISBLANK(B$3:B$4))*(B$3:B$4=$U$3:$U$4))+ISBLANK(B$3:B$4))</f>
        <v>0</v>
      </c>
      <c r="C13" s="1">
        <f>SUMPRODUCT((NOT(ISBLANK(C$3:C$4))*(C$3:C$4=$V$3:$V$4))+ISBLANK(C$3:C$4))</f>
        <v>0</v>
      </c>
      <c r="D13" s="1">
        <f>SUMPRODUCT((NOT(ISBLANK(D$3:D$4))*(D$3:D$4=$W$3:$W$4))+ISBLANK(D$3:D$4))</f>
        <v>0</v>
      </c>
      <c r="E13" s="1">
        <f>SUMPRODUCT((NOT(ISBLANK(E$3:E$4))*(E$3:E$4=$X$3:$X$4))+ISBLANK(E$3:E$4))</f>
        <v>0</v>
      </c>
      <c r="F13" s="1"/>
      <c r="G13" s="1">
        <f>SUMPRODUCT((NOT(ISBLANK(G$3:G$4))*(G$3:G$4=$Y$3:$Y$4))+ISBLANK(G$3:G$4))</f>
        <v>0</v>
      </c>
      <c r="H13" s="1">
        <f>SUMPRODUCT((NOT(ISBLANK(H$3:H$4))*(H$3:H$4=$Z$3:$Z$4))+ISBLANK(H$3:H$4))</f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T1005"/>
  <sheetViews>
    <sheetView workbookViewId="0"/>
  </sheetViews>
  <sheetFormatPr defaultRowHeight="15"/>
  <sheetData>
    <row r="2" spans="1:20">
      <c r="A2" t="s">
        <v>150</v>
      </c>
      <c r="B2">
        <v>1</v>
      </c>
      <c r="E2">
        <f>VLOOKUP(Charts!$F$3,A2:B7,2,FALSE)</f>
        <v>0</v>
      </c>
      <c r="K2">
        <f>E2</f>
        <v>0</v>
      </c>
      <c r="Q2">
        <f>VLOOKUP(Charts!$F$3,A2:B7,2,FALSE)</f>
        <v>0</v>
      </c>
    </row>
    <row r="3" spans="1:20">
      <c r="A3" t="s">
        <v>151</v>
      </c>
      <c r="B3">
        <v>2</v>
      </c>
      <c r="D3" t="s">
        <v>165</v>
      </c>
      <c r="E3">
        <f>Instances!B1</f>
        <v>0</v>
      </c>
      <c r="J3" t="s">
        <v>165</v>
      </c>
      <c r="K3">
        <f>E3</f>
        <v>0</v>
      </c>
      <c r="Q3">
        <f>Instances!B1</f>
        <v>0</v>
      </c>
    </row>
    <row r="4" spans="1:20">
      <c r="A4" t="s">
        <v>152</v>
      </c>
      <c r="B4">
        <v>3</v>
      </c>
      <c r="D4" t="s">
        <v>166</v>
      </c>
      <c r="E4" t="s">
        <v>170</v>
      </c>
      <c r="F4" t="s">
        <v>171</v>
      </c>
      <c r="H4" t="s">
        <v>172</v>
      </c>
      <c r="J4" t="s">
        <v>166</v>
      </c>
      <c r="K4" t="s">
        <v>170</v>
      </c>
      <c r="L4" t="s">
        <v>171</v>
      </c>
      <c r="N4" t="s">
        <v>172</v>
      </c>
      <c r="P4" t="s">
        <v>173</v>
      </c>
      <c r="Q4" t="s">
        <v>166</v>
      </c>
      <c r="R4" t="s">
        <v>171</v>
      </c>
      <c r="S4" t="s">
        <v>166</v>
      </c>
      <c r="T4" t="s">
        <v>172</v>
      </c>
    </row>
    <row r="5" spans="1:20">
      <c r="A5" t="s">
        <v>153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IFERROR(SMALL(E5:E146,ROW()-ROW($F$5)+1),"")</f>
        <v>0</v>
      </c>
      <c r="H5">
        <f>IFERROR(SUM(F5:F5),"")</f>
        <v>0</v>
      </c>
      <c r="J5">
        <v>1</v>
      </c>
      <c r="K5" cm="1">
        <f t="array" ref="K5">_xlfn.SWITCH(Charts!$B$3,"average", AVERAGE(INDIRECT(ADDRESS(0+3,K$2+1,,,"Instances") &amp; ":" &amp; ADDRESS(0+3,K$2+1))),"median", MEDIAN(INDIRECT(ADDRESS(0+3,K$2+1,,,"Instances") &amp; ":" &amp; ADDRESS(0+3,K$2+1))),"min", MIN(INDIRECT(ADDRESS(0+3,K$2+1,,,"Instances") &amp; ":" &amp; ADDRESS(0+3,K$2+1))),"max", MAX(INDIRECT(ADDRESS(0+3,K$2+1,,,"Instances") &amp; ":" &amp; ADDRESS(0+3,K$2+1))),"diff", MAX(INDIRECT(ADDRESS(0+3,K$2+1,,,"Instances") &amp; ":" &amp; ADDRESS(0+3,K$2+1)))-MIN(INDIRECT(ADDRESS(0+3,K$2+1,,,"Instances") &amp; ":" &amp; ADDRESS(0+3,K$2+1))))</f>
        <v>0</v>
      </c>
      <c r="L5">
        <f>IFERROR(SMALL(K5:K146,ROW()-ROW($L$5)+1),"")</f>
        <v>0</v>
      </c>
      <c r="N5">
        <f>IFERROR(SUM(L5:L5),"")</f>
        <v>0</v>
      </c>
      <c r="Q5">
        <f>IF(Charts!$B$3="none",E722,IF(K722="",NA(),K722))</f>
        <v>0</v>
      </c>
      <c r="R5">
        <f>IF(Charts!$B$3="none",F722,IF(L722="",NA(),L722))</f>
        <v>0</v>
      </c>
      <c r="S5">
        <f>IF(Charts!$B$3="none",G722,IF(M722="",NA(),M722))</f>
        <v>0</v>
      </c>
      <c r="T5">
        <f>IF(Charts!$B$3="none",H722,IF(N722="",NA(),N722))</f>
        <v>0</v>
      </c>
    </row>
    <row r="6" spans="1:20">
      <c r="A6" t="s">
        <v>158</v>
      </c>
      <c r="B6">
        <v>6</v>
      </c>
      <c r="D6">
        <v>2</v>
      </c>
      <c r="E6">
        <f>IF(INDIRECT(ADDRESS($D6+2,E$2+1,,,"Instances"))="","",INDIRECT(ADDRESS($D6+2,E$2+1,,,"Instances")))</f>
        <v>0</v>
      </c>
      <c r="F6">
        <f>IFERROR(SMALL(E5:E146,ROW()-ROW($F$5)+1),"")</f>
        <v>0</v>
      </c>
      <c r="H6">
        <f>IFERROR(SUM(F5:F6),"")</f>
        <v>0</v>
      </c>
      <c r="J6">
        <v>2</v>
      </c>
      <c r="K6" cm="1">
        <f t="array" ref="K6">_xlfn.SWITCH(Charts!$B$3,"average", AVERAGE(INDIRECT(ADDRESS(1+3,K$2+1,,,"Instances") &amp; ":" &amp; ADDRESS(1+3,K$2+1))),"median", MEDIAN(INDIRECT(ADDRESS(1+3,K$2+1,,,"Instances") &amp; ":" &amp; ADDRESS(1+3,K$2+1))),"min", MIN(INDIRECT(ADDRESS(1+3,K$2+1,,,"Instances") &amp; ":" &amp; ADDRESS(1+3,K$2+1))),"max", MAX(INDIRECT(ADDRESS(1+3,K$2+1,,,"Instances") &amp; ":" &amp; ADDRESS(1+3,K$2+1))),"diff", MAX(INDIRECT(ADDRESS(1+3,K$2+1,,,"Instances") &amp; ":" &amp; ADDRESS(1+3,K$2+1)))-MIN(INDIRECT(ADDRESS(1+3,K$2+1,,,"Instances") &amp; ":" &amp; ADDRESS(1+3,K$2+1))))</f>
        <v>0</v>
      </c>
      <c r="L6">
        <f>IFERROR(SMALL(K5:K146,ROW()-ROW($L$5)+1),"")</f>
        <v>0</v>
      </c>
      <c r="N6">
        <f>IFERROR(SUM(L5:L6),"")</f>
        <v>0</v>
      </c>
      <c r="Q6">
        <f>IF(Charts!$B$3="none",E723,IF(K723="",NA(),K723))</f>
        <v>0</v>
      </c>
      <c r="R6">
        <f>IF(Charts!$B$3="none",F723,IF(L723="",NA(),L723))</f>
        <v>0</v>
      </c>
      <c r="S6">
        <f>IF(Charts!$B$3="none",G723,IF(M723="",NA(),M723))</f>
        <v>0</v>
      </c>
      <c r="T6">
        <f>IF(Charts!$B$3="none",H723,IF(N723="",NA(),N723))</f>
        <v>0</v>
      </c>
    </row>
    <row r="7" spans="1:20">
      <c r="A7" t="s">
        <v>159</v>
      </c>
      <c r="B7">
        <v>7</v>
      </c>
      <c r="D7">
        <v>3</v>
      </c>
      <c r="E7">
        <f>IF(INDIRECT(ADDRESS($D7+2,E$2+1,,,"Instances"))="","",INDIRECT(ADDRESS($D7+2,E$2+1,,,"Instances")))</f>
        <v>0</v>
      </c>
      <c r="F7">
        <f>IFERROR(SMALL(E5:E146,ROW()-ROW($F$5)+1),"")</f>
        <v>0</v>
      </c>
      <c r="H7">
        <f>IFERROR(SUM(F5:F7),"")</f>
        <v>0</v>
      </c>
      <c r="J7">
        <v>3</v>
      </c>
      <c r="K7" cm="1">
        <f t="array" ref="K7">_xlfn.SWITCH(Charts!$B$3,"average", AVERAGE(INDIRECT(ADDRESS(2+3,K$2+1,,,"Instances") &amp; ":" &amp; ADDRESS(2+3,K$2+1))),"median", MEDIAN(INDIRECT(ADDRESS(2+3,K$2+1,,,"Instances") &amp; ":" &amp; ADDRESS(2+3,K$2+1))),"min", MIN(INDIRECT(ADDRESS(2+3,K$2+1,,,"Instances") &amp; ":" &amp; ADDRESS(2+3,K$2+1))),"max", MAX(INDIRECT(ADDRESS(2+3,K$2+1,,,"Instances") &amp; ":" &amp; ADDRESS(2+3,K$2+1))),"diff", MAX(INDIRECT(ADDRESS(2+3,K$2+1,,,"Instances") &amp; ":" &amp; ADDRESS(2+3,K$2+1)))-MIN(INDIRECT(ADDRESS(2+3,K$2+1,,,"Instances") &amp; ":" &amp; ADDRESS(2+3,K$2+1))))</f>
        <v>0</v>
      </c>
      <c r="L7">
        <f>IFERROR(SMALL(K5:K146,ROW()-ROW($L$5)+1),"")</f>
        <v>0</v>
      </c>
      <c r="N7">
        <f>IFERROR(SUM(L5:L7),"")</f>
        <v>0</v>
      </c>
      <c r="Q7">
        <f>IF(Charts!$B$3="none",E724,IF(K724="",NA(),K724))</f>
        <v>0</v>
      </c>
      <c r="R7">
        <f>IF(Charts!$B$3="none",F724,IF(L724="",NA(),L724))</f>
        <v>0</v>
      </c>
      <c r="S7">
        <f>IF(Charts!$B$3="none",G724,IF(M724="",NA(),M724))</f>
        <v>0</v>
      </c>
      <c r="T7">
        <f>IF(Charts!$B$3="none",H724,IF(N724="",NA(),N724))</f>
        <v>0</v>
      </c>
    </row>
    <row r="8" spans="1:20">
      <c r="D8">
        <v>4</v>
      </c>
      <c r="E8">
        <f>IF(INDIRECT(ADDRESS($D8+2,E$2+1,,,"Instances"))="","",INDIRECT(ADDRESS($D8+2,E$2+1,,,"Instances")))</f>
        <v>0</v>
      </c>
      <c r="F8">
        <f>IFERROR(SMALL(E5:E146,ROW()-ROW($F$5)+1),"")</f>
        <v>0</v>
      </c>
      <c r="H8">
        <f>IFERROR(SUM(F5:F8),"")</f>
        <v>0</v>
      </c>
      <c r="J8">
        <v>4</v>
      </c>
      <c r="K8" cm="1">
        <f t="array" ref="K8">_xlfn.SWITCH(Charts!$B$3,"average", AVERAGE(INDIRECT(ADDRESS(3+3,K$2+1,,,"Instances") &amp; ":" &amp; ADDRESS(3+3,K$2+1))),"median", MEDIAN(INDIRECT(ADDRESS(3+3,K$2+1,,,"Instances") &amp; ":" &amp; ADDRESS(3+3,K$2+1))),"min", MIN(INDIRECT(ADDRESS(3+3,K$2+1,,,"Instances") &amp; ":" &amp; ADDRESS(3+3,K$2+1))),"max", MAX(INDIRECT(ADDRESS(3+3,K$2+1,,,"Instances") &amp; ":" &amp; ADDRESS(3+3,K$2+1))),"diff", MAX(INDIRECT(ADDRESS(3+3,K$2+1,,,"Instances") &amp; ":" &amp; ADDRESS(3+3,K$2+1)))-MIN(INDIRECT(ADDRESS(3+3,K$2+1,,,"Instances") &amp; ":" &amp; ADDRESS(3+3,K$2+1))))</f>
        <v>0</v>
      </c>
      <c r="L8">
        <f>IFERROR(SMALL(K5:K146,ROW()-ROW($L$5)+1),"")</f>
        <v>0</v>
      </c>
      <c r="N8">
        <f>IFERROR(SUM(L5:L8),"")</f>
        <v>0</v>
      </c>
      <c r="Q8">
        <f>IF(Charts!$B$3="none",E725,IF(K725="",NA(),K725))</f>
        <v>0</v>
      </c>
      <c r="R8">
        <f>IF(Charts!$B$3="none",F725,IF(L725="",NA(),L725))</f>
        <v>0</v>
      </c>
      <c r="S8">
        <f>IF(Charts!$B$3="none",G725,IF(M725="",NA(),M725))</f>
        <v>0</v>
      </c>
      <c r="T8">
        <f>IF(Charts!$B$3="none",H725,IF(N725="",NA(),N725))</f>
        <v>0</v>
      </c>
    </row>
    <row r="9" spans="1:20">
      <c r="D9">
        <v>5</v>
      </c>
      <c r="E9">
        <f>IF(INDIRECT(ADDRESS($D9+2,E$2+1,,,"Instances"))="","",INDIRECT(ADDRESS($D9+2,E$2+1,,,"Instances")))</f>
        <v>0</v>
      </c>
      <c r="F9">
        <f>IFERROR(SMALL(E5:E146,ROW()-ROW($F$5)+1),"")</f>
        <v>0</v>
      </c>
      <c r="H9">
        <f>IFERROR(SUM(F5:F9),"")</f>
        <v>0</v>
      </c>
      <c r="J9">
        <v>5</v>
      </c>
      <c r="K9" cm="1">
        <f t="array" ref="K9">_xlfn.SWITCH(Charts!$B$3,"average", AVERAGE(INDIRECT(ADDRESS(4+3,K$2+1,,,"Instances") &amp; ":" &amp; ADDRESS(4+3,K$2+1))),"median", MEDIAN(INDIRECT(ADDRESS(4+3,K$2+1,,,"Instances") &amp; ":" &amp; ADDRESS(4+3,K$2+1))),"min", MIN(INDIRECT(ADDRESS(4+3,K$2+1,,,"Instances") &amp; ":" &amp; ADDRESS(4+3,K$2+1))),"max", MAX(INDIRECT(ADDRESS(4+3,K$2+1,,,"Instances") &amp; ":" &amp; ADDRESS(4+3,K$2+1))),"diff", MAX(INDIRECT(ADDRESS(4+3,K$2+1,,,"Instances") &amp; ":" &amp; ADDRESS(4+3,K$2+1)))-MIN(INDIRECT(ADDRESS(4+3,K$2+1,,,"Instances") &amp; ":" &amp; ADDRESS(4+3,K$2+1))))</f>
        <v>0</v>
      </c>
      <c r="L9">
        <f>IFERROR(SMALL(K5:K146,ROW()-ROW($L$5)+1),"")</f>
        <v>0</v>
      </c>
      <c r="N9">
        <f>IFERROR(SUM(L5:L9),"")</f>
        <v>0</v>
      </c>
      <c r="Q9">
        <f>IF(Charts!$B$3="none",E726,IF(K726="",NA(),K726))</f>
        <v>0</v>
      </c>
      <c r="R9">
        <f>IF(Charts!$B$3="none",F726,IF(L726="",NA(),L726))</f>
        <v>0</v>
      </c>
      <c r="S9">
        <f>IF(Charts!$B$3="none",G726,IF(M726="",NA(),M726))</f>
        <v>0</v>
      </c>
      <c r="T9">
        <f>IF(Charts!$B$3="none",H726,IF(N726="",NA(),N726))</f>
        <v>0</v>
      </c>
    </row>
    <row r="10" spans="1:20">
      <c r="D10">
        <v>6</v>
      </c>
      <c r="E10">
        <f>IF(INDIRECT(ADDRESS($D10+2,E$2+1,,,"Instances"))="","",INDIRECT(ADDRESS($D10+2,E$2+1,,,"Instances")))</f>
        <v>0</v>
      </c>
      <c r="F10">
        <f>IFERROR(SMALL(E5:E146,ROW()-ROW($F$5)+1),"")</f>
        <v>0</v>
      </c>
      <c r="H10">
        <f>IFERROR(SUM(F5:F10),"")</f>
        <v>0</v>
      </c>
      <c r="J10">
        <v>6</v>
      </c>
      <c r="K10" cm="1">
        <f t="array" ref="K10">_xlfn.SWITCH(Charts!$B$3,"average", AVERAGE(INDIRECT(ADDRESS(5+3,K$2+1,,,"Instances") &amp; ":" &amp; ADDRESS(5+3,K$2+1))),"median", MEDIAN(INDIRECT(ADDRESS(5+3,K$2+1,,,"Instances") &amp; ":" &amp; ADDRESS(5+3,K$2+1))),"min", MIN(INDIRECT(ADDRESS(5+3,K$2+1,,,"Instances") &amp; ":" &amp; ADDRESS(5+3,K$2+1))),"max", MAX(INDIRECT(ADDRESS(5+3,K$2+1,,,"Instances") &amp; ":" &amp; ADDRESS(5+3,K$2+1))),"diff", MAX(INDIRECT(ADDRESS(5+3,K$2+1,,,"Instances") &amp; ":" &amp; ADDRESS(5+3,K$2+1)))-MIN(INDIRECT(ADDRESS(5+3,K$2+1,,,"Instances") &amp; ":" &amp; ADDRESS(5+3,K$2+1))))</f>
        <v>0</v>
      </c>
      <c r="L10">
        <f>IFERROR(SMALL(K5:K146,ROW()-ROW($L$5)+1),"")</f>
        <v>0</v>
      </c>
      <c r="N10">
        <f>IFERROR(SUM(L5:L10),"")</f>
        <v>0</v>
      </c>
      <c r="Q10">
        <f>IF(Charts!$B$3="none",E727,IF(K727="",NA(),K727))</f>
        <v>0</v>
      </c>
      <c r="R10">
        <f>IF(Charts!$B$3="none",F727,IF(L727="",NA(),L727))</f>
        <v>0</v>
      </c>
      <c r="S10">
        <f>IF(Charts!$B$3="none",G727,IF(M727="",NA(),M727))</f>
        <v>0</v>
      </c>
      <c r="T10">
        <f>IF(Charts!$B$3="none",H727,IF(N727="",NA(),N727))</f>
        <v>0</v>
      </c>
    </row>
    <row r="11" spans="1:20">
      <c r="D11">
        <v>7</v>
      </c>
      <c r="E11">
        <f>IF(INDIRECT(ADDRESS($D11+2,E$2+1,,,"Instances"))="","",INDIRECT(ADDRESS($D11+2,E$2+1,,,"Instances")))</f>
        <v>0</v>
      </c>
      <c r="F11">
        <f>IFERROR(SMALL(E5:E146,ROW()-ROW($F$5)+1),"")</f>
        <v>0</v>
      </c>
      <c r="H11">
        <f>IFERROR(SUM(F5:F11),"")</f>
        <v>0</v>
      </c>
      <c r="J11">
        <v>7</v>
      </c>
      <c r="K11" cm="1">
        <f t="array" ref="K11">_xlfn.SWITCH(Charts!$B$3,"average", AVERAGE(INDIRECT(ADDRESS(6+3,K$2+1,,,"Instances") &amp; ":" &amp; ADDRESS(6+3,K$2+1))),"median", MEDIAN(INDIRECT(ADDRESS(6+3,K$2+1,,,"Instances") &amp; ":" &amp; ADDRESS(6+3,K$2+1))),"min", MIN(INDIRECT(ADDRESS(6+3,K$2+1,,,"Instances") &amp; ":" &amp; ADDRESS(6+3,K$2+1))),"max", MAX(INDIRECT(ADDRESS(6+3,K$2+1,,,"Instances") &amp; ":" &amp; ADDRESS(6+3,K$2+1))),"diff", MAX(INDIRECT(ADDRESS(6+3,K$2+1,,,"Instances") &amp; ":" &amp; ADDRESS(6+3,K$2+1)))-MIN(INDIRECT(ADDRESS(6+3,K$2+1,,,"Instances") &amp; ":" &amp; ADDRESS(6+3,K$2+1))))</f>
        <v>0</v>
      </c>
      <c r="L11">
        <f>IFERROR(SMALL(K5:K146,ROW()-ROW($L$5)+1),"")</f>
        <v>0</v>
      </c>
      <c r="N11">
        <f>IFERROR(SUM(L5:L11),"")</f>
        <v>0</v>
      </c>
      <c r="Q11">
        <f>IF(Charts!$B$3="none",E728,IF(K728="",NA(),K728))</f>
        <v>0</v>
      </c>
      <c r="R11">
        <f>IF(Charts!$B$3="none",F728,IF(L728="",NA(),L728))</f>
        <v>0</v>
      </c>
      <c r="S11">
        <f>IF(Charts!$B$3="none",G728,IF(M728="",NA(),M728))</f>
        <v>0</v>
      </c>
      <c r="T11">
        <f>IF(Charts!$B$3="none",H728,IF(N728="",NA(),N728))</f>
        <v>0</v>
      </c>
    </row>
    <row r="12" spans="1:20">
      <c r="D12">
        <v>8</v>
      </c>
      <c r="E12">
        <f>IF(INDIRECT(ADDRESS($D12+2,E$2+1,,,"Instances"))="","",INDIRECT(ADDRESS($D12+2,E$2+1,,,"Instances")))</f>
        <v>0</v>
      </c>
      <c r="F12">
        <f>IFERROR(SMALL(E5:E146,ROW()-ROW($F$5)+1),"")</f>
        <v>0</v>
      </c>
      <c r="H12">
        <f>IFERROR(SUM(F5:F12),"")</f>
        <v>0</v>
      </c>
      <c r="J12">
        <v>8</v>
      </c>
      <c r="K12" cm="1">
        <f t="array" ref="K12">_xlfn.SWITCH(Charts!$B$3,"average", AVERAGE(INDIRECT(ADDRESS(7+3,K$2+1,,,"Instances") &amp; ":" &amp; ADDRESS(7+3,K$2+1))),"median", MEDIAN(INDIRECT(ADDRESS(7+3,K$2+1,,,"Instances") &amp; ":" &amp; ADDRESS(7+3,K$2+1))),"min", MIN(INDIRECT(ADDRESS(7+3,K$2+1,,,"Instances") &amp; ":" &amp; ADDRESS(7+3,K$2+1))),"max", MAX(INDIRECT(ADDRESS(7+3,K$2+1,,,"Instances") &amp; ":" &amp; ADDRESS(7+3,K$2+1))),"diff", MAX(INDIRECT(ADDRESS(7+3,K$2+1,,,"Instances") &amp; ":" &amp; ADDRESS(7+3,K$2+1)))-MIN(INDIRECT(ADDRESS(7+3,K$2+1,,,"Instances") &amp; ":" &amp; ADDRESS(7+3,K$2+1))))</f>
        <v>0</v>
      </c>
      <c r="L12">
        <f>IFERROR(SMALL(K5:K146,ROW()-ROW($L$5)+1),"")</f>
        <v>0</v>
      </c>
      <c r="N12">
        <f>IFERROR(SUM(L5:L12),"")</f>
        <v>0</v>
      </c>
      <c r="Q12">
        <f>IF(Charts!$B$3="none",E729,IF(K729="",NA(),K729))</f>
        <v>0</v>
      </c>
      <c r="R12">
        <f>IF(Charts!$B$3="none",F729,IF(L729="",NA(),L729))</f>
        <v>0</v>
      </c>
      <c r="S12">
        <f>IF(Charts!$B$3="none",G729,IF(M729="",NA(),M729))</f>
        <v>0</v>
      </c>
      <c r="T12">
        <f>IF(Charts!$B$3="none",H729,IF(N729="",NA(),N729))</f>
        <v>0</v>
      </c>
    </row>
    <row r="13" spans="1:20">
      <c r="D13">
        <v>9</v>
      </c>
      <c r="E13">
        <f>IF(INDIRECT(ADDRESS($D13+2,E$2+1,,,"Instances"))="","",INDIRECT(ADDRESS($D13+2,E$2+1,,,"Instances")))</f>
        <v>0</v>
      </c>
      <c r="F13">
        <f>IFERROR(SMALL(E5:E146,ROW()-ROW($F$5)+1),"")</f>
        <v>0</v>
      </c>
      <c r="H13">
        <f>IFERROR(SUM(F5:F13),"")</f>
        <v>0</v>
      </c>
      <c r="J13">
        <v>9</v>
      </c>
      <c r="K13" cm="1">
        <f t="array" ref="K13">_xlfn.SWITCH(Charts!$B$3,"average", AVERAGE(INDIRECT(ADDRESS(8+3,K$2+1,,,"Instances") &amp; ":" &amp; ADDRESS(8+3,K$2+1))),"median", MEDIAN(INDIRECT(ADDRESS(8+3,K$2+1,,,"Instances") &amp; ":" &amp; ADDRESS(8+3,K$2+1))),"min", MIN(INDIRECT(ADDRESS(8+3,K$2+1,,,"Instances") &amp; ":" &amp; ADDRESS(8+3,K$2+1))),"max", MAX(INDIRECT(ADDRESS(8+3,K$2+1,,,"Instances") &amp; ":" &amp; ADDRESS(8+3,K$2+1))),"diff", MAX(INDIRECT(ADDRESS(8+3,K$2+1,,,"Instances") &amp; ":" &amp; ADDRESS(8+3,K$2+1)))-MIN(INDIRECT(ADDRESS(8+3,K$2+1,,,"Instances") &amp; ":" &amp; ADDRESS(8+3,K$2+1))))</f>
        <v>0</v>
      </c>
      <c r="L13">
        <f>IFERROR(SMALL(K5:K146,ROW()-ROW($L$5)+1),"")</f>
        <v>0</v>
      </c>
      <c r="N13">
        <f>IFERROR(SUM(L5:L13),"")</f>
        <v>0</v>
      </c>
      <c r="Q13">
        <f>IF(Charts!$B$3="none",E730,IF(K730="",NA(),K730))</f>
        <v>0</v>
      </c>
      <c r="R13">
        <f>IF(Charts!$B$3="none",F730,IF(L730="",NA(),L730))</f>
        <v>0</v>
      </c>
      <c r="S13">
        <f>IF(Charts!$B$3="none",G730,IF(M730="",NA(),M730))</f>
        <v>0</v>
      </c>
      <c r="T13">
        <f>IF(Charts!$B$3="none",H730,IF(N730="",NA(),N730))</f>
        <v>0</v>
      </c>
    </row>
    <row r="14" spans="1:20">
      <c r="D14">
        <v>10</v>
      </c>
      <c r="E14">
        <f>IF(INDIRECT(ADDRESS($D14+2,E$2+1,,,"Instances"))="","",INDIRECT(ADDRESS($D14+2,E$2+1,,,"Instances")))</f>
        <v>0</v>
      </c>
      <c r="F14">
        <f>IFERROR(SMALL(E5:E146,ROW()-ROW($F$5)+1),"")</f>
        <v>0</v>
      </c>
      <c r="H14">
        <f>IFERROR(SUM(F5:F14),"")</f>
        <v>0</v>
      </c>
      <c r="J14">
        <v>10</v>
      </c>
      <c r="K14" cm="1">
        <f t="array" ref="K14">_xlfn.SWITCH(Charts!$B$3,"average", AVERAGE(INDIRECT(ADDRESS(9+3,K$2+1,,,"Instances") &amp; ":" &amp; ADDRESS(9+3,K$2+1))),"median", MEDIAN(INDIRECT(ADDRESS(9+3,K$2+1,,,"Instances") &amp; ":" &amp; ADDRESS(9+3,K$2+1))),"min", MIN(INDIRECT(ADDRESS(9+3,K$2+1,,,"Instances") &amp; ":" &amp; ADDRESS(9+3,K$2+1))),"max", MAX(INDIRECT(ADDRESS(9+3,K$2+1,,,"Instances") &amp; ":" &amp; ADDRESS(9+3,K$2+1))),"diff", MAX(INDIRECT(ADDRESS(9+3,K$2+1,,,"Instances") &amp; ":" &amp; ADDRESS(9+3,K$2+1)))-MIN(INDIRECT(ADDRESS(9+3,K$2+1,,,"Instances") &amp; ":" &amp; ADDRESS(9+3,K$2+1))))</f>
        <v>0</v>
      </c>
      <c r="L14">
        <f>IFERROR(SMALL(K5:K146,ROW()-ROW($L$5)+1),"")</f>
        <v>0</v>
      </c>
      <c r="N14">
        <f>IFERROR(SUM(L5:L14),"")</f>
        <v>0</v>
      </c>
      <c r="Q14">
        <f>IF(Charts!$B$3="none",E731,IF(K731="",NA(),K731))</f>
        <v>0</v>
      </c>
      <c r="R14">
        <f>IF(Charts!$B$3="none",F731,IF(L731="",NA(),L731))</f>
        <v>0</v>
      </c>
      <c r="S14">
        <f>IF(Charts!$B$3="none",G731,IF(M731="",NA(),M731))</f>
        <v>0</v>
      </c>
      <c r="T14">
        <f>IF(Charts!$B$3="none",H731,IF(N731="",NA(),N731))</f>
        <v>0</v>
      </c>
    </row>
    <row r="15" spans="1:20">
      <c r="D15">
        <v>11</v>
      </c>
      <c r="E15">
        <f>IF(INDIRECT(ADDRESS($D15+2,E$2+1,,,"Instances"))="","",INDIRECT(ADDRESS($D15+2,E$2+1,,,"Instances")))</f>
        <v>0</v>
      </c>
      <c r="F15">
        <f>IFERROR(SMALL(E5:E146,ROW()-ROW($F$5)+1),"")</f>
        <v>0</v>
      </c>
      <c r="H15">
        <f>IFERROR(SUM(F5:F15),"")</f>
        <v>0</v>
      </c>
      <c r="J15">
        <v>11</v>
      </c>
      <c r="K15" cm="1">
        <f t="array" ref="K15">_xlfn.SWITCH(Charts!$B$3,"average", AVERAGE(INDIRECT(ADDRESS(10+3,K$2+1,,,"Instances") &amp; ":" &amp; ADDRESS(10+3,K$2+1))),"median", MEDIAN(INDIRECT(ADDRESS(10+3,K$2+1,,,"Instances") &amp; ":" &amp; ADDRESS(10+3,K$2+1))),"min", MIN(INDIRECT(ADDRESS(10+3,K$2+1,,,"Instances") &amp; ":" &amp; ADDRESS(10+3,K$2+1))),"max", MAX(INDIRECT(ADDRESS(10+3,K$2+1,,,"Instances") &amp; ":" &amp; ADDRESS(10+3,K$2+1))),"diff", MAX(INDIRECT(ADDRESS(10+3,K$2+1,,,"Instances") &amp; ":" &amp; ADDRESS(10+3,K$2+1)))-MIN(INDIRECT(ADDRESS(10+3,K$2+1,,,"Instances") &amp; ":" &amp; ADDRESS(10+3,K$2+1))))</f>
        <v>0</v>
      </c>
      <c r="L15">
        <f>IFERROR(SMALL(K5:K146,ROW()-ROW($L$5)+1),"")</f>
        <v>0</v>
      </c>
      <c r="N15">
        <f>IFERROR(SUM(L5:L15),"")</f>
        <v>0</v>
      </c>
      <c r="Q15">
        <f>IF(Charts!$B$3="none",E732,IF(K732="",NA(),K732))</f>
        <v>0</v>
      </c>
      <c r="R15">
        <f>IF(Charts!$B$3="none",F732,IF(L732="",NA(),L732))</f>
        <v>0</v>
      </c>
      <c r="S15">
        <f>IF(Charts!$B$3="none",G732,IF(M732="",NA(),M732))</f>
        <v>0</v>
      </c>
      <c r="T15">
        <f>IF(Charts!$B$3="none",H732,IF(N732="",NA(),N732))</f>
        <v>0</v>
      </c>
    </row>
    <row r="16" spans="1:20">
      <c r="D16">
        <v>12</v>
      </c>
      <c r="E16">
        <f>IF(INDIRECT(ADDRESS($D16+2,E$2+1,,,"Instances"))="","",INDIRECT(ADDRESS($D16+2,E$2+1,,,"Instances")))</f>
        <v>0</v>
      </c>
      <c r="F16">
        <f>IFERROR(SMALL(E5:E146,ROW()-ROW($F$5)+1),"")</f>
        <v>0</v>
      </c>
      <c r="H16">
        <f>IFERROR(SUM(F5:F16),"")</f>
        <v>0</v>
      </c>
      <c r="J16">
        <v>12</v>
      </c>
      <c r="K16" cm="1">
        <f t="array" ref="K16">_xlfn.SWITCH(Charts!$B$3,"average", AVERAGE(INDIRECT(ADDRESS(11+3,K$2+1,,,"Instances") &amp; ":" &amp; ADDRESS(11+3,K$2+1))),"median", MEDIAN(INDIRECT(ADDRESS(11+3,K$2+1,,,"Instances") &amp; ":" &amp; ADDRESS(11+3,K$2+1))),"min", MIN(INDIRECT(ADDRESS(11+3,K$2+1,,,"Instances") &amp; ":" &amp; ADDRESS(11+3,K$2+1))),"max", MAX(INDIRECT(ADDRESS(11+3,K$2+1,,,"Instances") &amp; ":" &amp; ADDRESS(11+3,K$2+1))),"diff", MAX(INDIRECT(ADDRESS(11+3,K$2+1,,,"Instances") &amp; ":" &amp; ADDRESS(11+3,K$2+1)))-MIN(INDIRECT(ADDRESS(11+3,K$2+1,,,"Instances") &amp; ":" &amp; ADDRESS(11+3,K$2+1))))</f>
        <v>0</v>
      </c>
      <c r="L16">
        <f>IFERROR(SMALL(K5:K146,ROW()-ROW($L$5)+1),"")</f>
        <v>0</v>
      </c>
      <c r="N16">
        <f>IFERROR(SUM(L5:L16),"")</f>
        <v>0</v>
      </c>
      <c r="Q16">
        <f>IF(Charts!$B$3="none",E733,IF(K733="",NA(),K733))</f>
        <v>0</v>
      </c>
      <c r="R16">
        <f>IF(Charts!$B$3="none",F733,IF(L733="",NA(),L733))</f>
        <v>0</v>
      </c>
      <c r="S16">
        <f>IF(Charts!$B$3="none",G733,IF(M733="",NA(),M733))</f>
        <v>0</v>
      </c>
      <c r="T16">
        <f>IF(Charts!$B$3="none",H733,IF(N733="",NA(),N733))</f>
        <v>0</v>
      </c>
    </row>
    <row r="17" spans="4:20">
      <c r="D17">
        <v>13</v>
      </c>
      <c r="E17">
        <f>IF(INDIRECT(ADDRESS($D17+2,E$2+1,,,"Instances"))="","",INDIRECT(ADDRESS($D17+2,E$2+1,,,"Instances")))</f>
        <v>0</v>
      </c>
      <c r="F17">
        <f>IFERROR(SMALL(E5:E146,ROW()-ROW($F$5)+1),"")</f>
        <v>0</v>
      </c>
      <c r="H17">
        <f>IFERROR(SUM(F5:F17),"")</f>
        <v>0</v>
      </c>
      <c r="J17">
        <v>13</v>
      </c>
      <c r="K17" cm="1">
        <f t="array" ref="K17">_xlfn.SWITCH(Charts!$B$3,"average", AVERAGE(INDIRECT(ADDRESS(12+3,K$2+1,,,"Instances") &amp; ":" &amp; ADDRESS(12+3,K$2+1))),"median", MEDIAN(INDIRECT(ADDRESS(12+3,K$2+1,,,"Instances") &amp; ":" &amp; ADDRESS(12+3,K$2+1))),"min", MIN(INDIRECT(ADDRESS(12+3,K$2+1,,,"Instances") &amp; ":" &amp; ADDRESS(12+3,K$2+1))),"max", MAX(INDIRECT(ADDRESS(12+3,K$2+1,,,"Instances") &amp; ":" &amp; ADDRESS(12+3,K$2+1))),"diff", MAX(INDIRECT(ADDRESS(12+3,K$2+1,,,"Instances") &amp; ":" &amp; ADDRESS(12+3,K$2+1)))-MIN(INDIRECT(ADDRESS(12+3,K$2+1,,,"Instances") &amp; ":" &amp; ADDRESS(12+3,K$2+1))))</f>
        <v>0</v>
      </c>
      <c r="L17">
        <f>IFERROR(SMALL(K5:K146,ROW()-ROW($L$5)+1),"")</f>
        <v>0</v>
      </c>
      <c r="N17">
        <f>IFERROR(SUM(L5:L17),"")</f>
        <v>0</v>
      </c>
      <c r="Q17">
        <f>IF(Charts!$B$3="none",E734,IF(K734="",NA(),K734))</f>
        <v>0</v>
      </c>
      <c r="R17">
        <f>IF(Charts!$B$3="none",F734,IF(L734="",NA(),L734))</f>
        <v>0</v>
      </c>
      <c r="S17">
        <f>IF(Charts!$B$3="none",G734,IF(M734="",NA(),M734))</f>
        <v>0</v>
      </c>
      <c r="T17">
        <f>IF(Charts!$B$3="none",H734,IF(N734="",NA(),N734))</f>
        <v>0</v>
      </c>
    </row>
    <row r="18" spans="4:20">
      <c r="D18">
        <v>14</v>
      </c>
      <c r="E18">
        <f>IF(INDIRECT(ADDRESS($D18+2,E$2+1,,,"Instances"))="","",INDIRECT(ADDRESS($D18+2,E$2+1,,,"Instances")))</f>
        <v>0</v>
      </c>
      <c r="F18">
        <f>IFERROR(SMALL(E5:E146,ROW()-ROW($F$5)+1),"")</f>
        <v>0</v>
      </c>
      <c r="H18">
        <f>IFERROR(SUM(F5:F18),"")</f>
        <v>0</v>
      </c>
      <c r="J18">
        <v>14</v>
      </c>
      <c r="K18" cm="1">
        <f t="array" ref="K18">_xlfn.SWITCH(Charts!$B$3,"average", AVERAGE(INDIRECT(ADDRESS(13+3,K$2+1,,,"Instances") &amp; ":" &amp; ADDRESS(13+3,K$2+1))),"median", MEDIAN(INDIRECT(ADDRESS(13+3,K$2+1,,,"Instances") &amp; ":" &amp; ADDRESS(13+3,K$2+1))),"min", MIN(INDIRECT(ADDRESS(13+3,K$2+1,,,"Instances") &amp; ":" &amp; ADDRESS(13+3,K$2+1))),"max", MAX(INDIRECT(ADDRESS(13+3,K$2+1,,,"Instances") &amp; ":" &amp; ADDRESS(13+3,K$2+1))),"diff", MAX(INDIRECT(ADDRESS(13+3,K$2+1,,,"Instances") &amp; ":" &amp; ADDRESS(13+3,K$2+1)))-MIN(INDIRECT(ADDRESS(13+3,K$2+1,,,"Instances") &amp; ":" &amp; ADDRESS(13+3,K$2+1))))</f>
        <v>0</v>
      </c>
      <c r="L18">
        <f>IFERROR(SMALL(K5:K146,ROW()-ROW($L$5)+1),"")</f>
        <v>0</v>
      </c>
      <c r="N18">
        <f>IFERROR(SUM(L5:L18),"")</f>
        <v>0</v>
      </c>
      <c r="Q18">
        <f>IF(Charts!$B$3="none",E735,IF(K735="",NA(),K735))</f>
        <v>0</v>
      </c>
      <c r="R18">
        <f>IF(Charts!$B$3="none",F735,IF(L735="",NA(),L735))</f>
        <v>0</v>
      </c>
      <c r="S18">
        <f>IF(Charts!$B$3="none",G735,IF(M735="",NA(),M735))</f>
        <v>0</v>
      </c>
      <c r="T18">
        <f>IF(Charts!$B$3="none",H735,IF(N735="",NA(),N735))</f>
        <v>0</v>
      </c>
    </row>
    <row r="19" spans="4:20">
      <c r="D19">
        <v>15</v>
      </c>
      <c r="E19">
        <f>IF(INDIRECT(ADDRESS($D19+2,E$2+1,,,"Instances"))="","",INDIRECT(ADDRESS($D19+2,E$2+1,,,"Instances")))</f>
        <v>0</v>
      </c>
      <c r="F19">
        <f>IFERROR(SMALL(E5:E146,ROW()-ROW($F$5)+1),"")</f>
        <v>0</v>
      </c>
      <c r="H19">
        <f>IFERROR(SUM(F5:F19),"")</f>
        <v>0</v>
      </c>
      <c r="J19">
        <v>15</v>
      </c>
      <c r="K19" cm="1">
        <f t="array" ref="K19">_xlfn.SWITCH(Charts!$B$3,"average", AVERAGE(INDIRECT(ADDRESS(14+3,K$2+1,,,"Instances") &amp; ":" &amp; ADDRESS(14+3,K$2+1))),"median", MEDIAN(INDIRECT(ADDRESS(14+3,K$2+1,,,"Instances") &amp; ":" &amp; ADDRESS(14+3,K$2+1))),"min", MIN(INDIRECT(ADDRESS(14+3,K$2+1,,,"Instances") &amp; ":" &amp; ADDRESS(14+3,K$2+1))),"max", MAX(INDIRECT(ADDRESS(14+3,K$2+1,,,"Instances") &amp; ":" &amp; ADDRESS(14+3,K$2+1))),"diff", MAX(INDIRECT(ADDRESS(14+3,K$2+1,,,"Instances") &amp; ":" &amp; ADDRESS(14+3,K$2+1)))-MIN(INDIRECT(ADDRESS(14+3,K$2+1,,,"Instances") &amp; ":" &amp; ADDRESS(14+3,K$2+1))))</f>
        <v>0</v>
      </c>
      <c r="L19">
        <f>IFERROR(SMALL(K5:K146,ROW()-ROW($L$5)+1),"")</f>
        <v>0</v>
      </c>
      <c r="N19">
        <f>IFERROR(SUM(L5:L19),"")</f>
        <v>0</v>
      </c>
      <c r="Q19">
        <f>IF(Charts!$B$3="none",E736,IF(K736="",NA(),K736))</f>
        <v>0</v>
      </c>
      <c r="R19">
        <f>IF(Charts!$B$3="none",F736,IF(L736="",NA(),L736))</f>
        <v>0</v>
      </c>
      <c r="S19">
        <f>IF(Charts!$B$3="none",G736,IF(M736="",NA(),M736))</f>
        <v>0</v>
      </c>
      <c r="T19">
        <f>IF(Charts!$B$3="none",H736,IF(N736="",NA(),N736))</f>
        <v>0</v>
      </c>
    </row>
    <row r="20" spans="4:20">
      <c r="D20">
        <v>16</v>
      </c>
      <c r="E20">
        <f>IF(INDIRECT(ADDRESS($D20+2,E$2+1,,,"Instances"))="","",INDIRECT(ADDRESS($D20+2,E$2+1,,,"Instances")))</f>
        <v>0</v>
      </c>
      <c r="F20">
        <f>IFERROR(SMALL(E5:E146,ROW()-ROW($F$5)+1),"")</f>
        <v>0</v>
      </c>
      <c r="H20">
        <f>IFERROR(SUM(F5:F20),"")</f>
        <v>0</v>
      </c>
      <c r="J20">
        <v>16</v>
      </c>
      <c r="K20" cm="1">
        <f t="array" ref="K20">_xlfn.SWITCH(Charts!$B$3,"average", AVERAGE(INDIRECT(ADDRESS(15+3,K$2+1,,,"Instances") &amp; ":" &amp; ADDRESS(15+3,K$2+1))),"median", MEDIAN(INDIRECT(ADDRESS(15+3,K$2+1,,,"Instances") &amp; ":" &amp; ADDRESS(15+3,K$2+1))),"min", MIN(INDIRECT(ADDRESS(15+3,K$2+1,,,"Instances") &amp; ":" &amp; ADDRESS(15+3,K$2+1))),"max", MAX(INDIRECT(ADDRESS(15+3,K$2+1,,,"Instances") &amp; ":" &amp; ADDRESS(15+3,K$2+1))),"diff", MAX(INDIRECT(ADDRESS(15+3,K$2+1,,,"Instances") &amp; ":" &amp; ADDRESS(15+3,K$2+1)))-MIN(INDIRECT(ADDRESS(15+3,K$2+1,,,"Instances") &amp; ":" &amp; ADDRESS(15+3,K$2+1))))</f>
        <v>0</v>
      </c>
      <c r="L20">
        <f>IFERROR(SMALL(K5:K146,ROW()-ROW($L$5)+1),"")</f>
        <v>0</v>
      </c>
      <c r="N20">
        <f>IFERROR(SUM(L5:L20),"")</f>
        <v>0</v>
      </c>
      <c r="Q20">
        <f>IF(Charts!$B$3="none",E737,IF(K737="",NA(),K737))</f>
        <v>0</v>
      </c>
      <c r="R20">
        <f>IF(Charts!$B$3="none",F737,IF(L737="",NA(),L737))</f>
        <v>0</v>
      </c>
      <c r="S20">
        <f>IF(Charts!$B$3="none",G737,IF(M737="",NA(),M737))</f>
        <v>0</v>
      </c>
      <c r="T20">
        <f>IF(Charts!$B$3="none",H737,IF(N737="",NA(),N737))</f>
        <v>0</v>
      </c>
    </row>
    <row r="21" spans="4:20">
      <c r="D21">
        <v>17</v>
      </c>
      <c r="E21">
        <f>IF(INDIRECT(ADDRESS($D21+2,E$2+1,,,"Instances"))="","",INDIRECT(ADDRESS($D21+2,E$2+1,,,"Instances")))</f>
        <v>0</v>
      </c>
      <c r="F21">
        <f>IFERROR(SMALL(E5:E146,ROW()-ROW($F$5)+1),"")</f>
        <v>0</v>
      </c>
      <c r="H21">
        <f>IFERROR(SUM(F5:F21),"")</f>
        <v>0</v>
      </c>
      <c r="J21">
        <v>17</v>
      </c>
      <c r="K21" cm="1">
        <f t="array" ref="K21">_xlfn.SWITCH(Charts!$B$3,"average", AVERAGE(INDIRECT(ADDRESS(16+3,K$2+1,,,"Instances") &amp; ":" &amp; ADDRESS(16+3,K$2+1))),"median", MEDIAN(INDIRECT(ADDRESS(16+3,K$2+1,,,"Instances") &amp; ":" &amp; ADDRESS(16+3,K$2+1))),"min", MIN(INDIRECT(ADDRESS(16+3,K$2+1,,,"Instances") &amp; ":" &amp; ADDRESS(16+3,K$2+1))),"max", MAX(INDIRECT(ADDRESS(16+3,K$2+1,,,"Instances") &amp; ":" &amp; ADDRESS(16+3,K$2+1))),"diff", MAX(INDIRECT(ADDRESS(16+3,K$2+1,,,"Instances") &amp; ":" &amp; ADDRESS(16+3,K$2+1)))-MIN(INDIRECT(ADDRESS(16+3,K$2+1,,,"Instances") &amp; ":" &amp; ADDRESS(16+3,K$2+1))))</f>
        <v>0</v>
      </c>
      <c r="L21">
        <f>IFERROR(SMALL(K5:K146,ROW()-ROW($L$5)+1),"")</f>
        <v>0</v>
      </c>
      <c r="N21">
        <f>IFERROR(SUM(L5:L21),"")</f>
        <v>0</v>
      </c>
      <c r="Q21">
        <f>IF(Charts!$B$3="none",E738,IF(K738="",NA(),K738))</f>
        <v>0</v>
      </c>
      <c r="R21">
        <f>IF(Charts!$B$3="none",F738,IF(L738="",NA(),L738))</f>
        <v>0</v>
      </c>
      <c r="S21">
        <f>IF(Charts!$B$3="none",G738,IF(M738="",NA(),M738))</f>
        <v>0</v>
      </c>
      <c r="T21">
        <f>IF(Charts!$B$3="none",H738,IF(N738="",NA(),N738))</f>
        <v>0</v>
      </c>
    </row>
    <row r="22" spans="4:20">
      <c r="D22">
        <v>18</v>
      </c>
      <c r="E22">
        <f>IF(INDIRECT(ADDRESS($D22+2,E$2+1,,,"Instances"))="","",INDIRECT(ADDRESS($D22+2,E$2+1,,,"Instances")))</f>
        <v>0</v>
      </c>
      <c r="F22">
        <f>IFERROR(SMALL(E5:E146,ROW()-ROW($F$5)+1),"")</f>
        <v>0</v>
      </c>
      <c r="H22">
        <f>IFERROR(SUM(F5:F22),"")</f>
        <v>0</v>
      </c>
      <c r="J22">
        <v>18</v>
      </c>
      <c r="K22" cm="1">
        <f t="array" ref="K22">_xlfn.SWITCH(Charts!$B$3,"average", AVERAGE(INDIRECT(ADDRESS(17+3,K$2+1,,,"Instances") &amp; ":" &amp; ADDRESS(17+3,K$2+1))),"median", MEDIAN(INDIRECT(ADDRESS(17+3,K$2+1,,,"Instances") &amp; ":" &amp; ADDRESS(17+3,K$2+1))),"min", MIN(INDIRECT(ADDRESS(17+3,K$2+1,,,"Instances") &amp; ":" &amp; ADDRESS(17+3,K$2+1))),"max", MAX(INDIRECT(ADDRESS(17+3,K$2+1,,,"Instances") &amp; ":" &amp; ADDRESS(17+3,K$2+1))),"diff", MAX(INDIRECT(ADDRESS(17+3,K$2+1,,,"Instances") &amp; ":" &amp; ADDRESS(17+3,K$2+1)))-MIN(INDIRECT(ADDRESS(17+3,K$2+1,,,"Instances") &amp; ":" &amp; ADDRESS(17+3,K$2+1))))</f>
        <v>0</v>
      </c>
      <c r="L22">
        <f>IFERROR(SMALL(K5:K146,ROW()-ROW($L$5)+1),"")</f>
        <v>0</v>
      </c>
      <c r="N22">
        <f>IFERROR(SUM(L5:L22),"")</f>
        <v>0</v>
      </c>
      <c r="Q22">
        <f>IF(Charts!$B$3="none",E739,IF(K739="",NA(),K739))</f>
        <v>0</v>
      </c>
      <c r="R22">
        <f>IF(Charts!$B$3="none",F739,IF(L739="",NA(),L739))</f>
        <v>0</v>
      </c>
      <c r="S22">
        <f>IF(Charts!$B$3="none",G739,IF(M739="",NA(),M739))</f>
        <v>0</v>
      </c>
      <c r="T22">
        <f>IF(Charts!$B$3="none",H739,IF(N739="",NA(),N739))</f>
        <v>0</v>
      </c>
    </row>
    <row r="23" spans="4:20">
      <c r="D23">
        <v>19</v>
      </c>
      <c r="E23">
        <f>IF(INDIRECT(ADDRESS($D23+2,E$2+1,,,"Instances"))="","",INDIRECT(ADDRESS($D23+2,E$2+1,,,"Instances")))</f>
        <v>0</v>
      </c>
      <c r="F23">
        <f>IFERROR(SMALL(E5:E146,ROW()-ROW($F$5)+1),"")</f>
        <v>0</v>
      </c>
      <c r="H23">
        <f>IFERROR(SUM(F5:F23),"")</f>
        <v>0</v>
      </c>
      <c r="J23">
        <v>19</v>
      </c>
      <c r="K23" cm="1">
        <f t="array" ref="K23">_xlfn.SWITCH(Charts!$B$3,"average", AVERAGE(INDIRECT(ADDRESS(18+3,K$2+1,,,"Instances") &amp; ":" &amp; ADDRESS(18+3,K$2+1))),"median", MEDIAN(INDIRECT(ADDRESS(18+3,K$2+1,,,"Instances") &amp; ":" &amp; ADDRESS(18+3,K$2+1))),"min", MIN(INDIRECT(ADDRESS(18+3,K$2+1,,,"Instances") &amp; ":" &amp; ADDRESS(18+3,K$2+1))),"max", MAX(INDIRECT(ADDRESS(18+3,K$2+1,,,"Instances") &amp; ":" &amp; ADDRESS(18+3,K$2+1))),"diff", MAX(INDIRECT(ADDRESS(18+3,K$2+1,,,"Instances") &amp; ":" &amp; ADDRESS(18+3,K$2+1)))-MIN(INDIRECT(ADDRESS(18+3,K$2+1,,,"Instances") &amp; ":" &amp; ADDRESS(18+3,K$2+1))))</f>
        <v>0</v>
      </c>
      <c r="L23">
        <f>IFERROR(SMALL(K5:K146,ROW()-ROW($L$5)+1),"")</f>
        <v>0</v>
      </c>
      <c r="N23">
        <f>IFERROR(SUM(L5:L23),"")</f>
        <v>0</v>
      </c>
      <c r="Q23">
        <f>IF(Charts!$B$3="none",E740,IF(K740="",NA(),K740))</f>
        <v>0</v>
      </c>
      <c r="R23">
        <f>IF(Charts!$B$3="none",F740,IF(L740="",NA(),L740))</f>
        <v>0</v>
      </c>
      <c r="S23">
        <f>IF(Charts!$B$3="none",G740,IF(M740="",NA(),M740))</f>
        <v>0</v>
      </c>
      <c r="T23">
        <f>IF(Charts!$B$3="none",H740,IF(N740="",NA(),N740))</f>
        <v>0</v>
      </c>
    </row>
    <row r="24" spans="4:20">
      <c r="D24">
        <v>20</v>
      </c>
      <c r="E24">
        <f>IF(INDIRECT(ADDRESS($D24+2,E$2+1,,,"Instances"))="","",INDIRECT(ADDRESS($D24+2,E$2+1,,,"Instances")))</f>
        <v>0</v>
      </c>
      <c r="F24">
        <f>IFERROR(SMALL(E5:E146,ROW()-ROW($F$5)+1),"")</f>
        <v>0</v>
      </c>
      <c r="H24">
        <f>IFERROR(SUM(F5:F24),"")</f>
        <v>0</v>
      </c>
      <c r="J24">
        <v>20</v>
      </c>
      <c r="K24" cm="1">
        <f t="array" ref="K24">_xlfn.SWITCH(Charts!$B$3,"average", AVERAGE(INDIRECT(ADDRESS(19+3,K$2+1,,,"Instances") &amp; ":" &amp; ADDRESS(19+3,K$2+1))),"median", MEDIAN(INDIRECT(ADDRESS(19+3,K$2+1,,,"Instances") &amp; ":" &amp; ADDRESS(19+3,K$2+1))),"min", MIN(INDIRECT(ADDRESS(19+3,K$2+1,,,"Instances") &amp; ":" &amp; ADDRESS(19+3,K$2+1))),"max", MAX(INDIRECT(ADDRESS(19+3,K$2+1,,,"Instances") &amp; ":" &amp; ADDRESS(19+3,K$2+1))),"diff", MAX(INDIRECT(ADDRESS(19+3,K$2+1,,,"Instances") &amp; ":" &amp; ADDRESS(19+3,K$2+1)))-MIN(INDIRECT(ADDRESS(19+3,K$2+1,,,"Instances") &amp; ":" &amp; ADDRESS(19+3,K$2+1))))</f>
        <v>0</v>
      </c>
      <c r="L24">
        <f>IFERROR(SMALL(K5:K146,ROW()-ROW($L$5)+1),"")</f>
        <v>0</v>
      </c>
      <c r="N24">
        <f>IFERROR(SUM(L5:L24),"")</f>
        <v>0</v>
      </c>
      <c r="Q24">
        <f>IF(Charts!$B$3="none",E741,IF(K741="",NA(),K741))</f>
        <v>0</v>
      </c>
      <c r="R24">
        <f>IF(Charts!$B$3="none",F741,IF(L741="",NA(),L741))</f>
        <v>0</v>
      </c>
      <c r="S24">
        <f>IF(Charts!$B$3="none",G741,IF(M741="",NA(),M741))</f>
        <v>0</v>
      </c>
      <c r="T24">
        <f>IF(Charts!$B$3="none",H741,IF(N741="",NA(),N741))</f>
        <v>0</v>
      </c>
    </row>
    <row r="25" spans="4:20">
      <c r="D25">
        <v>21</v>
      </c>
      <c r="E25">
        <f>IF(INDIRECT(ADDRESS($D25+2,E$2+1,,,"Instances"))="","",INDIRECT(ADDRESS($D25+2,E$2+1,,,"Instances")))</f>
        <v>0</v>
      </c>
      <c r="F25">
        <f>IFERROR(SMALL(E5:E146,ROW()-ROW($F$5)+1),"")</f>
        <v>0</v>
      </c>
      <c r="H25">
        <f>IFERROR(SUM(F5:F25),"")</f>
        <v>0</v>
      </c>
      <c r="J25">
        <v>21</v>
      </c>
      <c r="K25" cm="1">
        <f t="array" ref="K25">_xlfn.SWITCH(Charts!$B$3,"average", AVERAGE(INDIRECT(ADDRESS(20+3,K$2+1,,,"Instances") &amp; ":" &amp; ADDRESS(20+3,K$2+1))),"median", MEDIAN(INDIRECT(ADDRESS(20+3,K$2+1,,,"Instances") &amp; ":" &amp; ADDRESS(20+3,K$2+1))),"min", MIN(INDIRECT(ADDRESS(20+3,K$2+1,,,"Instances") &amp; ":" &amp; ADDRESS(20+3,K$2+1))),"max", MAX(INDIRECT(ADDRESS(20+3,K$2+1,,,"Instances") &amp; ":" &amp; ADDRESS(20+3,K$2+1))),"diff", MAX(INDIRECT(ADDRESS(20+3,K$2+1,,,"Instances") &amp; ":" &amp; ADDRESS(20+3,K$2+1)))-MIN(INDIRECT(ADDRESS(20+3,K$2+1,,,"Instances") &amp; ":" &amp; ADDRESS(20+3,K$2+1))))</f>
        <v>0</v>
      </c>
      <c r="L25">
        <f>IFERROR(SMALL(K5:K146,ROW()-ROW($L$5)+1),"")</f>
        <v>0</v>
      </c>
      <c r="N25">
        <f>IFERROR(SUM(L5:L25),"")</f>
        <v>0</v>
      </c>
      <c r="Q25">
        <f>IF(Charts!$B$3="none",E742,IF(K742="",NA(),K742))</f>
        <v>0</v>
      </c>
      <c r="R25">
        <f>IF(Charts!$B$3="none",F742,IF(L742="",NA(),L742))</f>
        <v>0</v>
      </c>
      <c r="S25">
        <f>IF(Charts!$B$3="none",G742,IF(M742="",NA(),M742))</f>
        <v>0</v>
      </c>
      <c r="T25">
        <f>IF(Charts!$B$3="none",H742,IF(N742="",NA(),N742))</f>
        <v>0</v>
      </c>
    </row>
    <row r="26" spans="4:20">
      <c r="D26">
        <v>22</v>
      </c>
      <c r="E26">
        <f>IF(INDIRECT(ADDRESS($D26+2,E$2+1,,,"Instances"))="","",INDIRECT(ADDRESS($D26+2,E$2+1,,,"Instances")))</f>
        <v>0</v>
      </c>
      <c r="F26">
        <f>IFERROR(SMALL(E5:E146,ROW()-ROW($F$5)+1),"")</f>
        <v>0</v>
      </c>
      <c r="H26">
        <f>IFERROR(SUM(F5:F26),"")</f>
        <v>0</v>
      </c>
      <c r="J26">
        <v>22</v>
      </c>
      <c r="K26" cm="1">
        <f t="array" ref="K26">_xlfn.SWITCH(Charts!$B$3,"average", AVERAGE(INDIRECT(ADDRESS(21+3,K$2+1,,,"Instances") &amp; ":" &amp; ADDRESS(21+3,K$2+1))),"median", MEDIAN(INDIRECT(ADDRESS(21+3,K$2+1,,,"Instances") &amp; ":" &amp; ADDRESS(21+3,K$2+1))),"min", MIN(INDIRECT(ADDRESS(21+3,K$2+1,,,"Instances") &amp; ":" &amp; ADDRESS(21+3,K$2+1))),"max", MAX(INDIRECT(ADDRESS(21+3,K$2+1,,,"Instances") &amp; ":" &amp; ADDRESS(21+3,K$2+1))),"diff", MAX(INDIRECT(ADDRESS(21+3,K$2+1,,,"Instances") &amp; ":" &amp; ADDRESS(21+3,K$2+1)))-MIN(INDIRECT(ADDRESS(21+3,K$2+1,,,"Instances") &amp; ":" &amp; ADDRESS(21+3,K$2+1))))</f>
        <v>0</v>
      </c>
      <c r="L26">
        <f>IFERROR(SMALL(K5:K146,ROW()-ROW($L$5)+1),"")</f>
        <v>0</v>
      </c>
      <c r="N26">
        <f>IFERROR(SUM(L5:L26),"")</f>
        <v>0</v>
      </c>
      <c r="Q26">
        <f>IF(Charts!$B$3="none",E743,IF(K743="",NA(),K743))</f>
        <v>0</v>
      </c>
      <c r="R26">
        <f>IF(Charts!$B$3="none",F743,IF(L743="",NA(),L743))</f>
        <v>0</v>
      </c>
      <c r="S26">
        <f>IF(Charts!$B$3="none",G743,IF(M743="",NA(),M743))</f>
        <v>0</v>
      </c>
      <c r="T26">
        <f>IF(Charts!$B$3="none",H743,IF(N743="",NA(),N743))</f>
        <v>0</v>
      </c>
    </row>
    <row r="27" spans="4:20">
      <c r="D27">
        <v>23</v>
      </c>
      <c r="E27">
        <f>IF(INDIRECT(ADDRESS($D27+2,E$2+1,,,"Instances"))="","",INDIRECT(ADDRESS($D27+2,E$2+1,,,"Instances")))</f>
        <v>0</v>
      </c>
      <c r="F27">
        <f>IFERROR(SMALL(E5:E146,ROW()-ROW($F$5)+1),"")</f>
        <v>0</v>
      </c>
      <c r="H27">
        <f>IFERROR(SUM(F5:F27),"")</f>
        <v>0</v>
      </c>
      <c r="J27">
        <v>23</v>
      </c>
      <c r="K27" cm="1">
        <f t="array" ref="K27">_xlfn.SWITCH(Charts!$B$3,"average", AVERAGE(INDIRECT(ADDRESS(22+3,K$2+1,,,"Instances") &amp; ":" &amp; ADDRESS(22+3,K$2+1))),"median", MEDIAN(INDIRECT(ADDRESS(22+3,K$2+1,,,"Instances") &amp; ":" &amp; ADDRESS(22+3,K$2+1))),"min", MIN(INDIRECT(ADDRESS(22+3,K$2+1,,,"Instances") &amp; ":" &amp; ADDRESS(22+3,K$2+1))),"max", MAX(INDIRECT(ADDRESS(22+3,K$2+1,,,"Instances") &amp; ":" &amp; ADDRESS(22+3,K$2+1))),"diff", MAX(INDIRECT(ADDRESS(22+3,K$2+1,,,"Instances") &amp; ":" &amp; ADDRESS(22+3,K$2+1)))-MIN(INDIRECT(ADDRESS(22+3,K$2+1,,,"Instances") &amp; ":" &amp; ADDRESS(22+3,K$2+1))))</f>
        <v>0</v>
      </c>
      <c r="L27">
        <f>IFERROR(SMALL(K5:K146,ROW()-ROW($L$5)+1),"")</f>
        <v>0</v>
      </c>
      <c r="N27">
        <f>IFERROR(SUM(L5:L27),"")</f>
        <v>0</v>
      </c>
      <c r="Q27">
        <f>IF(Charts!$B$3="none",E744,IF(K744="",NA(),K744))</f>
        <v>0</v>
      </c>
      <c r="R27">
        <f>IF(Charts!$B$3="none",F744,IF(L744="",NA(),L744))</f>
        <v>0</v>
      </c>
      <c r="S27">
        <f>IF(Charts!$B$3="none",G744,IF(M744="",NA(),M744))</f>
        <v>0</v>
      </c>
      <c r="T27">
        <f>IF(Charts!$B$3="none",H744,IF(N744="",NA(),N744))</f>
        <v>0</v>
      </c>
    </row>
    <row r="28" spans="4:20">
      <c r="D28">
        <v>24</v>
      </c>
      <c r="E28">
        <f>IF(INDIRECT(ADDRESS($D28+2,E$2+1,,,"Instances"))="","",INDIRECT(ADDRESS($D28+2,E$2+1,,,"Instances")))</f>
        <v>0</v>
      </c>
      <c r="F28">
        <f>IFERROR(SMALL(E5:E146,ROW()-ROW($F$5)+1),"")</f>
        <v>0</v>
      </c>
      <c r="H28">
        <f>IFERROR(SUM(F5:F28),"")</f>
        <v>0</v>
      </c>
      <c r="J28">
        <v>24</v>
      </c>
      <c r="K28" cm="1">
        <f t="array" ref="K28">_xlfn.SWITCH(Charts!$B$3,"average", AVERAGE(INDIRECT(ADDRESS(23+3,K$2+1,,,"Instances") &amp; ":" &amp; ADDRESS(23+3,K$2+1))),"median", MEDIAN(INDIRECT(ADDRESS(23+3,K$2+1,,,"Instances") &amp; ":" &amp; ADDRESS(23+3,K$2+1))),"min", MIN(INDIRECT(ADDRESS(23+3,K$2+1,,,"Instances") &amp; ":" &amp; ADDRESS(23+3,K$2+1))),"max", MAX(INDIRECT(ADDRESS(23+3,K$2+1,,,"Instances") &amp; ":" &amp; ADDRESS(23+3,K$2+1))),"diff", MAX(INDIRECT(ADDRESS(23+3,K$2+1,,,"Instances") &amp; ":" &amp; ADDRESS(23+3,K$2+1)))-MIN(INDIRECT(ADDRESS(23+3,K$2+1,,,"Instances") &amp; ":" &amp; ADDRESS(23+3,K$2+1))))</f>
        <v>0</v>
      </c>
      <c r="L28">
        <f>IFERROR(SMALL(K5:K146,ROW()-ROW($L$5)+1),"")</f>
        <v>0</v>
      </c>
      <c r="N28">
        <f>IFERROR(SUM(L5:L28),"")</f>
        <v>0</v>
      </c>
      <c r="Q28">
        <f>IF(Charts!$B$3="none",E745,IF(K745="",NA(),K745))</f>
        <v>0</v>
      </c>
      <c r="R28">
        <f>IF(Charts!$B$3="none",F745,IF(L745="",NA(),L745))</f>
        <v>0</v>
      </c>
      <c r="S28">
        <f>IF(Charts!$B$3="none",G745,IF(M745="",NA(),M745))</f>
        <v>0</v>
      </c>
      <c r="T28">
        <f>IF(Charts!$B$3="none",H745,IF(N745="",NA(),N745))</f>
        <v>0</v>
      </c>
    </row>
    <row r="29" spans="4:20">
      <c r="D29">
        <v>25</v>
      </c>
      <c r="E29">
        <f>IF(INDIRECT(ADDRESS($D29+2,E$2+1,,,"Instances"))="","",INDIRECT(ADDRESS($D29+2,E$2+1,,,"Instances")))</f>
        <v>0</v>
      </c>
      <c r="F29">
        <f>IFERROR(SMALL(E5:E146,ROW()-ROW($F$5)+1),"")</f>
        <v>0</v>
      </c>
      <c r="H29">
        <f>IFERROR(SUM(F5:F29),"")</f>
        <v>0</v>
      </c>
      <c r="J29">
        <v>25</v>
      </c>
      <c r="K29" cm="1">
        <f t="array" ref="K29">_xlfn.SWITCH(Charts!$B$3,"average", AVERAGE(INDIRECT(ADDRESS(24+3,K$2+1,,,"Instances") &amp; ":" &amp; ADDRESS(24+3,K$2+1))),"median", MEDIAN(INDIRECT(ADDRESS(24+3,K$2+1,,,"Instances") &amp; ":" &amp; ADDRESS(24+3,K$2+1))),"min", MIN(INDIRECT(ADDRESS(24+3,K$2+1,,,"Instances") &amp; ":" &amp; ADDRESS(24+3,K$2+1))),"max", MAX(INDIRECT(ADDRESS(24+3,K$2+1,,,"Instances") &amp; ":" &amp; ADDRESS(24+3,K$2+1))),"diff", MAX(INDIRECT(ADDRESS(24+3,K$2+1,,,"Instances") &amp; ":" &amp; ADDRESS(24+3,K$2+1)))-MIN(INDIRECT(ADDRESS(24+3,K$2+1,,,"Instances") &amp; ":" &amp; ADDRESS(24+3,K$2+1))))</f>
        <v>0</v>
      </c>
      <c r="L29">
        <f>IFERROR(SMALL(K5:K146,ROW()-ROW($L$5)+1),"")</f>
        <v>0</v>
      </c>
      <c r="N29">
        <f>IFERROR(SUM(L5:L29),"")</f>
        <v>0</v>
      </c>
      <c r="Q29">
        <f>IF(Charts!$B$3="none",E746,IF(K746="",NA(),K746))</f>
        <v>0</v>
      </c>
      <c r="R29">
        <f>IF(Charts!$B$3="none",F746,IF(L746="",NA(),L746))</f>
        <v>0</v>
      </c>
      <c r="S29">
        <f>IF(Charts!$B$3="none",G746,IF(M746="",NA(),M746))</f>
        <v>0</v>
      </c>
      <c r="T29">
        <f>IF(Charts!$B$3="none",H746,IF(N746="",NA(),N746))</f>
        <v>0</v>
      </c>
    </row>
    <row r="30" spans="4:20">
      <c r="D30">
        <v>26</v>
      </c>
      <c r="E30">
        <f>IF(INDIRECT(ADDRESS($D30+2,E$2+1,,,"Instances"))="","",INDIRECT(ADDRESS($D30+2,E$2+1,,,"Instances")))</f>
        <v>0</v>
      </c>
      <c r="F30">
        <f>IFERROR(SMALL(E5:E146,ROW()-ROW($F$5)+1),"")</f>
        <v>0</v>
      </c>
      <c r="H30">
        <f>IFERROR(SUM(F5:F30),"")</f>
        <v>0</v>
      </c>
      <c r="J30">
        <v>26</v>
      </c>
      <c r="K30" cm="1">
        <f t="array" ref="K30">_xlfn.SWITCH(Charts!$B$3,"average", AVERAGE(INDIRECT(ADDRESS(25+3,K$2+1,,,"Instances") &amp; ":" &amp; ADDRESS(25+3,K$2+1))),"median", MEDIAN(INDIRECT(ADDRESS(25+3,K$2+1,,,"Instances") &amp; ":" &amp; ADDRESS(25+3,K$2+1))),"min", MIN(INDIRECT(ADDRESS(25+3,K$2+1,,,"Instances") &amp; ":" &amp; ADDRESS(25+3,K$2+1))),"max", MAX(INDIRECT(ADDRESS(25+3,K$2+1,,,"Instances") &amp; ":" &amp; ADDRESS(25+3,K$2+1))),"diff", MAX(INDIRECT(ADDRESS(25+3,K$2+1,,,"Instances") &amp; ":" &amp; ADDRESS(25+3,K$2+1)))-MIN(INDIRECT(ADDRESS(25+3,K$2+1,,,"Instances") &amp; ":" &amp; ADDRESS(25+3,K$2+1))))</f>
        <v>0</v>
      </c>
      <c r="L30">
        <f>IFERROR(SMALL(K5:K146,ROW()-ROW($L$5)+1),"")</f>
        <v>0</v>
      </c>
      <c r="N30">
        <f>IFERROR(SUM(L5:L30),"")</f>
        <v>0</v>
      </c>
      <c r="Q30">
        <f>IF(Charts!$B$3="none",E747,IF(K747="",NA(),K747))</f>
        <v>0</v>
      </c>
      <c r="R30">
        <f>IF(Charts!$B$3="none",F747,IF(L747="",NA(),L747))</f>
        <v>0</v>
      </c>
      <c r="S30">
        <f>IF(Charts!$B$3="none",G747,IF(M747="",NA(),M747))</f>
        <v>0</v>
      </c>
      <c r="T30">
        <f>IF(Charts!$B$3="none",H747,IF(N747="",NA(),N747))</f>
        <v>0</v>
      </c>
    </row>
    <row r="31" spans="4:20">
      <c r="D31">
        <v>27</v>
      </c>
      <c r="E31">
        <f>IF(INDIRECT(ADDRESS($D31+2,E$2+1,,,"Instances"))="","",INDIRECT(ADDRESS($D31+2,E$2+1,,,"Instances")))</f>
        <v>0</v>
      </c>
      <c r="F31">
        <f>IFERROR(SMALL(E5:E146,ROW()-ROW($F$5)+1),"")</f>
        <v>0</v>
      </c>
      <c r="H31">
        <f>IFERROR(SUM(F5:F31),"")</f>
        <v>0</v>
      </c>
      <c r="J31">
        <v>27</v>
      </c>
      <c r="K31" cm="1">
        <f t="array" ref="K31">_xlfn.SWITCH(Charts!$B$3,"average", AVERAGE(INDIRECT(ADDRESS(26+3,K$2+1,,,"Instances") &amp; ":" &amp; ADDRESS(26+3,K$2+1))),"median", MEDIAN(INDIRECT(ADDRESS(26+3,K$2+1,,,"Instances") &amp; ":" &amp; ADDRESS(26+3,K$2+1))),"min", MIN(INDIRECT(ADDRESS(26+3,K$2+1,,,"Instances") &amp; ":" &amp; ADDRESS(26+3,K$2+1))),"max", MAX(INDIRECT(ADDRESS(26+3,K$2+1,,,"Instances") &amp; ":" &amp; ADDRESS(26+3,K$2+1))),"diff", MAX(INDIRECT(ADDRESS(26+3,K$2+1,,,"Instances") &amp; ":" &amp; ADDRESS(26+3,K$2+1)))-MIN(INDIRECT(ADDRESS(26+3,K$2+1,,,"Instances") &amp; ":" &amp; ADDRESS(26+3,K$2+1))))</f>
        <v>0</v>
      </c>
      <c r="L31">
        <f>IFERROR(SMALL(K5:K146,ROW()-ROW($L$5)+1),"")</f>
        <v>0</v>
      </c>
      <c r="N31">
        <f>IFERROR(SUM(L5:L31),"")</f>
        <v>0</v>
      </c>
      <c r="Q31">
        <f>IF(Charts!$B$3="none",E748,IF(K748="",NA(),K748))</f>
        <v>0</v>
      </c>
      <c r="R31">
        <f>IF(Charts!$B$3="none",F748,IF(L748="",NA(),L748))</f>
        <v>0</v>
      </c>
      <c r="S31">
        <f>IF(Charts!$B$3="none",G748,IF(M748="",NA(),M748))</f>
        <v>0</v>
      </c>
      <c r="T31">
        <f>IF(Charts!$B$3="none",H748,IF(N748="",NA(),N748))</f>
        <v>0</v>
      </c>
    </row>
    <row r="32" spans="4:20">
      <c r="D32">
        <v>28</v>
      </c>
      <c r="E32">
        <f>IF(INDIRECT(ADDRESS($D32+2,E$2+1,,,"Instances"))="","",INDIRECT(ADDRESS($D32+2,E$2+1,,,"Instances")))</f>
        <v>0</v>
      </c>
      <c r="F32">
        <f>IFERROR(SMALL(E5:E146,ROW()-ROW($F$5)+1),"")</f>
        <v>0</v>
      </c>
      <c r="H32">
        <f>IFERROR(SUM(F5:F32),"")</f>
        <v>0</v>
      </c>
      <c r="J32">
        <v>28</v>
      </c>
      <c r="K32" cm="1">
        <f t="array" ref="K32">_xlfn.SWITCH(Charts!$B$3,"average", AVERAGE(INDIRECT(ADDRESS(27+3,K$2+1,,,"Instances") &amp; ":" &amp; ADDRESS(27+3,K$2+1))),"median", MEDIAN(INDIRECT(ADDRESS(27+3,K$2+1,,,"Instances") &amp; ":" &amp; ADDRESS(27+3,K$2+1))),"min", MIN(INDIRECT(ADDRESS(27+3,K$2+1,,,"Instances") &amp; ":" &amp; ADDRESS(27+3,K$2+1))),"max", MAX(INDIRECT(ADDRESS(27+3,K$2+1,,,"Instances") &amp; ":" &amp; ADDRESS(27+3,K$2+1))),"diff", MAX(INDIRECT(ADDRESS(27+3,K$2+1,,,"Instances") &amp; ":" &amp; ADDRESS(27+3,K$2+1)))-MIN(INDIRECT(ADDRESS(27+3,K$2+1,,,"Instances") &amp; ":" &amp; ADDRESS(27+3,K$2+1))))</f>
        <v>0</v>
      </c>
      <c r="L32">
        <f>IFERROR(SMALL(K5:K146,ROW()-ROW($L$5)+1),"")</f>
        <v>0</v>
      </c>
      <c r="N32">
        <f>IFERROR(SUM(L5:L32),"")</f>
        <v>0</v>
      </c>
      <c r="Q32">
        <f>IF(Charts!$B$3="none",E749,IF(K749="",NA(),K749))</f>
        <v>0</v>
      </c>
      <c r="R32">
        <f>IF(Charts!$B$3="none",F749,IF(L749="",NA(),L749))</f>
        <v>0</v>
      </c>
      <c r="S32">
        <f>IF(Charts!$B$3="none",G749,IF(M749="",NA(),M749))</f>
        <v>0</v>
      </c>
      <c r="T32">
        <f>IF(Charts!$B$3="none",H749,IF(N749="",NA(),N749))</f>
        <v>0</v>
      </c>
    </row>
    <row r="33" spans="4:20">
      <c r="D33">
        <v>29</v>
      </c>
      <c r="E33">
        <f>IF(INDIRECT(ADDRESS($D33+2,E$2+1,,,"Instances"))="","",INDIRECT(ADDRESS($D33+2,E$2+1,,,"Instances")))</f>
        <v>0</v>
      </c>
      <c r="F33">
        <f>IFERROR(SMALL(E5:E146,ROW()-ROW($F$5)+1),"")</f>
        <v>0</v>
      </c>
      <c r="H33">
        <f>IFERROR(SUM(F5:F33),"")</f>
        <v>0</v>
      </c>
      <c r="J33">
        <v>29</v>
      </c>
      <c r="K33" cm="1">
        <f t="array" ref="K33">_xlfn.SWITCH(Charts!$B$3,"average", AVERAGE(INDIRECT(ADDRESS(28+3,K$2+1,,,"Instances") &amp; ":" &amp; ADDRESS(28+3,K$2+1))),"median", MEDIAN(INDIRECT(ADDRESS(28+3,K$2+1,,,"Instances") &amp; ":" &amp; ADDRESS(28+3,K$2+1))),"min", MIN(INDIRECT(ADDRESS(28+3,K$2+1,,,"Instances") &amp; ":" &amp; ADDRESS(28+3,K$2+1))),"max", MAX(INDIRECT(ADDRESS(28+3,K$2+1,,,"Instances") &amp; ":" &amp; ADDRESS(28+3,K$2+1))),"diff", MAX(INDIRECT(ADDRESS(28+3,K$2+1,,,"Instances") &amp; ":" &amp; ADDRESS(28+3,K$2+1)))-MIN(INDIRECT(ADDRESS(28+3,K$2+1,,,"Instances") &amp; ":" &amp; ADDRESS(28+3,K$2+1))))</f>
        <v>0</v>
      </c>
      <c r="L33">
        <f>IFERROR(SMALL(K5:K146,ROW()-ROW($L$5)+1),"")</f>
        <v>0</v>
      </c>
      <c r="N33">
        <f>IFERROR(SUM(L5:L33),"")</f>
        <v>0</v>
      </c>
      <c r="Q33">
        <f>IF(Charts!$B$3="none",E750,IF(K750="",NA(),K750))</f>
        <v>0</v>
      </c>
      <c r="R33">
        <f>IF(Charts!$B$3="none",F750,IF(L750="",NA(),L750))</f>
        <v>0</v>
      </c>
      <c r="S33">
        <f>IF(Charts!$B$3="none",G750,IF(M750="",NA(),M750))</f>
        <v>0</v>
      </c>
      <c r="T33">
        <f>IF(Charts!$B$3="none",H750,IF(N750="",NA(),N750))</f>
        <v>0</v>
      </c>
    </row>
    <row r="34" spans="4:20">
      <c r="D34">
        <v>30</v>
      </c>
      <c r="E34">
        <f>IF(INDIRECT(ADDRESS($D34+2,E$2+1,,,"Instances"))="","",INDIRECT(ADDRESS($D34+2,E$2+1,,,"Instances")))</f>
        <v>0</v>
      </c>
      <c r="F34">
        <f>IFERROR(SMALL(E5:E146,ROW()-ROW($F$5)+1),"")</f>
        <v>0</v>
      </c>
      <c r="H34">
        <f>IFERROR(SUM(F5:F34),"")</f>
        <v>0</v>
      </c>
      <c r="J34">
        <v>30</v>
      </c>
      <c r="K34" cm="1">
        <f t="array" ref="K34">_xlfn.SWITCH(Charts!$B$3,"average", AVERAGE(INDIRECT(ADDRESS(29+3,K$2+1,,,"Instances") &amp; ":" &amp; ADDRESS(29+3,K$2+1))),"median", MEDIAN(INDIRECT(ADDRESS(29+3,K$2+1,,,"Instances") &amp; ":" &amp; ADDRESS(29+3,K$2+1))),"min", MIN(INDIRECT(ADDRESS(29+3,K$2+1,,,"Instances") &amp; ":" &amp; ADDRESS(29+3,K$2+1))),"max", MAX(INDIRECT(ADDRESS(29+3,K$2+1,,,"Instances") &amp; ":" &amp; ADDRESS(29+3,K$2+1))),"diff", MAX(INDIRECT(ADDRESS(29+3,K$2+1,,,"Instances") &amp; ":" &amp; ADDRESS(29+3,K$2+1)))-MIN(INDIRECT(ADDRESS(29+3,K$2+1,,,"Instances") &amp; ":" &amp; ADDRESS(29+3,K$2+1))))</f>
        <v>0</v>
      </c>
      <c r="L34">
        <f>IFERROR(SMALL(K5:K146,ROW()-ROW($L$5)+1),"")</f>
        <v>0</v>
      </c>
      <c r="N34">
        <f>IFERROR(SUM(L5:L34),"")</f>
        <v>0</v>
      </c>
      <c r="Q34">
        <f>IF(Charts!$B$3="none",E751,IF(K751="",NA(),K751))</f>
        <v>0</v>
      </c>
      <c r="R34">
        <f>IF(Charts!$B$3="none",F751,IF(L751="",NA(),L751))</f>
        <v>0</v>
      </c>
      <c r="S34">
        <f>IF(Charts!$B$3="none",G751,IF(M751="",NA(),M751))</f>
        <v>0</v>
      </c>
      <c r="T34">
        <f>IF(Charts!$B$3="none",H751,IF(N751="",NA(),N751))</f>
        <v>0</v>
      </c>
    </row>
    <row r="35" spans="4:20">
      <c r="D35">
        <v>31</v>
      </c>
      <c r="E35">
        <f>IF(INDIRECT(ADDRESS($D35+2,E$2+1,,,"Instances"))="","",INDIRECT(ADDRESS($D35+2,E$2+1,,,"Instances")))</f>
        <v>0</v>
      </c>
      <c r="F35">
        <f>IFERROR(SMALL(E5:E146,ROW()-ROW($F$5)+1),"")</f>
        <v>0</v>
      </c>
      <c r="H35">
        <f>IFERROR(SUM(F5:F35),"")</f>
        <v>0</v>
      </c>
      <c r="J35">
        <v>31</v>
      </c>
      <c r="K35" cm="1">
        <f t="array" ref="K35">_xlfn.SWITCH(Charts!$B$3,"average", AVERAGE(INDIRECT(ADDRESS(30+3,K$2+1,,,"Instances") &amp; ":" &amp; ADDRESS(30+3,K$2+1))),"median", MEDIAN(INDIRECT(ADDRESS(30+3,K$2+1,,,"Instances") &amp; ":" &amp; ADDRESS(30+3,K$2+1))),"min", MIN(INDIRECT(ADDRESS(30+3,K$2+1,,,"Instances") &amp; ":" &amp; ADDRESS(30+3,K$2+1))),"max", MAX(INDIRECT(ADDRESS(30+3,K$2+1,,,"Instances") &amp; ":" &amp; ADDRESS(30+3,K$2+1))),"diff", MAX(INDIRECT(ADDRESS(30+3,K$2+1,,,"Instances") &amp; ":" &amp; ADDRESS(30+3,K$2+1)))-MIN(INDIRECT(ADDRESS(30+3,K$2+1,,,"Instances") &amp; ":" &amp; ADDRESS(30+3,K$2+1))))</f>
        <v>0</v>
      </c>
      <c r="L35">
        <f>IFERROR(SMALL(K5:K146,ROW()-ROW($L$5)+1),"")</f>
        <v>0</v>
      </c>
      <c r="N35">
        <f>IFERROR(SUM(L5:L35),"")</f>
        <v>0</v>
      </c>
      <c r="Q35">
        <f>IF(Charts!$B$3="none",E752,IF(K752="",NA(),K752))</f>
        <v>0</v>
      </c>
      <c r="R35">
        <f>IF(Charts!$B$3="none",F752,IF(L752="",NA(),L752))</f>
        <v>0</v>
      </c>
      <c r="S35">
        <f>IF(Charts!$B$3="none",G752,IF(M752="",NA(),M752))</f>
        <v>0</v>
      </c>
      <c r="T35">
        <f>IF(Charts!$B$3="none",H752,IF(N752="",NA(),N752))</f>
        <v>0</v>
      </c>
    </row>
    <row r="36" spans="4:20">
      <c r="D36">
        <v>32</v>
      </c>
      <c r="E36">
        <f>IF(INDIRECT(ADDRESS($D36+2,E$2+1,,,"Instances"))="","",INDIRECT(ADDRESS($D36+2,E$2+1,,,"Instances")))</f>
        <v>0</v>
      </c>
      <c r="F36">
        <f>IFERROR(SMALL(E5:E146,ROW()-ROW($F$5)+1),"")</f>
        <v>0</v>
      </c>
      <c r="H36">
        <f>IFERROR(SUM(F5:F36),"")</f>
        <v>0</v>
      </c>
      <c r="J36">
        <v>32</v>
      </c>
      <c r="K36" cm="1">
        <f t="array" ref="K36">_xlfn.SWITCH(Charts!$B$3,"average", AVERAGE(INDIRECT(ADDRESS(31+3,K$2+1,,,"Instances") &amp; ":" &amp; ADDRESS(31+3,K$2+1))),"median", MEDIAN(INDIRECT(ADDRESS(31+3,K$2+1,,,"Instances") &amp; ":" &amp; ADDRESS(31+3,K$2+1))),"min", MIN(INDIRECT(ADDRESS(31+3,K$2+1,,,"Instances") &amp; ":" &amp; ADDRESS(31+3,K$2+1))),"max", MAX(INDIRECT(ADDRESS(31+3,K$2+1,,,"Instances") &amp; ":" &amp; ADDRESS(31+3,K$2+1))),"diff", MAX(INDIRECT(ADDRESS(31+3,K$2+1,,,"Instances") &amp; ":" &amp; ADDRESS(31+3,K$2+1)))-MIN(INDIRECT(ADDRESS(31+3,K$2+1,,,"Instances") &amp; ":" &amp; ADDRESS(31+3,K$2+1))))</f>
        <v>0</v>
      </c>
      <c r="L36">
        <f>IFERROR(SMALL(K5:K146,ROW()-ROW($L$5)+1),"")</f>
        <v>0</v>
      </c>
      <c r="N36">
        <f>IFERROR(SUM(L5:L36),"")</f>
        <v>0</v>
      </c>
      <c r="Q36">
        <f>IF(Charts!$B$3="none",E753,IF(K753="",NA(),K753))</f>
        <v>0</v>
      </c>
      <c r="R36">
        <f>IF(Charts!$B$3="none",F753,IF(L753="",NA(),L753))</f>
        <v>0</v>
      </c>
      <c r="S36">
        <f>IF(Charts!$B$3="none",G753,IF(M753="",NA(),M753))</f>
        <v>0</v>
      </c>
      <c r="T36">
        <f>IF(Charts!$B$3="none",H753,IF(N753="",NA(),N753))</f>
        <v>0</v>
      </c>
    </row>
    <row r="37" spans="4:20">
      <c r="D37">
        <v>33</v>
      </c>
      <c r="E37">
        <f>IF(INDIRECT(ADDRESS($D37+2,E$2+1,,,"Instances"))="","",INDIRECT(ADDRESS($D37+2,E$2+1,,,"Instances")))</f>
        <v>0</v>
      </c>
      <c r="F37">
        <f>IFERROR(SMALL(E5:E146,ROW()-ROW($F$5)+1),"")</f>
        <v>0</v>
      </c>
      <c r="H37">
        <f>IFERROR(SUM(F5:F37),"")</f>
        <v>0</v>
      </c>
      <c r="J37">
        <v>33</v>
      </c>
      <c r="K37" cm="1">
        <f t="array" ref="K37">_xlfn.SWITCH(Charts!$B$3,"average", AVERAGE(INDIRECT(ADDRESS(32+3,K$2+1,,,"Instances") &amp; ":" &amp; ADDRESS(32+3,K$2+1))),"median", MEDIAN(INDIRECT(ADDRESS(32+3,K$2+1,,,"Instances") &amp; ":" &amp; ADDRESS(32+3,K$2+1))),"min", MIN(INDIRECT(ADDRESS(32+3,K$2+1,,,"Instances") &amp; ":" &amp; ADDRESS(32+3,K$2+1))),"max", MAX(INDIRECT(ADDRESS(32+3,K$2+1,,,"Instances") &amp; ":" &amp; ADDRESS(32+3,K$2+1))),"diff", MAX(INDIRECT(ADDRESS(32+3,K$2+1,,,"Instances") &amp; ":" &amp; ADDRESS(32+3,K$2+1)))-MIN(INDIRECT(ADDRESS(32+3,K$2+1,,,"Instances") &amp; ":" &amp; ADDRESS(32+3,K$2+1))))</f>
        <v>0</v>
      </c>
      <c r="L37">
        <f>IFERROR(SMALL(K5:K146,ROW()-ROW($L$5)+1),"")</f>
        <v>0</v>
      </c>
      <c r="N37">
        <f>IFERROR(SUM(L5:L37),"")</f>
        <v>0</v>
      </c>
      <c r="Q37">
        <f>IF(Charts!$B$3="none",E754,IF(K754="",NA(),K754))</f>
        <v>0</v>
      </c>
      <c r="R37">
        <f>IF(Charts!$B$3="none",F754,IF(L754="",NA(),L754))</f>
        <v>0</v>
      </c>
      <c r="S37">
        <f>IF(Charts!$B$3="none",G754,IF(M754="",NA(),M754))</f>
        <v>0</v>
      </c>
      <c r="T37">
        <f>IF(Charts!$B$3="none",H754,IF(N754="",NA(),N754))</f>
        <v>0</v>
      </c>
    </row>
    <row r="38" spans="4:20">
      <c r="D38">
        <v>34</v>
      </c>
      <c r="E38">
        <f>IF(INDIRECT(ADDRESS($D38+2,E$2+1,,,"Instances"))="","",INDIRECT(ADDRESS($D38+2,E$2+1,,,"Instances")))</f>
        <v>0</v>
      </c>
      <c r="F38">
        <f>IFERROR(SMALL(E5:E146,ROW()-ROW($F$5)+1),"")</f>
        <v>0</v>
      </c>
      <c r="H38">
        <f>IFERROR(SUM(F5:F38),"")</f>
        <v>0</v>
      </c>
      <c r="J38">
        <v>34</v>
      </c>
      <c r="K38" cm="1">
        <f t="array" ref="K38">_xlfn.SWITCH(Charts!$B$3,"average", AVERAGE(INDIRECT(ADDRESS(33+3,K$2+1,,,"Instances") &amp; ":" &amp; ADDRESS(33+3,K$2+1))),"median", MEDIAN(INDIRECT(ADDRESS(33+3,K$2+1,,,"Instances") &amp; ":" &amp; ADDRESS(33+3,K$2+1))),"min", MIN(INDIRECT(ADDRESS(33+3,K$2+1,,,"Instances") &amp; ":" &amp; ADDRESS(33+3,K$2+1))),"max", MAX(INDIRECT(ADDRESS(33+3,K$2+1,,,"Instances") &amp; ":" &amp; ADDRESS(33+3,K$2+1))),"diff", MAX(INDIRECT(ADDRESS(33+3,K$2+1,,,"Instances") &amp; ":" &amp; ADDRESS(33+3,K$2+1)))-MIN(INDIRECT(ADDRESS(33+3,K$2+1,,,"Instances") &amp; ":" &amp; ADDRESS(33+3,K$2+1))))</f>
        <v>0</v>
      </c>
      <c r="L38">
        <f>IFERROR(SMALL(K5:K146,ROW()-ROW($L$5)+1),"")</f>
        <v>0</v>
      </c>
      <c r="N38">
        <f>IFERROR(SUM(L5:L38),"")</f>
        <v>0</v>
      </c>
      <c r="Q38">
        <f>IF(Charts!$B$3="none",E755,IF(K755="",NA(),K755))</f>
        <v>0</v>
      </c>
      <c r="R38">
        <f>IF(Charts!$B$3="none",F755,IF(L755="",NA(),L755))</f>
        <v>0</v>
      </c>
      <c r="S38">
        <f>IF(Charts!$B$3="none",G755,IF(M755="",NA(),M755))</f>
        <v>0</v>
      </c>
      <c r="T38">
        <f>IF(Charts!$B$3="none",H755,IF(N755="",NA(),N755))</f>
        <v>0</v>
      </c>
    </row>
    <row r="39" spans="4:20">
      <c r="D39">
        <v>35</v>
      </c>
      <c r="E39">
        <f>IF(INDIRECT(ADDRESS($D39+2,E$2+1,,,"Instances"))="","",INDIRECT(ADDRESS($D39+2,E$2+1,,,"Instances")))</f>
        <v>0</v>
      </c>
      <c r="F39">
        <f>IFERROR(SMALL(E5:E146,ROW()-ROW($F$5)+1),"")</f>
        <v>0</v>
      </c>
      <c r="H39">
        <f>IFERROR(SUM(F5:F39),"")</f>
        <v>0</v>
      </c>
      <c r="J39">
        <v>35</v>
      </c>
      <c r="K39" cm="1">
        <f t="array" ref="K39">_xlfn.SWITCH(Charts!$B$3,"average", AVERAGE(INDIRECT(ADDRESS(34+3,K$2+1,,,"Instances") &amp; ":" &amp; ADDRESS(34+3,K$2+1))),"median", MEDIAN(INDIRECT(ADDRESS(34+3,K$2+1,,,"Instances") &amp; ":" &amp; ADDRESS(34+3,K$2+1))),"min", MIN(INDIRECT(ADDRESS(34+3,K$2+1,,,"Instances") &amp; ":" &amp; ADDRESS(34+3,K$2+1))),"max", MAX(INDIRECT(ADDRESS(34+3,K$2+1,,,"Instances") &amp; ":" &amp; ADDRESS(34+3,K$2+1))),"diff", MAX(INDIRECT(ADDRESS(34+3,K$2+1,,,"Instances") &amp; ":" &amp; ADDRESS(34+3,K$2+1)))-MIN(INDIRECT(ADDRESS(34+3,K$2+1,,,"Instances") &amp; ":" &amp; ADDRESS(34+3,K$2+1))))</f>
        <v>0</v>
      </c>
      <c r="L39">
        <f>IFERROR(SMALL(K5:K146,ROW()-ROW($L$5)+1),"")</f>
        <v>0</v>
      </c>
      <c r="N39">
        <f>IFERROR(SUM(L5:L39),"")</f>
        <v>0</v>
      </c>
      <c r="Q39">
        <f>IF(Charts!$B$3="none",E756,IF(K756="",NA(),K756))</f>
        <v>0</v>
      </c>
      <c r="R39">
        <f>IF(Charts!$B$3="none",F756,IF(L756="",NA(),L756))</f>
        <v>0</v>
      </c>
      <c r="S39">
        <f>IF(Charts!$B$3="none",G756,IF(M756="",NA(),M756))</f>
        <v>0</v>
      </c>
      <c r="T39">
        <f>IF(Charts!$B$3="none",H756,IF(N756="",NA(),N756))</f>
        <v>0</v>
      </c>
    </row>
    <row r="40" spans="4:20">
      <c r="D40">
        <v>36</v>
      </c>
      <c r="E40">
        <f>IF(INDIRECT(ADDRESS($D40+2,E$2+1,,,"Instances"))="","",INDIRECT(ADDRESS($D40+2,E$2+1,,,"Instances")))</f>
        <v>0</v>
      </c>
      <c r="F40">
        <f>IFERROR(SMALL(E5:E146,ROW()-ROW($F$5)+1),"")</f>
        <v>0</v>
      </c>
      <c r="H40">
        <f>IFERROR(SUM(F5:F40),"")</f>
        <v>0</v>
      </c>
      <c r="J40">
        <v>36</v>
      </c>
      <c r="K40" cm="1">
        <f t="array" ref="K40">_xlfn.SWITCH(Charts!$B$3,"average", AVERAGE(INDIRECT(ADDRESS(35+3,K$2+1,,,"Instances") &amp; ":" &amp; ADDRESS(35+3,K$2+1))),"median", MEDIAN(INDIRECT(ADDRESS(35+3,K$2+1,,,"Instances") &amp; ":" &amp; ADDRESS(35+3,K$2+1))),"min", MIN(INDIRECT(ADDRESS(35+3,K$2+1,,,"Instances") &amp; ":" &amp; ADDRESS(35+3,K$2+1))),"max", MAX(INDIRECT(ADDRESS(35+3,K$2+1,,,"Instances") &amp; ":" &amp; ADDRESS(35+3,K$2+1))),"diff", MAX(INDIRECT(ADDRESS(35+3,K$2+1,,,"Instances") &amp; ":" &amp; ADDRESS(35+3,K$2+1)))-MIN(INDIRECT(ADDRESS(35+3,K$2+1,,,"Instances") &amp; ":" &amp; ADDRESS(35+3,K$2+1))))</f>
        <v>0</v>
      </c>
      <c r="L40">
        <f>IFERROR(SMALL(K5:K146,ROW()-ROW($L$5)+1),"")</f>
        <v>0</v>
      </c>
      <c r="N40">
        <f>IFERROR(SUM(L5:L40),"")</f>
        <v>0</v>
      </c>
      <c r="Q40">
        <f>IF(Charts!$B$3="none",E757,IF(K757="",NA(),K757))</f>
        <v>0</v>
      </c>
      <c r="R40">
        <f>IF(Charts!$B$3="none",F757,IF(L757="",NA(),L757))</f>
        <v>0</v>
      </c>
      <c r="S40">
        <f>IF(Charts!$B$3="none",G757,IF(M757="",NA(),M757))</f>
        <v>0</v>
      </c>
      <c r="T40">
        <f>IF(Charts!$B$3="none",H757,IF(N757="",NA(),N757))</f>
        <v>0</v>
      </c>
    </row>
    <row r="41" spans="4:20">
      <c r="D41">
        <v>37</v>
      </c>
      <c r="E41">
        <f>IF(INDIRECT(ADDRESS($D41+2,E$2+1,,,"Instances"))="","",INDIRECT(ADDRESS($D41+2,E$2+1,,,"Instances")))</f>
        <v>0</v>
      </c>
      <c r="F41">
        <f>IFERROR(SMALL(E5:E146,ROW()-ROW($F$5)+1),"")</f>
        <v>0</v>
      </c>
      <c r="H41">
        <f>IFERROR(SUM(F5:F41),"")</f>
        <v>0</v>
      </c>
      <c r="J41">
        <v>37</v>
      </c>
      <c r="K41" cm="1">
        <f t="array" ref="K41">_xlfn.SWITCH(Charts!$B$3,"average", AVERAGE(INDIRECT(ADDRESS(36+3,K$2+1,,,"Instances") &amp; ":" &amp; ADDRESS(36+3,K$2+1))),"median", MEDIAN(INDIRECT(ADDRESS(36+3,K$2+1,,,"Instances") &amp; ":" &amp; ADDRESS(36+3,K$2+1))),"min", MIN(INDIRECT(ADDRESS(36+3,K$2+1,,,"Instances") &amp; ":" &amp; ADDRESS(36+3,K$2+1))),"max", MAX(INDIRECT(ADDRESS(36+3,K$2+1,,,"Instances") &amp; ":" &amp; ADDRESS(36+3,K$2+1))),"diff", MAX(INDIRECT(ADDRESS(36+3,K$2+1,,,"Instances") &amp; ":" &amp; ADDRESS(36+3,K$2+1)))-MIN(INDIRECT(ADDRESS(36+3,K$2+1,,,"Instances") &amp; ":" &amp; ADDRESS(36+3,K$2+1))))</f>
        <v>0</v>
      </c>
      <c r="L41">
        <f>IFERROR(SMALL(K5:K146,ROW()-ROW($L$5)+1),"")</f>
        <v>0</v>
      </c>
      <c r="N41">
        <f>IFERROR(SUM(L5:L41),"")</f>
        <v>0</v>
      </c>
      <c r="Q41">
        <f>IF(Charts!$B$3="none",E758,IF(K758="",NA(),K758))</f>
        <v>0</v>
      </c>
      <c r="R41">
        <f>IF(Charts!$B$3="none",F758,IF(L758="",NA(),L758))</f>
        <v>0</v>
      </c>
      <c r="S41">
        <f>IF(Charts!$B$3="none",G758,IF(M758="",NA(),M758))</f>
        <v>0</v>
      </c>
      <c r="T41">
        <f>IF(Charts!$B$3="none",H758,IF(N758="",NA(),N758))</f>
        <v>0</v>
      </c>
    </row>
    <row r="42" spans="4:20">
      <c r="D42">
        <v>38</v>
      </c>
      <c r="E42">
        <f>IF(INDIRECT(ADDRESS($D42+2,E$2+1,,,"Instances"))="","",INDIRECT(ADDRESS($D42+2,E$2+1,,,"Instances")))</f>
        <v>0</v>
      </c>
      <c r="F42">
        <f>IFERROR(SMALL(E5:E146,ROW()-ROW($F$5)+1),"")</f>
        <v>0</v>
      </c>
      <c r="H42">
        <f>IFERROR(SUM(F5:F42),"")</f>
        <v>0</v>
      </c>
      <c r="J42">
        <v>38</v>
      </c>
      <c r="K42" cm="1">
        <f t="array" ref="K42">_xlfn.SWITCH(Charts!$B$3,"average", AVERAGE(INDIRECT(ADDRESS(37+3,K$2+1,,,"Instances") &amp; ":" &amp; ADDRESS(37+3,K$2+1))),"median", MEDIAN(INDIRECT(ADDRESS(37+3,K$2+1,,,"Instances") &amp; ":" &amp; ADDRESS(37+3,K$2+1))),"min", MIN(INDIRECT(ADDRESS(37+3,K$2+1,,,"Instances") &amp; ":" &amp; ADDRESS(37+3,K$2+1))),"max", MAX(INDIRECT(ADDRESS(37+3,K$2+1,,,"Instances") &amp; ":" &amp; ADDRESS(37+3,K$2+1))),"diff", MAX(INDIRECT(ADDRESS(37+3,K$2+1,,,"Instances") &amp; ":" &amp; ADDRESS(37+3,K$2+1)))-MIN(INDIRECT(ADDRESS(37+3,K$2+1,,,"Instances") &amp; ":" &amp; ADDRESS(37+3,K$2+1))))</f>
        <v>0</v>
      </c>
      <c r="L42">
        <f>IFERROR(SMALL(K5:K146,ROW()-ROW($L$5)+1),"")</f>
        <v>0</v>
      </c>
      <c r="N42">
        <f>IFERROR(SUM(L5:L42),"")</f>
        <v>0</v>
      </c>
      <c r="Q42">
        <f>IF(Charts!$B$3="none",E759,IF(K759="",NA(),K759))</f>
        <v>0</v>
      </c>
      <c r="R42">
        <f>IF(Charts!$B$3="none",F759,IF(L759="",NA(),L759))</f>
        <v>0</v>
      </c>
      <c r="S42">
        <f>IF(Charts!$B$3="none",G759,IF(M759="",NA(),M759))</f>
        <v>0</v>
      </c>
      <c r="T42">
        <f>IF(Charts!$B$3="none",H759,IF(N759="",NA(),N759))</f>
        <v>0</v>
      </c>
    </row>
    <row r="43" spans="4:20">
      <c r="D43">
        <v>39</v>
      </c>
      <c r="E43">
        <f>IF(INDIRECT(ADDRESS($D43+2,E$2+1,,,"Instances"))="","",INDIRECT(ADDRESS($D43+2,E$2+1,,,"Instances")))</f>
        <v>0</v>
      </c>
      <c r="F43">
        <f>IFERROR(SMALL(E5:E146,ROW()-ROW($F$5)+1),"")</f>
        <v>0</v>
      </c>
      <c r="H43">
        <f>IFERROR(SUM(F5:F43),"")</f>
        <v>0</v>
      </c>
      <c r="J43">
        <v>39</v>
      </c>
      <c r="K43" cm="1">
        <f t="array" ref="K43">_xlfn.SWITCH(Charts!$B$3,"average", AVERAGE(INDIRECT(ADDRESS(38+3,K$2+1,,,"Instances") &amp; ":" &amp; ADDRESS(38+3,K$2+1))),"median", MEDIAN(INDIRECT(ADDRESS(38+3,K$2+1,,,"Instances") &amp; ":" &amp; ADDRESS(38+3,K$2+1))),"min", MIN(INDIRECT(ADDRESS(38+3,K$2+1,,,"Instances") &amp; ":" &amp; ADDRESS(38+3,K$2+1))),"max", MAX(INDIRECT(ADDRESS(38+3,K$2+1,,,"Instances") &amp; ":" &amp; ADDRESS(38+3,K$2+1))),"diff", MAX(INDIRECT(ADDRESS(38+3,K$2+1,,,"Instances") &amp; ":" &amp; ADDRESS(38+3,K$2+1)))-MIN(INDIRECT(ADDRESS(38+3,K$2+1,,,"Instances") &amp; ":" &amp; ADDRESS(38+3,K$2+1))))</f>
        <v>0</v>
      </c>
      <c r="L43">
        <f>IFERROR(SMALL(K5:K146,ROW()-ROW($L$5)+1),"")</f>
        <v>0</v>
      </c>
      <c r="N43">
        <f>IFERROR(SUM(L5:L43),"")</f>
        <v>0</v>
      </c>
      <c r="Q43">
        <f>IF(Charts!$B$3="none",E760,IF(K760="",NA(),K760))</f>
        <v>0</v>
      </c>
      <c r="R43">
        <f>IF(Charts!$B$3="none",F760,IF(L760="",NA(),L760))</f>
        <v>0</v>
      </c>
      <c r="S43">
        <f>IF(Charts!$B$3="none",G760,IF(M760="",NA(),M760))</f>
        <v>0</v>
      </c>
      <c r="T43">
        <f>IF(Charts!$B$3="none",H760,IF(N760="",NA(),N760))</f>
        <v>0</v>
      </c>
    </row>
    <row r="44" spans="4:20">
      <c r="D44">
        <v>40</v>
      </c>
      <c r="E44">
        <f>IF(INDIRECT(ADDRESS($D44+2,E$2+1,,,"Instances"))="","",INDIRECT(ADDRESS($D44+2,E$2+1,,,"Instances")))</f>
        <v>0</v>
      </c>
      <c r="F44">
        <f>IFERROR(SMALL(E5:E146,ROW()-ROW($F$5)+1),"")</f>
        <v>0</v>
      </c>
      <c r="H44">
        <f>IFERROR(SUM(F5:F44),"")</f>
        <v>0</v>
      </c>
      <c r="J44">
        <v>40</v>
      </c>
      <c r="K44" cm="1">
        <f t="array" ref="K44">_xlfn.SWITCH(Charts!$B$3,"average", AVERAGE(INDIRECT(ADDRESS(39+3,K$2+1,,,"Instances") &amp; ":" &amp; ADDRESS(39+3,K$2+1))),"median", MEDIAN(INDIRECT(ADDRESS(39+3,K$2+1,,,"Instances") &amp; ":" &amp; ADDRESS(39+3,K$2+1))),"min", MIN(INDIRECT(ADDRESS(39+3,K$2+1,,,"Instances") &amp; ":" &amp; ADDRESS(39+3,K$2+1))),"max", MAX(INDIRECT(ADDRESS(39+3,K$2+1,,,"Instances") &amp; ":" &amp; ADDRESS(39+3,K$2+1))),"diff", MAX(INDIRECT(ADDRESS(39+3,K$2+1,,,"Instances") &amp; ":" &amp; ADDRESS(39+3,K$2+1)))-MIN(INDIRECT(ADDRESS(39+3,K$2+1,,,"Instances") &amp; ":" &amp; ADDRESS(39+3,K$2+1))))</f>
        <v>0</v>
      </c>
      <c r="L44">
        <f>IFERROR(SMALL(K5:K146,ROW()-ROW($L$5)+1),"")</f>
        <v>0</v>
      </c>
      <c r="N44">
        <f>IFERROR(SUM(L5:L44),"")</f>
        <v>0</v>
      </c>
      <c r="Q44">
        <f>IF(Charts!$B$3="none",E761,IF(K761="",NA(),K761))</f>
        <v>0</v>
      </c>
      <c r="R44">
        <f>IF(Charts!$B$3="none",F761,IF(L761="",NA(),L761))</f>
        <v>0</v>
      </c>
      <c r="S44">
        <f>IF(Charts!$B$3="none",G761,IF(M761="",NA(),M761))</f>
        <v>0</v>
      </c>
      <c r="T44">
        <f>IF(Charts!$B$3="none",H761,IF(N761="",NA(),N761))</f>
        <v>0</v>
      </c>
    </row>
    <row r="45" spans="4:20">
      <c r="D45">
        <v>41</v>
      </c>
      <c r="E45">
        <f>IF(INDIRECT(ADDRESS($D45+2,E$2+1,,,"Instances"))="","",INDIRECT(ADDRESS($D45+2,E$2+1,,,"Instances")))</f>
        <v>0</v>
      </c>
      <c r="F45">
        <f>IFERROR(SMALL(E5:E146,ROW()-ROW($F$5)+1),"")</f>
        <v>0</v>
      </c>
      <c r="H45">
        <f>IFERROR(SUM(F5:F45),"")</f>
        <v>0</v>
      </c>
      <c r="J45">
        <v>41</v>
      </c>
      <c r="K45" cm="1">
        <f t="array" ref="K45">_xlfn.SWITCH(Charts!$B$3,"average", AVERAGE(INDIRECT(ADDRESS(40+3,K$2+1,,,"Instances") &amp; ":" &amp; ADDRESS(40+3,K$2+1))),"median", MEDIAN(INDIRECT(ADDRESS(40+3,K$2+1,,,"Instances") &amp; ":" &amp; ADDRESS(40+3,K$2+1))),"min", MIN(INDIRECT(ADDRESS(40+3,K$2+1,,,"Instances") &amp; ":" &amp; ADDRESS(40+3,K$2+1))),"max", MAX(INDIRECT(ADDRESS(40+3,K$2+1,,,"Instances") &amp; ":" &amp; ADDRESS(40+3,K$2+1))),"diff", MAX(INDIRECT(ADDRESS(40+3,K$2+1,,,"Instances") &amp; ":" &amp; ADDRESS(40+3,K$2+1)))-MIN(INDIRECT(ADDRESS(40+3,K$2+1,,,"Instances") &amp; ":" &amp; ADDRESS(40+3,K$2+1))))</f>
        <v>0</v>
      </c>
      <c r="L45">
        <f>IFERROR(SMALL(K5:K146,ROW()-ROW($L$5)+1),"")</f>
        <v>0</v>
      </c>
      <c r="N45">
        <f>IFERROR(SUM(L5:L45),"")</f>
        <v>0</v>
      </c>
      <c r="Q45">
        <f>IF(Charts!$B$3="none",E762,IF(K762="",NA(),K762))</f>
        <v>0</v>
      </c>
      <c r="R45">
        <f>IF(Charts!$B$3="none",F762,IF(L762="",NA(),L762))</f>
        <v>0</v>
      </c>
      <c r="S45">
        <f>IF(Charts!$B$3="none",G762,IF(M762="",NA(),M762))</f>
        <v>0</v>
      </c>
      <c r="T45">
        <f>IF(Charts!$B$3="none",H762,IF(N762="",NA(),N762))</f>
        <v>0</v>
      </c>
    </row>
    <row r="46" spans="4:20">
      <c r="D46">
        <v>42</v>
      </c>
      <c r="E46">
        <f>IF(INDIRECT(ADDRESS($D46+2,E$2+1,,,"Instances"))="","",INDIRECT(ADDRESS($D46+2,E$2+1,,,"Instances")))</f>
        <v>0</v>
      </c>
      <c r="F46">
        <f>IFERROR(SMALL(E5:E146,ROW()-ROW($F$5)+1),"")</f>
        <v>0</v>
      </c>
      <c r="H46">
        <f>IFERROR(SUM(F5:F46),"")</f>
        <v>0</v>
      </c>
      <c r="J46">
        <v>42</v>
      </c>
      <c r="K46" cm="1">
        <f t="array" ref="K46">_xlfn.SWITCH(Charts!$B$3,"average", AVERAGE(INDIRECT(ADDRESS(41+3,K$2+1,,,"Instances") &amp; ":" &amp; ADDRESS(41+3,K$2+1))),"median", MEDIAN(INDIRECT(ADDRESS(41+3,K$2+1,,,"Instances") &amp; ":" &amp; ADDRESS(41+3,K$2+1))),"min", MIN(INDIRECT(ADDRESS(41+3,K$2+1,,,"Instances") &amp; ":" &amp; ADDRESS(41+3,K$2+1))),"max", MAX(INDIRECT(ADDRESS(41+3,K$2+1,,,"Instances") &amp; ":" &amp; ADDRESS(41+3,K$2+1))),"diff", MAX(INDIRECT(ADDRESS(41+3,K$2+1,,,"Instances") &amp; ":" &amp; ADDRESS(41+3,K$2+1)))-MIN(INDIRECT(ADDRESS(41+3,K$2+1,,,"Instances") &amp; ":" &amp; ADDRESS(41+3,K$2+1))))</f>
        <v>0</v>
      </c>
      <c r="L46">
        <f>IFERROR(SMALL(K5:K146,ROW()-ROW($L$5)+1),"")</f>
        <v>0</v>
      </c>
      <c r="N46">
        <f>IFERROR(SUM(L5:L46),"")</f>
        <v>0</v>
      </c>
      <c r="Q46">
        <f>IF(Charts!$B$3="none",E763,IF(K763="",NA(),K763))</f>
        <v>0</v>
      </c>
      <c r="R46">
        <f>IF(Charts!$B$3="none",F763,IF(L763="",NA(),L763))</f>
        <v>0</v>
      </c>
      <c r="S46">
        <f>IF(Charts!$B$3="none",G763,IF(M763="",NA(),M763))</f>
        <v>0</v>
      </c>
      <c r="T46">
        <f>IF(Charts!$B$3="none",H763,IF(N763="",NA(),N763))</f>
        <v>0</v>
      </c>
    </row>
    <row r="47" spans="4:20">
      <c r="D47">
        <v>43</v>
      </c>
      <c r="E47">
        <f>IF(INDIRECT(ADDRESS($D47+2,E$2+1,,,"Instances"))="","",INDIRECT(ADDRESS($D47+2,E$2+1,,,"Instances")))</f>
        <v>0</v>
      </c>
      <c r="F47">
        <f>IFERROR(SMALL(E5:E146,ROW()-ROW($F$5)+1),"")</f>
        <v>0</v>
      </c>
      <c r="H47">
        <f>IFERROR(SUM(F5:F47),"")</f>
        <v>0</v>
      </c>
      <c r="J47">
        <v>43</v>
      </c>
      <c r="K47" cm="1">
        <f t="array" ref="K47">_xlfn.SWITCH(Charts!$B$3,"average", AVERAGE(INDIRECT(ADDRESS(42+3,K$2+1,,,"Instances") &amp; ":" &amp; ADDRESS(42+3,K$2+1))),"median", MEDIAN(INDIRECT(ADDRESS(42+3,K$2+1,,,"Instances") &amp; ":" &amp; ADDRESS(42+3,K$2+1))),"min", MIN(INDIRECT(ADDRESS(42+3,K$2+1,,,"Instances") &amp; ":" &amp; ADDRESS(42+3,K$2+1))),"max", MAX(INDIRECT(ADDRESS(42+3,K$2+1,,,"Instances") &amp; ":" &amp; ADDRESS(42+3,K$2+1))),"diff", MAX(INDIRECT(ADDRESS(42+3,K$2+1,,,"Instances") &amp; ":" &amp; ADDRESS(42+3,K$2+1)))-MIN(INDIRECT(ADDRESS(42+3,K$2+1,,,"Instances") &amp; ":" &amp; ADDRESS(42+3,K$2+1))))</f>
        <v>0</v>
      </c>
      <c r="L47">
        <f>IFERROR(SMALL(K5:K146,ROW()-ROW($L$5)+1),"")</f>
        <v>0</v>
      </c>
      <c r="N47">
        <f>IFERROR(SUM(L5:L47),"")</f>
        <v>0</v>
      </c>
      <c r="Q47">
        <f>IF(Charts!$B$3="none",E764,IF(K764="",NA(),K764))</f>
        <v>0</v>
      </c>
      <c r="R47">
        <f>IF(Charts!$B$3="none",F764,IF(L764="",NA(),L764))</f>
        <v>0</v>
      </c>
      <c r="S47">
        <f>IF(Charts!$B$3="none",G764,IF(M764="",NA(),M764))</f>
        <v>0</v>
      </c>
      <c r="T47">
        <f>IF(Charts!$B$3="none",H764,IF(N764="",NA(),N764))</f>
        <v>0</v>
      </c>
    </row>
    <row r="48" spans="4:20">
      <c r="D48">
        <v>44</v>
      </c>
      <c r="E48">
        <f>IF(INDIRECT(ADDRESS($D48+2,E$2+1,,,"Instances"))="","",INDIRECT(ADDRESS($D48+2,E$2+1,,,"Instances")))</f>
        <v>0</v>
      </c>
      <c r="F48">
        <f>IFERROR(SMALL(E5:E146,ROW()-ROW($F$5)+1),"")</f>
        <v>0</v>
      </c>
      <c r="H48">
        <f>IFERROR(SUM(F5:F48),"")</f>
        <v>0</v>
      </c>
      <c r="J48">
        <v>44</v>
      </c>
      <c r="K48" cm="1">
        <f t="array" ref="K48">_xlfn.SWITCH(Charts!$B$3,"average", AVERAGE(INDIRECT(ADDRESS(43+3,K$2+1,,,"Instances") &amp; ":" &amp; ADDRESS(43+3,K$2+1))),"median", MEDIAN(INDIRECT(ADDRESS(43+3,K$2+1,,,"Instances") &amp; ":" &amp; ADDRESS(43+3,K$2+1))),"min", MIN(INDIRECT(ADDRESS(43+3,K$2+1,,,"Instances") &amp; ":" &amp; ADDRESS(43+3,K$2+1))),"max", MAX(INDIRECT(ADDRESS(43+3,K$2+1,,,"Instances") &amp; ":" &amp; ADDRESS(43+3,K$2+1))),"diff", MAX(INDIRECT(ADDRESS(43+3,K$2+1,,,"Instances") &amp; ":" &amp; ADDRESS(43+3,K$2+1)))-MIN(INDIRECT(ADDRESS(43+3,K$2+1,,,"Instances") &amp; ":" &amp; ADDRESS(43+3,K$2+1))))</f>
        <v>0</v>
      </c>
      <c r="L48">
        <f>IFERROR(SMALL(K5:K146,ROW()-ROW($L$5)+1),"")</f>
        <v>0</v>
      </c>
      <c r="N48">
        <f>IFERROR(SUM(L5:L48),"")</f>
        <v>0</v>
      </c>
      <c r="Q48">
        <f>IF(Charts!$B$3="none",E765,IF(K765="",NA(),K765))</f>
        <v>0</v>
      </c>
      <c r="R48">
        <f>IF(Charts!$B$3="none",F765,IF(L765="",NA(),L765))</f>
        <v>0</v>
      </c>
      <c r="S48">
        <f>IF(Charts!$B$3="none",G765,IF(M765="",NA(),M765))</f>
        <v>0</v>
      </c>
      <c r="T48">
        <f>IF(Charts!$B$3="none",H765,IF(N765="",NA(),N765))</f>
        <v>0</v>
      </c>
    </row>
    <row r="49" spans="4:20">
      <c r="D49">
        <v>45</v>
      </c>
      <c r="E49">
        <f>IF(INDIRECT(ADDRESS($D49+2,E$2+1,,,"Instances"))="","",INDIRECT(ADDRESS($D49+2,E$2+1,,,"Instances")))</f>
        <v>0</v>
      </c>
      <c r="F49">
        <f>IFERROR(SMALL(E5:E146,ROW()-ROW($F$5)+1),"")</f>
        <v>0</v>
      </c>
      <c r="H49">
        <f>IFERROR(SUM(F5:F49),"")</f>
        <v>0</v>
      </c>
      <c r="J49">
        <v>45</v>
      </c>
      <c r="K49" cm="1">
        <f t="array" ref="K49">_xlfn.SWITCH(Charts!$B$3,"average", AVERAGE(INDIRECT(ADDRESS(44+3,K$2+1,,,"Instances") &amp; ":" &amp; ADDRESS(44+3,K$2+1))),"median", MEDIAN(INDIRECT(ADDRESS(44+3,K$2+1,,,"Instances") &amp; ":" &amp; ADDRESS(44+3,K$2+1))),"min", MIN(INDIRECT(ADDRESS(44+3,K$2+1,,,"Instances") &amp; ":" &amp; ADDRESS(44+3,K$2+1))),"max", MAX(INDIRECT(ADDRESS(44+3,K$2+1,,,"Instances") &amp; ":" &amp; ADDRESS(44+3,K$2+1))),"diff", MAX(INDIRECT(ADDRESS(44+3,K$2+1,,,"Instances") &amp; ":" &amp; ADDRESS(44+3,K$2+1)))-MIN(INDIRECT(ADDRESS(44+3,K$2+1,,,"Instances") &amp; ":" &amp; ADDRESS(44+3,K$2+1))))</f>
        <v>0</v>
      </c>
      <c r="L49">
        <f>IFERROR(SMALL(K5:K146,ROW()-ROW($L$5)+1),"")</f>
        <v>0</v>
      </c>
      <c r="N49">
        <f>IFERROR(SUM(L5:L49),"")</f>
        <v>0</v>
      </c>
      <c r="Q49">
        <f>IF(Charts!$B$3="none",E766,IF(K766="",NA(),K766))</f>
        <v>0</v>
      </c>
      <c r="R49">
        <f>IF(Charts!$B$3="none",F766,IF(L766="",NA(),L766))</f>
        <v>0</v>
      </c>
      <c r="S49">
        <f>IF(Charts!$B$3="none",G766,IF(M766="",NA(),M766))</f>
        <v>0</v>
      </c>
      <c r="T49">
        <f>IF(Charts!$B$3="none",H766,IF(N766="",NA(),N766))</f>
        <v>0</v>
      </c>
    </row>
    <row r="50" spans="4:20">
      <c r="D50">
        <v>46</v>
      </c>
      <c r="E50">
        <f>IF(INDIRECT(ADDRESS($D50+2,E$2+1,,,"Instances"))="","",INDIRECT(ADDRESS($D50+2,E$2+1,,,"Instances")))</f>
        <v>0</v>
      </c>
      <c r="F50">
        <f>IFERROR(SMALL(E5:E146,ROW()-ROW($F$5)+1),"")</f>
        <v>0</v>
      </c>
      <c r="H50">
        <f>IFERROR(SUM(F5:F50),"")</f>
        <v>0</v>
      </c>
      <c r="J50">
        <v>46</v>
      </c>
      <c r="K50" cm="1">
        <f t="array" ref="K50">_xlfn.SWITCH(Charts!$B$3,"average", AVERAGE(INDIRECT(ADDRESS(45+3,K$2+1,,,"Instances") &amp; ":" &amp; ADDRESS(45+3,K$2+1))),"median", MEDIAN(INDIRECT(ADDRESS(45+3,K$2+1,,,"Instances") &amp; ":" &amp; ADDRESS(45+3,K$2+1))),"min", MIN(INDIRECT(ADDRESS(45+3,K$2+1,,,"Instances") &amp; ":" &amp; ADDRESS(45+3,K$2+1))),"max", MAX(INDIRECT(ADDRESS(45+3,K$2+1,,,"Instances") &amp; ":" &amp; ADDRESS(45+3,K$2+1))),"diff", MAX(INDIRECT(ADDRESS(45+3,K$2+1,,,"Instances") &amp; ":" &amp; ADDRESS(45+3,K$2+1)))-MIN(INDIRECT(ADDRESS(45+3,K$2+1,,,"Instances") &amp; ":" &amp; ADDRESS(45+3,K$2+1))))</f>
        <v>0</v>
      </c>
      <c r="L50">
        <f>IFERROR(SMALL(K5:K146,ROW()-ROW($L$5)+1),"")</f>
        <v>0</v>
      </c>
      <c r="N50">
        <f>IFERROR(SUM(L5:L50),"")</f>
        <v>0</v>
      </c>
      <c r="Q50">
        <f>IF(Charts!$B$3="none",E767,IF(K767="",NA(),K767))</f>
        <v>0</v>
      </c>
      <c r="R50">
        <f>IF(Charts!$B$3="none",F767,IF(L767="",NA(),L767))</f>
        <v>0</v>
      </c>
      <c r="S50">
        <f>IF(Charts!$B$3="none",G767,IF(M767="",NA(),M767))</f>
        <v>0</v>
      </c>
      <c r="T50">
        <f>IF(Charts!$B$3="none",H767,IF(N767="",NA(),N767))</f>
        <v>0</v>
      </c>
    </row>
    <row r="51" spans="4:20">
      <c r="D51">
        <v>47</v>
      </c>
      <c r="E51">
        <f>IF(INDIRECT(ADDRESS($D51+2,E$2+1,,,"Instances"))="","",INDIRECT(ADDRESS($D51+2,E$2+1,,,"Instances")))</f>
        <v>0</v>
      </c>
      <c r="F51">
        <f>IFERROR(SMALL(E5:E146,ROW()-ROW($F$5)+1),"")</f>
        <v>0</v>
      </c>
      <c r="H51">
        <f>IFERROR(SUM(F5:F51),"")</f>
        <v>0</v>
      </c>
      <c r="J51">
        <v>47</v>
      </c>
      <c r="K51" cm="1">
        <f t="array" ref="K51">_xlfn.SWITCH(Charts!$B$3,"average", AVERAGE(INDIRECT(ADDRESS(46+3,K$2+1,,,"Instances") &amp; ":" &amp; ADDRESS(46+3,K$2+1))),"median", MEDIAN(INDIRECT(ADDRESS(46+3,K$2+1,,,"Instances") &amp; ":" &amp; ADDRESS(46+3,K$2+1))),"min", MIN(INDIRECT(ADDRESS(46+3,K$2+1,,,"Instances") &amp; ":" &amp; ADDRESS(46+3,K$2+1))),"max", MAX(INDIRECT(ADDRESS(46+3,K$2+1,,,"Instances") &amp; ":" &amp; ADDRESS(46+3,K$2+1))),"diff", MAX(INDIRECT(ADDRESS(46+3,K$2+1,,,"Instances") &amp; ":" &amp; ADDRESS(46+3,K$2+1)))-MIN(INDIRECT(ADDRESS(46+3,K$2+1,,,"Instances") &amp; ":" &amp; ADDRESS(46+3,K$2+1))))</f>
        <v>0</v>
      </c>
      <c r="L51">
        <f>IFERROR(SMALL(K5:K146,ROW()-ROW($L$5)+1),"")</f>
        <v>0</v>
      </c>
      <c r="N51">
        <f>IFERROR(SUM(L5:L51),"")</f>
        <v>0</v>
      </c>
      <c r="Q51">
        <f>IF(Charts!$B$3="none",E768,IF(K768="",NA(),K768))</f>
        <v>0</v>
      </c>
      <c r="R51">
        <f>IF(Charts!$B$3="none",F768,IF(L768="",NA(),L768))</f>
        <v>0</v>
      </c>
      <c r="S51">
        <f>IF(Charts!$B$3="none",G768,IF(M768="",NA(),M768))</f>
        <v>0</v>
      </c>
      <c r="T51">
        <f>IF(Charts!$B$3="none",H768,IF(N768="",NA(),N768))</f>
        <v>0</v>
      </c>
    </row>
    <row r="52" spans="4:20">
      <c r="D52">
        <v>48</v>
      </c>
      <c r="E52">
        <f>IF(INDIRECT(ADDRESS($D52+2,E$2+1,,,"Instances"))="","",INDIRECT(ADDRESS($D52+2,E$2+1,,,"Instances")))</f>
        <v>0</v>
      </c>
      <c r="F52">
        <f>IFERROR(SMALL(E5:E146,ROW()-ROW($F$5)+1),"")</f>
        <v>0</v>
      </c>
      <c r="H52">
        <f>IFERROR(SUM(F5:F52),"")</f>
        <v>0</v>
      </c>
      <c r="J52">
        <v>48</v>
      </c>
      <c r="K52" cm="1">
        <f t="array" ref="K52">_xlfn.SWITCH(Charts!$B$3,"average", AVERAGE(INDIRECT(ADDRESS(47+3,K$2+1,,,"Instances") &amp; ":" &amp; ADDRESS(47+3,K$2+1))),"median", MEDIAN(INDIRECT(ADDRESS(47+3,K$2+1,,,"Instances") &amp; ":" &amp; ADDRESS(47+3,K$2+1))),"min", MIN(INDIRECT(ADDRESS(47+3,K$2+1,,,"Instances") &amp; ":" &amp; ADDRESS(47+3,K$2+1))),"max", MAX(INDIRECT(ADDRESS(47+3,K$2+1,,,"Instances") &amp; ":" &amp; ADDRESS(47+3,K$2+1))),"diff", MAX(INDIRECT(ADDRESS(47+3,K$2+1,,,"Instances") &amp; ":" &amp; ADDRESS(47+3,K$2+1)))-MIN(INDIRECT(ADDRESS(47+3,K$2+1,,,"Instances") &amp; ":" &amp; ADDRESS(47+3,K$2+1))))</f>
        <v>0</v>
      </c>
      <c r="L52">
        <f>IFERROR(SMALL(K5:K146,ROW()-ROW($L$5)+1),"")</f>
        <v>0</v>
      </c>
      <c r="N52">
        <f>IFERROR(SUM(L5:L52),"")</f>
        <v>0</v>
      </c>
      <c r="Q52">
        <f>IF(Charts!$B$3="none",E769,IF(K769="",NA(),K769))</f>
        <v>0</v>
      </c>
      <c r="R52">
        <f>IF(Charts!$B$3="none",F769,IF(L769="",NA(),L769))</f>
        <v>0</v>
      </c>
      <c r="S52">
        <f>IF(Charts!$B$3="none",G769,IF(M769="",NA(),M769))</f>
        <v>0</v>
      </c>
      <c r="T52">
        <f>IF(Charts!$B$3="none",H769,IF(N769="",NA(),N769))</f>
        <v>0</v>
      </c>
    </row>
    <row r="53" spans="4:20">
      <c r="D53">
        <v>49</v>
      </c>
      <c r="E53">
        <f>IF(INDIRECT(ADDRESS($D53+2,E$2+1,,,"Instances"))="","",INDIRECT(ADDRESS($D53+2,E$2+1,,,"Instances")))</f>
        <v>0</v>
      </c>
      <c r="F53">
        <f>IFERROR(SMALL(E5:E146,ROW()-ROW($F$5)+1),"")</f>
        <v>0</v>
      </c>
      <c r="H53">
        <f>IFERROR(SUM(F5:F53),"")</f>
        <v>0</v>
      </c>
      <c r="J53">
        <v>49</v>
      </c>
      <c r="K53" cm="1">
        <f t="array" ref="K53">_xlfn.SWITCH(Charts!$B$3,"average", AVERAGE(INDIRECT(ADDRESS(48+3,K$2+1,,,"Instances") &amp; ":" &amp; ADDRESS(48+3,K$2+1))),"median", MEDIAN(INDIRECT(ADDRESS(48+3,K$2+1,,,"Instances") &amp; ":" &amp; ADDRESS(48+3,K$2+1))),"min", MIN(INDIRECT(ADDRESS(48+3,K$2+1,,,"Instances") &amp; ":" &amp; ADDRESS(48+3,K$2+1))),"max", MAX(INDIRECT(ADDRESS(48+3,K$2+1,,,"Instances") &amp; ":" &amp; ADDRESS(48+3,K$2+1))),"diff", MAX(INDIRECT(ADDRESS(48+3,K$2+1,,,"Instances") &amp; ":" &amp; ADDRESS(48+3,K$2+1)))-MIN(INDIRECT(ADDRESS(48+3,K$2+1,,,"Instances") &amp; ":" &amp; ADDRESS(48+3,K$2+1))))</f>
        <v>0</v>
      </c>
      <c r="L53">
        <f>IFERROR(SMALL(K5:K146,ROW()-ROW($L$5)+1),"")</f>
        <v>0</v>
      </c>
      <c r="N53">
        <f>IFERROR(SUM(L5:L53),"")</f>
        <v>0</v>
      </c>
      <c r="Q53">
        <f>IF(Charts!$B$3="none",E770,IF(K770="",NA(),K770))</f>
        <v>0</v>
      </c>
      <c r="R53">
        <f>IF(Charts!$B$3="none",F770,IF(L770="",NA(),L770))</f>
        <v>0</v>
      </c>
      <c r="S53">
        <f>IF(Charts!$B$3="none",G770,IF(M770="",NA(),M770))</f>
        <v>0</v>
      </c>
      <c r="T53">
        <f>IF(Charts!$B$3="none",H770,IF(N770="",NA(),N770))</f>
        <v>0</v>
      </c>
    </row>
    <row r="54" spans="4:20">
      <c r="D54">
        <v>50</v>
      </c>
      <c r="E54">
        <f>IF(INDIRECT(ADDRESS($D54+2,E$2+1,,,"Instances"))="","",INDIRECT(ADDRESS($D54+2,E$2+1,,,"Instances")))</f>
        <v>0</v>
      </c>
      <c r="F54">
        <f>IFERROR(SMALL(E5:E146,ROW()-ROW($F$5)+1),"")</f>
        <v>0</v>
      </c>
      <c r="H54">
        <f>IFERROR(SUM(F5:F54),"")</f>
        <v>0</v>
      </c>
      <c r="J54">
        <v>50</v>
      </c>
      <c r="K54" cm="1">
        <f t="array" ref="K54">_xlfn.SWITCH(Charts!$B$3,"average", AVERAGE(INDIRECT(ADDRESS(49+3,K$2+1,,,"Instances") &amp; ":" &amp; ADDRESS(49+3,K$2+1))),"median", MEDIAN(INDIRECT(ADDRESS(49+3,K$2+1,,,"Instances") &amp; ":" &amp; ADDRESS(49+3,K$2+1))),"min", MIN(INDIRECT(ADDRESS(49+3,K$2+1,,,"Instances") &amp; ":" &amp; ADDRESS(49+3,K$2+1))),"max", MAX(INDIRECT(ADDRESS(49+3,K$2+1,,,"Instances") &amp; ":" &amp; ADDRESS(49+3,K$2+1))),"diff", MAX(INDIRECT(ADDRESS(49+3,K$2+1,,,"Instances") &amp; ":" &amp; ADDRESS(49+3,K$2+1)))-MIN(INDIRECT(ADDRESS(49+3,K$2+1,,,"Instances") &amp; ":" &amp; ADDRESS(49+3,K$2+1))))</f>
        <v>0</v>
      </c>
      <c r="L54">
        <f>IFERROR(SMALL(K5:K146,ROW()-ROW($L$5)+1),"")</f>
        <v>0</v>
      </c>
      <c r="N54">
        <f>IFERROR(SUM(L5:L54),"")</f>
        <v>0</v>
      </c>
      <c r="Q54">
        <f>IF(Charts!$B$3="none",E771,IF(K771="",NA(),K771))</f>
        <v>0</v>
      </c>
      <c r="R54">
        <f>IF(Charts!$B$3="none",F771,IF(L771="",NA(),L771))</f>
        <v>0</v>
      </c>
      <c r="S54">
        <f>IF(Charts!$B$3="none",G771,IF(M771="",NA(),M771))</f>
        <v>0</v>
      </c>
      <c r="T54">
        <f>IF(Charts!$B$3="none",H771,IF(N771="",NA(),N771))</f>
        <v>0</v>
      </c>
    </row>
    <row r="55" spans="4:20">
      <c r="D55">
        <v>51</v>
      </c>
      <c r="E55">
        <f>IF(INDIRECT(ADDRESS($D55+2,E$2+1,,,"Instances"))="","",INDIRECT(ADDRESS($D55+2,E$2+1,,,"Instances")))</f>
        <v>0</v>
      </c>
      <c r="F55">
        <f>IFERROR(SMALL(E5:E146,ROW()-ROW($F$5)+1),"")</f>
        <v>0</v>
      </c>
      <c r="H55">
        <f>IFERROR(SUM(F5:F55),"")</f>
        <v>0</v>
      </c>
      <c r="J55">
        <v>51</v>
      </c>
      <c r="K55" cm="1">
        <f t="array" ref="K55">_xlfn.SWITCH(Charts!$B$3,"average", AVERAGE(INDIRECT(ADDRESS(50+3,K$2+1,,,"Instances") &amp; ":" &amp; ADDRESS(50+3,K$2+1))),"median", MEDIAN(INDIRECT(ADDRESS(50+3,K$2+1,,,"Instances") &amp; ":" &amp; ADDRESS(50+3,K$2+1))),"min", MIN(INDIRECT(ADDRESS(50+3,K$2+1,,,"Instances") &amp; ":" &amp; ADDRESS(50+3,K$2+1))),"max", MAX(INDIRECT(ADDRESS(50+3,K$2+1,,,"Instances") &amp; ":" &amp; ADDRESS(50+3,K$2+1))),"diff", MAX(INDIRECT(ADDRESS(50+3,K$2+1,,,"Instances") &amp; ":" &amp; ADDRESS(50+3,K$2+1)))-MIN(INDIRECT(ADDRESS(50+3,K$2+1,,,"Instances") &amp; ":" &amp; ADDRESS(50+3,K$2+1))))</f>
        <v>0</v>
      </c>
      <c r="L55">
        <f>IFERROR(SMALL(K5:K146,ROW()-ROW($L$5)+1),"")</f>
        <v>0</v>
      </c>
      <c r="N55">
        <f>IFERROR(SUM(L5:L55),"")</f>
        <v>0</v>
      </c>
      <c r="Q55">
        <f>IF(Charts!$B$3="none",E772,IF(K772="",NA(),K772))</f>
        <v>0</v>
      </c>
      <c r="R55">
        <f>IF(Charts!$B$3="none",F772,IF(L772="",NA(),L772))</f>
        <v>0</v>
      </c>
      <c r="S55">
        <f>IF(Charts!$B$3="none",G772,IF(M772="",NA(),M772))</f>
        <v>0</v>
      </c>
      <c r="T55">
        <f>IF(Charts!$B$3="none",H772,IF(N772="",NA(),N772))</f>
        <v>0</v>
      </c>
    </row>
    <row r="56" spans="4:20">
      <c r="D56">
        <v>52</v>
      </c>
      <c r="E56">
        <f>IF(INDIRECT(ADDRESS($D56+2,E$2+1,,,"Instances"))="","",INDIRECT(ADDRESS($D56+2,E$2+1,,,"Instances")))</f>
        <v>0</v>
      </c>
      <c r="F56">
        <f>IFERROR(SMALL(E5:E146,ROW()-ROW($F$5)+1),"")</f>
        <v>0</v>
      </c>
      <c r="H56">
        <f>IFERROR(SUM(F5:F56),"")</f>
        <v>0</v>
      </c>
      <c r="J56">
        <v>52</v>
      </c>
      <c r="K56" cm="1">
        <f t="array" ref="K56">_xlfn.SWITCH(Charts!$B$3,"average", AVERAGE(INDIRECT(ADDRESS(51+3,K$2+1,,,"Instances") &amp; ":" &amp; ADDRESS(51+3,K$2+1))),"median", MEDIAN(INDIRECT(ADDRESS(51+3,K$2+1,,,"Instances") &amp; ":" &amp; ADDRESS(51+3,K$2+1))),"min", MIN(INDIRECT(ADDRESS(51+3,K$2+1,,,"Instances") &amp; ":" &amp; ADDRESS(51+3,K$2+1))),"max", MAX(INDIRECT(ADDRESS(51+3,K$2+1,,,"Instances") &amp; ":" &amp; ADDRESS(51+3,K$2+1))),"diff", MAX(INDIRECT(ADDRESS(51+3,K$2+1,,,"Instances") &amp; ":" &amp; ADDRESS(51+3,K$2+1)))-MIN(INDIRECT(ADDRESS(51+3,K$2+1,,,"Instances") &amp; ":" &amp; ADDRESS(51+3,K$2+1))))</f>
        <v>0</v>
      </c>
      <c r="L56">
        <f>IFERROR(SMALL(K5:K146,ROW()-ROW($L$5)+1),"")</f>
        <v>0</v>
      </c>
      <c r="N56">
        <f>IFERROR(SUM(L5:L56),"")</f>
        <v>0</v>
      </c>
      <c r="Q56">
        <f>IF(Charts!$B$3="none",E773,IF(K773="",NA(),K773))</f>
        <v>0</v>
      </c>
      <c r="R56">
        <f>IF(Charts!$B$3="none",F773,IF(L773="",NA(),L773))</f>
        <v>0</v>
      </c>
      <c r="S56">
        <f>IF(Charts!$B$3="none",G773,IF(M773="",NA(),M773))</f>
        <v>0</v>
      </c>
      <c r="T56">
        <f>IF(Charts!$B$3="none",H773,IF(N773="",NA(),N773))</f>
        <v>0</v>
      </c>
    </row>
    <row r="57" spans="4:20">
      <c r="D57">
        <v>53</v>
      </c>
      <c r="E57">
        <f>IF(INDIRECT(ADDRESS($D57+2,E$2+1,,,"Instances"))="","",INDIRECT(ADDRESS($D57+2,E$2+1,,,"Instances")))</f>
        <v>0</v>
      </c>
      <c r="F57">
        <f>IFERROR(SMALL(E5:E146,ROW()-ROW($F$5)+1),"")</f>
        <v>0</v>
      </c>
      <c r="H57">
        <f>IFERROR(SUM(F5:F57),"")</f>
        <v>0</v>
      </c>
      <c r="J57">
        <v>53</v>
      </c>
      <c r="K57" cm="1">
        <f t="array" ref="K57">_xlfn.SWITCH(Charts!$B$3,"average", AVERAGE(INDIRECT(ADDRESS(52+3,K$2+1,,,"Instances") &amp; ":" &amp; ADDRESS(52+3,K$2+1))),"median", MEDIAN(INDIRECT(ADDRESS(52+3,K$2+1,,,"Instances") &amp; ":" &amp; ADDRESS(52+3,K$2+1))),"min", MIN(INDIRECT(ADDRESS(52+3,K$2+1,,,"Instances") &amp; ":" &amp; ADDRESS(52+3,K$2+1))),"max", MAX(INDIRECT(ADDRESS(52+3,K$2+1,,,"Instances") &amp; ":" &amp; ADDRESS(52+3,K$2+1))),"diff", MAX(INDIRECT(ADDRESS(52+3,K$2+1,,,"Instances") &amp; ":" &amp; ADDRESS(52+3,K$2+1)))-MIN(INDIRECT(ADDRESS(52+3,K$2+1,,,"Instances") &amp; ":" &amp; ADDRESS(52+3,K$2+1))))</f>
        <v>0</v>
      </c>
      <c r="L57">
        <f>IFERROR(SMALL(K5:K146,ROW()-ROW($L$5)+1),"")</f>
        <v>0</v>
      </c>
      <c r="N57">
        <f>IFERROR(SUM(L5:L57),"")</f>
        <v>0</v>
      </c>
      <c r="Q57">
        <f>IF(Charts!$B$3="none",E774,IF(K774="",NA(),K774))</f>
        <v>0</v>
      </c>
      <c r="R57">
        <f>IF(Charts!$B$3="none",F774,IF(L774="",NA(),L774))</f>
        <v>0</v>
      </c>
      <c r="S57">
        <f>IF(Charts!$B$3="none",G774,IF(M774="",NA(),M774))</f>
        <v>0</v>
      </c>
      <c r="T57">
        <f>IF(Charts!$B$3="none",H774,IF(N774="",NA(),N774))</f>
        <v>0</v>
      </c>
    </row>
    <row r="58" spans="4:20">
      <c r="D58">
        <v>54</v>
      </c>
      <c r="E58">
        <f>IF(INDIRECT(ADDRESS($D58+2,E$2+1,,,"Instances"))="","",INDIRECT(ADDRESS($D58+2,E$2+1,,,"Instances")))</f>
        <v>0</v>
      </c>
      <c r="F58">
        <f>IFERROR(SMALL(E5:E146,ROW()-ROW($F$5)+1),"")</f>
        <v>0</v>
      </c>
      <c r="H58">
        <f>IFERROR(SUM(F5:F58),"")</f>
        <v>0</v>
      </c>
      <c r="J58">
        <v>54</v>
      </c>
      <c r="K58" cm="1">
        <f t="array" ref="K58">_xlfn.SWITCH(Charts!$B$3,"average", AVERAGE(INDIRECT(ADDRESS(53+3,K$2+1,,,"Instances") &amp; ":" &amp; ADDRESS(53+3,K$2+1))),"median", MEDIAN(INDIRECT(ADDRESS(53+3,K$2+1,,,"Instances") &amp; ":" &amp; ADDRESS(53+3,K$2+1))),"min", MIN(INDIRECT(ADDRESS(53+3,K$2+1,,,"Instances") &amp; ":" &amp; ADDRESS(53+3,K$2+1))),"max", MAX(INDIRECT(ADDRESS(53+3,K$2+1,,,"Instances") &amp; ":" &amp; ADDRESS(53+3,K$2+1))),"diff", MAX(INDIRECT(ADDRESS(53+3,K$2+1,,,"Instances") &amp; ":" &amp; ADDRESS(53+3,K$2+1)))-MIN(INDIRECT(ADDRESS(53+3,K$2+1,,,"Instances") &amp; ":" &amp; ADDRESS(53+3,K$2+1))))</f>
        <v>0</v>
      </c>
      <c r="L58">
        <f>IFERROR(SMALL(K5:K146,ROW()-ROW($L$5)+1),"")</f>
        <v>0</v>
      </c>
      <c r="N58">
        <f>IFERROR(SUM(L5:L58),"")</f>
        <v>0</v>
      </c>
      <c r="Q58">
        <f>IF(Charts!$B$3="none",E775,IF(K775="",NA(),K775))</f>
        <v>0</v>
      </c>
      <c r="R58">
        <f>IF(Charts!$B$3="none",F775,IF(L775="",NA(),L775))</f>
        <v>0</v>
      </c>
      <c r="S58">
        <f>IF(Charts!$B$3="none",G775,IF(M775="",NA(),M775))</f>
        <v>0</v>
      </c>
      <c r="T58">
        <f>IF(Charts!$B$3="none",H775,IF(N775="",NA(),N775))</f>
        <v>0</v>
      </c>
    </row>
    <row r="59" spans="4:20">
      <c r="D59">
        <v>55</v>
      </c>
      <c r="E59">
        <f>IF(INDIRECT(ADDRESS($D59+2,E$2+1,,,"Instances"))="","",INDIRECT(ADDRESS($D59+2,E$2+1,,,"Instances")))</f>
        <v>0</v>
      </c>
      <c r="F59">
        <f>IFERROR(SMALL(E5:E146,ROW()-ROW($F$5)+1),"")</f>
        <v>0</v>
      </c>
      <c r="H59">
        <f>IFERROR(SUM(F5:F59),"")</f>
        <v>0</v>
      </c>
      <c r="J59">
        <v>55</v>
      </c>
      <c r="K59" cm="1">
        <f t="array" ref="K59">_xlfn.SWITCH(Charts!$B$3,"average", AVERAGE(INDIRECT(ADDRESS(54+3,K$2+1,,,"Instances") &amp; ":" &amp; ADDRESS(54+3,K$2+1))),"median", MEDIAN(INDIRECT(ADDRESS(54+3,K$2+1,,,"Instances") &amp; ":" &amp; ADDRESS(54+3,K$2+1))),"min", MIN(INDIRECT(ADDRESS(54+3,K$2+1,,,"Instances") &amp; ":" &amp; ADDRESS(54+3,K$2+1))),"max", MAX(INDIRECT(ADDRESS(54+3,K$2+1,,,"Instances") &amp; ":" &amp; ADDRESS(54+3,K$2+1))),"diff", MAX(INDIRECT(ADDRESS(54+3,K$2+1,,,"Instances") &amp; ":" &amp; ADDRESS(54+3,K$2+1)))-MIN(INDIRECT(ADDRESS(54+3,K$2+1,,,"Instances") &amp; ":" &amp; ADDRESS(54+3,K$2+1))))</f>
        <v>0</v>
      </c>
      <c r="L59">
        <f>IFERROR(SMALL(K5:K146,ROW()-ROW($L$5)+1),"")</f>
        <v>0</v>
      </c>
      <c r="N59">
        <f>IFERROR(SUM(L5:L59),"")</f>
        <v>0</v>
      </c>
      <c r="Q59">
        <f>IF(Charts!$B$3="none",E776,IF(K776="",NA(),K776))</f>
        <v>0</v>
      </c>
      <c r="R59">
        <f>IF(Charts!$B$3="none",F776,IF(L776="",NA(),L776))</f>
        <v>0</v>
      </c>
      <c r="S59">
        <f>IF(Charts!$B$3="none",G776,IF(M776="",NA(),M776))</f>
        <v>0</v>
      </c>
      <c r="T59">
        <f>IF(Charts!$B$3="none",H776,IF(N776="",NA(),N776))</f>
        <v>0</v>
      </c>
    </row>
    <row r="60" spans="4:20">
      <c r="D60">
        <v>56</v>
      </c>
      <c r="E60">
        <f>IF(INDIRECT(ADDRESS($D60+2,E$2+1,,,"Instances"))="","",INDIRECT(ADDRESS($D60+2,E$2+1,,,"Instances")))</f>
        <v>0</v>
      </c>
      <c r="F60">
        <f>IFERROR(SMALL(E5:E146,ROW()-ROW($F$5)+1),"")</f>
        <v>0</v>
      </c>
      <c r="H60">
        <f>IFERROR(SUM(F5:F60),"")</f>
        <v>0</v>
      </c>
      <c r="J60">
        <v>56</v>
      </c>
      <c r="K60" cm="1">
        <f t="array" ref="K60">_xlfn.SWITCH(Charts!$B$3,"average", AVERAGE(INDIRECT(ADDRESS(55+3,K$2+1,,,"Instances") &amp; ":" &amp; ADDRESS(55+3,K$2+1))),"median", MEDIAN(INDIRECT(ADDRESS(55+3,K$2+1,,,"Instances") &amp; ":" &amp; ADDRESS(55+3,K$2+1))),"min", MIN(INDIRECT(ADDRESS(55+3,K$2+1,,,"Instances") &amp; ":" &amp; ADDRESS(55+3,K$2+1))),"max", MAX(INDIRECT(ADDRESS(55+3,K$2+1,,,"Instances") &amp; ":" &amp; ADDRESS(55+3,K$2+1))),"diff", MAX(INDIRECT(ADDRESS(55+3,K$2+1,,,"Instances") &amp; ":" &amp; ADDRESS(55+3,K$2+1)))-MIN(INDIRECT(ADDRESS(55+3,K$2+1,,,"Instances") &amp; ":" &amp; ADDRESS(55+3,K$2+1))))</f>
        <v>0</v>
      </c>
      <c r="L60">
        <f>IFERROR(SMALL(K5:K146,ROW()-ROW($L$5)+1),"")</f>
        <v>0</v>
      </c>
      <c r="N60">
        <f>IFERROR(SUM(L5:L60),"")</f>
        <v>0</v>
      </c>
      <c r="Q60">
        <f>IF(Charts!$B$3="none",E777,IF(K777="",NA(),K777))</f>
        <v>0</v>
      </c>
      <c r="R60">
        <f>IF(Charts!$B$3="none",F777,IF(L777="",NA(),L777))</f>
        <v>0</v>
      </c>
      <c r="S60">
        <f>IF(Charts!$B$3="none",G777,IF(M777="",NA(),M777))</f>
        <v>0</v>
      </c>
      <c r="T60">
        <f>IF(Charts!$B$3="none",H777,IF(N777="",NA(),N777))</f>
        <v>0</v>
      </c>
    </row>
    <row r="61" spans="4:20">
      <c r="D61">
        <v>57</v>
      </c>
      <c r="E61">
        <f>IF(INDIRECT(ADDRESS($D61+2,E$2+1,,,"Instances"))="","",INDIRECT(ADDRESS($D61+2,E$2+1,,,"Instances")))</f>
        <v>0</v>
      </c>
      <c r="F61">
        <f>IFERROR(SMALL(E5:E146,ROW()-ROW($F$5)+1),"")</f>
        <v>0</v>
      </c>
      <c r="H61">
        <f>IFERROR(SUM(F5:F61),"")</f>
        <v>0</v>
      </c>
      <c r="J61">
        <v>57</v>
      </c>
      <c r="K61" cm="1">
        <f t="array" ref="K61">_xlfn.SWITCH(Charts!$B$3,"average", AVERAGE(INDIRECT(ADDRESS(56+3,K$2+1,,,"Instances") &amp; ":" &amp; ADDRESS(56+3,K$2+1))),"median", MEDIAN(INDIRECT(ADDRESS(56+3,K$2+1,,,"Instances") &amp; ":" &amp; ADDRESS(56+3,K$2+1))),"min", MIN(INDIRECT(ADDRESS(56+3,K$2+1,,,"Instances") &amp; ":" &amp; ADDRESS(56+3,K$2+1))),"max", MAX(INDIRECT(ADDRESS(56+3,K$2+1,,,"Instances") &amp; ":" &amp; ADDRESS(56+3,K$2+1))),"diff", MAX(INDIRECT(ADDRESS(56+3,K$2+1,,,"Instances") &amp; ":" &amp; ADDRESS(56+3,K$2+1)))-MIN(INDIRECT(ADDRESS(56+3,K$2+1,,,"Instances") &amp; ":" &amp; ADDRESS(56+3,K$2+1))))</f>
        <v>0</v>
      </c>
      <c r="L61">
        <f>IFERROR(SMALL(K5:K146,ROW()-ROW($L$5)+1),"")</f>
        <v>0</v>
      </c>
      <c r="N61">
        <f>IFERROR(SUM(L5:L61),"")</f>
        <v>0</v>
      </c>
      <c r="Q61">
        <f>IF(Charts!$B$3="none",E778,IF(K778="",NA(),K778))</f>
        <v>0</v>
      </c>
      <c r="R61">
        <f>IF(Charts!$B$3="none",F778,IF(L778="",NA(),L778))</f>
        <v>0</v>
      </c>
      <c r="S61">
        <f>IF(Charts!$B$3="none",G778,IF(M778="",NA(),M778))</f>
        <v>0</v>
      </c>
      <c r="T61">
        <f>IF(Charts!$B$3="none",H778,IF(N778="",NA(),N778))</f>
        <v>0</v>
      </c>
    </row>
    <row r="62" spans="4:20">
      <c r="D62">
        <v>58</v>
      </c>
      <c r="E62">
        <f>IF(INDIRECT(ADDRESS($D62+2,E$2+1,,,"Instances"))="","",INDIRECT(ADDRESS($D62+2,E$2+1,,,"Instances")))</f>
        <v>0</v>
      </c>
      <c r="F62">
        <f>IFERROR(SMALL(E5:E146,ROW()-ROW($F$5)+1),"")</f>
        <v>0</v>
      </c>
      <c r="H62">
        <f>IFERROR(SUM(F5:F62),"")</f>
        <v>0</v>
      </c>
      <c r="J62">
        <v>58</v>
      </c>
      <c r="K62" cm="1">
        <f t="array" ref="K62">_xlfn.SWITCH(Charts!$B$3,"average", AVERAGE(INDIRECT(ADDRESS(57+3,K$2+1,,,"Instances") &amp; ":" &amp; ADDRESS(57+3,K$2+1))),"median", MEDIAN(INDIRECT(ADDRESS(57+3,K$2+1,,,"Instances") &amp; ":" &amp; ADDRESS(57+3,K$2+1))),"min", MIN(INDIRECT(ADDRESS(57+3,K$2+1,,,"Instances") &amp; ":" &amp; ADDRESS(57+3,K$2+1))),"max", MAX(INDIRECT(ADDRESS(57+3,K$2+1,,,"Instances") &amp; ":" &amp; ADDRESS(57+3,K$2+1))),"diff", MAX(INDIRECT(ADDRESS(57+3,K$2+1,,,"Instances") &amp; ":" &amp; ADDRESS(57+3,K$2+1)))-MIN(INDIRECT(ADDRESS(57+3,K$2+1,,,"Instances") &amp; ":" &amp; ADDRESS(57+3,K$2+1))))</f>
        <v>0</v>
      </c>
      <c r="L62">
        <f>IFERROR(SMALL(K5:K146,ROW()-ROW($L$5)+1),"")</f>
        <v>0</v>
      </c>
      <c r="N62">
        <f>IFERROR(SUM(L5:L62),"")</f>
        <v>0</v>
      </c>
      <c r="Q62">
        <f>IF(Charts!$B$3="none",E779,IF(K779="",NA(),K779))</f>
        <v>0</v>
      </c>
      <c r="R62">
        <f>IF(Charts!$B$3="none",F779,IF(L779="",NA(),L779))</f>
        <v>0</v>
      </c>
      <c r="S62">
        <f>IF(Charts!$B$3="none",G779,IF(M779="",NA(),M779))</f>
        <v>0</v>
      </c>
      <c r="T62">
        <f>IF(Charts!$B$3="none",H779,IF(N779="",NA(),N779))</f>
        <v>0</v>
      </c>
    </row>
    <row r="63" spans="4:20">
      <c r="D63">
        <v>59</v>
      </c>
      <c r="E63">
        <f>IF(INDIRECT(ADDRESS($D63+2,E$2+1,,,"Instances"))="","",INDIRECT(ADDRESS($D63+2,E$2+1,,,"Instances")))</f>
        <v>0</v>
      </c>
      <c r="F63">
        <f>IFERROR(SMALL(E5:E146,ROW()-ROW($F$5)+1),"")</f>
        <v>0</v>
      </c>
      <c r="H63">
        <f>IFERROR(SUM(F5:F63),"")</f>
        <v>0</v>
      </c>
      <c r="J63">
        <v>59</v>
      </c>
      <c r="K63" cm="1">
        <f t="array" ref="K63">_xlfn.SWITCH(Charts!$B$3,"average", AVERAGE(INDIRECT(ADDRESS(58+3,K$2+1,,,"Instances") &amp; ":" &amp; ADDRESS(58+3,K$2+1))),"median", MEDIAN(INDIRECT(ADDRESS(58+3,K$2+1,,,"Instances") &amp; ":" &amp; ADDRESS(58+3,K$2+1))),"min", MIN(INDIRECT(ADDRESS(58+3,K$2+1,,,"Instances") &amp; ":" &amp; ADDRESS(58+3,K$2+1))),"max", MAX(INDIRECT(ADDRESS(58+3,K$2+1,,,"Instances") &amp; ":" &amp; ADDRESS(58+3,K$2+1))),"diff", MAX(INDIRECT(ADDRESS(58+3,K$2+1,,,"Instances") &amp; ":" &amp; ADDRESS(58+3,K$2+1)))-MIN(INDIRECT(ADDRESS(58+3,K$2+1,,,"Instances") &amp; ":" &amp; ADDRESS(58+3,K$2+1))))</f>
        <v>0</v>
      </c>
      <c r="L63">
        <f>IFERROR(SMALL(K5:K146,ROW()-ROW($L$5)+1),"")</f>
        <v>0</v>
      </c>
      <c r="N63">
        <f>IFERROR(SUM(L5:L63),"")</f>
        <v>0</v>
      </c>
      <c r="Q63">
        <f>IF(Charts!$B$3="none",E780,IF(K780="",NA(),K780))</f>
        <v>0</v>
      </c>
      <c r="R63">
        <f>IF(Charts!$B$3="none",F780,IF(L780="",NA(),L780))</f>
        <v>0</v>
      </c>
      <c r="S63">
        <f>IF(Charts!$B$3="none",G780,IF(M780="",NA(),M780))</f>
        <v>0</v>
      </c>
      <c r="T63">
        <f>IF(Charts!$B$3="none",H780,IF(N780="",NA(),N780))</f>
        <v>0</v>
      </c>
    </row>
    <row r="64" spans="4:20">
      <c r="D64">
        <v>60</v>
      </c>
      <c r="E64">
        <f>IF(INDIRECT(ADDRESS($D64+2,E$2+1,,,"Instances"))="","",INDIRECT(ADDRESS($D64+2,E$2+1,,,"Instances")))</f>
        <v>0</v>
      </c>
      <c r="F64">
        <f>IFERROR(SMALL(E5:E146,ROW()-ROW($F$5)+1),"")</f>
        <v>0</v>
      </c>
      <c r="H64">
        <f>IFERROR(SUM(F5:F64),"")</f>
        <v>0</v>
      </c>
      <c r="J64">
        <v>60</v>
      </c>
      <c r="K64" cm="1">
        <f t="array" ref="K64">_xlfn.SWITCH(Charts!$B$3,"average", AVERAGE(INDIRECT(ADDRESS(59+3,K$2+1,,,"Instances") &amp; ":" &amp; ADDRESS(59+3,K$2+1))),"median", MEDIAN(INDIRECT(ADDRESS(59+3,K$2+1,,,"Instances") &amp; ":" &amp; ADDRESS(59+3,K$2+1))),"min", MIN(INDIRECT(ADDRESS(59+3,K$2+1,,,"Instances") &amp; ":" &amp; ADDRESS(59+3,K$2+1))),"max", MAX(INDIRECT(ADDRESS(59+3,K$2+1,,,"Instances") &amp; ":" &amp; ADDRESS(59+3,K$2+1))),"diff", MAX(INDIRECT(ADDRESS(59+3,K$2+1,,,"Instances") &amp; ":" &amp; ADDRESS(59+3,K$2+1)))-MIN(INDIRECT(ADDRESS(59+3,K$2+1,,,"Instances") &amp; ":" &amp; ADDRESS(59+3,K$2+1))))</f>
        <v>0</v>
      </c>
      <c r="L64">
        <f>IFERROR(SMALL(K5:K146,ROW()-ROW($L$5)+1),"")</f>
        <v>0</v>
      </c>
      <c r="N64">
        <f>IFERROR(SUM(L5:L64),"")</f>
        <v>0</v>
      </c>
      <c r="Q64">
        <f>IF(Charts!$B$3="none",E781,IF(K781="",NA(),K781))</f>
        <v>0</v>
      </c>
      <c r="R64">
        <f>IF(Charts!$B$3="none",F781,IF(L781="",NA(),L781))</f>
        <v>0</v>
      </c>
      <c r="S64">
        <f>IF(Charts!$B$3="none",G781,IF(M781="",NA(),M781))</f>
        <v>0</v>
      </c>
      <c r="T64">
        <f>IF(Charts!$B$3="none",H781,IF(N781="",NA(),N781))</f>
        <v>0</v>
      </c>
    </row>
    <row r="65" spans="4:20">
      <c r="D65">
        <v>61</v>
      </c>
      <c r="E65">
        <f>IF(INDIRECT(ADDRESS($D65+2,E$2+1,,,"Instances"))="","",INDIRECT(ADDRESS($D65+2,E$2+1,,,"Instances")))</f>
        <v>0</v>
      </c>
      <c r="F65">
        <f>IFERROR(SMALL(E5:E146,ROW()-ROW($F$5)+1),"")</f>
        <v>0</v>
      </c>
      <c r="H65">
        <f>IFERROR(SUM(F5:F65),"")</f>
        <v>0</v>
      </c>
      <c r="J65">
        <v>61</v>
      </c>
      <c r="K65" cm="1">
        <f t="array" ref="K65">_xlfn.SWITCH(Charts!$B$3,"average", AVERAGE(INDIRECT(ADDRESS(60+3,K$2+1,,,"Instances") &amp; ":" &amp; ADDRESS(60+3,K$2+1))),"median", MEDIAN(INDIRECT(ADDRESS(60+3,K$2+1,,,"Instances") &amp; ":" &amp; ADDRESS(60+3,K$2+1))),"min", MIN(INDIRECT(ADDRESS(60+3,K$2+1,,,"Instances") &amp; ":" &amp; ADDRESS(60+3,K$2+1))),"max", MAX(INDIRECT(ADDRESS(60+3,K$2+1,,,"Instances") &amp; ":" &amp; ADDRESS(60+3,K$2+1))),"diff", MAX(INDIRECT(ADDRESS(60+3,K$2+1,,,"Instances") &amp; ":" &amp; ADDRESS(60+3,K$2+1)))-MIN(INDIRECT(ADDRESS(60+3,K$2+1,,,"Instances") &amp; ":" &amp; ADDRESS(60+3,K$2+1))))</f>
        <v>0</v>
      </c>
      <c r="L65">
        <f>IFERROR(SMALL(K5:K146,ROW()-ROW($L$5)+1),"")</f>
        <v>0</v>
      </c>
      <c r="N65">
        <f>IFERROR(SUM(L5:L65),"")</f>
        <v>0</v>
      </c>
      <c r="Q65">
        <f>IF(Charts!$B$3="none",E782,IF(K782="",NA(),K782))</f>
        <v>0</v>
      </c>
      <c r="R65">
        <f>IF(Charts!$B$3="none",F782,IF(L782="",NA(),L782))</f>
        <v>0</v>
      </c>
      <c r="S65">
        <f>IF(Charts!$B$3="none",G782,IF(M782="",NA(),M782))</f>
        <v>0</v>
      </c>
      <c r="T65">
        <f>IF(Charts!$B$3="none",H782,IF(N782="",NA(),N782))</f>
        <v>0</v>
      </c>
    </row>
    <row r="66" spans="4:20">
      <c r="D66">
        <v>62</v>
      </c>
      <c r="E66">
        <f>IF(INDIRECT(ADDRESS($D66+2,E$2+1,,,"Instances"))="","",INDIRECT(ADDRESS($D66+2,E$2+1,,,"Instances")))</f>
        <v>0</v>
      </c>
      <c r="F66">
        <f>IFERROR(SMALL(E5:E146,ROW()-ROW($F$5)+1),"")</f>
        <v>0</v>
      </c>
      <c r="H66">
        <f>IFERROR(SUM(F5:F66),"")</f>
        <v>0</v>
      </c>
      <c r="J66">
        <v>62</v>
      </c>
      <c r="K66" cm="1">
        <f t="array" ref="K66">_xlfn.SWITCH(Charts!$B$3,"average", AVERAGE(INDIRECT(ADDRESS(61+3,K$2+1,,,"Instances") &amp; ":" &amp; ADDRESS(61+3,K$2+1))),"median", MEDIAN(INDIRECT(ADDRESS(61+3,K$2+1,,,"Instances") &amp; ":" &amp; ADDRESS(61+3,K$2+1))),"min", MIN(INDIRECT(ADDRESS(61+3,K$2+1,,,"Instances") &amp; ":" &amp; ADDRESS(61+3,K$2+1))),"max", MAX(INDIRECT(ADDRESS(61+3,K$2+1,,,"Instances") &amp; ":" &amp; ADDRESS(61+3,K$2+1))),"diff", MAX(INDIRECT(ADDRESS(61+3,K$2+1,,,"Instances") &amp; ":" &amp; ADDRESS(61+3,K$2+1)))-MIN(INDIRECT(ADDRESS(61+3,K$2+1,,,"Instances") &amp; ":" &amp; ADDRESS(61+3,K$2+1))))</f>
        <v>0</v>
      </c>
      <c r="L66">
        <f>IFERROR(SMALL(K5:K146,ROW()-ROW($L$5)+1),"")</f>
        <v>0</v>
      </c>
      <c r="N66">
        <f>IFERROR(SUM(L5:L66),"")</f>
        <v>0</v>
      </c>
      <c r="Q66">
        <f>IF(Charts!$B$3="none",E783,IF(K783="",NA(),K783))</f>
        <v>0</v>
      </c>
      <c r="R66">
        <f>IF(Charts!$B$3="none",F783,IF(L783="",NA(),L783))</f>
        <v>0</v>
      </c>
      <c r="S66">
        <f>IF(Charts!$B$3="none",G783,IF(M783="",NA(),M783))</f>
        <v>0</v>
      </c>
      <c r="T66">
        <f>IF(Charts!$B$3="none",H783,IF(N783="",NA(),N783))</f>
        <v>0</v>
      </c>
    </row>
    <row r="67" spans="4:20">
      <c r="D67">
        <v>63</v>
      </c>
      <c r="E67">
        <f>IF(INDIRECT(ADDRESS($D67+2,E$2+1,,,"Instances"))="","",INDIRECT(ADDRESS($D67+2,E$2+1,,,"Instances")))</f>
        <v>0</v>
      </c>
      <c r="F67">
        <f>IFERROR(SMALL(E5:E146,ROW()-ROW($F$5)+1),"")</f>
        <v>0</v>
      </c>
      <c r="H67">
        <f>IFERROR(SUM(F5:F67),"")</f>
        <v>0</v>
      </c>
      <c r="J67">
        <v>63</v>
      </c>
      <c r="K67" cm="1">
        <f t="array" ref="K67">_xlfn.SWITCH(Charts!$B$3,"average", AVERAGE(INDIRECT(ADDRESS(62+3,K$2+1,,,"Instances") &amp; ":" &amp; ADDRESS(62+3,K$2+1))),"median", MEDIAN(INDIRECT(ADDRESS(62+3,K$2+1,,,"Instances") &amp; ":" &amp; ADDRESS(62+3,K$2+1))),"min", MIN(INDIRECT(ADDRESS(62+3,K$2+1,,,"Instances") &amp; ":" &amp; ADDRESS(62+3,K$2+1))),"max", MAX(INDIRECT(ADDRESS(62+3,K$2+1,,,"Instances") &amp; ":" &amp; ADDRESS(62+3,K$2+1))),"diff", MAX(INDIRECT(ADDRESS(62+3,K$2+1,,,"Instances") &amp; ":" &amp; ADDRESS(62+3,K$2+1)))-MIN(INDIRECT(ADDRESS(62+3,K$2+1,,,"Instances") &amp; ":" &amp; ADDRESS(62+3,K$2+1))))</f>
        <v>0</v>
      </c>
      <c r="L67">
        <f>IFERROR(SMALL(K5:K146,ROW()-ROW($L$5)+1),"")</f>
        <v>0</v>
      </c>
      <c r="N67">
        <f>IFERROR(SUM(L5:L67),"")</f>
        <v>0</v>
      </c>
      <c r="Q67">
        <f>IF(Charts!$B$3="none",E784,IF(K784="",NA(),K784))</f>
        <v>0</v>
      </c>
      <c r="R67">
        <f>IF(Charts!$B$3="none",F784,IF(L784="",NA(),L784))</f>
        <v>0</v>
      </c>
      <c r="S67">
        <f>IF(Charts!$B$3="none",G784,IF(M784="",NA(),M784))</f>
        <v>0</v>
      </c>
      <c r="T67">
        <f>IF(Charts!$B$3="none",H784,IF(N784="",NA(),N784))</f>
        <v>0</v>
      </c>
    </row>
    <row r="68" spans="4:20">
      <c r="D68">
        <v>64</v>
      </c>
      <c r="E68">
        <f>IF(INDIRECT(ADDRESS($D68+2,E$2+1,,,"Instances"))="","",INDIRECT(ADDRESS($D68+2,E$2+1,,,"Instances")))</f>
        <v>0</v>
      </c>
      <c r="F68">
        <f>IFERROR(SMALL(E5:E146,ROW()-ROW($F$5)+1),"")</f>
        <v>0</v>
      </c>
      <c r="H68">
        <f>IFERROR(SUM(F5:F68),"")</f>
        <v>0</v>
      </c>
      <c r="J68">
        <v>64</v>
      </c>
      <c r="K68" cm="1">
        <f t="array" ref="K68">_xlfn.SWITCH(Charts!$B$3,"average", AVERAGE(INDIRECT(ADDRESS(63+3,K$2+1,,,"Instances") &amp; ":" &amp; ADDRESS(63+3,K$2+1))),"median", MEDIAN(INDIRECT(ADDRESS(63+3,K$2+1,,,"Instances") &amp; ":" &amp; ADDRESS(63+3,K$2+1))),"min", MIN(INDIRECT(ADDRESS(63+3,K$2+1,,,"Instances") &amp; ":" &amp; ADDRESS(63+3,K$2+1))),"max", MAX(INDIRECT(ADDRESS(63+3,K$2+1,,,"Instances") &amp; ":" &amp; ADDRESS(63+3,K$2+1))),"diff", MAX(INDIRECT(ADDRESS(63+3,K$2+1,,,"Instances") &amp; ":" &amp; ADDRESS(63+3,K$2+1)))-MIN(INDIRECT(ADDRESS(63+3,K$2+1,,,"Instances") &amp; ":" &amp; ADDRESS(63+3,K$2+1))))</f>
        <v>0</v>
      </c>
      <c r="L68">
        <f>IFERROR(SMALL(K5:K146,ROW()-ROW($L$5)+1),"")</f>
        <v>0</v>
      </c>
      <c r="N68">
        <f>IFERROR(SUM(L5:L68),"")</f>
        <v>0</v>
      </c>
      <c r="Q68">
        <f>IF(Charts!$B$3="none",E785,IF(K785="",NA(),K785))</f>
        <v>0</v>
      </c>
      <c r="R68">
        <f>IF(Charts!$B$3="none",F785,IF(L785="",NA(),L785))</f>
        <v>0</v>
      </c>
      <c r="S68">
        <f>IF(Charts!$B$3="none",G785,IF(M785="",NA(),M785))</f>
        <v>0</v>
      </c>
      <c r="T68">
        <f>IF(Charts!$B$3="none",H785,IF(N785="",NA(),N785))</f>
        <v>0</v>
      </c>
    </row>
    <row r="69" spans="4:20">
      <c r="D69">
        <v>65</v>
      </c>
      <c r="E69">
        <f>IF(INDIRECT(ADDRESS($D69+2,E$2+1,,,"Instances"))="","",INDIRECT(ADDRESS($D69+2,E$2+1,,,"Instances")))</f>
        <v>0</v>
      </c>
      <c r="F69">
        <f>IFERROR(SMALL(E5:E146,ROW()-ROW($F$5)+1),"")</f>
        <v>0</v>
      </c>
      <c r="H69">
        <f>IFERROR(SUM(F5:F69),"")</f>
        <v>0</v>
      </c>
      <c r="J69">
        <v>65</v>
      </c>
      <c r="K69" cm="1">
        <f t="array" ref="K69">_xlfn.SWITCH(Charts!$B$3,"average", AVERAGE(INDIRECT(ADDRESS(64+3,K$2+1,,,"Instances") &amp; ":" &amp; ADDRESS(64+3,K$2+1))),"median", MEDIAN(INDIRECT(ADDRESS(64+3,K$2+1,,,"Instances") &amp; ":" &amp; ADDRESS(64+3,K$2+1))),"min", MIN(INDIRECT(ADDRESS(64+3,K$2+1,,,"Instances") &amp; ":" &amp; ADDRESS(64+3,K$2+1))),"max", MAX(INDIRECT(ADDRESS(64+3,K$2+1,,,"Instances") &amp; ":" &amp; ADDRESS(64+3,K$2+1))),"diff", MAX(INDIRECT(ADDRESS(64+3,K$2+1,,,"Instances") &amp; ":" &amp; ADDRESS(64+3,K$2+1)))-MIN(INDIRECT(ADDRESS(64+3,K$2+1,,,"Instances") &amp; ":" &amp; ADDRESS(64+3,K$2+1))))</f>
        <v>0</v>
      </c>
      <c r="L69">
        <f>IFERROR(SMALL(K5:K146,ROW()-ROW($L$5)+1),"")</f>
        <v>0</v>
      </c>
      <c r="N69">
        <f>IFERROR(SUM(L5:L69),"")</f>
        <v>0</v>
      </c>
      <c r="Q69">
        <f>IF(Charts!$B$3="none",E786,IF(K786="",NA(),K786))</f>
        <v>0</v>
      </c>
      <c r="R69">
        <f>IF(Charts!$B$3="none",F786,IF(L786="",NA(),L786))</f>
        <v>0</v>
      </c>
      <c r="S69">
        <f>IF(Charts!$B$3="none",G786,IF(M786="",NA(),M786))</f>
        <v>0</v>
      </c>
      <c r="T69">
        <f>IF(Charts!$B$3="none",H786,IF(N786="",NA(),N786))</f>
        <v>0</v>
      </c>
    </row>
    <row r="70" spans="4:20">
      <c r="D70">
        <v>66</v>
      </c>
      <c r="E70">
        <f>IF(INDIRECT(ADDRESS($D70+2,E$2+1,,,"Instances"))="","",INDIRECT(ADDRESS($D70+2,E$2+1,,,"Instances")))</f>
        <v>0</v>
      </c>
      <c r="F70">
        <f>IFERROR(SMALL(E5:E146,ROW()-ROW($F$5)+1),"")</f>
        <v>0</v>
      </c>
      <c r="H70">
        <f>IFERROR(SUM(F5:F70),"")</f>
        <v>0</v>
      </c>
      <c r="J70">
        <v>66</v>
      </c>
      <c r="K70" cm="1">
        <f t="array" ref="K70">_xlfn.SWITCH(Charts!$B$3,"average", AVERAGE(INDIRECT(ADDRESS(65+3,K$2+1,,,"Instances") &amp; ":" &amp; ADDRESS(65+3,K$2+1))),"median", MEDIAN(INDIRECT(ADDRESS(65+3,K$2+1,,,"Instances") &amp; ":" &amp; ADDRESS(65+3,K$2+1))),"min", MIN(INDIRECT(ADDRESS(65+3,K$2+1,,,"Instances") &amp; ":" &amp; ADDRESS(65+3,K$2+1))),"max", MAX(INDIRECT(ADDRESS(65+3,K$2+1,,,"Instances") &amp; ":" &amp; ADDRESS(65+3,K$2+1))),"diff", MAX(INDIRECT(ADDRESS(65+3,K$2+1,,,"Instances") &amp; ":" &amp; ADDRESS(65+3,K$2+1)))-MIN(INDIRECT(ADDRESS(65+3,K$2+1,,,"Instances") &amp; ":" &amp; ADDRESS(65+3,K$2+1))))</f>
        <v>0</v>
      </c>
      <c r="L70">
        <f>IFERROR(SMALL(K5:K146,ROW()-ROW($L$5)+1),"")</f>
        <v>0</v>
      </c>
      <c r="N70">
        <f>IFERROR(SUM(L5:L70),"")</f>
        <v>0</v>
      </c>
      <c r="Q70">
        <f>IF(Charts!$B$3="none",E787,IF(K787="",NA(),K787))</f>
        <v>0</v>
      </c>
      <c r="R70">
        <f>IF(Charts!$B$3="none",F787,IF(L787="",NA(),L787))</f>
        <v>0</v>
      </c>
      <c r="S70">
        <f>IF(Charts!$B$3="none",G787,IF(M787="",NA(),M787))</f>
        <v>0</v>
      </c>
      <c r="T70">
        <f>IF(Charts!$B$3="none",H787,IF(N787="",NA(),N787))</f>
        <v>0</v>
      </c>
    </row>
    <row r="71" spans="4:20">
      <c r="D71">
        <v>67</v>
      </c>
      <c r="E71">
        <f>IF(INDIRECT(ADDRESS($D71+2,E$2+1,,,"Instances"))="","",INDIRECT(ADDRESS($D71+2,E$2+1,,,"Instances")))</f>
        <v>0</v>
      </c>
      <c r="F71">
        <f>IFERROR(SMALL(E5:E146,ROW()-ROW($F$5)+1),"")</f>
        <v>0</v>
      </c>
      <c r="H71">
        <f>IFERROR(SUM(F5:F71),"")</f>
        <v>0</v>
      </c>
      <c r="J71">
        <v>67</v>
      </c>
      <c r="K71" cm="1">
        <f t="array" ref="K71">_xlfn.SWITCH(Charts!$B$3,"average", AVERAGE(INDIRECT(ADDRESS(66+3,K$2+1,,,"Instances") &amp; ":" &amp; ADDRESS(66+3,K$2+1))),"median", MEDIAN(INDIRECT(ADDRESS(66+3,K$2+1,,,"Instances") &amp; ":" &amp; ADDRESS(66+3,K$2+1))),"min", MIN(INDIRECT(ADDRESS(66+3,K$2+1,,,"Instances") &amp; ":" &amp; ADDRESS(66+3,K$2+1))),"max", MAX(INDIRECT(ADDRESS(66+3,K$2+1,,,"Instances") &amp; ":" &amp; ADDRESS(66+3,K$2+1))),"diff", MAX(INDIRECT(ADDRESS(66+3,K$2+1,,,"Instances") &amp; ":" &amp; ADDRESS(66+3,K$2+1)))-MIN(INDIRECT(ADDRESS(66+3,K$2+1,,,"Instances") &amp; ":" &amp; ADDRESS(66+3,K$2+1))))</f>
        <v>0</v>
      </c>
      <c r="L71">
        <f>IFERROR(SMALL(K5:K146,ROW()-ROW($L$5)+1),"")</f>
        <v>0</v>
      </c>
      <c r="N71">
        <f>IFERROR(SUM(L5:L71),"")</f>
        <v>0</v>
      </c>
      <c r="Q71">
        <f>IF(Charts!$B$3="none",E788,IF(K788="",NA(),K788))</f>
        <v>0</v>
      </c>
      <c r="R71">
        <f>IF(Charts!$B$3="none",F788,IF(L788="",NA(),L788))</f>
        <v>0</v>
      </c>
      <c r="S71">
        <f>IF(Charts!$B$3="none",G788,IF(M788="",NA(),M788))</f>
        <v>0</v>
      </c>
      <c r="T71">
        <f>IF(Charts!$B$3="none",H788,IF(N788="",NA(),N788))</f>
        <v>0</v>
      </c>
    </row>
    <row r="72" spans="4:20">
      <c r="D72">
        <v>68</v>
      </c>
      <c r="E72">
        <f>IF(INDIRECT(ADDRESS($D72+2,E$2+1,,,"Instances"))="","",INDIRECT(ADDRESS($D72+2,E$2+1,,,"Instances")))</f>
        <v>0</v>
      </c>
      <c r="F72">
        <f>IFERROR(SMALL(E5:E146,ROW()-ROW($F$5)+1),"")</f>
        <v>0</v>
      </c>
      <c r="H72">
        <f>IFERROR(SUM(F5:F72),"")</f>
        <v>0</v>
      </c>
      <c r="J72">
        <v>68</v>
      </c>
      <c r="K72" cm="1">
        <f t="array" ref="K72">_xlfn.SWITCH(Charts!$B$3,"average", AVERAGE(INDIRECT(ADDRESS(67+3,K$2+1,,,"Instances") &amp; ":" &amp; ADDRESS(67+3,K$2+1))),"median", MEDIAN(INDIRECT(ADDRESS(67+3,K$2+1,,,"Instances") &amp; ":" &amp; ADDRESS(67+3,K$2+1))),"min", MIN(INDIRECT(ADDRESS(67+3,K$2+1,,,"Instances") &amp; ":" &amp; ADDRESS(67+3,K$2+1))),"max", MAX(INDIRECT(ADDRESS(67+3,K$2+1,,,"Instances") &amp; ":" &amp; ADDRESS(67+3,K$2+1))),"diff", MAX(INDIRECT(ADDRESS(67+3,K$2+1,,,"Instances") &amp; ":" &amp; ADDRESS(67+3,K$2+1)))-MIN(INDIRECT(ADDRESS(67+3,K$2+1,,,"Instances") &amp; ":" &amp; ADDRESS(67+3,K$2+1))))</f>
        <v>0</v>
      </c>
      <c r="L72">
        <f>IFERROR(SMALL(K5:K146,ROW()-ROW($L$5)+1),"")</f>
        <v>0</v>
      </c>
      <c r="N72">
        <f>IFERROR(SUM(L5:L72),"")</f>
        <v>0</v>
      </c>
      <c r="Q72">
        <f>IF(Charts!$B$3="none",E789,IF(K789="",NA(),K789))</f>
        <v>0</v>
      </c>
      <c r="R72">
        <f>IF(Charts!$B$3="none",F789,IF(L789="",NA(),L789))</f>
        <v>0</v>
      </c>
      <c r="S72">
        <f>IF(Charts!$B$3="none",G789,IF(M789="",NA(),M789))</f>
        <v>0</v>
      </c>
      <c r="T72">
        <f>IF(Charts!$B$3="none",H789,IF(N789="",NA(),N789))</f>
        <v>0</v>
      </c>
    </row>
    <row r="73" spans="4:20">
      <c r="D73">
        <v>69</v>
      </c>
      <c r="E73">
        <f>IF(INDIRECT(ADDRESS($D73+2,E$2+1,,,"Instances"))="","",INDIRECT(ADDRESS($D73+2,E$2+1,,,"Instances")))</f>
        <v>0</v>
      </c>
      <c r="F73">
        <f>IFERROR(SMALL(E5:E146,ROW()-ROW($F$5)+1),"")</f>
        <v>0</v>
      </c>
      <c r="H73">
        <f>IFERROR(SUM(F5:F73),"")</f>
        <v>0</v>
      </c>
      <c r="J73">
        <v>69</v>
      </c>
      <c r="K73" cm="1">
        <f t="array" ref="K73">_xlfn.SWITCH(Charts!$B$3,"average", AVERAGE(INDIRECT(ADDRESS(68+3,K$2+1,,,"Instances") &amp; ":" &amp; ADDRESS(68+3,K$2+1))),"median", MEDIAN(INDIRECT(ADDRESS(68+3,K$2+1,,,"Instances") &amp; ":" &amp; ADDRESS(68+3,K$2+1))),"min", MIN(INDIRECT(ADDRESS(68+3,K$2+1,,,"Instances") &amp; ":" &amp; ADDRESS(68+3,K$2+1))),"max", MAX(INDIRECT(ADDRESS(68+3,K$2+1,,,"Instances") &amp; ":" &amp; ADDRESS(68+3,K$2+1))),"diff", MAX(INDIRECT(ADDRESS(68+3,K$2+1,,,"Instances") &amp; ":" &amp; ADDRESS(68+3,K$2+1)))-MIN(INDIRECT(ADDRESS(68+3,K$2+1,,,"Instances") &amp; ":" &amp; ADDRESS(68+3,K$2+1))))</f>
        <v>0</v>
      </c>
      <c r="L73">
        <f>IFERROR(SMALL(K5:K146,ROW()-ROW($L$5)+1),"")</f>
        <v>0</v>
      </c>
      <c r="N73">
        <f>IFERROR(SUM(L5:L73),"")</f>
        <v>0</v>
      </c>
      <c r="Q73">
        <f>IF(Charts!$B$3="none",E790,IF(K790="",NA(),K790))</f>
        <v>0</v>
      </c>
      <c r="R73">
        <f>IF(Charts!$B$3="none",F790,IF(L790="",NA(),L790))</f>
        <v>0</v>
      </c>
      <c r="S73">
        <f>IF(Charts!$B$3="none",G790,IF(M790="",NA(),M790))</f>
        <v>0</v>
      </c>
      <c r="T73">
        <f>IF(Charts!$B$3="none",H790,IF(N790="",NA(),N790))</f>
        <v>0</v>
      </c>
    </row>
    <row r="74" spans="4:20">
      <c r="D74">
        <v>70</v>
      </c>
      <c r="E74">
        <f>IF(INDIRECT(ADDRESS($D74+2,E$2+1,,,"Instances"))="","",INDIRECT(ADDRESS($D74+2,E$2+1,,,"Instances")))</f>
        <v>0</v>
      </c>
      <c r="F74">
        <f>IFERROR(SMALL(E5:E146,ROW()-ROW($F$5)+1),"")</f>
        <v>0</v>
      </c>
      <c r="H74">
        <f>IFERROR(SUM(F5:F74),"")</f>
        <v>0</v>
      </c>
      <c r="J74">
        <v>70</v>
      </c>
      <c r="K74" cm="1">
        <f t="array" ref="K74">_xlfn.SWITCH(Charts!$B$3,"average", AVERAGE(INDIRECT(ADDRESS(69+3,K$2+1,,,"Instances") &amp; ":" &amp; ADDRESS(69+3,K$2+1))),"median", MEDIAN(INDIRECT(ADDRESS(69+3,K$2+1,,,"Instances") &amp; ":" &amp; ADDRESS(69+3,K$2+1))),"min", MIN(INDIRECT(ADDRESS(69+3,K$2+1,,,"Instances") &amp; ":" &amp; ADDRESS(69+3,K$2+1))),"max", MAX(INDIRECT(ADDRESS(69+3,K$2+1,,,"Instances") &amp; ":" &amp; ADDRESS(69+3,K$2+1))),"diff", MAX(INDIRECT(ADDRESS(69+3,K$2+1,,,"Instances") &amp; ":" &amp; ADDRESS(69+3,K$2+1)))-MIN(INDIRECT(ADDRESS(69+3,K$2+1,,,"Instances") &amp; ":" &amp; ADDRESS(69+3,K$2+1))))</f>
        <v>0</v>
      </c>
      <c r="L74">
        <f>IFERROR(SMALL(K5:K146,ROW()-ROW($L$5)+1),"")</f>
        <v>0</v>
      </c>
      <c r="N74">
        <f>IFERROR(SUM(L5:L74),"")</f>
        <v>0</v>
      </c>
      <c r="Q74">
        <f>IF(Charts!$B$3="none",E791,IF(K791="",NA(),K791))</f>
        <v>0</v>
      </c>
      <c r="R74">
        <f>IF(Charts!$B$3="none",F791,IF(L791="",NA(),L791))</f>
        <v>0</v>
      </c>
      <c r="S74">
        <f>IF(Charts!$B$3="none",G791,IF(M791="",NA(),M791))</f>
        <v>0</v>
      </c>
      <c r="T74">
        <f>IF(Charts!$B$3="none",H791,IF(N791="",NA(),N791))</f>
        <v>0</v>
      </c>
    </row>
    <row r="75" spans="4:20">
      <c r="D75">
        <v>71</v>
      </c>
      <c r="E75">
        <f>IF(INDIRECT(ADDRESS($D75+2,E$2+1,,,"Instances"))="","",INDIRECT(ADDRESS($D75+2,E$2+1,,,"Instances")))</f>
        <v>0</v>
      </c>
      <c r="F75">
        <f>IFERROR(SMALL(E5:E146,ROW()-ROW($F$5)+1),"")</f>
        <v>0</v>
      </c>
      <c r="H75">
        <f>IFERROR(SUM(F5:F75),"")</f>
        <v>0</v>
      </c>
      <c r="J75">
        <v>71</v>
      </c>
      <c r="K75" cm="1">
        <f t="array" ref="K75">_xlfn.SWITCH(Charts!$B$3,"average", AVERAGE(INDIRECT(ADDRESS(70+3,K$2+1,,,"Instances") &amp; ":" &amp; ADDRESS(70+3,K$2+1))),"median", MEDIAN(INDIRECT(ADDRESS(70+3,K$2+1,,,"Instances") &amp; ":" &amp; ADDRESS(70+3,K$2+1))),"min", MIN(INDIRECT(ADDRESS(70+3,K$2+1,,,"Instances") &amp; ":" &amp; ADDRESS(70+3,K$2+1))),"max", MAX(INDIRECT(ADDRESS(70+3,K$2+1,,,"Instances") &amp; ":" &amp; ADDRESS(70+3,K$2+1))),"diff", MAX(INDIRECT(ADDRESS(70+3,K$2+1,,,"Instances") &amp; ":" &amp; ADDRESS(70+3,K$2+1)))-MIN(INDIRECT(ADDRESS(70+3,K$2+1,,,"Instances") &amp; ":" &amp; ADDRESS(70+3,K$2+1))))</f>
        <v>0</v>
      </c>
      <c r="L75">
        <f>IFERROR(SMALL(K5:K146,ROW()-ROW($L$5)+1),"")</f>
        <v>0</v>
      </c>
      <c r="N75">
        <f>IFERROR(SUM(L5:L75),"")</f>
        <v>0</v>
      </c>
      <c r="Q75">
        <f>IF(Charts!$B$3="none",E792,IF(K792="",NA(),K792))</f>
        <v>0</v>
      </c>
      <c r="R75">
        <f>IF(Charts!$B$3="none",F792,IF(L792="",NA(),L792))</f>
        <v>0</v>
      </c>
      <c r="S75">
        <f>IF(Charts!$B$3="none",G792,IF(M792="",NA(),M792))</f>
        <v>0</v>
      </c>
      <c r="T75">
        <f>IF(Charts!$B$3="none",H792,IF(N792="",NA(),N792))</f>
        <v>0</v>
      </c>
    </row>
    <row r="76" spans="4:20">
      <c r="D76">
        <v>72</v>
      </c>
      <c r="E76">
        <f>IF(INDIRECT(ADDRESS($D76+2,E$2+1,,,"Instances"))="","",INDIRECT(ADDRESS($D76+2,E$2+1,,,"Instances")))</f>
        <v>0</v>
      </c>
      <c r="F76">
        <f>IFERROR(SMALL(E5:E146,ROW()-ROW($F$5)+1),"")</f>
        <v>0</v>
      </c>
      <c r="H76">
        <f>IFERROR(SUM(F5:F76),"")</f>
        <v>0</v>
      </c>
      <c r="J76">
        <v>72</v>
      </c>
      <c r="K76" cm="1">
        <f t="array" ref="K76">_xlfn.SWITCH(Charts!$B$3,"average", AVERAGE(INDIRECT(ADDRESS(71+3,K$2+1,,,"Instances") &amp; ":" &amp; ADDRESS(71+3,K$2+1))),"median", MEDIAN(INDIRECT(ADDRESS(71+3,K$2+1,,,"Instances") &amp; ":" &amp; ADDRESS(71+3,K$2+1))),"min", MIN(INDIRECT(ADDRESS(71+3,K$2+1,,,"Instances") &amp; ":" &amp; ADDRESS(71+3,K$2+1))),"max", MAX(INDIRECT(ADDRESS(71+3,K$2+1,,,"Instances") &amp; ":" &amp; ADDRESS(71+3,K$2+1))),"diff", MAX(INDIRECT(ADDRESS(71+3,K$2+1,,,"Instances") &amp; ":" &amp; ADDRESS(71+3,K$2+1)))-MIN(INDIRECT(ADDRESS(71+3,K$2+1,,,"Instances") &amp; ":" &amp; ADDRESS(71+3,K$2+1))))</f>
        <v>0</v>
      </c>
      <c r="L76">
        <f>IFERROR(SMALL(K5:K146,ROW()-ROW($L$5)+1),"")</f>
        <v>0</v>
      </c>
      <c r="N76">
        <f>IFERROR(SUM(L5:L76),"")</f>
        <v>0</v>
      </c>
      <c r="Q76">
        <f>IF(Charts!$B$3="none",E793,IF(K793="",NA(),K793))</f>
        <v>0</v>
      </c>
      <c r="R76">
        <f>IF(Charts!$B$3="none",F793,IF(L793="",NA(),L793))</f>
        <v>0</v>
      </c>
      <c r="S76">
        <f>IF(Charts!$B$3="none",G793,IF(M793="",NA(),M793))</f>
        <v>0</v>
      </c>
      <c r="T76">
        <f>IF(Charts!$B$3="none",H793,IF(N793="",NA(),N793))</f>
        <v>0</v>
      </c>
    </row>
    <row r="77" spans="4:20">
      <c r="D77">
        <v>73</v>
      </c>
      <c r="E77">
        <f>IF(INDIRECT(ADDRESS($D77+2,E$2+1,,,"Instances"))="","",INDIRECT(ADDRESS($D77+2,E$2+1,,,"Instances")))</f>
        <v>0</v>
      </c>
      <c r="F77">
        <f>IFERROR(SMALL(E5:E146,ROW()-ROW($F$5)+1),"")</f>
        <v>0</v>
      </c>
      <c r="H77">
        <f>IFERROR(SUM(F5:F77),"")</f>
        <v>0</v>
      </c>
      <c r="J77">
        <v>73</v>
      </c>
      <c r="K77" cm="1">
        <f t="array" ref="K77">_xlfn.SWITCH(Charts!$B$3,"average", AVERAGE(INDIRECT(ADDRESS(72+3,K$2+1,,,"Instances") &amp; ":" &amp; ADDRESS(72+3,K$2+1))),"median", MEDIAN(INDIRECT(ADDRESS(72+3,K$2+1,,,"Instances") &amp; ":" &amp; ADDRESS(72+3,K$2+1))),"min", MIN(INDIRECT(ADDRESS(72+3,K$2+1,,,"Instances") &amp; ":" &amp; ADDRESS(72+3,K$2+1))),"max", MAX(INDIRECT(ADDRESS(72+3,K$2+1,,,"Instances") &amp; ":" &amp; ADDRESS(72+3,K$2+1))),"diff", MAX(INDIRECT(ADDRESS(72+3,K$2+1,,,"Instances") &amp; ":" &amp; ADDRESS(72+3,K$2+1)))-MIN(INDIRECT(ADDRESS(72+3,K$2+1,,,"Instances") &amp; ":" &amp; ADDRESS(72+3,K$2+1))))</f>
        <v>0</v>
      </c>
      <c r="L77">
        <f>IFERROR(SMALL(K5:K146,ROW()-ROW($L$5)+1),"")</f>
        <v>0</v>
      </c>
      <c r="N77">
        <f>IFERROR(SUM(L5:L77),"")</f>
        <v>0</v>
      </c>
      <c r="Q77">
        <f>IF(Charts!$B$3="none",E794,IF(K794="",NA(),K794))</f>
        <v>0</v>
      </c>
      <c r="R77">
        <f>IF(Charts!$B$3="none",F794,IF(L794="",NA(),L794))</f>
        <v>0</v>
      </c>
      <c r="S77">
        <f>IF(Charts!$B$3="none",G794,IF(M794="",NA(),M794))</f>
        <v>0</v>
      </c>
      <c r="T77">
        <f>IF(Charts!$B$3="none",H794,IF(N794="",NA(),N794))</f>
        <v>0</v>
      </c>
    </row>
    <row r="78" spans="4:20">
      <c r="D78">
        <v>74</v>
      </c>
      <c r="E78">
        <f>IF(INDIRECT(ADDRESS($D78+2,E$2+1,,,"Instances"))="","",INDIRECT(ADDRESS($D78+2,E$2+1,,,"Instances")))</f>
        <v>0</v>
      </c>
      <c r="F78">
        <f>IFERROR(SMALL(E5:E146,ROW()-ROW($F$5)+1),"")</f>
        <v>0</v>
      </c>
      <c r="H78">
        <f>IFERROR(SUM(F5:F78),"")</f>
        <v>0</v>
      </c>
      <c r="J78">
        <v>74</v>
      </c>
      <c r="K78" cm="1">
        <f t="array" ref="K78">_xlfn.SWITCH(Charts!$B$3,"average", AVERAGE(INDIRECT(ADDRESS(73+3,K$2+1,,,"Instances") &amp; ":" &amp; ADDRESS(73+3,K$2+1))),"median", MEDIAN(INDIRECT(ADDRESS(73+3,K$2+1,,,"Instances") &amp; ":" &amp; ADDRESS(73+3,K$2+1))),"min", MIN(INDIRECT(ADDRESS(73+3,K$2+1,,,"Instances") &amp; ":" &amp; ADDRESS(73+3,K$2+1))),"max", MAX(INDIRECT(ADDRESS(73+3,K$2+1,,,"Instances") &amp; ":" &amp; ADDRESS(73+3,K$2+1))),"diff", MAX(INDIRECT(ADDRESS(73+3,K$2+1,,,"Instances") &amp; ":" &amp; ADDRESS(73+3,K$2+1)))-MIN(INDIRECT(ADDRESS(73+3,K$2+1,,,"Instances") &amp; ":" &amp; ADDRESS(73+3,K$2+1))))</f>
        <v>0</v>
      </c>
      <c r="L78">
        <f>IFERROR(SMALL(K5:K146,ROW()-ROW($L$5)+1),"")</f>
        <v>0</v>
      </c>
      <c r="N78">
        <f>IFERROR(SUM(L5:L78),"")</f>
        <v>0</v>
      </c>
      <c r="Q78">
        <f>IF(Charts!$B$3="none",E795,IF(K795="",NA(),K795))</f>
        <v>0</v>
      </c>
      <c r="R78">
        <f>IF(Charts!$B$3="none",F795,IF(L795="",NA(),L795))</f>
        <v>0</v>
      </c>
      <c r="S78">
        <f>IF(Charts!$B$3="none",G795,IF(M795="",NA(),M795))</f>
        <v>0</v>
      </c>
      <c r="T78">
        <f>IF(Charts!$B$3="none",H795,IF(N795="",NA(),N795))</f>
        <v>0</v>
      </c>
    </row>
    <row r="79" spans="4:20">
      <c r="D79">
        <v>75</v>
      </c>
      <c r="E79">
        <f>IF(INDIRECT(ADDRESS($D79+2,E$2+1,,,"Instances"))="","",INDIRECT(ADDRESS($D79+2,E$2+1,,,"Instances")))</f>
        <v>0</v>
      </c>
      <c r="F79">
        <f>IFERROR(SMALL(E5:E146,ROW()-ROW($F$5)+1),"")</f>
        <v>0</v>
      </c>
      <c r="H79">
        <f>IFERROR(SUM(F5:F79),"")</f>
        <v>0</v>
      </c>
      <c r="J79">
        <v>75</v>
      </c>
      <c r="K79" cm="1">
        <f t="array" ref="K79">_xlfn.SWITCH(Charts!$B$3,"average", AVERAGE(INDIRECT(ADDRESS(74+3,K$2+1,,,"Instances") &amp; ":" &amp; ADDRESS(74+3,K$2+1))),"median", MEDIAN(INDIRECT(ADDRESS(74+3,K$2+1,,,"Instances") &amp; ":" &amp; ADDRESS(74+3,K$2+1))),"min", MIN(INDIRECT(ADDRESS(74+3,K$2+1,,,"Instances") &amp; ":" &amp; ADDRESS(74+3,K$2+1))),"max", MAX(INDIRECT(ADDRESS(74+3,K$2+1,,,"Instances") &amp; ":" &amp; ADDRESS(74+3,K$2+1))),"diff", MAX(INDIRECT(ADDRESS(74+3,K$2+1,,,"Instances") &amp; ":" &amp; ADDRESS(74+3,K$2+1)))-MIN(INDIRECT(ADDRESS(74+3,K$2+1,,,"Instances") &amp; ":" &amp; ADDRESS(74+3,K$2+1))))</f>
        <v>0</v>
      </c>
      <c r="L79">
        <f>IFERROR(SMALL(K5:K146,ROW()-ROW($L$5)+1),"")</f>
        <v>0</v>
      </c>
      <c r="N79">
        <f>IFERROR(SUM(L5:L79),"")</f>
        <v>0</v>
      </c>
      <c r="Q79">
        <f>IF(Charts!$B$3="none",E796,IF(K796="",NA(),K796))</f>
        <v>0</v>
      </c>
      <c r="R79">
        <f>IF(Charts!$B$3="none",F796,IF(L796="",NA(),L796))</f>
        <v>0</v>
      </c>
      <c r="S79">
        <f>IF(Charts!$B$3="none",G796,IF(M796="",NA(),M796))</f>
        <v>0</v>
      </c>
      <c r="T79">
        <f>IF(Charts!$B$3="none",H796,IF(N796="",NA(),N796))</f>
        <v>0</v>
      </c>
    </row>
    <row r="80" spans="4:20">
      <c r="D80">
        <v>76</v>
      </c>
      <c r="E80">
        <f>IF(INDIRECT(ADDRESS($D80+2,E$2+1,,,"Instances"))="","",INDIRECT(ADDRESS($D80+2,E$2+1,,,"Instances")))</f>
        <v>0</v>
      </c>
      <c r="F80">
        <f>IFERROR(SMALL(E5:E146,ROW()-ROW($F$5)+1),"")</f>
        <v>0</v>
      </c>
      <c r="H80">
        <f>IFERROR(SUM(F5:F80),"")</f>
        <v>0</v>
      </c>
      <c r="J80">
        <v>76</v>
      </c>
      <c r="K80" cm="1">
        <f t="array" ref="K80">_xlfn.SWITCH(Charts!$B$3,"average", AVERAGE(INDIRECT(ADDRESS(75+3,K$2+1,,,"Instances") &amp; ":" &amp; ADDRESS(75+3,K$2+1))),"median", MEDIAN(INDIRECT(ADDRESS(75+3,K$2+1,,,"Instances") &amp; ":" &amp; ADDRESS(75+3,K$2+1))),"min", MIN(INDIRECT(ADDRESS(75+3,K$2+1,,,"Instances") &amp; ":" &amp; ADDRESS(75+3,K$2+1))),"max", MAX(INDIRECT(ADDRESS(75+3,K$2+1,,,"Instances") &amp; ":" &amp; ADDRESS(75+3,K$2+1))),"diff", MAX(INDIRECT(ADDRESS(75+3,K$2+1,,,"Instances") &amp; ":" &amp; ADDRESS(75+3,K$2+1)))-MIN(INDIRECT(ADDRESS(75+3,K$2+1,,,"Instances") &amp; ":" &amp; ADDRESS(75+3,K$2+1))))</f>
        <v>0</v>
      </c>
      <c r="L80">
        <f>IFERROR(SMALL(K5:K146,ROW()-ROW($L$5)+1),"")</f>
        <v>0</v>
      </c>
      <c r="N80">
        <f>IFERROR(SUM(L5:L80),"")</f>
        <v>0</v>
      </c>
      <c r="Q80">
        <f>IF(Charts!$B$3="none",E797,IF(K797="",NA(),K797))</f>
        <v>0</v>
      </c>
      <c r="R80">
        <f>IF(Charts!$B$3="none",F797,IF(L797="",NA(),L797))</f>
        <v>0</v>
      </c>
      <c r="S80">
        <f>IF(Charts!$B$3="none",G797,IF(M797="",NA(),M797))</f>
        <v>0</v>
      </c>
      <c r="T80">
        <f>IF(Charts!$B$3="none",H797,IF(N797="",NA(),N797))</f>
        <v>0</v>
      </c>
    </row>
    <row r="81" spans="4:20">
      <c r="D81">
        <v>77</v>
      </c>
      <c r="E81">
        <f>IF(INDIRECT(ADDRESS($D81+2,E$2+1,,,"Instances"))="","",INDIRECT(ADDRESS($D81+2,E$2+1,,,"Instances")))</f>
        <v>0</v>
      </c>
      <c r="F81">
        <f>IFERROR(SMALL(E5:E146,ROW()-ROW($F$5)+1),"")</f>
        <v>0</v>
      </c>
      <c r="H81">
        <f>IFERROR(SUM(F5:F81),"")</f>
        <v>0</v>
      </c>
      <c r="J81">
        <v>77</v>
      </c>
      <c r="K81" cm="1">
        <f t="array" ref="K81">_xlfn.SWITCH(Charts!$B$3,"average", AVERAGE(INDIRECT(ADDRESS(76+3,K$2+1,,,"Instances") &amp; ":" &amp; ADDRESS(76+3,K$2+1))),"median", MEDIAN(INDIRECT(ADDRESS(76+3,K$2+1,,,"Instances") &amp; ":" &amp; ADDRESS(76+3,K$2+1))),"min", MIN(INDIRECT(ADDRESS(76+3,K$2+1,,,"Instances") &amp; ":" &amp; ADDRESS(76+3,K$2+1))),"max", MAX(INDIRECT(ADDRESS(76+3,K$2+1,,,"Instances") &amp; ":" &amp; ADDRESS(76+3,K$2+1))),"diff", MAX(INDIRECT(ADDRESS(76+3,K$2+1,,,"Instances") &amp; ":" &amp; ADDRESS(76+3,K$2+1)))-MIN(INDIRECT(ADDRESS(76+3,K$2+1,,,"Instances") &amp; ":" &amp; ADDRESS(76+3,K$2+1))))</f>
        <v>0</v>
      </c>
      <c r="L81">
        <f>IFERROR(SMALL(K5:K146,ROW()-ROW($L$5)+1),"")</f>
        <v>0</v>
      </c>
      <c r="N81">
        <f>IFERROR(SUM(L5:L81),"")</f>
        <v>0</v>
      </c>
      <c r="Q81">
        <f>IF(Charts!$B$3="none",E798,IF(K798="",NA(),K798))</f>
        <v>0</v>
      </c>
      <c r="R81">
        <f>IF(Charts!$B$3="none",F798,IF(L798="",NA(),L798))</f>
        <v>0</v>
      </c>
      <c r="S81">
        <f>IF(Charts!$B$3="none",G798,IF(M798="",NA(),M798))</f>
        <v>0</v>
      </c>
      <c r="T81">
        <f>IF(Charts!$B$3="none",H798,IF(N798="",NA(),N798))</f>
        <v>0</v>
      </c>
    </row>
    <row r="82" spans="4:20">
      <c r="D82">
        <v>78</v>
      </c>
      <c r="E82">
        <f>IF(INDIRECT(ADDRESS($D82+2,E$2+1,,,"Instances"))="","",INDIRECT(ADDRESS($D82+2,E$2+1,,,"Instances")))</f>
        <v>0</v>
      </c>
      <c r="F82">
        <f>IFERROR(SMALL(E5:E146,ROW()-ROW($F$5)+1),"")</f>
        <v>0</v>
      </c>
      <c r="H82">
        <f>IFERROR(SUM(F5:F82),"")</f>
        <v>0</v>
      </c>
      <c r="J82">
        <v>78</v>
      </c>
      <c r="K82" cm="1">
        <f t="array" ref="K82">_xlfn.SWITCH(Charts!$B$3,"average", AVERAGE(INDIRECT(ADDRESS(77+3,K$2+1,,,"Instances") &amp; ":" &amp; ADDRESS(77+3,K$2+1))),"median", MEDIAN(INDIRECT(ADDRESS(77+3,K$2+1,,,"Instances") &amp; ":" &amp; ADDRESS(77+3,K$2+1))),"min", MIN(INDIRECT(ADDRESS(77+3,K$2+1,,,"Instances") &amp; ":" &amp; ADDRESS(77+3,K$2+1))),"max", MAX(INDIRECT(ADDRESS(77+3,K$2+1,,,"Instances") &amp; ":" &amp; ADDRESS(77+3,K$2+1))),"diff", MAX(INDIRECT(ADDRESS(77+3,K$2+1,,,"Instances") &amp; ":" &amp; ADDRESS(77+3,K$2+1)))-MIN(INDIRECT(ADDRESS(77+3,K$2+1,,,"Instances") &amp; ":" &amp; ADDRESS(77+3,K$2+1))))</f>
        <v>0</v>
      </c>
      <c r="L82">
        <f>IFERROR(SMALL(K5:K146,ROW()-ROW($L$5)+1),"")</f>
        <v>0</v>
      </c>
      <c r="N82">
        <f>IFERROR(SUM(L5:L82),"")</f>
        <v>0</v>
      </c>
      <c r="Q82">
        <f>IF(Charts!$B$3="none",E799,IF(K799="",NA(),K799))</f>
        <v>0</v>
      </c>
      <c r="R82">
        <f>IF(Charts!$B$3="none",F799,IF(L799="",NA(),L799))</f>
        <v>0</v>
      </c>
      <c r="S82">
        <f>IF(Charts!$B$3="none",G799,IF(M799="",NA(),M799))</f>
        <v>0</v>
      </c>
      <c r="T82">
        <f>IF(Charts!$B$3="none",H799,IF(N799="",NA(),N799))</f>
        <v>0</v>
      </c>
    </row>
    <row r="83" spans="4:20">
      <c r="D83">
        <v>79</v>
      </c>
      <c r="E83">
        <f>IF(INDIRECT(ADDRESS($D83+2,E$2+1,,,"Instances"))="","",INDIRECT(ADDRESS($D83+2,E$2+1,,,"Instances")))</f>
        <v>0</v>
      </c>
      <c r="F83">
        <f>IFERROR(SMALL(E5:E146,ROW()-ROW($F$5)+1),"")</f>
        <v>0</v>
      </c>
      <c r="H83">
        <f>IFERROR(SUM(F5:F83),"")</f>
        <v>0</v>
      </c>
      <c r="J83">
        <v>79</v>
      </c>
      <c r="K83" cm="1">
        <f t="array" ref="K83">_xlfn.SWITCH(Charts!$B$3,"average", AVERAGE(INDIRECT(ADDRESS(78+3,K$2+1,,,"Instances") &amp; ":" &amp; ADDRESS(78+3,K$2+1))),"median", MEDIAN(INDIRECT(ADDRESS(78+3,K$2+1,,,"Instances") &amp; ":" &amp; ADDRESS(78+3,K$2+1))),"min", MIN(INDIRECT(ADDRESS(78+3,K$2+1,,,"Instances") &amp; ":" &amp; ADDRESS(78+3,K$2+1))),"max", MAX(INDIRECT(ADDRESS(78+3,K$2+1,,,"Instances") &amp; ":" &amp; ADDRESS(78+3,K$2+1))),"diff", MAX(INDIRECT(ADDRESS(78+3,K$2+1,,,"Instances") &amp; ":" &amp; ADDRESS(78+3,K$2+1)))-MIN(INDIRECT(ADDRESS(78+3,K$2+1,,,"Instances") &amp; ":" &amp; ADDRESS(78+3,K$2+1))))</f>
        <v>0</v>
      </c>
      <c r="L83">
        <f>IFERROR(SMALL(K5:K146,ROW()-ROW($L$5)+1),"")</f>
        <v>0</v>
      </c>
      <c r="N83">
        <f>IFERROR(SUM(L5:L83),"")</f>
        <v>0</v>
      </c>
      <c r="Q83">
        <f>IF(Charts!$B$3="none",E800,IF(K800="",NA(),K800))</f>
        <v>0</v>
      </c>
      <c r="R83">
        <f>IF(Charts!$B$3="none",F800,IF(L800="",NA(),L800))</f>
        <v>0</v>
      </c>
      <c r="S83">
        <f>IF(Charts!$B$3="none",G800,IF(M800="",NA(),M800))</f>
        <v>0</v>
      </c>
      <c r="T83">
        <f>IF(Charts!$B$3="none",H800,IF(N800="",NA(),N800))</f>
        <v>0</v>
      </c>
    </row>
    <row r="84" spans="4:20">
      <c r="D84">
        <v>80</v>
      </c>
      <c r="E84">
        <f>IF(INDIRECT(ADDRESS($D84+2,E$2+1,,,"Instances"))="","",INDIRECT(ADDRESS($D84+2,E$2+1,,,"Instances")))</f>
        <v>0</v>
      </c>
      <c r="F84">
        <f>IFERROR(SMALL(E5:E146,ROW()-ROW($F$5)+1),"")</f>
        <v>0</v>
      </c>
      <c r="H84">
        <f>IFERROR(SUM(F5:F84),"")</f>
        <v>0</v>
      </c>
      <c r="J84">
        <v>80</v>
      </c>
      <c r="K84" cm="1">
        <f t="array" ref="K84">_xlfn.SWITCH(Charts!$B$3,"average", AVERAGE(INDIRECT(ADDRESS(79+3,K$2+1,,,"Instances") &amp; ":" &amp; ADDRESS(79+3,K$2+1))),"median", MEDIAN(INDIRECT(ADDRESS(79+3,K$2+1,,,"Instances") &amp; ":" &amp; ADDRESS(79+3,K$2+1))),"min", MIN(INDIRECT(ADDRESS(79+3,K$2+1,,,"Instances") &amp; ":" &amp; ADDRESS(79+3,K$2+1))),"max", MAX(INDIRECT(ADDRESS(79+3,K$2+1,,,"Instances") &amp; ":" &amp; ADDRESS(79+3,K$2+1))),"diff", MAX(INDIRECT(ADDRESS(79+3,K$2+1,,,"Instances") &amp; ":" &amp; ADDRESS(79+3,K$2+1)))-MIN(INDIRECT(ADDRESS(79+3,K$2+1,,,"Instances") &amp; ":" &amp; ADDRESS(79+3,K$2+1))))</f>
        <v>0</v>
      </c>
      <c r="L84">
        <f>IFERROR(SMALL(K5:K146,ROW()-ROW($L$5)+1),"")</f>
        <v>0</v>
      </c>
      <c r="N84">
        <f>IFERROR(SUM(L5:L84),"")</f>
        <v>0</v>
      </c>
      <c r="Q84">
        <f>IF(Charts!$B$3="none",E801,IF(K801="",NA(),K801))</f>
        <v>0</v>
      </c>
      <c r="R84">
        <f>IF(Charts!$B$3="none",F801,IF(L801="",NA(),L801))</f>
        <v>0</v>
      </c>
      <c r="S84">
        <f>IF(Charts!$B$3="none",G801,IF(M801="",NA(),M801))</f>
        <v>0</v>
      </c>
      <c r="T84">
        <f>IF(Charts!$B$3="none",H801,IF(N801="",NA(),N801))</f>
        <v>0</v>
      </c>
    </row>
    <row r="85" spans="4:20">
      <c r="D85">
        <v>81</v>
      </c>
      <c r="E85">
        <f>IF(INDIRECT(ADDRESS($D85+2,E$2+1,,,"Instances"))="","",INDIRECT(ADDRESS($D85+2,E$2+1,,,"Instances")))</f>
        <v>0</v>
      </c>
      <c r="F85">
        <f>IFERROR(SMALL(E5:E146,ROW()-ROW($F$5)+1),"")</f>
        <v>0</v>
      </c>
      <c r="H85">
        <f>IFERROR(SUM(F5:F85),"")</f>
        <v>0</v>
      </c>
      <c r="J85">
        <v>81</v>
      </c>
      <c r="K85" cm="1">
        <f t="array" ref="K85">_xlfn.SWITCH(Charts!$B$3,"average", AVERAGE(INDIRECT(ADDRESS(80+3,K$2+1,,,"Instances") &amp; ":" &amp; ADDRESS(80+3,K$2+1))),"median", MEDIAN(INDIRECT(ADDRESS(80+3,K$2+1,,,"Instances") &amp; ":" &amp; ADDRESS(80+3,K$2+1))),"min", MIN(INDIRECT(ADDRESS(80+3,K$2+1,,,"Instances") &amp; ":" &amp; ADDRESS(80+3,K$2+1))),"max", MAX(INDIRECT(ADDRESS(80+3,K$2+1,,,"Instances") &amp; ":" &amp; ADDRESS(80+3,K$2+1))),"diff", MAX(INDIRECT(ADDRESS(80+3,K$2+1,,,"Instances") &amp; ":" &amp; ADDRESS(80+3,K$2+1)))-MIN(INDIRECT(ADDRESS(80+3,K$2+1,,,"Instances") &amp; ":" &amp; ADDRESS(80+3,K$2+1))))</f>
        <v>0</v>
      </c>
      <c r="L85">
        <f>IFERROR(SMALL(K5:K146,ROW()-ROW($L$5)+1),"")</f>
        <v>0</v>
      </c>
      <c r="N85">
        <f>IFERROR(SUM(L5:L85),"")</f>
        <v>0</v>
      </c>
      <c r="Q85">
        <f>IF(Charts!$B$3="none",E802,IF(K802="",NA(),K802))</f>
        <v>0</v>
      </c>
      <c r="R85">
        <f>IF(Charts!$B$3="none",F802,IF(L802="",NA(),L802))</f>
        <v>0</v>
      </c>
      <c r="S85">
        <f>IF(Charts!$B$3="none",G802,IF(M802="",NA(),M802))</f>
        <v>0</v>
      </c>
      <c r="T85">
        <f>IF(Charts!$B$3="none",H802,IF(N802="",NA(),N802))</f>
        <v>0</v>
      </c>
    </row>
    <row r="86" spans="4:20">
      <c r="D86">
        <v>82</v>
      </c>
      <c r="E86">
        <f>IF(INDIRECT(ADDRESS($D86+2,E$2+1,,,"Instances"))="","",INDIRECT(ADDRESS($D86+2,E$2+1,,,"Instances")))</f>
        <v>0</v>
      </c>
      <c r="F86">
        <f>IFERROR(SMALL(E5:E146,ROW()-ROW($F$5)+1),"")</f>
        <v>0</v>
      </c>
      <c r="H86">
        <f>IFERROR(SUM(F5:F86),"")</f>
        <v>0</v>
      </c>
      <c r="J86">
        <v>82</v>
      </c>
      <c r="K86" cm="1">
        <f t="array" ref="K86">_xlfn.SWITCH(Charts!$B$3,"average", AVERAGE(INDIRECT(ADDRESS(81+3,K$2+1,,,"Instances") &amp; ":" &amp; ADDRESS(81+3,K$2+1))),"median", MEDIAN(INDIRECT(ADDRESS(81+3,K$2+1,,,"Instances") &amp; ":" &amp; ADDRESS(81+3,K$2+1))),"min", MIN(INDIRECT(ADDRESS(81+3,K$2+1,,,"Instances") &amp; ":" &amp; ADDRESS(81+3,K$2+1))),"max", MAX(INDIRECT(ADDRESS(81+3,K$2+1,,,"Instances") &amp; ":" &amp; ADDRESS(81+3,K$2+1))),"diff", MAX(INDIRECT(ADDRESS(81+3,K$2+1,,,"Instances") &amp; ":" &amp; ADDRESS(81+3,K$2+1)))-MIN(INDIRECT(ADDRESS(81+3,K$2+1,,,"Instances") &amp; ":" &amp; ADDRESS(81+3,K$2+1))))</f>
        <v>0</v>
      </c>
      <c r="L86">
        <f>IFERROR(SMALL(K5:K146,ROW()-ROW($L$5)+1),"")</f>
        <v>0</v>
      </c>
      <c r="N86">
        <f>IFERROR(SUM(L5:L86),"")</f>
        <v>0</v>
      </c>
      <c r="Q86">
        <f>IF(Charts!$B$3="none",E803,IF(K803="",NA(),K803))</f>
        <v>0</v>
      </c>
      <c r="R86">
        <f>IF(Charts!$B$3="none",F803,IF(L803="",NA(),L803))</f>
        <v>0</v>
      </c>
      <c r="S86">
        <f>IF(Charts!$B$3="none",G803,IF(M803="",NA(),M803))</f>
        <v>0</v>
      </c>
      <c r="T86">
        <f>IF(Charts!$B$3="none",H803,IF(N803="",NA(),N803))</f>
        <v>0</v>
      </c>
    </row>
    <row r="87" spans="4:20">
      <c r="D87">
        <v>83</v>
      </c>
      <c r="E87">
        <f>IF(INDIRECT(ADDRESS($D87+2,E$2+1,,,"Instances"))="","",INDIRECT(ADDRESS($D87+2,E$2+1,,,"Instances")))</f>
        <v>0</v>
      </c>
      <c r="F87">
        <f>IFERROR(SMALL(E5:E146,ROW()-ROW($F$5)+1),"")</f>
        <v>0</v>
      </c>
      <c r="H87">
        <f>IFERROR(SUM(F5:F87),"")</f>
        <v>0</v>
      </c>
      <c r="J87">
        <v>83</v>
      </c>
      <c r="K87" cm="1">
        <f t="array" ref="K87">_xlfn.SWITCH(Charts!$B$3,"average", AVERAGE(INDIRECT(ADDRESS(82+3,K$2+1,,,"Instances") &amp; ":" &amp; ADDRESS(82+3,K$2+1))),"median", MEDIAN(INDIRECT(ADDRESS(82+3,K$2+1,,,"Instances") &amp; ":" &amp; ADDRESS(82+3,K$2+1))),"min", MIN(INDIRECT(ADDRESS(82+3,K$2+1,,,"Instances") &amp; ":" &amp; ADDRESS(82+3,K$2+1))),"max", MAX(INDIRECT(ADDRESS(82+3,K$2+1,,,"Instances") &amp; ":" &amp; ADDRESS(82+3,K$2+1))),"diff", MAX(INDIRECT(ADDRESS(82+3,K$2+1,,,"Instances") &amp; ":" &amp; ADDRESS(82+3,K$2+1)))-MIN(INDIRECT(ADDRESS(82+3,K$2+1,,,"Instances") &amp; ":" &amp; ADDRESS(82+3,K$2+1))))</f>
        <v>0</v>
      </c>
      <c r="L87">
        <f>IFERROR(SMALL(K5:K146,ROW()-ROW($L$5)+1),"")</f>
        <v>0</v>
      </c>
      <c r="N87">
        <f>IFERROR(SUM(L5:L87),"")</f>
        <v>0</v>
      </c>
      <c r="Q87">
        <f>IF(Charts!$B$3="none",E804,IF(K804="",NA(),K804))</f>
        <v>0</v>
      </c>
      <c r="R87">
        <f>IF(Charts!$B$3="none",F804,IF(L804="",NA(),L804))</f>
        <v>0</v>
      </c>
      <c r="S87">
        <f>IF(Charts!$B$3="none",G804,IF(M804="",NA(),M804))</f>
        <v>0</v>
      </c>
      <c r="T87">
        <f>IF(Charts!$B$3="none",H804,IF(N804="",NA(),N804))</f>
        <v>0</v>
      </c>
    </row>
    <row r="88" spans="4:20">
      <c r="D88">
        <v>84</v>
      </c>
      <c r="E88">
        <f>IF(INDIRECT(ADDRESS($D88+2,E$2+1,,,"Instances"))="","",INDIRECT(ADDRESS($D88+2,E$2+1,,,"Instances")))</f>
        <v>0</v>
      </c>
      <c r="F88">
        <f>IFERROR(SMALL(E5:E146,ROW()-ROW($F$5)+1),"")</f>
        <v>0</v>
      </c>
      <c r="H88">
        <f>IFERROR(SUM(F5:F88),"")</f>
        <v>0</v>
      </c>
      <c r="J88">
        <v>84</v>
      </c>
      <c r="K88" cm="1">
        <f t="array" ref="K88">_xlfn.SWITCH(Charts!$B$3,"average", AVERAGE(INDIRECT(ADDRESS(83+3,K$2+1,,,"Instances") &amp; ":" &amp; ADDRESS(83+3,K$2+1))),"median", MEDIAN(INDIRECT(ADDRESS(83+3,K$2+1,,,"Instances") &amp; ":" &amp; ADDRESS(83+3,K$2+1))),"min", MIN(INDIRECT(ADDRESS(83+3,K$2+1,,,"Instances") &amp; ":" &amp; ADDRESS(83+3,K$2+1))),"max", MAX(INDIRECT(ADDRESS(83+3,K$2+1,,,"Instances") &amp; ":" &amp; ADDRESS(83+3,K$2+1))),"diff", MAX(INDIRECT(ADDRESS(83+3,K$2+1,,,"Instances") &amp; ":" &amp; ADDRESS(83+3,K$2+1)))-MIN(INDIRECT(ADDRESS(83+3,K$2+1,,,"Instances") &amp; ":" &amp; ADDRESS(83+3,K$2+1))))</f>
        <v>0</v>
      </c>
      <c r="L88">
        <f>IFERROR(SMALL(K5:K146,ROW()-ROW($L$5)+1),"")</f>
        <v>0</v>
      </c>
      <c r="N88">
        <f>IFERROR(SUM(L5:L88),"")</f>
        <v>0</v>
      </c>
      <c r="Q88">
        <f>IF(Charts!$B$3="none",E805,IF(K805="",NA(),K805))</f>
        <v>0</v>
      </c>
      <c r="R88">
        <f>IF(Charts!$B$3="none",F805,IF(L805="",NA(),L805))</f>
        <v>0</v>
      </c>
      <c r="S88">
        <f>IF(Charts!$B$3="none",G805,IF(M805="",NA(),M805))</f>
        <v>0</v>
      </c>
      <c r="T88">
        <f>IF(Charts!$B$3="none",H805,IF(N805="",NA(),N805))</f>
        <v>0</v>
      </c>
    </row>
    <row r="89" spans="4:20">
      <c r="D89">
        <v>85</v>
      </c>
      <c r="E89">
        <f>IF(INDIRECT(ADDRESS($D89+2,E$2+1,,,"Instances"))="","",INDIRECT(ADDRESS($D89+2,E$2+1,,,"Instances")))</f>
        <v>0</v>
      </c>
      <c r="F89">
        <f>IFERROR(SMALL(E5:E146,ROW()-ROW($F$5)+1),"")</f>
        <v>0</v>
      </c>
      <c r="H89">
        <f>IFERROR(SUM(F5:F89),"")</f>
        <v>0</v>
      </c>
      <c r="J89">
        <v>85</v>
      </c>
      <c r="K89" cm="1">
        <f t="array" ref="K89">_xlfn.SWITCH(Charts!$B$3,"average", AVERAGE(INDIRECT(ADDRESS(84+3,K$2+1,,,"Instances") &amp; ":" &amp; ADDRESS(84+3,K$2+1))),"median", MEDIAN(INDIRECT(ADDRESS(84+3,K$2+1,,,"Instances") &amp; ":" &amp; ADDRESS(84+3,K$2+1))),"min", MIN(INDIRECT(ADDRESS(84+3,K$2+1,,,"Instances") &amp; ":" &amp; ADDRESS(84+3,K$2+1))),"max", MAX(INDIRECT(ADDRESS(84+3,K$2+1,,,"Instances") &amp; ":" &amp; ADDRESS(84+3,K$2+1))),"diff", MAX(INDIRECT(ADDRESS(84+3,K$2+1,,,"Instances") &amp; ":" &amp; ADDRESS(84+3,K$2+1)))-MIN(INDIRECT(ADDRESS(84+3,K$2+1,,,"Instances") &amp; ":" &amp; ADDRESS(84+3,K$2+1))))</f>
        <v>0</v>
      </c>
      <c r="L89">
        <f>IFERROR(SMALL(K5:K146,ROW()-ROW($L$5)+1),"")</f>
        <v>0</v>
      </c>
      <c r="N89">
        <f>IFERROR(SUM(L5:L89),"")</f>
        <v>0</v>
      </c>
      <c r="Q89">
        <f>IF(Charts!$B$3="none",E806,IF(K806="",NA(),K806))</f>
        <v>0</v>
      </c>
      <c r="R89">
        <f>IF(Charts!$B$3="none",F806,IF(L806="",NA(),L806))</f>
        <v>0</v>
      </c>
      <c r="S89">
        <f>IF(Charts!$B$3="none",G806,IF(M806="",NA(),M806))</f>
        <v>0</v>
      </c>
      <c r="T89">
        <f>IF(Charts!$B$3="none",H806,IF(N806="",NA(),N806))</f>
        <v>0</v>
      </c>
    </row>
    <row r="90" spans="4:20">
      <c r="D90">
        <v>86</v>
      </c>
      <c r="E90">
        <f>IF(INDIRECT(ADDRESS($D90+2,E$2+1,,,"Instances"))="","",INDIRECT(ADDRESS($D90+2,E$2+1,,,"Instances")))</f>
        <v>0</v>
      </c>
      <c r="F90">
        <f>IFERROR(SMALL(E5:E146,ROW()-ROW($F$5)+1),"")</f>
        <v>0</v>
      </c>
      <c r="H90">
        <f>IFERROR(SUM(F5:F90),"")</f>
        <v>0</v>
      </c>
      <c r="J90">
        <v>86</v>
      </c>
      <c r="K90" cm="1">
        <f t="array" ref="K90">_xlfn.SWITCH(Charts!$B$3,"average", AVERAGE(INDIRECT(ADDRESS(85+3,K$2+1,,,"Instances") &amp; ":" &amp; ADDRESS(85+3,K$2+1))),"median", MEDIAN(INDIRECT(ADDRESS(85+3,K$2+1,,,"Instances") &amp; ":" &amp; ADDRESS(85+3,K$2+1))),"min", MIN(INDIRECT(ADDRESS(85+3,K$2+1,,,"Instances") &amp; ":" &amp; ADDRESS(85+3,K$2+1))),"max", MAX(INDIRECT(ADDRESS(85+3,K$2+1,,,"Instances") &amp; ":" &amp; ADDRESS(85+3,K$2+1))),"diff", MAX(INDIRECT(ADDRESS(85+3,K$2+1,,,"Instances") &amp; ":" &amp; ADDRESS(85+3,K$2+1)))-MIN(INDIRECT(ADDRESS(85+3,K$2+1,,,"Instances") &amp; ":" &amp; ADDRESS(85+3,K$2+1))))</f>
        <v>0</v>
      </c>
      <c r="L90">
        <f>IFERROR(SMALL(K5:K146,ROW()-ROW($L$5)+1),"")</f>
        <v>0</v>
      </c>
      <c r="N90">
        <f>IFERROR(SUM(L5:L90),"")</f>
        <v>0</v>
      </c>
      <c r="Q90">
        <f>IF(Charts!$B$3="none",E807,IF(K807="",NA(),K807))</f>
        <v>0</v>
      </c>
      <c r="R90">
        <f>IF(Charts!$B$3="none",F807,IF(L807="",NA(),L807))</f>
        <v>0</v>
      </c>
      <c r="S90">
        <f>IF(Charts!$B$3="none",G807,IF(M807="",NA(),M807))</f>
        <v>0</v>
      </c>
      <c r="T90">
        <f>IF(Charts!$B$3="none",H807,IF(N807="",NA(),N807))</f>
        <v>0</v>
      </c>
    </row>
    <row r="91" spans="4:20">
      <c r="D91">
        <v>87</v>
      </c>
      <c r="E91">
        <f>IF(INDIRECT(ADDRESS($D91+2,E$2+1,,,"Instances"))="","",INDIRECT(ADDRESS($D91+2,E$2+1,,,"Instances")))</f>
        <v>0</v>
      </c>
      <c r="F91">
        <f>IFERROR(SMALL(E5:E146,ROW()-ROW($F$5)+1),"")</f>
        <v>0</v>
      </c>
      <c r="H91">
        <f>IFERROR(SUM(F5:F91),"")</f>
        <v>0</v>
      </c>
      <c r="J91">
        <v>87</v>
      </c>
      <c r="K91" cm="1">
        <f t="array" ref="K91">_xlfn.SWITCH(Charts!$B$3,"average", AVERAGE(INDIRECT(ADDRESS(86+3,K$2+1,,,"Instances") &amp; ":" &amp; ADDRESS(86+3,K$2+1))),"median", MEDIAN(INDIRECT(ADDRESS(86+3,K$2+1,,,"Instances") &amp; ":" &amp; ADDRESS(86+3,K$2+1))),"min", MIN(INDIRECT(ADDRESS(86+3,K$2+1,,,"Instances") &amp; ":" &amp; ADDRESS(86+3,K$2+1))),"max", MAX(INDIRECT(ADDRESS(86+3,K$2+1,,,"Instances") &amp; ":" &amp; ADDRESS(86+3,K$2+1))),"diff", MAX(INDIRECT(ADDRESS(86+3,K$2+1,,,"Instances") &amp; ":" &amp; ADDRESS(86+3,K$2+1)))-MIN(INDIRECT(ADDRESS(86+3,K$2+1,,,"Instances") &amp; ":" &amp; ADDRESS(86+3,K$2+1))))</f>
        <v>0</v>
      </c>
      <c r="L91">
        <f>IFERROR(SMALL(K5:K146,ROW()-ROW($L$5)+1),"")</f>
        <v>0</v>
      </c>
      <c r="N91">
        <f>IFERROR(SUM(L5:L91),"")</f>
        <v>0</v>
      </c>
      <c r="Q91">
        <f>IF(Charts!$B$3="none",E808,IF(K808="",NA(),K808))</f>
        <v>0</v>
      </c>
      <c r="R91">
        <f>IF(Charts!$B$3="none",F808,IF(L808="",NA(),L808))</f>
        <v>0</v>
      </c>
      <c r="S91">
        <f>IF(Charts!$B$3="none",G808,IF(M808="",NA(),M808))</f>
        <v>0</v>
      </c>
      <c r="T91">
        <f>IF(Charts!$B$3="none",H808,IF(N808="",NA(),N808))</f>
        <v>0</v>
      </c>
    </row>
    <row r="92" spans="4:20">
      <c r="D92">
        <v>88</v>
      </c>
      <c r="E92">
        <f>IF(INDIRECT(ADDRESS($D92+2,E$2+1,,,"Instances"))="","",INDIRECT(ADDRESS($D92+2,E$2+1,,,"Instances")))</f>
        <v>0</v>
      </c>
      <c r="F92">
        <f>IFERROR(SMALL(E5:E146,ROW()-ROW($F$5)+1),"")</f>
        <v>0</v>
      </c>
      <c r="H92">
        <f>IFERROR(SUM(F5:F92),"")</f>
        <v>0</v>
      </c>
      <c r="J92">
        <v>88</v>
      </c>
      <c r="K92" cm="1">
        <f t="array" ref="K92">_xlfn.SWITCH(Charts!$B$3,"average", AVERAGE(INDIRECT(ADDRESS(87+3,K$2+1,,,"Instances") &amp; ":" &amp; ADDRESS(87+3,K$2+1))),"median", MEDIAN(INDIRECT(ADDRESS(87+3,K$2+1,,,"Instances") &amp; ":" &amp; ADDRESS(87+3,K$2+1))),"min", MIN(INDIRECT(ADDRESS(87+3,K$2+1,,,"Instances") &amp; ":" &amp; ADDRESS(87+3,K$2+1))),"max", MAX(INDIRECT(ADDRESS(87+3,K$2+1,,,"Instances") &amp; ":" &amp; ADDRESS(87+3,K$2+1))),"diff", MAX(INDIRECT(ADDRESS(87+3,K$2+1,,,"Instances") &amp; ":" &amp; ADDRESS(87+3,K$2+1)))-MIN(INDIRECT(ADDRESS(87+3,K$2+1,,,"Instances") &amp; ":" &amp; ADDRESS(87+3,K$2+1))))</f>
        <v>0</v>
      </c>
      <c r="L92">
        <f>IFERROR(SMALL(K5:K146,ROW()-ROW($L$5)+1),"")</f>
        <v>0</v>
      </c>
      <c r="N92">
        <f>IFERROR(SUM(L5:L92),"")</f>
        <v>0</v>
      </c>
      <c r="Q92">
        <f>IF(Charts!$B$3="none",E809,IF(K809="",NA(),K809))</f>
        <v>0</v>
      </c>
      <c r="R92">
        <f>IF(Charts!$B$3="none",F809,IF(L809="",NA(),L809))</f>
        <v>0</v>
      </c>
      <c r="S92">
        <f>IF(Charts!$B$3="none",G809,IF(M809="",NA(),M809))</f>
        <v>0</v>
      </c>
      <c r="T92">
        <f>IF(Charts!$B$3="none",H809,IF(N809="",NA(),N809))</f>
        <v>0</v>
      </c>
    </row>
    <row r="93" spans="4:20">
      <c r="D93">
        <v>89</v>
      </c>
      <c r="E93">
        <f>IF(INDIRECT(ADDRESS($D93+2,E$2+1,,,"Instances"))="","",INDIRECT(ADDRESS($D93+2,E$2+1,,,"Instances")))</f>
        <v>0</v>
      </c>
      <c r="F93">
        <f>IFERROR(SMALL(E5:E146,ROW()-ROW($F$5)+1),"")</f>
        <v>0</v>
      </c>
      <c r="H93">
        <f>IFERROR(SUM(F5:F93),"")</f>
        <v>0</v>
      </c>
      <c r="J93">
        <v>89</v>
      </c>
      <c r="K93" cm="1">
        <f t="array" ref="K93">_xlfn.SWITCH(Charts!$B$3,"average", AVERAGE(INDIRECT(ADDRESS(88+3,K$2+1,,,"Instances") &amp; ":" &amp; ADDRESS(88+3,K$2+1))),"median", MEDIAN(INDIRECT(ADDRESS(88+3,K$2+1,,,"Instances") &amp; ":" &amp; ADDRESS(88+3,K$2+1))),"min", MIN(INDIRECT(ADDRESS(88+3,K$2+1,,,"Instances") &amp; ":" &amp; ADDRESS(88+3,K$2+1))),"max", MAX(INDIRECT(ADDRESS(88+3,K$2+1,,,"Instances") &amp; ":" &amp; ADDRESS(88+3,K$2+1))),"diff", MAX(INDIRECT(ADDRESS(88+3,K$2+1,,,"Instances") &amp; ":" &amp; ADDRESS(88+3,K$2+1)))-MIN(INDIRECT(ADDRESS(88+3,K$2+1,,,"Instances") &amp; ":" &amp; ADDRESS(88+3,K$2+1))))</f>
        <v>0</v>
      </c>
      <c r="L93">
        <f>IFERROR(SMALL(K5:K146,ROW()-ROW($L$5)+1),"")</f>
        <v>0</v>
      </c>
      <c r="N93">
        <f>IFERROR(SUM(L5:L93),"")</f>
        <v>0</v>
      </c>
      <c r="Q93">
        <f>IF(Charts!$B$3="none",E810,IF(K810="",NA(),K810))</f>
        <v>0</v>
      </c>
      <c r="R93">
        <f>IF(Charts!$B$3="none",F810,IF(L810="",NA(),L810))</f>
        <v>0</v>
      </c>
      <c r="S93">
        <f>IF(Charts!$B$3="none",G810,IF(M810="",NA(),M810))</f>
        <v>0</v>
      </c>
      <c r="T93">
        <f>IF(Charts!$B$3="none",H810,IF(N810="",NA(),N810))</f>
        <v>0</v>
      </c>
    </row>
    <row r="94" spans="4:20">
      <c r="D94">
        <v>90</v>
      </c>
      <c r="E94">
        <f>IF(INDIRECT(ADDRESS($D94+2,E$2+1,,,"Instances"))="","",INDIRECT(ADDRESS($D94+2,E$2+1,,,"Instances")))</f>
        <v>0</v>
      </c>
      <c r="F94">
        <f>IFERROR(SMALL(E5:E146,ROW()-ROW($F$5)+1),"")</f>
        <v>0</v>
      </c>
      <c r="H94">
        <f>IFERROR(SUM(F5:F94),"")</f>
        <v>0</v>
      </c>
      <c r="J94">
        <v>90</v>
      </c>
      <c r="K94" cm="1">
        <f t="array" ref="K94">_xlfn.SWITCH(Charts!$B$3,"average", AVERAGE(INDIRECT(ADDRESS(89+3,K$2+1,,,"Instances") &amp; ":" &amp; ADDRESS(89+3,K$2+1))),"median", MEDIAN(INDIRECT(ADDRESS(89+3,K$2+1,,,"Instances") &amp; ":" &amp; ADDRESS(89+3,K$2+1))),"min", MIN(INDIRECT(ADDRESS(89+3,K$2+1,,,"Instances") &amp; ":" &amp; ADDRESS(89+3,K$2+1))),"max", MAX(INDIRECT(ADDRESS(89+3,K$2+1,,,"Instances") &amp; ":" &amp; ADDRESS(89+3,K$2+1))),"diff", MAX(INDIRECT(ADDRESS(89+3,K$2+1,,,"Instances") &amp; ":" &amp; ADDRESS(89+3,K$2+1)))-MIN(INDIRECT(ADDRESS(89+3,K$2+1,,,"Instances") &amp; ":" &amp; ADDRESS(89+3,K$2+1))))</f>
        <v>0</v>
      </c>
      <c r="L94">
        <f>IFERROR(SMALL(K5:K146,ROW()-ROW($L$5)+1),"")</f>
        <v>0</v>
      </c>
      <c r="N94">
        <f>IFERROR(SUM(L5:L94),"")</f>
        <v>0</v>
      </c>
      <c r="Q94">
        <f>IF(Charts!$B$3="none",E811,IF(K811="",NA(),K811))</f>
        <v>0</v>
      </c>
      <c r="R94">
        <f>IF(Charts!$B$3="none",F811,IF(L811="",NA(),L811))</f>
        <v>0</v>
      </c>
      <c r="S94">
        <f>IF(Charts!$B$3="none",G811,IF(M811="",NA(),M811))</f>
        <v>0</v>
      </c>
      <c r="T94">
        <f>IF(Charts!$B$3="none",H811,IF(N811="",NA(),N811))</f>
        <v>0</v>
      </c>
    </row>
    <row r="95" spans="4:20">
      <c r="D95">
        <v>91</v>
      </c>
      <c r="E95">
        <f>IF(INDIRECT(ADDRESS($D95+2,E$2+1,,,"Instances"))="","",INDIRECT(ADDRESS($D95+2,E$2+1,,,"Instances")))</f>
        <v>0</v>
      </c>
      <c r="F95">
        <f>IFERROR(SMALL(E5:E146,ROW()-ROW($F$5)+1),"")</f>
        <v>0</v>
      </c>
      <c r="H95">
        <f>IFERROR(SUM(F5:F95),"")</f>
        <v>0</v>
      </c>
      <c r="J95">
        <v>91</v>
      </c>
      <c r="K95" cm="1">
        <f t="array" ref="K95">_xlfn.SWITCH(Charts!$B$3,"average", AVERAGE(INDIRECT(ADDRESS(90+3,K$2+1,,,"Instances") &amp; ":" &amp; ADDRESS(90+3,K$2+1))),"median", MEDIAN(INDIRECT(ADDRESS(90+3,K$2+1,,,"Instances") &amp; ":" &amp; ADDRESS(90+3,K$2+1))),"min", MIN(INDIRECT(ADDRESS(90+3,K$2+1,,,"Instances") &amp; ":" &amp; ADDRESS(90+3,K$2+1))),"max", MAX(INDIRECT(ADDRESS(90+3,K$2+1,,,"Instances") &amp; ":" &amp; ADDRESS(90+3,K$2+1))),"diff", MAX(INDIRECT(ADDRESS(90+3,K$2+1,,,"Instances") &amp; ":" &amp; ADDRESS(90+3,K$2+1)))-MIN(INDIRECT(ADDRESS(90+3,K$2+1,,,"Instances") &amp; ":" &amp; ADDRESS(90+3,K$2+1))))</f>
        <v>0</v>
      </c>
      <c r="L95">
        <f>IFERROR(SMALL(K5:K146,ROW()-ROW($L$5)+1),"")</f>
        <v>0</v>
      </c>
      <c r="N95">
        <f>IFERROR(SUM(L5:L95),"")</f>
        <v>0</v>
      </c>
      <c r="Q95">
        <f>IF(Charts!$B$3="none",E812,IF(K812="",NA(),K812))</f>
        <v>0</v>
      </c>
      <c r="R95">
        <f>IF(Charts!$B$3="none",F812,IF(L812="",NA(),L812))</f>
        <v>0</v>
      </c>
      <c r="S95">
        <f>IF(Charts!$B$3="none",G812,IF(M812="",NA(),M812))</f>
        <v>0</v>
      </c>
      <c r="T95">
        <f>IF(Charts!$B$3="none",H812,IF(N812="",NA(),N812))</f>
        <v>0</v>
      </c>
    </row>
    <row r="96" spans="4:20">
      <c r="D96">
        <v>92</v>
      </c>
      <c r="E96">
        <f>IF(INDIRECT(ADDRESS($D96+2,E$2+1,,,"Instances"))="","",INDIRECT(ADDRESS($D96+2,E$2+1,,,"Instances")))</f>
        <v>0</v>
      </c>
      <c r="F96">
        <f>IFERROR(SMALL(E5:E146,ROW()-ROW($F$5)+1),"")</f>
        <v>0</v>
      </c>
      <c r="H96">
        <f>IFERROR(SUM(F5:F96),"")</f>
        <v>0</v>
      </c>
      <c r="J96">
        <v>92</v>
      </c>
      <c r="K96" cm="1">
        <f t="array" ref="K96">_xlfn.SWITCH(Charts!$B$3,"average", AVERAGE(INDIRECT(ADDRESS(91+3,K$2+1,,,"Instances") &amp; ":" &amp; ADDRESS(91+3,K$2+1))),"median", MEDIAN(INDIRECT(ADDRESS(91+3,K$2+1,,,"Instances") &amp; ":" &amp; ADDRESS(91+3,K$2+1))),"min", MIN(INDIRECT(ADDRESS(91+3,K$2+1,,,"Instances") &amp; ":" &amp; ADDRESS(91+3,K$2+1))),"max", MAX(INDIRECT(ADDRESS(91+3,K$2+1,,,"Instances") &amp; ":" &amp; ADDRESS(91+3,K$2+1))),"diff", MAX(INDIRECT(ADDRESS(91+3,K$2+1,,,"Instances") &amp; ":" &amp; ADDRESS(91+3,K$2+1)))-MIN(INDIRECT(ADDRESS(91+3,K$2+1,,,"Instances") &amp; ":" &amp; ADDRESS(91+3,K$2+1))))</f>
        <v>0</v>
      </c>
      <c r="L96">
        <f>IFERROR(SMALL(K5:K146,ROW()-ROW($L$5)+1),"")</f>
        <v>0</v>
      </c>
      <c r="N96">
        <f>IFERROR(SUM(L5:L96),"")</f>
        <v>0</v>
      </c>
      <c r="Q96">
        <f>IF(Charts!$B$3="none",E813,IF(K813="",NA(),K813))</f>
        <v>0</v>
      </c>
      <c r="R96">
        <f>IF(Charts!$B$3="none",F813,IF(L813="",NA(),L813))</f>
        <v>0</v>
      </c>
      <c r="S96">
        <f>IF(Charts!$B$3="none",G813,IF(M813="",NA(),M813))</f>
        <v>0</v>
      </c>
      <c r="T96">
        <f>IF(Charts!$B$3="none",H813,IF(N813="",NA(),N813))</f>
        <v>0</v>
      </c>
    </row>
    <row r="97" spans="4:20">
      <c r="D97">
        <v>93</v>
      </c>
      <c r="E97">
        <f>IF(INDIRECT(ADDRESS($D97+2,E$2+1,,,"Instances"))="","",INDIRECT(ADDRESS($D97+2,E$2+1,,,"Instances")))</f>
        <v>0</v>
      </c>
      <c r="F97">
        <f>IFERROR(SMALL(E5:E146,ROW()-ROW($F$5)+1),"")</f>
        <v>0</v>
      </c>
      <c r="H97">
        <f>IFERROR(SUM(F5:F97),"")</f>
        <v>0</v>
      </c>
      <c r="J97">
        <v>93</v>
      </c>
      <c r="K97" cm="1">
        <f t="array" ref="K97">_xlfn.SWITCH(Charts!$B$3,"average", AVERAGE(INDIRECT(ADDRESS(92+3,K$2+1,,,"Instances") &amp; ":" &amp; ADDRESS(92+3,K$2+1))),"median", MEDIAN(INDIRECT(ADDRESS(92+3,K$2+1,,,"Instances") &amp; ":" &amp; ADDRESS(92+3,K$2+1))),"min", MIN(INDIRECT(ADDRESS(92+3,K$2+1,,,"Instances") &amp; ":" &amp; ADDRESS(92+3,K$2+1))),"max", MAX(INDIRECT(ADDRESS(92+3,K$2+1,,,"Instances") &amp; ":" &amp; ADDRESS(92+3,K$2+1))),"diff", MAX(INDIRECT(ADDRESS(92+3,K$2+1,,,"Instances") &amp; ":" &amp; ADDRESS(92+3,K$2+1)))-MIN(INDIRECT(ADDRESS(92+3,K$2+1,,,"Instances") &amp; ":" &amp; ADDRESS(92+3,K$2+1))))</f>
        <v>0</v>
      </c>
      <c r="L97">
        <f>IFERROR(SMALL(K5:K146,ROW()-ROW($L$5)+1),"")</f>
        <v>0</v>
      </c>
      <c r="N97">
        <f>IFERROR(SUM(L5:L97),"")</f>
        <v>0</v>
      </c>
      <c r="Q97">
        <f>IF(Charts!$B$3="none",E814,IF(K814="",NA(),K814))</f>
        <v>0</v>
      </c>
      <c r="R97">
        <f>IF(Charts!$B$3="none",F814,IF(L814="",NA(),L814))</f>
        <v>0</v>
      </c>
      <c r="S97">
        <f>IF(Charts!$B$3="none",G814,IF(M814="",NA(),M814))</f>
        <v>0</v>
      </c>
      <c r="T97">
        <f>IF(Charts!$B$3="none",H814,IF(N814="",NA(),N814))</f>
        <v>0</v>
      </c>
    </row>
    <row r="98" spans="4:20">
      <c r="D98">
        <v>94</v>
      </c>
      <c r="E98">
        <f>IF(INDIRECT(ADDRESS($D98+2,E$2+1,,,"Instances"))="","",INDIRECT(ADDRESS($D98+2,E$2+1,,,"Instances")))</f>
        <v>0</v>
      </c>
      <c r="F98">
        <f>IFERROR(SMALL(E5:E146,ROW()-ROW($F$5)+1),"")</f>
        <v>0</v>
      </c>
      <c r="H98">
        <f>IFERROR(SUM(F5:F98),"")</f>
        <v>0</v>
      </c>
      <c r="J98">
        <v>94</v>
      </c>
      <c r="K98" cm="1">
        <f t="array" ref="K98">_xlfn.SWITCH(Charts!$B$3,"average", AVERAGE(INDIRECT(ADDRESS(93+3,K$2+1,,,"Instances") &amp; ":" &amp; ADDRESS(93+3,K$2+1))),"median", MEDIAN(INDIRECT(ADDRESS(93+3,K$2+1,,,"Instances") &amp; ":" &amp; ADDRESS(93+3,K$2+1))),"min", MIN(INDIRECT(ADDRESS(93+3,K$2+1,,,"Instances") &amp; ":" &amp; ADDRESS(93+3,K$2+1))),"max", MAX(INDIRECT(ADDRESS(93+3,K$2+1,,,"Instances") &amp; ":" &amp; ADDRESS(93+3,K$2+1))),"diff", MAX(INDIRECT(ADDRESS(93+3,K$2+1,,,"Instances") &amp; ":" &amp; ADDRESS(93+3,K$2+1)))-MIN(INDIRECT(ADDRESS(93+3,K$2+1,,,"Instances") &amp; ":" &amp; ADDRESS(93+3,K$2+1))))</f>
        <v>0</v>
      </c>
      <c r="L98">
        <f>IFERROR(SMALL(K5:K146,ROW()-ROW($L$5)+1),"")</f>
        <v>0</v>
      </c>
      <c r="N98">
        <f>IFERROR(SUM(L5:L98),"")</f>
        <v>0</v>
      </c>
      <c r="Q98">
        <f>IF(Charts!$B$3="none",E815,IF(K815="",NA(),K815))</f>
        <v>0</v>
      </c>
      <c r="R98">
        <f>IF(Charts!$B$3="none",F815,IF(L815="",NA(),L815))</f>
        <v>0</v>
      </c>
      <c r="S98">
        <f>IF(Charts!$B$3="none",G815,IF(M815="",NA(),M815))</f>
        <v>0</v>
      </c>
      <c r="T98">
        <f>IF(Charts!$B$3="none",H815,IF(N815="",NA(),N815))</f>
        <v>0</v>
      </c>
    </row>
    <row r="99" spans="4:20">
      <c r="D99">
        <v>95</v>
      </c>
      <c r="E99">
        <f>IF(INDIRECT(ADDRESS($D99+2,E$2+1,,,"Instances"))="","",INDIRECT(ADDRESS($D99+2,E$2+1,,,"Instances")))</f>
        <v>0</v>
      </c>
      <c r="F99">
        <f>IFERROR(SMALL(E5:E146,ROW()-ROW($F$5)+1),"")</f>
        <v>0</v>
      </c>
      <c r="H99">
        <f>IFERROR(SUM(F5:F99),"")</f>
        <v>0</v>
      </c>
      <c r="J99">
        <v>95</v>
      </c>
      <c r="K99" cm="1">
        <f t="array" ref="K99">_xlfn.SWITCH(Charts!$B$3,"average", AVERAGE(INDIRECT(ADDRESS(94+3,K$2+1,,,"Instances") &amp; ":" &amp; ADDRESS(94+3,K$2+1))),"median", MEDIAN(INDIRECT(ADDRESS(94+3,K$2+1,,,"Instances") &amp; ":" &amp; ADDRESS(94+3,K$2+1))),"min", MIN(INDIRECT(ADDRESS(94+3,K$2+1,,,"Instances") &amp; ":" &amp; ADDRESS(94+3,K$2+1))),"max", MAX(INDIRECT(ADDRESS(94+3,K$2+1,,,"Instances") &amp; ":" &amp; ADDRESS(94+3,K$2+1))),"diff", MAX(INDIRECT(ADDRESS(94+3,K$2+1,,,"Instances") &amp; ":" &amp; ADDRESS(94+3,K$2+1)))-MIN(INDIRECT(ADDRESS(94+3,K$2+1,,,"Instances") &amp; ":" &amp; ADDRESS(94+3,K$2+1))))</f>
        <v>0</v>
      </c>
      <c r="L99">
        <f>IFERROR(SMALL(K5:K146,ROW()-ROW($L$5)+1),"")</f>
        <v>0</v>
      </c>
      <c r="N99">
        <f>IFERROR(SUM(L5:L99),"")</f>
        <v>0</v>
      </c>
      <c r="Q99">
        <f>IF(Charts!$B$3="none",E816,IF(K816="",NA(),K816))</f>
        <v>0</v>
      </c>
      <c r="R99">
        <f>IF(Charts!$B$3="none",F816,IF(L816="",NA(),L816))</f>
        <v>0</v>
      </c>
      <c r="S99">
        <f>IF(Charts!$B$3="none",G816,IF(M816="",NA(),M816))</f>
        <v>0</v>
      </c>
      <c r="T99">
        <f>IF(Charts!$B$3="none",H816,IF(N816="",NA(),N816))</f>
        <v>0</v>
      </c>
    </row>
    <row r="100" spans="4:20">
      <c r="D100">
        <v>96</v>
      </c>
      <c r="E100">
        <f>IF(INDIRECT(ADDRESS($D100+2,E$2+1,,,"Instances"))="","",INDIRECT(ADDRESS($D100+2,E$2+1,,,"Instances")))</f>
        <v>0</v>
      </c>
      <c r="F100">
        <f>IFERROR(SMALL(E5:E146,ROW()-ROW($F$5)+1),"")</f>
        <v>0</v>
      </c>
      <c r="H100">
        <f>IFERROR(SUM(F5:F100),"")</f>
        <v>0</v>
      </c>
      <c r="J100">
        <v>96</v>
      </c>
      <c r="K100" cm="1">
        <f t="array" ref="K100">_xlfn.SWITCH(Charts!$B$3,"average", AVERAGE(INDIRECT(ADDRESS(95+3,K$2+1,,,"Instances") &amp; ":" &amp; ADDRESS(95+3,K$2+1))),"median", MEDIAN(INDIRECT(ADDRESS(95+3,K$2+1,,,"Instances") &amp; ":" &amp; ADDRESS(95+3,K$2+1))),"min", MIN(INDIRECT(ADDRESS(95+3,K$2+1,,,"Instances") &amp; ":" &amp; ADDRESS(95+3,K$2+1))),"max", MAX(INDIRECT(ADDRESS(95+3,K$2+1,,,"Instances") &amp; ":" &amp; ADDRESS(95+3,K$2+1))),"diff", MAX(INDIRECT(ADDRESS(95+3,K$2+1,,,"Instances") &amp; ":" &amp; ADDRESS(95+3,K$2+1)))-MIN(INDIRECT(ADDRESS(95+3,K$2+1,,,"Instances") &amp; ":" &amp; ADDRESS(95+3,K$2+1))))</f>
        <v>0</v>
      </c>
      <c r="L100">
        <f>IFERROR(SMALL(K5:K146,ROW()-ROW($L$5)+1),"")</f>
        <v>0</v>
      </c>
      <c r="N100">
        <f>IFERROR(SUM(L5:L100),"")</f>
        <v>0</v>
      </c>
      <c r="Q100">
        <f>IF(Charts!$B$3="none",E817,IF(K817="",NA(),K817))</f>
        <v>0</v>
      </c>
      <c r="R100">
        <f>IF(Charts!$B$3="none",F817,IF(L817="",NA(),L817))</f>
        <v>0</v>
      </c>
      <c r="S100">
        <f>IF(Charts!$B$3="none",G817,IF(M817="",NA(),M817))</f>
        <v>0</v>
      </c>
      <c r="T100">
        <f>IF(Charts!$B$3="none",H817,IF(N817="",NA(),N817))</f>
        <v>0</v>
      </c>
    </row>
    <row r="101" spans="4:20">
      <c r="D101">
        <v>97</v>
      </c>
      <c r="E101">
        <f>IF(INDIRECT(ADDRESS($D101+2,E$2+1,,,"Instances"))="","",INDIRECT(ADDRESS($D101+2,E$2+1,,,"Instances")))</f>
        <v>0</v>
      </c>
      <c r="F101">
        <f>IFERROR(SMALL(E5:E146,ROW()-ROW($F$5)+1),"")</f>
        <v>0</v>
      </c>
      <c r="H101">
        <f>IFERROR(SUM(F5:F101),"")</f>
        <v>0</v>
      </c>
      <c r="J101">
        <v>97</v>
      </c>
      <c r="K101" cm="1">
        <f t="array" ref="K101">_xlfn.SWITCH(Charts!$B$3,"average", AVERAGE(INDIRECT(ADDRESS(96+3,K$2+1,,,"Instances") &amp; ":" &amp; ADDRESS(96+3,K$2+1))),"median", MEDIAN(INDIRECT(ADDRESS(96+3,K$2+1,,,"Instances") &amp; ":" &amp; ADDRESS(96+3,K$2+1))),"min", MIN(INDIRECT(ADDRESS(96+3,K$2+1,,,"Instances") &amp; ":" &amp; ADDRESS(96+3,K$2+1))),"max", MAX(INDIRECT(ADDRESS(96+3,K$2+1,,,"Instances") &amp; ":" &amp; ADDRESS(96+3,K$2+1))),"diff", MAX(INDIRECT(ADDRESS(96+3,K$2+1,,,"Instances") &amp; ":" &amp; ADDRESS(96+3,K$2+1)))-MIN(INDIRECT(ADDRESS(96+3,K$2+1,,,"Instances") &amp; ":" &amp; ADDRESS(96+3,K$2+1))))</f>
        <v>0</v>
      </c>
      <c r="L101">
        <f>IFERROR(SMALL(K5:K146,ROW()-ROW($L$5)+1),"")</f>
        <v>0</v>
      </c>
      <c r="N101">
        <f>IFERROR(SUM(L5:L101),"")</f>
        <v>0</v>
      </c>
      <c r="Q101">
        <f>IF(Charts!$B$3="none",E818,IF(K818="",NA(),K818))</f>
        <v>0</v>
      </c>
      <c r="R101">
        <f>IF(Charts!$B$3="none",F818,IF(L818="",NA(),L818))</f>
        <v>0</v>
      </c>
      <c r="S101">
        <f>IF(Charts!$B$3="none",G818,IF(M818="",NA(),M818))</f>
        <v>0</v>
      </c>
      <c r="T101">
        <f>IF(Charts!$B$3="none",H818,IF(N818="",NA(),N818))</f>
        <v>0</v>
      </c>
    </row>
    <row r="102" spans="4:20">
      <c r="D102">
        <v>98</v>
      </c>
      <c r="E102">
        <f>IF(INDIRECT(ADDRESS($D102+2,E$2+1,,,"Instances"))="","",INDIRECT(ADDRESS($D102+2,E$2+1,,,"Instances")))</f>
        <v>0</v>
      </c>
      <c r="F102">
        <f>IFERROR(SMALL(E5:E146,ROW()-ROW($F$5)+1),"")</f>
        <v>0</v>
      </c>
      <c r="H102">
        <f>IFERROR(SUM(F5:F102),"")</f>
        <v>0</v>
      </c>
      <c r="J102">
        <v>98</v>
      </c>
      <c r="K102" cm="1">
        <f t="array" ref="K102">_xlfn.SWITCH(Charts!$B$3,"average", AVERAGE(INDIRECT(ADDRESS(97+3,K$2+1,,,"Instances") &amp; ":" &amp; ADDRESS(97+3,K$2+1))),"median", MEDIAN(INDIRECT(ADDRESS(97+3,K$2+1,,,"Instances") &amp; ":" &amp; ADDRESS(97+3,K$2+1))),"min", MIN(INDIRECT(ADDRESS(97+3,K$2+1,,,"Instances") &amp; ":" &amp; ADDRESS(97+3,K$2+1))),"max", MAX(INDIRECT(ADDRESS(97+3,K$2+1,,,"Instances") &amp; ":" &amp; ADDRESS(97+3,K$2+1))),"diff", MAX(INDIRECT(ADDRESS(97+3,K$2+1,,,"Instances") &amp; ":" &amp; ADDRESS(97+3,K$2+1)))-MIN(INDIRECT(ADDRESS(97+3,K$2+1,,,"Instances") &amp; ":" &amp; ADDRESS(97+3,K$2+1))))</f>
        <v>0</v>
      </c>
      <c r="L102">
        <f>IFERROR(SMALL(K5:K146,ROW()-ROW($L$5)+1),"")</f>
        <v>0</v>
      </c>
      <c r="N102">
        <f>IFERROR(SUM(L5:L102),"")</f>
        <v>0</v>
      </c>
      <c r="Q102">
        <f>IF(Charts!$B$3="none",E819,IF(K819="",NA(),K819))</f>
        <v>0</v>
      </c>
      <c r="R102">
        <f>IF(Charts!$B$3="none",F819,IF(L819="",NA(),L819))</f>
        <v>0</v>
      </c>
      <c r="S102">
        <f>IF(Charts!$B$3="none",G819,IF(M819="",NA(),M819))</f>
        <v>0</v>
      </c>
      <c r="T102">
        <f>IF(Charts!$B$3="none",H819,IF(N819="",NA(),N819))</f>
        <v>0</v>
      </c>
    </row>
    <row r="103" spans="4:20">
      <c r="D103">
        <v>99</v>
      </c>
      <c r="E103">
        <f>IF(INDIRECT(ADDRESS($D103+2,E$2+1,,,"Instances"))="","",INDIRECT(ADDRESS($D103+2,E$2+1,,,"Instances")))</f>
        <v>0</v>
      </c>
      <c r="F103">
        <f>IFERROR(SMALL(E5:E146,ROW()-ROW($F$5)+1),"")</f>
        <v>0</v>
      </c>
      <c r="H103">
        <f>IFERROR(SUM(F5:F103),"")</f>
        <v>0</v>
      </c>
      <c r="J103">
        <v>99</v>
      </c>
      <c r="K103" cm="1">
        <f t="array" ref="K103">_xlfn.SWITCH(Charts!$B$3,"average", AVERAGE(INDIRECT(ADDRESS(98+3,K$2+1,,,"Instances") &amp; ":" &amp; ADDRESS(98+3,K$2+1))),"median", MEDIAN(INDIRECT(ADDRESS(98+3,K$2+1,,,"Instances") &amp; ":" &amp; ADDRESS(98+3,K$2+1))),"min", MIN(INDIRECT(ADDRESS(98+3,K$2+1,,,"Instances") &amp; ":" &amp; ADDRESS(98+3,K$2+1))),"max", MAX(INDIRECT(ADDRESS(98+3,K$2+1,,,"Instances") &amp; ":" &amp; ADDRESS(98+3,K$2+1))),"diff", MAX(INDIRECT(ADDRESS(98+3,K$2+1,,,"Instances") &amp; ":" &amp; ADDRESS(98+3,K$2+1)))-MIN(INDIRECT(ADDRESS(98+3,K$2+1,,,"Instances") &amp; ":" &amp; ADDRESS(98+3,K$2+1))))</f>
        <v>0</v>
      </c>
      <c r="L103">
        <f>IFERROR(SMALL(K5:K146,ROW()-ROW($L$5)+1),"")</f>
        <v>0</v>
      </c>
      <c r="N103">
        <f>IFERROR(SUM(L5:L103),"")</f>
        <v>0</v>
      </c>
      <c r="Q103">
        <f>IF(Charts!$B$3="none",E820,IF(K820="",NA(),K820))</f>
        <v>0</v>
      </c>
      <c r="R103">
        <f>IF(Charts!$B$3="none",F820,IF(L820="",NA(),L820))</f>
        <v>0</v>
      </c>
      <c r="S103">
        <f>IF(Charts!$B$3="none",G820,IF(M820="",NA(),M820))</f>
        <v>0</v>
      </c>
      <c r="T103">
        <f>IF(Charts!$B$3="none",H820,IF(N820="",NA(),N820))</f>
        <v>0</v>
      </c>
    </row>
    <row r="104" spans="4:20">
      <c r="D104">
        <v>100</v>
      </c>
      <c r="E104">
        <f>IF(INDIRECT(ADDRESS($D104+2,E$2+1,,,"Instances"))="","",INDIRECT(ADDRESS($D104+2,E$2+1,,,"Instances")))</f>
        <v>0</v>
      </c>
      <c r="F104">
        <f>IFERROR(SMALL(E5:E146,ROW()-ROW($F$5)+1),"")</f>
        <v>0</v>
      </c>
      <c r="H104">
        <f>IFERROR(SUM(F5:F104),"")</f>
        <v>0</v>
      </c>
      <c r="J104">
        <v>100</v>
      </c>
      <c r="K104" cm="1">
        <f t="array" ref="K104">_xlfn.SWITCH(Charts!$B$3,"average", AVERAGE(INDIRECT(ADDRESS(99+3,K$2+1,,,"Instances") &amp; ":" &amp; ADDRESS(99+3,K$2+1))),"median", MEDIAN(INDIRECT(ADDRESS(99+3,K$2+1,,,"Instances") &amp; ":" &amp; ADDRESS(99+3,K$2+1))),"min", MIN(INDIRECT(ADDRESS(99+3,K$2+1,,,"Instances") &amp; ":" &amp; ADDRESS(99+3,K$2+1))),"max", MAX(INDIRECT(ADDRESS(99+3,K$2+1,,,"Instances") &amp; ":" &amp; ADDRESS(99+3,K$2+1))),"diff", MAX(INDIRECT(ADDRESS(99+3,K$2+1,,,"Instances") &amp; ":" &amp; ADDRESS(99+3,K$2+1)))-MIN(INDIRECT(ADDRESS(99+3,K$2+1,,,"Instances") &amp; ":" &amp; ADDRESS(99+3,K$2+1))))</f>
        <v>0</v>
      </c>
      <c r="L104">
        <f>IFERROR(SMALL(K5:K146,ROW()-ROW($L$5)+1),"")</f>
        <v>0</v>
      </c>
      <c r="N104">
        <f>IFERROR(SUM(L5:L104),"")</f>
        <v>0</v>
      </c>
      <c r="Q104">
        <f>IF(Charts!$B$3="none",E821,IF(K821="",NA(),K821))</f>
        <v>0</v>
      </c>
      <c r="R104">
        <f>IF(Charts!$B$3="none",F821,IF(L821="",NA(),L821))</f>
        <v>0</v>
      </c>
      <c r="S104">
        <f>IF(Charts!$B$3="none",G821,IF(M821="",NA(),M821))</f>
        <v>0</v>
      </c>
      <c r="T104">
        <f>IF(Charts!$B$3="none",H821,IF(N821="",NA(),N821))</f>
        <v>0</v>
      </c>
    </row>
    <row r="105" spans="4:20">
      <c r="D105">
        <v>101</v>
      </c>
      <c r="E105">
        <f>IF(INDIRECT(ADDRESS($D105+2,E$2+1,,,"Instances"))="","",INDIRECT(ADDRESS($D105+2,E$2+1,,,"Instances")))</f>
        <v>0</v>
      </c>
      <c r="F105">
        <f>IFERROR(SMALL(E5:E146,ROW()-ROW($F$5)+1),"")</f>
        <v>0</v>
      </c>
      <c r="H105">
        <f>IFERROR(SUM(F5:F105),"")</f>
        <v>0</v>
      </c>
      <c r="J105">
        <v>101</v>
      </c>
      <c r="K105" cm="1">
        <f t="array" ref="K105">_xlfn.SWITCH(Charts!$B$3,"average", AVERAGE(INDIRECT(ADDRESS(100+3,K$2+1,,,"Instances") &amp; ":" &amp; ADDRESS(100+3,K$2+1))),"median", MEDIAN(INDIRECT(ADDRESS(100+3,K$2+1,,,"Instances") &amp; ":" &amp; ADDRESS(100+3,K$2+1))),"min", MIN(INDIRECT(ADDRESS(100+3,K$2+1,,,"Instances") &amp; ":" &amp; ADDRESS(100+3,K$2+1))),"max", MAX(INDIRECT(ADDRESS(100+3,K$2+1,,,"Instances") &amp; ":" &amp; ADDRESS(100+3,K$2+1))),"diff", MAX(INDIRECT(ADDRESS(100+3,K$2+1,,,"Instances") &amp; ":" &amp; ADDRESS(100+3,K$2+1)))-MIN(INDIRECT(ADDRESS(100+3,K$2+1,,,"Instances") &amp; ":" &amp; ADDRESS(100+3,K$2+1))))</f>
        <v>0</v>
      </c>
      <c r="L105">
        <f>IFERROR(SMALL(K5:K146,ROW()-ROW($L$5)+1),"")</f>
        <v>0</v>
      </c>
      <c r="N105">
        <f>IFERROR(SUM(L5:L105),"")</f>
        <v>0</v>
      </c>
      <c r="Q105">
        <f>IF(Charts!$B$3="none",E822,IF(K822="",NA(),K822))</f>
        <v>0</v>
      </c>
      <c r="R105">
        <f>IF(Charts!$B$3="none",F822,IF(L822="",NA(),L822))</f>
        <v>0</v>
      </c>
      <c r="S105">
        <f>IF(Charts!$B$3="none",G822,IF(M822="",NA(),M822))</f>
        <v>0</v>
      </c>
      <c r="T105">
        <f>IF(Charts!$B$3="none",H822,IF(N822="",NA(),N822))</f>
        <v>0</v>
      </c>
    </row>
    <row r="106" spans="4:20">
      <c r="D106">
        <v>102</v>
      </c>
      <c r="E106">
        <f>IF(INDIRECT(ADDRESS($D106+2,E$2+1,,,"Instances"))="","",INDIRECT(ADDRESS($D106+2,E$2+1,,,"Instances")))</f>
        <v>0</v>
      </c>
      <c r="F106">
        <f>IFERROR(SMALL(E5:E146,ROW()-ROW($F$5)+1),"")</f>
        <v>0</v>
      </c>
      <c r="H106">
        <f>IFERROR(SUM(F5:F106),"")</f>
        <v>0</v>
      </c>
      <c r="J106">
        <v>102</v>
      </c>
      <c r="K106" cm="1">
        <f t="array" ref="K106">_xlfn.SWITCH(Charts!$B$3,"average", AVERAGE(INDIRECT(ADDRESS(101+3,K$2+1,,,"Instances") &amp; ":" &amp; ADDRESS(101+3,K$2+1))),"median", MEDIAN(INDIRECT(ADDRESS(101+3,K$2+1,,,"Instances") &amp; ":" &amp; ADDRESS(101+3,K$2+1))),"min", MIN(INDIRECT(ADDRESS(101+3,K$2+1,,,"Instances") &amp; ":" &amp; ADDRESS(101+3,K$2+1))),"max", MAX(INDIRECT(ADDRESS(101+3,K$2+1,,,"Instances") &amp; ":" &amp; ADDRESS(101+3,K$2+1))),"diff", MAX(INDIRECT(ADDRESS(101+3,K$2+1,,,"Instances") &amp; ":" &amp; ADDRESS(101+3,K$2+1)))-MIN(INDIRECT(ADDRESS(101+3,K$2+1,,,"Instances") &amp; ":" &amp; ADDRESS(101+3,K$2+1))))</f>
        <v>0</v>
      </c>
      <c r="L106">
        <f>IFERROR(SMALL(K5:K146,ROW()-ROW($L$5)+1),"")</f>
        <v>0</v>
      </c>
      <c r="N106">
        <f>IFERROR(SUM(L5:L106),"")</f>
        <v>0</v>
      </c>
      <c r="Q106">
        <f>IF(Charts!$B$3="none",E823,IF(K823="",NA(),K823))</f>
        <v>0</v>
      </c>
      <c r="R106">
        <f>IF(Charts!$B$3="none",F823,IF(L823="",NA(),L823))</f>
        <v>0</v>
      </c>
      <c r="S106">
        <f>IF(Charts!$B$3="none",G823,IF(M823="",NA(),M823))</f>
        <v>0</v>
      </c>
      <c r="T106">
        <f>IF(Charts!$B$3="none",H823,IF(N823="",NA(),N823))</f>
        <v>0</v>
      </c>
    </row>
    <row r="107" spans="4:20">
      <c r="D107">
        <v>103</v>
      </c>
      <c r="E107">
        <f>IF(INDIRECT(ADDRESS($D107+2,E$2+1,,,"Instances"))="","",INDIRECT(ADDRESS($D107+2,E$2+1,,,"Instances")))</f>
        <v>0</v>
      </c>
      <c r="F107">
        <f>IFERROR(SMALL(E5:E146,ROW()-ROW($F$5)+1),"")</f>
        <v>0</v>
      </c>
      <c r="H107">
        <f>IFERROR(SUM(F5:F107),"")</f>
        <v>0</v>
      </c>
      <c r="J107">
        <v>103</v>
      </c>
      <c r="K107" cm="1">
        <f t="array" ref="K107">_xlfn.SWITCH(Charts!$B$3,"average", AVERAGE(INDIRECT(ADDRESS(102+3,K$2+1,,,"Instances") &amp; ":" &amp; ADDRESS(102+3,K$2+1))),"median", MEDIAN(INDIRECT(ADDRESS(102+3,K$2+1,,,"Instances") &amp; ":" &amp; ADDRESS(102+3,K$2+1))),"min", MIN(INDIRECT(ADDRESS(102+3,K$2+1,,,"Instances") &amp; ":" &amp; ADDRESS(102+3,K$2+1))),"max", MAX(INDIRECT(ADDRESS(102+3,K$2+1,,,"Instances") &amp; ":" &amp; ADDRESS(102+3,K$2+1))),"diff", MAX(INDIRECT(ADDRESS(102+3,K$2+1,,,"Instances") &amp; ":" &amp; ADDRESS(102+3,K$2+1)))-MIN(INDIRECT(ADDRESS(102+3,K$2+1,,,"Instances") &amp; ":" &amp; ADDRESS(102+3,K$2+1))))</f>
        <v>0</v>
      </c>
      <c r="L107">
        <f>IFERROR(SMALL(K5:K146,ROW()-ROW($L$5)+1),"")</f>
        <v>0</v>
      </c>
      <c r="N107">
        <f>IFERROR(SUM(L5:L107),"")</f>
        <v>0</v>
      </c>
      <c r="Q107">
        <f>IF(Charts!$B$3="none",E824,IF(K824="",NA(),K824))</f>
        <v>0</v>
      </c>
      <c r="R107">
        <f>IF(Charts!$B$3="none",F824,IF(L824="",NA(),L824))</f>
        <v>0</v>
      </c>
      <c r="S107">
        <f>IF(Charts!$B$3="none",G824,IF(M824="",NA(),M824))</f>
        <v>0</v>
      </c>
      <c r="T107">
        <f>IF(Charts!$B$3="none",H824,IF(N824="",NA(),N824))</f>
        <v>0</v>
      </c>
    </row>
    <row r="108" spans="4:20">
      <c r="D108">
        <v>104</v>
      </c>
      <c r="E108">
        <f>IF(INDIRECT(ADDRESS($D108+2,E$2+1,,,"Instances"))="","",INDIRECT(ADDRESS($D108+2,E$2+1,,,"Instances")))</f>
        <v>0</v>
      </c>
      <c r="F108">
        <f>IFERROR(SMALL(E5:E146,ROW()-ROW($F$5)+1),"")</f>
        <v>0</v>
      </c>
      <c r="H108">
        <f>IFERROR(SUM(F5:F108),"")</f>
        <v>0</v>
      </c>
      <c r="J108">
        <v>104</v>
      </c>
      <c r="K108" cm="1">
        <f t="array" ref="K108">_xlfn.SWITCH(Charts!$B$3,"average", AVERAGE(INDIRECT(ADDRESS(103+3,K$2+1,,,"Instances") &amp; ":" &amp; ADDRESS(103+3,K$2+1))),"median", MEDIAN(INDIRECT(ADDRESS(103+3,K$2+1,,,"Instances") &amp; ":" &amp; ADDRESS(103+3,K$2+1))),"min", MIN(INDIRECT(ADDRESS(103+3,K$2+1,,,"Instances") &amp; ":" &amp; ADDRESS(103+3,K$2+1))),"max", MAX(INDIRECT(ADDRESS(103+3,K$2+1,,,"Instances") &amp; ":" &amp; ADDRESS(103+3,K$2+1))),"diff", MAX(INDIRECT(ADDRESS(103+3,K$2+1,,,"Instances") &amp; ":" &amp; ADDRESS(103+3,K$2+1)))-MIN(INDIRECT(ADDRESS(103+3,K$2+1,,,"Instances") &amp; ":" &amp; ADDRESS(103+3,K$2+1))))</f>
        <v>0</v>
      </c>
      <c r="L108">
        <f>IFERROR(SMALL(K5:K146,ROW()-ROW($L$5)+1),"")</f>
        <v>0</v>
      </c>
      <c r="N108">
        <f>IFERROR(SUM(L5:L108),"")</f>
        <v>0</v>
      </c>
      <c r="Q108">
        <f>IF(Charts!$B$3="none",E825,IF(K825="",NA(),K825))</f>
        <v>0</v>
      </c>
      <c r="R108">
        <f>IF(Charts!$B$3="none",F825,IF(L825="",NA(),L825))</f>
        <v>0</v>
      </c>
      <c r="S108">
        <f>IF(Charts!$B$3="none",G825,IF(M825="",NA(),M825))</f>
        <v>0</v>
      </c>
      <c r="T108">
        <f>IF(Charts!$B$3="none",H825,IF(N825="",NA(),N825))</f>
        <v>0</v>
      </c>
    </row>
    <row r="109" spans="4:20">
      <c r="D109">
        <v>105</v>
      </c>
      <c r="E109">
        <f>IF(INDIRECT(ADDRESS($D109+2,E$2+1,,,"Instances"))="","",INDIRECT(ADDRESS($D109+2,E$2+1,,,"Instances")))</f>
        <v>0</v>
      </c>
      <c r="F109">
        <f>IFERROR(SMALL(E5:E146,ROW()-ROW($F$5)+1),"")</f>
        <v>0</v>
      </c>
      <c r="H109">
        <f>IFERROR(SUM(F5:F109),"")</f>
        <v>0</v>
      </c>
      <c r="J109">
        <v>105</v>
      </c>
      <c r="K109" cm="1">
        <f t="array" ref="K109">_xlfn.SWITCH(Charts!$B$3,"average", AVERAGE(INDIRECT(ADDRESS(104+3,K$2+1,,,"Instances") &amp; ":" &amp; ADDRESS(104+3,K$2+1))),"median", MEDIAN(INDIRECT(ADDRESS(104+3,K$2+1,,,"Instances") &amp; ":" &amp; ADDRESS(104+3,K$2+1))),"min", MIN(INDIRECT(ADDRESS(104+3,K$2+1,,,"Instances") &amp; ":" &amp; ADDRESS(104+3,K$2+1))),"max", MAX(INDIRECT(ADDRESS(104+3,K$2+1,,,"Instances") &amp; ":" &amp; ADDRESS(104+3,K$2+1))),"diff", MAX(INDIRECT(ADDRESS(104+3,K$2+1,,,"Instances") &amp; ":" &amp; ADDRESS(104+3,K$2+1)))-MIN(INDIRECT(ADDRESS(104+3,K$2+1,,,"Instances") &amp; ":" &amp; ADDRESS(104+3,K$2+1))))</f>
        <v>0</v>
      </c>
      <c r="L109">
        <f>IFERROR(SMALL(K5:K146,ROW()-ROW($L$5)+1),"")</f>
        <v>0</v>
      </c>
      <c r="N109">
        <f>IFERROR(SUM(L5:L109),"")</f>
        <v>0</v>
      </c>
      <c r="Q109">
        <f>IF(Charts!$B$3="none",E826,IF(K826="",NA(),K826))</f>
        <v>0</v>
      </c>
      <c r="R109">
        <f>IF(Charts!$B$3="none",F826,IF(L826="",NA(),L826))</f>
        <v>0</v>
      </c>
      <c r="S109">
        <f>IF(Charts!$B$3="none",G826,IF(M826="",NA(),M826))</f>
        <v>0</v>
      </c>
      <c r="T109">
        <f>IF(Charts!$B$3="none",H826,IF(N826="",NA(),N826))</f>
        <v>0</v>
      </c>
    </row>
    <row r="110" spans="4:20">
      <c r="D110">
        <v>106</v>
      </c>
      <c r="E110">
        <f>IF(INDIRECT(ADDRESS($D110+2,E$2+1,,,"Instances"))="","",INDIRECT(ADDRESS($D110+2,E$2+1,,,"Instances")))</f>
        <v>0</v>
      </c>
      <c r="F110">
        <f>IFERROR(SMALL(E5:E146,ROW()-ROW($F$5)+1),"")</f>
        <v>0</v>
      </c>
      <c r="H110">
        <f>IFERROR(SUM(F5:F110),"")</f>
        <v>0</v>
      </c>
      <c r="J110">
        <v>106</v>
      </c>
      <c r="K110" cm="1">
        <f t="array" ref="K110">_xlfn.SWITCH(Charts!$B$3,"average", AVERAGE(INDIRECT(ADDRESS(105+3,K$2+1,,,"Instances") &amp; ":" &amp; ADDRESS(105+3,K$2+1))),"median", MEDIAN(INDIRECT(ADDRESS(105+3,K$2+1,,,"Instances") &amp; ":" &amp; ADDRESS(105+3,K$2+1))),"min", MIN(INDIRECT(ADDRESS(105+3,K$2+1,,,"Instances") &amp; ":" &amp; ADDRESS(105+3,K$2+1))),"max", MAX(INDIRECT(ADDRESS(105+3,K$2+1,,,"Instances") &amp; ":" &amp; ADDRESS(105+3,K$2+1))),"diff", MAX(INDIRECT(ADDRESS(105+3,K$2+1,,,"Instances") &amp; ":" &amp; ADDRESS(105+3,K$2+1)))-MIN(INDIRECT(ADDRESS(105+3,K$2+1,,,"Instances") &amp; ":" &amp; ADDRESS(105+3,K$2+1))))</f>
        <v>0</v>
      </c>
      <c r="L110">
        <f>IFERROR(SMALL(K5:K146,ROW()-ROW($L$5)+1),"")</f>
        <v>0</v>
      </c>
      <c r="N110">
        <f>IFERROR(SUM(L5:L110),"")</f>
        <v>0</v>
      </c>
      <c r="Q110">
        <f>IF(Charts!$B$3="none",E827,IF(K827="",NA(),K827))</f>
        <v>0</v>
      </c>
      <c r="R110">
        <f>IF(Charts!$B$3="none",F827,IF(L827="",NA(),L827))</f>
        <v>0</v>
      </c>
      <c r="S110">
        <f>IF(Charts!$B$3="none",G827,IF(M827="",NA(),M827))</f>
        <v>0</v>
      </c>
      <c r="T110">
        <f>IF(Charts!$B$3="none",H827,IF(N827="",NA(),N827))</f>
        <v>0</v>
      </c>
    </row>
    <row r="111" spans="4:20">
      <c r="D111">
        <v>107</v>
      </c>
      <c r="E111">
        <f>IF(INDIRECT(ADDRESS($D111+2,E$2+1,,,"Instances"))="","",INDIRECT(ADDRESS($D111+2,E$2+1,,,"Instances")))</f>
        <v>0</v>
      </c>
      <c r="F111">
        <f>IFERROR(SMALL(E5:E146,ROW()-ROW($F$5)+1),"")</f>
        <v>0</v>
      </c>
      <c r="H111">
        <f>IFERROR(SUM(F5:F111),"")</f>
        <v>0</v>
      </c>
      <c r="J111">
        <v>107</v>
      </c>
      <c r="K111" cm="1">
        <f t="array" ref="K111">_xlfn.SWITCH(Charts!$B$3,"average", AVERAGE(INDIRECT(ADDRESS(106+3,K$2+1,,,"Instances") &amp; ":" &amp; ADDRESS(106+3,K$2+1))),"median", MEDIAN(INDIRECT(ADDRESS(106+3,K$2+1,,,"Instances") &amp; ":" &amp; ADDRESS(106+3,K$2+1))),"min", MIN(INDIRECT(ADDRESS(106+3,K$2+1,,,"Instances") &amp; ":" &amp; ADDRESS(106+3,K$2+1))),"max", MAX(INDIRECT(ADDRESS(106+3,K$2+1,,,"Instances") &amp; ":" &amp; ADDRESS(106+3,K$2+1))),"diff", MAX(INDIRECT(ADDRESS(106+3,K$2+1,,,"Instances") &amp; ":" &amp; ADDRESS(106+3,K$2+1)))-MIN(INDIRECT(ADDRESS(106+3,K$2+1,,,"Instances") &amp; ":" &amp; ADDRESS(106+3,K$2+1))))</f>
        <v>0</v>
      </c>
      <c r="L111">
        <f>IFERROR(SMALL(K5:K146,ROW()-ROW($L$5)+1),"")</f>
        <v>0</v>
      </c>
      <c r="N111">
        <f>IFERROR(SUM(L5:L111),"")</f>
        <v>0</v>
      </c>
      <c r="Q111">
        <f>IF(Charts!$B$3="none",E828,IF(K828="",NA(),K828))</f>
        <v>0</v>
      </c>
      <c r="R111">
        <f>IF(Charts!$B$3="none",F828,IF(L828="",NA(),L828))</f>
        <v>0</v>
      </c>
      <c r="S111">
        <f>IF(Charts!$B$3="none",G828,IF(M828="",NA(),M828))</f>
        <v>0</v>
      </c>
      <c r="T111">
        <f>IF(Charts!$B$3="none",H828,IF(N828="",NA(),N828))</f>
        <v>0</v>
      </c>
    </row>
    <row r="112" spans="4:20">
      <c r="D112">
        <v>108</v>
      </c>
      <c r="E112">
        <f>IF(INDIRECT(ADDRESS($D112+2,E$2+1,,,"Instances"))="","",INDIRECT(ADDRESS($D112+2,E$2+1,,,"Instances")))</f>
        <v>0</v>
      </c>
      <c r="F112">
        <f>IFERROR(SMALL(E5:E146,ROW()-ROW($F$5)+1),"")</f>
        <v>0</v>
      </c>
      <c r="H112">
        <f>IFERROR(SUM(F5:F112),"")</f>
        <v>0</v>
      </c>
      <c r="J112">
        <v>108</v>
      </c>
      <c r="K112" cm="1">
        <f t="array" ref="K112">_xlfn.SWITCH(Charts!$B$3,"average", AVERAGE(INDIRECT(ADDRESS(107+3,K$2+1,,,"Instances") &amp; ":" &amp; ADDRESS(107+3,K$2+1))),"median", MEDIAN(INDIRECT(ADDRESS(107+3,K$2+1,,,"Instances") &amp; ":" &amp; ADDRESS(107+3,K$2+1))),"min", MIN(INDIRECT(ADDRESS(107+3,K$2+1,,,"Instances") &amp; ":" &amp; ADDRESS(107+3,K$2+1))),"max", MAX(INDIRECT(ADDRESS(107+3,K$2+1,,,"Instances") &amp; ":" &amp; ADDRESS(107+3,K$2+1))),"diff", MAX(INDIRECT(ADDRESS(107+3,K$2+1,,,"Instances") &amp; ":" &amp; ADDRESS(107+3,K$2+1)))-MIN(INDIRECT(ADDRESS(107+3,K$2+1,,,"Instances") &amp; ":" &amp; ADDRESS(107+3,K$2+1))))</f>
        <v>0</v>
      </c>
      <c r="L112">
        <f>IFERROR(SMALL(K5:K146,ROW()-ROW($L$5)+1),"")</f>
        <v>0</v>
      </c>
      <c r="N112">
        <f>IFERROR(SUM(L5:L112),"")</f>
        <v>0</v>
      </c>
      <c r="Q112">
        <f>IF(Charts!$B$3="none",E829,IF(K829="",NA(),K829))</f>
        <v>0</v>
      </c>
      <c r="R112">
        <f>IF(Charts!$B$3="none",F829,IF(L829="",NA(),L829))</f>
        <v>0</v>
      </c>
      <c r="S112">
        <f>IF(Charts!$B$3="none",G829,IF(M829="",NA(),M829))</f>
        <v>0</v>
      </c>
      <c r="T112">
        <f>IF(Charts!$B$3="none",H829,IF(N829="",NA(),N829))</f>
        <v>0</v>
      </c>
    </row>
    <row r="113" spans="4:20">
      <c r="D113">
        <v>109</v>
      </c>
      <c r="E113">
        <f>IF(INDIRECT(ADDRESS($D113+2,E$2+1,,,"Instances"))="","",INDIRECT(ADDRESS($D113+2,E$2+1,,,"Instances")))</f>
        <v>0</v>
      </c>
      <c r="F113">
        <f>IFERROR(SMALL(E5:E146,ROW()-ROW($F$5)+1),"")</f>
        <v>0</v>
      </c>
      <c r="H113">
        <f>IFERROR(SUM(F5:F113),"")</f>
        <v>0</v>
      </c>
      <c r="J113">
        <v>109</v>
      </c>
      <c r="K113" cm="1">
        <f t="array" ref="K113">_xlfn.SWITCH(Charts!$B$3,"average", AVERAGE(INDIRECT(ADDRESS(108+3,K$2+1,,,"Instances") &amp; ":" &amp; ADDRESS(108+3,K$2+1))),"median", MEDIAN(INDIRECT(ADDRESS(108+3,K$2+1,,,"Instances") &amp; ":" &amp; ADDRESS(108+3,K$2+1))),"min", MIN(INDIRECT(ADDRESS(108+3,K$2+1,,,"Instances") &amp; ":" &amp; ADDRESS(108+3,K$2+1))),"max", MAX(INDIRECT(ADDRESS(108+3,K$2+1,,,"Instances") &amp; ":" &amp; ADDRESS(108+3,K$2+1))),"diff", MAX(INDIRECT(ADDRESS(108+3,K$2+1,,,"Instances") &amp; ":" &amp; ADDRESS(108+3,K$2+1)))-MIN(INDIRECT(ADDRESS(108+3,K$2+1,,,"Instances") &amp; ":" &amp; ADDRESS(108+3,K$2+1))))</f>
        <v>0</v>
      </c>
      <c r="L113">
        <f>IFERROR(SMALL(K5:K146,ROW()-ROW($L$5)+1),"")</f>
        <v>0</v>
      </c>
      <c r="N113">
        <f>IFERROR(SUM(L5:L113),"")</f>
        <v>0</v>
      </c>
      <c r="Q113">
        <f>IF(Charts!$B$3="none",E830,IF(K830="",NA(),K830))</f>
        <v>0</v>
      </c>
      <c r="R113">
        <f>IF(Charts!$B$3="none",F830,IF(L830="",NA(),L830))</f>
        <v>0</v>
      </c>
      <c r="S113">
        <f>IF(Charts!$B$3="none",G830,IF(M830="",NA(),M830))</f>
        <v>0</v>
      </c>
      <c r="T113">
        <f>IF(Charts!$B$3="none",H830,IF(N830="",NA(),N830))</f>
        <v>0</v>
      </c>
    </row>
    <row r="114" spans="4:20">
      <c r="D114">
        <v>110</v>
      </c>
      <c r="E114">
        <f>IF(INDIRECT(ADDRESS($D114+2,E$2+1,,,"Instances"))="","",INDIRECT(ADDRESS($D114+2,E$2+1,,,"Instances")))</f>
        <v>0</v>
      </c>
      <c r="F114">
        <f>IFERROR(SMALL(E5:E146,ROW()-ROW($F$5)+1),"")</f>
        <v>0</v>
      </c>
      <c r="H114">
        <f>IFERROR(SUM(F5:F114),"")</f>
        <v>0</v>
      </c>
      <c r="J114">
        <v>110</v>
      </c>
      <c r="K114" cm="1">
        <f t="array" ref="K114">_xlfn.SWITCH(Charts!$B$3,"average", AVERAGE(INDIRECT(ADDRESS(109+3,K$2+1,,,"Instances") &amp; ":" &amp; ADDRESS(109+3,K$2+1))),"median", MEDIAN(INDIRECT(ADDRESS(109+3,K$2+1,,,"Instances") &amp; ":" &amp; ADDRESS(109+3,K$2+1))),"min", MIN(INDIRECT(ADDRESS(109+3,K$2+1,,,"Instances") &amp; ":" &amp; ADDRESS(109+3,K$2+1))),"max", MAX(INDIRECT(ADDRESS(109+3,K$2+1,,,"Instances") &amp; ":" &amp; ADDRESS(109+3,K$2+1))),"diff", MAX(INDIRECT(ADDRESS(109+3,K$2+1,,,"Instances") &amp; ":" &amp; ADDRESS(109+3,K$2+1)))-MIN(INDIRECT(ADDRESS(109+3,K$2+1,,,"Instances") &amp; ":" &amp; ADDRESS(109+3,K$2+1))))</f>
        <v>0</v>
      </c>
      <c r="L114">
        <f>IFERROR(SMALL(K5:K146,ROW()-ROW($L$5)+1),"")</f>
        <v>0</v>
      </c>
      <c r="N114">
        <f>IFERROR(SUM(L5:L114),"")</f>
        <v>0</v>
      </c>
      <c r="Q114">
        <f>IF(Charts!$B$3="none",E831,IF(K831="",NA(),K831))</f>
        <v>0</v>
      </c>
      <c r="R114">
        <f>IF(Charts!$B$3="none",F831,IF(L831="",NA(),L831))</f>
        <v>0</v>
      </c>
      <c r="S114">
        <f>IF(Charts!$B$3="none",G831,IF(M831="",NA(),M831))</f>
        <v>0</v>
      </c>
      <c r="T114">
        <f>IF(Charts!$B$3="none",H831,IF(N831="",NA(),N831))</f>
        <v>0</v>
      </c>
    </row>
    <row r="115" spans="4:20">
      <c r="D115">
        <v>111</v>
      </c>
      <c r="E115">
        <f>IF(INDIRECT(ADDRESS($D115+2,E$2+1,,,"Instances"))="","",INDIRECT(ADDRESS($D115+2,E$2+1,,,"Instances")))</f>
        <v>0</v>
      </c>
      <c r="F115">
        <f>IFERROR(SMALL(E5:E146,ROW()-ROW($F$5)+1),"")</f>
        <v>0</v>
      </c>
      <c r="H115">
        <f>IFERROR(SUM(F5:F115),"")</f>
        <v>0</v>
      </c>
      <c r="J115">
        <v>111</v>
      </c>
      <c r="K115" cm="1">
        <f t="array" ref="K115">_xlfn.SWITCH(Charts!$B$3,"average", AVERAGE(INDIRECT(ADDRESS(110+3,K$2+1,,,"Instances") &amp; ":" &amp; ADDRESS(110+3,K$2+1))),"median", MEDIAN(INDIRECT(ADDRESS(110+3,K$2+1,,,"Instances") &amp; ":" &amp; ADDRESS(110+3,K$2+1))),"min", MIN(INDIRECT(ADDRESS(110+3,K$2+1,,,"Instances") &amp; ":" &amp; ADDRESS(110+3,K$2+1))),"max", MAX(INDIRECT(ADDRESS(110+3,K$2+1,,,"Instances") &amp; ":" &amp; ADDRESS(110+3,K$2+1))),"diff", MAX(INDIRECT(ADDRESS(110+3,K$2+1,,,"Instances") &amp; ":" &amp; ADDRESS(110+3,K$2+1)))-MIN(INDIRECT(ADDRESS(110+3,K$2+1,,,"Instances") &amp; ":" &amp; ADDRESS(110+3,K$2+1))))</f>
        <v>0</v>
      </c>
      <c r="L115">
        <f>IFERROR(SMALL(K5:K146,ROW()-ROW($L$5)+1),"")</f>
        <v>0</v>
      </c>
      <c r="N115">
        <f>IFERROR(SUM(L5:L115),"")</f>
        <v>0</v>
      </c>
      <c r="Q115">
        <f>IF(Charts!$B$3="none",E832,IF(K832="",NA(),K832))</f>
        <v>0</v>
      </c>
      <c r="R115">
        <f>IF(Charts!$B$3="none",F832,IF(L832="",NA(),L832))</f>
        <v>0</v>
      </c>
      <c r="S115">
        <f>IF(Charts!$B$3="none",G832,IF(M832="",NA(),M832))</f>
        <v>0</v>
      </c>
      <c r="T115">
        <f>IF(Charts!$B$3="none",H832,IF(N832="",NA(),N832))</f>
        <v>0</v>
      </c>
    </row>
    <row r="116" spans="4:20">
      <c r="D116">
        <v>112</v>
      </c>
      <c r="E116">
        <f>IF(INDIRECT(ADDRESS($D116+2,E$2+1,,,"Instances"))="","",INDIRECT(ADDRESS($D116+2,E$2+1,,,"Instances")))</f>
        <v>0</v>
      </c>
      <c r="F116">
        <f>IFERROR(SMALL(E5:E146,ROW()-ROW($F$5)+1),"")</f>
        <v>0</v>
      </c>
      <c r="H116">
        <f>IFERROR(SUM(F5:F116),"")</f>
        <v>0</v>
      </c>
      <c r="J116">
        <v>112</v>
      </c>
      <c r="K116" cm="1">
        <f t="array" ref="K116">_xlfn.SWITCH(Charts!$B$3,"average", AVERAGE(INDIRECT(ADDRESS(111+3,K$2+1,,,"Instances") &amp; ":" &amp; ADDRESS(111+3,K$2+1))),"median", MEDIAN(INDIRECT(ADDRESS(111+3,K$2+1,,,"Instances") &amp; ":" &amp; ADDRESS(111+3,K$2+1))),"min", MIN(INDIRECT(ADDRESS(111+3,K$2+1,,,"Instances") &amp; ":" &amp; ADDRESS(111+3,K$2+1))),"max", MAX(INDIRECT(ADDRESS(111+3,K$2+1,,,"Instances") &amp; ":" &amp; ADDRESS(111+3,K$2+1))),"diff", MAX(INDIRECT(ADDRESS(111+3,K$2+1,,,"Instances") &amp; ":" &amp; ADDRESS(111+3,K$2+1)))-MIN(INDIRECT(ADDRESS(111+3,K$2+1,,,"Instances") &amp; ":" &amp; ADDRESS(111+3,K$2+1))))</f>
        <v>0</v>
      </c>
      <c r="L116">
        <f>IFERROR(SMALL(K5:K146,ROW()-ROW($L$5)+1),"")</f>
        <v>0</v>
      </c>
      <c r="N116">
        <f>IFERROR(SUM(L5:L116),"")</f>
        <v>0</v>
      </c>
      <c r="Q116">
        <f>IF(Charts!$B$3="none",E833,IF(K833="",NA(),K833))</f>
        <v>0</v>
      </c>
      <c r="R116">
        <f>IF(Charts!$B$3="none",F833,IF(L833="",NA(),L833))</f>
        <v>0</v>
      </c>
      <c r="S116">
        <f>IF(Charts!$B$3="none",G833,IF(M833="",NA(),M833))</f>
        <v>0</v>
      </c>
      <c r="T116">
        <f>IF(Charts!$B$3="none",H833,IF(N833="",NA(),N833))</f>
        <v>0</v>
      </c>
    </row>
    <row r="117" spans="4:20">
      <c r="D117">
        <v>113</v>
      </c>
      <c r="E117">
        <f>IF(INDIRECT(ADDRESS($D117+2,E$2+1,,,"Instances"))="","",INDIRECT(ADDRESS($D117+2,E$2+1,,,"Instances")))</f>
        <v>0</v>
      </c>
      <c r="F117">
        <f>IFERROR(SMALL(E5:E146,ROW()-ROW($F$5)+1),"")</f>
        <v>0</v>
      </c>
      <c r="H117">
        <f>IFERROR(SUM(F5:F117),"")</f>
        <v>0</v>
      </c>
      <c r="J117">
        <v>113</v>
      </c>
      <c r="K117" cm="1">
        <f t="array" ref="K117">_xlfn.SWITCH(Charts!$B$3,"average", AVERAGE(INDIRECT(ADDRESS(112+3,K$2+1,,,"Instances") &amp; ":" &amp; ADDRESS(112+3,K$2+1))),"median", MEDIAN(INDIRECT(ADDRESS(112+3,K$2+1,,,"Instances") &amp; ":" &amp; ADDRESS(112+3,K$2+1))),"min", MIN(INDIRECT(ADDRESS(112+3,K$2+1,,,"Instances") &amp; ":" &amp; ADDRESS(112+3,K$2+1))),"max", MAX(INDIRECT(ADDRESS(112+3,K$2+1,,,"Instances") &amp; ":" &amp; ADDRESS(112+3,K$2+1))),"diff", MAX(INDIRECT(ADDRESS(112+3,K$2+1,,,"Instances") &amp; ":" &amp; ADDRESS(112+3,K$2+1)))-MIN(INDIRECT(ADDRESS(112+3,K$2+1,,,"Instances") &amp; ":" &amp; ADDRESS(112+3,K$2+1))))</f>
        <v>0</v>
      </c>
      <c r="L117">
        <f>IFERROR(SMALL(K5:K146,ROW()-ROW($L$5)+1),"")</f>
        <v>0</v>
      </c>
      <c r="N117">
        <f>IFERROR(SUM(L5:L117),"")</f>
        <v>0</v>
      </c>
      <c r="Q117">
        <f>IF(Charts!$B$3="none",E834,IF(K834="",NA(),K834))</f>
        <v>0</v>
      </c>
      <c r="R117">
        <f>IF(Charts!$B$3="none",F834,IF(L834="",NA(),L834))</f>
        <v>0</v>
      </c>
      <c r="S117">
        <f>IF(Charts!$B$3="none",G834,IF(M834="",NA(),M834))</f>
        <v>0</v>
      </c>
      <c r="T117">
        <f>IF(Charts!$B$3="none",H834,IF(N834="",NA(),N834))</f>
        <v>0</v>
      </c>
    </row>
    <row r="118" spans="4:20">
      <c r="D118">
        <v>114</v>
      </c>
      <c r="E118">
        <f>IF(INDIRECT(ADDRESS($D118+2,E$2+1,,,"Instances"))="","",INDIRECT(ADDRESS($D118+2,E$2+1,,,"Instances")))</f>
        <v>0</v>
      </c>
      <c r="F118">
        <f>IFERROR(SMALL(E5:E146,ROW()-ROW($F$5)+1),"")</f>
        <v>0</v>
      </c>
      <c r="H118">
        <f>IFERROR(SUM(F5:F118),"")</f>
        <v>0</v>
      </c>
      <c r="J118">
        <v>114</v>
      </c>
      <c r="K118" cm="1">
        <f t="array" ref="K118">_xlfn.SWITCH(Charts!$B$3,"average", AVERAGE(INDIRECT(ADDRESS(113+3,K$2+1,,,"Instances") &amp; ":" &amp; ADDRESS(113+3,K$2+1))),"median", MEDIAN(INDIRECT(ADDRESS(113+3,K$2+1,,,"Instances") &amp; ":" &amp; ADDRESS(113+3,K$2+1))),"min", MIN(INDIRECT(ADDRESS(113+3,K$2+1,,,"Instances") &amp; ":" &amp; ADDRESS(113+3,K$2+1))),"max", MAX(INDIRECT(ADDRESS(113+3,K$2+1,,,"Instances") &amp; ":" &amp; ADDRESS(113+3,K$2+1))),"diff", MAX(INDIRECT(ADDRESS(113+3,K$2+1,,,"Instances") &amp; ":" &amp; ADDRESS(113+3,K$2+1)))-MIN(INDIRECT(ADDRESS(113+3,K$2+1,,,"Instances") &amp; ":" &amp; ADDRESS(113+3,K$2+1))))</f>
        <v>0</v>
      </c>
      <c r="L118">
        <f>IFERROR(SMALL(K5:K146,ROW()-ROW($L$5)+1),"")</f>
        <v>0</v>
      </c>
      <c r="N118">
        <f>IFERROR(SUM(L5:L118),"")</f>
        <v>0</v>
      </c>
      <c r="Q118">
        <f>IF(Charts!$B$3="none",E835,IF(K835="",NA(),K835))</f>
        <v>0</v>
      </c>
      <c r="R118">
        <f>IF(Charts!$B$3="none",F835,IF(L835="",NA(),L835))</f>
        <v>0</v>
      </c>
      <c r="S118">
        <f>IF(Charts!$B$3="none",G835,IF(M835="",NA(),M835))</f>
        <v>0</v>
      </c>
      <c r="T118">
        <f>IF(Charts!$B$3="none",H835,IF(N835="",NA(),N835))</f>
        <v>0</v>
      </c>
    </row>
    <row r="119" spans="4:20">
      <c r="D119">
        <v>115</v>
      </c>
      <c r="E119">
        <f>IF(INDIRECT(ADDRESS($D119+2,E$2+1,,,"Instances"))="","",INDIRECT(ADDRESS($D119+2,E$2+1,,,"Instances")))</f>
        <v>0</v>
      </c>
      <c r="F119">
        <f>IFERROR(SMALL(E5:E146,ROW()-ROW($F$5)+1),"")</f>
        <v>0</v>
      </c>
      <c r="H119">
        <f>IFERROR(SUM(F5:F119),"")</f>
        <v>0</v>
      </c>
      <c r="J119">
        <v>115</v>
      </c>
      <c r="K119" cm="1">
        <f t="array" ref="K119">_xlfn.SWITCH(Charts!$B$3,"average", AVERAGE(INDIRECT(ADDRESS(114+3,K$2+1,,,"Instances") &amp; ":" &amp; ADDRESS(114+3,K$2+1))),"median", MEDIAN(INDIRECT(ADDRESS(114+3,K$2+1,,,"Instances") &amp; ":" &amp; ADDRESS(114+3,K$2+1))),"min", MIN(INDIRECT(ADDRESS(114+3,K$2+1,,,"Instances") &amp; ":" &amp; ADDRESS(114+3,K$2+1))),"max", MAX(INDIRECT(ADDRESS(114+3,K$2+1,,,"Instances") &amp; ":" &amp; ADDRESS(114+3,K$2+1))),"diff", MAX(INDIRECT(ADDRESS(114+3,K$2+1,,,"Instances") &amp; ":" &amp; ADDRESS(114+3,K$2+1)))-MIN(INDIRECT(ADDRESS(114+3,K$2+1,,,"Instances") &amp; ":" &amp; ADDRESS(114+3,K$2+1))))</f>
        <v>0</v>
      </c>
      <c r="L119">
        <f>IFERROR(SMALL(K5:K146,ROW()-ROW($L$5)+1),"")</f>
        <v>0</v>
      </c>
      <c r="N119">
        <f>IFERROR(SUM(L5:L119),"")</f>
        <v>0</v>
      </c>
      <c r="Q119">
        <f>IF(Charts!$B$3="none",E836,IF(K836="",NA(),K836))</f>
        <v>0</v>
      </c>
      <c r="R119">
        <f>IF(Charts!$B$3="none",F836,IF(L836="",NA(),L836))</f>
        <v>0</v>
      </c>
      <c r="S119">
        <f>IF(Charts!$B$3="none",G836,IF(M836="",NA(),M836))</f>
        <v>0</v>
      </c>
      <c r="T119">
        <f>IF(Charts!$B$3="none",H836,IF(N836="",NA(),N836))</f>
        <v>0</v>
      </c>
    </row>
    <row r="120" spans="4:20">
      <c r="D120">
        <v>116</v>
      </c>
      <c r="E120">
        <f>IF(INDIRECT(ADDRESS($D120+2,E$2+1,,,"Instances"))="","",INDIRECT(ADDRESS($D120+2,E$2+1,,,"Instances")))</f>
        <v>0</v>
      </c>
      <c r="F120">
        <f>IFERROR(SMALL(E5:E146,ROW()-ROW($F$5)+1),"")</f>
        <v>0</v>
      </c>
      <c r="H120">
        <f>IFERROR(SUM(F5:F120),"")</f>
        <v>0</v>
      </c>
      <c r="J120">
        <v>116</v>
      </c>
      <c r="K120" cm="1">
        <f t="array" ref="K120">_xlfn.SWITCH(Charts!$B$3,"average", AVERAGE(INDIRECT(ADDRESS(115+3,K$2+1,,,"Instances") &amp; ":" &amp; ADDRESS(115+3,K$2+1))),"median", MEDIAN(INDIRECT(ADDRESS(115+3,K$2+1,,,"Instances") &amp; ":" &amp; ADDRESS(115+3,K$2+1))),"min", MIN(INDIRECT(ADDRESS(115+3,K$2+1,,,"Instances") &amp; ":" &amp; ADDRESS(115+3,K$2+1))),"max", MAX(INDIRECT(ADDRESS(115+3,K$2+1,,,"Instances") &amp; ":" &amp; ADDRESS(115+3,K$2+1))),"diff", MAX(INDIRECT(ADDRESS(115+3,K$2+1,,,"Instances") &amp; ":" &amp; ADDRESS(115+3,K$2+1)))-MIN(INDIRECT(ADDRESS(115+3,K$2+1,,,"Instances") &amp; ":" &amp; ADDRESS(115+3,K$2+1))))</f>
        <v>0</v>
      </c>
      <c r="L120">
        <f>IFERROR(SMALL(K5:K146,ROW()-ROW($L$5)+1),"")</f>
        <v>0</v>
      </c>
      <c r="N120">
        <f>IFERROR(SUM(L5:L120),"")</f>
        <v>0</v>
      </c>
      <c r="Q120">
        <f>IF(Charts!$B$3="none",E837,IF(K837="",NA(),K837))</f>
        <v>0</v>
      </c>
      <c r="R120">
        <f>IF(Charts!$B$3="none",F837,IF(L837="",NA(),L837))</f>
        <v>0</v>
      </c>
      <c r="S120">
        <f>IF(Charts!$B$3="none",G837,IF(M837="",NA(),M837))</f>
        <v>0</v>
      </c>
      <c r="T120">
        <f>IF(Charts!$B$3="none",H837,IF(N837="",NA(),N837))</f>
        <v>0</v>
      </c>
    </row>
    <row r="121" spans="4:20">
      <c r="D121">
        <v>117</v>
      </c>
      <c r="E121">
        <f>IF(INDIRECT(ADDRESS($D121+2,E$2+1,,,"Instances"))="","",INDIRECT(ADDRESS($D121+2,E$2+1,,,"Instances")))</f>
        <v>0</v>
      </c>
      <c r="F121">
        <f>IFERROR(SMALL(E5:E146,ROW()-ROW($F$5)+1),"")</f>
        <v>0</v>
      </c>
      <c r="H121">
        <f>IFERROR(SUM(F5:F121),"")</f>
        <v>0</v>
      </c>
      <c r="J121">
        <v>117</v>
      </c>
      <c r="K121" cm="1">
        <f t="array" ref="K121">_xlfn.SWITCH(Charts!$B$3,"average", AVERAGE(INDIRECT(ADDRESS(116+3,K$2+1,,,"Instances") &amp; ":" &amp; ADDRESS(116+3,K$2+1))),"median", MEDIAN(INDIRECT(ADDRESS(116+3,K$2+1,,,"Instances") &amp; ":" &amp; ADDRESS(116+3,K$2+1))),"min", MIN(INDIRECT(ADDRESS(116+3,K$2+1,,,"Instances") &amp; ":" &amp; ADDRESS(116+3,K$2+1))),"max", MAX(INDIRECT(ADDRESS(116+3,K$2+1,,,"Instances") &amp; ":" &amp; ADDRESS(116+3,K$2+1))),"diff", MAX(INDIRECT(ADDRESS(116+3,K$2+1,,,"Instances") &amp; ":" &amp; ADDRESS(116+3,K$2+1)))-MIN(INDIRECT(ADDRESS(116+3,K$2+1,,,"Instances") &amp; ":" &amp; ADDRESS(116+3,K$2+1))))</f>
        <v>0</v>
      </c>
      <c r="L121">
        <f>IFERROR(SMALL(K5:K146,ROW()-ROW($L$5)+1),"")</f>
        <v>0</v>
      </c>
      <c r="N121">
        <f>IFERROR(SUM(L5:L121),"")</f>
        <v>0</v>
      </c>
      <c r="Q121">
        <f>IF(Charts!$B$3="none",E838,IF(K838="",NA(),K838))</f>
        <v>0</v>
      </c>
      <c r="R121">
        <f>IF(Charts!$B$3="none",F838,IF(L838="",NA(),L838))</f>
        <v>0</v>
      </c>
      <c r="S121">
        <f>IF(Charts!$B$3="none",G838,IF(M838="",NA(),M838))</f>
        <v>0</v>
      </c>
      <c r="T121">
        <f>IF(Charts!$B$3="none",H838,IF(N838="",NA(),N838))</f>
        <v>0</v>
      </c>
    </row>
    <row r="122" spans="4:20">
      <c r="D122">
        <v>118</v>
      </c>
      <c r="E122">
        <f>IF(INDIRECT(ADDRESS($D122+2,E$2+1,,,"Instances"))="","",INDIRECT(ADDRESS($D122+2,E$2+1,,,"Instances")))</f>
        <v>0</v>
      </c>
      <c r="F122">
        <f>IFERROR(SMALL(E5:E146,ROW()-ROW($F$5)+1),"")</f>
        <v>0</v>
      </c>
      <c r="H122">
        <f>IFERROR(SUM(F5:F122),"")</f>
        <v>0</v>
      </c>
      <c r="J122">
        <v>118</v>
      </c>
      <c r="K122" cm="1">
        <f t="array" ref="K122">_xlfn.SWITCH(Charts!$B$3,"average", AVERAGE(INDIRECT(ADDRESS(117+3,K$2+1,,,"Instances") &amp; ":" &amp; ADDRESS(117+3,K$2+1))),"median", MEDIAN(INDIRECT(ADDRESS(117+3,K$2+1,,,"Instances") &amp; ":" &amp; ADDRESS(117+3,K$2+1))),"min", MIN(INDIRECT(ADDRESS(117+3,K$2+1,,,"Instances") &amp; ":" &amp; ADDRESS(117+3,K$2+1))),"max", MAX(INDIRECT(ADDRESS(117+3,K$2+1,,,"Instances") &amp; ":" &amp; ADDRESS(117+3,K$2+1))),"diff", MAX(INDIRECT(ADDRESS(117+3,K$2+1,,,"Instances") &amp; ":" &amp; ADDRESS(117+3,K$2+1)))-MIN(INDIRECT(ADDRESS(117+3,K$2+1,,,"Instances") &amp; ":" &amp; ADDRESS(117+3,K$2+1))))</f>
        <v>0</v>
      </c>
      <c r="L122">
        <f>IFERROR(SMALL(K5:K146,ROW()-ROW($L$5)+1),"")</f>
        <v>0</v>
      </c>
      <c r="N122">
        <f>IFERROR(SUM(L5:L122),"")</f>
        <v>0</v>
      </c>
      <c r="Q122">
        <f>IF(Charts!$B$3="none",E839,IF(K839="",NA(),K839))</f>
        <v>0</v>
      </c>
      <c r="R122">
        <f>IF(Charts!$B$3="none",F839,IF(L839="",NA(),L839))</f>
        <v>0</v>
      </c>
      <c r="S122">
        <f>IF(Charts!$B$3="none",G839,IF(M839="",NA(),M839))</f>
        <v>0</v>
      </c>
      <c r="T122">
        <f>IF(Charts!$B$3="none",H839,IF(N839="",NA(),N839))</f>
        <v>0</v>
      </c>
    </row>
    <row r="123" spans="4:20">
      <c r="D123">
        <v>119</v>
      </c>
      <c r="E123">
        <f>IF(INDIRECT(ADDRESS($D123+2,E$2+1,,,"Instances"))="","",INDIRECT(ADDRESS($D123+2,E$2+1,,,"Instances")))</f>
        <v>0</v>
      </c>
      <c r="F123">
        <f>IFERROR(SMALL(E5:E146,ROW()-ROW($F$5)+1),"")</f>
        <v>0</v>
      </c>
      <c r="H123">
        <f>IFERROR(SUM(F5:F123),"")</f>
        <v>0</v>
      </c>
      <c r="J123">
        <v>119</v>
      </c>
      <c r="K123" cm="1">
        <f t="array" ref="K123">_xlfn.SWITCH(Charts!$B$3,"average", AVERAGE(INDIRECT(ADDRESS(118+3,K$2+1,,,"Instances") &amp; ":" &amp; ADDRESS(118+3,K$2+1))),"median", MEDIAN(INDIRECT(ADDRESS(118+3,K$2+1,,,"Instances") &amp; ":" &amp; ADDRESS(118+3,K$2+1))),"min", MIN(INDIRECT(ADDRESS(118+3,K$2+1,,,"Instances") &amp; ":" &amp; ADDRESS(118+3,K$2+1))),"max", MAX(INDIRECT(ADDRESS(118+3,K$2+1,,,"Instances") &amp; ":" &amp; ADDRESS(118+3,K$2+1))),"diff", MAX(INDIRECT(ADDRESS(118+3,K$2+1,,,"Instances") &amp; ":" &amp; ADDRESS(118+3,K$2+1)))-MIN(INDIRECT(ADDRESS(118+3,K$2+1,,,"Instances") &amp; ":" &amp; ADDRESS(118+3,K$2+1))))</f>
        <v>0</v>
      </c>
      <c r="L123">
        <f>IFERROR(SMALL(K5:K146,ROW()-ROW($L$5)+1),"")</f>
        <v>0</v>
      </c>
      <c r="N123">
        <f>IFERROR(SUM(L5:L123),"")</f>
        <v>0</v>
      </c>
      <c r="Q123">
        <f>IF(Charts!$B$3="none",E840,IF(K840="",NA(),K840))</f>
        <v>0</v>
      </c>
      <c r="R123">
        <f>IF(Charts!$B$3="none",F840,IF(L840="",NA(),L840))</f>
        <v>0</v>
      </c>
      <c r="S123">
        <f>IF(Charts!$B$3="none",G840,IF(M840="",NA(),M840))</f>
        <v>0</v>
      </c>
      <c r="T123">
        <f>IF(Charts!$B$3="none",H840,IF(N840="",NA(),N840))</f>
        <v>0</v>
      </c>
    </row>
    <row r="124" spans="4:20">
      <c r="D124">
        <v>120</v>
      </c>
      <c r="E124">
        <f>IF(INDIRECT(ADDRESS($D124+2,E$2+1,,,"Instances"))="","",INDIRECT(ADDRESS($D124+2,E$2+1,,,"Instances")))</f>
        <v>0</v>
      </c>
      <c r="F124">
        <f>IFERROR(SMALL(E5:E146,ROW()-ROW($F$5)+1),"")</f>
        <v>0</v>
      </c>
      <c r="H124">
        <f>IFERROR(SUM(F5:F124),"")</f>
        <v>0</v>
      </c>
      <c r="J124">
        <v>120</v>
      </c>
      <c r="K124" cm="1">
        <f t="array" ref="K124">_xlfn.SWITCH(Charts!$B$3,"average", AVERAGE(INDIRECT(ADDRESS(119+3,K$2+1,,,"Instances") &amp; ":" &amp; ADDRESS(119+3,K$2+1))),"median", MEDIAN(INDIRECT(ADDRESS(119+3,K$2+1,,,"Instances") &amp; ":" &amp; ADDRESS(119+3,K$2+1))),"min", MIN(INDIRECT(ADDRESS(119+3,K$2+1,,,"Instances") &amp; ":" &amp; ADDRESS(119+3,K$2+1))),"max", MAX(INDIRECT(ADDRESS(119+3,K$2+1,,,"Instances") &amp; ":" &amp; ADDRESS(119+3,K$2+1))),"diff", MAX(INDIRECT(ADDRESS(119+3,K$2+1,,,"Instances") &amp; ":" &amp; ADDRESS(119+3,K$2+1)))-MIN(INDIRECT(ADDRESS(119+3,K$2+1,,,"Instances") &amp; ":" &amp; ADDRESS(119+3,K$2+1))))</f>
        <v>0</v>
      </c>
      <c r="L124">
        <f>IFERROR(SMALL(K5:K146,ROW()-ROW($L$5)+1),"")</f>
        <v>0</v>
      </c>
      <c r="N124">
        <f>IFERROR(SUM(L5:L124),"")</f>
        <v>0</v>
      </c>
      <c r="Q124">
        <f>IF(Charts!$B$3="none",E841,IF(K841="",NA(),K841))</f>
        <v>0</v>
      </c>
      <c r="R124">
        <f>IF(Charts!$B$3="none",F841,IF(L841="",NA(),L841))</f>
        <v>0</v>
      </c>
      <c r="S124">
        <f>IF(Charts!$B$3="none",G841,IF(M841="",NA(),M841))</f>
        <v>0</v>
      </c>
      <c r="T124">
        <f>IF(Charts!$B$3="none",H841,IF(N841="",NA(),N841))</f>
        <v>0</v>
      </c>
    </row>
    <row r="125" spans="4:20">
      <c r="D125">
        <v>121</v>
      </c>
      <c r="E125">
        <f>IF(INDIRECT(ADDRESS($D125+2,E$2+1,,,"Instances"))="","",INDIRECT(ADDRESS($D125+2,E$2+1,,,"Instances")))</f>
        <v>0</v>
      </c>
      <c r="F125">
        <f>IFERROR(SMALL(E5:E146,ROW()-ROW($F$5)+1),"")</f>
        <v>0</v>
      </c>
      <c r="H125">
        <f>IFERROR(SUM(F5:F125),"")</f>
        <v>0</v>
      </c>
      <c r="J125">
        <v>121</v>
      </c>
      <c r="K125" cm="1">
        <f t="array" ref="K125">_xlfn.SWITCH(Charts!$B$3,"average", AVERAGE(INDIRECT(ADDRESS(120+3,K$2+1,,,"Instances") &amp; ":" &amp; ADDRESS(120+3,K$2+1))),"median", MEDIAN(INDIRECT(ADDRESS(120+3,K$2+1,,,"Instances") &amp; ":" &amp; ADDRESS(120+3,K$2+1))),"min", MIN(INDIRECT(ADDRESS(120+3,K$2+1,,,"Instances") &amp; ":" &amp; ADDRESS(120+3,K$2+1))),"max", MAX(INDIRECT(ADDRESS(120+3,K$2+1,,,"Instances") &amp; ":" &amp; ADDRESS(120+3,K$2+1))),"diff", MAX(INDIRECT(ADDRESS(120+3,K$2+1,,,"Instances") &amp; ":" &amp; ADDRESS(120+3,K$2+1)))-MIN(INDIRECT(ADDRESS(120+3,K$2+1,,,"Instances") &amp; ":" &amp; ADDRESS(120+3,K$2+1))))</f>
        <v>0</v>
      </c>
      <c r="L125">
        <f>IFERROR(SMALL(K5:K146,ROW()-ROW($L$5)+1),"")</f>
        <v>0</v>
      </c>
      <c r="N125">
        <f>IFERROR(SUM(L5:L125),"")</f>
        <v>0</v>
      </c>
      <c r="Q125">
        <f>IF(Charts!$B$3="none",E842,IF(K842="",NA(),K842))</f>
        <v>0</v>
      </c>
      <c r="R125">
        <f>IF(Charts!$B$3="none",F842,IF(L842="",NA(),L842))</f>
        <v>0</v>
      </c>
      <c r="S125">
        <f>IF(Charts!$B$3="none",G842,IF(M842="",NA(),M842))</f>
        <v>0</v>
      </c>
      <c r="T125">
        <f>IF(Charts!$B$3="none",H842,IF(N842="",NA(),N842))</f>
        <v>0</v>
      </c>
    </row>
    <row r="126" spans="4:20">
      <c r="D126">
        <v>122</v>
      </c>
      <c r="E126">
        <f>IF(INDIRECT(ADDRESS($D126+2,E$2+1,,,"Instances"))="","",INDIRECT(ADDRESS($D126+2,E$2+1,,,"Instances")))</f>
        <v>0</v>
      </c>
      <c r="F126">
        <f>IFERROR(SMALL(E5:E146,ROW()-ROW($F$5)+1),"")</f>
        <v>0</v>
      </c>
      <c r="H126">
        <f>IFERROR(SUM(F5:F126),"")</f>
        <v>0</v>
      </c>
      <c r="J126">
        <v>122</v>
      </c>
      <c r="K126" cm="1">
        <f t="array" ref="K126">_xlfn.SWITCH(Charts!$B$3,"average", AVERAGE(INDIRECT(ADDRESS(121+3,K$2+1,,,"Instances") &amp; ":" &amp; ADDRESS(121+3,K$2+1))),"median", MEDIAN(INDIRECT(ADDRESS(121+3,K$2+1,,,"Instances") &amp; ":" &amp; ADDRESS(121+3,K$2+1))),"min", MIN(INDIRECT(ADDRESS(121+3,K$2+1,,,"Instances") &amp; ":" &amp; ADDRESS(121+3,K$2+1))),"max", MAX(INDIRECT(ADDRESS(121+3,K$2+1,,,"Instances") &amp; ":" &amp; ADDRESS(121+3,K$2+1))),"diff", MAX(INDIRECT(ADDRESS(121+3,K$2+1,,,"Instances") &amp; ":" &amp; ADDRESS(121+3,K$2+1)))-MIN(INDIRECT(ADDRESS(121+3,K$2+1,,,"Instances") &amp; ":" &amp; ADDRESS(121+3,K$2+1))))</f>
        <v>0</v>
      </c>
      <c r="L126">
        <f>IFERROR(SMALL(K5:K146,ROW()-ROW($L$5)+1),"")</f>
        <v>0</v>
      </c>
      <c r="N126">
        <f>IFERROR(SUM(L5:L126),"")</f>
        <v>0</v>
      </c>
      <c r="Q126">
        <f>IF(Charts!$B$3="none",E843,IF(K843="",NA(),K843))</f>
        <v>0</v>
      </c>
      <c r="R126">
        <f>IF(Charts!$B$3="none",F843,IF(L843="",NA(),L843))</f>
        <v>0</v>
      </c>
      <c r="S126">
        <f>IF(Charts!$B$3="none",G843,IF(M843="",NA(),M843))</f>
        <v>0</v>
      </c>
      <c r="T126">
        <f>IF(Charts!$B$3="none",H843,IF(N843="",NA(),N843))</f>
        <v>0</v>
      </c>
    </row>
    <row r="127" spans="4:20">
      <c r="D127">
        <v>123</v>
      </c>
      <c r="E127">
        <f>IF(INDIRECT(ADDRESS($D127+2,E$2+1,,,"Instances"))="","",INDIRECT(ADDRESS($D127+2,E$2+1,,,"Instances")))</f>
        <v>0</v>
      </c>
      <c r="F127">
        <f>IFERROR(SMALL(E5:E146,ROW()-ROW($F$5)+1),"")</f>
        <v>0</v>
      </c>
      <c r="H127">
        <f>IFERROR(SUM(F5:F127),"")</f>
        <v>0</v>
      </c>
      <c r="J127">
        <v>123</v>
      </c>
      <c r="K127" cm="1">
        <f t="array" ref="K127">_xlfn.SWITCH(Charts!$B$3,"average", AVERAGE(INDIRECT(ADDRESS(122+3,K$2+1,,,"Instances") &amp; ":" &amp; ADDRESS(122+3,K$2+1))),"median", MEDIAN(INDIRECT(ADDRESS(122+3,K$2+1,,,"Instances") &amp; ":" &amp; ADDRESS(122+3,K$2+1))),"min", MIN(INDIRECT(ADDRESS(122+3,K$2+1,,,"Instances") &amp; ":" &amp; ADDRESS(122+3,K$2+1))),"max", MAX(INDIRECT(ADDRESS(122+3,K$2+1,,,"Instances") &amp; ":" &amp; ADDRESS(122+3,K$2+1))),"diff", MAX(INDIRECT(ADDRESS(122+3,K$2+1,,,"Instances") &amp; ":" &amp; ADDRESS(122+3,K$2+1)))-MIN(INDIRECT(ADDRESS(122+3,K$2+1,,,"Instances") &amp; ":" &amp; ADDRESS(122+3,K$2+1))))</f>
        <v>0</v>
      </c>
      <c r="L127">
        <f>IFERROR(SMALL(K5:K146,ROW()-ROW($L$5)+1),"")</f>
        <v>0</v>
      </c>
      <c r="N127">
        <f>IFERROR(SUM(L5:L127),"")</f>
        <v>0</v>
      </c>
      <c r="Q127">
        <f>IF(Charts!$B$3="none",E844,IF(K844="",NA(),K844))</f>
        <v>0</v>
      </c>
      <c r="R127">
        <f>IF(Charts!$B$3="none",F844,IF(L844="",NA(),L844))</f>
        <v>0</v>
      </c>
      <c r="S127">
        <f>IF(Charts!$B$3="none",G844,IF(M844="",NA(),M844))</f>
        <v>0</v>
      </c>
      <c r="T127">
        <f>IF(Charts!$B$3="none",H844,IF(N844="",NA(),N844))</f>
        <v>0</v>
      </c>
    </row>
    <row r="128" spans="4:20">
      <c r="D128">
        <v>124</v>
      </c>
      <c r="E128">
        <f>IF(INDIRECT(ADDRESS($D128+2,E$2+1,,,"Instances"))="","",INDIRECT(ADDRESS($D128+2,E$2+1,,,"Instances")))</f>
        <v>0</v>
      </c>
      <c r="F128">
        <f>IFERROR(SMALL(E5:E146,ROW()-ROW($F$5)+1),"")</f>
        <v>0</v>
      </c>
      <c r="H128">
        <f>IFERROR(SUM(F5:F128),"")</f>
        <v>0</v>
      </c>
      <c r="J128">
        <v>124</v>
      </c>
      <c r="K128" cm="1">
        <f t="array" ref="K128">_xlfn.SWITCH(Charts!$B$3,"average", AVERAGE(INDIRECT(ADDRESS(123+3,K$2+1,,,"Instances") &amp; ":" &amp; ADDRESS(123+3,K$2+1))),"median", MEDIAN(INDIRECT(ADDRESS(123+3,K$2+1,,,"Instances") &amp; ":" &amp; ADDRESS(123+3,K$2+1))),"min", MIN(INDIRECT(ADDRESS(123+3,K$2+1,,,"Instances") &amp; ":" &amp; ADDRESS(123+3,K$2+1))),"max", MAX(INDIRECT(ADDRESS(123+3,K$2+1,,,"Instances") &amp; ":" &amp; ADDRESS(123+3,K$2+1))),"diff", MAX(INDIRECT(ADDRESS(123+3,K$2+1,,,"Instances") &amp; ":" &amp; ADDRESS(123+3,K$2+1)))-MIN(INDIRECT(ADDRESS(123+3,K$2+1,,,"Instances") &amp; ":" &amp; ADDRESS(123+3,K$2+1))))</f>
        <v>0</v>
      </c>
      <c r="L128">
        <f>IFERROR(SMALL(K5:K146,ROW()-ROW($L$5)+1),"")</f>
        <v>0</v>
      </c>
      <c r="N128">
        <f>IFERROR(SUM(L5:L128),"")</f>
        <v>0</v>
      </c>
      <c r="Q128">
        <f>IF(Charts!$B$3="none",E845,IF(K845="",NA(),K845))</f>
        <v>0</v>
      </c>
      <c r="R128">
        <f>IF(Charts!$B$3="none",F845,IF(L845="",NA(),L845))</f>
        <v>0</v>
      </c>
      <c r="S128">
        <f>IF(Charts!$B$3="none",G845,IF(M845="",NA(),M845))</f>
        <v>0</v>
      </c>
      <c r="T128">
        <f>IF(Charts!$B$3="none",H845,IF(N845="",NA(),N845))</f>
        <v>0</v>
      </c>
    </row>
    <row r="129" spans="4:20">
      <c r="D129">
        <v>125</v>
      </c>
      <c r="E129">
        <f>IF(INDIRECT(ADDRESS($D129+2,E$2+1,,,"Instances"))="","",INDIRECT(ADDRESS($D129+2,E$2+1,,,"Instances")))</f>
        <v>0</v>
      </c>
      <c r="F129">
        <f>IFERROR(SMALL(E5:E146,ROW()-ROW($F$5)+1),"")</f>
        <v>0</v>
      </c>
      <c r="H129">
        <f>IFERROR(SUM(F5:F129),"")</f>
        <v>0</v>
      </c>
      <c r="J129">
        <v>125</v>
      </c>
      <c r="K129" cm="1">
        <f t="array" ref="K129">_xlfn.SWITCH(Charts!$B$3,"average", AVERAGE(INDIRECT(ADDRESS(124+3,K$2+1,,,"Instances") &amp; ":" &amp; ADDRESS(124+3,K$2+1))),"median", MEDIAN(INDIRECT(ADDRESS(124+3,K$2+1,,,"Instances") &amp; ":" &amp; ADDRESS(124+3,K$2+1))),"min", MIN(INDIRECT(ADDRESS(124+3,K$2+1,,,"Instances") &amp; ":" &amp; ADDRESS(124+3,K$2+1))),"max", MAX(INDIRECT(ADDRESS(124+3,K$2+1,,,"Instances") &amp; ":" &amp; ADDRESS(124+3,K$2+1))),"diff", MAX(INDIRECT(ADDRESS(124+3,K$2+1,,,"Instances") &amp; ":" &amp; ADDRESS(124+3,K$2+1)))-MIN(INDIRECT(ADDRESS(124+3,K$2+1,,,"Instances") &amp; ":" &amp; ADDRESS(124+3,K$2+1))))</f>
        <v>0</v>
      </c>
      <c r="L129">
        <f>IFERROR(SMALL(K5:K146,ROW()-ROW($L$5)+1),"")</f>
        <v>0</v>
      </c>
      <c r="N129">
        <f>IFERROR(SUM(L5:L129),"")</f>
        <v>0</v>
      </c>
      <c r="Q129">
        <f>IF(Charts!$B$3="none",E846,IF(K846="",NA(),K846))</f>
        <v>0</v>
      </c>
      <c r="R129">
        <f>IF(Charts!$B$3="none",F846,IF(L846="",NA(),L846))</f>
        <v>0</v>
      </c>
      <c r="S129">
        <f>IF(Charts!$B$3="none",G846,IF(M846="",NA(),M846))</f>
        <v>0</v>
      </c>
      <c r="T129">
        <f>IF(Charts!$B$3="none",H846,IF(N846="",NA(),N846))</f>
        <v>0</v>
      </c>
    </row>
    <row r="130" spans="4:20">
      <c r="D130">
        <v>126</v>
      </c>
      <c r="E130">
        <f>IF(INDIRECT(ADDRESS($D130+2,E$2+1,,,"Instances"))="","",INDIRECT(ADDRESS($D130+2,E$2+1,,,"Instances")))</f>
        <v>0</v>
      </c>
      <c r="F130">
        <f>IFERROR(SMALL(E5:E146,ROW()-ROW($F$5)+1),"")</f>
        <v>0</v>
      </c>
      <c r="H130">
        <f>IFERROR(SUM(F5:F130),"")</f>
        <v>0</v>
      </c>
      <c r="J130">
        <v>126</v>
      </c>
      <c r="K130" cm="1">
        <f t="array" ref="K130">_xlfn.SWITCH(Charts!$B$3,"average", AVERAGE(INDIRECT(ADDRESS(125+3,K$2+1,,,"Instances") &amp; ":" &amp; ADDRESS(125+3,K$2+1))),"median", MEDIAN(INDIRECT(ADDRESS(125+3,K$2+1,,,"Instances") &amp; ":" &amp; ADDRESS(125+3,K$2+1))),"min", MIN(INDIRECT(ADDRESS(125+3,K$2+1,,,"Instances") &amp; ":" &amp; ADDRESS(125+3,K$2+1))),"max", MAX(INDIRECT(ADDRESS(125+3,K$2+1,,,"Instances") &amp; ":" &amp; ADDRESS(125+3,K$2+1))),"diff", MAX(INDIRECT(ADDRESS(125+3,K$2+1,,,"Instances") &amp; ":" &amp; ADDRESS(125+3,K$2+1)))-MIN(INDIRECT(ADDRESS(125+3,K$2+1,,,"Instances") &amp; ":" &amp; ADDRESS(125+3,K$2+1))))</f>
        <v>0</v>
      </c>
      <c r="L130">
        <f>IFERROR(SMALL(K5:K146,ROW()-ROW($L$5)+1),"")</f>
        <v>0</v>
      </c>
      <c r="N130">
        <f>IFERROR(SUM(L5:L130),"")</f>
        <v>0</v>
      </c>
      <c r="Q130">
        <f>IF(Charts!$B$3="none",E847,IF(K847="",NA(),K847))</f>
        <v>0</v>
      </c>
      <c r="R130">
        <f>IF(Charts!$B$3="none",F847,IF(L847="",NA(),L847))</f>
        <v>0</v>
      </c>
      <c r="S130">
        <f>IF(Charts!$B$3="none",G847,IF(M847="",NA(),M847))</f>
        <v>0</v>
      </c>
      <c r="T130">
        <f>IF(Charts!$B$3="none",H847,IF(N847="",NA(),N847))</f>
        <v>0</v>
      </c>
    </row>
    <row r="131" spans="4:20">
      <c r="D131">
        <v>127</v>
      </c>
      <c r="E131">
        <f>IF(INDIRECT(ADDRESS($D131+2,E$2+1,,,"Instances"))="","",INDIRECT(ADDRESS($D131+2,E$2+1,,,"Instances")))</f>
        <v>0</v>
      </c>
      <c r="F131">
        <f>IFERROR(SMALL(E5:E146,ROW()-ROW($F$5)+1),"")</f>
        <v>0</v>
      </c>
      <c r="H131">
        <f>IFERROR(SUM(F5:F131),"")</f>
        <v>0</v>
      </c>
      <c r="J131">
        <v>127</v>
      </c>
      <c r="K131" cm="1">
        <f t="array" ref="K131">_xlfn.SWITCH(Charts!$B$3,"average", AVERAGE(INDIRECT(ADDRESS(126+3,K$2+1,,,"Instances") &amp; ":" &amp; ADDRESS(126+3,K$2+1))),"median", MEDIAN(INDIRECT(ADDRESS(126+3,K$2+1,,,"Instances") &amp; ":" &amp; ADDRESS(126+3,K$2+1))),"min", MIN(INDIRECT(ADDRESS(126+3,K$2+1,,,"Instances") &amp; ":" &amp; ADDRESS(126+3,K$2+1))),"max", MAX(INDIRECT(ADDRESS(126+3,K$2+1,,,"Instances") &amp; ":" &amp; ADDRESS(126+3,K$2+1))),"diff", MAX(INDIRECT(ADDRESS(126+3,K$2+1,,,"Instances") &amp; ":" &amp; ADDRESS(126+3,K$2+1)))-MIN(INDIRECT(ADDRESS(126+3,K$2+1,,,"Instances") &amp; ":" &amp; ADDRESS(126+3,K$2+1))))</f>
        <v>0</v>
      </c>
      <c r="L131">
        <f>IFERROR(SMALL(K5:K146,ROW()-ROW($L$5)+1),"")</f>
        <v>0</v>
      </c>
      <c r="N131">
        <f>IFERROR(SUM(L5:L131),"")</f>
        <v>0</v>
      </c>
      <c r="Q131">
        <f>IF(Charts!$B$3="none",E848,IF(K848="",NA(),K848))</f>
        <v>0</v>
      </c>
      <c r="R131">
        <f>IF(Charts!$B$3="none",F848,IF(L848="",NA(),L848))</f>
        <v>0</v>
      </c>
      <c r="S131">
        <f>IF(Charts!$B$3="none",G848,IF(M848="",NA(),M848))</f>
        <v>0</v>
      </c>
      <c r="T131">
        <f>IF(Charts!$B$3="none",H848,IF(N848="",NA(),N848))</f>
        <v>0</v>
      </c>
    </row>
    <row r="132" spans="4:20">
      <c r="D132">
        <v>128</v>
      </c>
      <c r="E132">
        <f>IF(INDIRECT(ADDRESS($D132+2,E$2+1,,,"Instances"))="","",INDIRECT(ADDRESS($D132+2,E$2+1,,,"Instances")))</f>
        <v>0</v>
      </c>
      <c r="F132">
        <f>IFERROR(SMALL(E5:E146,ROW()-ROW($F$5)+1),"")</f>
        <v>0</v>
      </c>
      <c r="H132">
        <f>IFERROR(SUM(F5:F132),"")</f>
        <v>0</v>
      </c>
      <c r="J132">
        <v>128</v>
      </c>
      <c r="K132" cm="1">
        <f t="array" ref="K132">_xlfn.SWITCH(Charts!$B$3,"average", AVERAGE(INDIRECT(ADDRESS(127+3,K$2+1,,,"Instances") &amp; ":" &amp; ADDRESS(127+3,K$2+1))),"median", MEDIAN(INDIRECT(ADDRESS(127+3,K$2+1,,,"Instances") &amp; ":" &amp; ADDRESS(127+3,K$2+1))),"min", MIN(INDIRECT(ADDRESS(127+3,K$2+1,,,"Instances") &amp; ":" &amp; ADDRESS(127+3,K$2+1))),"max", MAX(INDIRECT(ADDRESS(127+3,K$2+1,,,"Instances") &amp; ":" &amp; ADDRESS(127+3,K$2+1))),"diff", MAX(INDIRECT(ADDRESS(127+3,K$2+1,,,"Instances") &amp; ":" &amp; ADDRESS(127+3,K$2+1)))-MIN(INDIRECT(ADDRESS(127+3,K$2+1,,,"Instances") &amp; ":" &amp; ADDRESS(127+3,K$2+1))))</f>
        <v>0</v>
      </c>
      <c r="L132">
        <f>IFERROR(SMALL(K5:K146,ROW()-ROW($L$5)+1),"")</f>
        <v>0</v>
      </c>
      <c r="N132">
        <f>IFERROR(SUM(L5:L132),"")</f>
        <v>0</v>
      </c>
      <c r="Q132">
        <f>IF(Charts!$B$3="none",E849,IF(K849="",NA(),K849))</f>
        <v>0</v>
      </c>
      <c r="R132">
        <f>IF(Charts!$B$3="none",F849,IF(L849="",NA(),L849))</f>
        <v>0</v>
      </c>
      <c r="S132">
        <f>IF(Charts!$B$3="none",G849,IF(M849="",NA(),M849))</f>
        <v>0</v>
      </c>
      <c r="T132">
        <f>IF(Charts!$B$3="none",H849,IF(N849="",NA(),N849))</f>
        <v>0</v>
      </c>
    </row>
    <row r="133" spans="4:20">
      <c r="D133">
        <v>129</v>
      </c>
      <c r="E133">
        <f>IF(INDIRECT(ADDRESS($D133+2,E$2+1,,,"Instances"))="","",INDIRECT(ADDRESS($D133+2,E$2+1,,,"Instances")))</f>
        <v>0</v>
      </c>
      <c r="F133">
        <f>IFERROR(SMALL(E5:E146,ROW()-ROW($F$5)+1),"")</f>
        <v>0</v>
      </c>
      <c r="H133">
        <f>IFERROR(SUM(F5:F133),"")</f>
        <v>0</v>
      </c>
      <c r="J133">
        <v>129</v>
      </c>
      <c r="K133" cm="1">
        <f t="array" ref="K133">_xlfn.SWITCH(Charts!$B$3,"average", AVERAGE(INDIRECT(ADDRESS(128+3,K$2+1,,,"Instances") &amp; ":" &amp; ADDRESS(128+3,K$2+1))),"median", MEDIAN(INDIRECT(ADDRESS(128+3,K$2+1,,,"Instances") &amp; ":" &amp; ADDRESS(128+3,K$2+1))),"min", MIN(INDIRECT(ADDRESS(128+3,K$2+1,,,"Instances") &amp; ":" &amp; ADDRESS(128+3,K$2+1))),"max", MAX(INDIRECT(ADDRESS(128+3,K$2+1,,,"Instances") &amp; ":" &amp; ADDRESS(128+3,K$2+1))),"diff", MAX(INDIRECT(ADDRESS(128+3,K$2+1,,,"Instances") &amp; ":" &amp; ADDRESS(128+3,K$2+1)))-MIN(INDIRECT(ADDRESS(128+3,K$2+1,,,"Instances") &amp; ":" &amp; ADDRESS(128+3,K$2+1))))</f>
        <v>0</v>
      </c>
      <c r="L133">
        <f>IFERROR(SMALL(K5:K146,ROW()-ROW($L$5)+1),"")</f>
        <v>0</v>
      </c>
      <c r="N133">
        <f>IFERROR(SUM(L5:L133),"")</f>
        <v>0</v>
      </c>
      <c r="Q133">
        <f>IF(Charts!$B$3="none",E850,IF(K850="",NA(),K850))</f>
        <v>0</v>
      </c>
      <c r="R133">
        <f>IF(Charts!$B$3="none",F850,IF(L850="",NA(),L850))</f>
        <v>0</v>
      </c>
      <c r="S133">
        <f>IF(Charts!$B$3="none",G850,IF(M850="",NA(),M850))</f>
        <v>0</v>
      </c>
      <c r="T133">
        <f>IF(Charts!$B$3="none",H850,IF(N850="",NA(),N850))</f>
        <v>0</v>
      </c>
    </row>
    <row r="134" spans="4:20">
      <c r="D134">
        <v>130</v>
      </c>
      <c r="E134">
        <f>IF(INDIRECT(ADDRESS($D134+2,E$2+1,,,"Instances"))="","",INDIRECT(ADDRESS($D134+2,E$2+1,,,"Instances")))</f>
        <v>0</v>
      </c>
      <c r="F134">
        <f>IFERROR(SMALL(E5:E146,ROW()-ROW($F$5)+1),"")</f>
        <v>0</v>
      </c>
      <c r="H134">
        <f>IFERROR(SUM(F5:F134),"")</f>
        <v>0</v>
      </c>
      <c r="J134">
        <v>130</v>
      </c>
      <c r="K134" cm="1">
        <f t="array" ref="K134">_xlfn.SWITCH(Charts!$B$3,"average", AVERAGE(INDIRECT(ADDRESS(129+3,K$2+1,,,"Instances") &amp; ":" &amp; ADDRESS(129+3,K$2+1))),"median", MEDIAN(INDIRECT(ADDRESS(129+3,K$2+1,,,"Instances") &amp; ":" &amp; ADDRESS(129+3,K$2+1))),"min", MIN(INDIRECT(ADDRESS(129+3,K$2+1,,,"Instances") &amp; ":" &amp; ADDRESS(129+3,K$2+1))),"max", MAX(INDIRECT(ADDRESS(129+3,K$2+1,,,"Instances") &amp; ":" &amp; ADDRESS(129+3,K$2+1))),"diff", MAX(INDIRECT(ADDRESS(129+3,K$2+1,,,"Instances") &amp; ":" &amp; ADDRESS(129+3,K$2+1)))-MIN(INDIRECT(ADDRESS(129+3,K$2+1,,,"Instances") &amp; ":" &amp; ADDRESS(129+3,K$2+1))))</f>
        <v>0</v>
      </c>
      <c r="L134">
        <f>IFERROR(SMALL(K5:K146,ROW()-ROW($L$5)+1),"")</f>
        <v>0</v>
      </c>
      <c r="N134">
        <f>IFERROR(SUM(L5:L134),"")</f>
        <v>0</v>
      </c>
      <c r="Q134">
        <f>IF(Charts!$B$3="none",E851,IF(K851="",NA(),K851))</f>
        <v>0</v>
      </c>
      <c r="R134">
        <f>IF(Charts!$B$3="none",F851,IF(L851="",NA(),L851))</f>
        <v>0</v>
      </c>
      <c r="S134">
        <f>IF(Charts!$B$3="none",G851,IF(M851="",NA(),M851))</f>
        <v>0</v>
      </c>
      <c r="T134">
        <f>IF(Charts!$B$3="none",H851,IF(N851="",NA(),N851))</f>
        <v>0</v>
      </c>
    </row>
    <row r="135" spans="4:20">
      <c r="D135">
        <v>131</v>
      </c>
      <c r="E135">
        <f>IF(INDIRECT(ADDRESS($D135+2,E$2+1,,,"Instances"))="","",INDIRECT(ADDRESS($D135+2,E$2+1,,,"Instances")))</f>
        <v>0</v>
      </c>
      <c r="F135">
        <f>IFERROR(SMALL(E5:E146,ROW()-ROW($F$5)+1),"")</f>
        <v>0</v>
      </c>
      <c r="H135">
        <f>IFERROR(SUM(F5:F135),"")</f>
        <v>0</v>
      </c>
      <c r="J135">
        <v>131</v>
      </c>
      <c r="K135" cm="1">
        <f t="array" ref="K135">_xlfn.SWITCH(Charts!$B$3,"average", AVERAGE(INDIRECT(ADDRESS(130+3,K$2+1,,,"Instances") &amp; ":" &amp; ADDRESS(130+3,K$2+1))),"median", MEDIAN(INDIRECT(ADDRESS(130+3,K$2+1,,,"Instances") &amp; ":" &amp; ADDRESS(130+3,K$2+1))),"min", MIN(INDIRECT(ADDRESS(130+3,K$2+1,,,"Instances") &amp; ":" &amp; ADDRESS(130+3,K$2+1))),"max", MAX(INDIRECT(ADDRESS(130+3,K$2+1,,,"Instances") &amp; ":" &amp; ADDRESS(130+3,K$2+1))),"diff", MAX(INDIRECT(ADDRESS(130+3,K$2+1,,,"Instances") &amp; ":" &amp; ADDRESS(130+3,K$2+1)))-MIN(INDIRECT(ADDRESS(130+3,K$2+1,,,"Instances") &amp; ":" &amp; ADDRESS(130+3,K$2+1))))</f>
        <v>0</v>
      </c>
      <c r="L135">
        <f>IFERROR(SMALL(K5:K146,ROW()-ROW($L$5)+1),"")</f>
        <v>0</v>
      </c>
      <c r="N135">
        <f>IFERROR(SUM(L5:L135),"")</f>
        <v>0</v>
      </c>
      <c r="Q135">
        <f>IF(Charts!$B$3="none",E852,IF(K852="",NA(),K852))</f>
        <v>0</v>
      </c>
      <c r="R135">
        <f>IF(Charts!$B$3="none",F852,IF(L852="",NA(),L852))</f>
        <v>0</v>
      </c>
      <c r="S135">
        <f>IF(Charts!$B$3="none",G852,IF(M852="",NA(),M852))</f>
        <v>0</v>
      </c>
      <c r="T135">
        <f>IF(Charts!$B$3="none",H852,IF(N852="",NA(),N852))</f>
        <v>0</v>
      </c>
    </row>
    <row r="136" spans="4:20">
      <c r="D136">
        <v>132</v>
      </c>
      <c r="E136">
        <f>IF(INDIRECT(ADDRESS($D136+2,E$2+1,,,"Instances"))="","",INDIRECT(ADDRESS($D136+2,E$2+1,,,"Instances")))</f>
        <v>0</v>
      </c>
      <c r="F136">
        <f>IFERROR(SMALL(E5:E146,ROW()-ROW($F$5)+1),"")</f>
        <v>0</v>
      </c>
      <c r="H136">
        <f>IFERROR(SUM(F5:F136),"")</f>
        <v>0</v>
      </c>
      <c r="J136">
        <v>132</v>
      </c>
      <c r="K136" cm="1">
        <f t="array" ref="K136">_xlfn.SWITCH(Charts!$B$3,"average", AVERAGE(INDIRECT(ADDRESS(131+3,K$2+1,,,"Instances") &amp; ":" &amp; ADDRESS(131+3,K$2+1))),"median", MEDIAN(INDIRECT(ADDRESS(131+3,K$2+1,,,"Instances") &amp; ":" &amp; ADDRESS(131+3,K$2+1))),"min", MIN(INDIRECT(ADDRESS(131+3,K$2+1,,,"Instances") &amp; ":" &amp; ADDRESS(131+3,K$2+1))),"max", MAX(INDIRECT(ADDRESS(131+3,K$2+1,,,"Instances") &amp; ":" &amp; ADDRESS(131+3,K$2+1))),"diff", MAX(INDIRECT(ADDRESS(131+3,K$2+1,,,"Instances") &amp; ":" &amp; ADDRESS(131+3,K$2+1)))-MIN(INDIRECT(ADDRESS(131+3,K$2+1,,,"Instances") &amp; ":" &amp; ADDRESS(131+3,K$2+1))))</f>
        <v>0</v>
      </c>
      <c r="L136">
        <f>IFERROR(SMALL(K5:K146,ROW()-ROW($L$5)+1),"")</f>
        <v>0</v>
      </c>
      <c r="N136">
        <f>IFERROR(SUM(L5:L136),"")</f>
        <v>0</v>
      </c>
      <c r="Q136">
        <f>IF(Charts!$B$3="none",E853,IF(K853="",NA(),K853))</f>
        <v>0</v>
      </c>
      <c r="R136">
        <f>IF(Charts!$B$3="none",F853,IF(L853="",NA(),L853))</f>
        <v>0</v>
      </c>
      <c r="S136">
        <f>IF(Charts!$B$3="none",G853,IF(M853="",NA(),M853))</f>
        <v>0</v>
      </c>
      <c r="T136">
        <f>IF(Charts!$B$3="none",H853,IF(N853="",NA(),N853))</f>
        <v>0</v>
      </c>
    </row>
    <row r="137" spans="4:20">
      <c r="D137">
        <v>133</v>
      </c>
      <c r="E137">
        <f>IF(INDIRECT(ADDRESS($D137+2,E$2+1,,,"Instances"))="","",INDIRECT(ADDRESS($D137+2,E$2+1,,,"Instances")))</f>
        <v>0</v>
      </c>
      <c r="F137">
        <f>IFERROR(SMALL(E5:E146,ROW()-ROW($F$5)+1),"")</f>
        <v>0</v>
      </c>
      <c r="H137">
        <f>IFERROR(SUM(F5:F137),"")</f>
        <v>0</v>
      </c>
      <c r="J137">
        <v>133</v>
      </c>
      <c r="K137" cm="1">
        <f t="array" ref="K137">_xlfn.SWITCH(Charts!$B$3,"average", AVERAGE(INDIRECT(ADDRESS(132+3,K$2+1,,,"Instances") &amp; ":" &amp; ADDRESS(132+3,K$2+1))),"median", MEDIAN(INDIRECT(ADDRESS(132+3,K$2+1,,,"Instances") &amp; ":" &amp; ADDRESS(132+3,K$2+1))),"min", MIN(INDIRECT(ADDRESS(132+3,K$2+1,,,"Instances") &amp; ":" &amp; ADDRESS(132+3,K$2+1))),"max", MAX(INDIRECT(ADDRESS(132+3,K$2+1,,,"Instances") &amp; ":" &amp; ADDRESS(132+3,K$2+1))),"diff", MAX(INDIRECT(ADDRESS(132+3,K$2+1,,,"Instances") &amp; ":" &amp; ADDRESS(132+3,K$2+1)))-MIN(INDIRECT(ADDRESS(132+3,K$2+1,,,"Instances") &amp; ":" &amp; ADDRESS(132+3,K$2+1))))</f>
        <v>0</v>
      </c>
      <c r="L137">
        <f>IFERROR(SMALL(K5:K146,ROW()-ROW($L$5)+1),"")</f>
        <v>0</v>
      </c>
      <c r="N137">
        <f>IFERROR(SUM(L5:L137),"")</f>
        <v>0</v>
      </c>
      <c r="Q137">
        <f>IF(Charts!$B$3="none",E854,IF(K854="",NA(),K854))</f>
        <v>0</v>
      </c>
      <c r="R137">
        <f>IF(Charts!$B$3="none",F854,IF(L854="",NA(),L854))</f>
        <v>0</v>
      </c>
      <c r="S137">
        <f>IF(Charts!$B$3="none",G854,IF(M854="",NA(),M854))</f>
        <v>0</v>
      </c>
      <c r="T137">
        <f>IF(Charts!$B$3="none",H854,IF(N854="",NA(),N854))</f>
        <v>0</v>
      </c>
    </row>
    <row r="138" spans="4:20">
      <c r="D138">
        <v>134</v>
      </c>
      <c r="E138">
        <f>IF(INDIRECT(ADDRESS($D138+2,E$2+1,,,"Instances"))="","",INDIRECT(ADDRESS($D138+2,E$2+1,,,"Instances")))</f>
        <v>0</v>
      </c>
      <c r="F138">
        <f>IFERROR(SMALL(E5:E146,ROW()-ROW($F$5)+1),"")</f>
        <v>0</v>
      </c>
      <c r="H138">
        <f>IFERROR(SUM(F5:F138),"")</f>
        <v>0</v>
      </c>
      <c r="J138">
        <v>134</v>
      </c>
      <c r="K138" cm="1">
        <f t="array" ref="K138">_xlfn.SWITCH(Charts!$B$3,"average", AVERAGE(INDIRECT(ADDRESS(133+3,K$2+1,,,"Instances") &amp; ":" &amp; ADDRESS(133+3,K$2+1))),"median", MEDIAN(INDIRECT(ADDRESS(133+3,K$2+1,,,"Instances") &amp; ":" &amp; ADDRESS(133+3,K$2+1))),"min", MIN(INDIRECT(ADDRESS(133+3,K$2+1,,,"Instances") &amp; ":" &amp; ADDRESS(133+3,K$2+1))),"max", MAX(INDIRECT(ADDRESS(133+3,K$2+1,,,"Instances") &amp; ":" &amp; ADDRESS(133+3,K$2+1))),"diff", MAX(INDIRECT(ADDRESS(133+3,K$2+1,,,"Instances") &amp; ":" &amp; ADDRESS(133+3,K$2+1)))-MIN(INDIRECT(ADDRESS(133+3,K$2+1,,,"Instances") &amp; ":" &amp; ADDRESS(133+3,K$2+1))))</f>
        <v>0</v>
      </c>
      <c r="L138">
        <f>IFERROR(SMALL(K5:K146,ROW()-ROW($L$5)+1),"")</f>
        <v>0</v>
      </c>
      <c r="N138">
        <f>IFERROR(SUM(L5:L138),"")</f>
        <v>0</v>
      </c>
      <c r="Q138">
        <f>IF(Charts!$B$3="none",E855,IF(K855="",NA(),K855))</f>
        <v>0</v>
      </c>
      <c r="R138">
        <f>IF(Charts!$B$3="none",F855,IF(L855="",NA(),L855))</f>
        <v>0</v>
      </c>
      <c r="S138">
        <f>IF(Charts!$B$3="none",G855,IF(M855="",NA(),M855))</f>
        <v>0</v>
      </c>
      <c r="T138">
        <f>IF(Charts!$B$3="none",H855,IF(N855="",NA(),N855))</f>
        <v>0</v>
      </c>
    </row>
    <row r="139" spans="4:20">
      <c r="D139">
        <v>135</v>
      </c>
      <c r="E139">
        <f>IF(INDIRECT(ADDRESS($D139+2,E$2+1,,,"Instances"))="","",INDIRECT(ADDRESS($D139+2,E$2+1,,,"Instances")))</f>
        <v>0</v>
      </c>
      <c r="F139">
        <f>IFERROR(SMALL(E5:E146,ROW()-ROW($F$5)+1),"")</f>
        <v>0</v>
      </c>
      <c r="H139">
        <f>IFERROR(SUM(F5:F139),"")</f>
        <v>0</v>
      </c>
      <c r="J139">
        <v>135</v>
      </c>
      <c r="K139" cm="1">
        <f t="array" ref="K139">_xlfn.SWITCH(Charts!$B$3,"average", AVERAGE(INDIRECT(ADDRESS(134+3,K$2+1,,,"Instances") &amp; ":" &amp; ADDRESS(134+3,K$2+1))),"median", MEDIAN(INDIRECT(ADDRESS(134+3,K$2+1,,,"Instances") &amp; ":" &amp; ADDRESS(134+3,K$2+1))),"min", MIN(INDIRECT(ADDRESS(134+3,K$2+1,,,"Instances") &amp; ":" &amp; ADDRESS(134+3,K$2+1))),"max", MAX(INDIRECT(ADDRESS(134+3,K$2+1,,,"Instances") &amp; ":" &amp; ADDRESS(134+3,K$2+1))),"diff", MAX(INDIRECT(ADDRESS(134+3,K$2+1,,,"Instances") &amp; ":" &amp; ADDRESS(134+3,K$2+1)))-MIN(INDIRECT(ADDRESS(134+3,K$2+1,,,"Instances") &amp; ":" &amp; ADDRESS(134+3,K$2+1))))</f>
        <v>0</v>
      </c>
      <c r="L139">
        <f>IFERROR(SMALL(K5:K146,ROW()-ROW($L$5)+1),"")</f>
        <v>0</v>
      </c>
      <c r="N139">
        <f>IFERROR(SUM(L5:L139),"")</f>
        <v>0</v>
      </c>
      <c r="Q139">
        <f>IF(Charts!$B$3="none",E856,IF(K856="",NA(),K856))</f>
        <v>0</v>
      </c>
      <c r="R139">
        <f>IF(Charts!$B$3="none",F856,IF(L856="",NA(),L856))</f>
        <v>0</v>
      </c>
      <c r="S139">
        <f>IF(Charts!$B$3="none",G856,IF(M856="",NA(),M856))</f>
        <v>0</v>
      </c>
      <c r="T139">
        <f>IF(Charts!$B$3="none",H856,IF(N856="",NA(),N856))</f>
        <v>0</v>
      </c>
    </row>
    <row r="140" spans="4:20">
      <c r="D140">
        <v>136</v>
      </c>
      <c r="E140">
        <f>IF(INDIRECT(ADDRESS($D140+2,E$2+1,,,"Instances"))="","",INDIRECT(ADDRESS($D140+2,E$2+1,,,"Instances")))</f>
        <v>0</v>
      </c>
      <c r="F140">
        <f>IFERROR(SMALL(E5:E146,ROW()-ROW($F$5)+1),"")</f>
        <v>0</v>
      </c>
      <c r="H140">
        <f>IFERROR(SUM(F5:F140),"")</f>
        <v>0</v>
      </c>
      <c r="J140">
        <v>136</v>
      </c>
      <c r="K140" cm="1">
        <f t="array" ref="K140">_xlfn.SWITCH(Charts!$B$3,"average", AVERAGE(INDIRECT(ADDRESS(135+3,K$2+1,,,"Instances") &amp; ":" &amp; ADDRESS(135+3,K$2+1))),"median", MEDIAN(INDIRECT(ADDRESS(135+3,K$2+1,,,"Instances") &amp; ":" &amp; ADDRESS(135+3,K$2+1))),"min", MIN(INDIRECT(ADDRESS(135+3,K$2+1,,,"Instances") &amp; ":" &amp; ADDRESS(135+3,K$2+1))),"max", MAX(INDIRECT(ADDRESS(135+3,K$2+1,,,"Instances") &amp; ":" &amp; ADDRESS(135+3,K$2+1))),"diff", MAX(INDIRECT(ADDRESS(135+3,K$2+1,,,"Instances") &amp; ":" &amp; ADDRESS(135+3,K$2+1)))-MIN(INDIRECT(ADDRESS(135+3,K$2+1,,,"Instances") &amp; ":" &amp; ADDRESS(135+3,K$2+1))))</f>
        <v>0</v>
      </c>
      <c r="L140">
        <f>IFERROR(SMALL(K5:K146,ROW()-ROW($L$5)+1),"")</f>
        <v>0</v>
      </c>
      <c r="N140">
        <f>IFERROR(SUM(L5:L140),"")</f>
        <v>0</v>
      </c>
      <c r="Q140">
        <f>IF(Charts!$B$3="none",E857,IF(K857="",NA(),K857))</f>
        <v>0</v>
      </c>
      <c r="R140">
        <f>IF(Charts!$B$3="none",F857,IF(L857="",NA(),L857))</f>
        <v>0</v>
      </c>
      <c r="S140">
        <f>IF(Charts!$B$3="none",G857,IF(M857="",NA(),M857))</f>
        <v>0</v>
      </c>
      <c r="T140">
        <f>IF(Charts!$B$3="none",H857,IF(N857="",NA(),N857))</f>
        <v>0</v>
      </c>
    </row>
    <row r="141" spans="4:20">
      <c r="D141">
        <v>137</v>
      </c>
      <c r="E141">
        <f>IF(INDIRECT(ADDRESS($D141+2,E$2+1,,,"Instances"))="","",INDIRECT(ADDRESS($D141+2,E$2+1,,,"Instances")))</f>
        <v>0</v>
      </c>
      <c r="F141">
        <f>IFERROR(SMALL(E5:E146,ROW()-ROW($F$5)+1),"")</f>
        <v>0</v>
      </c>
      <c r="H141">
        <f>IFERROR(SUM(F5:F141),"")</f>
        <v>0</v>
      </c>
      <c r="J141">
        <v>137</v>
      </c>
      <c r="K141" cm="1">
        <f t="array" ref="K141">_xlfn.SWITCH(Charts!$B$3,"average", AVERAGE(INDIRECT(ADDRESS(136+3,K$2+1,,,"Instances") &amp; ":" &amp; ADDRESS(136+3,K$2+1))),"median", MEDIAN(INDIRECT(ADDRESS(136+3,K$2+1,,,"Instances") &amp; ":" &amp; ADDRESS(136+3,K$2+1))),"min", MIN(INDIRECT(ADDRESS(136+3,K$2+1,,,"Instances") &amp; ":" &amp; ADDRESS(136+3,K$2+1))),"max", MAX(INDIRECT(ADDRESS(136+3,K$2+1,,,"Instances") &amp; ":" &amp; ADDRESS(136+3,K$2+1))),"diff", MAX(INDIRECT(ADDRESS(136+3,K$2+1,,,"Instances") &amp; ":" &amp; ADDRESS(136+3,K$2+1)))-MIN(INDIRECT(ADDRESS(136+3,K$2+1,,,"Instances") &amp; ":" &amp; ADDRESS(136+3,K$2+1))))</f>
        <v>0</v>
      </c>
      <c r="L141">
        <f>IFERROR(SMALL(K5:K146,ROW()-ROW($L$5)+1),"")</f>
        <v>0</v>
      </c>
      <c r="N141">
        <f>IFERROR(SUM(L5:L141),"")</f>
        <v>0</v>
      </c>
      <c r="Q141">
        <f>IF(Charts!$B$3="none",E858,IF(K858="",NA(),K858))</f>
        <v>0</v>
      </c>
      <c r="R141">
        <f>IF(Charts!$B$3="none",F858,IF(L858="",NA(),L858))</f>
        <v>0</v>
      </c>
      <c r="S141">
        <f>IF(Charts!$B$3="none",G858,IF(M858="",NA(),M858))</f>
        <v>0</v>
      </c>
      <c r="T141">
        <f>IF(Charts!$B$3="none",H858,IF(N858="",NA(),N858))</f>
        <v>0</v>
      </c>
    </row>
    <row r="142" spans="4:20">
      <c r="D142">
        <v>138</v>
      </c>
      <c r="E142">
        <f>IF(INDIRECT(ADDRESS($D142+2,E$2+1,,,"Instances"))="","",INDIRECT(ADDRESS($D142+2,E$2+1,,,"Instances")))</f>
        <v>0</v>
      </c>
      <c r="F142">
        <f>IFERROR(SMALL(E5:E146,ROW()-ROW($F$5)+1),"")</f>
        <v>0</v>
      </c>
      <c r="H142">
        <f>IFERROR(SUM(F5:F142),"")</f>
        <v>0</v>
      </c>
      <c r="J142">
        <v>138</v>
      </c>
      <c r="K142" cm="1">
        <f t="array" ref="K142">_xlfn.SWITCH(Charts!$B$3,"average", AVERAGE(INDIRECT(ADDRESS(137+3,K$2+1,,,"Instances") &amp; ":" &amp; ADDRESS(137+3,K$2+1))),"median", MEDIAN(INDIRECT(ADDRESS(137+3,K$2+1,,,"Instances") &amp; ":" &amp; ADDRESS(137+3,K$2+1))),"min", MIN(INDIRECT(ADDRESS(137+3,K$2+1,,,"Instances") &amp; ":" &amp; ADDRESS(137+3,K$2+1))),"max", MAX(INDIRECT(ADDRESS(137+3,K$2+1,,,"Instances") &amp; ":" &amp; ADDRESS(137+3,K$2+1))),"diff", MAX(INDIRECT(ADDRESS(137+3,K$2+1,,,"Instances") &amp; ":" &amp; ADDRESS(137+3,K$2+1)))-MIN(INDIRECT(ADDRESS(137+3,K$2+1,,,"Instances") &amp; ":" &amp; ADDRESS(137+3,K$2+1))))</f>
        <v>0</v>
      </c>
      <c r="L142">
        <f>IFERROR(SMALL(K5:K146,ROW()-ROW($L$5)+1),"")</f>
        <v>0</v>
      </c>
      <c r="N142">
        <f>IFERROR(SUM(L5:L142),"")</f>
        <v>0</v>
      </c>
      <c r="Q142">
        <f>IF(Charts!$B$3="none",E859,IF(K859="",NA(),K859))</f>
        <v>0</v>
      </c>
      <c r="R142">
        <f>IF(Charts!$B$3="none",F859,IF(L859="",NA(),L859))</f>
        <v>0</v>
      </c>
      <c r="S142">
        <f>IF(Charts!$B$3="none",G859,IF(M859="",NA(),M859))</f>
        <v>0</v>
      </c>
      <c r="T142">
        <f>IF(Charts!$B$3="none",H859,IF(N859="",NA(),N859))</f>
        <v>0</v>
      </c>
    </row>
    <row r="143" spans="4:20">
      <c r="D143">
        <v>139</v>
      </c>
      <c r="E143">
        <f>IF(INDIRECT(ADDRESS($D143+2,E$2+1,,,"Instances"))="","",INDIRECT(ADDRESS($D143+2,E$2+1,,,"Instances")))</f>
        <v>0</v>
      </c>
      <c r="F143">
        <f>IFERROR(SMALL(E5:E146,ROW()-ROW($F$5)+1),"")</f>
        <v>0</v>
      </c>
      <c r="H143">
        <f>IFERROR(SUM(F5:F143),"")</f>
        <v>0</v>
      </c>
      <c r="J143">
        <v>139</v>
      </c>
      <c r="K143" cm="1">
        <f t="array" ref="K143">_xlfn.SWITCH(Charts!$B$3,"average", AVERAGE(INDIRECT(ADDRESS(138+3,K$2+1,,,"Instances") &amp; ":" &amp; ADDRESS(138+3,K$2+1))),"median", MEDIAN(INDIRECT(ADDRESS(138+3,K$2+1,,,"Instances") &amp; ":" &amp; ADDRESS(138+3,K$2+1))),"min", MIN(INDIRECT(ADDRESS(138+3,K$2+1,,,"Instances") &amp; ":" &amp; ADDRESS(138+3,K$2+1))),"max", MAX(INDIRECT(ADDRESS(138+3,K$2+1,,,"Instances") &amp; ":" &amp; ADDRESS(138+3,K$2+1))),"diff", MAX(INDIRECT(ADDRESS(138+3,K$2+1,,,"Instances") &amp; ":" &amp; ADDRESS(138+3,K$2+1)))-MIN(INDIRECT(ADDRESS(138+3,K$2+1,,,"Instances") &amp; ":" &amp; ADDRESS(138+3,K$2+1))))</f>
        <v>0</v>
      </c>
      <c r="L143">
        <f>IFERROR(SMALL(K5:K146,ROW()-ROW($L$5)+1),"")</f>
        <v>0</v>
      </c>
      <c r="N143">
        <f>IFERROR(SUM(L5:L143),"")</f>
        <v>0</v>
      </c>
      <c r="Q143">
        <f>IF(Charts!$B$3="none",E860,IF(K860="",NA(),K860))</f>
        <v>0</v>
      </c>
      <c r="R143">
        <f>IF(Charts!$B$3="none",F860,IF(L860="",NA(),L860))</f>
        <v>0</v>
      </c>
      <c r="S143">
        <f>IF(Charts!$B$3="none",G860,IF(M860="",NA(),M860))</f>
        <v>0</v>
      </c>
      <c r="T143">
        <f>IF(Charts!$B$3="none",H860,IF(N860="",NA(),N860))</f>
        <v>0</v>
      </c>
    </row>
    <row r="144" spans="4:20">
      <c r="D144">
        <v>140</v>
      </c>
      <c r="E144">
        <f>IF(INDIRECT(ADDRESS($D144+2,E$2+1,,,"Instances"))="","",INDIRECT(ADDRESS($D144+2,E$2+1,,,"Instances")))</f>
        <v>0</v>
      </c>
      <c r="F144">
        <f>IFERROR(SMALL(E5:E146,ROW()-ROW($F$5)+1),"")</f>
        <v>0</v>
      </c>
      <c r="H144">
        <f>IFERROR(SUM(F5:F144),"")</f>
        <v>0</v>
      </c>
      <c r="J144">
        <v>140</v>
      </c>
      <c r="K144" cm="1">
        <f t="array" ref="K144">_xlfn.SWITCH(Charts!$B$3,"average", AVERAGE(INDIRECT(ADDRESS(139+3,K$2+1,,,"Instances") &amp; ":" &amp; ADDRESS(139+3,K$2+1))),"median", MEDIAN(INDIRECT(ADDRESS(139+3,K$2+1,,,"Instances") &amp; ":" &amp; ADDRESS(139+3,K$2+1))),"min", MIN(INDIRECT(ADDRESS(139+3,K$2+1,,,"Instances") &amp; ":" &amp; ADDRESS(139+3,K$2+1))),"max", MAX(INDIRECT(ADDRESS(139+3,K$2+1,,,"Instances") &amp; ":" &amp; ADDRESS(139+3,K$2+1))),"diff", MAX(INDIRECT(ADDRESS(139+3,K$2+1,,,"Instances") &amp; ":" &amp; ADDRESS(139+3,K$2+1)))-MIN(INDIRECT(ADDRESS(139+3,K$2+1,,,"Instances") &amp; ":" &amp; ADDRESS(139+3,K$2+1))))</f>
        <v>0</v>
      </c>
      <c r="L144">
        <f>IFERROR(SMALL(K5:K146,ROW()-ROW($L$5)+1),"")</f>
        <v>0</v>
      </c>
      <c r="N144">
        <f>IFERROR(SUM(L5:L144),"")</f>
        <v>0</v>
      </c>
      <c r="Q144">
        <f>IF(Charts!$B$3="none",E861,IF(K861="",NA(),K861))</f>
        <v>0</v>
      </c>
      <c r="R144">
        <f>IF(Charts!$B$3="none",F861,IF(L861="",NA(),L861))</f>
        <v>0</v>
      </c>
      <c r="S144">
        <f>IF(Charts!$B$3="none",G861,IF(M861="",NA(),M861))</f>
        <v>0</v>
      </c>
      <c r="T144">
        <f>IF(Charts!$B$3="none",H861,IF(N861="",NA(),N861))</f>
        <v>0</v>
      </c>
    </row>
    <row r="145" spans="4:20">
      <c r="D145">
        <v>141</v>
      </c>
      <c r="E145">
        <f>IF(INDIRECT(ADDRESS($D145+2,E$2+1,,,"Instances"))="","",INDIRECT(ADDRESS($D145+2,E$2+1,,,"Instances")))</f>
        <v>0</v>
      </c>
      <c r="F145">
        <f>IFERROR(SMALL(E5:E146,ROW()-ROW($F$5)+1),"")</f>
        <v>0</v>
      </c>
      <c r="H145">
        <f>IFERROR(SUM(F5:F145),"")</f>
        <v>0</v>
      </c>
      <c r="J145">
        <v>141</v>
      </c>
      <c r="K145" cm="1">
        <f t="array" ref="K145">_xlfn.SWITCH(Charts!$B$3,"average", AVERAGE(INDIRECT(ADDRESS(140+3,K$2+1,,,"Instances") &amp; ":" &amp; ADDRESS(140+3,K$2+1))),"median", MEDIAN(INDIRECT(ADDRESS(140+3,K$2+1,,,"Instances") &amp; ":" &amp; ADDRESS(140+3,K$2+1))),"min", MIN(INDIRECT(ADDRESS(140+3,K$2+1,,,"Instances") &amp; ":" &amp; ADDRESS(140+3,K$2+1))),"max", MAX(INDIRECT(ADDRESS(140+3,K$2+1,,,"Instances") &amp; ":" &amp; ADDRESS(140+3,K$2+1))),"diff", MAX(INDIRECT(ADDRESS(140+3,K$2+1,,,"Instances") &amp; ":" &amp; ADDRESS(140+3,K$2+1)))-MIN(INDIRECT(ADDRESS(140+3,K$2+1,,,"Instances") &amp; ":" &amp; ADDRESS(140+3,K$2+1))))</f>
        <v>0</v>
      </c>
      <c r="L145">
        <f>IFERROR(SMALL(K5:K146,ROW()-ROW($L$5)+1),"")</f>
        <v>0</v>
      </c>
      <c r="N145">
        <f>IFERROR(SUM(L5:L145),"")</f>
        <v>0</v>
      </c>
      <c r="Q145">
        <f>IF(Charts!$B$3="none",E862,IF(K862="",NA(),K862))</f>
        <v>0</v>
      </c>
      <c r="R145">
        <f>IF(Charts!$B$3="none",F862,IF(L862="",NA(),L862))</f>
        <v>0</v>
      </c>
      <c r="S145">
        <f>IF(Charts!$B$3="none",G862,IF(M862="",NA(),M862))</f>
        <v>0</v>
      </c>
      <c r="T145">
        <f>IF(Charts!$B$3="none",H862,IF(N862="",NA(),N862))</f>
        <v>0</v>
      </c>
    </row>
    <row r="146" spans="4:20">
      <c r="D146">
        <v>142</v>
      </c>
      <c r="E146">
        <f>IF(INDIRECT(ADDRESS($D146+2,E$2+1,,,"Instances"))="","",INDIRECT(ADDRESS($D146+2,E$2+1,,,"Instances")))</f>
        <v>0</v>
      </c>
      <c r="F146">
        <f>IFERROR(SMALL(E5:E146,ROW()-ROW($F$5)+1),"")</f>
        <v>0</v>
      </c>
      <c r="H146">
        <f>IFERROR(SUM(F5:F146),"")</f>
        <v>0</v>
      </c>
      <c r="J146">
        <v>142</v>
      </c>
      <c r="K146" cm="1">
        <f t="array" ref="K146">_xlfn.SWITCH(Charts!$B$3,"average", AVERAGE(INDIRECT(ADDRESS(141+3,K$2+1,,,"Instances") &amp; ":" &amp; ADDRESS(141+3,K$2+1))),"median", MEDIAN(INDIRECT(ADDRESS(141+3,K$2+1,,,"Instances") &amp; ":" &amp; ADDRESS(141+3,K$2+1))),"min", MIN(INDIRECT(ADDRESS(141+3,K$2+1,,,"Instances") &amp; ":" &amp; ADDRESS(141+3,K$2+1))),"max", MAX(INDIRECT(ADDRESS(141+3,K$2+1,,,"Instances") &amp; ":" &amp; ADDRESS(141+3,K$2+1))),"diff", MAX(INDIRECT(ADDRESS(141+3,K$2+1,,,"Instances") &amp; ":" &amp; ADDRESS(141+3,K$2+1)))-MIN(INDIRECT(ADDRESS(141+3,K$2+1,,,"Instances") &amp; ":" &amp; ADDRESS(141+3,K$2+1))))</f>
        <v>0</v>
      </c>
      <c r="L146">
        <f>IFERROR(SMALL(K5:K146,ROW()-ROW($L$5)+1),"")</f>
        <v>0</v>
      </c>
      <c r="N146">
        <f>IFERROR(SUM(L5:L146),"")</f>
        <v>0</v>
      </c>
      <c r="Q146">
        <f>IF(Charts!$B$3="none",E863,IF(K863="",NA(),K863))</f>
        <v>0</v>
      </c>
      <c r="R146">
        <f>IF(Charts!$B$3="none",F863,IF(L863="",NA(),L863))</f>
        <v>0</v>
      </c>
      <c r="S146">
        <f>IF(Charts!$B$3="none",G863,IF(M863="",NA(),M863))</f>
        <v>0</v>
      </c>
      <c r="T146">
        <f>IF(Charts!$B$3="none",H863,IF(N863="",NA(),N863))</f>
        <v>0</v>
      </c>
    </row>
    <row r="147" spans="4:20">
      <c r="Q147">
        <f>IF(Charts!$B$3="none",E864,IF(K864="",NA(),K864))</f>
        <v>0</v>
      </c>
      <c r="R147">
        <f>IF(Charts!$B$3="none",F864,IF(L864="",NA(),L864))</f>
        <v>0</v>
      </c>
      <c r="S147">
        <f>IF(Charts!$B$3="none",G864,IF(M864="",NA(),M864))</f>
        <v>0</v>
      </c>
      <c r="T147">
        <f>IF(Charts!$B$3="none",H864,IF(N864="",NA(),N864))</f>
        <v>0</v>
      </c>
    </row>
    <row r="148" spans="4:20">
      <c r="D148" t="s">
        <v>167</v>
      </c>
      <c r="E148" t="s">
        <v>166</v>
      </c>
      <c r="F148" t="s">
        <v>171</v>
      </c>
      <c r="G148" t="s">
        <v>166</v>
      </c>
      <c r="H148" t="s">
        <v>172</v>
      </c>
      <c r="J148" t="s">
        <v>167</v>
      </c>
      <c r="K148" t="s">
        <v>166</v>
      </c>
      <c r="L148" t="s">
        <v>171</v>
      </c>
      <c r="M148" t="s">
        <v>166</v>
      </c>
      <c r="N148" t="s">
        <v>172</v>
      </c>
      <c r="Q148">
        <f>IF(Charts!$B$3="none",E865,IF(K865="",NA(),K865))</f>
        <v>0</v>
      </c>
      <c r="R148">
        <f>IF(Charts!$B$3="none",F865,IF(L865="",NA(),L865))</f>
        <v>0</v>
      </c>
      <c r="S148">
        <f>IF(Charts!$B$3="none",G865,IF(M865="",NA(),M865))</f>
        <v>0</v>
      </c>
      <c r="T148">
        <f>IF(Charts!$B$3="none",H865,IF(N865="",NA(),N865))</f>
        <v>0</v>
      </c>
    </row>
    <row r="149" spans="4:20">
      <c r="E149">
        <v>1</v>
      </c>
      <c r="F149">
        <f>F5</f>
        <v>0</v>
      </c>
      <c r="G149">
        <v>1</v>
      </c>
      <c r="H149">
        <f>H5</f>
        <v>0</v>
      </c>
      <c r="K149">
        <v>1</v>
      </c>
      <c r="L149">
        <f>L5</f>
        <v>0</v>
      </c>
      <c r="M149">
        <v>1</v>
      </c>
      <c r="N149">
        <f>N5</f>
        <v>0</v>
      </c>
      <c r="Q149">
        <f>IF(Charts!$B$3="none",E866,IF(K866="",NA(),K866))</f>
        <v>0</v>
      </c>
      <c r="R149">
        <f>IF(Charts!$B$3="none",F866,IF(L866="",NA(),L866))</f>
        <v>0</v>
      </c>
      <c r="S149">
        <f>IF(Charts!$B$3="none",G866,IF(M866="",NA(),M866))</f>
        <v>0</v>
      </c>
      <c r="T149">
        <f>IF(Charts!$B$3="none",H866,IF(N866="",NA(),N866))</f>
        <v>0</v>
      </c>
    </row>
    <row r="150" spans="4:20">
      <c r="E150">
        <v>2</v>
      </c>
      <c r="F150">
        <f>F6</f>
        <v>0</v>
      </c>
      <c r="G150">
        <v>2</v>
      </c>
      <c r="H150">
        <f>H6</f>
        <v>0</v>
      </c>
      <c r="K150">
        <v>2</v>
      </c>
      <c r="L150">
        <f>L6</f>
        <v>0</v>
      </c>
      <c r="M150">
        <v>2</v>
      </c>
      <c r="N150">
        <f>N6</f>
        <v>0</v>
      </c>
      <c r="Q150">
        <f>IF(Charts!$B$3="none",E867,IF(K867="",NA(),K867))</f>
        <v>0</v>
      </c>
      <c r="R150">
        <f>IF(Charts!$B$3="none",F867,IF(L867="",NA(),L867))</f>
        <v>0</v>
      </c>
      <c r="S150">
        <f>IF(Charts!$B$3="none",G867,IF(M867="",NA(),M867))</f>
        <v>0</v>
      </c>
      <c r="T150">
        <f>IF(Charts!$B$3="none",H867,IF(N867="",NA(),N867))</f>
        <v>0</v>
      </c>
    </row>
    <row r="151" spans="4:20">
      <c r="E151">
        <v>3</v>
      </c>
      <c r="F151">
        <f>F7</f>
        <v>0</v>
      </c>
      <c r="G151">
        <v>3</v>
      </c>
      <c r="H151">
        <f>H7</f>
        <v>0</v>
      </c>
      <c r="K151">
        <v>3</v>
      </c>
      <c r="L151">
        <f>L7</f>
        <v>0</v>
      </c>
      <c r="M151">
        <v>3</v>
      </c>
      <c r="N151">
        <f>N7</f>
        <v>0</v>
      </c>
      <c r="Q151">
        <f>IF(Charts!$B$3="none",E868,IF(K868="",NA(),K868))</f>
        <v>0</v>
      </c>
      <c r="R151">
        <f>IF(Charts!$B$3="none",F868,IF(L868="",NA(),L868))</f>
        <v>0</v>
      </c>
      <c r="S151">
        <f>IF(Charts!$B$3="none",G868,IF(M868="",NA(),M868))</f>
        <v>0</v>
      </c>
      <c r="T151">
        <f>IF(Charts!$B$3="none",H868,IF(N868="",NA(),N868))</f>
        <v>0</v>
      </c>
    </row>
    <row r="152" spans="4:20">
      <c r="E152">
        <v>4</v>
      </c>
      <c r="F152">
        <f>F8</f>
        <v>0</v>
      </c>
      <c r="G152">
        <v>4</v>
      </c>
      <c r="H152">
        <f>H8</f>
        <v>0</v>
      </c>
      <c r="K152">
        <v>4</v>
      </c>
      <c r="L152">
        <f>L8</f>
        <v>0</v>
      </c>
      <c r="M152">
        <v>4</v>
      </c>
      <c r="N152">
        <f>N8</f>
        <v>0</v>
      </c>
      <c r="Q152">
        <f>IF(Charts!$B$3="none",E869,IF(K869="",NA(),K869))</f>
        <v>0</v>
      </c>
      <c r="R152">
        <f>IF(Charts!$B$3="none",F869,IF(L869="",NA(),L869))</f>
        <v>0</v>
      </c>
      <c r="S152">
        <f>IF(Charts!$B$3="none",G869,IF(M869="",NA(),M869))</f>
        <v>0</v>
      </c>
      <c r="T152">
        <f>IF(Charts!$B$3="none",H869,IF(N869="",NA(),N869))</f>
        <v>0</v>
      </c>
    </row>
    <row r="153" spans="4:20">
      <c r="E153">
        <v>5</v>
      </c>
      <c r="F153">
        <f>F9</f>
        <v>0</v>
      </c>
      <c r="G153">
        <v>5</v>
      </c>
      <c r="H153">
        <f>H9</f>
        <v>0</v>
      </c>
      <c r="K153">
        <v>5</v>
      </c>
      <c r="L153">
        <f>L9</f>
        <v>0</v>
      </c>
      <c r="M153">
        <v>5</v>
      </c>
      <c r="N153">
        <f>N9</f>
        <v>0</v>
      </c>
      <c r="Q153">
        <f>IF(Charts!$B$3="none",E870,IF(K870="",NA(),K870))</f>
        <v>0</v>
      </c>
      <c r="R153">
        <f>IF(Charts!$B$3="none",F870,IF(L870="",NA(),L870))</f>
        <v>0</v>
      </c>
      <c r="S153">
        <f>IF(Charts!$B$3="none",G870,IF(M870="",NA(),M870))</f>
        <v>0</v>
      </c>
      <c r="T153">
        <f>IF(Charts!$B$3="none",H870,IF(N870="",NA(),N870))</f>
        <v>0</v>
      </c>
    </row>
    <row r="154" spans="4:20">
      <c r="E154">
        <v>6</v>
      </c>
      <c r="F154">
        <f>F10</f>
        <v>0</v>
      </c>
      <c r="G154">
        <v>6</v>
      </c>
      <c r="H154">
        <f>H10</f>
        <v>0</v>
      </c>
      <c r="K154">
        <v>6</v>
      </c>
      <c r="L154">
        <f>L10</f>
        <v>0</v>
      </c>
      <c r="M154">
        <v>6</v>
      </c>
      <c r="N154">
        <f>N10</f>
        <v>0</v>
      </c>
      <c r="Q154">
        <f>IF(Charts!$B$3="none",E871,IF(K871="",NA(),K871))</f>
        <v>0</v>
      </c>
      <c r="R154">
        <f>IF(Charts!$B$3="none",F871,IF(L871="",NA(),L871))</f>
        <v>0</v>
      </c>
      <c r="S154">
        <f>IF(Charts!$B$3="none",G871,IF(M871="",NA(),M871))</f>
        <v>0</v>
      </c>
      <c r="T154">
        <f>IF(Charts!$B$3="none",H871,IF(N871="",NA(),N871))</f>
        <v>0</v>
      </c>
    </row>
    <row r="155" spans="4:20">
      <c r="E155">
        <v>7</v>
      </c>
      <c r="F155">
        <f>F11</f>
        <v>0</v>
      </c>
      <c r="G155">
        <v>7</v>
      </c>
      <c r="H155">
        <f>H11</f>
        <v>0</v>
      </c>
      <c r="K155">
        <v>7</v>
      </c>
      <c r="L155">
        <f>L11</f>
        <v>0</v>
      </c>
      <c r="M155">
        <v>7</v>
      </c>
      <c r="N155">
        <f>N11</f>
        <v>0</v>
      </c>
      <c r="Q155">
        <f>IF(Charts!$B$3="none",E872,IF(K872="",NA(),K872))</f>
        <v>0</v>
      </c>
      <c r="R155">
        <f>IF(Charts!$B$3="none",F872,IF(L872="",NA(),L872))</f>
        <v>0</v>
      </c>
      <c r="S155">
        <f>IF(Charts!$B$3="none",G872,IF(M872="",NA(),M872))</f>
        <v>0</v>
      </c>
      <c r="T155">
        <f>IF(Charts!$B$3="none",H872,IF(N872="",NA(),N872))</f>
        <v>0</v>
      </c>
    </row>
    <row r="156" spans="4:20">
      <c r="E156">
        <v>8</v>
      </c>
      <c r="F156">
        <f>F12</f>
        <v>0</v>
      </c>
      <c r="G156">
        <v>8</v>
      </c>
      <c r="H156">
        <f>H12</f>
        <v>0</v>
      </c>
      <c r="K156">
        <v>8</v>
      </c>
      <c r="L156">
        <f>L12</f>
        <v>0</v>
      </c>
      <c r="M156">
        <v>8</v>
      </c>
      <c r="N156">
        <f>N12</f>
        <v>0</v>
      </c>
      <c r="Q156">
        <f>IF(Charts!$B$3="none",E873,IF(K873="",NA(),K873))</f>
        <v>0</v>
      </c>
      <c r="R156">
        <f>IF(Charts!$B$3="none",F873,IF(L873="",NA(),L873))</f>
        <v>0</v>
      </c>
      <c r="S156">
        <f>IF(Charts!$B$3="none",G873,IF(M873="",NA(),M873))</f>
        <v>0</v>
      </c>
      <c r="T156">
        <f>IF(Charts!$B$3="none",H873,IF(N873="",NA(),N873))</f>
        <v>0</v>
      </c>
    </row>
    <row r="157" spans="4:20">
      <c r="E157">
        <v>9</v>
      </c>
      <c r="F157">
        <f>F13</f>
        <v>0</v>
      </c>
      <c r="G157">
        <v>9</v>
      </c>
      <c r="H157">
        <f>H13</f>
        <v>0</v>
      </c>
      <c r="K157">
        <v>9</v>
      </c>
      <c r="L157">
        <f>L13</f>
        <v>0</v>
      </c>
      <c r="M157">
        <v>9</v>
      </c>
      <c r="N157">
        <f>N13</f>
        <v>0</v>
      </c>
      <c r="Q157">
        <f>IF(Charts!$B$3="none",E874,IF(K874="",NA(),K874))</f>
        <v>0</v>
      </c>
      <c r="R157">
        <f>IF(Charts!$B$3="none",F874,IF(L874="",NA(),L874))</f>
        <v>0</v>
      </c>
      <c r="S157">
        <f>IF(Charts!$B$3="none",G874,IF(M874="",NA(),M874))</f>
        <v>0</v>
      </c>
      <c r="T157">
        <f>IF(Charts!$B$3="none",H874,IF(N874="",NA(),N874))</f>
        <v>0</v>
      </c>
    </row>
    <row r="158" spans="4:20">
      <c r="E158">
        <v>10</v>
      </c>
      <c r="F158">
        <f>F14</f>
        <v>0</v>
      </c>
      <c r="G158">
        <v>10</v>
      </c>
      <c r="H158">
        <f>H14</f>
        <v>0</v>
      </c>
      <c r="K158">
        <v>10</v>
      </c>
      <c r="L158">
        <f>L14</f>
        <v>0</v>
      </c>
      <c r="M158">
        <v>10</v>
      </c>
      <c r="N158">
        <f>N14</f>
        <v>0</v>
      </c>
      <c r="Q158">
        <f>IF(Charts!$B$3="none",E875,IF(K875="",NA(),K875))</f>
        <v>0</v>
      </c>
      <c r="R158">
        <f>IF(Charts!$B$3="none",F875,IF(L875="",NA(),L875))</f>
        <v>0</v>
      </c>
      <c r="S158">
        <f>IF(Charts!$B$3="none",G875,IF(M875="",NA(),M875))</f>
        <v>0</v>
      </c>
      <c r="T158">
        <f>IF(Charts!$B$3="none",H875,IF(N875="",NA(),N875))</f>
        <v>0</v>
      </c>
    </row>
    <row r="159" spans="4:20">
      <c r="E159">
        <v>11</v>
      </c>
      <c r="F159">
        <f>F15</f>
        <v>0</v>
      </c>
      <c r="G159">
        <v>11</v>
      </c>
      <c r="H159">
        <f>H15</f>
        <v>0</v>
      </c>
      <c r="K159">
        <v>11</v>
      </c>
      <c r="L159">
        <f>L15</f>
        <v>0</v>
      </c>
      <c r="M159">
        <v>11</v>
      </c>
      <c r="N159">
        <f>N15</f>
        <v>0</v>
      </c>
      <c r="Q159">
        <f>IF(Charts!$B$3="none",E876,IF(K876="",NA(),K876))</f>
        <v>0</v>
      </c>
      <c r="R159">
        <f>IF(Charts!$B$3="none",F876,IF(L876="",NA(),L876))</f>
        <v>0</v>
      </c>
      <c r="S159">
        <f>IF(Charts!$B$3="none",G876,IF(M876="",NA(),M876))</f>
        <v>0</v>
      </c>
      <c r="T159">
        <f>IF(Charts!$B$3="none",H876,IF(N876="",NA(),N876))</f>
        <v>0</v>
      </c>
    </row>
    <row r="160" spans="4:20">
      <c r="E160">
        <v>12</v>
      </c>
      <c r="F160">
        <f>F16</f>
        <v>0</v>
      </c>
      <c r="G160">
        <v>12</v>
      </c>
      <c r="H160">
        <f>H16</f>
        <v>0</v>
      </c>
      <c r="K160">
        <v>12</v>
      </c>
      <c r="L160">
        <f>L16</f>
        <v>0</v>
      </c>
      <c r="M160">
        <v>12</v>
      </c>
      <c r="N160">
        <f>N16</f>
        <v>0</v>
      </c>
      <c r="Q160">
        <f>IF(Charts!$B$3="none",E877,IF(K877="",NA(),K877))</f>
        <v>0</v>
      </c>
      <c r="R160">
        <f>IF(Charts!$B$3="none",F877,IF(L877="",NA(),L877))</f>
        <v>0</v>
      </c>
      <c r="S160">
        <f>IF(Charts!$B$3="none",G877,IF(M877="",NA(),M877))</f>
        <v>0</v>
      </c>
      <c r="T160">
        <f>IF(Charts!$B$3="none",H877,IF(N877="",NA(),N877))</f>
        <v>0</v>
      </c>
    </row>
    <row r="161" spans="5:20">
      <c r="E161">
        <v>13</v>
      </c>
      <c r="F161">
        <f>F17</f>
        <v>0</v>
      </c>
      <c r="G161">
        <v>13</v>
      </c>
      <c r="H161">
        <f>H17</f>
        <v>0</v>
      </c>
      <c r="K161">
        <v>13</v>
      </c>
      <c r="L161">
        <f>L17</f>
        <v>0</v>
      </c>
      <c r="M161">
        <v>13</v>
      </c>
      <c r="N161">
        <f>N17</f>
        <v>0</v>
      </c>
      <c r="Q161">
        <f>IF(Charts!$B$3="none",E878,IF(K878="",NA(),K878))</f>
        <v>0</v>
      </c>
      <c r="R161">
        <f>IF(Charts!$B$3="none",F878,IF(L878="",NA(),L878))</f>
        <v>0</v>
      </c>
      <c r="S161">
        <f>IF(Charts!$B$3="none",G878,IF(M878="",NA(),M878))</f>
        <v>0</v>
      </c>
      <c r="T161">
        <f>IF(Charts!$B$3="none",H878,IF(N878="",NA(),N878))</f>
        <v>0</v>
      </c>
    </row>
    <row r="162" spans="5:20">
      <c r="E162">
        <v>14</v>
      </c>
      <c r="F162">
        <f>F18</f>
        <v>0</v>
      </c>
      <c r="G162">
        <v>14</v>
      </c>
      <c r="H162">
        <f>H18</f>
        <v>0</v>
      </c>
      <c r="K162">
        <v>14</v>
      </c>
      <c r="L162">
        <f>L18</f>
        <v>0</v>
      </c>
      <c r="M162">
        <v>14</v>
      </c>
      <c r="N162">
        <f>N18</f>
        <v>0</v>
      </c>
      <c r="Q162">
        <f>IF(Charts!$B$3="none",E879,IF(K879="",NA(),K879))</f>
        <v>0</v>
      </c>
      <c r="R162">
        <f>IF(Charts!$B$3="none",F879,IF(L879="",NA(),L879))</f>
        <v>0</v>
      </c>
      <c r="S162">
        <f>IF(Charts!$B$3="none",G879,IF(M879="",NA(),M879))</f>
        <v>0</v>
      </c>
      <c r="T162">
        <f>IF(Charts!$B$3="none",H879,IF(N879="",NA(),N879))</f>
        <v>0</v>
      </c>
    </row>
    <row r="163" spans="5:20">
      <c r="E163">
        <v>15</v>
      </c>
      <c r="F163">
        <f>F19</f>
        <v>0</v>
      </c>
      <c r="G163">
        <v>15</v>
      </c>
      <c r="H163">
        <f>H19</f>
        <v>0</v>
      </c>
      <c r="K163">
        <v>15</v>
      </c>
      <c r="L163">
        <f>L19</f>
        <v>0</v>
      </c>
      <c r="M163">
        <v>15</v>
      </c>
      <c r="N163">
        <f>N19</f>
        <v>0</v>
      </c>
      <c r="Q163">
        <f>IF(Charts!$B$3="none",E880,IF(K880="",NA(),K880))</f>
        <v>0</v>
      </c>
      <c r="R163">
        <f>IF(Charts!$B$3="none",F880,IF(L880="",NA(),L880))</f>
        <v>0</v>
      </c>
      <c r="S163">
        <f>IF(Charts!$B$3="none",G880,IF(M880="",NA(),M880))</f>
        <v>0</v>
      </c>
      <c r="T163">
        <f>IF(Charts!$B$3="none",H880,IF(N880="",NA(),N880))</f>
        <v>0</v>
      </c>
    </row>
    <row r="164" spans="5:20">
      <c r="E164">
        <v>16</v>
      </c>
      <c r="F164">
        <f>F20</f>
        <v>0</v>
      </c>
      <c r="G164">
        <v>16</v>
      </c>
      <c r="H164">
        <f>H20</f>
        <v>0</v>
      </c>
      <c r="K164">
        <v>16</v>
      </c>
      <c r="L164">
        <f>L20</f>
        <v>0</v>
      </c>
      <c r="M164">
        <v>16</v>
      </c>
      <c r="N164">
        <f>N20</f>
        <v>0</v>
      </c>
      <c r="Q164">
        <f>IF(Charts!$B$3="none",E881,IF(K881="",NA(),K881))</f>
        <v>0</v>
      </c>
      <c r="R164">
        <f>IF(Charts!$B$3="none",F881,IF(L881="",NA(),L881))</f>
        <v>0</v>
      </c>
      <c r="S164">
        <f>IF(Charts!$B$3="none",G881,IF(M881="",NA(),M881))</f>
        <v>0</v>
      </c>
      <c r="T164">
        <f>IF(Charts!$B$3="none",H881,IF(N881="",NA(),N881))</f>
        <v>0</v>
      </c>
    </row>
    <row r="165" spans="5:20">
      <c r="E165">
        <v>17</v>
      </c>
      <c r="F165">
        <f>F21</f>
        <v>0</v>
      </c>
      <c r="G165">
        <v>17</v>
      </c>
      <c r="H165">
        <f>H21</f>
        <v>0</v>
      </c>
      <c r="K165">
        <v>17</v>
      </c>
      <c r="L165">
        <f>L21</f>
        <v>0</v>
      </c>
      <c r="M165">
        <v>17</v>
      </c>
      <c r="N165">
        <f>N21</f>
        <v>0</v>
      </c>
      <c r="Q165">
        <f>IF(Charts!$B$3="none",E882,IF(K882="",NA(),K882))</f>
        <v>0</v>
      </c>
      <c r="R165">
        <f>IF(Charts!$B$3="none",F882,IF(L882="",NA(),L882))</f>
        <v>0</v>
      </c>
      <c r="S165">
        <f>IF(Charts!$B$3="none",G882,IF(M882="",NA(),M882))</f>
        <v>0</v>
      </c>
      <c r="T165">
        <f>IF(Charts!$B$3="none",H882,IF(N882="",NA(),N882))</f>
        <v>0</v>
      </c>
    </row>
    <row r="166" spans="5:20">
      <c r="E166">
        <v>18</v>
      </c>
      <c r="F166">
        <f>F22</f>
        <v>0</v>
      </c>
      <c r="G166">
        <v>18</v>
      </c>
      <c r="H166">
        <f>H22</f>
        <v>0</v>
      </c>
      <c r="K166">
        <v>18</v>
      </c>
      <c r="L166">
        <f>L22</f>
        <v>0</v>
      </c>
      <c r="M166">
        <v>18</v>
      </c>
      <c r="N166">
        <f>N22</f>
        <v>0</v>
      </c>
      <c r="Q166">
        <f>IF(Charts!$B$3="none",E883,IF(K883="",NA(),K883))</f>
        <v>0</v>
      </c>
      <c r="R166">
        <f>IF(Charts!$B$3="none",F883,IF(L883="",NA(),L883))</f>
        <v>0</v>
      </c>
      <c r="S166">
        <f>IF(Charts!$B$3="none",G883,IF(M883="",NA(),M883))</f>
        <v>0</v>
      </c>
      <c r="T166">
        <f>IF(Charts!$B$3="none",H883,IF(N883="",NA(),N883))</f>
        <v>0</v>
      </c>
    </row>
    <row r="167" spans="5:20">
      <c r="E167">
        <v>19</v>
      </c>
      <c r="F167">
        <f>F23</f>
        <v>0</v>
      </c>
      <c r="G167">
        <v>19</v>
      </c>
      <c r="H167">
        <f>H23</f>
        <v>0</v>
      </c>
      <c r="K167">
        <v>19</v>
      </c>
      <c r="L167">
        <f>L23</f>
        <v>0</v>
      </c>
      <c r="M167">
        <v>19</v>
      </c>
      <c r="N167">
        <f>N23</f>
        <v>0</v>
      </c>
      <c r="Q167">
        <f>IF(Charts!$B$3="none",E884,IF(K884="",NA(),K884))</f>
        <v>0</v>
      </c>
      <c r="R167">
        <f>IF(Charts!$B$3="none",F884,IF(L884="",NA(),L884))</f>
        <v>0</v>
      </c>
      <c r="S167">
        <f>IF(Charts!$B$3="none",G884,IF(M884="",NA(),M884))</f>
        <v>0</v>
      </c>
      <c r="T167">
        <f>IF(Charts!$B$3="none",H884,IF(N884="",NA(),N884))</f>
        <v>0</v>
      </c>
    </row>
    <row r="168" spans="5:20">
      <c r="E168">
        <v>20</v>
      </c>
      <c r="F168">
        <f>F24</f>
        <v>0</v>
      </c>
      <c r="G168">
        <v>20</v>
      </c>
      <c r="H168">
        <f>H24</f>
        <v>0</v>
      </c>
      <c r="K168">
        <v>20</v>
      </c>
      <c r="L168">
        <f>L24</f>
        <v>0</v>
      </c>
      <c r="M168">
        <v>20</v>
      </c>
      <c r="N168">
        <f>N24</f>
        <v>0</v>
      </c>
      <c r="Q168">
        <f>IF(Charts!$B$3="none",E885,IF(K885="",NA(),K885))</f>
        <v>0</v>
      </c>
      <c r="R168">
        <f>IF(Charts!$B$3="none",F885,IF(L885="",NA(),L885))</f>
        <v>0</v>
      </c>
      <c r="S168">
        <f>IF(Charts!$B$3="none",G885,IF(M885="",NA(),M885))</f>
        <v>0</v>
      </c>
      <c r="T168">
        <f>IF(Charts!$B$3="none",H885,IF(N885="",NA(),N885))</f>
        <v>0</v>
      </c>
    </row>
    <row r="169" spans="5:20">
      <c r="E169">
        <v>21</v>
      </c>
      <c r="F169">
        <f>F25</f>
        <v>0</v>
      </c>
      <c r="G169">
        <v>21</v>
      </c>
      <c r="H169">
        <f>H25</f>
        <v>0</v>
      </c>
      <c r="K169">
        <v>21</v>
      </c>
      <c r="L169">
        <f>L25</f>
        <v>0</v>
      </c>
      <c r="M169">
        <v>21</v>
      </c>
      <c r="N169">
        <f>N25</f>
        <v>0</v>
      </c>
      <c r="Q169">
        <f>IF(Charts!$B$3="none",E886,IF(K886="",NA(),K886))</f>
        <v>0</v>
      </c>
      <c r="R169">
        <f>IF(Charts!$B$3="none",F886,IF(L886="",NA(),L886))</f>
        <v>0</v>
      </c>
      <c r="S169">
        <f>IF(Charts!$B$3="none",G886,IF(M886="",NA(),M886))</f>
        <v>0</v>
      </c>
      <c r="T169">
        <f>IF(Charts!$B$3="none",H886,IF(N886="",NA(),N886))</f>
        <v>0</v>
      </c>
    </row>
    <row r="170" spans="5:20">
      <c r="E170">
        <v>22</v>
      </c>
      <c r="F170">
        <f>F26</f>
        <v>0</v>
      </c>
      <c r="G170">
        <v>22</v>
      </c>
      <c r="H170">
        <f>H26</f>
        <v>0</v>
      </c>
      <c r="K170">
        <v>22</v>
      </c>
      <c r="L170">
        <f>L26</f>
        <v>0</v>
      </c>
      <c r="M170">
        <v>22</v>
      </c>
      <c r="N170">
        <f>N26</f>
        <v>0</v>
      </c>
      <c r="Q170">
        <f>IF(Charts!$B$3="none",E887,IF(K887="",NA(),K887))</f>
        <v>0</v>
      </c>
      <c r="R170">
        <f>IF(Charts!$B$3="none",F887,IF(L887="",NA(),L887))</f>
        <v>0</v>
      </c>
      <c r="S170">
        <f>IF(Charts!$B$3="none",G887,IF(M887="",NA(),M887))</f>
        <v>0</v>
      </c>
      <c r="T170">
        <f>IF(Charts!$B$3="none",H887,IF(N887="",NA(),N887))</f>
        <v>0</v>
      </c>
    </row>
    <row r="171" spans="5:20">
      <c r="E171">
        <v>23</v>
      </c>
      <c r="F171">
        <f>F27</f>
        <v>0</v>
      </c>
      <c r="G171">
        <v>23</v>
      </c>
      <c r="H171">
        <f>H27</f>
        <v>0</v>
      </c>
      <c r="K171">
        <v>23</v>
      </c>
      <c r="L171">
        <f>L27</f>
        <v>0</v>
      </c>
      <c r="M171">
        <v>23</v>
      </c>
      <c r="N171">
        <f>N27</f>
        <v>0</v>
      </c>
      <c r="Q171">
        <f>IF(Charts!$B$3="none",E888,IF(K888="",NA(),K888))</f>
        <v>0</v>
      </c>
      <c r="R171">
        <f>IF(Charts!$B$3="none",F888,IF(L888="",NA(),L888))</f>
        <v>0</v>
      </c>
      <c r="S171">
        <f>IF(Charts!$B$3="none",G888,IF(M888="",NA(),M888))</f>
        <v>0</v>
      </c>
      <c r="T171">
        <f>IF(Charts!$B$3="none",H888,IF(N888="",NA(),N888))</f>
        <v>0</v>
      </c>
    </row>
    <row r="172" spans="5:20">
      <c r="E172">
        <v>24</v>
      </c>
      <c r="F172">
        <f>F28</f>
        <v>0</v>
      </c>
      <c r="G172">
        <v>24</v>
      </c>
      <c r="H172">
        <f>H28</f>
        <v>0</v>
      </c>
      <c r="K172">
        <v>24</v>
      </c>
      <c r="L172">
        <f>L28</f>
        <v>0</v>
      </c>
      <c r="M172">
        <v>24</v>
      </c>
      <c r="N172">
        <f>N28</f>
        <v>0</v>
      </c>
      <c r="Q172">
        <f>IF(Charts!$B$3="none",E889,IF(K889="",NA(),K889))</f>
        <v>0</v>
      </c>
      <c r="R172">
        <f>IF(Charts!$B$3="none",F889,IF(L889="",NA(),L889))</f>
        <v>0</v>
      </c>
      <c r="S172">
        <f>IF(Charts!$B$3="none",G889,IF(M889="",NA(),M889))</f>
        <v>0</v>
      </c>
      <c r="T172">
        <f>IF(Charts!$B$3="none",H889,IF(N889="",NA(),N889))</f>
        <v>0</v>
      </c>
    </row>
    <row r="173" spans="5:20">
      <c r="E173">
        <v>25</v>
      </c>
      <c r="F173">
        <f>F29</f>
        <v>0</v>
      </c>
      <c r="G173">
        <v>25</v>
      </c>
      <c r="H173">
        <f>H29</f>
        <v>0</v>
      </c>
      <c r="K173">
        <v>25</v>
      </c>
      <c r="L173">
        <f>L29</f>
        <v>0</v>
      </c>
      <c r="M173">
        <v>25</v>
      </c>
      <c r="N173">
        <f>N29</f>
        <v>0</v>
      </c>
      <c r="Q173">
        <f>IF(Charts!$B$3="none",E890,IF(K890="",NA(),K890))</f>
        <v>0</v>
      </c>
      <c r="R173">
        <f>IF(Charts!$B$3="none",F890,IF(L890="",NA(),L890))</f>
        <v>0</v>
      </c>
      <c r="S173">
        <f>IF(Charts!$B$3="none",G890,IF(M890="",NA(),M890))</f>
        <v>0</v>
      </c>
      <c r="T173">
        <f>IF(Charts!$B$3="none",H890,IF(N890="",NA(),N890))</f>
        <v>0</v>
      </c>
    </row>
    <row r="174" spans="5:20">
      <c r="E174">
        <v>26</v>
      </c>
      <c r="F174">
        <f>F30</f>
        <v>0</v>
      </c>
      <c r="G174">
        <v>26</v>
      </c>
      <c r="H174">
        <f>H30</f>
        <v>0</v>
      </c>
      <c r="K174">
        <v>26</v>
      </c>
      <c r="L174">
        <f>L30</f>
        <v>0</v>
      </c>
      <c r="M174">
        <v>26</v>
      </c>
      <c r="N174">
        <f>N30</f>
        <v>0</v>
      </c>
      <c r="Q174">
        <f>IF(Charts!$B$3="none",E891,IF(K891="",NA(),K891))</f>
        <v>0</v>
      </c>
      <c r="R174">
        <f>IF(Charts!$B$3="none",F891,IF(L891="",NA(),L891))</f>
        <v>0</v>
      </c>
      <c r="S174">
        <f>IF(Charts!$B$3="none",G891,IF(M891="",NA(),M891))</f>
        <v>0</v>
      </c>
      <c r="T174">
        <f>IF(Charts!$B$3="none",H891,IF(N891="",NA(),N891))</f>
        <v>0</v>
      </c>
    </row>
    <row r="175" spans="5:20">
      <c r="E175">
        <v>27</v>
      </c>
      <c r="F175">
        <f>F31</f>
        <v>0</v>
      </c>
      <c r="G175">
        <v>27</v>
      </c>
      <c r="H175">
        <f>H31</f>
        <v>0</v>
      </c>
      <c r="K175">
        <v>27</v>
      </c>
      <c r="L175">
        <f>L31</f>
        <v>0</v>
      </c>
      <c r="M175">
        <v>27</v>
      </c>
      <c r="N175">
        <f>N31</f>
        <v>0</v>
      </c>
      <c r="Q175">
        <f>IF(Charts!$B$3="none",E892,IF(K892="",NA(),K892))</f>
        <v>0</v>
      </c>
      <c r="R175">
        <f>IF(Charts!$B$3="none",F892,IF(L892="",NA(),L892))</f>
        <v>0</v>
      </c>
      <c r="S175">
        <f>IF(Charts!$B$3="none",G892,IF(M892="",NA(),M892))</f>
        <v>0</v>
      </c>
      <c r="T175">
        <f>IF(Charts!$B$3="none",H892,IF(N892="",NA(),N892))</f>
        <v>0</v>
      </c>
    </row>
    <row r="176" spans="5:20">
      <c r="E176">
        <v>28</v>
      </c>
      <c r="F176">
        <f>F32</f>
        <v>0</v>
      </c>
      <c r="G176">
        <v>28</v>
      </c>
      <c r="H176">
        <f>H32</f>
        <v>0</v>
      </c>
      <c r="K176">
        <v>28</v>
      </c>
      <c r="L176">
        <f>L32</f>
        <v>0</v>
      </c>
      <c r="M176">
        <v>28</v>
      </c>
      <c r="N176">
        <f>N32</f>
        <v>0</v>
      </c>
      <c r="Q176">
        <f>IF(Charts!$B$3="none",E893,IF(K893="",NA(),K893))</f>
        <v>0</v>
      </c>
      <c r="R176">
        <f>IF(Charts!$B$3="none",F893,IF(L893="",NA(),L893))</f>
        <v>0</v>
      </c>
      <c r="S176">
        <f>IF(Charts!$B$3="none",G893,IF(M893="",NA(),M893))</f>
        <v>0</v>
      </c>
      <c r="T176">
        <f>IF(Charts!$B$3="none",H893,IF(N893="",NA(),N893))</f>
        <v>0</v>
      </c>
    </row>
    <row r="177" spans="5:20">
      <c r="E177">
        <v>29</v>
      </c>
      <c r="F177">
        <f>F33</f>
        <v>0</v>
      </c>
      <c r="G177">
        <v>29</v>
      </c>
      <c r="H177">
        <f>H33</f>
        <v>0</v>
      </c>
      <c r="K177">
        <v>29</v>
      </c>
      <c r="L177">
        <f>L33</f>
        <v>0</v>
      </c>
      <c r="M177">
        <v>29</v>
      </c>
      <c r="N177">
        <f>N33</f>
        <v>0</v>
      </c>
      <c r="Q177">
        <f>IF(Charts!$B$3="none",E894,IF(K894="",NA(),K894))</f>
        <v>0</v>
      </c>
      <c r="R177">
        <f>IF(Charts!$B$3="none",F894,IF(L894="",NA(),L894))</f>
        <v>0</v>
      </c>
      <c r="S177">
        <f>IF(Charts!$B$3="none",G894,IF(M894="",NA(),M894))</f>
        <v>0</v>
      </c>
      <c r="T177">
        <f>IF(Charts!$B$3="none",H894,IF(N894="",NA(),N894))</f>
        <v>0</v>
      </c>
    </row>
    <row r="178" spans="5:20">
      <c r="E178">
        <v>30</v>
      </c>
      <c r="F178">
        <f>F34</f>
        <v>0</v>
      </c>
      <c r="G178">
        <v>30</v>
      </c>
      <c r="H178">
        <f>H34</f>
        <v>0</v>
      </c>
      <c r="K178">
        <v>30</v>
      </c>
      <c r="L178">
        <f>L34</f>
        <v>0</v>
      </c>
      <c r="M178">
        <v>30</v>
      </c>
      <c r="N178">
        <f>N34</f>
        <v>0</v>
      </c>
      <c r="Q178">
        <f>IF(Charts!$B$3="none",E895,IF(K895="",NA(),K895))</f>
        <v>0</v>
      </c>
      <c r="R178">
        <f>IF(Charts!$B$3="none",F895,IF(L895="",NA(),L895))</f>
        <v>0</v>
      </c>
      <c r="S178">
        <f>IF(Charts!$B$3="none",G895,IF(M895="",NA(),M895))</f>
        <v>0</v>
      </c>
      <c r="T178">
        <f>IF(Charts!$B$3="none",H895,IF(N895="",NA(),N895))</f>
        <v>0</v>
      </c>
    </row>
    <row r="179" spans="5:20">
      <c r="E179">
        <v>31</v>
      </c>
      <c r="F179">
        <f>F35</f>
        <v>0</v>
      </c>
      <c r="G179">
        <v>31</v>
      </c>
      <c r="H179">
        <f>H35</f>
        <v>0</v>
      </c>
      <c r="K179">
        <v>31</v>
      </c>
      <c r="L179">
        <f>L35</f>
        <v>0</v>
      </c>
      <c r="M179">
        <v>31</v>
      </c>
      <c r="N179">
        <f>N35</f>
        <v>0</v>
      </c>
      <c r="Q179">
        <f>IF(Charts!$B$3="none",E896,IF(K896="",NA(),K896))</f>
        <v>0</v>
      </c>
      <c r="R179">
        <f>IF(Charts!$B$3="none",F896,IF(L896="",NA(),L896))</f>
        <v>0</v>
      </c>
      <c r="S179">
        <f>IF(Charts!$B$3="none",G896,IF(M896="",NA(),M896))</f>
        <v>0</v>
      </c>
      <c r="T179">
        <f>IF(Charts!$B$3="none",H896,IF(N896="",NA(),N896))</f>
        <v>0</v>
      </c>
    </row>
    <row r="180" spans="5:20">
      <c r="E180">
        <v>32</v>
      </c>
      <c r="F180">
        <f>F36</f>
        <v>0</v>
      </c>
      <c r="G180">
        <v>32</v>
      </c>
      <c r="H180">
        <f>H36</f>
        <v>0</v>
      </c>
      <c r="K180">
        <v>32</v>
      </c>
      <c r="L180">
        <f>L36</f>
        <v>0</v>
      </c>
      <c r="M180">
        <v>32</v>
      </c>
      <c r="N180">
        <f>N36</f>
        <v>0</v>
      </c>
      <c r="Q180">
        <f>IF(Charts!$B$3="none",E897,IF(K897="",NA(),K897))</f>
        <v>0</v>
      </c>
      <c r="R180">
        <f>IF(Charts!$B$3="none",F897,IF(L897="",NA(),L897))</f>
        <v>0</v>
      </c>
      <c r="S180">
        <f>IF(Charts!$B$3="none",G897,IF(M897="",NA(),M897))</f>
        <v>0</v>
      </c>
      <c r="T180">
        <f>IF(Charts!$B$3="none",H897,IF(N897="",NA(),N897))</f>
        <v>0</v>
      </c>
    </row>
    <row r="181" spans="5:20">
      <c r="E181">
        <v>33</v>
      </c>
      <c r="F181">
        <f>F37</f>
        <v>0</v>
      </c>
      <c r="G181">
        <v>33</v>
      </c>
      <c r="H181">
        <f>H37</f>
        <v>0</v>
      </c>
      <c r="K181">
        <v>33</v>
      </c>
      <c r="L181">
        <f>L37</f>
        <v>0</v>
      </c>
      <c r="M181">
        <v>33</v>
      </c>
      <c r="N181">
        <f>N37</f>
        <v>0</v>
      </c>
      <c r="Q181">
        <f>IF(Charts!$B$3="none",E898,IF(K898="",NA(),K898))</f>
        <v>0</v>
      </c>
      <c r="R181">
        <f>IF(Charts!$B$3="none",F898,IF(L898="",NA(),L898))</f>
        <v>0</v>
      </c>
      <c r="S181">
        <f>IF(Charts!$B$3="none",G898,IF(M898="",NA(),M898))</f>
        <v>0</v>
      </c>
      <c r="T181">
        <f>IF(Charts!$B$3="none",H898,IF(N898="",NA(),N898))</f>
        <v>0</v>
      </c>
    </row>
    <row r="182" spans="5:20">
      <c r="E182">
        <v>34</v>
      </c>
      <c r="F182">
        <f>F38</f>
        <v>0</v>
      </c>
      <c r="G182">
        <v>34</v>
      </c>
      <c r="H182">
        <f>H38</f>
        <v>0</v>
      </c>
      <c r="K182">
        <v>34</v>
      </c>
      <c r="L182">
        <f>L38</f>
        <v>0</v>
      </c>
      <c r="M182">
        <v>34</v>
      </c>
      <c r="N182">
        <f>N38</f>
        <v>0</v>
      </c>
      <c r="Q182">
        <f>IF(Charts!$B$3="none",E899,IF(K899="",NA(),K899))</f>
        <v>0</v>
      </c>
      <c r="R182">
        <f>IF(Charts!$B$3="none",F899,IF(L899="",NA(),L899))</f>
        <v>0</v>
      </c>
      <c r="S182">
        <f>IF(Charts!$B$3="none",G899,IF(M899="",NA(),M899))</f>
        <v>0</v>
      </c>
      <c r="T182">
        <f>IF(Charts!$B$3="none",H899,IF(N899="",NA(),N899))</f>
        <v>0</v>
      </c>
    </row>
    <row r="183" spans="5:20">
      <c r="E183">
        <v>35</v>
      </c>
      <c r="F183">
        <f>F39</f>
        <v>0</v>
      </c>
      <c r="G183">
        <v>35</v>
      </c>
      <c r="H183">
        <f>H39</f>
        <v>0</v>
      </c>
      <c r="K183">
        <v>35</v>
      </c>
      <c r="L183">
        <f>L39</f>
        <v>0</v>
      </c>
      <c r="M183">
        <v>35</v>
      </c>
      <c r="N183">
        <f>N39</f>
        <v>0</v>
      </c>
      <c r="Q183">
        <f>IF(Charts!$B$3="none",E900,IF(K900="",NA(),K900))</f>
        <v>0</v>
      </c>
      <c r="R183">
        <f>IF(Charts!$B$3="none",F900,IF(L900="",NA(),L900))</f>
        <v>0</v>
      </c>
      <c r="S183">
        <f>IF(Charts!$B$3="none",G900,IF(M900="",NA(),M900))</f>
        <v>0</v>
      </c>
      <c r="T183">
        <f>IF(Charts!$B$3="none",H900,IF(N900="",NA(),N900))</f>
        <v>0</v>
      </c>
    </row>
    <row r="184" spans="5:20">
      <c r="E184">
        <v>36</v>
      </c>
      <c r="F184">
        <f>F40</f>
        <v>0</v>
      </c>
      <c r="G184">
        <v>36</v>
      </c>
      <c r="H184">
        <f>H40</f>
        <v>0</v>
      </c>
      <c r="K184">
        <v>36</v>
      </c>
      <c r="L184">
        <f>L40</f>
        <v>0</v>
      </c>
      <c r="M184">
        <v>36</v>
      </c>
      <c r="N184">
        <f>N40</f>
        <v>0</v>
      </c>
      <c r="Q184">
        <f>IF(Charts!$B$3="none",E901,IF(K901="",NA(),K901))</f>
        <v>0</v>
      </c>
      <c r="R184">
        <f>IF(Charts!$B$3="none",F901,IF(L901="",NA(),L901))</f>
        <v>0</v>
      </c>
      <c r="S184">
        <f>IF(Charts!$B$3="none",G901,IF(M901="",NA(),M901))</f>
        <v>0</v>
      </c>
      <c r="T184">
        <f>IF(Charts!$B$3="none",H901,IF(N901="",NA(),N901))</f>
        <v>0</v>
      </c>
    </row>
    <row r="185" spans="5:20">
      <c r="E185">
        <v>37</v>
      </c>
      <c r="F185">
        <f>F41</f>
        <v>0</v>
      </c>
      <c r="G185">
        <v>37</v>
      </c>
      <c r="H185">
        <f>H41</f>
        <v>0</v>
      </c>
      <c r="K185">
        <v>37</v>
      </c>
      <c r="L185">
        <f>L41</f>
        <v>0</v>
      </c>
      <c r="M185">
        <v>37</v>
      </c>
      <c r="N185">
        <f>N41</f>
        <v>0</v>
      </c>
      <c r="Q185">
        <f>IF(Charts!$B$3="none",E902,IF(K902="",NA(),K902))</f>
        <v>0</v>
      </c>
      <c r="R185">
        <f>IF(Charts!$B$3="none",F902,IF(L902="",NA(),L902))</f>
        <v>0</v>
      </c>
      <c r="S185">
        <f>IF(Charts!$B$3="none",G902,IF(M902="",NA(),M902))</f>
        <v>0</v>
      </c>
      <c r="T185">
        <f>IF(Charts!$B$3="none",H902,IF(N902="",NA(),N902))</f>
        <v>0</v>
      </c>
    </row>
    <row r="186" spans="5:20">
      <c r="E186">
        <v>38</v>
      </c>
      <c r="F186">
        <f>F42</f>
        <v>0</v>
      </c>
      <c r="G186">
        <v>38</v>
      </c>
      <c r="H186">
        <f>H42</f>
        <v>0</v>
      </c>
      <c r="K186">
        <v>38</v>
      </c>
      <c r="L186">
        <f>L42</f>
        <v>0</v>
      </c>
      <c r="M186">
        <v>38</v>
      </c>
      <c r="N186">
        <f>N42</f>
        <v>0</v>
      </c>
      <c r="Q186">
        <f>IF(Charts!$B$3="none",E903,IF(K903="",NA(),K903))</f>
        <v>0</v>
      </c>
      <c r="R186">
        <f>IF(Charts!$B$3="none",F903,IF(L903="",NA(),L903))</f>
        <v>0</v>
      </c>
      <c r="S186">
        <f>IF(Charts!$B$3="none",G903,IF(M903="",NA(),M903))</f>
        <v>0</v>
      </c>
      <c r="T186">
        <f>IF(Charts!$B$3="none",H903,IF(N903="",NA(),N903))</f>
        <v>0</v>
      </c>
    </row>
    <row r="187" spans="5:20">
      <c r="E187">
        <v>39</v>
      </c>
      <c r="F187">
        <f>F43</f>
        <v>0</v>
      </c>
      <c r="G187">
        <v>39</v>
      </c>
      <c r="H187">
        <f>H43</f>
        <v>0</v>
      </c>
      <c r="K187">
        <v>39</v>
      </c>
      <c r="L187">
        <f>L43</f>
        <v>0</v>
      </c>
      <c r="M187">
        <v>39</v>
      </c>
      <c r="N187">
        <f>N43</f>
        <v>0</v>
      </c>
      <c r="Q187">
        <f>IF(Charts!$B$3="none",E904,IF(K904="",NA(),K904))</f>
        <v>0</v>
      </c>
      <c r="R187">
        <f>IF(Charts!$B$3="none",F904,IF(L904="",NA(),L904))</f>
        <v>0</v>
      </c>
      <c r="S187">
        <f>IF(Charts!$B$3="none",G904,IF(M904="",NA(),M904))</f>
        <v>0</v>
      </c>
      <c r="T187">
        <f>IF(Charts!$B$3="none",H904,IF(N904="",NA(),N904))</f>
        <v>0</v>
      </c>
    </row>
    <row r="188" spans="5:20">
      <c r="E188">
        <v>40</v>
      </c>
      <c r="F188">
        <f>F44</f>
        <v>0</v>
      </c>
      <c r="G188">
        <v>40</v>
      </c>
      <c r="H188">
        <f>H44</f>
        <v>0</v>
      </c>
      <c r="K188">
        <v>40</v>
      </c>
      <c r="L188">
        <f>L44</f>
        <v>0</v>
      </c>
      <c r="M188">
        <v>40</v>
      </c>
      <c r="N188">
        <f>N44</f>
        <v>0</v>
      </c>
      <c r="Q188">
        <f>IF(Charts!$B$3="none",E905,IF(K905="",NA(),K905))</f>
        <v>0</v>
      </c>
      <c r="R188">
        <f>IF(Charts!$B$3="none",F905,IF(L905="",NA(),L905))</f>
        <v>0</v>
      </c>
      <c r="S188">
        <f>IF(Charts!$B$3="none",G905,IF(M905="",NA(),M905))</f>
        <v>0</v>
      </c>
      <c r="T188">
        <f>IF(Charts!$B$3="none",H905,IF(N905="",NA(),N905))</f>
        <v>0</v>
      </c>
    </row>
    <row r="189" spans="5:20">
      <c r="E189">
        <v>41</v>
      </c>
      <c r="F189">
        <f>F45</f>
        <v>0</v>
      </c>
      <c r="G189">
        <v>41</v>
      </c>
      <c r="H189">
        <f>H45</f>
        <v>0</v>
      </c>
      <c r="K189">
        <v>41</v>
      </c>
      <c r="L189">
        <f>L45</f>
        <v>0</v>
      </c>
      <c r="M189">
        <v>41</v>
      </c>
      <c r="N189">
        <f>N45</f>
        <v>0</v>
      </c>
      <c r="Q189">
        <f>IF(Charts!$B$3="none",E906,IF(K906="",NA(),K906))</f>
        <v>0</v>
      </c>
      <c r="R189">
        <f>IF(Charts!$B$3="none",F906,IF(L906="",NA(),L906))</f>
        <v>0</v>
      </c>
      <c r="S189">
        <f>IF(Charts!$B$3="none",G906,IF(M906="",NA(),M906))</f>
        <v>0</v>
      </c>
      <c r="T189">
        <f>IF(Charts!$B$3="none",H906,IF(N906="",NA(),N906))</f>
        <v>0</v>
      </c>
    </row>
    <row r="190" spans="5:20">
      <c r="E190">
        <v>42</v>
      </c>
      <c r="F190">
        <f>F46</f>
        <v>0</v>
      </c>
      <c r="G190">
        <v>42</v>
      </c>
      <c r="H190">
        <f>H46</f>
        <v>0</v>
      </c>
      <c r="K190">
        <v>42</v>
      </c>
      <c r="L190">
        <f>L46</f>
        <v>0</v>
      </c>
      <c r="M190">
        <v>42</v>
      </c>
      <c r="N190">
        <f>N46</f>
        <v>0</v>
      </c>
      <c r="Q190">
        <f>IF(Charts!$B$3="none",E907,IF(K907="",NA(),K907))</f>
        <v>0</v>
      </c>
      <c r="R190">
        <f>IF(Charts!$B$3="none",F907,IF(L907="",NA(),L907))</f>
        <v>0</v>
      </c>
      <c r="S190">
        <f>IF(Charts!$B$3="none",G907,IF(M907="",NA(),M907))</f>
        <v>0</v>
      </c>
      <c r="T190">
        <f>IF(Charts!$B$3="none",H907,IF(N907="",NA(),N907))</f>
        <v>0</v>
      </c>
    </row>
    <row r="191" spans="5:20">
      <c r="E191">
        <v>43</v>
      </c>
      <c r="F191">
        <f>F47</f>
        <v>0</v>
      </c>
      <c r="G191">
        <v>43</v>
      </c>
      <c r="H191">
        <f>H47</f>
        <v>0</v>
      </c>
      <c r="K191">
        <v>43</v>
      </c>
      <c r="L191">
        <f>L47</f>
        <v>0</v>
      </c>
      <c r="M191">
        <v>43</v>
      </c>
      <c r="N191">
        <f>N47</f>
        <v>0</v>
      </c>
      <c r="Q191">
        <f>IF(Charts!$B$3="none",E908,IF(K908="",NA(),K908))</f>
        <v>0</v>
      </c>
      <c r="R191">
        <f>IF(Charts!$B$3="none",F908,IF(L908="",NA(),L908))</f>
        <v>0</v>
      </c>
      <c r="S191">
        <f>IF(Charts!$B$3="none",G908,IF(M908="",NA(),M908))</f>
        <v>0</v>
      </c>
      <c r="T191">
        <f>IF(Charts!$B$3="none",H908,IF(N908="",NA(),N908))</f>
        <v>0</v>
      </c>
    </row>
    <row r="192" spans="5:20">
      <c r="E192">
        <v>44</v>
      </c>
      <c r="F192">
        <f>F48</f>
        <v>0</v>
      </c>
      <c r="G192">
        <v>44</v>
      </c>
      <c r="H192">
        <f>H48</f>
        <v>0</v>
      </c>
      <c r="K192">
        <v>44</v>
      </c>
      <c r="L192">
        <f>L48</f>
        <v>0</v>
      </c>
      <c r="M192">
        <v>44</v>
      </c>
      <c r="N192">
        <f>N48</f>
        <v>0</v>
      </c>
      <c r="Q192">
        <f>IF(Charts!$B$3="none",E909,IF(K909="",NA(),K909))</f>
        <v>0</v>
      </c>
      <c r="R192">
        <f>IF(Charts!$B$3="none",F909,IF(L909="",NA(),L909))</f>
        <v>0</v>
      </c>
      <c r="S192">
        <f>IF(Charts!$B$3="none",G909,IF(M909="",NA(),M909))</f>
        <v>0</v>
      </c>
      <c r="T192">
        <f>IF(Charts!$B$3="none",H909,IF(N909="",NA(),N909))</f>
        <v>0</v>
      </c>
    </row>
    <row r="193" spans="5:20">
      <c r="E193">
        <v>45</v>
      </c>
      <c r="F193">
        <f>F49</f>
        <v>0</v>
      </c>
      <c r="G193">
        <v>45</v>
      </c>
      <c r="H193">
        <f>H49</f>
        <v>0</v>
      </c>
      <c r="K193">
        <v>45</v>
      </c>
      <c r="L193">
        <f>L49</f>
        <v>0</v>
      </c>
      <c r="M193">
        <v>45</v>
      </c>
      <c r="N193">
        <f>N49</f>
        <v>0</v>
      </c>
      <c r="Q193">
        <f>IF(Charts!$B$3="none",E910,IF(K910="",NA(),K910))</f>
        <v>0</v>
      </c>
      <c r="R193">
        <f>IF(Charts!$B$3="none",F910,IF(L910="",NA(),L910))</f>
        <v>0</v>
      </c>
      <c r="S193">
        <f>IF(Charts!$B$3="none",G910,IF(M910="",NA(),M910))</f>
        <v>0</v>
      </c>
      <c r="T193">
        <f>IF(Charts!$B$3="none",H910,IF(N910="",NA(),N910))</f>
        <v>0</v>
      </c>
    </row>
    <row r="194" spans="5:20">
      <c r="E194">
        <v>46</v>
      </c>
      <c r="F194">
        <f>F50</f>
        <v>0</v>
      </c>
      <c r="G194">
        <v>46</v>
      </c>
      <c r="H194">
        <f>H50</f>
        <v>0</v>
      </c>
      <c r="K194">
        <v>46</v>
      </c>
      <c r="L194">
        <f>L50</f>
        <v>0</v>
      </c>
      <c r="M194">
        <v>46</v>
      </c>
      <c r="N194">
        <f>N50</f>
        <v>0</v>
      </c>
      <c r="Q194">
        <f>IF(Charts!$B$3="none",E911,IF(K911="",NA(),K911))</f>
        <v>0</v>
      </c>
      <c r="R194">
        <f>IF(Charts!$B$3="none",F911,IF(L911="",NA(),L911))</f>
        <v>0</v>
      </c>
      <c r="S194">
        <f>IF(Charts!$B$3="none",G911,IF(M911="",NA(),M911))</f>
        <v>0</v>
      </c>
      <c r="T194">
        <f>IF(Charts!$B$3="none",H911,IF(N911="",NA(),N911))</f>
        <v>0</v>
      </c>
    </row>
    <row r="195" spans="5:20">
      <c r="E195">
        <v>47</v>
      </c>
      <c r="F195">
        <f>F51</f>
        <v>0</v>
      </c>
      <c r="G195">
        <v>47</v>
      </c>
      <c r="H195">
        <f>H51</f>
        <v>0</v>
      </c>
      <c r="K195">
        <v>47</v>
      </c>
      <c r="L195">
        <f>L51</f>
        <v>0</v>
      </c>
      <c r="M195">
        <v>47</v>
      </c>
      <c r="N195">
        <f>N51</f>
        <v>0</v>
      </c>
      <c r="Q195">
        <f>IF(Charts!$B$3="none",E912,IF(K912="",NA(),K912))</f>
        <v>0</v>
      </c>
      <c r="R195">
        <f>IF(Charts!$B$3="none",F912,IF(L912="",NA(),L912))</f>
        <v>0</v>
      </c>
      <c r="S195">
        <f>IF(Charts!$B$3="none",G912,IF(M912="",NA(),M912))</f>
        <v>0</v>
      </c>
      <c r="T195">
        <f>IF(Charts!$B$3="none",H912,IF(N912="",NA(),N912))</f>
        <v>0</v>
      </c>
    </row>
    <row r="196" spans="5:20">
      <c r="E196">
        <v>48</v>
      </c>
      <c r="F196">
        <f>F52</f>
        <v>0</v>
      </c>
      <c r="G196">
        <v>48</v>
      </c>
      <c r="H196">
        <f>H52</f>
        <v>0</v>
      </c>
      <c r="K196">
        <v>48</v>
      </c>
      <c r="L196">
        <f>L52</f>
        <v>0</v>
      </c>
      <c r="M196">
        <v>48</v>
      </c>
      <c r="N196">
        <f>N52</f>
        <v>0</v>
      </c>
      <c r="Q196">
        <f>IF(Charts!$B$3="none",E913,IF(K913="",NA(),K913))</f>
        <v>0</v>
      </c>
      <c r="R196">
        <f>IF(Charts!$B$3="none",F913,IF(L913="",NA(),L913))</f>
        <v>0</v>
      </c>
      <c r="S196">
        <f>IF(Charts!$B$3="none",G913,IF(M913="",NA(),M913))</f>
        <v>0</v>
      </c>
      <c r="T196">
        <f>IF(Charts!$B$3="none",H913,IF(N913="",NA(),N913))</f>
        <v>0</v>
      </c>
    </row>
    <row r="197" spans="5:20">
      <c r="E197">
        <v>49</v>
      </c>
      <c r="F197">
        <f>F53</f>
        <v>0</v>
      </c>
      <c r="G197">
        <v>49</v>
      </c>
      <c r="H197">
        <f>H53</f>
        <v>0</v>
      </c>
      <c r="K197">
        <v>49</v>
      </c>
      <c r="L197">
        <f>L53</f>
        <v>0</v>
      </c>
      <c r="M197">
        <v>49</v>
      </c>
      <c r="N197">
        <f>N53</f>
        <v>0</v>
      </c>
      <c r="Q197">
        <f>IF(Charts!$B$3="none",E914,IF(K914="",NA(),K914))</f>
        <v>0</v>
      </c>
      <c r="R197">
        <f>IF(Charts!$B$3="none",F914,IF(L914="",NA(),L914))</f>
        <v>0</v>
      </c>
      <c r="S197">
        <f>IF(Charts!$B$3="none",G914,IF(M914="",NA(),M914))</f>
        <v>0</v>
      </c>
      <c r="T197">
        <f>IF(Charts!$B$3="none",H914,IF(N914="",NA(),N914))</f>
        <v>0</v>
      </c>
    </row>
    <row r="198" spans="5:20">
      <c r="E198">
        <v>50</v>
      </c>
      <c r="F198">
        <f>F54</f>
        <v>0</v>
      </c>
      <c r="G198">
        <v>50</v>
      </c>
      <c r="H198">
        <f>H54</f>
        <v>0</v>
      </c>
      <c r="K198">
        <v>50</v>
      </c>
      <c r="L198">
        <f>L54</f>
        <v>0</v>
      </c>
      <c r="M198">
        <v>50</v>
      </c>
      <c r="N198">
        <f>N54</f>
        <v>0</v>
      </c>
      <c r="Q198">
        <f>IF(Charts!$B$3="none",E915,IF(K915="",NA(),K915))</f>
        <v>0</v>
      </c>
      <c r="R198">
        <f>IF(Charts!$B$3="none",F915,IF(L915="",NA(),L915))</f>
        <v>0</v>
      </c>
      <c r="S198">
        <f>IF(Charts!$B$3="none",G915,IF(M915="",NA(),M915))</f>
        <v>0</v>
      </c>
      <c r="T198">
        <f>IF(Charts!$B$3="none",H915,IF(N915="",NA(),N915))</f>
        <v>0</v>
      </c>
    </row>
    <row r="199" spans="5:20">
      <c r="E199">
        <v>51</v>
      </c>
      <c r="F199">
        <f>F55</f>
        <v>0</v>
      </c>
      <c r="G199">
        <v>51</v>
      </c>
      <c r="H199">
        <f>H55</f>
        <v>0</v>
      </c>
      <c r="K199">
        <v>51</v>
      </c>
      <c r="L199">
        <f>L55</f>
        <v>0</v>
      </c>
      <c r="M199">
        <v>51</v>
      </c>
      <c r="N199">
        <f>N55</f>
        <v>0</v>
      </c>
      <c r="Q199">
        <f>IF(Charts!$B$3="none",E916,IF(K916="",NA(),K916))</f>
        <v>0</v>
      </c>
      <c r="R199">
        <f>IF(Charts!$B$3="none",F916,IF(L916="",NA(),L916))</f>
        <v>0</v>
      </c>
      <c r="S199">
        <f>IF(Charts!$B$3="none",G916,IF(M916="",NA(),M916))</f>
        <v>0</v>
      </c>
      <c r="T199">
        <f>IF(Charts!$B$3="none",H916,IF(N916="",NA(),N916))</f>
        <v>0</v>
      </c>
    </row>
    <row r="200" spans="5:20">
      <c r="E200">
        <v>52</v>
      </c>
      <c r="F200">
        <f>F56</f>
        <v>0</v>
      </c>
      <c r="G200">
        <v>52</v>
      </c>
      <c r="H200">
        <f>H56</f>
        <v>0</v>
      </c>
      <c r="K200">
        <v>52</v>
      </c>
      <c r="L200">
        <f>L56</f>
        <v>0</v>
      </c>
      <c r="M200">
        <v>52</v>
      </c>
      <c r="N200">
        <f>N56</f>
        <v>0</v>
      </c>
      <c r="Q200">
        <f>IF(Charts!$B$3="none",E917,IF(K917="",NA(),K917))</f>
        <v>0</v>
      </c>
      <c r="R200">
        <f>IF(Charts!$B$3="none",F917,IF(L917="",NA(),L917))</f>
        <v>0</v>
      </c>
      <c r="S200">
        <f>IF(Charts!$B$3="none",G917,IF(M917="",NA(),M917))</f>
        <v>0</v>
      </c>
      <c r="T200">
        <f>IF(Charts!$B$3="none",H917,IF(N917="",NA(),N917))</f>
        <v>0</v>
      </c>
    </row>
    <row r="201" spans="5:20">
      <c r="E201">
        <v>53</v>
      </c>
      <c r="F201">
        <f>F57</f>
        <v>0</v>
      </c>
      <c r="G201">
        <v>53</v>
      </c>
      <c r="H201">
        <f>H57</f>
        <v>0</v>
      </c>
      <c r="K201">
        <v>53</v>
      </c>
      <c r="L201">
        <f>L57</f>
        <v>0</v>
      </c>
      <c r="M201">
        <v>53</v>
      </c>
      <c r="N201">
        <f>N57</f>
        <v>0</v>
      </c>
      <c r="Q201">
        <f>IF(Charts!$B$3="none",E918,IF(K918="",NA(),K918))</f>
        <v>0</v>
      </c>
      <c r="R201">
        <f>IF(Charts!$B$3="none",F918,IF(L918="",NA(),L918))</f>
        <v>0</v>
      </c>
      <c r="S201">
        <f>IF(Charts!$B$3="none",G918,IF(M918="",NA(),M918))</f>
        <v>0</v>
      </c>
      <c r="T201">
        <f>IF(Charts!$B$3="none",H918,IF(N918="",NA(),N918))</f>
        <v>0</v>
      </c>
    </row>
    <row r="202" spans="5:20">
      <c r="E202">
        <v>54</v>
      </c>
      <c r="F202">
        <f>F58</f>
        <v>0</v>
      </c>
      <c r="G202">
        <v>54</v>
      </c>
      <c r="H202">
        <f>H58</f>
        <v>0</v>
      </c>
      <c r="K202">
        <v>54</v>
      </c>
      <c r="L202">
        <f>L58</f>
        <v>0</v>
      </c>
      <c r="M202">
        <v>54</v>
      </c>
      <c r="N202">
        <f>N58</f>
        <v>0</v>
      </c>
      <c r="Q202">
        <f>IF(Charts!$B$3="none",E919,IF(K919="",NA(),K919))</f>
        <v>0</v>
      </c>
      <c r="R202">
        <f>IF(Charts!$B$3="none",F919,IF(L919="",NA(),L919))</f>
        <v>0</v>
      </c>
      <c r="S202">
        <f>IF(Charts!$B$3="none",G919,IF(M919="",NA(),M919))</f>
        <v>0</v>
      </c>
      <c r="T202">
        <f>IF(Charts!$B$3="none",H919,IF(N919="",NA(),N919))</f>
        <v>0</v>
      </c>
    </row>
    <row r="203" spans="5:20">
      <c r="E203">
        <v>55</v>
      </c>
      <c r="F203">
        <f>F59</f>
        <v>0</v>
      </c>
      <c r="G203">
        <v>55</v>
      </c>
      <c r="H203">
        <f>H59</f>
        <v>0</v>
      </c>
      <c r="K203">
        <v>55</v>
      </c>
      <c r="L203">
        <f>L59</f>
        <v>0</v>
      </c>
      <c r="M203">
        <v>55</v>
      </c>
      <c r="N203">
        <f>N59</f>
        <v>0</v>
      </c>
      <c r="Q203">
        <f>IF(Charts!$B$3="none",E920,IF(K920="",NA(),K920))</f>
        <v>0</v>
      </c>
      <c r="R203">
        <f>IF(Charts!$B$3="none",F920,IF(L920="",NA(),L920))</f>
        <v>0</v>
      </c>
      <c r="S203">
        <f>IF(Charts!$B$3="none",G920,IF(M920="",NA(),M920))</f>
        <v>0</v>
      </c>
      <c r="T203">
        <f>IF(Charts!$B$3="none",H920,IF(N920="",NA(),N920))</f>
        <v>0</v>
      </c>
    </row>
    <row r="204" spans="5:20">
      <c r="E204">
        <v>56</v>
      </c>
      <c r="F204">
        <f>F60</f>
        <v>0</v>
      </c>
      <c r="G204">
        <v>56</v>
      </c>
      <c r="H204">
        <f>H60</f>
        <v>0</v>
      </c>
      <c r="K204">
        <v>56</v>
      </c>
      <c r="L204">
        <f>L60</f>
        <v>0</v>
      </c>
      <c r="M204">
        <v>56</v>
      </c>
      <c r="N204">
        <f>N60</f>
        <v>0</v>
      </c>
      <c r="Q204">
        <f>IF(Charts!$B$3="none",E921,IF(K921="",NA(),K921))</f>
        <v>0</v>
      </c>
      <c r="R204">
        <f>IF(Charts!$B$3="none",F921,IF(L921="",NA(),L921))</f>
        <v>0</v>
      </c>
      <c r="S204">
        <f>IF(Charts!$B$3="none",G921,IF(M921="",NA(),M921))</f>
        <v>0</v>
      </c>
      <c r="T204">
        <f>IF(Charts!$B$3="none",H921,IF(N921="",NA(),N921))</f>
        <v>0</v>
      </c>
    </row>
    <row r="205" spans="5:20">
      <c r="E205">
        <v>57</v>
      </c>
      <c r="F205">
        <f>F61</f>
        <v>0</v>
      </c>
      <c r="G205">
        <v>57</v>
      </c>
      <c r="H205">
        <f>H61</f>
        <v>0</v>
      </c>
      <c r="K205">
        <v>57</v>
      </c>
      <c r="L205">
        <f>L61</f>
        <v>0</v>
      </c>
      <c r="M205">
        <v>57</v>
      </c>
      <c r="N205">
        <f>N61</f>
        <v>0</v>
      </c>
      <c r="Q205">
        <f>IF(Charts!$B$3="none",E922,IF(K922="",NA(),K922))</f>
        <v>0</v>
      </c>
      <c r="R205">
        <f>IF(Charts!$B$3="none",F922,IF(L922="",NA(),L922))</f>
        <v>0</v>
      </c>
      <c r="S205">
        <f>IF(Charts!$B$3="none",G922,IF(M922="",NA(),M922))</f>
        <v>0</v>
      </c>
      <c r="T205">
        <f>IF(Charts!$B$3="none",H922,IF(N922="",NA(),N922))</f>
        <v>0</v>
      </c>
    </row>
    <row r="206" spans="5:20">
      <c r="E206">
        <v>58</v>
      </c>
      <c r="F206">
        <f>F62</f>
        <v>0</v>
      </c>
      <c r="G206">
        <v>58</v>
      </c>
      <c r="H206">
        <f>H62</f>
        <v>0</v>
      </c>
      <c r="K206">
        <v>58</v>
      </c>
      <c r="L206">
        <f>L62</f>
        <v>0</v>
      </c>
      <c r="M206">
        <v>58</v>
      </c>
      <c r="N206">
        <f>N62</f>
        <v>0</v>
      </c>
      <c r="Q206">
        <f>IF(Charts!$B$3="none",E923,IF(K923="",NA(),K923))</f>
        <v>0</v>
      </c>
      <c r="R206">
        <f>IF(Charts!$B$3="none",F923,IF(L923="",NA(),L923))</f>
        <v>0</v>
      </c>
      <c r="S206">
        <f>IF(Charts!$B$3="none",G923,IF(M923="",NA(),M923))</f>
        <v>0</v>
      </c>
      <c r="T206">
        <f>IF(Charts!$B$3="none",H923,IF(N923="",NA(),N923))</f>
        <v>0</v>
      </c>
    </row>
    <row r="207" spans="5:20">
      <c r="E207">
        <v>59</v>
      </c>
      <c r="F207">
        <f>F63</f>
        <v>0</v>
      </c>
      <c r="G207">
        <v>59</v>
      </c>
      <c r="H207">
        <f>H63</f>
        <v>0</v>
      </c>
      <c r="K207">
        <v>59</v>
      </c>
      <c r="L207">
        <f>L63</f>
        <v>0</v>
      </c>
      <c r="M207">
        <v>59</v>
      </c>
      <c r="N207">
        <f>N63</f>
        <v>0</v>
      </c>
      <c r="Q207">
        <f>IF(Charts!$B$3="none",E924,IF(K924="",NA(),K924))</f>
        <v>0</v>
      </c>
      <c r="R207">
        <f>IF(Charts!$B$3="none",F924,IF(L924="",NA(),L924))</f>
        <v>0</v>
      </c>
      <c r="S207">
        <f>IF(Charts!$B$3="none",G924,IF(M924="",NA(),M924))</f>
        <v>0</v>
      </c>
      <c r="T207">
        <f>IF(Charts!$B$3="none",H924,IF(N924="",NA(),N924))</f>
        <v>0</v>
      </c>
    </row>
    <row r="208" spans="5:20">
      <c r="E208">
        <v>60</v>
      </c>
      <c r="F208">
        <f>F64</f>
        <v>0</v>
      </c>
      <c r="G208">
        <v>60</v>
      </c>
      <c r="H208">
        <f>H64</f>
        <v>0</v>
      </c>
      <c r="K208">
        <v>60</v>
      </c>
      <c r="L208">
        <f>L64</f>
        <v>0</v>
      </c>
      <c r="M208">
        <v>60</v>
      </c>
      <c r="N208">
        <f>N64</f>
        <v>0</v>
      </c>
      <c r="Q208">
        <f>IF(Charts!$B$3="none",E925,IF(K925="",NA(),K925))</f>
        <v>0</v>
      </c>
      <c r="R208">
        <f>IF(Charts!$B$3="none",F925,IF(L925="",NA(),L925))</f>
        <v>0</v>
      </c>
      <c r="S208">
        <f>IF(Charts!$B$3="none",G925,IF(M925="",NA(),M925))</f>
        <v>0</v>
      </c>
      <c r="T208">
        <f>IF(Charts!$B$3="none",H925,IF(N925="",NA(),N925))</f>
        <v>0</v>
      </c>
    </row>
    <row r="209" spans="5:20">
      <c r="E209">
        <v>61</v>
      </c>
      <c r="F209">
        <f>F65</f>
        <v>0</v>
      </c>
      <c r="G209">
        <v>61</v>
      </c>
      <c r="H209">
        <f>H65</f>
        <v>0</v>
      </c>
      <c r="K209">
        <v>61</v>
      </c>
      <c r="L209">
        <f>L65</f>
        <v>0</v>
      </c>
      <c r="M209">
        <v>61</v>
      </c>
      <c r="N209">
        <f>N65</f>
        <v>0</v>
      </c>
      <c r="Q209">
        <f>IF(Charts!$B$3="none",E926,IF(K926="",NA(),K926))</f>
        <v>0</v>
      </c>
      <c r="R209">
        <f>IF(Charts!$B$3="none",F926,IF(L926="",NA(),L926))</f>
        <v>0</v>
      </c>
      <c r="S209">
        <f>IF(Charts!$B$3="none",G926,IF(M926="",NA(),M926))</f>
        <v>0</v>
      </c>
      <c r="T209">
        <f>IF(Charts!$B$3="none",H926,IF(N926="",NA(),N926))</f>
        <v>0</v>
      </c>
    </row>
    <row r="210" spans="5:20">
      <c r="E210">
        <v>62</v>
      </c>
      <c r="F210">
        <f>F66</f>
        <v>0</v>
      </c>
      <c r="G210">
        <v>62</v>
      </c>
      <c r="H210">
        <f>H66</f>
        <v>0</v>
      </c>
      <c r="K210">
        <v>62</v>
      </c>
      <c r="L210">
        <f>L66</f>
        <v>0</v>
      </c>
      <c r="M210">
        <v>62</v>
      </c>
      <c r="N210">
        <f>N66</f>
        <v>0</v>
      </c>
      <c r="Q210">
        <f>IF(Charts!$B$3="none",E927,IF(K927="",NA(),K927))</f>
        <v>0</v>
      </c>
      <c r="R210">
        <f>IF(Charts!$B$3="none",F927,IF(L927="",NA(),L927))</f>
        <v>0</v>
      </c>
      <c r="S210">
        <f>IF(Charts!$B$3="none",G927,IF(M927="",NA(),M927))</f>
        <v>0</v>
      </c>
      <c r="T210">
        <f>IF(Charts!$B$3="none",H927,IF(N927="",NA(),N927))</f>
        <v>0</v>
      </c>
    </row>
    <row r="211" spans="5:20">
      <c r="E211">
        <v>63</v>
      </c>
      <c r="F211">
        <f>F67</f>
        <v>0</v>
      </c>
      <c r="G211">
        <v>63</v>
      </c>
      <c r="H211">
        <f>H67</f>
        <v>0</v>
      </c>
      <c r="K211">
        <v>63</v>
      </c>
      <c r="L211">
        <f>L67</f>
        <v>0</v>
      </c>
      <c r="M211">
        <v>63</v>
      </c>
      <c r="N211">
        <f>N67</f>
        <v>0</v>
      </c>
      <c r="Q211">
        <f>IF(Charts!$B$3="none",E928,IF(K928="",NA(),K928))</f>
        <v>0</v>
      </c>
      <c r="R211">
        <f>IF(Charts!$B$3="none",F928,IF(L928="",NA(),L928))</f>
        <v>0</v>
      </c>
      <c r="S211">
        <f>IF(Charts!$B$3="none",G928,IF(M928="",NA(),M928))</f>
        <v>0</v>
      </c>
      <c r="T211">
        <f>IF(Charts!$B$3="none",H928,IF(N928="",NA(),N928))</f>
        <v>0</v>
      </c>
    </row>
    <row r="212" spans="5:20">
      <c r="E212">
        <v>64</v>
      </c>
      <c r="F212">
        <f>F68</f>
        <v>0</v>
      </c>
      <c r="G212">
        <v>64</v>
      </c>
      <c r="H212">
        <f>H68</f>
        <v>0</v>
      </c>
      <c r="K212">
        <v>64</v>
      </c>
      <c r="L212">
        <f>L68</f>
        <v>0</v>
      </c>
      <c r="M212">
        <v>64</v>
      </c>
      <c r="N212">
        <f>N68</f>
        <v>0</v>
      </c>
      <c r="Q212">
        <f>IF(Charts!$B$3="none",E929,IF(K929="",NA(),K929))</f>
        <v>0</v>
      </c>
      <c r="R212">
        <f>IF(Charts!$B$3="none",F929,IF(L929="",NA(),L929))</f>
        <v>0</v>
      </c>
      <c r="S212">
        <f>IF(Charts!$B$3="none",G929,IF(M929="",NA(),M929))</f>
        <v>0</v>
      </c>
      <c r="T212">
        <f>IF(Charts!$B$3="none",H929,IF(N929="",NA(),N929))</f>
        <v>0</v>
      </c>
    </row>
    <row r="213" spans="5:20">
      <c r="E213">
        <v>65</v>
      </c>
      <c r="F213">
        <f>F69</f>
        <v>0</v>
      </c>
      <c r="G213">
        <v>65</v>
      </c>
      <c r="H213">
        <f>H69</f>
        <v>0</v>
      </c>
      <c r="K213">
        <v>65</v>
      </c>
      <c r="L213">
        <f>L69</f>
        <v>0</v>
      </c>
      <c r="M213">
        <v>65</v>
      </c>
      <c r="N213">
        <f>N69</f>
        <v>0</v>
      </c>
      <c r="Q213">
        <f>IF(Charts!$B$3="none",E930,IF(K930="",NA(),K930))</f>
        <v>0</v>
      </c>
      <c r="R213">
        <f>IF(Charts!$B$3="none",F930,IF(L930="",NA(),L930))</f>
        <v>0</v>
      </c>
      <c r="S213">
        <f>IF(Charts!$B$3="none",G930,IF(M930="",NA(),M930))</f>
        <v>0</v>
      </c>
      <c r="T213">
        <f>IF(Charts!$B$3="none",H930,IF(N930="",NA(),N930))</f>
        <v>0</v>
      </c>
    </row>
    <row r="214" spans="5:20">
      <c r="E214">
        <v>66</v>
      </c>
      <c r="F214">
        <f>F70</f>
        <v>0</v>
      </c>
      <c r="G214">
        <v>66</v>
      </c>
      <c r="H214">
        <f>H70</f>
        <v>0</v>
      </c>
      <c r="K214">
        <v>66</v>
      </c>
      <c r="L214">
        <f>L70</f>
        <v>0</v>
      </c>
      <c r="M214">
        <v>66</v>
      </c>
      <c r="N214">
        <f>N70</f>
        <v>0</v>
      </c>
      <c r="Q214">
        <f>IF(Charts!$B$3="none",E931,IF(K931="",NA(),K931))</f>
        <v>0</v>
      </c>
      <c r="R214">
        <f>IF(Charts!$B$3="none",F931,IF(L931="",NA(),L931))</f>
        <v>0</v>
      </c>
      <c r="S214">
        <f>IF(Charts!$B$3="none",G931,IF(M931="",NA(),M931))</f>
        <v>0</v>
      </c>
      <c r="T214">
        <f>IF(Charts!$B$3="none",H931,IF(N931="",NA(),N931))</f>
        <v>0</v>
      </c>
    </row>
    <row r="215" spans="5:20">
      <c r="E215">
        <v>67</v>
      </c>
      <c r="F215">
        <f>F71</f>
        <v>0</v>
      </c>
      <c r="G215">
        <v>67</v>
      </c>
      <c r="H215">
        <f>H71</f>
        <v>0</v>
      </c>
      <c r="K215">
        <v>67</v>
      </c>
      <c r="L215">
        <f>L71</f>
        <v>0</v>
      </c>
      <c r="M215">
        <v>67</v>
      </c>
      <c r="N215">
        <f>N71</f>
        <v>0</v>
      </c>
      <c r="Q215">
        <f>IF(Charts!$B$3="none",E932,IF(K932="",NA(),K932))</f>
        <v>0</v>
      </c>
      <c r="R215">
        <f>IF(Charts!$B$3="none",F932,IF(L932="",NA(),L932))</f>
        <v>0</v>
      </c>
      <c r="S215">
        <f>IF(Charts!$B$3="none",G932,IF(M932="",NA(),M932))</f>
        <v>0</v>
      </c>
      <c r="T215">
        <f>IF(Charts!$B$3="none",H932,IF(N932="",NA(),N932))</f>
        <v>0</v>
      </c>
    </row>
    <row r="216" spans="5:20">
      <c r="E216">
        <v>68</v>
      </c>
      <c r="F216">
        <f>F72</f>
        <v>0</v>
      </c>
      <c r="G216">
        <v>68</v>
      </c>
      <c r="H216">
        <f>H72</f>
        <v>0</v>
      </c>
      <c r="K216">
        <v>68</v>
      </c>
      <c r="L216">
        <f>L72</f>
        <v>0</v>
      </c>
      <c r="M216">
        <v>68</v>
      </c>
      <c r="N216">
        <f>N72</f>
        <v>0</v>
      </c>
      <c r="Q216">
        <f>IF(Charts!$B$3="none",E933,IF(K933="",NA(),K933))</f>
        <v>0</v>
      </c>
      <c r="R216">
        <f>IF(Charts!$B$3="none",F933,IF(L933="",NA(),L933))</f>
        <v>0</v>
      </c>
      <c r="S216">
        <f>IF(Charts!$B$3="none",G933,IF(M933="",NA(),M933))</f>
        <v>0</v>
      </c>
      <c r="T216">
        <f>IF(Charts!$B$3="none",H933,IF(N933="",NA(),N933))</f>
        <v>0</v>
      </c>
    </row>
    <row r="217" spans="5:20">
      <c r="E217">
        <v>69</v>
      </c>
      <c r="F217">
        <f>F73</f>
        <v>0</v>
      </c>
      <c r="G217">
        <v>69</v>
      </c>
      <c r="H217">
        <f>H73</f>
        <v>0</v>
      </c>
      <c r="K217">
        <v>69</v>
      </c>
      <c r="L217">
        <f>L73</f>
        <v>0</v>
      </c>
      <c r="M217">
        <v>69</v>
      </c>
      <c r="N217">
        <f>N73</f>
        <v>0</v>
      </c>
      <c r="Q217">
        <f>IF(Charts!$B$3="none",E934,IF(K934="",NA(),K934))</f>
        <v>0</v>
      </c>
      <c r="R217">
        <f>IF(Charts!$B$3="none",F934,IF(L934="",NA(),L934))</f>
        <v>0</v>
      </c>
      <c r="S217">
        <f>IF(Charts!$B$3="none",G934,IF(M934="",NA(),M934))</f>
        <v>0</v>
      </c>
      <c r="T217">
        <f>IF(Charts!$B$3="none",H934,IF(N934="",NA(),N934))</f>
        <v>0</v>
      </c>
    </row>
    <row r="218" spans="5:20">
      <c r="E218">
        <v>70</v>
      </c>
      <c r="F218">
        <f>F74</f>
        <v>0</v>
      </c>
      <c r="G218">
        <v>70</v>
      </c>
      <c r="H218">
        <f>H74</f>
        <v>0</v>
      </c>
      <c r="K218">
        <v>70</v>
      </c>
      <c r="L218">
        <f>L74</f>
        <v>0</v>
      </c>
      <c r="M218">
        <v>70</v>
      </c>
      <c r="N218">
        <f>N74</f>
        <v>0</v>
      </c>
      <c r="Q218">
        <f>IF(Charts!$B$3="none",E935,IF(K935="",NA(),K935))</f>
        <v>0</v>
      </c>
      <c r="R218">
        <f>IF(Charts!$B$3="none",F935,IF(L935="",NA(),L935))</f>
        <v>0</v>
      </c>
      <c r="S218">
        <f>IF(Charts!$B$3="none",G935,IF(M935="",NA(),M935))</f>
        <v>0</v>
      </c>
      <c r="T218">
        <f>IF(Charts!$B$3="none",H935,IF(N935="",NA(),N935))</f>
        <v>0</v>
      </c>
    </row>
    <row r="219" spans="5:20">
      <c r="E219">
        <v>71</v>
      </c>
      <c r="F219">
        <f>F75</f>
        <v>0</v>
      </c>
      <c r="G219">
        <v>71</v>
      </c>
      <c r="H219">
        <f>H75</f>
        <v>0</v>
      </c>
      <c r="K219">
        <v>71</v>
      </c>
      <c r="L219">
        <f>L75</f>
        <v>0</v>
      </c>
      <c r="M219">
        <v>71</v>
      </c>
      <c r="N219">
        <f>N75</f>
        <v>0</v>
      </c>
      <c r="Q219">
        <f>IF(Charts!$B$3="none",E936,IF(K936="",NA(),K936))</f>
        <v>0</v>
      </c>
      <c r="R219">
        <f>IF(Charts!$B$3="none",F936,IF(L936="",NA(),L936))</f>
        <v>0</v>
      </c>
      <c r="S219">
        <f>IF(Charts!$B$3="none",G936,IF(M936="",NA(),M936))</f>
        <v>0</v>
      </c>
      <c r="T219">
        <f>IF(Charts!$B$3="none",H936,IF(N936="",NA(),N936))</f>
        <v>0</v>
      </c>
    </row>
    <row r="220" spans="5:20">
      <c r="E220">
        <v>72</v>
      </c>
      <c r="F220">
        <f>F76</f>
        <v>0</v>
      </c>
      <c r="G220">
        <v>72</v>
      </c>
      <c r="H220">
        <f>H76</f>
        <v>0</v>
      </c>
      <c r="K220">
        <v>72</v>
      </c>
      <c r="L220">
        <f>L76</f>
        <v>0</v>
      </c>
      <c r="M220">
        <v>72</v>
      </c>
      <c r="N220">
        <f>N76</f>
        <v>0</v>
      </c>
      <c r="Q220">
        <f>IF(Charts!$B$3="none",E937,IF(K937="",NA(),K937))</f>
        <v>0</v>
      </c>
      <c r="R220">
        <f>IF(Charts!$B$3="none",F937,IF(L937="",NA(),L937))</f>
        <v>0</v>
      </c>
      <c r="S220">
        <f>IF(Charts!$B$3="none",G937,IF(M937="",NA(),M937))</f>
        <v>0</v>
      </c>
      <c r="T220">
        <f>IF(Charts!$B$3="none",H937,IF(N937="",NA(),N937))</f>
        <v>0</v>
      </c>
    </row>
    <row r="221" spans="5:20">
      <c r="E221">
        <v>73</v>
      </c>
      <c r="F221">
        <f>F77</f>
        <v>0</v>
      </c>
      <c r="G221">
        <v>73</v>
      </c>
      <c r="H221">
        <f>H77</f>
        <v>0</v>
      </c>
      <c r="K221">
        <v>73</v>
      </c>
      <c r="L221">
        <f>L77</f>
        <v>0</v>
      </c>
      <c r="M221">
        <v>73</v>
      </c>
      <c r="N221">
        <f>N77</f>
        <v>0</v>
      </c>
      <c r="Q221">
        <f>IF(Charts!$B$3="none",E938,IF(K938="",NA(),K938))</f>
        <v>0</v>
      </c>
      <c r="R221">
        <f>IF(Charts!$B$3="none",F938,IF(L938="",NA(),L938))</f>
        <v>0</v>
      </c>
      <c r="S221">
        <f>IF(Charts!$B$3="none",G938,IF(M938="",NA(),M938))</f>
        <v>0</v>
      </c>
      <c r="T221">
        <f>IF(Charts!$B$3="none",H938,IF(N938="",NA(),N938))</f>
        <v>0</v>
      </c>
    </row>
    <row r="222" spans="5:20">
      <c r="E222">
        <v>74</v>
      </c>
      <c r="F222">
        <f>F78</f>
        <v>0</v>
      </c>
      <c r="G222">
        <v>74</v>
      </c>
      <c r="H222">
        <f>H78</f>
        <v>0</v>
      </c>
      <c r="K222">
        <v>74</v>
      </c>
      <c r="L222">
        <f>L78</f>
        <v>0</v>
      </c>
      <c r="M222">
        <v>74</v>
      </c>
      <c r="N222">
        <f>N78</f>
        <v>0</v>
      </c>
      <c r="Q222">
        <f>IF(Charts!$B$3="none",E939,IF(K939="",NA(),K939))</f>
        <v>0</v>
      </c>
      <c r="R222">
        <f>IF(Charts!$B$3="none",F939,IF(L939="",NA(),L939))</f>
        <v>0</v>
      </c>
      <c r="S222">
        <f>IF(Charts!$B$3="none",G939,IF(M939="",NA(),M939))</f>
        <v>0</v>
      </c>
      <c r="T222">
        <f>IF(Charts!$B$3="none",H939,IF(N939="",NA(),N939))</f>
        <v>0</v>
      </c>
    </row>
    <row r="223" spans="5:20">
      <c r="E223">
        <v>75</v>
      </c>
      <c r="F223">
        <f>F79</f>
        <v>0</v>
      </c>
      <c r="G223">
        <v>75</v>
      </c>
      <c r="H223">
        <f>H79</f>
        <v>0</v>
      </c>
      <c r="K223">
        <v>75</v>
      </c>
      <c r="L223">
        <f>L79</f>
        <v>0</v>
      </c>
      <c r="M223">
        <v>75</v>
      </c>
      <c r="N223">
        <f>N79</f>
        <v>0</v>
      </c>
      <c r="Q223">
        <f>IF(Charts!$B$3="none",E940,IF(K940="",NA(),K940))</f>
        <v>0</v>
      </c>
      <c r="R223">
        <f>IF(Charts!$B$3="none",F940,IF(L940="",NA(),L940))</f>
        <v>0</v>
      </c>
      <c r="S223">
        <f>IF(Charts!$B$3="none",G940,IF(M940="",NA(),M940))</f>
        <v>0</v>
      </c>
      <c r="T223">
        <f>IF(Charts!$B$3="none",H940,IF(N940="",NA(),N940))</f>
        <v>0</v>
      </c>
    </row>
    <row r="224" spans="5:20">
      <c r="E224">
        <v>76</v>
      </c>
      <c r="F224">
        <f>F80</f>
        <v>0</v>
      </c>
      <c r="G224">
        <v>76</v>
      </c>
      <c r="H224">
        <f>H80</f>
        <v>0</v>
      </c>
      <c r="K224">
        <v>76</v>
      </c>
      <c r="L224">
        <f>L80</f>
        <v>0</v>
      </c>
      <c r="M224">
        <v>76</v>
      </c>
      <c r="N224">
        <f>N80</f>
        <v>0</v>
      </c>
      <c r="Q224">
        <f>IF(Charts!$B$3="none",E941,IF(K941="",NA(),K941))</f>
        <v>0</v>
      </c>
      <c r="R224">
        <f>IF(Charts!$B$3="none",F941,IF(L941="",NA(),L941))</f>
        <v>0</v>
      </c>
      <c r="S224">
        <f>IF(Charts!$B$3="none",G941,IF(M941="",NA(),M941))</f>
        <v>0</v>
      </c>
      <c r="T224">
        <f>IF(Charts!$B$3="none",H941,IF(N941="",NA(),N941))</f>
        <v>0</v>
      </c>
    </row>
    <row r="225" spans="5:20">
      <c r="E225">
        <v>77</v>
      </c>
      <c r="F225">
        <f>F81</f>
        <v>0</v>
      </c>
      <c r="G225">
        <v>77</v>
      </c>
      <c r="H225">
        <f>H81</f>
        <v>0</v>
      </c>
      <c r="K225">
        <v>77</v>
      </c>
      <c r="L225">
        <f>L81</f>
        <v>0</v>
      </c>
      <c r="M225">
        <v>77</v>
      </c>
      <c r="N225">
        <f>N81</f>
        <v>0</v>
      </c>
      <c r="Q225">
        <f>IF(Charts!$B$3="none",E942,IF(K942="",NA(),K942))</f>
        <v>0</v>
      </c>
      <c r="R225">
        <f>IF(Charts!$B$3="none",F942,IF(L942="",NA(),L942))</f>
        <v>0</v>
      </c>
      <c r="S225">
        <f>IF(Charts!$B$3="none",G942,IF(M942="",NA(),M942))</f>
        <v>0</v>
      </c>
      <c r="T225">
        <f>IF(Charts!$B$3="none",H942,IF(N942="",NA(),N942))</f>
        <v>0</v>
      </c>
    </row>
    <row r="226" spans="5:20">
      <c r="E226">
        <v>78</v>
      </c>
      <c r="F226">
        <f>F82</f>
        <v>0</v>
      </c>
      <c r="G226">
        <v>78</v>
      </c>
      <c r="H226">
        <f>H82</f>
        <v>0</v>
      </c>
      <c r="K226">
        <v>78</v>
      </c>
      <c r="L226">
        <f>L82</f>
        <v>0</v>
      </c>
      <c r="M226">
        <v>78</v>
      </c>
      <c r="N226">
        <f>N82</f>
        <v>0</v>
      </c>
      <c r="Q226">
        <f>IF(Charts!$B$3="none",E943,IF(K943="",NA(),K943))</f>
        <v>0</v>
      </c>
      <c r="R226">
        <f>IF(Charts!$B$3="none",F943,IF(L943="",NA(),L943))</f>
        <v>0</v>
      </c>
      <c r="S226">
        <f>IF(Charts!$B$3="none",G943,IF(M943="",NA(),M943))</f>
        <v>0</v>
      </c>
      <c r="T226">
        <f>IF(Charts!$B$3="none",H943,IF(N943="",NA(),N943))</f>
        <v>0</v>
      </c>
    </row>
    <row r="227" spans="5:20">
      <c r="E227">
        <v>79</v>
      </c>
      <c r="F227">
        <f>F83</f>
        <v>0</v>
      </c>
      <c r="G227">
        <v>79</v>
      </c>
      <c r="H227">
        <f>H83</f>
        <v>0</v>
      </c>
      <c r="K227">
        <v>79</v>
      </c>
      <c r="L227">
        <f>L83</f>
        <v>0</v>
      </c>
      <c r="M227">
        <v>79</v>
      </c>
      <c r="N227">
        <f>N83</f>
        <v>0</v>
      </c>
      <c r="Q227">
        <f>IF(Charts!$B$3="none",E944,IF(K944="",NA(),K944))</f>
        <v>0</v>
      </c>
      <c r="R227">
        <f>IF(Charts!$B$3="none",F944,IF(L944="",NA(),L944))</f>
        <v>0</v>
      </c>
      <c r="S227">
        <f>IF(Charts!$B$3="none",G944,IF(M944="",NA(),M944))</f>
        <v>0</v>
      </c>
      <c r="T227">
        <f>IF(Charts!$B$3="none",H944,IF(N944="",NA(),N944))</f>
        <v>0</v>
      </c>
    </row>
    <row r="228" spans="5:20">
      <c r="E228">
        <v>80</v>
      </c>
      <c r="F228">
        <f>F84</f>
        <v>0</v>
      </c>
      <c r="G228">
        <v>80</v>
      </c>
      <c r="H228">
        <f>H84</f>
        <v>0</v>
      </c>
      <c r="K228">
        <v>80</v>
      </c>
      <c r="L228">
        <f>L84</f>
        <v>0</v>
      </c>
      <c r="M228">
        <v>80</v>
      </c>
      <c r="N228">
        <f>N84</f>
        <v>0</v>
      </c>
      <c r="Q228">
        <f>IF(Charts!$B$3="none",E945,IF(K945="",NA(),K945))</f>
        <v>0</v>
      </c>
      <c r="R228">
        <f>IF(Charts!$B$3="none",F945,IF(L945="",NA(),L945))</f>
        <v>0</v>
      </c>
      <c r="S228">
        <f>IF(Charts!$B$3="none",G945,IF(M945="",NA(),M945))</f>
        <v>0</v>
      </c>
      <c r="T228">
        <f>IF(Charts!$B$3="none",H945,IF(N945="",NA(),N945))</f>
        <v>0</v>
      </c>
    </row>
    <row r="229" spans="5:20">
      <c r="E229">
        <v>81</v>
      </c>
      <c r="F229">
        <f>F85</f>
        <v>0</v>
      </c>
      <c r="G229">
        <v>81</v>
      </c>
      <c r="H229">
        <f>H85</f>
        <v>0</v>
      </c>
      <c r="K229">
        <v>81</v>
      </c>
      <c r="L229">
        <f>L85</f>
        <v>0</v>
      </c>
      <c r="M229">
        <v>81</v>
      </c>
      <c r="N229">
        <f>N85</f>
        <v>0</v>
      </c>
      <c r="Q229">
        <f>IF(Charts!$B$3="none",E946,IF(K946="",NA(),K946))</f>
        <v>0</v>
      </c>
      <c r="R229">
        <f>IF(Charts!$B$3="none",F946,IF(L946="",NA(),L946))</f>
        <v>0</v>
      </c>
      <c r="S229">
        <f>IF(Charts!$B$3="none",G946,IF(M946="",NA(),M946))</f>
        <v>0</v>
      </c>
      <c r="T229">
        <f>IF(Charts!$B$3="none",H946,IF(N946="",NA(),N946))</f>
        <v>0</v>
      </c>
    </row>
    <row r="230" spans="5:20">
      <c r="E230">
        <v>82</v>
      </c>
      <c r="F230">
        <f>F86</f>
        <v>0</v>
      </c>
      <c r="G230">
        <v>82</v>
      </c>
      <c r="H230">
        <f>H86</f>
        <v>0</v>
      </c>
      <c r="K230">
        <v>82</v>
      </c>
      <c r="L230">
        <f>L86</f>
        <v>0</v>
      </c>
      <c r="M230">
        <v>82</v>
      </c>
      <c r="N230">
        <f>N86</f>
        <v>0</v>
      </c>
      <c r="Q230">
        <f>IF(Charts!$B$3="none",E947,IF(K947="",NA(),K947))</f>
        <v>0</v>
      </c>
      <c r="R230">
        <f>IF(Charts!$B$3="none",F947,IF(L947="",NA(),L947))</f>
        <v>0</v>
      </c>
      <c r="S230">
        <f>IF(Charts!$B$3="none",G947,IF(M947="",NA(),M947))</f>
        <v>0</v>
      </c>
      <c r="T230">
        <f>IF(Charts!$B$3="none",H947,IF(N947="",NA(),N947))</f>
        <v>0</v>
      </c>
    </row>
    <row r="231" spans="5:20">
      <c r="E231">
        <v>83</v>
      </c>
      <c r="F231">
        <f>F87</f>
        <v>0</v>
      </c>
      <c r="G231">
        <v>83</v>
      </c>
      <c r="H231">
        <f>H87</f>
        <v>0</v>
      </c>
      <c r="K231">
        <v>83</v>
      </c>
      <c r="L231">
        <f>L87</f>
        <v>0</v>
      </c>
      <c r="M231">
        <v>83</v>
      </c>
      <c r="N231">
        <f>N87</f>
        <v>0</v>
      </c>
      <c r="Q231">
        <f>IF(Charts!$B$3="none",E948,IF(K948="",NA(),K948))</f>
        <v>0</v>
      </c>
      <c r="R231">
        <f>IF(Charts!$B$3="none",F948,IF(L948="",NA(),L948))</f>
        <v>0</v>
      </c>
      <c r="S231">
        <f>IF(Charts!$B$3="none",G948,IF(M948="",NA(),M948))</f>
        <v>0</v>
      </c>
      <c r="T231">
        <f>IF(Charts!$B$3="none",H948,IF(N948="",NA(),N948))</f>
        <v>0</v>
      </c>
    </row>
    <row r="232" spans="5:20">
      <c r="E232">
        <v>84</v>
      </c>
      <c r="F232">
        <f>F88</f>
        <v>0</v>
      </c>
      <c r="G232">
        <v>84</v>
      </c>
      <c r="H232">
        <f>H88</f>
        <v>0</v>
      </c>
      <c r="K232">
        <v>84</v>
      </c>
      <c r="L232">
        <f>L88</f>
        <v>0</v>
      </c>
      <c r="M232">
        <v>84</v>
      </c>
      <c r="N232">
        <f>N88</f>
        <v>0</v>
      </c>
      <c r="Q232">
        <f>IF(Charts!$B$3="none",E949,IF(K949="",NA(),K949))</f>
        <v>0</v>
      </c>
      <c r="R232">
        <f>IF(Charts!$B$3="none",F949,IF(L949="",NA(),L949))</f>
        <v>0</v>
      </c>
      <c r="S232">
        <f>IF(Charts!$B$3="none",G949,IF(M949="",NA(),M949))</f>
        <v>0</v>
      </c>
      <c r="T232">
        <f>IF(Charts!$B$3="none",H949,IF(N949="",NA(),N949))</f>
        <v>0</v>
      </c>
    </row>
    <row r="233" spans="5:20">
      <c r="E233">
        <v>85</v>
      </c>
      <c r="F233">
        <f>F89</f>
        <v>0</v>
      </c>
      <c r="G233">
        <v>85</v>
      </c>
      <c r="H233">
        <f>H89</f>
        <v>0</v>
      </c>
      <c r="K233">
        <v>85</v>
      </c>
      <c r="L233">
        <f>L89</f>
        <v>0</v>
      </c>
      <c r="M233">
        <v>85</v>
      </c>
      <c r="N233">
        <f>N89</f>
        <v>0</v>
      </c>
      <c r="Q233">
        <f>IF(Charts!$B$3="none",E950,IF(K950="",NA(),K950))</f>
        <v>0</v>
      </c>
      <c r="R233">
        <f>IF(Charts!$B$3="none",F950,IF(L950="",NA(),L950))</f>
        <v>0</v>
      </c>
      <c r="S233">
        <f>IF(Charts!$B$3="none",G950,IF(M950="",NA(),M950))</f>
        <v>0</v>
      </c>
      <c r="T233">
        <f>IF(Charts!$B$3="none",H950,IF(N950="",NA(),N950))</f>
        <v>0</v>
      </c>
    </row>
    <row r="234" spans="5:20">
      <c r="E234">
        <v>86</v>
      </c>
      <c r="F234">
        <f>F90</f>
        <v>0</v>
      </c>
      <c r="G234">
        <v>86</v>
      </c>
      <c r="H234">
        <f>H90</f>
        <v>0</v>
      </c>
      <c r="K234">
        <v>86</v>
      </c>
      <c r="L234">
        <f>L90</f>
        <v>0</v>
      </c>
      <c r="M234">
        <v>86</v>
      </c>
      <c r="N234">
        <f>N90</f>
        <v>0</v>
      </c>
      <c r="Q234">
        <f>IF(Charts!$B$3="none",E951,IF(K951="",NA(),K951))</f>
        <v>0</v>
      </c>
      <c r="R234">
        <f>IF(Charts!$B$3="none",F951,IF(L951="",NA(),L951))</f>
        <v>0</v>
      </c>
      <c r="S234">
        <f>IF(Charts!$B$3="none",G951,IF(M951="",NA(),M951))</f>
        <v>0</v>
      </c>
      <c r="T234">
        <f>IF(Charts!$B$3="none",H951,IF(N951="",NA(),N951))</f>
        <v>0</v>
      </c>
    </row>
    <row r="235" spans="5:20">
      <c r="E235">
        <v>87</v>
      </c>
      <c r="F235">
        <f>F91</f>
        <v>0</v>
      </c>
      <c r="G235">
        <v>87</v>
      </c>
      <c r="H235">
        <f>H91</f>
        <v>0</v>
      </c>
      <c r="K235">
        <v>87</v>
      </c>
      <c r="L235">
        <f>L91</f>
        <v>0</v>
      </c>
      <c r="M235">
        <v>87</v>
      </c>
      <c r="N235">
        <f>N91</f>
        <v>0</v>
      </c>
      <c r="Q235">
        <f>IF(Charts!$B$3="none",E952,IF(K952="",NA(),K952))</f>
        <v>0</v>
      </c>
      <c r="R235">
        <f>IF(Charts!$B$3="none",F952,IF(L952="",NA(),L952))</f>
        <v>0</v>
      </c>
      <c r="S235">
        <f>IF(Charts!$B$3="none",G952,IF(M952="",NA(),M952))</f>
        <v>0</v>
      </c>
      <c r="T235">
        <f>IF(Charts!$B$3="none",H952,IF(N952="",NA(),N952))</f>
        <v>0</v>
      </c>
    </row>
    <row r="236" spans="5:20">
      <c r="E236">
        <v>88</v>
      </c>
      <c r="F236">
        <f>F92</f>
        <v>0</v>
      </c>
      <c r="G236">
        <v>88</v>
      </c>
      <c r="H236">
        <f>H92</f>
        <v>0</v>
      </c>
      <c r="K236">
        <v>88</v>
      </c>
      <c r="L236">
        <f>L92</f>
        <v>0</v>
      </c>
      <c r="M236">
        <v>88</v>
      </c>
      <c r="N236">
        <f>N92</f>
        <v>0</v>
      </c>
      <c r="Q236">
        <f>IF(Charts!$B$3="none",E953,IF(K953="",NA(),K953))</f>
        <v>0</v>
      </c>
      <c r="R236">
        <f>IF(Charts!$B$3="none",F953,IF(L953="",NA(),L953))</f>
        <v>0</v>
      </c>
      <c r="S236">
        <f>IF(Charts!$B$3="none",G953,IF(M953="",NA(),M953))</f>
        <v>0</v>
      </c>
      <c r="T236">
        <f>IF(Charts!$B$3="none",H953,IF(N953="",NA(),N953))</f>
        <v>0</v>
      </c>
    </row>
    <row r="237" spans="5:20">
      <c r="E237">
        <v>89</v>
      </c>
      <c r="F237">
        <f>F93</f>
        <v>0</v>
      </c>
      <c r="G237">
        <v>89</v>
      </c>
      <c r="H237">
        <f>H93</f>
        <v>0</v>
      </c>
      <c r="K237">
        <v>89</v>
      </c>
      <c r="L237">
        <f>L93</f>
        <v>0</v>
      </c>
      <c r="M237">
        <v>89</v>
      </c>
      <c r="N237">
        <f>N93</f>
        <v>0</v>
      </c>
      <c r="Q237">
        <f>IF(Charts!$B$3="none",E954,IF(K954="",NA(),K954))</f>
        <v>0</v>
      </c>
      <c r="R237">
        <f>IF(Charts!$B$3="none",F954,IF(L954="",NA(),L954))</f>
        <v>0</v>
      </c>
      <c r="S237">
        <f>IF(Charts!$B$3="none",G954,IF(M954="",NA(),M954))</f>
        <v>0</v>
      </c>
      <c r="T237">
        <f>IF(Charts!$B$3="none",H954,IF(N954="",NA(),N954))</f>
        <v>0</v>
      </c>
    </row>
    <row r="238" spans="5:20">
      <c r="E238">
        <v>90</v>
      </c>
      <c r="F238">
        <f>F94</f>
        <v>0</v>
      </c>
      <c r="G238">
        <v>90</v>
      </c>
      <c r="H238">
        <f>H94</f>
        <v>0</v>
      </c>
      <c r="K238">
        <v>90</v>
      </c>
      <c r="L238">
        <f>L94</f>
        <v>0</v>
      </c>
      <c r="M238">
        <v>90</v>
      </c>
      <c r="N238">
        <f>N94</f>
        <v>0</v>
      </c>
      <c r="Q238">
        <f>IF(Charts!$B$3="none",E955,IF(K955="",NA(),K955))</f>
        <v>0</v>
      </c>
      <c r="R238">
        <f>IF(Charts!$B$3="none",F955,IF(L955="",NA(),L955))</f>
        <v>0</v>
      </c>
      <c r="S238">
        <f>IF(Charts!$B$3="none",G955,IF(M955="",NA(),M955))</f>
        <v>0</v>
      </c>
      <c r="T238">
        <f>IF(Charts!$B$3="none",H955,IF(N955="",NA(),N955))</f>
        <v>0</v>
      </c>
    </row>
    <row r="239" spans="5:20">
      <c r="E239">
        <v>91</v>
      </c>
      <c r="F239">
        <f>F95</f>
        <v>0</v>
      </c>
      <c r="G239">
        <v>91</v>
      </c>
      <c r="H239">
        <f>H95</f>
        <v>0</v>
      </c>
      <c r="K239">
        <v>91</v>
      </c>
      <c r="L239">
        <f>L95</f>
        <v>0</v>
      </c>
      <c r="M239">
        <v>91</v>
      </c>
      <c r="N239">
        <f>N95</f>
        <v>0</v>
      </c>
      <c r="Q239">
        <f>IF(Charts!$B$3="none",E956,IF(K956="",NA(),K956))</f>
        <v>0</v>
      </c>
      <c r="R239">
        <f>IF(Charts!$B$3="none",F956,IF(L956="",NA(),L956))</f>
        <v>0</v>
      </c>
      <c r="S239">
        <f>IF(Charts!$B$3="none",G956,IF(M956="",NA(),M956))</f>
        <v>0</v>
      </c>
      <c r="T239">
        <f>IF(Charts!$B$3="none",H956,IF(N956="",NA(),N956))</f>
        <v>0</v>
      </c>
    </row>
    <row r="240" spans="5:20">
      <c r="E240">
        <v>92</v>
      </c>
      <c r="F240">
        <f>F96</f>
        <v>0</v>
      </c>
      <c r="G240">
        <v>92</v>
      </c>
      <c r="H240">
        <f>H96</f>
        <v>0</v>
      </c>
      <c r="K240">
        <v>92</v>
      </c>
      <c r="L240">
        <f>L96</f>
        <v>0</v>
      </c>
      <c r="M240">
        <v>92</v>
      </c>
      <c r="N240">
        <f>N96</f>
        <v>0</v>
      </c>
      <c r="Q240">
        <f>IF(Charts!$B$3="none",E957,IF(K957="",NA(),K957))</f>
        <v>0</v>
      </c>
      <c r="R240">
        <f>IF(Charts!$B$3="none",F957,IF(L957="",NA(),L957))</f>
        <v>0</v>
      </c>
      <c r="S240">
        <f>IF(Charts!$B$3="none",G957,IF(M957="",NA(),M957))</f>
        <v>0</v>
      </c>
      <c r="T240">
        <f>IF(Charts!$B$3="none",H957,IF(N957="",NA(),N957))</f>
        <v>0</v>
      </c>
    </row>
    <row r="241" spans="5:20">
      <c r="E241">
        <v>93</v>
      </c>
      <c r="F241">
        <f>F97</f>
        <v>0</v>
      </c>
      <c r="G241">
        <v>93</v>
      </c>
      <c r="H241">
        <f>H97</f>
        <v>0</v>
      </c>
      <c r="K241">
        <v>93</v>
      </c>
      <c r="L241">
        <f>L97</f>
        <v>0</v>
      </c>
      <c r="M241">
        <v>93</v>
      </c>
      <c r="N241">
        <f>N97</f>
        <v>0</v>
      </c>
      <c r="Q241">
        <f>IF(Charts!$B$3="none",E958,IF(K958="",NA(),K958))</f>
        <v>0</v>
      </c>
      <c r="R241">
        <f>IF(Charts!$B$3="none",F958,IF(L958="",NA(),L958))</f>
        <v>0</v>
      </c>
      <c r="S241">
        <f>IF(Charts!$B$3="none",G958,IF(M958="",NA(),M958))</f>
        <v>0</v>
      </c>
      <c r="T241">
        <f>IF(Charts!$B$3="none",H958,IF(N958="",NA(),N958))</f>
        <v>0</v>
      </c>
    </row>
    <row r="242" spans="5:20">
      <c r="E242">
        <v>94</v>
      </c>
      <c r="F242">
        <f>F98</f>
        <v>0</v>
      </c>
      <c r="G242">
        <v>94</v>
      </c>
      <c r="H242">
        <f>H98</f>
        <v>0</v>
      </c>
      <c r="K242">
        <v>94</v>
      </c>
      <c r="L242">
        <f>L98</f>
        <v>0</v>
      </c>
      <c r="M242">
        <v>94</v>
      </c>
      <c r="N242">
        <f>N98</f>
        <v>0</v>
      </c>
      <c r="Q242">
        <f>IF(Charts!$B$3="none",E959,IF(K959="",NA(),K959))</f>
        <v>0</v>
      </c>
      <c r="R242">
        <f>IF(Charts!$B$3="none",F959,IF(L959="",NA(),L959))</f>
        <v>0</v>
      </c>
      <c r="S242">
        <f>IF(Charts!$B$3="none",G959,IF(M959="",NA(),M959))</f>
        <v>0</v>
      </c>
      <c r="T242">
        <f>IF(Charts!$B$3="none",H959,IF(N959="",NA(),N959))</f>
        <v>0</v>
      </c>
    </row>
    <row r="243" spans="5:20">
      <c r="E243">
        <v>95</v>
      </c>
      <c r="F243">
        <f>F99</f>
        <v>0</v>
      </c>
      <c r="G243">
        <v>95</v>
      </c>
      <c r="H243">
        <f>H99</f>
        <v>0</v>
      </c>
      <c r="K243">
        <v>95</v>
      </c>
      <c r="L243">
        <f>L99</f>
        <v>0</v>
      </c>
      <c r="M243">
        <v>95</v>
      </c>
      <c r="N243">
        <f>N99</f>
        <v>0</v>
      </c>
      <c r="Q243">
        <f>IF(Charts!$B$3="none",E960,IF(K960="",NA(),K960))</f>
        <v>0</v>
      </c>
      <c r="R243">
        <f>IF(Charts!$B$3="none",F960,IF(L960="",NA(),L960))</f>
        <v>0</v>
      </c>
      <c r="S243">
        <f>IF(Charts!$B$3="none",G960,IF(M960="",NA(),M960))</f>
        <v>0</v>
      </c>
      <c r="T243">
        <f>IF(Charts!$B$3="none",H960,IF(N960="",NA(),N960))</f>
        <v>0</v>
      </c>
    </row>
    <row r="244" spans="5:20">
      <c r="E244">
        <v>96</v>
      </c>
      <c r="F244">
        <f>F100</f>
        <v>0</v>
      </c>
      <c r="G244">
        <v>96</v>
      </c>
      <c r="H244">
        <f>H100</f>
        <v>0</v>
      </c>
      <c r="K244">
        <v>96</v>
      </c>
      <c r="L244">
        <f>L100</f>
        <v>0</v>
      </c>
      <c r="M244">
        <v>96</v>
      </c>
      <c r="N244">
        <f>N100</f>
        <v>0</v>
      </c>
      <c r="Q244">
        <f>IF(Charts!$B$3="none",E961,IF(K961="",NA(),K961))</f>
        <v>0</v>
      </c>
      <c r="R244">
        <f>IF(Charts!$B$3="none",F961,IF(L961="",NA(),L961))</f>
        <v>0</v>
      </c>
      <c r="S244">
        <f>IF(Charts!$B$3="none",G961,IF(M961="",NA(),M961))</f>
        <v>0</v>
      </c>
      <c r="T244">
        <f>IF(Charts!$B$3="none",H961,IF(N961="",NA(),N961))</f>
        <v>0</v>
      </c>
    </row>
    <row r="245" spans="5:20">
      <c r="E245">
        <v>97</v>
      </c>
      <c r="F245">
        <f>F101</f>
        <v>0</v>
      </c>
      <c r="G245">
        <v>97</v>
      </c>
      <c r="H245">
        <f>H101</f>
        <v>0</v>
      </c>
      <c r="K245">
        <v>97</v>
      </c>
      <c r="L245">
        <f>L101</f>
        <v>0</v>
      </c>
      <c r="M245">
        <v>97</v>
      </c>
      <c r="N245">
        <f>N101</f>
        <v>0</v>
      </c>
      <c r="Q245">
        <f>IF(Charts!$B$3="none",E962,IF(K962="",NA(),K962))</f>
        <v>0</v>
      </c>
      <c r="R245">
        <f>IF(Charts!$B$3="none",F962,IF(L962="",NA(),L962))</f>
        <v>0</v>
      </c>
      <c r="S245">
        <f>IF(Charts!$B$3="none",G962,IF(M962="",NA(),M962))</f>
        <v>0</v>
      </c>
      <c r="T245">
        <f>IF(Charts!$B$3="none",H962,IF(N962="",NA(),N962))</f>
        <v>0</v>
      </c>
    </row>
    <row r="246" spans="5:20">
      <c r="E246">
        <v>98</v>
      </c>
      <c r="F246">
        <f>F102</f>
        <v>0</v>
      </c>
      <c r="G246">
        <v>98</v>
      </c>
      <c r="H246">
        <f>H102</f>
        <v>0</v>
      </c>
      <c r="K246">
        <v>98</v>
      </c>
      <c r="L246">
        <f>L102</f>
        <v>0</v>
      </c>
      <c r="M246">
        <v>98</v>
      </c>
      <c r="N246">
        <f>N102</f>
        <v>0</v>
      </c>
      <c r="Q246">
        <f>IF(Charts!$B$3="none",E963,IF(K963="",NA(),K963))</f>
        <v>0</v>
      </c>
      <c r="R246">
        <f>IF(Charts!$B$3="none",F963,IF(L963="",NA(),L963))</f>
        <v>0</v>
      </c>
      <c r="S246">
        <f>IF(Charts!$B$3="none",G963,IF(M963="",NA(),M963))</f>
        <v>0</v>
      </c>
      <c r="T246">
        <f>IF(Charts!$B$3="none",H963,IF(N963="",NA(),N963))</f>
        <v>0</v>
      </c>
    </row>
    <row r="247" spans="5:20">
      <c r="E247">
        <v>99</v>
      </c>
      <c r="F247">
        <f>F103</f>
        <v>0</v>
      </c>
      <c r="G247">
        <v>99</v>
      </c>
      <c r="H247">
        <f>H103</f>
        <v>0</v>
      </c>
      <c r="K247">
        <v>99</v>
      </c>
      <c r="L247">
        <f>L103</f>
        <v>0</v>
      </c>
      <c r="M247">
        <v>99</v>
      </c>
      <c r="N247">
        <f>N103</f>
        <v>0</v>
      </c>
      <c r="Q247">
        <f>IF(Charts!$B$3="none",E964,IF(K964="",NA(),K964))</f>
        <v>0</v>
      </c>
      <c r="R247">
        <f>IF(Charts!$B$3="none",F964,IF(L964="",NA(),L964))</f>
        <v>0</v>
      </c>
      <c r="S247">
        <f>IF(Charts!$B$3="none",G964,IF(M964="",NA(),M964))</f>
        <v>0</v>
      </c>
      <c r="T247">
        <f>IF(Charts!$B$3="none",H964,IF(N964="",NA(),N964))</f>
        <v>0</v>
      </c>
    </row>
    <row r="248" spans="5:20">
      <c r="E248">
        <v>100</v>
      </c>
      <c r="F248">
        <f>F104</f>
        <v>0</v>
      </c>
      <c r="G248">
        <v>100</v>
      </c>
      <c r="H248">
        <f>H104</f>
        <v>0</v>
      </c>
      <c r="K248">
        <v>100</v>
      </c>
      <c r="L248">
        <f>L104</f>
        <v>0</v>
      </c>
      <c r="M248">
        <v>100</v>
      </c>
      <c r="N248">
        <f>N104</f>
        <v>0</v>
      </c>
      <c r="Q248">
        <f>IF(Charts!$B$3="none",E965,IF(K965="",NA(),K965))</f>
        <v>0</v>
      </c>
      <c r="R248">
        <f>IF(Charts!$B$3="none",F965,IF(L965="",NA(),L965))</f>
        <v>0</v>
      </c>
      <c r="S248">
        <f>IF(Charts!$B$3="none",G965,IF(M965="",NA(),M965))</f>
        <v>0</v>
      </c>
      <c r="T248">
        <f>IF(Charts!$B$3="none",H965,IF(N965="",NA(),N965))</f>
        <v>0</v>
      </c>
    </row>
    <row r="249" spans="5:20">
      <c r="E249">
        <v>101</v>
      </c>
      <c r="F249">
        <f>F105</f>
        <v>0</v>
      </c>
      <c r="G249">
        <v>101</v>
      </c>
      <c r="H249">
        <f>H105</f>
        <v>0</v>
      </c>
      <c r="K249">
        <v>101</v>
      </c>
      <c r="L249">
        <f>L105</f>
        <v>0</v>
      </c>
      <c r="M249">
        <v>101</v>
      </c>
      <c r="N249">
        <f>N105</f>
        <v>0</v>
      </c>
      <c r="Q249">
        <f>IF(Charts!$B$3="none",E966,IF(K966="",NA(),K966))</f>
        <v>0</v>
      </c>
      <c r="R249">
        <f>IF(Charts!$B$3="none",F966,IF(L966="",NA(),L966))</f>
        <v>0</v>
      </c>
      <c r="S249">
        <f>IF(Charts!$B$3="none",G966,IF(M966="",NA(),M966))</f>
        <v>0</v>
      </c>
      <c r="T249">
        <f>IF(Charts!$B$3="none",H966,IF(N966="",NA(),N966))</f>
        <v>0</v>
      </c>
    </row>
    <row r="250" spans="5:20">
      <c r="E250">
        <v>102</v>
      </c>
      <c r="F250">
        <f>F106</f>
        <v>0</v>
      </c>
      <c r="G250">
        <v>102</v>
      </c>
      <c r="H250">
        <f>H106</f>
        <v>0</v>
      </c>
      <c r="K250">
        <v>102</v>
      </c>
      <c r="L250">
        <f>L106</f>
        <v>0</v>
      </c>
      <c r="M250">
        <v>102</v>
      </c>
      <c r="N250">
        <f>N106</f>
        <v>0</v>
      </c>
      <c r="Q250">
        <f>IF(Charts!$B$3="none",E967,IF(K967="",NA(),K967))</f>
        <v>0</v>
      </c>
      <c r="R250">
        <f>IF(Charts!$B$3="none",F967,IF(L967="",NA(),L967))</f>
        <v>0</v>
      </c>
      <c r="S250">
        <f>IF(Charts!$B$3="none",G967,IF(M967="",NA(),M967))</f>
        <v>0</v>
      </c>
      <c r="T250">
        <f>IF(Charts!$B$3="none",H967,IF(N967="",NA(),N967))</f>
        <v>0</v>
      </c>
    </row>
    <row r="251" spans="5:20">
      <c r="E251">
        <v>103</v>
      </c>
      <c r="F251">
        <f>F107</f>
        <v>0</v>
      </c>
      <c r="G251">
        <v>103</v>
      </c>
      <c r="H251">
        <f>H107</f>
        <v>0</v>
      </c>
      <c r="K251">
        <v>103</v>
      </c>
      <c r="L251">
        <f>L107</f>
        <v>0</v>
      </c>
      <c r="M251">
        <v>103</v>
      </c>
      <c r="N251">
        <f>N107</f>
        <v>0</v>
      </c>
      <c r="Q251">
        <f>IF(Charts!$B$3="none",E968,IF(K968="",NA(),K968))</f>
        <v>0</v>
      </c>
      <c r="R251">
        <f>IF(Charts!$B$3="none",F968,IF(L968="",NA(),L968))</f>
        <v>0</v>
      </c>
      <c r="S251">
        <f>IF(Charts!$B$3="none",G968,IF(M968="",NA(),M968))</f>
        <v>0</v>
      </c>
      <c r="T251">
        <f>IF(Charts!$B$3="none",H968,IF(N968="",NA(),N968))</f>
        <v>0</v>
      </c>
    </row>
    <row r="252" spans="5:20">
      <c r="E252">
        <v>104</v>
      </c>
      <c r="F252">
        <f>F108</f>
        <v>0</v>
      </c>
      <c r="G252">
        <v>104</v>
      </c>
      <c r="H252">
        <f>H108</f>
        <v>0</v>
      </c>
      <c r="K252">
        <v>104</v>
      </c>
      <c r="L252">
        <f>L108</f>
        <v>0</v>
      </c>
      <c r="M252">
        <v>104</v>
      </c>
      <c r="N252">
        <f>N108</f>
        <v>0</v>
      </c>
      <c r="Q252">
        <f>IF(Charts!$B$3="none",E969,IF(K969="",NA(),K969))</f>
        <v>0</v>
      </c>
      <c r="R252">
        <f>IF(Charts!$B$3="none",F969,IF(L969="",NA(),L969))</f>
        <v>0</v>
      </c>
      <c r="S252">
        <f>IF(Charts!$B$3="none",G969,IF(M969="",NA(),M969))</f>
        <v>0</v>
      </c>
      <c r="T252">
        <f>IF(Charts!$B$3="none",H969,IF(N969="",NA(),N969))</f>
        <v>0</v>
      </c>
    </row>
    <row r="253" spans="5:20">
      <c r="E253">
        <v>105</v>
      </c>
      <c r="F253">
        <f>F109</f>
        <v>0</v>
      </c>
      <c r="G253">
        <v>105</v>
      </c>
      <c r="H253">
        <f>H109</f>
        <v>0</v>
      </c>
      <c r="K253">
        <v>105</v>
      </c>
      <c r="L253">
        <f>L109</f>
        <v>0</v>
      </c>
      <c r="M253">
        <v>105</v>
      </c>
      <c r="N253">
        <f>N109</f>
        <v>0</v>
      </c>
      <c r="Q253">
        <f>IF(Charts!$B$3="none",E970,IF(K970="",NA(),K970))</f>
        <v>0</v>
      </c>
      <c r="R253">
        <f>IF(Charts!$B$3="none",F970,IF(L970="",NA(),L970))</f>
        <v>0</v>
      </c>
      <c r="S253">
        <f>IF(Charts!$B$3="none",G970,IF(M970="",NA(),M970))</f>
        <v>0</v>
      </c>
      <c r="T253">
        <f>IF(Charts!$B$3="none",H970,IF(N970="",NA(),N970))</f>
        <v>0</v>
      </c>
    </row>
    <row r="254" spans="5:20">
      <c r="E254">
        <v>106</v>
      </c>
      <c r="F254">
        <f>F110</f>
        <v>0</v>
      </c>
      <c r="G254">
        <v>106</v>
      </c>
      <c r="H254">
        <f>H110</f>
        <v>0</v>
      </c>
      <c r="K254">
        <v>106</v>
      </c>
      <c r="L254">
        <f>L110</f>
        <v>0</v>
      </c>
      <c r="M254">
        <v>106</v>
      </c>
      <c r="N254">
        <f>N110</f>
        <v>0</v>
      </c>
      <c r="Q254">
        <f>IF(Charts!$B$3="none",E971,IF(K971="",NA(),K971))</f>
        <v>0</v>
      </c>
      <c r="R254">
        <f>IF(Charts!$B$3="none",F971,IF(L971="",NA(),L971))</f>
        <v>0</v>
      </c>
      <c r="S254">
        <f>IF(Charts!$B$3="none",G971,IF(M971="",NA(),M971))</f>
        <v>0</v>
      </c>
      <c r="T254">
        <f>IF(Charts!$B$3="none",H971,IF(N971="",NA(),N971))</f>
        <v>0</v>
      </c>
    </row>
    <row r="255" spans="5:20">
      <c r="E255">
        <v>107</v>
      </c>
      <c r="F255">
        <f>F111</f>
        <v>0</v>
      </c>
      <c r="G255">
        <v>107</v>
      </c>
      <c r="H255">
        <f>H111</f>
        <v>0</v>
      </c>
      <c r="K255">
        <v>107</v>
      </c>
      <c r="L255">
        <f>L111</f>
        <v>0</v>
      </c>
      <c r="M255">
        <v>107</v>
      </c>
      <c r="N255">
        <f>N111</f>
        <v>0</v>
      </c>
      <c r="Q255">
        <f>IF(Charts!$B$3="none",E972,IF(K972="",NA(),K972))</f>
        <v>0</v>
      </c>
      <c r="R255">
        <f>IF(Charts!$B$3="none",F972,IF(L972="",NA(),L972))</f>
        <v>0</v>
      </c>
      <c r="S255">
        <f>IF(Charts!$B$3="none",G972,IF(M972="",NA(),M972))</f>
        <v>0</v>
      </c>
      <c r="T255">
        <f>IF(Charts!$B$3="none",H972,IF(N972="",NA(),N972))</f>
        <v>0</v>
      </c>
    </row>
    <row r="256" spans="5:20">
      <c r="E256">
        <v>108</v>
      </c>
      <c r="F256">
        <f>F112</f>
        <v>0</v>
      </c>
      <c r="G256">
        <v>108</v>
      </c>
      <c r="H256">
        <f>H112</f>
        <v>0</v>
      </c>
      <c r="K256">
        <v>108</v>
      </c>
      <c r="L256">
        <f>L112</f>
        <v>0</v>
      </c>
      <c r="M256">
        <v>108</v>
      </c>
      <c r="N256">
        <f>N112</f>
        <v>0</v>
      </c>
      <c r="Q256">
        <f>IF(Charts!$B$3="none",E973,IF(K973="",NA(),K973))</f>
        <v>0</v>
      </c>
      <c r="R256">
        <f>IF(Charts!$B$3="none",F973,IF(L973="",NA(),L973))</f>
        <v>0</v>
      </c>
      <c r="S256">
        <f>IF(Charts!$B$3="none",G973,IF(M973="",NA(),M973))</f>
        <v>0</v>
      </c>
      <c r="T256">
        <f>IF(Charts!$B$3="none",H973,IF(N973="",NA(),N973))</f>
        <v>0</v>
      </c>
    </row>
    <row r="257" spans="5:20">
      <c r="E257">
        <v>109</v>
      </c>
      <c r="F257">
        <f>F113</f>
        <v>0</v>
      </c>
      <c r="G257">
        <v>109</v>
      </c>
      <c r="H257">
        <f>H113</f>
        <v>0</v>
      </c>
      <c r="K257">
        <v>109</v>
      </c>
      <c r="L257">
        <f>L113</f>
        <v>0</v>
      </c>
      <c r="M257">
        <v>109</v>
      </c>
      <c r="N257">
        <f>N113</f>
        <v>0</v>
      </c>
      <c r="Q257">
        <f>IF(Charts!$B$3="none",E974,IF(K974="",NA(),K974))</f>
        <v>0</v>
      </c>
      <c r="R257">
        <f>IF(Charts!$B$3="none",F974,IF(L974="",NA(),L974))</f>
        <v>0</v>
      </c>
      <c r="S257">
        <f>IF(Charts!$B$3="none",G974,IF(M974="",NA(),M974))</f>
        <v>0</v>
      </c>
      <c r="T257">
        <f>IF(Charts!$B$3="none",H974,IF(N974="",NA(),N974))</f>
        <v>0</v>
      </c>
    </row>
    <row r="258" spans="5:20">
      <c r="E258">
        <v>110</v>
      </c>
      <c r="F258">
        <f>F114</f>
        <v>0</v>
      </c>
      <c r="G258">
        <v>110</v>
      </c>
      <c r="H258">
        <f>H114</f>
        <v>0</v>
      </c>
      <c r="K258">
        <v>110</v>
      </c>
      <c r="L258">
        <f>L114</f>
        <v>0</v>
      </c>
      <c r="M258">
        <v>110</v>
      </c>
      <c r="N258">
        <f>N114</f>
        <v>0</v>
      </c>
      <c r="Q258">
        <f>IF(Charts!$B$3="none",E975,IF(K975="",NA(),K975))</f>
        <v>0</v>
      </c>
      <c r="R258">
        <f>IF(Charts!$B$3="none",F975,IF(L975="",NA(),L975))</f>
        <v>0</v>
      </c>
      <c r="S258">
        <f>IF(Charts!$B$3="none",G975,IF(M975="",NA(),M975))</f>
        <v>0</v>
      </c>
      <c r="T258">
        <f>IF(Charts!$B$3="none",H975,IF(N975="",NA(),N975))</f>
        <v>0</v>
      </c>
    </row>
    <row r="259" spans="5:20">
      <c r="E259">
        <v>111</v>
      </c>
      <c r="F259">
        <f>F115</f>
        <v>0</v>
      </c>
      <c r="G259">
        <v>111</v>
      </c>
      <c r="H259">
        <f>H115</f>
        <v>0</v>
      </c>
      <c r="K259">
        <v>111</v>
      </c>
      <c r="L259">
        <f>L115</f>
        <v>0</v>
      </c>
      <c r="M259">
        <v>111</v>
      </c>
      <c r="N259">
        <f>N115</f>
        <v>0</v>
      </c>
      <c r="Q259">
        <f>IF(Charts!$B$3="none",E976,IF(K976="",NA(),K976))</f>
        <v>0</v>
      </c>
      <c r="R259">
        <f>IF(Charts!$B$3="none",F976,IF(L976="",NA(),L976))</f>
        <v>0</v>
      </c>
      <c r="S259">
        <f>IF(Charts!$B$3="none",G976,IF(M976="",NA(),M976))</f>
        <v>0</v>
      </c>
      <c r="T259">
        <f>IF(Charts!$B$3="none",H976,IF(N976="",NA(),N976))</f>
        <v>0</v>
      </c>
    </row>
    <row r="260" spans="5:20">
      <c r="E260">
        <v>112</v>
      </c>
      <c r="F260">
        <f>F116</f>
        <v>0</v>
      </c>
      <c r="G260">
        <v>112</v>
      </c>
      <c r="H260">
        <f>H116</f>
        <v>0</v>
      </c>
      <c r="K260">
        <v>112</v>
      </c>
      <c r="L260">
        <f>L116</f>
        <v>0</v>
      </c>
      <c r="M260">
        <v>112</v>
      </c>
      <c r="N260">
        <f>N116</f>
        <v>0</v>
      </c>
      <c r="Q260">
        <f>IF(Charts!$B$3="none",E977,IF(K977="",NA(),K977))</f>
        <v>0</v>
      </c>
      <c r="R260">
        <f>IF(Charts!$B$3="none",F977,IF(L977="",NA(),L977))</f>
        <v>0</v>
      </c>
      <c r="S260">
        <f>IF(Charts!$B$3="none",G977,IF(M977="",NA(),M977))</f>
        <v>0</v>
      </c>
      <c r="T260">
        <f>IF(Charts!$B$3="none",H977,IF(N977="",NA(),N977))</f>
        <v>0</v>
      </c>
    </row>
    <row r="261" spans="5:20">
      <c r="E261">
        <v>113</v>
      </c>
      <c r="F261">
        <f>F117</f>
        <v>0</v>
      </c>
      <c r="G261">
        <v>113</v>
      </c>
      <c r="H261">
        <f>H117</f>
        <v>0</v>
      </c>
      <c r="K261">
        <v>113</v>
      </c>
      <c r="L261">
        <f>L117</f>
        <v>0</v>
      </c>
      <c r="M261">
        <v>113</v>
      </c>
      <c r="N261">
        <f>N117</f>
        <v>0</v>
      </c>
      <c r="Q261">
        <f>IF(Charts!$B$3="none",E978,IF(K978="",NA(),K978))</f>
        <v>0</v>
      </c>
      <c r="R261">
        <f>IF(Charts!$B$3="none",F978,IF(L978="",NA(),L978))</f>
        <v>0</v>
      </c>
      <c r="S261">
        <f>IF(Charts!$B$3="none",G978,IF(M978="",NA(),M978))</f>
        <v>0</v>
      </c>
      <c r="T261">
        <f>IF(Charts!$B$3="none",H978,IF(N978="",NA(),N978))</f>
        <v>0</v>
      </c>
    </row>
    <row r="262" spans="5:20">
      <c r="E262">
        <v>114</v>
      </c>
      <c r="F262">
        <f>F118</f>
        <v>0</v>
      </c>
      <c r="G262">
        <v>114</v>
      </c>
      <c r="H262">
        <f>H118</f>
        <v>0</v>
      </c>
      <c r="K262">
        <v>114</v>
      </c>
      <c r="L262">
        <f>L118</f>
        <v>0</v>
      </c>
      <c r="M262">
        <v>114</v>
      </c>
      <c r="N262">
        <f>N118</f>
        <v>0</v>
      </c>
      <c r="Q262">
        <f>IF(Charts!$B$3="none",E979,IF(K979="",NA(),K979))</f>
        <v>0</v>
      </c>
      <c r="R262">
        <f>IF(Charts!$B$3="none",F979,IF(L979="",NA(),L979))</f>
        <v>0</v>
      </c>
      <c r="S262">
        <f>IF(Charts!$B$3="none",G979,IF(M979="",NA(),M979))</f>
        <v>0</v>
      </c>
      <c r="T262">
        <f>IF(Charts!$B$3="none",H979,IF(N979="",NA(),N979))</f>
        <v>0</v>
      </c>
    </row>
    <row r="263" spans="5:20">
      <c r="E263">
        <v>115</v>
      </c>
      <c r="F263">
        <f>F119</f>
        <v>0</v>
      </c>
      <c r="G263">
        <v>115</v>
      </c>
      <c r="H263">
        <f>H119</f>
        <v>0</v>
      </c>
      <c r="K263">
        <v>115</v>
      </c>
      <c r="L263">
        <f>L119</f>
        <v>0</v>
      </c>
      <c r="M263">
        <v>115</v>
      </c>
      <c r="N263">
        <f>N119</f>
        <v>0</v>
      </c>
      <c r="Q263">
        <f>IF(Charts!$B$3="none",E980,IF(K980="",NA(),K980))</f>
        <v>0</v>
      </c>
      <c r="R263">
        <f>IF(Charts!$B$3="none",F980,IF(L980="",NA(),L980))</f>
        <v>0</v>
      </c>
      <c r="S263">
        <f>IF(Charts!$B$3="none",G980,IF(M980="",NA(),M980))</f>
        <v>0</v>
      </c>
      <c r="T263">
        <f>IF(Charts!$B$3="none",H980,IF(N980="",NA(),N980))</f>
        <v>0</v>
      </c>
    </row>
    <row r="264" spans="5:20">
      <c r="E264">
        <v>116</v>
      </c>
      <c r="F264">
        <f>F120</f>
        <v>0</v>
      </c>
      <c r="G264">
        <v>116</v>
      </c>
      <c r="H264">
        <f>H120</f>
        <v>0</v>
      </c>
      <c r="K264">
        <v>116</v>
      </c>
      <c r="L264">
        <f>L120</f>
        <v>0</v>
      </c>
      <c r="M264">
        <v>116</v>
      </c>
      <c r="N264">
        <f>N120</f>
        <v>0</v>
      </c>
      <c r="Q264">
        <f>IF(Charts!$B$3="none",E981,IF(K981="",NA(),K981))</f>
        <v>0</v>
      </c>
      <c r="R264">
        <f>IF(Charts!$B$3="none",F981,IF(L981="",NA(),L981))</f>
        <v>0</v>
      </c>
      <c r="S264">
        <f>IF(Charts!$B$3="none",G981,IF(M981="",NA(),M981))</f>
        <v>0</v>
      </c>
      <c r="T264">
        <f>IF(Charts!$B$3="none",H981,IF(N981="",NA(),N981))</f>
        <v>0</v>
      </c>
    </row>
    <row r="265" spans="5:20">
      <c r="E265">
        <v>117</v>
      </c>
      <c r="F265">
        <f>F121</f>
        <v>0</v>
      </c>
      <c r="G265">
        <v>117</v>
      </c>
      <c r="H265">
        <f>H121</f>
        <v>0</v>
      </c>
      <c r="K265">
        <v>117</v>
      </c>
      <c r="L265">
        <f>L121</f>
        <v>0</v>
      </c>
      <c r="M265">
        <v>117</v>
      </c>
      <c r="N265">
        <f>N121</f>
        <v>0</v>
      </c>
      <c r="Q265">
        <f>IF(Charts!$B$3="none",E982,IF(K982="",NA(),K982))</f>
        <v>0</v>
      </c>
      <c r="R265">
        <f>IF(Charts!$B$3="none",F982,IF(L982="",NA(),L982))</f>
        <v>0</v>
      </c>
      <c r="S265">
        <f>IF(Charts!$B$3="none",G982,IF(M982="",NA(),M982))</f>
        <v>0</v>
      </c>
      <c r="T265">
        <f>IF(Charts!$B$3="none",H982,IF(N982="",NA(),N982))</f>
        <v>0</v>
      </c>
    </row>
    <row r="266" spans="5:20">
      <c r="E266">
        <v>118</v>
      </c>
      <c r="F266">
        <f>F122</f>
        <v>0</v>
      </c>
      <c r="G266">
        <v>118</v>
      </c>
      <c r="H266">
        <f>H122</f>
        <v>0</v>
      </c>
      <c r="K266">
        <v>118</v>
      </c>
      <c r="L266">
        <f>L122</f>
        <v>0</v>
      </c>
      <c r="M266">
        <v>118</v>
      </c>
      <c r="N266">
        <f>N122</f>
        <v>0</v>
      </c>
      <c r="Q266">
        <f>IF(Charts!$B$3="none",E983,IF(K983="",NA(),K983))</f>
        <v>0</v>
      </c>
      <c r="R266">
        <f>IF(Charts!$B$3="none",F983,IF(L983="",NA(),L983))</f>
        <v>0</v>
      </c>
      <c r="S266">
        <f>IF(Charts!$B$3="none",G983,IF(M983="",NA(),M983))</f>
        <v>0</v>
      </c>
      <c r="T266">
        <f>IF(Charts!$B$3="none",H983,IF(N983="",NA(),N983))</f>
        <v>0</v>
      </c>
    </row>
    <row r="267" spans="5:20">
      <c r="E267">
        <v>119</v>
      </c>
      <c r="F267">
        <f>F123</f>
        <v>0</v>
      </c>
      <c r="G267">
        <v>119</v>
      </c>
      <c r="H267">
        <f>H123</f>
        <v>0</v>
      </c>
      <c r="K267">
        <v>119</v>
      </c>
      <c r="L267">
        <f>L123</f>
        <v>0</v>
      </c>
      <c r="M267">
        <v>119</v>
      </c>
      <c r="N267">
        <f>N123</f>
        <v>0</v>
      </c>
      <c r="Q267">
        <f>IF(Charts!$B$3="none",E984,IF(K984="",NA(),K984))</f>
        <v>0</v>
      </c>
      <c r="R267">
        <f>IF(Charts!$B$3="none",F984,IF(L984="",NA(),L984))</f>
        <v>0</v>
      </c>
      <c r="S267">
        <f>IF(Charts!$B$3="none",G984,IF(M984="",NA(),M984))</f>
        <v>0</v>
      </c>
      <c r="T267">
        <f>IF(Charts!$B$3="none",H984,IF(N984="",NA(),N984))</f>
        <v>0</v>
      </c>
    </row>
    <row r="268" spans="5:20">
      <c r="E268">
        <v>120</v>
      </c>
      <c r="F268">
        <f>F124</f>
        <v>0</v>
      </c>
      <c r="G268">
        <v>120</v>
      </c>
      <c r="H268">
        <f>H124</f>
        <v>0</v>
      </c>
      <c r="K268">
        <v>120</v>
      </c>
      <c r="L268">
        <f>L124</f>
        <v>0</v>
      </c>
      <c r="M268">
        <v>120</v>
      </c>
      <c r="N268">
        <f>N124</f>
        <v>0</v>
      </c>
      <c r="Q268">
        <f>IF(Charts!$B$3="none",E985,IF(K985="",NA(),K985))</f>
        <v>0</v>
      </c>
      <c r="R268">
        <f>IF(Charts!$B$3="none",F985,IF(L985="",NA(),L985))</f>
        <v>0</v>
      </c>
      <c r="S268">
        <f>IF(Charts!$B$3="none",G985,IF(M985="",NA(),M985))</f>
        <v>0</v>
      </c>
      <c r="T268">
        <f>IF(Charts!$B$3="none",H985,IF(N985="",NA(),N985))</f>
        <v>0</v>
      </c>
    </row>
    <row r="269" spans="5:20">
      <c r="E269">
        <v>121</v>
      </c>
      <c r="F269">
        <f>F125</f>
        <v>0</v>
      </c>
      <c r="G269">
        <v>121</v>
      </c>
      <c r="H269">
        <f>H125</f>
        <v>0</v>
      </c>
      <c r="K269">
        <v>121</v>
      </c>
      <c r="L269">
        <f>L125</f>
        <v>0</v>
      </c>
      <c r="M269">
        <v>121</v>
      </c>
      <c r="N269">
        <f>N125</f>
        <v>0</v>
      </c>
      <c r="Q269">
        <f>IF(Charts!$B$3="none",E986,IF(K986="",NA(),K986))</f>
        <v>0</v>
      </c>
      <c r="R269">
        <f>IF(Charts!$B$3="none",F986,IF(L986="",NA(),L986))</f>
        <v>0</v>
      </c>
      <c r="S269">
        <f>IF(Charts!$B$3="none",G986,IF(M986="",NA(),M986))</f>
        <v>0</v>
      </c>
      <c r="T269">
        <f>IF(Charts!$B$3="none",H986,IF(N986="",NA(),N986))</f>
        <v>0</v>
      </c>
    </row>
    <row r="270" spans="5:20">
      <c r="E270">
        <v>122</v>
      </c>
      <c r="F270">
        <f>F126</f>
        <v>0</v>
      </c>
      <c r="G270">
        <v>122</v>
      </c>
      <c r="H270">
        <f>H126</f>
        <v>0</v>
      </c>
      <c r="K270">
        <v>122</v>
      </c>
      <c r="L270">
        <f>L126</f>
        <v>0</v>
      </c>
      <c r="M270">
        <v>122</v>
      </c>
      <c r="N270">
        <f>N126</f>
        <v>0</v>
      </c>
      <c r="Q270">
        <f>IF(Charts!$B$3="none",E987,IF(K987="",NA(),K987))</f>
        <v>0</v>
      </c>
      <c r="R270">
        <f>IF(Charts!$B$3="none",F987,IF(L987="",NA(),L987))</f>
        <v>0</v>
      </c>
      <c r="S270">
        <f>IF(Charts!$B$3="none",G987,IF(M987="",NA(),M987))</f>
        <v>0</v>
      </c>
      <c r="T270">
        <f>IF(Charts!$B$3="none",H987,IF(N987="",NA(),N987))</f>
        <v>0</v>
      </c>
    </row>
    <row r="271" spans="5:20">
      <c r="E271">
        <v>123</v>
      </c>
      <c r="F271">
        <f>F127</f>
        <v>0</v>
      </c>
      <c r="G271">
        <v>123</v>
      </c>
      <c r="H271">
        <f>H127</f>
        <v>0</v>
      </c>
      <c r="K271">
        <v>123</v>
      </c>
      <c r="L271">
        <f>L127</f>
        <v>0</v>
      </c>
      <c r="M271">
        <v>123</v>
      </c>
      <c r="N271">
        <f>N127</f>
        <v>0</v>
      </c>
      <c r="Q271">
        <f>IF(Charts!$B$3="none",E988,IF(K988="",NA(),K988))</f>
        <v>0</v>
      </c>
      <c r="R271">
        <f>IF(Charts!$B$3="none",F988,IF(L988="",NA(),L988))</f>
        <v>0</v>
      </c>
      <c r="S271">
        <f>IF(Charts!$B$3="none",G988,IF(M988="",NA(),M988))</f>
        <v>0</v>
      </c>
      <c r="T271">
        <f>IF(Charts!$B$3="none",H988,IF(N988="",NA(),N988))</f>
        <v>0</v>
      </c>
    </row>
    <row r="272" spans="5:20">
      <c r="E272">
        <v>124</v>
      </c>
      <c r="F272">
        <f>F128</f>
        <v>0</v>
      </c>
      <c r="G272">
        <v>124</v>
      </c>
      <c r="H272">
        <f>H128</f>
        <v>0</v>
      </c>
      <c r="K272">
        <v>124</v>
      </c>
      <c r="L272">
        <f>L128</f>
        <v>0</v>
      </c>
      <c r="M272">
        <v>124</v>
      </c>
      <c r="N272">
        <f>N128</f>
        <v>0</v>
      </c>
      <c r="Q272">
        <f>IF(Charts!$B$3="none",E989,IF(K989="",NA(),K989))</f>
        <v>0</v>
      </c>
      <c r="R272">
        <f>IF(Charts!$B$3="none",F989,IF(L989="",NA(),L989))</f>
        <v>0</v>
      </c>
      <c r="S272">
        <f>IF(Charts!$B$3="none",G989,IF(M989="",NA(),M989))</f>
        <v>0</v>
      </c>
      <c r="T272">
        <f>IF(Charts!$B$3="none",H989,IF(N989="",NA(),N989))</f>
        <v>0</v>
      </c>
    </row>
    <row r="273" spans="5:20">
      <c r="E273">
        <v>125</v>
      </c>
      <c r="F273">
        <f>F129</f>
        <v>0</v>
      </c>
      <c r="G273">
        <v>125</v>
      </c>
      <c r="H273">
        <f>H129</f>
        <v>0</v>
      </c>
      <c r="K273">
        <v>125</v>
      </c>
      <c r="L273">
        <f>L129</f>
        <v>0</v>
      </c>
      <c r="M273">
        <v>125</v>
      </c>
      <c r="N273">
        <f>N129</f>
        <v>0</v>
      </c>
      <c r="Q273">
        <f>IF(Charts!$B$3="none",E990,IF(K990="",NA(),K990))</f>
        <v>0</v>
      </c>
      <c r="R273">
        <f>IF(Charts!$B$3="none",F990,IF(L990="",NA(),L990))</f>
        <v>0</v>
      </c>
      <c r="S273">
        <f>IF(Charts!$B$3="none",G990,IF(M990="",NA(),M990))</f>
        <v>0</v>
      </c>
      <c r="T273">
        <f>IF(Charts!$B$3="none",H990,IF(N990="",NA(),N990))</f>
        <v>0</v>
      </c>
    </row>
    <row r="274" spans="5:20">
      <c r="E274">
        <v>126</v>
      </c>
      <c r="F274">
        <f>F130</f>
        <v>0</v>
      </c>
      <c r="G274">
        <v>126</v>
      </c>
      <c r="H274">
        <f>H130</f>
        <v>0</v>
      </c>
      <c r="K274">
        <v>126</v>
      </c>
      <c r="L274">
        <f>L130</f>
        <v>0</v>
      </c>
      <c r="M274">
        <v>126</v>
      </c>
      <c r="N274">
        <f>N130</f>
        <v>0</v>
      </c>
      <c r="Q274">
        <f>IF(Charts!$B$3="none",E991,IF(K991="",NA(),K991))</f>
        <v>0</v>
      </c>
      <c r="R274">
        <f>IF(Charts!$B$3="none",F991,IF(L991="",NA(),L991))</f>
        <v>0</v>
      </c>
      <c r="S274">
        <f>IF(Charts!$B$3="none",G991,IF(M991="",NA(),M991))</f>
        <v>0</v>
      </c>
      <c r="T274">
        <f>IF(Charts!$B$3="none",H991,IF(N991="",NA(),N991))</f>
        <v>0</v>
      </c>
    </row>
    <row r="275" spans="5:20">
      <c r="E275">
        <v>127</v>
      </c>
      <c r="F275">
        <f>F131</f>
        <v>0</v>
      </c>
      <c r="G275">
        <v>127</v>
      </c>
      <c r="H275">
        <f>H131</f>
        <v>0</v>
      </c>
      <c r="K275">
        <v>127</v>
      </c>
      <c r="L275">
        <f>L131</f>
        <v>0</v>
      </c>
      <c r="M275">
        <v>127</v>
      </c>
      <c r="N275">
        <f>N131</f>
        <v>0</v>
      </c>
      <c r="Q275">
        <f>IF(Charts!$B$3="none",E992,IF(K992="",NA(),K992))</f>
        <v>0</v>
      </c>
      <c r="R275">
        <f>IF(Charts!$B$3="none",F992,IF(L992="",NA(),L992))</f>
        <v>0</v>
      </c>
      <c r="S275">
        <f>IF(Charts!$B$3="none",G992,IF(M992="",NA(),M992))</f>
        <v>0</v>
      </c>
      <c r="T275">
        <f>IF(Charts!$B$3="none",H992,IF(N992="",NA(),N992))</f>
        <v>0</v>
      </c>
    </row>
    <row r="276" spans="5:20">
      <c r="E276">
        <v>128</v>
      </c>
      <c r="F276">
        <f>F132</f>
        <v>0</v>
      </c>
      <c r="G276">
        <v>128</v>
      </c>
      <c r="H276">
        <f>H132</f>
        <v>0</v>
      </c>
      <c r="K276">
        <v>128</v>
      </c>
      <c r="L276">
        <f>L132</f>
        <v>0</v>
      </c>
      <c r="M276">
        <v>128</v>
      </c>
      <c r="N276">
        <f>N132</f>
        <v>0</v>
      </c>
      <c r="Q276">
        <f>IF(Charts!$B$3="none",E993,IF(K993="",NA(),K993))</f>
        <v>0</v>
      </c>
      <c r="R276">
        <f>IF(Charts!$B$3="none",F993,IF(L993="",NA(),L993))</f>
        <v>0</v>
      </c>
      <c r="S276">
        <f>IF(Charts!$B$3="none",G993,IF(M993="",NA(),M993))</f>
        <v>0</v>
      </c>
      <c r="T276">
        <f>IF(Charts!$B$3="none",H993,IF(N993="",NA(),N993))</f>
        <v>0</v>
      </c>
    </row>
    <row r="277" spans="5:20">
      <c r="E277">
        <v>129</v>
      </c>
      <c r="F277">
        <f>F133</f>
        <v>0</v>
      </c>
      <c r="G277">
        <v>129</v>
      </c>
      <c r="H277">
        <f>H133</f>
        <v>0</v>
      </c>
      <c r="K277">
        <v>129</v>
      </c>
      <c r="L277">
        <f>L133</f>
        <v>0</v>
      </c>
      <c r="M277">
        <v>129</v>
      </c>
      <c r="N277">
        <f>N133</f>
        <v>0</v>
      </c>
      <c r="Q277">
        <f>IF(Charts!$B$3="none",E994,IF(K994="",NA(),K994))</f>
        <v>0</v>
      </c>
      <c r="R277">
        <f>IF(Charts!$B$3="none",F994,IF(L994="",NA(),L994))</f>
        <v>0</v>
      </c>
      <c r="S277">
        <f>IF(Charts!$B$3="none",G994,IF(M994="",NA(),M994))</f>
        <v>0</v>
      </c>
      <c r="T277">
        <f>IF(Charts!$B$3="none",H994,IF(N994="",NA(),N994))</f>
        <v>0</v>
      </c>
    </row>
    <row r="278" spans="5:20">
      <c r="E278">
        <v>130</v>
      </c>
      <c r="F278">
        <f>F134</f>
        <v>0</v>
      </c>
      <c r="G278">
        <v>130</v>
      </c>
      <c r="H278">
        <f>H134</f>
        <v>0</v>
      </c>
      <c r="K278">
        <v>130</v>
      </c>
      <c r="L278">
        <f>L134</f>
        <v>0</v>
      </c>
      <c r="M278">
        <v>130</v>
      </c>
      <c r="N278">
        <f>N134</f>
        <v>0</v>
      </c>
      <c r="Q278">
        <f>IF(Charts!$B$3="none",E995,IF(K995="",NA(),K995))</f>
        <v>0</v>
      </c>
      <c r="R278">
        <f>IF(Charts!$B$3="none",F995,IF(L995="",NA(),L995))</f>
        <v>0</v>
      </c>
      <c r="S278">
        <f>IF(Charts!$B$3="none",G995,IF(M995="",NA(),M995))</f>
        <v>0</v>
      </c>
      <c r="T278">
        <f>IF(Charts!$B$3="none",H995,IF(N995="",NA(),N995))</f>
        <v>0</v>
      </c>
    </row>
    <row r="279" spans="5:20">
      <c r="E279">
        <v>131</v>
      </c>
      <c r="F279">
        <f>F135</f>
        <v>0</v>
      </c>
      <c r="G279">
        <v>131</v>
      </c>
      <c r="H279">
        <f>H135</f>
        <v>0</v>
      </c>
      <c r="K279">
        <v>131</v>
      </c>
      <c r="L279">
        <f>L135</f>
        <v>0</v>
      </c>
      <c r="M279">
        <v>131</v>
      </c>
      <c r="N279">
        <f>N135</f>
        <v>0</v>
      </c>
      <c r="Q279">
        <f>IF(Charts!$B$3="none",E996,IF(K996="",NA(),K996))</f>
        <v>0</v>
      </c>
      <c r="R279">
        <f>IF(Charts!$B$3="none",F996,IF(L996="",NA(),L996))</f>
        <v>0</v>
      </c>
      <c r="S279">
        <f>IF(Charts!$B$3="none",G996,IF(M996="",NA(),M996))</f>
        <v>0</v>
      </c>
      <c r="T279">
        <f>IF(Charts!$B$3="none",H996,IF(N996="",NA(),N996))</f>
        <v>0</v>
      </c>
    </row>
    <row r="280" spans="5:20">
      <c r="E280">
        <v>132</v>
      </c>
      <c r="F280">
        <f>F136</f>
        <v>0</v>
      </c>
      <c r="G280">
        <v>132</v>
      </c>
      <c r="H280">
        <f>H136</f>
        <v>0</v>
      </c>
      <c r="K280">
        <v>132</v>
      </c>
      <c r="L280">
        <f>L136</f>
        <v>0</v>
      </c>
      <c r="M280">
        <v>132</v>
      </c>
      <c r="N280">
        <f>N136</f>
        <v>0</v>
      </c>
      <c r="Q280">
        <f>IF(Charts!$B$3="none",E997,IF(K997="",NA(),K997))</f>
        <v>0</v>
      </c>
      <c r="R280">
        <f>IF(Charts!$B$3="none",F997,IF(L997="",NA(),L997))</f>
        <v>0</v>
      </c>
      <c r="S280">
        <f>IF(Charts!$B$3="none",G997,IF(M997="",NA(),M997))</f>
        <v>0</v>
      </c>
      <c r="T280">
        <f>IF(Charts!$B$3="none",H997,IF(N997="",NA(),N997))</f>
        <v>0</v>
      </c>
    </row>
    <row r="281" spans="5:20">
      <c r="E281">
        <v>133</v>
      </c>
      <c r="F281">
        <f>F137</f>
        <v>0</v>
      </c>
      <c r="G281">
        <v>133</v>
      </c>
      <c r="H281">
        <f>H137</f>
        <v>0</v>
      </c>
      <c r="K281">
        <v>133</v>
      </c>
      <c r="L281">
        <f>L137</f>
        <v>0</v>
      </c>
      <c r="M281">
        <v>133</v>
      </c>
      <c r="N281">
        <f>N137</f>
        <v>0</v>
      </c>
      <c r="Q281">
        <f>IF(Charts!$B$3="none",E998,IF(K998="",NA(),K998))</f>
        <v>0</v>
      </c>
      <c r="R281">
        <f>IF(Charts!$B$3="none",F998,IF(L998="",NA(),L998))</f>
        <v>0</v>
      </c>
      <c r="S281">
        <f>IF(Charts!$B$3="none",G998,IF(M998="",NA(),M998))</f>
        <v>0</v>
      </c>
      <c r="T281">
        <f>IF(Charts!$B$3="none",H998,IF(N998="",NA(),N998))</f>
        <v>0</v>
      </c>
    </row>
    <row r="282" spans="5:20">
      <c r="E282">
        <v>134</v>
      </c>
      <c r="F282">
        <f>F138</f>
        <v>0</v>
      </c>
      <c r="G282">
        <v>134</v>
      </c>
      <c r="H282">
        <f>H138</f>
        <v>0</v>
      </c>
      <c r="K282">
        <v>134</v>
      </c>
      <c r="L282">
        <f>L138</f>
        <v>0</v>
      </c>
      <c r="M282">
        <v>134</v>
      </c>
      <c r="N282">
        <f>N138</f>
        <v>0</v>
      </c>
      <c r="Q282">
        <f>IF(Charts!$B$3="none",E999,IF(K999="",NA(),K999))</f>
        <v>0</v>
      </c>
      <c r="R282">
        <f>IF(Charts!$B$3="none",F999,IF(L999="",NA(),L999))</f>
        <v>0</v>
      </c>
      <c r="S282">
        <f>IF(Charts!$B$3="none",G999,IF(M999="",NA(),M999))</f>
        <v>0</v>
      </c>
      <c r="T282">
        <f>IF(Charts!$B$3="none",H999,IF(N999="",NA(),N999))</f>
        <v>0</v>
      </c>
    </row>
    <row r="283" spans="5:20">
      <c r="E283">
        <v>135</v>
      </c>
      <c r="F283">
        <f>F139</f>
        <v>0</v>
      </c>
      <c r="G283">
        <v>135</v>
      </c>
      <c r="H283">
        <f>H139</f>
        <v>0</v>
      </c>
      <c r="K283">
        <v>135</v>
      </c>
      <c r="L283">
        <f>L139</f>
        <v>0</v>
      </c>
      <c r="M283">
        <v>135</v>
      </c>
      <c r="N283">
        <f>N139</f>
        <v>0</v>
      </c>
      <c r="Q283">
        <f>IF(Charts!$B$3="none",E1000,IF(K1000="",NA(),K1000))</f>
        <v>0</v>
      </c>
      <c r="R283">
        <f>IF(Charts!$B$3="none",F1000,IF(L1000="",NA(),L1000))</f>
        <v>0</v>
      </c>
      <c r="S283">
        <f>IF(Charts!$B$3="none",G1000,IF(M1000="",NA(),M1000))</f>
        <v>0</v>
      </c>
      <c r="T283">
        <f>IF(Charts!$B$3="none",H1000,IF(N1000="",NA(),N1000))</f>
        <v>0</v>
      </c>
    </row>
    <row r="284" spans="5:20">
      <c r="E284">
        <v>136</v>
      </c>
      <c r="F284">
        <f>F140</f>
        <v>0</v>
      </c>
      <c r="G284">
        <v>136</v>
      </c>
      <c r="H284">
        <f>H140</f>
        <v>0</v>
      </c>
      <c r="K284">
        <v>136</v>
      </c>
      <c r="L284">
        <f>L140</f>
        <v>0</v>
      </c>
      <c r="M284">
        <v>136</v>
      </c>
      <c r="N284">
        <f>N140</f>
        <v>0</v>
      </c>
      <c r="Q284">
        <f>IF(Charts!$B$3="none",E1001,IF(K1001="",NA(),K1001))</f>
        <v>0</v>
      </c>
      <c r="R284">
        <f>IF(Charts!$B$3="none",F1001,IF(L1001="",NA(),L1001))</f>
        <v>0</v>
      </c>
      <c r="S284">
        <f>IF(Charts!$B$3="none",G1001,IF(M1001="",NA(),M1001))</f>
        <v>0</v>
      </c>
      <c r="T284">
        <f>IF(Charts!$B$3="none",H1001,IF(N1001="",NA(),N1001))</f>
        <v>0</v>
      </c>
    </row>
    <row r="285" spans="5:20">
      <c r="E285">
        <v>137</v>
      </c>
      <c r="F285">
        <f>F141</f>
        <v>0</v>
      </c>
      <c r="G285">
        <v>137</v>
      </c>
      <c r="H285">
        <f>H141</f>
        <v>0</v>
      </c>
      <c r="K285">
        <v>137</v>
      </c>
      <c r="L285">
        <f>L141</f>
        <v>0</v>
      </c>
      <c r="M285">
        <v>137</v>
      </c>
      <c r="N285">
        <f>N141</f>
        <v>0</v>
      </c>
      <c r="Q285">
        <f>IF(Charts!$B$3="none",E1002,IF(K1002="",NA(),K1002))</f>
        <v>0</v>
      </c>
      <c r="R285">
        <f>IF(Charts!$B$3="none",F1002,IF(L1002="",NA(),L1002))</f>
        <v>0</v>
      </c>
      <c r="S285">
        <f>IF(Charts!$B$3="none",G1002,IF(M1002="",NA(),M1002))</f>
        <v>0</v>
      </c>
      <c r="T285">
        <f>IF(Charts!$B$3="none",H1002,IF(N1002="",NA(),N1002))</f>
        <v>0</v>
      </c>
    </row>
    <row r="286" spans="5:20">
      <c r="E286">
        <v>138</v>
      </c>
      <c r="F286">
        <f>F142</f>
        <v>0</v>
      </c>
      <c r="G286">
        <v>138</v>
      </c>
      <c r="H286">
        <f>H142</f>
        <v>0</v>
      </c>
      <c r="K286">
        <v>138</v>
      </c>
      <c r="L286">
        <f>L142</f>
        <v>0</v>
      </c>
      <c r="M286">
        <v>138</v>
      </c>
      <c r="N286">
        <f>N142</f>
        <v>0</v>
      </c>
      <c r="Q286">
        <f>IF(Charts!$B$3="none",E1003,IF(K1003="",NA(),K1003))</f>
        <v>0</v>
      </c>
      <c r="R286">
        <f>IF(Charts!$B$3="none",F1003,IF(L1003="",NA(),L1003))</f>
        <v>0</v>
      </c>
      <c r="S286">
        <f>IF(Charts!$B$3="none",G1003,IF(M1003="",NA(),M1003))</f>
        <v>0</v>
      </c>
      <c r="T286">
        <f>IF(Charts!$B$3="none",H1003,IF(N1003="",NA(),N1003))</f>
        <v>0</v>
      </c>
    </row>
    <row r="287" spans="5:20">
      <c r="E287">
        <v>139</v>
      </c>
      <c r="F287">
        <f>F143</f>
        <v>0</v>
      </c>
      <c r="G287">
        <v>139</v>
      </c>
      <c r="H287">
        <f>H143</f>
        <v>0</v>
      </c>
      <c r="K287">
        <v>139</v>
      </c>
      <c r="L287">
        <f>L143</f>
        <v>0</v>
      </c>
      <c r="M287">
        <v>139</v>
      </c>
      <c r="N287">
        <f>N143</f>
        <v>0</v>
      </c>
      <c r="Q287">
        <f>IF(Charts!$B$3="none",E1004,IF(K1004="",NA(),K1004))</f>
        <v>0</v>
      </c>
      <c r="R287">
        <f>IF(Charts!$B$3="none",F1004,IF(L1004="",NA(),L1004))</f>
        <v>0</v>
      </c>
      <c r="S287">
        <f>IF(Charts!$B$3="none",G1004,IF(M1004="",NA(),M1004))</f>
        <v>0</v>
      </c>
      <c r="T287">
        <f>IF(Charts!$B$3="none",H1004,IF(N1004="",NA(),N1004))</f>
        <v>0</v>
      </c>
    </row>
    <row r="288" spans="5:20">
      <c r="E288">
        <v>140</v>
      </c>
      <c r="F288">
        <f>F144</f>
        <v>0</v>
      </c>
      <c r="G288">
        <v>140</v>
      </c>
      <c r="H288">
        <f>H144</f>
        <v>0</v>
      </c>
      <c r="K288">
        <v>140</v>
      </c>
      <c r="L288">
        <f>L144</f>
        <v>0</v>
      </c>
      <c r="M288">
        <v>140</v>
      </c>
      <c r="N288">
        <f>N144</f>
        <v>0</v>
      </c>
      <c r="Q288">
        <f>IF(Charts!$B$3="none",E1005,IF(K1005="",NA(),K1005))</f>
        <v>0</v>
      </c>
      <c r="R288">
        <f>IF(Charts!$B$3="none",F1005,IF(L1005="",NA(),L1005))</f>
        <v>0</v>
      </c>
      <c r="S288">
        <f>IF(Charts!$B$3="none",G1005,IF(M1005="",NA(),M1005))</f>
        <v>0</v>
      </c>
      <c r="T288">
        <f>IF(Charts!$B$3="none",H1005,IF(N1005="",NA(),N1005))</f>
        <v>0</v>
      </c>
    </row>
    <row r="289" spans="5:14">
      <c r="E289">
        <v>141</v>
      </c>
      <c r="F289">
        <f>F145</f>
        <v>0</v>
      </c>
      <c r="G289">
        <v>141</v>
      </c>
      <c r="H289">
        <f>H145</f>
        <v>0</v>
      </c>
      <c r="K289">
        <v>141</v>
      </c>
      <c r="L289">
        <f>L145</f>
        <v>0</v>
      </c>
      <c r="M289">
        <v>141</v>
      </c>
      <c r="N289">
        <f>N145</f>
        <v>0</v>
      </c>
    </row>
    <row r="290" spans="5:14">
      <c r="E290">
        <v>142</v>
      </c>
      <c r="F290">
        <f>F146</f>
        <v>0</v>
      </c>
      <c r="G290">
        <v>142</v>
      </c>
      <c r="H290">
        <f>H146</f>
        <v>0</v>
      </c>
      <c r="K290">
        <v>142</v>
      </c>
      <c r="L290">
        <f>L146</f>
        <v>0</v>
      </c>
      <c r="M290">
        <v>142</v>
      </c>
      <c r="N290">
        <f>N146</f>
        <v>0</v>
      </c>
    </row>
    <row r="291" spans="5:14">
      <c r="E291">
        <v>2</v>
      </c>
      <c r="F291">
        <f>IF(F6="","",F5)</f>
        <v>0</v>
      </c>
      <c r="G291">
        <v>2</v>
      </c>
      <c r="H291">
        <f>H5</f>
        <v>0</v>
      </c>
      <c r="K291">
        <v>2</v>
      </c>
      <c r="L291">
        <f>IF(L6="","",L5)</f>
        <v>0</v>
      </c>
      <c r="M291">
        <v>2</v>
      </c>
      <c r="N291">
        <f>N5</f>
        <v>0</v>
      </c>
    </row>
    <row r="292" spans="5:14">
      <c r="E292">
        <v>3</v>
      </c>
      <c r="F292">
        <f>IF(F7="","",F6)</f>
        <v>0</v>
      </c>
      <c r="G292">
        <v>3</v>
      </c>
      <c r="H292">
        <f>H6</f>
        <v>0</v>
      </c>
      <c r="K292">
        <v>3</v>
      </c>
      <c r="L292">
        <f>IF(L7="","",L6)</f>
        <v>0</v>
      </c>
      <c r="M292">
        <v>3</v>
      </c>
      <c r="N292">
        <f>N6</f>
        <v>0</v>
      </c>
    </row>
    <row r="293" spans="5:14">
      <c r="E293">
        <v>4</v>
      </c>
      <c r="F293">
        <f>IF(F8="","",F7)</f>
        <v>0</v>
      </c>
      <c r="G293">
        <v>4</v>
      </c>
      <c r="H293">
        <f>H7</f>
        <v>0</v>
      </c>
      <c r="K293">
        <v>4</v>
      </c>
      <c r="L293">
        <f>IF(L8="","",L7)</f>
        <v>0</v>
      </c>
      <c r="M293">
        <v>4</v>
      </c>
      <c r="N293">
        <f>N7</f>
        <v>0</v>
      </c>
    </row>
    <row r="294" spans="5:14">
      <c r="E294">
        <v>5</v>
      </c>
      <c r="F294">
        <f>IF(F9="","",F8)</f>
        <v>0</v>
      </c>
      <c r="G294">
        <v>5</v>
      </c>
      <c r="H294">
        <f>H8</f>
        <v>0</v>
      </c>
      <c r="K294">
        <v>5</v>
      </c>
      <c r="L294">
        <f>IF(L9="","",L8)</f>
        <v>0</v>
      </c>
      <c r="M294">
        <v>5</v>
      </c>
      <c r="N294">
        <f>N8</f>
        <v>0</v>
      </c>
    </row>
    <row r="295" spans="5:14">
      <c r="E295">
        <v>6</v>
      </c>
      <c r="F295">
        <f>IF(F10="","",F9)</f>
        <v>0</v>
      </c>
      <c r="G295">
        <v>6</v>
      </c>
      <c r="H295">
        <f>H9</f>
        <v>0</v>
      </c>
      <c r="K295">
        <v>6</v>
      </c>
      <c r="L295">
        <f>IF(L10="","",L9)</f>
        <v>0</v>
      </c>
      <c r="M295">
        <v>6</v>
      </c>
      <c r="N295">
        <f>N9</f>
        <v>0</v>
      </c>
    </row>
    <row r="296" spans="5:14">
      <c r="E296">
        <v>7</v>
      </c>
      <c r="F296">
        <f>IF(F11="","",F10)</f>
        <v>0</v>
      </c>
      <c r="G296">
        <v>7</v>
      </c>
      <c r="H296">
        <f>H10</f>
        <v>0</v>
      </c>
      <c r="K296">
        <v>7</v>
      </c>
      <c r="L296">
        <f>IF(L11="","",L10)</f>
        <v>0</v>
      </c>
      <c r="M296">
        <v>7</v>
      </c>
      <c r="N296">
        <f>N10</f>
        <v>0</v>
      </c>
    </row>
    <row r="297" spans="5:14">
      <c r="E297">
        <v>8</v>
      </c>
      <c r="F297">
        <f>IF(F12="","",F11)</f>
        <v>0</v>
      </c>
      <c r="G297">
        <v>8</v>
      </c>
      <c r="H297">
        <f>H11</f>
        <v>0</v>
      </c>
      <c r="K297">
        <v>8</v>
      </c>
      <c r="L297">
        <f>IF(L12="","",L11)</f>
        <v>0</v>
      </c>
      <c r="M297">
        <v>8</v>
      </c>
      <c r="N297">
        <f>N11</f>
        <v>0</v>
      </c>
    </row>
    <row r="298" spans="5:14">
      <c r="E298">
        <v>9</v>
      </c>
      <c r="F298">
        <f>IF(F13="","",F12)</f>
        <v>0</v>
      </c>
      <c r="G298">
        <v>9</v>
      </c>
      <c r="H298">
        <f>H12</f>
        <v>0</v>
      </c>
      <c r="K298">
        <v>9</v>
      </c>
      <c r="L298">
        <f>IF(L13="","",L12)</f>
        <v>0</v>
      </c>
      <c r="M298">
        <v>9</v>
      </c>
      <c r="N298">
        <f>N12</f>
        <v>0</v>
      </c>
    </row>
    <row r="299" spans="5:14">
      <c r="E299">
        <v>10</v>
      </c>
      <c r="F299">
        <f>IF(F14="","",F13)</f>
        <v>0</v>
      </c>
      <c r="G299">
        <v>10</v>
      </c>
      <c r="H299">
        <f>H13</f>
        <v>0</v>
      </c>
      <c r="K299">
        <v>10</v>
      </c>
      <c r="L299">
        <f>IF(L14="","",L13)</f>
        <v>0</v>
      </c>
      <c r="M299">
        <v>10</v>
      </c>
      <c r="N299">
        <f>N13</f>
        <v>0</v>
      </c>
    </row>
    <row r="300" spans="5:14">
      <c r="E300">
        <v>11</v>
      </c>
      <c r="F300">
        <f>IF(F15="","",F14)</f>
        <v>0</v>
      </c>
      <c r="G300">
        <v>11</v>
      </c>
      <c r="H300">
        <f>H14</f>
        <v>0</v>
      </c>
      <c r="K300">
        <v>11</v>
      </c>
      <c r="L300">
        <f>IF(L15="","",L14)</f>
        <v>0</v>
      </c>
      <c r="M300">
        <v>11</v>
      </c>
      <c r="N300">
        <f>N14</f>
        <v>0</v>
      </c>
    </row>
    <row r="301" spans="5:14">
      <c r="E301">
        <v>12</v>
      </c>
      <c r="F301">
        <f>IF(F16="","",F15)</f>
        <v>0</v>
      </c>
      <c r="G301">
        <v>12</v>
      </c>
      <c r="H301">
        <f>H15</f>
        <v>0</v>
      </c>
      <c r="K301">
        <v>12</v>
      </c>
      <c r="L301">
        <f>IF(L16="","",L15)</f>
        <v>0</v>
      </c>
      <c r="M301">
        <v>12</v>
      </c>
      <c r="N301">
        <f>N15</f>
        <v>0</v>
      </c>
    </row>
    <row r="302" spans="5:14">
      <c r="E302">
        <v>13</v>
      </c>
      <c r="F302">
        <f>IF(F17="","",F16)</f>
        <v>0</v>
      </c>
      <c r="G302">
        <v>13</v>
      </c>
      <c r="H302">
        <f>H16</f>
        <v>0</v>
      </c>
      <c r="K302">
        <v>13</v>
      </c>
      <c r="L302">
        <f>IF(L17="","",L16)</f>
        <v>0</v>
      </c>
      <c r="M302">
        <v>13</v>
      </c>
      <c r="N302">
        <f>N16</f>
        <v>0</v>
      </c>
    </row>
    <row r="303" spans="5:14">
      <c r="E303">
        <v>14</v>
      </c>
      <c r="F303">
        <f>IF(F18="","",F17)</f>
        <v>0</v>
      </c>
      <c r="G303">
        <v>14</v>
      </c>
      <c r="H303">
        <f>H17</f>
        <v>0</v>
      </c>
      <c r="K303">
        <v>14</v>
      </c>
      <c r="L303">
        <f>IF(L18="","",L17)</f>
        <v>0</v>
      </c>
      <c r="M303">
        <v>14</v>
      </c>
      <c r="N303">
        <f>N17</f>
        <v>0</v>
      </c>
    </row>
    <row r="304" spans="5:14">
      <c r="E304">
        <v>15</v>
      </c>
      <c r="F304">
        <f>IF(F19="","",F18)</f>
        <v>0</v>
      </c>
      <c r="G304">
        <v>15</v>
      </c>
      <c r="H304">
        <f>H18</f>
        <v>0</v>
      </c>
      <c r="K304">
        <v>15</v>
      </c>
      <c r="L304">
        <f>IF(L19="","",L18)</f>
        <v>0</v>
      </c>
      <c r="M304">
        <v>15</v>
      </c>
      <c r="N304">
        <f>N18</f>
        <v>0</v>
      </c>
    </row>
    <row r="305" spans="5:14">
      <c r="E305">
        <v>16</v>
      </c>
      <c r="F305">
        <f>IF(F20="","",F19)</f>
        <v>0</v>
      </c>
      <c r="G305">
        <v>16</v>
      </c>
      <c r="H305">
        <f>H19</f>
        <v>0</v>
      </c>
      <c r="K305">
        <v>16</v>
      </c>
      <c r="L305">
        <f>IF(L20="","",L19)</f>
        <v>0</v>
      </c>
      <c r="M305">
        <v>16</v>
      </c>
      <c r="N305">
        <f>N19</f>
        <v>0</v>
      </c>
    </row>
    <row r="306" spans="5:14">
      <c r="E306">
        <v>17</v>
      </c>
      <c r="F306">
        <f>IF(F21="","",F20)</f>
        <v>0</v>
      </c>
      <c r="G306">
        <v>17</v>
      </c>
      <c r="H306">
        <f>H20</f>
        <v>0</v>
      </c>
      <c r="K306">
        <v>17</v>
      </c>
      <c r="L306">
        <f>IF(L21="","",L20)</f>
        <v>0</v>
      </c>
      <c r="M306">
        <v>17</v>
      </c>
      <c r="N306">
        <f>N20</f>
        <v>0</v>
      </c>
    </row>
    <row r="307" spans="5:14">
      <c r="E307">
        <v>18</v>
      </c>
      <c r="F307">
        <f>IF(F22="","",F21)</f>
        <v>0</v>
      </c>
      <c r="G307">
        <v>18</v>
      </c>
      <c r="H307">
        <f>H21</f>
        <v>0</v>
      </c>
      <c r="K307">
        <v>18</v>
      </c>
      <c r="L307">
        <f>IF(L22="","",L21)</f>
        <v>0</v>
      </c>
      <c r="M307">
        <v>18</v>
      </c>
      <c r="N307">
        <f>N21</f>
        <v>0</v>
      </c>
    </row>
    <row r="308" spans="5:14">
      <c r="E308">
        <v>19</v>
      </c>
      <c r="F308">
        <f>IF(F23="","",F22)</f>
        <v>0</v>
      </c>
      <c r="G308">
        <v>19</v>
      </c>
      <c r="H308">
        <f>H22</f>
        <v>0</v>
      </c>
      <c r="K308">
        <v>19</v>
      </c>
      <c r="L308">
        <f>IF(L23="","",L22)</f>
        <v>0</v>
      </c>
      <c r="M308">
        <v>19</v>
      </c>
      <c r="N308">
        <f>N22</f>
        <v>0</v>
      </c>
    </row>
    <row r="309" spans="5:14">
      <c r="E309">
        <v>20</v>
      </c>
      <c r="F309">
        <f>IF(F24="","",F23)</f>
        <v>0</v>
      </c>
      <c r="G309">
        <v>20</v>
      </c>
      <c r="H309">
        <f>H23</f>
        <v>0</v>
      </c>
      <c r="K309">
        <v>20</v>
      </c>
      <c r="L309">
        <f>IF(L24="","",L23)</f>
        <v>0</v>
      </c>
      <c r="M309">
        <v>20</v>
      </c>
      <c r="N309">
        <f>N23</f>
        <v>0</v>
      </c>
    </row>
    <row r="310" spans="5:14">
      <c r="E310">
        <v>21</v>
      </c>
      <c r="F310">
        <f>IF(F25="","",F24)</f>
        <v>0</v>
      </c>
      <c r="G310">
        <v>21</v>
      </c>
      <c r="H310">
        <f>H24</f>
        <v>0</v>
      </c>
      <c r="K310">
        <v>21</v>
      </c>
      <c r="L310">
        <f>IF(L25="","",L24)</f>
        <v>0</v>
      </c>
      <c r="M310">
        <v>21</v>
      </c>
      <c r="N310">
        <f>N24</f>
        <v>0</v>
      </c>
    </row>
    <row r="311" spans="5:14">
      <c r="E311">
        <v>22</v>
      </c>
      <c r="F311">
        <f>IF(F26="","",F25)</f>
        <v>0</v>
      </c>
      <c r="G311">
        <v>22</v>
      </c>
      <c r="H311">
        <f>H25</f>
        <v>0</v>
      </c>
      <c r="K311">
        <v>22</v>
      </c>
      <c r="L311">
        <f>IF(L26="","",L25)</f>
        <v>0</v>
      </c>
      <c r="M311">
        <v>22</v>
      </c>
      <c r="N311">
        <f>N25</f>
        <v>0</v>
      </c>
    </row>
    <row r="312" spans="5:14">
      <c r="E312">
        <v>23</v>
      </c>
      <c r="F312">
        <f>IF(F27="","",F26)</f>
        <v>0</v>
      </c>
      <c r="G312">
        <v>23</v>
      </c>
      <c r="H312">
        <f>H26</f>
        <v>0</v>
      </c>
      <c r="K312">
        <v>23</v>
      </c>
      <c r="L312">
        <f>IF(L27="","",L26)</f>
        <v>0</v>
      </c>
      <c r="M312">
        <v>23</v>
      </c>
      <c r="N312">
        <f>N26</f>
        <v>0</v>
      </c>
    </row>
    <row r="313" spans="5:14">
      <c r="E313">
        <v>24</v>
      </c>
      <c r="F313">
        <f>IF(F28="","",F27)</f>
        <v>0</v>
      </c>
      <c r="G313">
        <v>24</v>
      </c>
      <c r="H313">
        <f>H27</f>
        <v>0</v>
      </c>
      <c r="K313">
        <v>24</v>
      </c>
      <c r="L313">
        <f>IF(L28="","",L27)</f>
        <v>0</v>
      </c>
      <c r="M313">
        <v>24</v>
      </c>
      <c r="N313">
        <f>N27</f>
        <v>0</v>
      </c>
    </row>
    <row r="314" spans="5:14">
      <c r="E314">
        <v>25</v>
      </c>
      <c r="F314">
        <f>IF(F29="","",F28)</f>
        <v>0</v>
      </c>
      <c r="G314">
        <v>25</v>
      </c>
      <c r="H314">
        <f>H28</f>
        <v>0</v>
      </c>
      <c r="K314">
        <v>25</v>
      </c>
      <c r="L314">
        <f>IF(L29="","",L28)</f>
        <v>0</v>
      </c>
      <c r="M314">
        <v>25</v>
      </c>
      <c r="N314">
        <f>N28</f>
        <v>0</v>
      </c>
    </row>
    <row r="315" spans="5:14">
      <c r="E315">
        <v>26</v>
      </c>
      <c r="F315">
        <f>IF(F30="","",F29)</f>
        <v>0</v>
      </c>
      <c r="G315">
        <v>26</v>
      </c>
      <c r="H315">
        <f>H29</f>
        <v>0</v>
      </c>
      <c r="K315">
        <v>26</v>
      </c>
      <c r="L315">
        <f>IF(L30="","",L29)</f>
        <v>0</v>
      </c>
      <c r="M315">
        <v>26</v>
      </c>
      <c r="N315">
        <f>N29</f>
        <v>0</v>
      </c>
    </row>
    <row r="316" spans="5:14">
      <c r="E316">
        <v>27</v>
      </c>
      <c r="F316">
        <f>IF(F31="","",F30)</f>
        <v>0</v>
      </c>
      <c r="G316">
        <v>27</v>
      </c>
      <c r="H316">
        <f>H30</f>
        <v>0</v>
      </c>
      <c r="K316">
        <v>27</v>
      </c>
      <c r="L316">
        <f>IF(L31="","",L30)</f>
        <v>0</v>
      </c>
      <c r="M316">
        <v>27</v>
      </c>
      <c r="N316">
        <f>N30</f>
        <v>0</v>
      </c>
    </row>
    <row r="317" spans="5:14">
      <c r="E317">
        <v>28</v>
      </c>
      <c r="F317">
        <f>IF(F32="","",F31)</f>
        <v>0</v>
      </c>
      <c r="G317">
        <v>28</v>
      </c>
      <c r="H317">
        <f>H31</f>
        <v>0</v>
      </c>
      <c r="K317">
        <v>28</v>
      </c>
      <c r="L317">
        <f>IF(L32="","",L31)</f>
        <v>0</v>
      </c>
      <c r="M317">
        <v>28</v>
      </c>
      <c r="N317">
        <f>N31</f>
        <v>0</v>
      </c>
    </row>
    <row r="318" spans="5:14">
      <c r="E318">
        <v>29</v>
      </c>
      <c r="F318">
        <f>IF(F33="","",F32)</f>
        <v>0</v>
      </c>
      <c r="G318">
        <v>29</v>
      </c>
      <c r="H318">
        <f>H32</f>
        <v>0</v>
      </c>
      <c r="K318">
        <v>29</v>
      </c>
      <c r="L318">
        <f>IF(L33="","",L32)</f>
        <v>0</v>
      </c>
      <c r="M318">
        <v>29</v>
      </c>
      <c r="N318">
        <f>N32</f>
        <v>0</v>
      </c>
    </row>
    <row r="319" spans="5:14">
      <c r="E319">
        <v>30</v>
      </c>
      <c r="F319">
        <f>IF(F34="","",F33)</f>
        <v>0</v>
      </c>
      <c r="G319">
        <v>30</v>
      </c>
      <c r="H319">
        <f>H33</f>
        <v>0</v>
      </c>
      <c r="K319">
        <v>30</v>
      </c>
      <c r="L319">
        <f>IF(L34="","",L33)</f>
        <v>0</v>
      </c>
      <c r="M319">
        <v>30</v>
      </c>
      <c r="N319">
        <f>N33</f>
        <v>0</v>
      </c>
    </row>
    <row r="320" spans="5:14">
      <c r="E320">
        <v>31</v>
      </c>
      <c r="F320">
        <f>IF(F35="","",F34)</f>
        <v>0</v>
      </c>
      <c r="G320">
        <v>31</v>
      </c>
      <c r="H320">
        <f>H34</f>
        <v>0</v>
      </c>
      <c r="K320">
        <v>31</v>
      </c>
      <c r="L320">
        <f>IF(L35="","",L34)</f>
        <v>0</v>
      </c>
      <c r="M320">
        <v>31</v>
      </c>
      <c r="N320">
        <f>N34</f>
        <v>0</v>
      </c>
    </row>
    <row r="321" spans="5:14">
      <c r="E321">
        <v>32</v>
      </c>
      <c r="F321">
        <f>IF(F36="","",F35)</f>
        <v>0</v>
      </c>
      <c r="G321">
        <v>32</v>
      </c>
      <c r="H321">
        <f>H35</f>
        <v>0</v>
      </c>
      <c r="K321">
        <v>32</v>
      </c>
      <c r="L321">
        <f>IF(L36="","",L35)</f>
        <v>0</v>
      </c>
      <c r="M321">
        <v>32</v>
      </c>
      <c r="N321">
        <f>N35</f>
        <v>0</v>
      </c>
    </row>
    <row r="322" spans="5:14">
      <c r="E322">
        <v>33</v>
      </c>
      <c r="F322">
        <f>IF(F37="","",F36)</f>
        <v>0</v>
      </c>
      <c r="G322">
        <v>33</v>
      </c>
      <c r="H322">
        <f>H36</f>
        <v>0</v>
      </c>
      <c r="K322">
        <v>33</v>
      </c>
      <c r="L322">
        <f>IF(L37="","",L36)</f>
        <v>0</v>
      </c>
      <c r="M322">
        <v>33</v>
      </c>
      <c r="N322">
        <f>N36</f>
        <v>0</v>
      </c>
    </row>
    <row r="323" spans="5:14">
      <c r="E323">
        <v>34</v>
      </c>
      <c r="F323">
        <f>IF(F38="","",F37)</f>
        <v>0</v>
      </c>
      <c r="G323">
        <v>34</v>
      </c>
      <c r="H323">
        <f>H37</f>
        <v>0</v>
      </c>
      <c r="K323">
        <v>34</v>
      </c>
      <c r="L323">
        <f>IF(L38="","",L37)</f>
        <v>0</v>
      </c>
      <c r="M323">
        <v>34</v>
      </c>
      <c r="N323">
        <f>N37</f>
        <v>0</v>
      </c>
    </row>
    <row r="324" spans="5:14">
      <c r="E324">
        <v>35</v>
      </c>
      <c r="F324">
        <f>IF(F39="","",F38)</f>
        <v>0</v>
      </c>
      <c r="G324">
        <v>35</v>
      </c>
      <c r="H324">
        <f>H38</f>
        <v>0</v>
      </c>
      <c r="K324">
        <v>35</v>
      </c>
      <c r="L324">
        <f>IF(L39="","",L38)</f>
        <v>0</v>
      </c>
      <c r="M324">
        <v>35</v>
      </c>
      <c r="N324">
        <f>N38</f>
        <v>0</v>
      </c>
    </row>
    <row r="325" spans="5:14">
      <c r="E325">
        <v>36</v>
      </c>
      <c r="F325">
        <f>IF(F40="","",F39)</f>
        <v>0</v>
      </c>
      <c r="G325">
        <v>36</v>
      </c>
      <c r="H325">
        <f>H39</f>
        <v>0</v>
      </c>
      <c r="K325">
        <v>36</v>
      </c>
      <c r="L325">
        <f>IF(L40="","",L39)</f>
        <v>0</v>
      </c>
      <c r="M325">
        <v>36</v>
      </c>
      <c r="N325">
        <f>N39</f>
        <v>0</v>
      </c>
    </row>
    <row r="326" spans="5:14">
      <c r="E326">
        <v>37</v>
      </c>
      <c r="F326">
        <f>IF(F41="","",F40)</f>
        <v>0</v>
      </c>
      <c r="G326">
        <v>37</v>
      </c>
      <c r="H326">
        <f>H40</f>
        <v>0</v>
      </c>
      <c r="K326">
        <v>37</v>
      </c>
      <c r="L326">
        <f>IF(L41="","",L40)</f>
        <v>0</v>
      </c>
      <c r="M326">
        <v>37</v>
      </c>
      <c r="N326">
        <f>N40</f>
        <v>0</v>
      </c>
    </row>
    <row r="327" spans="5:14">
      <c r="E327">
        <v>38</v>
      </c>
      <c r="F327">
        <f>IF(F42="","",F41)</f>
        <v>0</v>
      </c>
      <c r="G327">
        <v>38</v>
      </c>
      <c r="H327">
        <f>H41</f>
        <v>0</v>
      </c>
      <c r="K327">
        <v>38</v>
      </c>
      <c r="L327">
        <f>IF(L42="","",L41)</f>
        <v>0</v>
      </c>
      <c r="M327">
        <v>38</v>
      </c>
      <c r="N327">
        <f>N41</f>
        <v>0</v>
      </c>
    </row>
    <row r="328" spans="5:14">
      <c r="E328">
        <v>39</v>
      </c>
      <c r="F328">
        <f>IF(F43="","",F42)</f>
        <v>0</v>
      </c>
      <c r="G328">
        <v>39</v>
      </c>
      <c r="H328">
        <f>H42</f>
        <v>0</v>
      </c>
      <c r="K328">
        <v>39</v>
      </c>
      <c r="L328">
        <f>IF(L43="","",L42)</f>
        <v>0</v>
      </c>
      <c r="M328">
        <v>39</v>
      </c>
      <c r="N328">
        <f>N42</f>
        <v>0</v>
      </c>
    </row>
    <row r="329" spans="5:14">
      <c r="E329">
        <v>40</v>
      </c>
      <c r="F329">
        <f>IF(F44="","",F43)</f>
        <v>0</v>
      </c>
      <c r="G329">
        <v>40</v>
      </c>
      <c r="H329">
        <f>H43</f>
        <v>0</v>
      </c>
      <c r="K329">
        <v>40</v>
      </c>
      <c r="L329">
        <f>IF(L44="","",L43)</f>
        <v>0</v>
      </c>
      <c r="M329">
        <v>40</v>
      </c>
      <c r="N329">
        <f>N43</f>
        <v>0</v>
      </c>
    </row>
    <row r="330" spans="5:14">
      <c r="E330">
        <v>41</v>
      </c>
      <c r="F330">
        <f>IF(F45="","",F44)</f>
        <v>0</v>
      </c>
      <c r="G330">
        <v>41</v>
      </c>
      <c r="H330">
        <f>H44</f>
        <v>0</v>
      </c>
      <c r="K330">
        <v>41</v>
      </c>
      <c r="L330">
        <f>IF(L45="","",L44)</f>
        <v>0</v>
      </c>
      <c r="M330">
        <v>41</v>
      </c>
      <c r="N330">
        <f>N44</f>
        <v>0</v>
      </c>
    </row>
    <row r="331" spans="5:14">
      <c r="E331">
        <v>42</v>
      </c>
      <c r="F331">
        <f>IF(F46="","",F45)</f>
        <v>0</v>
      </c>
      <c r="G331">
        <v>42</v>
      </c>
      <c r="H331">
        <f>H45</f>
        <v>0</v>
      </c>
      <c r="K331">
        <v>42</v>
      </c>
      <c r="L331">
        <f>IF(L46="","",L45)</f>
        <v>0</v>
      </c>
      <c r="M331">
        <v>42</v>
      </c>
      <c r="N331">
        <f>N45</f>
        <v>0</v>
      </c>
    </row>
    <row r="332" spans="5:14">
      <c r="E332">
        <v>43</v>
      </c>
      <c r="F332">
        <f>IF(F47="","",F46)</f>
        <v>0</v>
      </c>
      <c r="G332">
        <v>43</v>
      </c>
      <c r="H332">
        <f>H46</f>
        <v>0</v>
      </c>
      <c r="K332">
        <v>43</v>
      </c>
      <c r="L332">
        <f>IF(L47="","",L46)</f>
        <v>0</v>
      </c>
      <c r="M332">
        <v>43</v>
      </c>
      <c r="N332">
        <f>N46</f>
        <v>0</v>
      </c>
    </row>
    <row r="333" spans="5:14">
      <c r="E333">
        <v>44</v>
      </c>
      <c r="F333">
        <f>IF(F48="","",F47)</f>
        <v>0</v>
      </c>
      <c r="G333">
        <v>44</v>
      </c>
      <c r="H333">
        <f>H47</f>
        <v>0</v>
      </c>
      <c r="K333">
        <v>44</v>
      </c>
      <c r="L333">
        <f>IF(L48="","",L47)</f>
        <v>0</v>
      </c>
      <c r="M333">
        <v>44</v>
      </c>
      <c r="N333">
        <f>N47</f>
        <v>0</v>
      </c>
    </row>
    <row r="334" spans="5:14">
      <c r="E334">
        <v>45</v>
      </c>
      <c r="F334">
        <f>IF(F49="","",F48)</f>
        <v>0</v>
      </c>
      <c r="G334">
        <v>45</v>
      </c>
      <c r="H334">
        <f>H48</f>
        <v>0</v>
      </c>
      <c r="K334">
        <v>45</v>
      </c>
      <c r="L334">
        <f>IF(L49="","",L48)</f>
        <v>0</v>
      </c>
      <c r="M334">
        <v>45</v>
      </c>
      <c r="N334">
        <f>N48</f>
        <v>0</v>
      </c>
    </row>
    <row r="335" spans="5:14">
      <c r="E335">
        <v>46</v>
      </c>
      <c r="F335">
        <f>IF(F50="","",F49)</f>
        <v>0</v>
      </c>
      <c r="G335">
        <v>46</v>
      </c>
      <c r="H335">
        <f>H49</f>
        <v>0</v>
      </c>
      <c r="K335">
        <v>46</v>
      </c>
      <c r="L335">
        <f>IF(L50="","",L49)</f>
        <v>0</v>
      </c>
      <c r="M335">
        <v>46</v>
      </c>
      <c r="N335">
        <f>N49</f>
        <v>0</v>
      </c>
    </row>
    <row r="336" spans="5:14">
      <c r="E336">
        <v>47</v>
      </c>
      <c r="F336">
        <f>IF(F51="","",F50)</f>
        <v>0</v>
      </c>
      <c r="G336">
        <v>47</v>
      </c>
      <c r="H336">
        <f>H50</f>
        <v>0</v>
      </c>
      <c r="K336">
        <v>47</v>
      </c>
      <c r="L336">
        <f>IF(L51="","",L50)</f>
        <v>0</v>
      </c>
      <c r="M336">
        <v>47</v>
      </c>
      <c r="N336">
        <f>N50</f>
        <v>0</v>
      </c>
    </row>
    <row r="337" spans="5:14">
      <c r="E337">
        <v>48</v>
      </c>
      <c r="F337">
        <f>IF(F52="","",F51)</f>
        <v>0</v>
      </c>
      <c r="G337">
        <v>48</v>
      </c>
      <c r="H337">
        <f>H51</f>
        <v>0</v>
      </c>
      <c r="K337">
        <v>48</v>
      </c>
      <c r="L337">
        <f>IF(L52="","",L51)</f>
        <v>0</v>
      </c>
      <c r="M337">
        <v>48</v>
      </c>
      <c r="N337">
        <f>N51</f>
        <v>0</v>
      </c>
    </row>
    <row r="338" spans="5:14">
      <c r="E338">
        <v>49</v>
      </c>
      <c r="F338">
        <f>IF(F53="","",F52)</f>
        <v>0</v>
      </c>
      <c r="G338">
        <v>49</v>
      </c>
      <c r="H338">
        <f>H52</f>
        <v>0</v>
      </c>
      <c r="K338">
        <v>49</v>
      </c>
      <c r="L338">
        <f>IF(L53="","",L52)</f>
        <v>0</v>
      </c>
      <c r="M338">
        <v>49</v>
      </c>
      <c r="N338">
        <f>N52</f>
        <v>0</v>
      </c>
    </row>
    <row r="339" spans="5:14">
      <c r="E339">
        <v>50</v>
      </c>
      <c r="F339">
        <f>IF(F54="","",F53)</f>
        <v>0</v>
      </c>
      <c r="G339">
        <v>50</v>
      </c>
      <c r="H339">
        <f>H53</f>
        <v>0</v>
      </c>
      <c r="K339">
        <v>50</v>
      </c>
      <c r="L339">
        <f>IF(L54="","",L53)</f>
        <v>0</v>
      </c>
      <c r="M339">
        <v>50</v>
      </c>
      <c r="N339">
        <f>N53</f>
        <v>0</v>
      </c>
    </row>
    <row r="340" spans="5:14">
      <c r="E340">
        <v>51</v>
      </c>
      <c r="F340">
        <f>IF(F55="","",F54)</f>
        <v>0</v>
      </c>
      <c r="G340">
        <v>51</v>
      </c>
      <c r="H340">
        <f>H54</f>
        <v>0</v>
      </c>
      <c r="K340">
        <v>51</v>
      </c>
      <c r="L340">
        <f>IF(L55="","",L54)</f>
        <v>0</v>
      </c>
      <c r="M340">
        <v>51</v>
      </c>
      <c r="N340">
        <f>N54</f>
        <v>0</v>
      </c>
    </row>
    <row r="341" spans="5:14">
      <c r="E341">
        <v>52</v>
      </c>
      <c r="F341">
        <f>IF(F56="","",F55)</f>
        <v>0</v>
      </c>
      <c r="G341">
        <v>52</v>
      </c>
      <c r="H341">
        <f>H55</f>
        <v>0</v>
      </c>
      <c r="K341">
        <v>52</v>
      </c>
      <c r="L341">
        <f>IF(L56="","",L55)</f>
        <v>0</v>
      </c>
      <c r="M341">
        <v>52</v>
      </c>
      <c r="N341">
        <f>N55</f>
        <v>0</v>
      </c>
    </row>
    <row r="342" spans="5:14">
      <c r="E342">
        <v>53</v>
      </c>
      <c r="F342">
        <f>IF(F57="","",F56)</f>
        <v>0</v>
      </c>
      <c r="G342">
        <v>53</v>
      </c>
      <c r="H342">
        <f>H56</f>
        <v>0</v>
      </c>
      <c r="K342">
        <v>53</v>
      </c>
      <c r="L342">
        <f>IF(L57="","",L56)</f>
        <v>0</v>
      </c>
      <c r="M342">
        <v>53</v>
      </c>
      <c r="N342">
        <f>N56</f>
        <v>0</v>
      </c>
    </row>
    <row r="343" spans="5:14">
      <c r="E343">
        <v>54</v>
      </c>
      <c r="F343">
        <f>IF(F58="","",F57)</f>
        <v>0</v>
      </c>
      <c r="G343">
        <v>54</v>
      </c>
      <c r="H343">
        <f>H57</f>
        <v>0</v>
      </c>
      <c r="K343">
        <v>54</v>
      </c>
      <c r="L343">
        <f>IF(L58="","",L57)</f>
        <v>0</v>
      </c>
      <c r="M343">
        <v>54</v>
      </c>
      <c r="N343">
        <f>N57</f>
        <v>0</v>
      </c>
    </row>
    <row r="344" spans="5:14">
      <c r="E344">
        <v>55</v>
      </c>
      <c r="F344">
        <f>IF(F59="","",F58)</f>
        <v>0</v>
      </c>
      <c r="G344">
        <v>55</v>
      </c>
      <c r="H344">
        <f>H58</f>
        <v>0</v>
      </c>
      <c r="K344">
        <v>55</v>
      </c>
      <c r="L344">
        <f>IF(L59="","",L58)</f>
        <v>0</v>
      </c>
      <c r="M344">
        <v>55</v>
      </c>
      <c r="N344">
        <f>N58</f>
        <v>0</v>
      </c>
    </row>
    <row r="345" spans="5:14">
      <c r="E345">
        <v>56</v>
      </c>
      <c r="F345">
        <f>IF(F60="","",F59)</f>
        <v>0</v>
      </c>
      <c r="G345">
        <v>56</v>
      </c>
      <c r="H345">
        <f>H59</f>
        <v>0</v>
      </c>
      <c r="K345">
        <v>56</v>
      </c>
      <c r="L345">
        <f>IF(L60="","",L59)</f>
        <v>0</v>
      </c>
      <c r="M345">
        <v>56</v>
      </c>
      <c r="N345">
        <f>N59</f>
        <v>0</v>
      </c>
    </row>
    <row r="346" spans="5:14">
      <c r="E346">
        <v>57</v>
      </c>
      <c r="F346">
        <f>IF(F61="","",F60)</f>
        <v>0</v>
      </c>
      <c r="G346">
        <v>57</v>
      </c>
      <c r="H346">
        <f>H60</f>
        <v>0</v>
      </c>
      <c r="K346">
        <v>57</v>
      </c>
      <c r="L346">
        <f>IF(L61="","",L60)</f>
        <v>0</v>
      </c>
      <c r="M346">
        <v>57</v>
      </c>
      <c r="N346">
        <f>N60</f>
        <v>0</v>
      </c>
    </row>
    <row r="347" spans="5:14">
      <c r="E347">
        <v>58</v>
      </c>
      <c r="F347">
        <f>IF(F62="","",F61)</f>
        <v>0</v>
      </c>
      <c r="G347">
        <v>58</v>
      </c>
      <c r="H347">
        <f>H61</f>
        <v>0</v>
      </c>
      <c r="K347">
        <v>58</v>
      </c>
      <c r="L347">
        <f>IF(L62="","",L61)</f>
        <v>0</v>
      </c>
      <c r="M347">
        <v>58</v>
      </c>
      <c r="N347">
        <f>N61</f>
        <v>0</v>
      </c>
    </row>
    <row r="348" spans="5:14">
      <c r="E348">
        <v>59</v>
      </c>
      <c r="F348">
        <f>IF(F63="","",F62)</f>
        <v>0</v>
      </c>
      <c r="G348">
        <v>59</v>
      </c>
      <c r="H348">
        <f>H62</f>
        <v>0</v>
      </c>
      <c r="K348">
        <v>59</v>
      </c>
      <c r="L348">
        <f>IF(L63="","",L62)</f>
        <v>0</v>
      </c>
      <c r="M348">
        <v>59</v>
      </c>
      <c r="N348">
        <f>N62</f>
        <v>0</v>
      </c>
    </row>
    <row r="349" spans="5:14">
      <c r="E349">
        <v>60</v>
      </c>
      <c r="F349">
        <f>IF(F64="","",F63)</f>
        <v>0</v>
      </c>
      <c r="G349">
        <v>60</v>
      </c>
      <c r="H349">
        <f>H63</f>
        <v>0</v>
      </c>
      <c r="K349">
        <v>60</v>
      </c>
      <c r="L349">
        <f>IF(L64="","",L63)</f>
        <v>0</v>
      </c>
      <c r="M349">
        <v>60</v>
      </c>
      <c r="N349">
        <f>N63</f>
        <v>0</v>
      </c>
    </row>
    <row r="350" spans="5:14">
      <c r="E350">
        <v>61</v>
      </c>
      <c r="F350">
        <f>IF(F65="","",F64)</f>
        <v>0</v>
      </c>
      <c r="G350">
        <v>61</v>
      </c>
      <c r="H350">
        <f>H64</f>
        <v>0</v>
      </c>
      <c r="K350">
        <v>61</v>
      </c>
      <c r="L350">
        <f>IF(L65="","",L64)</f>
        <v>0</v>
      </c>
      <c r="M350">
        <v>61</v>
      </c>
      <c r="N350">
        <f>N64</f>
        <v>0</v>
      </c>
    </row>
    <row r="351" spans="5:14">
      <c r="E351">
        <v>62</v>
      </c>
      <c r="F351">
        <f>IF(F66="","",F65)</f>
        <v>0</v>
      </c>
      <c r="G351">
        <v>62</v>
      </c>
      <c r="H351">
        <f>H65</f>
        <v>0</v>
      </c>
      <c r="K351">
        <v>62</v>
      </c>
      <c r="L351">
        <f>IF(L66="","",L65)</f>
        <v>0</v>
      </c>
      <c r="M351">
        <v>62</v>
      </c>
      <c r="N351">
        <f>N65</f>
        <v>0</v>
      </c>
    </row>
    <row r="352" spans="5:14">
      <c r="E352">
        <v>63</v>
      </c>
      <c r="F352">
        <f>IF(F67="","",F66)</f>
        <v>0</v>
      </c>
      <c r="G352">
        <v>63</v>
      </c>
      <c r="H352">
        <f>H66</f>
        <v>0</v>
      </c>
      <c r="K352">
        <v>63</v>
      </c>
      <c r="L352">
        <f>IF(L67="","",L66)</f>
        <v>0</v>
      </c>
      <c r="M352">
        <v>63</v>
      </c>
      <c r="N352">
        <f>N66</f>
        <v>0</v>
      </c>
    </row>
    <row r="353" spans="5:14">
      <c r="E353">
        <v>64</v>
      </c>
      <c r="F353">
        <f>IF(F68="","",F67)</f>
        <v>0</v>
      </c>
      <c r="G353">
        <v>64</v>
      </c>
      <c r="H353">
        <f>H67</f>
        <v>0</v>
      </c>
      <c r="K353">
        <v>64</v>
      </c>
      <c r="L353">
        <f>IF(L68="","",L67)</f>
        <v>0</v>
      </c>
      <c r="M353">
        <v>64</v>
      </c>
      <c r="N353">
        <f>N67</f>
        <v>0</v>
      </c>
    </row>
    <row r="354" spans="5:14">
      <c r="E354">
        <v>65</v>
      </c>
      <c r="F354">
        <f>IF(F69="","",F68)</f>
        <v>0</v>
      </c>
      <c r="G354">
        <v>65</v>
      </c>
      <c r="H354">
        <f>H68</f>
        <v>0</v>
      </c>
      <c r="K354">
        <v>65</v>
      </c>
      <c r="L354">
        <f>IF(L69="","",L68)</f>
        <v>0</v>
      </c>
      <c r="M354">
        <v>65</v>
      </c>
      <c r="N354">
        <f>N68</f>
        <v>0</v>
      </c>
    </row>
    <row r="355" spans="5:14">
      <c r="E355">
        <v>66</v>
      </c>
      <c r="F355">
        <f>IF(F70="","",F69)</f>
        <v>0</v>
      </c>
      <c r="G355">
        <v>66</v>
      </c>
      <c r="H355">
        <f>H69</f>
        <v>0</v>
      </c>
      <c r="K355">
        <v>66</v>
      </c>
      <c r="L355">
        <f>IF(L70="","",L69)</f>
        <v>0</v>
      </c>
      <c r="M355">
        <v>66</v>
      </c>
      <c r="N355">
        <f>N69</f>
        <v>0</v>
      </c>
    </row>
    <row r="356" spans="5:14">
      <c r="E356">
        <v>67</v>
      </c>
      <c r="F356">
        <f>IF(F71="","",F70)</f>
        <v>0</v>
      </c>
      <c r="G356">
        <v>67</v>
      </c>
      <c r="H356">
        <f>H70</f>
        <v>0</v>
      </c>
      <c r="K356">
        <v>67</v>
      </c>
      <c r="L356">
        <f>IF(L71="","",L70)</f>
        <v>0</v>
      </c>
      <c r="M356">
        <v>67</v>
      </c>
      <c r="N356">
        <f>N70</f>
        <v>0</v>
      </c>
    </row>
    <row r="357" spans="5:14">
      <c r="E357">
        <v>68</v>
      </c>
      <c r="F357">
        <f>IF(F72="","",F71)</f>
        <v>0</v>
      </c>
      <c r="G357">
        <v>68</v>
      </c>
      <c r="H357">
        <f>H71</f>
        <v>0</v>
      </c>
      <c r="K357">
        <v>68</v>
      </c>
      <c r="L357">
        <f>IF(L72="","",L71)</f>
        <v>0</v>
      </c>
      <c r="M357">
        <v>68</v>
      </c>
      <c r="N357">
        <f>N71</f>
        <v>0</v>
      </c>
    </row>
    <row r="358" spans="5:14">
      <c r="E358">
        <v>69</v>
      </c>
      <c r="F358">
        <f>IF(F73="","",F72)</f>
        <v>0</v>
      </c>
      <c r="G358">
        <v>69</v>
      </c>
      <c r="H358">
        <f>H72</f>
        <v>0</v>
      </c>
      <c r="K358">
        <v>69</v>
      </c>
      <c r="L358">
        <f>IF(L73="","",L72)</f>
        <v>0</v>
      </c>
      <c r="M358">
        <v>69</v>
      </c>
      <c r="N358">
        <f>N72</f>
        <v>0</v>
      </c>
    </row>
    <row r="359" spans="5:14">
      <c r="E359">
        <v>70</v>
      </c>
      <c r="F359">
        <f>IF(F74="","",F73)</f>
        <v>0</v>
      </c>
      <c r="G359">
        <v>70</v>
      </c>
      <c r="H359">
        <f>H73</f>
        <v>0</v>
      </c>
      <c r="K359">
        <v>70</v>
      </c>
      <c r="L359">
        <f>IF(L74="","",L73)</f>
        <v>0</v>
      </c>
      <c r="M359">
        <v>70</v>
      </c>
      <c r="N359">
        <f>N73</f>
        <v>0</v>
      </c>
    </row>
    <row r="360" spans="5:14">
      <c r="E360">
        <v>71</v>
      </c>
      <c r="F360">
        <f>IF(F75="","",F74)</f>
        <v>0</v>
      </c>
      <c r="G360">
        <v>71</v>
      </c>
      <c r="H360">
        <f>H74</f>
        <v>0</v>
      </c>
      <c r="K360">
        <v>71</v>
      </c>
      <c r="L360">
        <f>IF(L75="","",L74)</f>
        <v>0</v>
      </c>
      <c r="M360">
        <v>71</v>
      </c>
      <c r="N360">
        <f>N74</f>
        <v>0</v>
      </c>
    </row>
    <row r="361" spans="5:14">
      <c r="E361">
        <v>72</v>
      </c>
      <c r="F361">
        <f>IF(F76="","",F75)</f>
        <v>0</v>
      </c>
      <c r="G361">
        <v>72</v>
      </c>
      <c r="H361">
        <f>H75</f>
        <v>0</v>
      </c>
      <c r="K361">
        <v>72</v>
      </c>
      <c r="L361">
        <f>IF(L76="","",L75)</f>
        <v>0</v>
      </c>
      <c r="M361">
        <v>72</v>
      </c>
      <c r="N361">
        <f>N75</f>
        <v>0</v>
      </c>
    </row>
    <row r="362" spans="5:14">
      <c r="E362">
        <v>73</v>
      </c>
      <c r="F362">
        <f>IF(F77="","",F76)</f>
        <v>0</v>
      </c>
      <c r="G362">
        <v>73</v>
      </c>
      <c r="H362">
        <f>H76</f>
        <v>0</v>
      </c>
      <c r="K362">
        <v>73</v>
      </c>
      <c r="L362">
        <f>IF(L77="","",L76)</f>
        <v>0</v>
      </c>
      <c r="M362">
        <v>73</v>
      </c>
      <c r="N362">
        <f>N76</f>
        <v>0</v>
      </c>
    </row>
    <row r="363" spans="5:14">
      <c r="E363">
        <v>74</v>
      </c>
      <c r="F363">
        <f>IF(F78="","",F77)</f>
        <v>0</v>
      </c>
      <c r="G363">
        <v>74</v>
      </c>
      <c r="H363">
        <f>H77</f>
        <v>0</v>
      </c>
      <c r="K363">
        <v>74</v>
      </c>
      <c r="L363">
        <f>IF(L78="","",L77)</f>
        <v>0</v>
      </c>
      <c r="M363">
        <v>74</v>
      </c>
      <c r="N363">
        <f>N77</f>
        <v>0</v>
      </c>
    </row>
    <row r="364" spans="5:14">
      <c r="E364">
        <v>75</v>
      </c>
      <c r="F364">
        <f>IF(F79="","",F78)</f>
        <v>0</v>
      </c>
      <c r="G364">
        <v>75</v>
      </c>
      <c r="H364">
        <f>H78</f>
        <v>0</v>
      </c>
      <c r="K364">
        <v>75</v>
      </c>
      <c r="L364">
        <f>IF(L79="","",L78)</f>
        <v>0</v>
      </c>
      <c r="M364">
        <v>75</v>
      </c>
      <c r="N364">
        <f>N78</f>
        <v>0</v>
      </c>
    </row>
    <row r="365" spans="5:14">
      <c r="E365">
        <v>76</v>
      </c>
      <c r="F365">
        <f>IF(F80="","",F79)</f>
        <v>0</v>
      </c>
      <c r="G365">
        <v>76</v>
      </c>
      <c r="H365">
        <f>H79</f>
        <v>0</v>
      </c>
      <c r="K365">
        <v>76</v>
      </c>
      <c r="L365">
        <f>IF(L80="","",L79)</f>
        <v>0</v>
      </c>
      <c r="M365">
        <v>76</v>
      </c>
      <c r="N365">
        <f>N79</f>
        <v>0</v>
      </c>
    </row>
    <row r="366" spans="5:14">
      <c r="E366">
        <v>77</v>
      </c>
      <c r="F366">
        <f>IF(F81="","",F80)</f>
        <v>0</v>
      </c>
      <c r="G366">
        <v>77</v>
      </c>
      <c r="H366">
        <f>H80</f>
        <v>0</v>
      </c>
      <c r="K366">
        <v>77</v>
      </c>
      <c r="L366">
        <f>IF(L81="","",L80)</f>
        <v>0</v>
      </c>
      <c r="M366">
        <v>77</v>
      </c>
      <c r="N366">
        <f>N80</f>
        <v>0</v>
      </c>
    </row>
    <row r="367" spans="5:14">
      <c r="E367">
        <v>78</v>
      </c>
      <c r="F367">
        <f>IF(F82="","",F81)</f>
        <v>0</v>
      </c>
      <c r="G367">
        <v>78</v>
      </c>
      <c r="H367">
        <f>H81</f>
        <v>0</v>
      </c>
      <c r="K367">
        <v>78</v>
      </c>
      <c r="L367">
        <f>IF(L82="","",L81)</f>
        <v>0</v>
      </c>
      <c r="M367">
        <v>78</v>
      </c>
      <c r="N367">
        <f>N81</f>
        <v>0</v>
      </c>
    </row>
    <row r="368" spans="5:14">
      <c r="E368">
        <v>79</v>
      </c>
      <c r="F368">
        <f>IF(F83="","",F82)</f>
        <v>0</v>
      </c>
      <c r="G368">
        <v>79</v>
      </c>
      <c r="H368">
        <f>H82</f>
        <v>0</v>
      </c>
      <c r="K368">
        <v>79</v>
      </c>
      <c r="L368">
        <f>IF(L83="","",L82)</f>
        <v>0</v>
      </c>
      <c r="M368">
        <v>79</v>
      </c>
      <c r="N368">
        <f>N82</f>
        <v>0</v>
      </c>
    </row>
    <row r="369" spans="5:14">
      <c r="E369">
        <v>80</v>
      </c>
      <c r="F369">
        <f>IF(F84="","",F83)</f>
        <v>0</v>
      </c>
      <c r="G369">
        <v>80</v>
      </c>
      <c r="H369">
        <f>H83</f>
        <v>0</v>
      </c>
      <c r="K369">
        <v>80</v>
      </c>
      <c r="L369">
        <f>IF(L84="","",L83)</f>
        <v>0</v>
      </c>
      <c r="M369">
        <v>80</v>
      </c>
      <c r="N369">
        <f>N83</f>
        <v>0</v>
      </c>
    </row>
    <row r="370" spans="5:14">
      <c r="E370">
        <v>81</v>
      </c>
      <c r="F370">
        <f>IF(F85="","",F84)</f>
        <v>0</v>
      </c>
      <c r="G370">
        <v>81</v>
      </c>
      <c r="H370">
        <f>H84</f>
        <v>0</v>
      </c>
      <c r="K370">
        <v>81</v>
      </c>
      <c r="L370">
        <f>IF(L85="","",L84)</f>
        <v>0</v>
      </c>
      <c r="M370">
        <v>81</v>
      </c>
      <c r="N370">
        <f>N84</f>
        <v>0</v>
      </c>
    </row>
    <row r="371" spans="5:14">
      <c r="E371">
        <v>82</v>
      </c>
      <c r="F371">
        <f>IF(F86="","",F85)</f>
        <v>0</v>
      </c>
      <c r="G371">
        <v>82</v>
      </c>
      <c r="H371">
        <f>H85</f>
        <v>0</v>
      </c>
      <c r="K371">
        <v>82</v>
      </c>
      <c r="L371">
        <f>IF(L86="","",L85)</f>
        <v>0</v>
      </c>
      <c r="M371">
        <v>82</v>
      </c>
      <c r="N371">
        <f>N85</f>
        <v>0</v>
      </c>
    </row>
    <row r="372" spans="5:14">
      <c r="E372">
        <v>83</v>
      </c>
      <c r="F372">
        <f>IF(F87="","",F86)</f>
        <v>0</v>
      </c>
      <c r="G372">
        <v>83</v>
      </c>
      <c r="H372">
        <f>H86</f>
        <v>0</v>
      </c>
      <c r="K372">
        <v>83</v>
      </c>
      <c r="L372">
        <f>IF(L87="","",L86)</f>
        <v>0</v>
      </c>
      <c r="M372">
        <v>83</v>
      </c>
      <c r="N372">
        <f>N86</f>
        <v>0</v>
      </c>
    </row>
    <row r="373" spans="5:14">
      <c r="E373">
        <v>84</v>
      </c>
      <c r="F373">
        <f>IF(F88="","",F87)</f>
        <v>0</v>
      </c>
      <c r="G373">
        <v>84</v>
      </c>
      <c r="H373">
        <f>H87</f>
        <v>0</v>
      </c>
      <c r="K373">
        <v>84</v>
      </c>
      <c r="L373">
        <f>IF(L88="","",L87)</f>
        <v>0</v>
      </c>
      <c r="M373">
        <v>84</v>
      </c>
      <c r="N373">
        <f>N87</f>
        <v>0</v>
      </c>
    </row>
    <row r="374" spans="5:14">
      <c r="E374">
        <v>85</v>
      </c>
      <c r="F374">
        <f>IF(F89="","",F88)</f>
        <v>0</v>
      </c>
      <c r="G374">
        <v>85</v>
      </c>
      <c r="H374">
        <f>H88</f>
        <v>0</v>
      </c>
      <c r="K374">
        <v>85</v>
      </c>
      <c r="L374">
        <f>IF(L89="","",L88)</f>
        <v>0</v>
      </c>
      <c r="M374">
        <v>85</v>
      </c>
      <c r="N374">
        <f>N88</f>
        <v>0</v>
      </c>
    </row>
    <row r="375" spans="5:14">
      <c r="E375">
        <v>86</v>
      </c>
      <c r="F375">
        <f>IF(F90="","",F89)</f>
        <v>0</v>
      </c>
      <c r="G375">
        <v>86</v>
      </c>
      <c r="H375">
        <f>H89</f>
        <v>0</v>
      </c>
      <c r="K375">
        <v>86</v>
      </c>
      <c r="L375">
        <f>IF(L90="","",L89)</f>
        <v>0</v>
      </c>
      <c r="M375">
        <v>86</v>
      </c>
      <c r="N375">
        <f>N89</f>
        <v>0</v>
      </c>
    </row>
    <row r="376" spans="5:14">
      <c r="E376">
        <v>87</v>
      </c>
      <c r="F376">
        <f>IF(F91="","",F90)</f>
        <v>0</v>
      </c>
      <c r="G376">
        <v>87</v>
      </c>
      <c r="H376">
        <f>H90</f>
        <v>0</v>
      </c>
      <c r="K376">
        <v>87</v>
      </c>
      <c r="L376">
        <f>IF(L91="","",L90)</f>
        <v>0</v>
      </c>
      <c r="M376">
        <v>87</v>
      </c>
      <c r="N376">
        <f>N90</f>
        <v>0</v>
      </c>
    </row>
    <row r="377" spans="5:14">
      <c r="E377">
        <v>88</v>
      </c>
      <c r="F377">
        <f>IF(F92="","",F91)</f>
        <v>0</v>
      </c>
      <c r="G377">
        <v>88</v>
      </c>
      <c r="H377">
        <f>H91</f>
        <v>0</v>
      </c>
      <c r="K377">
        <v>88</v>
      </c>
      <c r="L377">
        <f>IF(L92="","",L91)</f>
        <v>0</v>
      </c>
      <c r="M377">
        <v>88</v>
      </c>
      <c r="N377">
        <f>N91</f>
        <v>0</v>
      </c>
    </row>
    <row r="378" spans="5:14">
      <c r="E378">
        <v>89</v>
      </c>
      <c r="F378">
        <f>IF(F93="","",F92)</f>
        <v>0</v>
      </c>
      <c r="G378">
        <v>89</v>
      </c>
      <c r="H378">
        <f>H92</f>
        <v>0</v>
      </c>
      <c r="K378">
        <v>89</v>
      </c>
      <c r="L378">
        <f>IF(L93="","",L92)</f>
        <v>0</v>
      </c>
      <c r="M378">
        <v>89</v>
      </c>
      <c r="N378">
        <f>N92</f>
        <v>0</v>
      </c>
    </row>
    <row r="379" spans="5:14">
      <c r="E379">
        <v>90</v>
      </c>
      <c r="F379">
        <f>IF(F94="","",F93)</f>
        <v>0</v>
      </c>
      <c r="G379">
        <v>90</v>
      </c>
      <c r="H379">
        <f>H93</f>
        <v>0</v>
      </c>
      <c r="K379">
        <v>90</v>
      </c>
      <c r="L379">
        <f>IF(L94="","",L93)</f>
        <v>0</v>
      </c>
      <c r="M379">
        <v>90</v>
      </c>
      <c r="N379">
        <f>N93</f>
        <v>0</v>
      </c>
    </row>
    <row r="380" spans="5:14">
      <c r="E380">
        <v>91</v>
      </c>
      <c r="F380">
        <f>IF(F95="","",F94)</f>
        <v>0</v>
      </c>
      <c r="G380">
        <v>91</v>
      </c>
      <c r="H380">
        <f>H94</f>
        <v>0</v>
      </c>
      <c r="K380">
        <v>91</v>
      </c>
      <c r="L380">
        <f>IF(L95="","",L94)</f>
        <v>0</v>
      </c>
      <c r="M380">
        <v>91</v>
      </c>
      <c r="N380">
        <f>N94</f>
        <v>0</v>
      </c>
    </row>
    <row r="381" spans="5:14">
      <c r="E381">
        <v>92</v>
      </c>
      <c r="F381">
        <f>IF(F96="","",F95)</f>
        <v>0</v>
      </c>
      <c r="G381">
        <v>92</v>
      </c>
      <c r="H381">
        <f>H95</f>
        <v>0</v>
      </c>
      <c r="K381">
        <v>92</v>
      </c>
      <c r="L381">
        <f>IF(L96="","",L95)</f>
        <v>0</v>
      </c>
      <c r="M381">
        <v>92</v>
      </c>
      <c r="N381">
        <f>N95</f>
        <v>0</v>
      </c>
    </row>
    <row r="382" spans="5:14">
      <c r="E382">
        <v>93</v>
      </c>
      <c r="F382">
        <f>IF(F97="","",F96)</f>
        <v>0</v>
      </c>
      <c r="G382">
        <v>93</v>
      </c>
      <c r="H382">
        <f>H96</f>
        <v>0</v>
      </c>
      <c r="K382">
        <v>93</v>
      </c>
      <c r="L382">
        <f>IF(L97="","",L96)</f>
        <v>0</v>
      </c>
      <c r="M382">
        <v>93</v>
      </c>
      <c r="N382">
        <f>N96</f>
        <v>0</v>
      </c>
    </row>
    <row r="383" spans="5:14">
      <c r="E383">
        <v>94</v>
      </c>
      <c r="F383">
        <f>IF(F98="","",F97)</f>
        <v>0</v>
      </c>
      <c r="G383">
        <v>94</v>
      </c>
      <c r="H383">
        <f>H97</f>
        <v>0</v>
      </c>
      <c r="K383">
        <v>94</v>
      </c>
      <c r="L383">
        <f>IF(L98="","",L97)</f>
        <v>0</v>
      </c>
      <c r="M383">
        <v>94</v>
      </c>
      <c r="N383">
        <f>N97</f>
        <v>0</v>
      </c>
    </row>
    <row r="384" spans="5:14">
      <c r="E384">
        <v>95</v>
      </c>
      <c r="F384">
        <f>IF(F99="","",F98)</f>
        <v>0</v>
      </c>
      <c r="G384">
        <v>95</v>
      </c>
      <c r="H384">
        <f>H98</f>
        <v>0</v>
      </c>
      <c r="K384">
        <v>95</v>
      </c>
      <c r="L384">
        <f>IF(L99="","",L98)</f>
        <v>0</v>
      </c>
      <c r="M384">
        <v>95</v>
      </c>
      <c r="N384">
        <f>N98</f>
        <v>0</v>
      </c>
    </row>
    <row r="385" spans="5:14">
      <c r="E385">
        <v>96</v>
      </c>
      <c r="F385">
        <f>IF(F100="","",F99)</f>
        <v>0</v>
      </c>
      <c r="G385">
        <v>96</v>
      </c>
      <c r="H385">
        <f>H99</f>
        <v>0</v>
      </c>
      <c r="K385">
        <v>96</v>
      </c>
      <c r="L385">
        <f>IF(L100="","",L99)</f>
        <v>0</v>
      </c>
      <c r="M385">
        <v>96</v>
      </c>
      <c r="N385">
        <f>N99</f>
        <v>0</v>
      </c>
    </row>
    <row r="386" spans="5:14">
      <c r="E386">
        <v>97</v>
      </c>
      <c r="F386">
        <f>IF(F101="","",F100)</f>
        <v>0</v>
      </c>
      <c r="G386">
        <v>97</v>
      </c>
      <c r="H386">
        <f>H100</f>
        <v>0</v>
      </c>
      <c r="K386">
        <v>97</v>
      </c>
      <c r="L386">
        <f>IF(L101="","",L100)</f>
        <v>0</v>
      </c>
      <c r="M386">
        <v>97</v>
      </c>
      <c r="N386">
        <f>N100</f>
        <v>0</v>
      </c>
    </row>
    <row r="387" spans="5:14">
      <c r="E387">
        <v>98</v>
      </c>
      <c r="F387">
        <f>IF(F102="","",F101)</f>
        <v>0</v>
      </c>
      <c r="G387">
        <v>98</v>
      </c>
      <c r="H387">
        <f>H101</f>
        <v>0</v>
      </c>
      <c r="K387">
        <v>98</v>
      </c>
      <c r="L387">
        <f>IF(L102="","",L101)</f>
        <v>0</v>
      </c>
      <c r="M387">
        <v>98</v>
      </c>
      <c r="N387">
        <f>N101</f>
        <v>0</v>
      </c>
    </row>
    <row r="388" spans="5:14">
      <c r="E388">
        <v>99</v>
      </c>
      <c r="F388">
        <f>IF(F103="","",F102)</f>
        <v>0</v>
      </c>
      <c r="G388">
        <v>99</v>
      </c>
      <c r="H388">
        <f>H102</f>
        <v>0</v>
      </c>
      <c r="K388">
        <v>99</v>
      </c>
      <c r="L388">
        <f>IF(L103="","",L102)</f>
        <v>0</v>
      </c>
      <c r="M388">
        <v>99</v>
      </c>
      <c r="N388">
        <f>N102</f>
        <v>0</v>
      </c>
    </row>
    <row r="389" spans="5:14">
      <c r="E389">
        <v>100</v>
      </c>
      <c r="F389">
        <f>IF(F104="","",F103)</f>
        <v>0</v>
      </c>
      <c r="G389">
        <v>100</v>
      </c>
      <c r="H389">
        <f>H103</f>
        <v>0</v>
      </c>
      <c r="K389">
        <v>100</v>
      </c>
      <c r="L389">
        <f>IF(L104="","",L103)</f>
        <v>0</v>
      </c>
      <c r="M389">
        <v>100</v>
      </c>
      <c r="N389">
        <f>N103</f>
        <v>0</v>
      </c>
    </row>
    <row r="390" spans="5:14">
      <c r="E390">
        <v>101</v>
      </c>
      <c r="F390">
        <f>IF(F105="","",F104)</f>
        <v>0</v>
      </c>
      <c r="G390">
        <v>101</v>
      </c>
      <c r="H390">
        <f>H104</f>
        <v>0</v>
      </c>
      <c r="K390">
        <v>101</v>
      </c>
      <c r="L390">
        <f>IF(L105="","",L104)</f>
        <v>0</v>
      </c>
      <c r="M390">
        <v>101</v>
      </c>
      <c r="N390">
        <f>N104</f>
        <v>0</v>
      </c>
    </row>
    <row r="391" spans="5:14">
      <c r="E391">
        <v>102</v>
      </c>
      <c r="F391">
        <f>IF(F106="","",F105)</f>
        <v>0</v>
      </c>
      <c r="G391">
        <v>102</v>
      </c>
      <c r="H391">
        <f>H105</f>
        <v>0</v>
      </c>
      <c r="K391">
        <v>102</v>
      </c>
      <c r="L391">
        <f>IF(L106="","",L105)</f>
        <v>0</v>
      </c>
      <c r="M391">
        <v>102</v>
      </c>
      <c r="N391">
        <f>N105</f>
        <v>0</v>
      </c>
    </row>
    <row r="392" spans="5:14">
      <c r="E392">
        <v>103</v>
      </c>
      <c r="F392">
        <f>IF(F107="","",F106)</f>
        <v>0</v>
      </c>
      <c r="G392">
        <v>103</v>
      </c>
      <c r="H392">
        <f>H106</f>
        <v>0</v>
      </c>
      <c r="K392">
        <v>103</v>
      </c>
      <c r="L392">
        <f>IF(L107="","",L106)</f>
        <v>0</v>
      </c>
      <c r="M392">
        <v>103</v>
      </c>
      <c r="N392">
        <f>N106</f>
        <v>0</v>
      </c>
    </row>
    <row r="393" spans="5:14">
      <c r="E393">
        <v>104</v>
      </c>
      <c r="F393">
        <f>IF(F108="","",F107)</f>
        <v>0</v>
      </c>
      <c r="G393">
        <v>104</v>
      </c>
      <c r="H393">
        <f>H107</f>
        <v>0</v>
      </c>
      <c r="K393">
        <v>104</v>
      </c>
      <c r="L393">
        <f>IF(L108="","",L107)</f>
        <v>0</v>
      </c>
      <c r="M393">
        <v>104</v>
      </c>
      <c r="N393">
        <f>N107</f>
        <v>0</v>
      </c>
    </row>
    <row r="394" spans="5:14">
      <c r="E394">
        <v>105</v>
      </c>
      <c r="F394">
        <f>IF(F109="","",F108)</f>
        <v>0</v>
      </c>
      <c r="G394">
        <v>105</v>
      </c>
      <c r="H394">
        <f>H108</f>
        <v>0</v>
      </c>
      <c r="K394">
        <v>105</v>
      </c>
      <c r="L394">
        <f>IF(L109="","",L108)</f>
        <v>0</v>
      </c>
      <c r="M394">
        <v>105</v>
      </c>
      <c r="N394">
        <f>N108</f>
        <v>0</v>
      </c>
    </row>
    <row r="395" spans="5:14">
      <c r="E395">
        <v>106</v>
      </c>
      <c r="F395">
        <f>IF(F110="","",F109)</f>
        <v>0</v>
      </c>
      <c r="G395">
        <v>106</v>
      </c>
      <c r="H395">
        <f>H109</f>
        <v>0</v>
      </c>
      <c r="K395">
        <v>106</v>
      </c>
      <c r="L395">
        <f>IF(L110="","",L109)</f>
        <v>0</v>
      </c>
      <c r="M395">
        <v>106</v>
      </c>
      <c r="N395">
        <f>N109</f>
        <v>0</v>
      </c>
    </row>
    <row r="396" spans="5:14">
      <c r="E396">
        <v>107</v>
      </c>
      <c r="F396">
        <f>IF(F111="","",F110)</f>
        <v>0</v>
      </c>
      <c r="G396">
        <v>107</v>
      </c>
      <c r="H396">
        <f>H110</f>
        <v>0</v>
      </c>
      <c r="K396">
        <v>107</v>
      </c>
      <c r="L396">
        <f>IF(L111="","",L110)</f>
        <v>0</v>
      </c>
      <c r="M396">
        <v>107</v>
      </c>
      <c r="N396">
        <f>N110</f>
        <v>0</v>
      </c>
    </row>
    <row r="397" spans="5:14">
      <c r="E397">
        <v>108</v>
      </c>
      <c r="F397">
        <f>IF(F112="","",F111)</f>
        <v>0</v>
      </c>
      <c r="G397">
        <v>108</v>
      </c>
      <c r="H397">
        <f>H111</f>
        <v>0</v>
      </c>
      <c r="K397">
        <v>108</v>
      </c>
      <c r="L397">
        <f>IF(L112="","",L111)</f>
        <v>0</v>
      </c>
      <c r="M397">
        <v>108</v>
      </c>
      <c r="N397">
        <f>N111</f>
        <v>0</v>
      </c>
    </row>
    <row r="398" spans="5:14">
      <c r="E398">
        <v>109</v>
      </c>
      <c r="F398">
        <f>IF(F113="","",F112)</f>
        <v>0</v>
      </c>
      <c r="G398">
        <v>109</v>
      </c>
      <c r="H398">
        <f>H112</f>
        <v>0</v>
      </c>
      <c r="K398">
        <v>109</v>
      </c>
      <c r="L398">
        <f>IF(L113="","",L112)</f>
        <v>0</v>
      </c>
      <c r="M398">
        <v>109</v>
      </c>
      <c r="N398">
        <f>N112</f>
        <v>0</v>
      </c>
    </row>
    <row r="399" spans="5:14">
      <c r="E399">
        <v>110</v>
      </c>
      <c r="F399">
        <f>IF(F114="","",F113)</f>
        <v>0</v>
      </c>
      <c r="G399">
        <v>110</v>
      </c>
      <c r="H399">
        <f>H113</f>
        <v>0</v>
      </c>
      <c r="K399">
        <v>110</v>
      </c>
      <c r="L399">
        <f>IF(L114="","",L113)</f>
        <v>0</v>
      </c>
      <c r="M399">
        <v>110</v>
      </c>
      <c r="N399">
        <f>N113</f>
        <v>0</v>
      </c>
    </row>
    <row r="400" spans="5:14">
      <c r="E400">
        <v>111</v>
      </c>
      <c r="F400">
        <f>IF(F115="","",F114)</f>
        <v>0</v>
      </c>
      <c r="G400">
        <v>111</v>
      </c>
      <c r="H400">
        <f>H114</f>
        <v>0</v>
      </c>
      <c r="K400">
        <v>111</v>
      </c>
      <c r="L400">
        <f>IF(L115="","",L114)</f>
        <v>0</v>
      </c>
      <c r="M400">
        <v>111</v>
      </c>
      <c r="N400">
        <f>N114</f>
        <v>0</v>
      </c>
    </row>
    <row r="401" spans="5:14">
      <c r="E401">
        <v>112</v>
      </c>
      <c r="F401">
        <f>IF(F116="","",F115)</f>
        <v>0</v>
      </c>
      <c r="G401">
        <v>112</v>
      </c>
      <c r="H401">
        <f>H115</f>
        <v>0</v>
      </c>
      <c r="K401">
        <v>112</v>
      </c>
      <c r="L401">
        <f>IF(L116="","",L115)</f>
        <v>0</v>
      </c>
      <c r="M401">
        <v>112</v>
      </c>
      <c r="N401">
        <f>N115</f>
        <v>0</v>
      </c>
    </row>
    <row r="402" spans="5:14">
      <c r="E402">
        <v>113</v>
      </c>
      <c r="F402">
        <f>IF(F117="","",F116)</f>
        <v>0</v>
      </c>
      <c r="G402">
        <v>113</v>
      </c>
      <c r="H402">
        <f>H116</f>
        <v>0</v>
      </c>
      <c r="K402">
        <v>113</v>
      </c>
      <c r="L402">
        <f>IF(L117="","",L116)</f>
        <v>0</v>
      </c>
      <c r="M402">
        <v>113</v>
      </c>
      <c r="N402">
        <f>N116</f>
        <v>0</v>
      </c>
    </row>
    <row r="403" spans="5:14">
      <c r="E403">
        <v>114</v>
      </c>
      <c r="F403">
        <f>IF(F118="","",F117)</f>
        <v>0</v>
      </c>
      <c r="G403">
        <v>114</v>
      </c>
      <c r="H403">
        <f>H117</f>
        <v>0</v>
      </c>
      <c r="K403">
        <v>114</v>
      </c>
      <c r="L403">
        <f>IF(L118="","",L117)</f>
        <v>0</v>
      </c>
      <c r="M403">
        <v>114</v>
      </c>
      <c r="N403">
        <f>N117</f>
        <v>0</v>
      </c>
    </row>
    <row r="404" spans="5:14">
      <c r="E404">
        <v>115</v>
      </c>
      <c r="F404">
        <f>IF(F119="","",F118)</f>
        <v>0</v>
      </c>
      <c r="G404">
        <v>115</v>
      </c>
      <c r="H404">
        <f>H118</f>
        <v>0</v>
      </c>
      <c r="K404">
        <v>115</v>
      </c>
      <c r="L404">
        <f>IF(L119="","",L118)</f>
        <v>0</v>
      </c>
      <c r="M404">
        <v>115</v>
      </c>
      <c r="N404">
        <f>N118</f>
        <v>0</v>
      </c>
    </row>
    <row r="405" spans="5:14">
      <c r="E405">
        <v>116</v>
      </c>
      <c r="F405">
        <f>IF(F120="","",F119)</f>
        <v>0</v>
      </c>
      <c r="G405">
        <v>116</v>
      </c>
      <c r="H405">
        <f>H119</f>
        <v>0</v>
      </c>
      <c r="K405">
        <v>116</v>
      </c>
      <c r="L405">
        <f>IF(L120="","",L119)</f>
        <v>0</v>
      </c>
      <c r="M405">
        <v>116</v>
      </c>
      <c r="N405">
        <f>N119</f>
        <v>0</v>
      </c>
    </row>
    <row r="406" spans="5:14">
      <c r="E406">
        <v>117</v>
      </c>
      <c r="F406">
        <f>IF(F121="","",F120)</f>
        <v>0</v>
      </c>
      <c r="G406">
        <v>117</v>
      </c>
      <c r="H406">
        <f>H120</f>
        <v>0</v>
      </c>
      <c r="K406">
        <v>117</v>
      </c>
      <c r="L406">
        <f>IF(L121="","",L120)</f>
        <v>0</v>
      </c>
      <c r="M406">
        <v>117</v>
      </c>
      <c r="N406">
        <f>N120</f>
        <v>0</v>
      </c>
    </row>
    <row r="407" spans="5:14">
      <c r="E407">
        <v>118</v>
      </c>
      <c r="F407">
        <f>IF(F122="","",F121)</f>
        <v>0</v>
      </c>
      <c r="G407">
        <v>118</v>
      </c>
      <c r="H407">
        <f>H121</f>
        <v>0</v>
      </c>
      <c r="K407">
        <v>118</v>
      </c>
      <c r="L407">
        <f>IF(L122="","",L121)</f>
        <v>0</v>
      </c>
      <c r="M407">
        <v>118</v>
      </c>
      <c r="N407">
        <f>N121</f>
        <v>0</v>
      </c>
    </row>
    <row r="408" spans="5:14">
      <c r="E408">
        <v>119</v>
      </c>
      <c r="F408">
        <f>IF(F123="","",F122)</f>
        <v>0</v>
      </c>
      <c r="G408">
        <v>119</v>
      </c>
      <c r="H408">
        <f>H122</f>
        <v>0</v>
      </c>
      <c r="K408">
        <v>119</v>
      </c>
      <c r="L408">
        <f>IF(L123="","",L122)</f>
        <v>0</v>
      </c>
      <c r="M408">
        <v>119</v>
      </c>
      <c r="N408">
        <f>N122</f>
        <v>0</v>
      </c>
    </row>
    <row r="409" spans="5:14">
      <c r="E409">
        <v>120</v>
      </c>
      <c r="F409">
        <f>IF(F124="","",F123)</f>
        <v>0</v>
      </c>
      <c r="G409">
        <v>120</v>
      </c>
      <c r="H409">
        <f>H123</f>
        <v>0</v>
      </c>
      <c r="K409">
        <v>120</v>
      </c>
      <c r="L409">
        <f>IF(L124="","",L123)</f>
        <v>0</v>
      </c>
      <c r="M409">
        <v>120</v>
      </c>
      <c r="N409">
        <f>N123</f>
        <v>0</v>
      </c>
    </row>
    <row r="410" spans="5:14">
      <c r="E410">
        <v>121</v>
      </c>
      <c r="F410">
        <f>IF(F125="","",F124)</f>
        <v>0</v>
      </c>
      <c r="G410">
        <v>121</v>
      </c>
      <c r="H410">
        <f>H124</f>
        <v>0</v>
      </c>
      <c r="K410">
        <v>121</v>
      </c>
      <c r="L410">
        <f>IF(L125="","",L124)</f>
        <v>0</v>
      </c>
      <c r="M410">
        <v>121</v>
      </c>
      <c r="N410">
        <f>N124</f>
        <v>0</v>
      </c>
    </row>
    <row r="411" spans="5:14">
      <c r="E411">
        <v>122</v>
      </c>
      <c r="F411">
        <f>IF(F126="","",F125)</f>
        <v>0</v>
      </c>
      <c r="G411">
        <v>122</v>
      </c>
      <c r="H411">
        <f>H125</f>
        <v>0</v>
      </c>
      <c r="K411">
        <v>122</v>
      </c>
      <c r="L411">
        <f>IF(L126="","",L125)</f>
        <v>0</v>
      </c>
      <c r="M411">
        <v>122</v>
      </c>
      <c r="N411">
        <f>N125</f>
        <v>0</v>
      </c>
    </row>
    <row r="412" spans="5:14">
      <c r="E412">
        <v>123</v>
      </c>
      <c r="F412">
        <f>IF(F127="","",F126)</f>
        <v>0</v>
      </c>
      <c r="G412">
        <v>123</v>
      </c>
      <c r="H412">
        <f>H126</f>
        <v>0</v>
      </c>
      <c r="K412">
        <v>123</v>
      </c>
      <c r="L412">
        <f>IF(L127="","",L126)</f>
        <v>0</v>
      </c>
      <c r="M412">
        <v>123</v>
      </c>
      <c r="N412">
        <f>N126</f>
        <v>0</v>
      </c>
    </row>
    <row r="413" spans="5:14">
      <c r="E413">
        <v>124</v>
      </c>
      <c r="F413">
        <f>IF(F128="","",F127)</f>
        <v>0</v>
      </c>
      <c r="G413">
        <v>124</v>
      </c>
      <c r="H413">
        <f>H127</f>
        <v>0</v>
      </c>
      <c r="K413">
        <v>124</v>
      </c>
      <c r="L413">
        <f>IF(L128="","",L127)</f>
        <v>0</v>
      </c>
      <c r="M413">
        <v>124</v>
      </c>
      <c r="N413">
        <f>N127</f>
        <v>0</v>
      </c>
    </row>
    <row r="414" spans="5:14">
      <c r="E414">
        <v>125</v>
      </c>
      <c r="F414">
        <f>IF(F129="","",F128)</f>
        <v>0</v>
      </c>
      <c r="G414">
        <v>125</v>
      </c>
      <c r="H414">
        <f>H128</f>
        <v>0</v>
      </c>
      <c r="K414">
        <v>125</v>
      </c>
      <c r="L414">
        <f>IF(L129="","",L128)</f>
        <v>0</v>
      </c>
      <c r="M414">
        <v>125</v>
      </c>
      <c r="N414">
        <f>N128</f>
        <v>0</v>
      </c>
    </row>
    <row r="415" spans="5:14">
      <c r="E415">
        <v>126</v>
      </c>
      <c r="F415">
        <f>IF(F130="","",F129)</f>
        <v>0</v>
      </c>
      <c r="G415">
        <v>126</v>
      </c>
      <c r="H415">
        <f>H129</f>
        <v>0</v>
      </c>
      <c r="K415">
        <v>126</v>
      </c>
      <c r="L415">
        <f>IF(L130="","",L129)</f>
        <v>0</v>
      </c>
      <c r="M415">
        <v>126</v>
      </c>
      <c r="N415">
        <f>N129</f>
        <v>0</v>
      </c>
    </row>
    <row r="416" spans="5:14">
      <c r="E416">
        <v>127</v>
      </c>
      <c r="F416">
        <f>IF(F131="","",F130)</f>
        <v>0</v>
      </c>
      <c r="G416">
        <v>127</v>
      </c>
      <c r="H416">
        <f>H130</f>
        <v>0</v>
      </c>
      <c r="K416">
        <v>127</v>
      </c>
      <c r="L416">
        <f>IF(L131="","",L130)</f>
        <v>0</v>
      </c>
      <c r="M416">
        <v>127</v>
      </c>
      <c r="N416">
        <f>N130</f>
        <v>0</v>
      </c>
    </row>
    <row r="417" spans="5:14">
      <c r="E417">
        <v>128</v>
      </c>
      <c r="F417">
        <f>IF(F132="","",F131)</f>
        <v>0</v>
      </c>
      <c r="G417">
        <v>128</v>
      </c>
      <c r="H417">
        <f>H131</f>
        <v>0</v>
      </c>
      <c r="K417">
        <v>128</v>
      </c>
      <c r="L417">
        <f>IF(L132="","",L131)</f>
        <v>0</v>
      </c>
      <c r="M417">
        <v>128</v>
      </c>
      <c r="N417">
        <f>N131</f>
        <v>0</v>
      </c>
    </row>
    <row r="418" spans="5:14">
      <c r="E418">
        <v>129</v>
      </c>
      <c r="F418">
        <f>IF(F133="","",F132)</f>
        <v>0</v>
      </c>
      <c r="G418">
        <v>129</v>
      </c>
      <c r="H418">
        <f>H132</f>
        <v>0</v>
      </c>
      <c r="K418">
        <v>129</v>
      </c>
      <c r="L418">
        <f>IF(L133="","",L132)</f>
        <v>0</v>
      </c>
      <c r="M418">
        <v>129</v>
      </c>
      <c r="N418">
        <f>N132</f>
        <v>0</v>
      </c>
    </row>
    <row r="419" spans="5:14">
      <c r="E419">
        <v>130</v>
      </c>
      <c r="F419">
        <f>IF(F134="","",F133)</f>
        <v>0</v>
      </c>
      <c r="G419">
        <v>130</v>
      </c>
      <c r="H419">
        <f>H133</f>
        <v>0</v>
      </c>
      <c r="K419">
        <v>130</v>
      </c>
      <c r="L419">
        <f>IF(L134="","",L133)</f>
        <v>0</v>
      </c>
      <c r="M419">
        <v>130</v>
      </c>
      <c r="N419">
        <f>N133</f>
        <v>0</v>
      </c>
    </row>
    <row r="420" spans="5:14">
      <c r="E420">
        <v>131</v>
      </c>
      <c r="F420">
        <f>IF(F135="","",F134)</f>
        <v>0</v>
      </c>
      <c r="G420">
        <v>131</v>
      </c>
      <c r="H420">
        <f>H134</f>
        <v>0</v>
      </c>
      <c r="K420">
        <v>131</v>
      </c>
      <c r="L420">
        <f>IF(L135="","",L134)</f>
        <v>0</v>
      </c>
      <c r="M420">
        <v>131</v>
      </c>
      <c r="N420">
        <f>N134</f>
        <v>0</v>
      </c>
    </row>
    <row r="421" spans="5:14">
      <c r="E421">
        <v>132</v>
      </c>
      <c r="F421">
        <f>IF(F136="","",F135)</f>
        <v>0</v>
      </c>
      <c r="G421">
        <v>132</v>
      </c>
      <c r="H421">
        <f>H135</f>
        <v>0</v>
      </c>
      <c r="K421">
        <v>132</v>
      </c>
      <c r="L421">
        <f>IF(L136="","",L135)</f>
        <v>0</v>
      </c>
      <c r="M421">
        <v>132</v>
      </c>
      <c r="N421">
        <f>N135</f>
        <v>0</v>
      </c>
    </row>
    <row r="422" spans="5:14">
      <c r="E422">
        <v>133</v>
      </c>
      <c r="F422">
        <f>IF(F137="","",F136)</f>
        <v>0</v>
      </c>
      <c r="G422">
        <v>133</v>
      </c>
      <c r="H422">
        <f>H136</f>
        <v>0</v>
      </c>
      <c r="K422">
        <v>133</v>
      </c>
      <c r="L422">
        <f>IF(L137="","",L136)</f>
        <v>0</v>
      </c>
      <c r="M422">
        <v>133</v>
      </c>
      <c r="N422">
        <f>N136</f>
        <v>0</v>
      </c>
    </row>
    <row r="423" spans="5:14">
      <c r="E423">
        <v>134</v>
      </c>
      <c r="F423">
        <f>IF(F138="","",F137)</f>
        <v>0</v>
      </c>
      <c r="G423">
        <v>134</v>
      </c>
      <c r="H423">
        <f>H137</f>
        <v>0</v>
      </c>
      <c r="K423">
        <v>134</v>
      </c>
      <c r="L423">
        <f>IF(L138="","",L137)</f>
        <v>0</v>
      </c>
      <c r="M423">
        <v>134</v>
      </c>
      <c r="N423">
        <f>N137</f>
        <v>0</v>
      </c>
    </row>
    <row r="424" spans="5:14">
      <c r="E424">
        <v>135</v>
      </c>
      <c r="F424">
        <f>IF(F139="","",F138)</f>
        <v>0</v>
      </c>
      <c r="G424">
        <v>135</v>
      </c>
      <c r="H424">
        <f>H138</f>
        <v>0</v>
      </c>
      <c r="K424">
        <v>135</v>
      </c>
      <c r="L424">
        <f>IF(L139="","",L138)</f>
        <v>0</v>
      </c>
      <c r="M424">
        <v>135</v>
      </c>
      <c r="N424">
        <f>N138</f>
        <v>0</v>
      </c>
    </row>
    <row r="425" spans="5:14">
      <c r="E425">
        <v>136</v>
      </c>
      <c r="F425">
        <f>IF(F140="","",F139)</f>
        <v>0</v>
      </c>
      <c r="G425">
        <v>136</v>
      </c>
      <c r="H425">
        <f>H139</f>
        <v>0</v>
      </c>
      <c r="K425">
        <v>136</v>
      </c>
      <c r="L425">
        <f>IF(L140="","",L139)</f>
        <v>0</v>
      </c>
      <c r="M425">
        <v>136</v>
      </c>
      <c r="N425">
        <f>N139</f>
        <v>0</v>
      </c>
    </row>
    <row r="426" spans="5:14">
      <c r="E426">
        <v>137</v>
      </c>
      <c r="F426">
        <f>IF(F141="","",F140)</f>
        <v>0</v>
      </c>
      <c r="G426">
        <v>137</v>
      </c>
      <c r="H426">
        <f>H140</f>
        <v>0</v>
      </c>
      <c r="K426">
        <v>137</v>
      </c>
      <c r="L426">
        <f>IF(L141="","",L140)</f>
        <v>0</v>
      </c>
      <c r="M426">
        <v>137</v>
      </c>
      <c r="N426">
        <f>N140</f>
        <v>0</v>
      </c>
    </row>
    <row r="427" spans="5:14">
      <c r="E427">
        <v>138</v>
      </c>
      <c r="F427">
        <f>IF(F142="","",F141)</f>
        <v>0</v>
      </c>
      <c r="G427">
        <v>138</v>
      </c>
      <c r="H427">
        <f>H141</f>
        <v>0</v>
      </c>
      <c r="K427">
        <v>138</v>
      </c>
      <c r="L427">
        <f>IF(L142="","",L141)</f>
        <v>0</v>
      </c>
      <c r="M427">
        <v>138</v>
      </c>
      <c r="N427">
        <f>N141</f>
        <v>0</v>
      </c>
    </row>
    <row r="428" spans="5:14">
      <c r="E428">
        <v>139</v>
      </c>
      <c r="F428">
        <f>IF(F143="","",F142)</f>
        <v>0</v>
      </c>
      <c r="G428">
        <v>139</v>
      </c>
      <c r="H428">
        <f>H142</f>
        <v>0</v>
      </c>
      <c r="K428">
        <v>139</v>
      </c>
      <c r="L428">
        <f>IF(L143="","",L142)</f>
        <v>0</v>
      </c>
      <c r="M428">
        <v>139</v>
      </c>
      <c r="N428">
        <f>N142</f>
        <v>0</v>
      </c>
    </row>
    <row r="429" spans="5:14">
      <c r="E429">
        <v>140</v>
      </c>
      <c r="F429">
        <f>IF(F144="","",F143)</f>
        <v>0</v>
      </c>
      <c r="G429">
        <v>140</v>
      </c>
      <c r="H429">
        <f>H143</f>
        <v>0</v>
      </c>
      <c r="K429">
        <v>140</v>
      </c>
      <c r="L429">
        <f>IF(L144="","",L143)</f>
        <v>0</v>
      </c>
      <c r="M429">
        <v>140</v>
      </c>
      <c r="N429">
        <f>N143</f>
        <v>0</v>
      </c>
    </row>
    <row r="430" spans="5:14">
      <c r="E430">
        <v>141</v>
      </c>
      <c r="F430">
        <f>IF(F145="","",F144)</f>
        <v>0</v>
      </c>
      <c r="G430">
        <v>141</v>
      </c>
      <c r="H430">
        <f>H144</f>
        <v>0</v>
      </c>
      <c r="K430">
        <v>141</v>
      </c>
      <c r="L430">
        <f>IF(L145="","",L144)</f>
        <v>0</v>
      </c>
      <c r="M430">
        <v>141</v>
      </c>
      <c r="N430">
        <f>N144</f>
        <v>0</v>
      </c>
    </row>
    <row r="431" spans="5:14">
      <c r="E431">
        <v>142</v>
      </c>
      <c r="F431">
        <f>IF(F146="","",F145)</f>
        <v>0</v>
      </c>
      <c r="G431">
        <v>142</v>
      </c>
      <c r="H431">
        <f>H145</f>
        <v>0</v>
      </c>
      <c r="K431">
        <v>142</v>
      </c>
      <c r="L431">
        <f>IF(L146="","",L145)</f>
        <v>0</v>
      </c>
      <c r="M431">
        <v>142</v>
      </c>
      <c r="N431">
        <f>N145</f>
        <v>0</v>
      </c>
    </row>
    <row r="432" spans="5:14">
      <c r="E432">
        <v>0</v>
      </c>
      <c r="F432">
        <v>0</v>
      </c>
      <c r="G432">
        <v>0</v>
      </c>
      <c r="H432">
        <v>0</v>
      </c>
      <c r="K432">
        <v>0</v>
      </c>
      <c r="L432">
        <v>0</v>
      </c>
      <c r="M432">
        <v>0</v>
      </c>
      <c r="N432">
        <v>0</v>
      </c>
    </row>
    <row r="433" spans="4:14">
      <c r="E433">
        <v>1</v>
      </c>
      <c r="F433">
        <v>0</v>
      </c>
      <c r="G433">
        <v>1</v>
      </c>
      <c r="H433">
        <v>0</v>
      </c>
      <c r="K433">
        <v>1</v>
      </c>
      <c r="L433">
        <v>0</v>
      </c>
      <c r="M433">
        <v>1</v>
      </c>
      <c r="N433">
        <v>0</v>
      </c>
    </row>
    <row r="435" spans="4:14">
      <c r="D435" t="s">
        <v>168</v>
      </c>
      <c r="E435" t="s">
        <v>166</v>
      </c>
      <c r="F435" t="s">
        <v>171</v>
      </c>
      <c r="G435" t="s">
        <v>166</v>
      </c>
      <c r="H435" t="s">
        <v>172</v>
      </c>
      <c r="J435" t="s">
        <v>168</v>
      </c>
      <c r="K435" t="s">
        <v>166</v>
      </c>
      <c r="L435" t="s">
        <v>171</v>
      </c>
      <c r="M435" t="s">
        <v>166</v>
      </c>
      <c r="N435" t="s">
        <v>172</v>
      </c>
    </row>
    <row r="436" spans="4:14">
      <c r="E436">
        <f>IFERROR(SMALL(E149:E433,ROW()-ROW($E$436)+1),"")</f>
        <v>0</v>
      </c>
      <c r="F436">
        <f>IFERROR(SMALL(F149:F433,ROW()-ROW($F$436)+1),"")</f>
        <v>0</v>
      </c>
      <c r="G436">
        <f>IFERROR(SMALL(G149:G433,ROW()-ROW($G$436)+1),"")</f>
        <v>0</v>
      </c>
      <c r="H436">
        <f>IFERROR(SMALL(H149:H433,ROW()-ROW($H$436)+1),"")</f>
        <v>0</v>
      </c>
      <c r="K436">
        <f>IFERROR(SMALL(K149:K433,ROW()-ROW($K$436)+1),"")</f>
        <v>0</v>
      </c>
      <c r="L436">
        <f>IFERROR(SMALL(L149:L433,ROW()-ROW($L$436)+1),"")</f>
        <v>0</v>
      </c>
      <c r="M436">
        <f>IFERROR(SMALL(M149:M433,ROW()-ROW($M$436)+1),"")</f>
        <v>0</v>
      </c>
      <c r="N436">
        <f>IFERROR(SMALL(N149:N433,ROW()-ROW($N$436)+1),"")</f>
        <v>0</v>
      </c>
    </row>
    <row r="437" spans="4:14">
      <c r="E437">
        <f>IFERROR(SMALL(E149:E433,ROW()-ROW($E$436)+1),"")</f>
        <v>0</v>
      </c>
      <c r="F437">
        <f>IFERROR(SMALL(F149:F433,ROW()-ROW($F$436)+1),"")</f>
        <v>0</v>
      </c>
      <c r="G437">
        <f>IFERROR(SMALL(G149:G433,ROW()-ROW($G$436)+1),"")</f>
        <v>0</v>
      </c>
      <c r="H437">
        <f>IFERROR(SMALL(H149:H433,ROW()-ROW($H$436)+1),"")</f>
        <v>0</v>
      </c>
      <c r="K437">
        <f>IFERROR(SMALL(K149:K433,ROW()-ROW($K$436)+1),"")</f>
        <v>0</v>
      </c>
      <c r="L437">
        <f>IFERROR(SMALL(L149:L433,ROW()-ROW($L$436)+1),"")</f>
        <v>0</v>
      </c>
      <c r="M437">
        <f>IFERROR(SMALL(M149:M433,ROW()-ROW($M$436)+1),"")</f>
        <v>0</v>
      </c>
      <c r="N437">
        <f>IFERROR(SMALL(N149:N433,ROW()-ROW($N$436)+1),"")</f>
        <v>0</v>
      </c>
    </row>
    <row r="438" spans="4:14">
      <c r="E438">
        <f>IFERROR(SMALL(E149:E433,ROW()-ROW($E$436)+1),"")</f>
        <v>0</v>
      </c>
      <c r="F438">
        <f>IFERROR(SMALL(F149:F433,ROW()-ROW($F$436)+1),"")</f>
        <v>0</v>
      </c>
      <c r="G438">
        <f>IFERROR(SMALL(G149:G433,ROW()-ROW($G$436)+1),"")</f>
        <v>0</v>
      </c>
      <c r="H438">
        <f>IFERROR(SMALL(H149:H433,ROW()-ROW($H$436)+1),"")</f>
        <v>0</v>
      </c>
      <c r="K438">
        <f>IFERROR(SMALL(K149:K433,ROW()-ROW($K$436)+1),"")</f>
        <v>0</v>
      </c>
      <c r="L438">
        <f>IFERROR(SMALL(L149:L433,ROW()-ROW($L$436)+1),"")</f>
        <v>0</v>
      </c>
      <c r="M438">
        <f>IFERROR(SMALL(M149:M433,ROW()-ROW($M$436)+1),"")</f>
        <v>0</v>
      </c>
      <c r="N438">
        <f>IFERROR(SMALL(N149:N433,ROW()-ROW($N$436)+1),"")</f>
        <v>0</v>
      </c>
    </row>
    <row r="439" spans="4:14">
      <c r="E439">
        <f>IFERROR(SMALL(E149:E433,ROW()-ROW($E$436)+1),"")</f>
        <v>0</v>
      </c>
      <c r="F439">
        <f>IFERROR(SMALL(F149:F433,ROW()-ROW($F$436)+1),"")</f>
        <v>0</v>
      </c>
      <c r="G439">
        <f>IFERROR(SMALL(G149:G433,ROW()-ROW($G$436)+1),"")</f>
        <v>0</v>
      </c>
      <c r="H439">
        <f>IFERROR(SMALL(H149:H433,ROW()-ROW($H$436)+1),"")</f>
        <v>0</v>
      </c>
      <c r="K439">
        <f>IFERROR(SMALL(K149:K433,ROW()-ROW($K$436)+1),"")</f>
        <v>0</v>
      </c>
      <c r="L439">
        <f>IFERROR(SMALL(L149:L433,ROW()-ROW($L$436)+1),"")</f>
        <v>0</v>
      </c>
      <c r="M439">
        <f>IFERROR(SMALL(M149:M433,ROW()-ROW($M$436)+1),"")</f>
        <v>0</v>
      </c>
      <c r="N439">
        <f>IFERROR(SMALL(N149:N433,ROW()-ROW($N$436)+1),"")</f>
        <v>0</v>
      </c>
    </row>
    <row r="440" spans="4:14">
      <c r="E440">
        <f>IFERROR(SMALL(E149:E433,ROW()-ROW($E$436)+1),"")</f>
        <v>0</v>
      </c>
      <c r="F440">
        <f>IFERROR(SMALL(F149:F433,ROW()-ROW($F$436)+1),"")</f>
        <v>0</v>
      </c>
      <c r="G440">
        <f>IFERROR(SMALL(G149:G433,ROW()-ROW($G$436)+1),"")</f>
        <v>0</v>
      </c>
      <c r="H440">
        <f>IFERROR(SMALL(H149:H433,ROW()-ROW($H$436)+1),"")</f>
        <v>0</v>
      </c>
      <c r="K440">
        <f>IFERROR(SMALL(K149:K433,ROW()-ROW($K$436)+1),"")</f>
        <v>0</v>
      </c>
      <c r="L440">
        <f>IFERROR(SMALL(L149:L433,ROW()-ROW($L$436)+1),"")</f>
        <v>0</v>
      </c>
      <c r="M440">
        <f>IFERROR(SMALL(M149:M433,ROW()-ROW($M$436)+1),"")</f>
        <v>0</v>
      </c>
      <c r="N440">
        <f>IFERROR(SMALL(N149:N433,ROW()-ROW($N$436)+1),"")</f>
        <v>0</v>
      </c>
    </row>
    <row r="441" spans="4:14">
      <c r="E441">
        <f>IFERROR(SMALL(E149:E433,ROW()-ROW($E$436)+1),"")</f>
        <v>0</v>
      </c>
      <c r="F441">
        <f>IFERROR(SMALL(F149:F433,ROW()-ROW($F$436)+1),"")</f>
        <v>0</v>
      </c>
      <c r="G441">
        <f>IFERROR(SMALL(G149:G433,ROW()-ROW($G$436)+1),"")</f>
        <v>0</v>
      </c>
      <c r="H441">
        <f>IFERROR(SMALL(H149:H433,ROW()-ROW($H$436)+1),"")</f>
        <v>0</v>
      </c>
      <c r="K441">
        <f>IFERROR(SMALL(K149:K433,ROW()-ROW($K$436)+1),"")</f>
        <v>0</v>
      </c>
      <c r="L441">
        <f>IFERROR(SMALL(L149:L433,ROW()-ROW($L$436)+1),"")</f>
        <v>0</v>
      </c>
      <c r="M441">
        <f>IFERROR(SMALL(M149:M433,ROW()-ROW($M$436)+1),"")</f>
        <v>0</v>
      </c>
      <c r="N441">
        <f>IFERROR(SMALL(N149:N433,ROW()-ROW($N$436)+1),"")</f>
        <v>0</v>
      </c>
    </row>
    <row r="442" spans="4:14">
      <c r="E442">
        <f>IFERROR(SMALL(E149:E433,ROW()-ROW($E$436)+1),"")</f>
        <v>0</v>
      </c>
      <c r="F442">
        <f>IFERROR(SMALL(F149:F433,ROW()-ROW($F$436)+1),"")</f>
        <v>0</v>
      </c>
      <c r="G442">
        <f>IFERROR(SMALL(G149:G433,ROW()-ROW($G$436)+1),"")</f>
        <v>0</v>
      </c>
      <c r="H442">
        <f>IFERROR(SMALL(H149:H433,ROW()-ROW($H$436)+1),"")</f>
        <v>0</v>
      </c>
      <c r="K442">
        <f>IFERROR(SMALL(K149:K433,ROW()-ROW($K$436)+1),"")</f>
        <v>0</v>
      </c>
      <c r="L442">
        <f>IFERROR(SMALL(L149:L433,ROW()-ROW($L$436)+1),"")</f>
        <v>0</v>
      </c>
      <c r="M442">
        <f>IFERROR(SMALL(M149:M433,ROW()-ROW($M$436)+1),"")</f>
        <v>0</v>
      </c>
      <c r="N442">
        <f>IFERROR(SMALL(N149:N433,ROW()-ROW($N$436)+1),"")</f>
        <v>0</v>
      </c>
    </row>
    <row r="443" spans="4:14">
      <c r="E443">
        <f>IFERROR(SMALL(E149:E433,ROW()-ROW($E$436)+1),"")</f>
        <v>0</v>
      </c>
      <c r="F443">
        <f>IFERROR(SMALL(F149:F433,ROW()-ROW($F$436)+1),"")</f>
        <v>0</v>
      </c>
      <c r="G443">
        <f>IFERROR(SMALL(G149:G433,ROW()-ROW($G$436)+1),"")</f>
        <v>0</v>
      </c>
      <c r="H443">
        <f>IFERROR(SMALL(H149:H433,ROW()-ROW($H$436)+1),"")</f>
        <v>0</v>
      </c>
      <c r="K443">
        <f>IFERROR(SMALL(K149:K433,ROW()-ROW($K$436)+1),"")</f>
        <v>0</v>
      </c>
      <c r="L443">
        <f>IFERROR(SMALL(L149:L433,ROW()-ROW($L$436)+1),"")</f>
        <v>0</v>
      </c>
      <c r="M443">
        <f>IFERROR(SMALL(M149:M433,ROW()-ROW($M$436)+1),"")</f>
        <v>0</v>
      </c>
      <c r="N443">
        <f>IFERROR(SMALL(N149:N433,ROW()-ROW($N$436)+1),"")</f>
        <v>0</v>
      </c>
    </row>
    <row r="444" spans="4:14">
      <c r="E444">
        <f>IFERROR(SMALL(E149:E433,ROW()-ROW($E$436)+1),"")</f>
        <v>0</v>
      </c>
      <c r="F444">
        <f>IFERROR(SMALL(F149:F433,ROW()-ROW($F$436)+1),"")</f>
        <v>0</v>
      </c>
      <c r="G444">
        <f>IFERROR(SMALL(G149:G433,ROW()-ROW($G$436)+1),"")</f>
        <v>0</v>
      </c>
      <c r="H444">
        <f>IFERROR(SMALL(H149:H433,ROW()-ROW($H$436)+1),"")</f>
        <v>0</v>
      </c>
      <c r="K444">
        <f>IFERROR(SMALL(K149:K433,ROW()-ROW($K$436)+1),"")</f>
        <v>0</v>
      </c>
      <c r="L444">
        <f>IFERROR(SMALL(L149:L433,ROW()-ROW($L$436)+1),"")</f>
        <v>0</v>
      </c>
      <c r="M444">
        <f>IFERROR(SMALL(M149:M433,ROW()-ROW($M$436)+1),"")</f>
        <v>0</v>
      </c>
      <c r="N444">
        <f>IFERROR(SMALL(N149:N433,ROW()-ROW($N$436)+1),"")</f>
        <v>0</v>
      </c>
    </row>
    <row r="445" spans="4:14">
      <c r="E445">
        <f>IFERROR(SMALL(E149:E433,ROW()-ROW($E$436)+1),"")</f>
        <v>0</v>
      </c>
      <c r="F445">
        <f>IFERROR(SMALL(F149:F433,ROW()-ROW($F$436)+1),"")</f>
        <v>0</v>
      </c>
      <c r="G445">
        <f>IFERROR(SMALL(G149:G433,ROW()-ROW($G$436)+1),"")</f>
        <v>0</v>
      </c>
      <c r="H445">
        <f>IFERROR(SMALL(H149:H433,ROW()-ROW($H$436)+1),"")</f>
        <v>0</v>
      </c>
      <c r="K445">
        <f>IFERROR(SMALL(K149:K433,ROW()-ROW($K$436)+1),"")</f>
        <v>0</v>
      </c>
      <c r="L445">
        <f>IFERROR(SMALL(L149:L433,ROW()-ROW($L$436)+1),"")</f>
        <v>0</v>
      </c>
      <c r="M445">
        <f>IFERROR(SMALL(M149:M433,ROW()-ROW($M$436)+1),"")</f>
        <v>0</v>
      </c>
      <c r="N445">
        <f>IFERROR(SMALL(N149:N433,ROW()-ROW($N$436)+1),"")</f>
        <v>0</v>
      </c>
    </row>
    <row r="446" spans="4:14">
      <c r="E446">
        <f>IFERROR(SMALL(E149:E433,ROW()-ROW($E$436)+1),"")</f>
        <v>0</v>
      </c>
      <c r="F446">
        <f>IFERROR(SMALL(F149:F433,ROW()-ROW($F$436)+1),"")</f>
        <v>0</v>
      </c>
      <c r="G446">
        <f>IFERROR(SMALL(G149:G433,ROW()-ROW($G$436)+1),"")</f>
        <v>0</v>
      </c>
      <c r="H446">
        <f>IFERROR(SMALL(H149:H433,ROW()-ROW($H$436)+1),"")</f>
        <v>0</v>
      </c>
      <c r="K446">
        <f>IFERROR(SMALL(K149:K433,ROW()-ROW($K$436)+1),"")</f>
        <v>0</v>
      </c>
      <c r="L446">
        <f>IFERROR(SMALL(L149:L433,ROW()-ROW($L$436)+1),"")</f>
        <v>0</v>
      </c>
      <c r="M446">
        <f>IFERROR(SMALL(M149:M433,ROW()-ROW($M$436)+1),"")</f>
        <v>0</v>
      </c>
      <c r="N446">
        <f>IFERROR(SMALL(N149:N433,ROW()-ROW($N$436)+1),"")</f>
        <v>0</v>
      </c>
    </row>
    <row r="447" spans="4:14">
      <c r="E447">
        <f>IFERROR(SMALL(E149:E433,ROW()-ROW($E$436)+1),"")</f>
        <v>0</v>
      </c>
      <c r="F447">
        <f>IFERROR(SMALL(F149:F433,ROW()-ROW($F$436)+1),"")</f>
        <v>0</v>
      </c>
      <c r="G447">
        <f>IFERROR(SMALL(G149:G433,ROW()-ROW($G$436)+1),"")</f>
        <v>0</v>
      </c>
      <c r="H447">
        <f>IFERROR(SMALL(H149:H433,ROW()-ROW($H$436)+1),"")</f>
        <v>0</v>
      </c>
      <c r="K447">
        <f>IFERROR(SMALL(K149:K433,ROW()-ROW($K$436)+1),"")</f>
        <v>0</v>
      </c>
      <c r="L447">
        <f>IFERROR(SMALL(L149:L433,ROW()-ROW($L$436)+1),"")</f>
        <v>0</v>
      </c>
      <c r="M447">
        <f>IFERROR(SMALL(M149:M433,ROW()-ROW($M$436)+1),"")</f>
        <v>0</v>
      </c>
      <c r="N447">
        <f>IFERROR(SMALL(N149:N433,ROW()-ROW($N$436)+1),"")</f>
        <v>0</v>
      </c>
    </row>
    <row r="448" spans="4:14">
      <c r="E448">
        <f>IFERROR(SMALL(E149:E433,ROW()-ROW($E$436)+1),"")</f>
        <v>0</v>
      </c>
      <c r="F448">
        <f>IFERROR(SMALL(F149:F433,ROW()-ROW($F$436)+1),"")</f>
        <v>0</v>
      </c>
      <c r="G448">
        <f>IFERROR(SMALL(G149:G433,ROW()-ROW($G$436)+1),"")</f>
        <v>0</v>
      </c>
      <c r="H448">
        <f>IFERROR(SMALL(H149:H433,ROW()-ROW($H$436)+1),"")</f>
        <v>0</v>
      </c>
      <c r="K448">
        <f>IFERROR(SMALL(K149:K433,ROW()-ROW($K$436)+1),"")</f>
        <v>0</v>
      </c>
      <c r="L448">
        <f>IFERROR(SMALL(L149:L433,ROW()-ROW($L$436)+1),"")</f>
        <v>0</v>
      </c>
      <c r="M448">
        <f>IFERROR(SMALL(M149:M433,ROW()-ROW($M$436)+1),"")</f>
        <v>0</v>
      </c>
      <c r="N448">
        <f>IFERROR(SMALL(N149:N433,ROW()-ROW($N$436)+1),"")</f>
        <v>0</v>
      </c>
    </row>
    <row r="449" spans="5:14">
      <c r="E449">
        <f>IFERROR(SMALL(E149:E433,ROW()-ROW($E$436)+1),"")</f>
        <v>0</v>
      </c>
      <c r="F449">
        <f>IFERROR(SMALL(F149:F433,ROW()-ROW($F$436)+1),"")</f>
        <v>0</v>
      </c>
      <c r="G449">
        <f>IFERROR(SMALL(G149:G433,ROW()-ROW($G$436)+1),"")</f>
        <v>0</v>
      </c>
      <c r="H449">
        <f>IFERROR(SMALL(H149:H433,ROW()-ROW($H$436)+1),"")</f>
        <v>0</v>
      </c>
      <c r="K449">
        <f>IFERROR(SMALL(K149:K433,ROW()-ROW($K$436)+1),"")</f>
        <v>0</v>
      </c>
      <c r="L449">
        <f>IFERROR(SMALL(L149:L433,ROW()-ROW($L$436)+1),"")</f>
        <v>0</v>
      </c>
      <c r="M449">
        <f>IFERROR(SMALL(M149:M433,ROW()-ROW($M$436)+1),"")</f>
        <v>0</v>
      </c>
      <c r="N449">
        <f>IFERROR(SMALL(N149:N433,ROW()-ROW($N$436)+1),"")</f>
        <v>0</v>
      </c>
    </row>
    <row r="450" spans="5:14">
      <c r="E450">
        <f>IFERROR(SMALL(E149:E433,ROW()-ROW($E$436)+1),"")</f>
        <v>0</v>
      </c>
      <c r="F450">
        <f>IFERROR(SMALL(F149:F433,ROW()-ROW($F$436)+1),"")</f>
        <v>0</v>
      </c>
      <c r="G450">
        <f>IFERROR(SMALL(G149:G433,ROW()-ROW($G$436)+1),"")</f>
        <v>0</v>
      </c>
      <c r="H450">
        <f>IFERROR(SMALL(H149:H433,ROW()-ROW($H$436)+1),"")</f>
        <v>0</v>
      </c>
      <c r="K450">
        <f>IFERROR(SMALL(K149:K433,ROW()-ROW($K$436)+1),"")</f>
        <v>0</v>
      </c>
      <c r="L450">
        <f>IFERROR(SMALL(L149:L433,ROW()-ROW($L$436)+1),"")</f>
        <v>0</v>
      </c>
      <c r="M450">
        <f>IFERROR(SMALL(M149:M433,ROW()-ROW($M$436)+1),"")</f>
        <v>0</v>
      </c>
      <c r="N450">
        <f>IFERROR(SMALL(N149:N433,ROW()-ROW($N$436)+1),"")</f>
        <v>0</v>
      </c>
    </row>
    <row r="451" spans="5:14">
      <c r="E451">
        <f>IFERROR(SMALL(E149:E433,ROW()-ROW($E$436)+1),"")</f>
        <v>0</v>
      </c>
      <c r="F451">
        <f>IFERROR(SMALL(F149:F433,ROW()-ROW($F$436)+1),"")</f>
        <v>0</v>
      </c>
      <c r="G451">
        <f>IFERROR(SMALL(G149:G433,ROW()-ROW($G$436)+1),"")</f>
        <v>0</v>
      </c>
      <c r="H451">
        <f>IFERROR(SMALL(H149:H433,ROW()-ROW($H$436)+1),"")</f>
        <v>0</v>
      </c>
      <c r="K451">
        <f>IFERROR(SMALL(K149:K433,ROW()-ROW($K$436)+1),"")</f>
        <v>0</v>
      </c>
      <c r="L451">
        <f>IFERROR(SMALL(L149:L433,ROW()-ROW($L$436)+1),"")</f>
        <v>0</v>
      </c>
      <c r="M451">
        <f>IFERROR(SMALL(M149:M433,ROW()-ROW($M$436)+1),"")</f>
        <v>0</v>
      </c>
      <c r="N451">
        <f>IFERROR(SMALL(N149:N433,ROW()-ROW($N$436)+1),"")</f>
        <v>0</v>
      </c>
    </row>
    <row r="452" spans="5:14">
      <c r="E452">
        <f>IFERROR(SMALL(E149:E433,ROW()-ROW($E$436)+1),"")</f>
        <v>0</v>
      </c>
      <c r="F452">
        <f>IFERROR(SMALL(F149:F433,ROW()-ROW($F$436)+1),"")</f>
        <v>0</v>
      </c>
      <c r="G452">
        <f>IFERROR(SMALL(G149:G433,ROW()-ROW($G$436)+1),"")</f>
        <v>0</v>
      </c>
      <c r="H452">
        <f>IFERROR(SMALL(H149:H433,ROW()-ROW($H$436)+1),"")</f>
        <v>0</v>
      </c>
      <c r="K452">
        <f>IFERROR(SMALL(K149:K433,ROW()-ROW($K$436)+1),"")</f>
        <v>0</v>
      </c>
      <c r="L452">
        <f>IFERROR(SMALL(L149:L433,ROW()-ROW($L$436)+1),"")</f>
        <v>0</v>
      </c>
      <c r="M452">
        <f>IFERROR(SMALL(M149:M433,ROW()-ROW($M$436)+1),"")</f>
        <v>0</v>
      </c>
      <c r="N452">
        <f>IFERROR(SMALL(N149:N433,ROW()-ROW($N$436)+1),"")</f>
        <v>0</v>
      </c>
    </row>
    <row r="453" spans="5:14">
      <c r="E453">
        <f>IFERROR(SMALL(E149:E433,ROW()-ROW($E$436)+1),"")</f>
        <v>0</v>
      </c>
      <c r="F453">
        <f>IFERROR(SMALL(F149:F433,ROW()-ROW($F$436)+1),"")</f>
        <v>0</v>
      </c>
      <c r="G453">
        <f>IFERROR(SMALL(G149:G433,ROW()-ROW($G$436)+1),"")</f>
        <v>0</v>
      </c>
      <c r="H453">
        <f>IFERROR(SMALL(H149:H433,ROW()-ROW($H$436)+1),"")</f>
        <v>0</v>
      </c>
      <c r="K453">
        <f>IFERROR(SMALL(K149:K433,ROW()-ROW($K$436)+1),"")</f>
        <v>0</v>
      </c>
      <c r="L453">
        <f>IFERROR(SMALL(L149:L433,ROW()-ROW($L$436)+1),"")</f>
        <v>0</v>
      </c>
      <c r="M453">
        <f>IFERROR(SMALL(M149:M433,ROW()-ROW($M$436)+1),"")</f>
        <v>0</v>
      </c>
      <c r="N453">
        <f>IFERROR(SMALL(N149:N433,ROW()-ROW($N$436)+1),"")</f>
        <v>0</v>
      </c>
    </row>
    <row r="454" spans="5:14">
      <c r="E454">
        <f>IFERROR(SMALL(E149:E433,ROW()-ROW($E$436)+1),"")</f>
        <v>0</v>
      </c>
      <c r="F454">
        <f>IFERROR(SMALL(F149:F433,ROW()-ROW($F$436)+1),"")</f>
        <v>0</v>
      </c>
      <c r="G454">
        <f>IFERROR(SMALL(G149:G433,ROW()-ROW($G$436)+1),"")</f>
        <v>0</v>
      </c>
      <c r="H454">
        <f>IFERROR(SMALL(H149:H433,ROW()-ROW($H$436)+1),"")</f>
        <v>0</v>
      </c>
      <c r="K454">
        <f>IFERROR(SMALL(K149:K433,ROW()-ROW($K$436)+1),"")</f>
        <v>0</v>
      </c>
      <c r="L454">
        <f>IFERROR(SMALL(L149:L433,ROW()-ROW($L$436)+1),"")</f>
        <v>0</v>
      </c>
      <c r="M454">
        <f>IFERROR(SMALL(M149:M433,ROW()-ROW($M$436)+1),"")</f>
        <v>0</v>
      </c>
      <c r="N454">
        <f>IFERROR(SMALL(N149:N433,ROW()-ROW($N$436)+1),"")</f>
        <v>0</v>
      </c>
    </row>
    <row r="455" spans="5:14">
      <c r="E455">
        <f>IFERROR(SMALL(E149:E433,ROW()-ROW($E$436)+1),"")</f>
        <v>0</v>
      </c>
      <c r="F455">
        <f>IFERROR(SMALL(F149:F433,ROW()-ROW($F$436)+1),"")</f>
        <v>0</v>
      </c>
      <c r="G455">
        <f>IFERROR(SMALL(G149:G433,ROW()-ROW($G$436)+1),"")</f>
        <v>0</v>
      </c>
      <c r="H455">
        <f>IFERROR(SMALL(H149:H433,ROW()-ROW($H$436)+1),"")</f>
        <v>0</v>
      </c>
      <c r="K455">
        <f>IFERROR(SMALL(K149:K433,ROW()-ROW($K$436)+1),"")</f>
        <v>0</v>
      </c>
      <c r="L455">
        <f>IFERROR(SMALL(L149:L433,ROW()-ROW($L$436)+1),"")</f>
        <v>0</v>
      </c>
      <c r="M455">
        <f>IFERROR(SMALL(M149:M433,ROW()-ROW($M$436)+1),"")</f>
        <v>0</v>
      </c>
      <c r="N455">
        <f>IFERROR(SMALL(N149:N433,ROW()-ROW($N$436)+1),"")</f>
        <v>0</v>
      </c>
    </row>
    <row r="456" spans="5:14">
      <c r="E456">
        <f>IFERROR(SMALL(E149:E433,ROW()-ROW($E$436)+1),"")</f>
        <v>0</v>
      </c>
      <c r="F456">
        <f>IFERROR(SMALL(F149:F433,ROW()-ROW($F$436)+1),"")</f>
        <v>0</v>
      </c>
      <c r="G456">
        <f>IFERROR(SMALL(G149:G433,ROW()-ROW($G$436)+1),"")</f>
        <v>0</v>
      </c>
      <c r="H456">
        <f>IFERROR(SMALL(H149:H433,ROW()-ROW($H$436)+1),"")</f>
        <v>0</v>
      </c>
      <c r="K456">
        <f>IFERROR(SMALL(K149:K433,ROW()-ROW($K$436)+1),"")</f>
        <v>0</v>
      </c>
      <c r="L456">
        <f>IFERROR(SMALL(L149:L433,ROW()-ROW($L$436)+1),"")</f>
        <v>0</v>
      </c>
      <c r="M456">
        <f>IFERROR(SMALL(M149:M433,ROW()-ROW($M$436)+1),"")</f>
        <v>0</v>
      </c>
      <c r="N456">
        <f>IFERROR(SMALL(N149:N433,ROW()-ROW($N$436)+1),"")</f>
        <v>0</v>
      </c>
    </row>
    <row r="457" spans="5:14">
      <c r="E457">
        <f>IFERROR(SMALL(E149:E433,ROW()-ROW($E$436)+1),"")</f>
        <v>0</v>
      </c>
      <c r="F457">
        <f>IFERROR(SMALL(F149:F433,ROW()-ROW($F$436)+1),"")</f>
        <v>0</v>
      </c>
      <c r="G457">
        <f>IFERROR(SMALL(G149:G433,ROW()-ROW($G$436)+1),"")</f>
        <v>0</v>
      </c>
      <c r="H457">
        <f>IFERROR(SMALL(H149:H433,ROW()-ROW($H$436)+1),"")</f>
        <v>0</v>
      </c>
      <c r="K457">
        <f>IFERROR(SMALL(K149:K433,ROW()-ROW($K$436)+1),"")</f>
        <v>0</v>
      </c>
      <c r="L457">
        <f>IFERROR(SMALL(L149:L433,ROW()-ROW($L$436)+1),"")</f>
        <v>0</v>
      </c>
      <c r="M457">
        <f>IFERROR(SMALL(M149:M433,ROW()-ROW($M$436)+1),"")</f>
        <v>0</v>
      </c>
      <c r="N457">
        <f>IFERROR(SMALL(N149:N433,ROW()-ROW($N$436)+1),"")</f>
        <v>0</v>
      </c>
    </row>
    <row r="458" spans="5:14">
      <c r="E458">
        <f>IFERROR(SMALL(E149:E433,ROW()-ROW($E$436)+1),"")</f>
        <v>0</v>
      </c>
      <c r="F458">
        <f>IFERROR(SMALL(F149:F433,ROW()-ROW($F$436)+1),"")</f>
        <v>0</v>
      </c>
      <c r="G458">
        <f>IFERROR(SMALL(G149:G433,ROW()-ROW($G$436)+1),"")</f>
        <v>0</v>
      </c>
      <c r="H458">
        <f>IFERROR(SMALL(H149:H433,ROW()-ROW($H$436)+1),"")</f>
        <v>0</v>
      </c>
      <c r="K458">
        <f>IFERROR(SMALL(K149:K433,ROW()-ROW($K$436)+1),"")</f>
        <v>0</v>
      </c>
      <c r="L458">
        <f>IFERROR(SMALL(L149:L433,ROW()-ROW($L$436)+1),"")</f>
        <v>0</v>
      </c>
      <c r="M458">
        <f>IFERROR(SMALL(M149:M433,ROW()-ROW($M$436)+1),"")</f>
        <v>0</v>
      </c>
      <c r="N458">
        <f>IFERROR(SMALL(N149:N433,ROW()-ROW($N$436)+1),"")</f>
        <v>0</v>
      </c>
    </row>
    <row r="459" spans="5:14">
      <c r="E459">
        <f>IFERROR(SMALL(E149:E433,ROW()-ROW($E$436)+1),"")</f>
        <v>0</v>
      </c>
      <c r="F459">
        <f>IFERROR(SMALL(F149:F433,ROW()-ROW($F$436)+1),"")</f>
        <v>0</v>
      </c>
      <c r="G459">
        <f>IFERROR(SMALL(G149:G433,ROW()-ROW($G$436)+1),"")</f>
        <v>0</v>
      </c>
      <c r="H459">
        <f>IFERROR(SMALL(H149:H433,ROW()-ROW($H$436)+1),"")</f>
        <v>0</v>
      </c>
      <c r="K459">
        <f>IFERROR(SMALL(K149:K433,ROW()-ROW($K$436)+1),"")</f>
        <v>0</v>
      </c>
      <c r="L459">
        <f>IFERROR(SMALL(L149:L433,ROW()-ROW($L$436)+1),"")</f>
        <v>0</v>
      </c>
      <c r="M459">
        <f>IFERROR(SMALL(M149:M433,ROW()-ROW($M$436)+1),"")</f>
        <v>0</v>
      </c>
      <c r="N459">
        <f>IFERROR(SMALL(N149:N433,ROW()-ROW($N$436)+1),"")</f>
        <v>0</v>
      </c>
    </row>
    <row r="460" spans="5:14">
      <c r="E460">
        <f>IFERROR(SMALL(E149:E433,ROW()-ROW($E$436)+1),"")</f>
        <v>0</v>
      </c>
      <c r="F460">
        <f>IFERROR(SMALL(F149:F433,ROW()-ROW($F$436)+1),"")</f>
        <v>0</v>
      </c>
      <c r="G460">
        <f>IFERROR(SMALL(G149:G433,ROW()-ROW($G$436)+1),"")</f>
        <v>0</v>
      </c>
      <c r="H460">
        <f>IFERROR(SMALL(H149:H433,ROW()-ROW($H$436)+1),"")</f>
        <v>0</v>
      </c>
      <c r="K460">
        <f>IFERROR(SMALL(K149:K433,ROW()-ROW($K$436)+1),"")</f>
        <v>0</v>
      </c>
      <c r="L460">
        <f>IFERROR(SMALL(L149:L433,ROW()-ROW($L$436)+1),"")</f>
        <v>0</v>
      </c>
      <c r="M460">
        <f>IFERROR(SMALL(M149:M433,ROW()-ROW($M$436)+1),"")</f>
        <v>0</v>
      </c>
      <c r="N460">
        <f>IFERROR(SMALL(N149:N433,ROW()-ROW($N$436)+1),"")</f>
        <v>0</v>
      </c>
    </row>
    <row r="461" spans="5:14">
      <c r="E461">
        <f>IFERROR(SMALL(E149:E433,ROW()-ROW($E$436)+1),"")</f>
        <v>0</v>
      </c>
      <c r="F461">
        <f>IFERROR(SMALL(F149:F433,ROW()-ROW($F$436)+1),"")</f>
        <v>0</v>
      </c>
      <c r="G461">
        <f>IFERROR(SMALL(G149:G433,ROW()-ROW($G$436)+1),"")</f>
        <v>0</v>
      </c>
      <c r="H461">
        <f>IFERROR(SMALL(H149:H433,ROW()-ROW($H$436)+1),"")</f>
        <v>0</v>
      </c>
      <c r="K461">
        <f>IFERROR(SMALL(K149:K433,ROW()-ROW($K$436)+1),"")</f>
        <v>0</v>
      </c>
      <c r="L461">
        <f>IFERROR(SMALL(L149:L433,ROW()-ROW($L$436)+1),"")</f>
        <v>0</v>
      </c>
      <c r="M461">
        <f>IFERROR(SMALL(M149:M433,ROW()-ROW($M$436)+1),"")</f>
        <v>0</v>
      </c>
      <c r="N461">
        <f>IFERROR(SMALL(N149:N433,ROW()-ROW($N$436)+1),"")</f>
        <v>0</v>
      </c>
    </row>
    <row r="462" spans="5:14">
      <c r="E462">
        <f>IFERROR(SMALL(E149:E433,ROW()-ROW($E$436)+1),"")</f>
        <v>0</v>
      </c>
      <c r="F462">
        <f>IFERROR(SMALL(F149:F433,ROW()-ROW($F$436)+1),"")</f>
        <v>0</v>
      </c>
      <c r="G462">
        <f>IFERROR(SMALL(G149:G433,ROW()-ROW($G$436)+1),"")</f>
        <v>0</v>
      </c>
      <c r="H462">
        <f>IFERROR(SMALL(H149:H433,ROW()-ROW($H$436)+1),"")</f>
        <v>0</v>
      </c>
      <c r="K462">
        <f>IFERROR(SMALL(K149:K433,ROW()-ROW($K$436)+1),"")</f>
        <v>0</v>
      </c>
      <c r="L462">
        <f>IFERROR(SMALL(L149:L433,ROW()-ROW($L$436)+1),"")</f>
        <v>0</v>
      </c>
      <c r="M462">
        <f>IFERROR(SMALL(M149:M433,ROW()-ROW($M$436)+1),"")</f>
        <v>0</v>
      </c>
      <c r="N462">
        <f>IFERROR(SMALL(N149:N433,ROW()-ROW($N$436)+1),"")</f>
        <v>0</v>
      </c>
    </row>
    <row r="463" spans="5:14">
      <c r="E463">
        <f>IFERROR(SMALL(E149:E433,ROW()-ROW($E$436)+1),"")</f>
        <v>0</v>
      </c>
      <c r="F463">
        <f>IFERROR(SMALL(F149:F433,ROW()-ROW($F$436)+1),"")</f>
        <v>0</v>
      </c>
      <c r="G463">
        <f>IFERROR(SMALL(G149:G433,ROW()-ROW($G$436)+1),"")</f>
        <v>0</v>
      </c>
      <c r="H463">
        <f>IFERROR(SMALL(H149:H433,ROW()-ROW($H$436)+1),"")</f>
        <v>0</v>
      </c>
      <c r="K463">
        <f>IFERROR(SMALL(K149:K433,ROW()-ROW($K$436)+1),"")</f>
        <v>0</v>
      </c>
      <c r="L463">
        <f>IFERROR(SMALL(L149:L433,ROW()-ROW($L$436)+1),"")</f>
        <v>0</v>
      </c>
      <c r="M463">
        <f>IFERROR(SMALL(M149:M433,ROW()-ROW($M$436)+1),"")</f>
        <v>0</v>
      </c>
      <c r="N463">
        <f>IFERROR(SMALL(N149:N433,ROW()-ROW($N$436)+1),"")</f>
        <v>0</v>
      </c>
    </row>
    <row r="464" spans="5:14">
      <c r="E464">
        <f>IFERROR(SMALL(E149:E433,ROW()-ROW($E$436)+1),"")</f>
        <v>0</v>
      </c>
      <c r="F464">
        <f>IFERROR(SMALL(F149:F433,ROW()-ROW($F$436)+1),"")</f>
        <v>0</v>
      </c>
      <c r="G464">
        <f>IFERROR(SMALL(G149:G433,ROW()-ROW($G$436)+1),"")</f>
        <v>0</v>
      </c>
      <c r="H464">
        <f>IFERROR(SMALL(H149:H433,ROW()-ROW($H$436)+1),"")</f>
        <v>0</v>
      </c>
      <c r="K464">
        <f>IFERROR(SMALL(K149:K433,ROW()-ROW($K$436)+1),"")</f>
        <v>0</v>
      </c>
      <c r="L464">
        <f>IFERROR(SMALL(L149:L433,ROW()-ROW($L$436)+1),"")</f>
        <v>0</v>
      </c>
      <c r="M464">
        <f>IFERROR(SMALL(M149:M433,ROW()-ROW($M$436)+1),"")</f>
        <v>0</v>
      </c>
      <c r="N464">
        <f>IFERROR(SMALL(N149:N433,ROW()-ROW($N$436)+1),"")</f>
        <v>0</v>
      </c>
    </row>
    <row r="465" spans="5:14">
      <c r="E465">
        <f>IFERROR(SMALL(E149:E433,ROW()-ROW($E$436)+1),"")</f>
        <v>0</v>
      </c>
      <c r="F465">
        <f>IFERROR(SMALL(F149:F433,ROW()-ROW($F$436)+1),"")</f>
        <v>0</v>
      </c>
      <c r="G465">
        <f>IFERROR(SMALL(G149:G433,ROW()-ROW($G$436)+1),"")</f>
        <v>0</v>
      </c>
      <c r="H465">
        <f>IFERROR(SMALL(H149:H433,ROW()-ROW($H$436)+1),"")</f>
        <v>0</v>
      </c>
      <c r="K465">
        <f>IFERROR(SMALL(K149:K433,ROW()-ROW($K$436)+1),"")</f>
        <v>0</v>
      </c>
      <c r="L465">
        <f>IFERROR(SMALL(L149:L433,ROW()-ROW($L$436)+1),"")</f>
        <v>0</v>
      </c>
      <c r="M465">
        <f>IFERROR(SMALL(M149:M433,ROW()-ROW($M$436)+1),"")</f>
        <v>0</v>
      </c>
      <c r="N465">
        <f>IFERROR(SMALL(N149:N433,ROW()-ROW($N$436)+1),"")</f>
        <v>0</v>
      </c>
    </row>
    <row r="466" spans="5:14">
      <c r="E466">
        <f>IFERROR(SMALL(E149:E433,ROW()-ROW($E$436)+1),"")</f>
        <v>0</v>
      </c>
      <c r="F466">
        <f>IFERROR(SMALL(F149:F433,ROW()-ROW($F$436)+1),"")</f>
        <v>0</v>
      </c>
      <c r="G466">
        <f>IFERROR(SMALL(G149:G433,ROW()-ROW($G$436)+1),"")</f>
        <v>0</v>
      </c>
      <c r="H466">
        <f>IFERROR(SMALL(H149:H433,ROW()-ROW($H$436)+1),"")</f>
        <v>0</v>
      </c>
      <c r="K466">
        <f>IFERROR(SMALL(K149:K433,ROW()-ROW($K$436)+1),"")</f>
        <v>0</v>
      </c>
      <c r="L466">
        <f>IFERROR(SMALL(L149:L433,ROW()-ROW($L$436)+1),"")</f>
        <v>0</v>
      </c>
      <c r="M466">
        <f>IFERROR(SMALL(M149:M433,ROW()-ROW($M$436)+1),"")</f>
        <v>0</v>
      </c>
      <c r="N466">
        <f>IFERROR(SMALL(N149:N433,ROW()-ROW($N$436)+1),"")</f>
        <v>0</v>
      </c>
    </row>
    <row r="467" spans="5:14">
      <c r="E467">
        <f>IFERROR(SMALL(E149:E433,ROW()-ROW($E$436)+1),"")</f>
        <v>0</v>
      </c>
      <c r="F467">
        <f>IFERROR(SMALL(F149:F433,ROW()-ROW($F$436)+1),"")</f>
        <v>0</v>
      </c>
      <c r="G467">
        <f>IFERROR(SMALL(G149:G433,ROW()-ROW($G$436)+1),"")</f>
        <v>0</v>
      </c>
      <c r="H467">
        <f>IFERROR(SMALL(H149:H433,ROW()-ROW($H$436)+1),"")</f>
        <v>0</v>
      </c>
      <c r="K467">
        <f>IFERROR(SMALL(K149:K433,ROW()-ROW($K$436)+1),"")</f>
        <v>0</v>
      </c>
      <c r="L467">
        <f>IFERROR(SMALL(L149:L433,ROW()-ROW($L$436)+1),"")</f>
        <v>0</v>
      </c>
      <c r="M467">
        <f>IFERROR(SMALL(M149:M433,ROW()-ROW($M$436)+1),"")</f>
        <v>0</v>
      </c>
      <c r="N467">
        <f>IFERROR(SMALL(N149:N433,ROW()-ROW($N$436)+1),"")</f>
        <v>0</v>
      </c>
    </row>
    <row r="468" spans="5:14">
      <c r="E468">
        <f>IFERROR(SMALL(E149:E433,ROW()-ROW($E$436)+1),"")</f>
        <v>0</v>
      </c>
      <c r="F468">
        <f>IFERROR(SMALL(F149:F433,ROW()-ROW($F$436)+1),"")</f>
        <v>0</v>
      </c>
      <c r="G468">
        <f>IFERROR(SMALL(G149:G433,ROW()-ROW($G$436)+1),"")</f>
        <v>0</v>
      </c>
      <c r="H468">
        <f>IFERROR(SMALL(H149:H433,ROW()-ROW($H$436)+1),"")</f>
        <v>0</v>
      </c>
      <c r="K468">
        <f>IFERROR(SMALL(K149:K433,ROW()-ROW($K$436)+1),"")</f>
        <v>0</v>
      </c>
      <c r="L468">
        <f>IFERROR(SMALL(L149:L433,ROW()-ROW($L$436)+1),"")</f>
        <v>0</v>
      </c>
      <c r="M468">
        <f>IFERROR(SMALL(M149:M433,ROW()-ROW($M$436)+1),"")</f>
        <v>0</v>
      </c>
      <c r="N468">
        <f>IFERROR(SMALL(N149:N433,ROW()-ROW($N$436)+1),"")</f>
        <v>0</v>
      </c>
    </row>
    <row r="469" spans="5:14">
      <c r="E469">
        <f>IFERROR(SMALL(E149:E433,ROW()-ROW($E$436)+1),"")</f>
        <v>0</v>
      </c>
      <c r="F469">
        <f>IFERROR(SMALL(F149:F433,ROW()-ROW($F$436)+1),"")</f>
        <v>0</v>
      </c>
      <c r="G469">
        <f>IFERROR(SMALL(G149:G433,ROW()-ROW($G$436)+1),"")</f>
        <v>0</v>
      </c>
      <c r="H469">
        <f>IFERROR(SMALL(H149:H433,ROW()-ROW($H$436)+1),"")</f>
        <v>0</v>
      </c>
      <c r="K469">
        <f>IFERROR(SMALL(K149:K433,ROW()-ROW($K$436)+1),"")</f>
        <v>0</v>
      </c>
      <c r="L469">
        <f>IFERROR(SMALL(L149:L433,ROW()-ROW($L$436)+1),"")</f>
        <v>0</v>
      </c>
      <c r="M469">
        <f>IFERROR(SMALL(M149:M433,ROW()-ROW($M$436)+1),"")</f>
        <v>0</v>
      </c>
      <c r="N469">
        <f>IFERROR(SMALL(N149:N433,ROW()-ROW($N$436)+1),"")</f>
        <v>0</v>
      </c>
    </row>
    <row r="470" spans="5:14">
      <c r="E470">
        <f>IFERROR(SMALL(E149:E433,ROW()-ROW($E$436)+1),"")</f>
        <v>0</v>
      </c>
      <c r="F470">
        <f>IFERROR(SMALL(F149:F433,ROW()-ROW($F$436)+1),"")</f>
        <v>0</v>
      </c>
      <c r="G470">
        <f>IFERROR(SMALL(G149:G433,ROW()-ROW($G$436)+1),"")</f>
        <v>0</v>
      </c>
      <c r="H470">
        <f>IFERROR(SMALL(H149:H433,ROW()-ROW($H$436)+1),"")</f>
        <v>0</v>
      </c>
      <c r="K470">
        <f>IFERROR(SMALL(K149:K433,ROW()-ROW($K$436)+1),"")</f>
        <v>0</v>
      </c>
      <c r="L470">
        <f>IFERROR(SMALL(L149:L433,ROW()-ROW($L$436)+1),"")</f>
        <v>0</v>
      </c>
      <c r="M470">
        <f>IFERROR(SMALL(M149:M433,ROW()-ROW($M$436)+1),"")</f>
        <v>0</v>
      </c>
      <c r="N470">
        <f>IFERROR(SMALL(N149:N433,ROW()-ROW($N$436)+1),"")</f>
        <v>0</v>
      </c>
    </row>
    <row r="471" spans="5:14">
      <c r="E471">
        <f>IFERROR(SMALL(E149:E433,ROW()-ROW($E$436)+1),"")</f>
        <v>0</v>
      </c>
      <c r="F471">
        <f>IFERROR(SMALL(F149:F433,ROW()-ROW($F$436)+1),"")</f>
        <v>0</v>
      </c>
      <c r="G471">
        <f>IFERROR(SMALL(G149:G433,ROW()-ROW($G$436)+1),"")</f>
        <v>0</v>
      </c>
      <c r="H471">
        <f>IFERROR(SMALL(H149:H433,ROW()-ROW($H$436)+1),"")</f>
        <v>0</v>
      </c>
      <c r="K471">
        <f>IFERROR(SMALL(K149:K433,ROW()-ROW($K$436)+1),"")</f>
        <v>0</v>
      </c>
      <c r="L471">
        <f>IFERROR(SMALL(L149:L433,ROW()-ROW($L$436)+1),"")</f>
        <v>0</v>
      </c>
      <c r="M471">
        <f>IFERROR(SMALL(M149:M433,ROW()-ROW($M$436)+1),"")</f>
        <v>0</v>
      </c>
      <c r="N471">
        <f>IFERROR(SMALL(N149:N433,ROW()-ROW($N$436)+1),"")</f>
        <v>0</v>
      </c>
    </row>
    <row r="472" spans="5:14">
      <c r="E472">
        <f>IFERROR(SMALL(E149:E433,ROW()-ROW($E$436)+1),"")</f>
        <v>0</v>
      </c>
      <c r="F472">
        <f>IFERROR(SMALL(F149:F433,ROW()-ROW($F$436)+1),"")</f>
        <v>0</v>
      </c>
      <c r="G472">
        <f>IFERROR(SMALL(G149:G433,ROW()-ROW($G$436)+1),"")</f>
        <v>0</v>
      </c>
      <c r="H472">
        <f>IFERROR(SMALL(H149:H433,ROW()-ROW($H$436)+1),"")</f>
        <v>0</v>
      </c>
      <c r="K472">
        <f>IFERROR(SMALL(K149:K433,ROW()-ROW($K$436)+1),"")</f>
        <v>0</v>
      </c>
      <c r="L472">
        <f>IFERROR(SMALL(L149:L433,ROW()-ROW($L$436)+1),"")</f>
        <v>0</v>
      </c>
      <c r="M472">
        <f>IFERROR(SMALL(M149:M433,ROW()-ROW($M$436)+1),"")</f>
        <v>0</v>
      </c>
      <c r="N472">
        <f>IFERROR(SMALL(N149:N433,ROW()-ROW($N$436)+1),"")</f>
        <v>0</v>
      </c>
    </row>
    <row r="473" spans="5:14">
      <c r="E473">
        <f>IFERROR(SMALL(E149:E433,ROW()-ROW($E$436)+1),"")</f>
        <v>0</v>
      </c>
      <c r="F473">
        <f>IFERROR(SMALL(F149:F433,ROW()-ROW($F$436)+1),"")</f>
        <v>0</v>
      </c>
      <c r="G473">
        <f>IFERROR(SMALL(G149:G433,ROW()-ROW($G$436)+1),"")</f>
        <v>0</v>
      </c>
      <c r="H473">
        <f>IFERROR(SMALL(H149:H433,ROW()-ROW($H$436)+1),"")</f>
        <v>0</v>
      </c>
      <c r="K473">
        <f>IFERROR(SMALL(K149:K433,ROW()-ROW($K$436)+1),"")</f>
        <v>0</v>
      </c>
      <c r="L473">
        <f>IFERROR(SMALL(L149:L433,ROW()-ROW($L$436)+1),"")</f>
        <v>0</v>
      </c>
      <c r="M473">
        <f>IFERROR(SMALL(M149:M433,ROW()-ROW($M$436)+1),"")</f>
        <v>0</v>
      </c>
      <c r="N473">
        <f>IFERROR(SMALL(N149:N433,ROW()-ROW($N$436)+1),"")</f>
        <v>0</v>
      </c>
    </row>
    <row r="474" spans="5:14">
      <c r="E474">
        <f>IFERROR(SMALL(E149:E433,ROW()-ROW($E$436)+1),"")</f>
        <v>0</v>
      </c>
      <c r="F474">
        <f>IFERROR(SMALL(F149:F433,ROW()-ROW($F$436)+1),"")</f>
        <v>0</v>
      </c>
      <c r="G474">
        <f>IFERROR(SMALL(G149:G433,ROW()-ROW($G$436)+1),"")</f>
        <v>0</v>
      </c>
      <c r="H474">
        <f>IFERROR(SMALL(H149:H433,ROW()-ROW($H$436)+1),"")</f>
        <v>0</v>
      </c>
      <c r="K474">
        <f>IFERROR(SMALL(K149:K433,ROW()-ROW($K$436)+1),"")</f>
        <v>0</v>
      </c>
      <c r="L474">
        <f>IFERROR(SMALL(L149:L433,ROW()-ROW($L$436)+1),"")</f>
        <v>0</v>
      </c>
      <c r="M474">
        <f>IFERROR(SMALL(M149:M433,ROW()-ROW($M$436)+1),"")</f>
        <v>0</v>
      </c>
      <c r="N474">
        <f>IFERROR(SMALL(N149:N433,ROW()-ROW($N$436)+1),"")</f>
        <v>0</v>
      </c>
    </row>
    <row r="475" spans="5:14">
      <c r="E475">
        <f>IFERROR(SMALL(E149:E433,ROW()-ROW($E$436)+1),"")</f>
        <v>0</v>
      </c>
      <c r="F475">
        <f>IFERROR(SMALL(F149:F433,ROW()-ROW($F$436)+1),"")</f>
        <v>0</v>
      </c>
      <c r="G475">
        <f>IFERROR(SMALL(G149:G433,ROW()-ROW($G$436)+1),"")</f>
        <v>0</v>
      </c>
      <c r="H475">
        <f>IFERROR(SMALL(H149:H433,ROW()-ROW($H$436)+1),"")</f>
        <v>0</v>
      </c>
      <c r="K475">
        <f>IFERROR(SMALL(K149:K433,ROW()-ROW($K$436)+1),"")</f>
        <v>0</v>
      </c>
      <c r="L475">
        <f>IFERROR(SMALL(L149:L433,ROW()-ROW($L$436)+1),"")</f>
        <v>0</v>
      </c>
      <c r="M475">
        <f>IFERROR(SMALL(M149:M433,ROW()-ROW($M$436)+1),"")</f>
        <v>0</v>
      </c>
      <c r="N475">
        <f>IFERROR(SMALL(N149:N433,ROW()-ROW($N$436)+1),"")</f>
        <v>0</v>
      </c>
    </row>
    <row r="476" spans="5:14">
      <c r="E476">
        <f>IFERROR(SMALL(E149:E433,ROW()-ROW($E$436)+1),"")</f>
        <v>0</v>
      </c>
      <c r="F476">
        <f>IFERROR(SMALL(F149:F433,ROW()-ROW($F$436)+1),"")</f>
        <v>0</v>
      </c>
      <c r="G476">
        <f>IFERROR(SMALL(G149:G433,ROW()-ROW($G$436)+1),"")</f>
        <v>0</v>
      </c>
      <c r="H476">
        <f>IFERROR(SMALL(H149:H433,ROW()-ROW($H$436)+1),"")</f>
        <v>0</v>
      </c>
      <c r="K476">
        <f>IFERROR(SMALL(K149:K433,ROW()-ROW($K$436)+1),"")</f>
        <v>0</v>
      </c>
      <c r="L476">
        <f>IFERROR(SMALL(L149:L433,ROW()-ROW($L$436)+1),"")</f>
        <v>0</v>
      </c>
      <c r="M476">
        <f>IFERROR(SMALL(M149:M433,ROW()-ROW($M$436)+1),"")</f>
        <v>0</v>
      </c>
      <c r="N476">
        <f>IFERROR(SMALL(N149:N433,ROW()-ROW($N$436)+1),"")</f>
        <v>0</v>
      </c>
    </row>
    <row r="477" spans="5:14">
      <c r="E477">
        <f>IFERROR(SMALL(E149:E433,ROW()-ROW($E$436)+1),"")</f>
        <v>0</v>
      </c>
      <c r="F477">
        <f>IFERROR(SMALL(F149:F433,ROW()-ROW($F$436)+1),"")</f>
        <v>0</v>
      </c>
      <c r="G477">
        <f>IFERROR(SMALL(G149:G433,ROW()-ROW($G$436)+1),"")</f>
        <v>0</v>
      </c>
      <c r="H477">
        <f>IFERROR(SMALL(H149:H433,ROW()-ROW($H$436)+1),"")</f>
        <v>0</v>
      </c>
      <c r="K477">
        <f>IFERROR(SMALL(K149:K433,ROW()-ROW($K$436)+1),"")</f>
        <v>0</v>
      </c>
      <c r="L477">
        <f>IFERROR(SMALL(L149:L433,ROW()-ROW($L$436)+1),"")</f>
        <v>0</v>
      </c>
      <c r="M477">
        <f>IFERROR(SMALL(M149:M433,ROW()-ROW($M$436)+1),"")</f>
        <v>0</v>
      </c>
      <c r="N477">
        <f>IFERROR(SMALL(N149:N433,ROW()-ROW($N$436)+1),"")</f>
        <v>0</v>
      </c>
    </row>
    <row r="478" spans="5:14">
      <c r="E478">
        <f>IFERROR(SMALL(E149:E433,ROW()-ROW($E$436)+1),"")</f>
        <v>0</v>
      </c>
      <c r="F478">
        <f>IFERROR(SMALL(F149:F433,ROW()-ROW($F$436)+1),"")</f>
        <v>0</v>
      </c>
      <c r="G478">
        <f>IFERROR(SMALL(G149:G433,ROW()-ROW($G$436)+1),"")</f>
        <v>0</v>
      </c>
      <c r="H478">
        <f>IFERROR(SMALL(H149:H433,ROW()-ROW($H$436)+1),"")</f>
        <v>0</v>
      </c>
      <c r="K478">
        <f>IFERROR(SMALL(K149:K433,ROW()-ROW($K$436)+1),"")</f>
        <v>0</v>
      </c>
      <c r="L478">
        <f>IFERROR(SMALL(L149:L433,ROW()-ROW($L$436)+1),"")</f>
        <v>0</v>
      </c>
      <c r="M478">
        <f>IFERROR(SMALL(M149:M433,ROW()-ROW($M$436)+1),"")</f>
        <v>0</v>
      </c>
      <c r="N478">
        <f>IFERROR(SMALL(N149:N433,ROW()-ROW($N$436)+1),"")</f>
        <v>0</v>
      </c>
    </row>
    <row r="479" spans="5:14">
      <c r="E479">
        <f>IFERROR(SMALL(E149:E433,ROW()-ROW($E$436)+1),"")</f>
        <v>0</v>
      </c>
      <c r="F479">
        <f>IFERROR(SMALL(F149:F433,ROW()-ROW($F$436)+1),"")</f>
        <v>0</v>
      </c>
      <c r="G479">
        <f>IFERROR(SMALL(G149:G433,ROW()-ROW($G$436)+1),"")</f>
        <v>0</v>
      </c>
      <c r="H479">
        <f>IFERROR(SMALL(H149:H433,ROW()-ROW($H$436)+1),"")</f>
        <v>0</v>
      </c>
      <c r="K479">
        <f>IFERROR(SMALL(K149:K433,ROW()-ROW($K$436)+1),"")</f>
        <v>0</v>
      </c>
      <c r="L479">
        <f>IFERROR(SMALL(L149:L433,ROW()-ROW($L$436)+1),"")</f>
        <v>0</v>
      </c>
      <c r="M479">
        <f>IFERROR(SMALL(M149:M433,ROW()-ROW($M$436)+1),"")</f>
        <v>0</v>
      </c>
      <c r="N479">
        <f>IFERROR(SMALL(N149:N433,ROW()-ROW($N$436)+1),"")</f>
        <v>0</v>
      </c>
    </row>
    <row r="480" spans="5:14">
      <c r="E480">
        <f>IFERROR(SMALL(E149:E433,ROW()-ROW($E$436)+1),"")</f>
        <v>0</v>
      </c>
      <c r="F480">
        <f>IFERROR(SMALL(F149:F433,ROW()-ROW($F$436)+1),"")</f>
        <v>0</v>
      </c>
      <c r="G480">
        <f>IFERROR(SMALL(G149:G433,ROW()-ROW($G$436)+1),"")</f>
        <v>0</v>
      </c>
      <c r="H480">
        <f>IFERROR(SMALL(H149:H433,ROW()-ROW($H$436)+1),"")</f>
        <v>0</v>
      </c>
      <c r="K480">
        <f>IFERROR(SMALL(K149:K433,ROW()-ROW($K$436)+1),"")</f>
        <v>0</v>
      </c>
      <c r="L480">
        <f>IFERROR(SMALL(L149:L433,ROW()-ROW($L$436)+1),"")</f>
        <v>0</v>
      </c>
      <c r="M480">
        <f>IFERROR(SMALL(M149:M433,ROW()-ROW($M$436)+1),"")</f>
        <v>0</v>
      </c>
      <c r="N480">
        <f>IFERROR(SMALL(N149:N433,ROW()-ROW($N$436)+1),"")</f>
        <v>0</v>
      </c>
    </row>
    <row r="481" spans="5:14">
      <c r="E481">
        <f>IFERROR(SMALL(E149:E433,ROW()-ROW($E$436)+1),"")</f>
        <v>0</v>
      </c>
      <c r="F481">
        <f>IFERROR(SMALL(F149:F433,ROW()-ROW($F$436)+1),"")</f>
        <v>0</v>
      </c>
      <c r="G481">
        <f>IFERROR(SMALL(G149:G433,ROW()-ROW($G$436)+1),"")</f>
        <v>0</v>
      </c>
      <c r="H481">
        <f>IFERROR(SMALL(H149:H433,ROW()-ROW($H$436)+1),"")</f>
        <v>0</v>
      </c>
      <c r="K481">
        <f>IFERROR(SMALL(K149:K433,ROW()-ROW($K$436)+1),"")</f>
        <v>0</v>
      </c>
      <c r="L481">
        <f>IFERROR(SMALL(L149:L433,ROW()-ROW($L$436)+1),"")</f>
        <v>0</v>
      </c>
      <c r="M481">
        <f>IFERROR(SMALL(M149:M433,ROW()-ROW($M$436)+1),"")</f>
        <v>0</v>
      </c>
      <c r="N481">
        <f>IFERROR(SMALL(N149:N433,ROW()-ROW($N$436)+1),"")</f>
        <v>0</v>
      </c>
    </row>
    <row r="482" spans="5:14">
      <c r="E482">
        <f>IFERROR(SMALL(E149:E433,ROW()-ROW($E$436)+1),"")</f>
        <v>0</v>
      </c>
      <c r="F482">
        <f>IFERROR(SMALL(F149:F433,ROW()-ROW($F$436)+1),"")</f>
        <v>0</v>
      </c>
      <c r="G482">
        <f>IFERROR(SMALL(G149:G433,ROW()-ROW($G$436)+1),"")</f>
        <v>0</v>
      </c>
      <c r="H482">
        <f>IFERROR(SMALL(H149:H433,ROW()-ROW($H$436)+1),"")</f>
        <v>0</v>
      </c>
      <c r="K482">
        <f>IFERROR(SMALL(K149:K433,ROW()-ROW($K$436)+1),"")</f>
        <v>0</v>
      </c>
      <c r="L482">
        <f>IFERROR(SMALL(L149:L433,ROW()-ROW($L$436)+1),"")</f>
        <v>0</v>
      </c>
      <c r="M482">
        <f>IFERROR(SMALL(M149:M433,ROW()-ROW($M$436)+1),"")</f>
        <v>0</v>
      </c>
      <c r="N482">
        <f>IFERROR(SMALL(N149:N433,ROW()-ROW($N$436)+1),"")</f>
        <v>0</v>
      </c>
    </row>
    <row r="483" spans="5:14">
      <c r="E483">
        <f>IFERROR(SMALL(E149:E433,ROW()-ROW($E$436)+1),"")</f>
        <v>0</v>
      </c>
      <c r="F483">
        <f>IFERROR(SMALL(F149:F433,ROW()-ROW($F$436)+1),"")</f>
        <v>0</v>
      </c>
      <c r="G483">
        <f>IFERROR(SMALL(G149:G433,ROW()-ROW($G$436)+1),"")</f>
        <v>0</v>
      </c>
      <c r="H483">
        <f>IFERROR(SMALL(H149:H433,ROW()-ROW($H$436)+1),"")</f>
        <v>0</v>
      </c>
      <c r="K483">
        <f>IFERROR(SMALL(K149:K433,ROW()-ROW($K$436)+1),"")</f>
        <v>0</v>
      </c>
      <c r="L483">
        <f>IFERROR(SMALL(L149:L433,ROW()-ROW($L$436)+1),"")</f>
        <v>0</v>
      </c>
      <c r="M483">
        <f>IFERROR(SMALL(M149:M433,ROW()-ROW($M$436)+1),"")</f>
        <v>0</v>
      </c>
      <c r="N483">
        <f>IFERROR(SMALL(N149:N433,ROW()-ROW($N$436)+1),"")</f>
        <v>0</v>
      </c>
    </row>
    <row r="484" spans="5:14">
      <c r="E484">
        <f>IFERROR(SMALL(E149:E433,ROW()-ROW($E$436)+1),"")</f>
        <v>0</v>
      </c>
      <c r="F484">
        <f>IFERROR(SMALL(F149:F433,ROW()-ROW($F$436)+1),"")</f>
        <v>0</v>
      </c>
      <c r="G484">
        <f>IFERROR(SMALL(G149:G433,ROW()-ROW($G$436)+1),"")</f>
        <v>0</v>
      </c>
      <c r="H484">
        <f>IFERROR(SMALL(H149:H433,ROW()-ROW($H$436)+1),"")</f>
        <v>0</v>
      </c>
      <c r="K484">
        <f>IFERROR(SMALL(K149:K433,ROW()-ROW($K$436)+1),"")</f>
        <v>0</v>
      </c>
      <c r="L484">
        <f>IFERROR(SMALL(L149:L433,ROW()-ROW($L$436)+1),"")</f>
        <v>0</v>
      </c>
      <c r="M484">
        <f>IFERROR(SMALL(M149:M433,ROW()-ROW($M$436)+1),"")</f>
        <v>0</v>
      </c>
      <c r="N484">
        <f>IFERROR(SMALL(N149:N433,ROW()-ROW($N$436)+1),"")</f>
        <v>0</v>
      </c>
    </row>
    <row r="485" spans="5:14">
      <c r="E485">
        <f>IFERROR(SMALL(E149:E433,ROW()-ROW($E$436)+1),"")</f>
        <v>0</v>
      </c>
      <c r="F485">
        <f>IFERROR(SMALL(F149:F433,ROW()-ROW($F$436)+1),"")</f>
        <v>0</v>
      </c>
      <c r="G485">
        <f>IFERROR(SMALL(G149:G433,ROW()-ROW($G$436)+1),"")</f>
        <v>0</v>
      </c>
      <c r="H485">
        <f>IFERROR(SMALL(H149:H433,ROW()-ROW($H$436)+1),"")</f>
        <v>0</v>
      </c>
      <c r="K485">
        <f>IFERROR(SMALL(K149:K433,ROW()-ROW($K$436)+1),"")</f>
        <v>0</v>
      </c>
      <c r="L485">
        <f>IFERROR(SMALL(L149:L433,ROW()-ROW($L$436)+1),"")</f>
        <v>0</v>
      </c>
      <c r="M485">
        <f>IFERROR(SMALL(M149:M433,ROW()-ROW($M$436)+1),"")</f>
        <v>0</v>
      </c>
      <c r="N485">
        <f>IFERROR(SMALL(N149:N433,ROW()-ROW($N$436)+1),"")</f>
        <v>0</v>
      </c>
    </row>
    <row r="486" spans="5:14">
      <c r="E486">
        <f>IFERROR(SMALL(E149:E433,ROW()-ROW($E$436)+1),"")</f>
        <v>0</v>
      </c>
      <c r="F486">
        <f>IFERROR(SMALL(F149:F433,ROW()-ROW($F$436)+1),"")</f>
        <v>0</v>
      </c>
      <c r="G486">
        <f>IFERROR(SMALL(G149:G433,ROW()-ROW($G$436)+1),"")</f>
        <v>0</v>
      </c>
      <c r="H486">
        <f>IFERROR(SMALL(H149:H433,ROW()-ROW($H$436)+1),"")</f>
        <v>0</v>
      </c>
      <c r="K486">
        <f>IFERROR(SMALL(K149:K433,ROW()-ROW($K$436)+1),"")</f>
        <v>0</v>
      </c>
      <c r="L486">
        <f>IFERROR(SMALL(L149:L433,ROW()-ROW($L$436)+1),"")</f>
        <v>0</v>
      </c>
      <c r="M486">
        <f>IFERROR(SMALL(M149:M433,ROW()-ROW($M$436)+1),"")</f>
        <v>0</v>
      </c>
      <c r="N486">
        <f>IFERROR(SMALL(N149:N433,ROW()-ROW($N$436)+1),"")</f>
        <v>0</v>
      </c>
    </row>
    <row r="487" spans="5:14">
      <c r="E487">
        <f>IFERROR(SMALL(E149:E433,ROW()-ROW($E$436)+1),"")</f>
        <v>0</v>
      </c>
      <c r="F487">
        <f>IFERROR(SMALL(F149:F433,ROW()-ROW($F$436)+1),"")</f>
        <v>0</v>
      </c>
      <c r="G487">
        <f>IFERROR(SMALL(G149:G433,ROW()-ROW($G$436)+1),"")</f>
        <v>0</v>
      </c>
      <c r="H487">
        <f>IFERROR(SMALL(H149:H433,ROW()-ROW($H$436)+1),"")</f>
        <v>0</v>
      </c>
      <c r="K487">
        <f>IFERROR(SMALL(K149:K433,ROW()-ROW($K$436)+1),"")</f>
        <v>0</v>
      </c>
      <c r="L487">
        <f>IFERROR(SMALL(L149:L433,ROW()-ROW($L$436)+1),"")</f>
        <v>0</v>
      </c>
      <c r="M487">
        <f>IFERROR(SMALL(M149:M433,ROW()-ROW($M$436)+1),"")</f>
        <v>0</v>
      </c>
      <c r="N487">
        <f>IFERROR(SMALL(N149:N433,ROW()-ROW($N$436)+1),"")</f>
        <v>0</v>
      </c>
    </row>
    <row r="488" spans="5:14">
      <c r="E488">
        <f>IFERROR(SMALL(E149:E433,ROW()-ROW($E$436)+1),"")</f>
        <v>0</v>
      </c>
      <c r="F488">
        <f>IFERROR(SMALL(F149:F433,ROW()-ROW($F$436)+1),"")</f>
        <v>0</v>
      </c>
      <c r="G488">
        <f>IFERROR(SMALL(G149:G433,ROW()-ROW($G$436)+1),"")</f>
        <v>0</v>
      </c>
      <c r="H488">
        <f>IFERROR(SMALL(H149:H433,ROW()-ROW($H$436)+1),"")</f>
        <v>0</v>
      </c>
      <c r="K488">
        <f>IFERROR(SMALL(K149:K433,ROW()-ROW($K$436)+1),"")</f>
        <v>0</v>
      </c>
      <c r="L488">
        <f>IFERROR(SMALL(L149:L433,ROW()-ROW($L$436)+1),"")</f>
        <v>0</v>
      </c>
      <c r="M488">
        <f>IFERROR(SMALL(M149:M433,ROW()-ROW($M$436)+1),"")</f>
        <v>0</v>
      </c>
      <c r="N488">
        <f>IFERROR(SMALL(N149:N433,ROW()-ROW($N$436)+1),"")</f>
        <v>0</v>
      </c>
    </row>
    <row r="489" spans="5:14">
      <c r="E489">
        <f>IFERROR(SMALL(E149:E433,ROW()-ROW($E$436)+1),"")</f>
        <v>0</v>
      </c>
      <c r="F489">
        <f>IFERROR(SMALL(F149:F433,ROW()-ROW($F$436)+1),"")</f>
        <v>0</v>
      </c>
      <c r="G489">
        <f>IFERROR(SMALL(G149:G433,ROW()-ROW($G$436)+1),"")</f>
        <v>0</v>
      </c>
      <c r="H489">
        <f>IFERROR(SMALL(H149:H433,ROW()-ROW($H$436)+1),"")</f>
        <v>0</v>
      </c>
      <c r="K489">
        <f>IFERROR(SMALL(K149:K433,ROW()-ROW($K$436)+1),"")</f>
        <v>0</v>
      </c>
      <c r="L489">
        <f>IFERROR(SMALL(L149:L433,ROW()-ROW($L$436)+1),"")</f>
        <v>0</v>
      </c>
      <c r="M489">
        <f>IFERROR(SMALL(M149:M433,ROW()-ROW($M$436)+1),"")</f>
        <v>0</v>
      </c>
      <c r="N489">
        <f>IFERROR(SMALL(N149:N433,ROW()-ROW($N$436)+1),"")</f>
        <v>0</v>
      </c>
    </row>
    <row r="490" spans="5:14">
      <c r="E490">
        <f>IFERROR(SMALL(E149:E433,ROW()-ROW($E$436)+1),"")</f>
        <v>0</v>
      </c>
      <c r="F490">
        <f>IFERROR(SMALL(F149:F433,ROW()-ROW($F$436)+1),"")</f>
        <v>0</v>
      </c>
      <c r="G490">
        <f>IFERROR(SMALL(G149:G433,ROW()-ROW($G$436)+1),"")</f>
        <v>0</v>
      </c>
      <c r="H490">
        <f>IFERROR(SMALL(H149:H433,ROW()-ROW($H$436)+1),"")</f>
        <v>0</v>
      </c>
      <c r="K490">
        <f>IFERROR(SMALL(K149:K433,ROW()-ROW($K$436)+1),"")</f>
        <v>0</v>
      </c>
      <c r="L490">
        <f>IFERROR(SMALL(L149:L433,ROW()-ROW($L$436)+1),"")</f>
        <v>0</v>
      </c>
      <c r="M490">
        <f>IFERROR(SMALL(M149:M433,ROW()-ROW($M$436)+1),"")</f>
        <v>0</v>
      </c>
      <c r="N490">
        <f>IFERROR(SMALL(N149:N433,ROW()-ROW($N$436)+1),"")</f>
        <v>0</v>
      </c>
    </row>
    <row r="491" spans="5:14">
      <c r="E491">
        <f>IFERROR(SMALL(E149:E433,ROW()-ROW($E$436)+1),"")</f>
        <v>0</v>
      </c>
      <c r="F491">
        <f>IFERROR(SMALL(F149:F433,ROW()-ROW($F$436)+1),"")</f>
        <v>0</v>
      </c>
      <c r="G491">
        <f>IFERROR(SMALL(G149:G433,ROW()-ROW($G$436)+1),"")</f>
        <v>0</v>
      </c>
      <c r="H491">
        <f>IFERROR(SMALL(H149:H433,ROW()-ROW($H$436)+1),"")</f>
        <v>0</v>
      </c>
      <c r="K491">
        <f>IFERROR(SMALL(K149:K433,ROW()-ROW($K$436)+1),"")</f>
        <v>0</v>
      </c>
      <c r="L491">
        <f>IFERROR(SMALL(L149:L433,ROW()-ROW($L$436)+1),"")</f>
        <v>0</v>
      </c>
      <c r="M491">
        <f>IFERROR(SMALL(M149:M433,ROW()-ROW($M$436)+1),"")</f>
        <v>0</v>
      </c>
      <c r="N491">
        <f>IFERROR(SMALL(N149:N433,ROW()-ROW($N$436)+1),"")</f>
        <v>0</v>
      </c>
    </row>
    <row r="492" spans="5:14">
      <c r="E492">
        <f>IFERROR(SMALL(E149:E433,ROW()-ROW($E$436)+1),"")</f>
        <v>0</v>
      </c>
      <c r="F492">
        <f>IFERROR(SMALL(F149:F433,ROW()-ROW($F$436)+1),"")</f>
        <v>0</v>
      </c>
      <c r="G492">
        <f>IFERROR(SMALL(G149:G433,ROW()-ROW($G$436)+1),"")</f>
        <v>0</v>
      </c>
      <c r="H492">
        <f>IFERROR(SMALL(H149:H433,ROW()-ROW($H$436)+1),"")</f>
        <v>0</v>
      </c>
      <c r="K492">
        <f>IFERROR(SMALL(K149:K433,ROW()-ROW($K$436)+1),"")</f>
        <v>0</v>
      </c>
      <c r="L492">
        <f>IFERROR(SMALL(L149:L433,ROW()-ROW($L$436)+1),"")</f>
        <v>0</v>
      </c>
      <c r="M492">
        <f>IFERROR(SMALL(M149:M433,ROW()-ROW($M$436)+1),"")</f>
        <v>0</v>
      </c>
      <c r="N492">
        <f>IFERROR(SMALL(N149:N433,ROW()-ROW($N$436)+1),"")</f>
        <v>0</v>
      </c>
    </row>
    <row r="493" spans="5:14">
      <c r="E493">
        <f>IFERROR(SMALL(E149:E433,ROW()-ROW($E$436)+1),"")</f>
        <v>0</v>
      </c>
      <c r="F493">
        <f>IFERROR(SMALL(F149:F433,ROW()-ROW($F$436)+1),"")</f>
        <v>0</v>
      </c>
      <c r="G493">
        <f>IFERROR(SMALL(G149:G433,ROW()-ROW($G$436)+1),"")</f>
        <v>0</v>
      </c>
      <c r="H493">
        <f>IFERROR(SMALL(H149:H433,ROW()-ROW($H$436)+1),"")</f>
        <v>0</v>
      </c>
      <c r="K493">
        <f>IFERROR(SMALL(K149:K433,ROW()-ROW($K$436)+1),"")</f>
        <v>0</v>
      </c>
      <c r="L493">
        <f>IFERROR(SMALL(L149:L433,ROW()-ROW($L$436)+1),"")</f>
        <v>0</v>
      </c>
      <c r="M493">
        <f>IFERROR(SMALL(M149:M433,ROW()-ROW($M$436)+1),"")</f>
        <v>0</v>
      </c>
      <c r="N493">
        <f>IFERROR(SMALL(N149:N433,ROW()-ROW($N$436)+1),"")</f>
        <v>0</v>
      </c>
    </row>
    <row r="494" spans="5:14">
      <c r="E494">
        <f>IFERROR(SMALL(E149:E433,ROW()-ROW($E$436)+1),"")</f>
        <v>0</v>
      </c>
      <c r="F494">
        <f>IFERROR(SMALL(F149:F433,ROW()-ROW($F$436)+1),"")</f>
        <v>0</v>
      </c>
      <c r="G494">
        <f>IFERROR(SMALL(G149:G433,ROW()-ROW($G$436)+1),"")</f>
        <v>0</v>
      </c>
      <c r="H494">
        <f>IFERROR(SMALL(H149:H433,ROW()-ROW($H$436)+1),"")</f>
        <v>0</v>
      </c>
      <c r="K494">
        <f>IFERROR(SMALL(K149:K433,ROW()-ROW($K$436)+1),"")</f>
        <v>0</v>
      </c>
      <c r="L494">
        <f>IFERROR(SMALL(L149:L433,ROW()-ROW($L$436)+1),"")</f>
        <v>0</v>
      </c>
      <c r="M494">
        <f>IFERROR(SMALL(M149:M433,ROW()-ROW($M$436)+1),"")</f>
        <v>0</v>
      </c>
      <c r="N494">
        <f>IFERROR(SMALL(N149:N433,ROW()-ROW($N$436)+1),"")</f>
        <v>0</v>
      </c>
    </row>
    <row r="495" spans="5:14">
      <c r="E495">
        <f>IFERROR(SMALL(E149:E433,ROW()-ROW($E$436)+1),"")</f>
        <v>0</v>
      </c>
      <c r="F495">
        <f>IFERROR(SMALL(F149:F433,ROW()-ROW($F$436)+1),"")</f>
        <v>0</v>
      </c>
      <c r="G495">
        <f>IFERROR(SMALL(G149:G433,ROW()-ROW($G$436)+1),"")</f>
        <v>0</v>
      </c>
      <c r="H495">
        <f>IFERROR(SMALL(H149:H433,ROW()-ROW($H$436)+1),"")</f>
        <v>0</v>
      </c>
      <c r="K495">
        <f>IFERROR(SMALL(K149:K433,ROW()-ROW($K$436)+1),"")</f>
        <v>0</v>
      </c>
      <c r="L495">
        <f>IFERROR(SMALL(L149:L433,ROW()-ROW($L$436)+1),"")</f>
        <v>0</v>
      </c>
      <c r="M495">
        <f>IFERROR(SMALL(M149:M433,ROW()-ROW($M$436)+1),"")</f>
        <v>0</v>
      </c>
      <c r="N495">
        <f>IFERROR(SMALL(N149:N433,ROW()-ROW($N$436)+1),"")</f>
        <v>0</v>
      </c>
    </row>
    <row r="496" spans="5:14">
      <c r="E496">
        <f>IFERROR(SMALL(E149:E433,ROW()-ROW($E$436)+1),"")</f>
        <v>0</v>
      </c>
      <c r="F496">
        <f>IFERROR(SMALL(F149:F433,ROW()-ROW($F$436)+1),"")</f>
        <v>0</v>
      </c>
      <c r="G496">
        <f>IFERROR(SMALL(G149:G433,ROW()-ROW($G$436)+1),"")</f>
        <v>0</v>
      </c>
      <c r="H496">
        <f>IFERROR(SMALL(H149:H433,ROW()-ROW($H$436)+1),"")</f>
        <v>0</v>
      </c>
      <c r="K496">
        <f>IFERROR(SMALL(K149:K433,ROW()-ROW($K$436)+1),"")</f>
        <v>0</v>
      </c>
      <c r="L496">
        <f>IFERROR(SMALL(L149:L433,ROW()-ROW($L$436)+1),"")</f>
        <v>0</v>
      </c>
      <c r="M496">
        <f>IFERROR(SMALL(M149:M433,ROW()-ROW($M$436)+1),"")</f>
        <v>0</v>
      </c>
      <c r="N496">
        <f>IFERROR(SMALL(N149:N433,ROW()-ROW($N$436)+1),"")</f>
        <v>0</v>
      </c>
    </row>
    <row r="497" spans="5:14">
      <c r="E497">
        <f>IFERROR(SMALL(E149:E433,ROW()-ROW($E$436)+1),"")</f>
        <v>0</v>
      </c>
      <c r="F497">
        <f>IFERROR(SMALL(F149:F433,ROW()-ROW($F$436)+1),"")</f>
        <v>0</v>
      </c>
      <c r="G497">
        <f>IFERROR(SMALL(G149:G433,ROW()-ROW($G$436)+1),"")</f>
        <v>0</v>
      </c>
      <c r="H497">
        <f>IFERROR(SMALL(H149:H433,ROW()-ROW($H$436)+1),"")</f>
        <v>0</v>
      </c>
      <c r="K497">
        <f>IFERROR(SMALL(K149:K433,ROW()-ROW($K$436)+1),"")</f>
        <v>0</v>
      </c>
      <c r="L497">
        <f>IFERROR(SMALL(L149:L433,ROW()-ROW($L$436)+1),"")</f>
        <v>0</v>
      </c>
      <c r="M497">
        <f>IFERROR(SMALL(M149:M433,ROW()-ROW($M$436)+1),"")</f>
        <v>0</v>
      </c>
      <c r="N497">
        <f>IFERROR(SMALL(N149:N433,ROW()-ROW($N$436)+1),"")</f>
        <v>0</v>
      </c>
    </row>
    <row r="498" spans="5:14">
      <c r="E498">
        <f>IFERROR(SMALL(E149:E433,ROW()-ROW($E$436)+1),"")</f>
        <v>0</v>
      </c>
      <c r="F498">
        <f>IFERROR(SMALL(F149:F433,ROW()-ROW($F$436)+1),"")</f>
        <v>0</v>
      </c>
      <c r="G498">
        <f>IFERROR(SMALL(G149:G433,ROW()-ROW($G$436)+1),"")</f>
        <v>0</v>
      </c>
      <c r="H498">
        <f>IFERROR(SMALL(H149:H433,ROW()-ROW($H$436)+1),"")</f>
        <v>0</v>
      </c>
      <c r="K498">
        <f>IFERROR(SMALL(K149:K433,ROW()-ROW($K$436)+1),"")</f>
        <v>0</v>
      </c>
      <c r="L498">
        <f>IFERROR(SMALL(L149:L433,ROW()-ROW($L$436)+1),"")</f>
        <v>0</v>
      </c>
      <c r="M498">
        <f>IFERROR(SMALL(M149:M433,ROW()-ROW($M$436)+1),"")</f>
        <v>0</v>
      </c>
      <c r="N498">
        <f>IFERROR(SMALL(N149:N433,ROW()-ROW($N$436)+1),"")</f>
        <v>0</v>
      </c>
    </row>
    <row r="499" spans="5:14">
      <c r="E499">
        <f>IFERROR(SMALL(E149:E433,ROW()-ROW($E$436)+1),"")</f>
        <v>0</v>
      </c>
      <c r="F499">
        <f>IFERROR(SMALL(F149:F433,ROW()-ROW($F$436)+1),"")</f>
        <v>0</v>
      </c>
      <c r="G499">
        <f>IFERROR(SMALL(G149:G433,ROW()-ROW($G$436)+1),"")</f>
        <v>0</v>
      </c>
      <c r="H499">
        <f>IFERROR(SMALL(H149:H433,ROW()-ROW($H$436)+1),"")</f>
        <v>0</v>
      </c>
      <c r="K499">
        <f>IFERROR(SMALL(K149:K433,ROW()-ROW($K$436)+1),"")</f>
        <v>0</v>
      </c>
      <c r="L499">
        <f>IFERROR(SMALL(L149:L433,ROW()-ROW($L$436)+1),"")</f>
        <v>0</v>
      </c>
      <c r="M499">
        <f>IFERROR(SMALL(M149:M433,ROW()-ROW($M$436)+1),"")</f>
        <v>0</v>
      </c>
      <c r="N499">
        <f>IFERROR(SMALL(N149:N433,ROW()-ROW($N$436)+1),"")</f>
        <v>0</v>
      </c>
    </row>
    <row r="500" spans="5:14">
      <c r="E500">
        <f>IFERROR(SMALL(E149:E433,ROW()-ROW($E$436)+1),"")</f>
        <v>0</v>
      </c>
      <c r="F500">
        <f>IFERROR(SMALL(F149:F433,ROW()-ROW($F$436)+1),"")</f>
        <v>0</v>
      </c>
      <c r="G500">
        <f>IFERROR(SMALL(G149:G433,ROW()-ROW($G$436)+1),"")</f>
        <v>0</v>
      </c>
      <c r="H500">
        <f>IFERROR(SMALL(H149:H433,ROW()-ROW($H$436)+1),"")</f>
        <v>0</v>
      </c>
      <c r="K500">
        <f>IFERROR(SMALL(K149:K433,ROW()-ROW($K$436)+1),"")</f>
        <v>0</v>
      </c>
      <c r="L500">
        <f>IFERROR(SMALL(L149:L433,ROW()-ROW($L$436)+1),"")</f>
        <v>0</v>
      </c>
      <c r="M500">
        <f>IFERROR(SMALL(M149:M433,ROW()-ROW($M$436)+1),"")</f>
        <v>0</v>
      </c>
      <c r="N500">
        <f>IFERROR(SMALL(N149:N433,ROW()-ROW($N$436)+1),"")</f>
        <v>0</v>
      </c>
    </row>
    <row r="501" spans="5:14">
      <c r="E501">
        <f>IFERROR(SMALL(E149:E433,ROW()-ROW($E$436)+1),"")</f>
        <v>0</v>
      </c>
      <c r="F501">
        <f>IFERROR(SMALL(F149:F433,ROW()-ROW($F$436)+1),"")</f>
        <v>0</v>
      </c>
      <c r="G501">
        <f>IFERROR(SMALL(G149:G433,ROW()-ROW($G$436)+1),"")</f>
        <v>0</v>
      </c>
      <c r="H501">
        <f>IFERROR(SMALL(H149:H433,ROW()-ROW($H$436)+1),"")</f>
        <v>0</v>
      </c>
      <c r="K501">
        <f>IFERROR(SMALL(K149:K433,ROW()-ROW($K$436)+1),"")</f>
        <v>0</v>
      </c>
      <c r="L501">
        <f>IFERROR(SMALL(L149:L433,ROW()-ROW($L$436)+1),"")</f>
        <v>0</v>
      </c>
      <c r="M501">
        <f>IFERROR(SMALL(M149:M433,ROW()-ROW($M$436)+1),"")</f>
        <v>0</v>
      </c>
      <c r="N501">
        <f>IFERROR(SMALL(N149:N433,ROW()-ROW($N$436)+1),"")</f>
        <v>0</v>
      </c>
    </row>
    <row r="502" spans="5:14">
      <c r="E502">
        <f>IFERROR(SMALL(E149:E433,ROW()-ROW($E$436)+1),"")</f>
        <v>0</v>
      </c>
      <c r="F502">
        <f>IFERROR(SMALL(F149:F433,ROW()-ROW($F$436)+1),"")</f>
        <v>0</v>
      </c>
      <c r="G502">
        <f>IFERROR(SMALL(G149:G433,ROW()-ROW($G$436)+1),"")</f>
        <v>0</v>
      </c>
      <c r="H502">
        <f>IFERROR(SMALL(H149:H433,ROW()-ROW($H$436)+1),"")</f>
        <v>0</v>
      </c>
      <c r="K502">
        <f>IFERROR(SMALL(K149:K433,ROW()-ROW($K$436)+1),"")</f>
        <v>0</v>
      </c>
      <c r="L502">
        <f>IFERROR(SMALL(L149:L433,ROW()-ROW($L$436)+1),"")</f>
        <v>0</v>
      </c>
      <c r="M502">
        <f>IFERROR(SMALL(M149:M433,ROW()-ROW($M$436)+1),"")</f>
        <v>0</v>
      </c>
      <c r="N502">
        <f>IFERROR(SMALL(N149:N433,ROW()-ROW($N$436)+1),"")</f>
        <v>0</v>
      </c>
    </row>
    <row r="503" spans="5:14">
      <c r="E503">
        <f>IFERROR(SMALL(E149:E433,ROW()-ROW($E$436)+1),"")</f>
        <v>0</v>
      </c>
      <c r="F503">
        <f>IFERROR(SMALL(F149:F433,ROW()-ROW($F$436)+1),"")</f>
        <v>0</v>
      </c>
      <c r="G503">
        <f>IFERROR(SMALL(G149:G433,ROW()-ROW($G$436)+1),"")</f>
        <v>0</v>
      </c>
      <c r="H503">
        <f>IFERROR(SMALL(H149:H433,ROW()-ROW($H$436)+1),"")</f>
        <v>0</v>
      </c>
      <c r="K503">
        <f>IFERROR(SMALL(K149:K433,ROW()-ROW($K$436)+1),"")</f>
        <v>0</v>
      </c>
      <c r="L503">
        <f>IFERROR(SMALL(L149:L433,ROW()-ROW($L$436)+1),"")</f>
        <v>0</v>
      </c>
      <c r="M503">
        <f>IFERROR(SMALL(M149:M433,ROW()-ROW($M$436)+1),"")</f>
        <v>0</v>
      </c>
      <c r="N503">
        <f>IFERROR(SMALL(N149:N433,ROW()-ROW($N$436)+1),"")</f>
        <v>0</v>
      </c>
    </row>
    <row r="504" spans="5:14">
      <c r="E504">
        <f>IFERROR(SMALL(E149:E433,ROW()-ROW($E$436)+1),"")</f>
        <v>0</v>
      </c>
      <c r="F504">
        <f>IFERROR(SMALL(F149:F433,ROW()-ROW($F$436)+1),"")</f>
        <v>0</v>
      </c>
      <c r="G504">
        <f>IFERROR(SMALL(G149:G433,ROW()-ROW($G$436)+1),"")</f>
        <v>0</v>
      </c>
      <c r="H504">
        <f>IFERROR(SMALL(H149:H433,ROW()-ROW($H$436)+1),"")</f>
        <v>0</v>
      </c>
      <c r="K504">
        <f>IFERROR(SMALL(K149:K433,ROW()-ROW($K$436)+1),"")</f>
        <v>0</v>
      </c>
      <c r="L504">
        <f>IFERROR(SMALL(L149:L433,ROW()-ROW($L$436)+1),"")</f>
        <v>0</v>
      </c>
      <c r="M504">
        <f>IFERROR(SMALL(M149:M433,ROW()-ROW($M$436)+1),"")</f>
        <v>0</v>
      </c>
      <c r="N504">
        <f>IFERROR(SMALL(N149:N433,ROW()-ROW($N$436)+1),"")</f>
        <v>0</v>
      </c>
    </row>
    <row r="505" spans="5:14">
      <c r="E505">
        <f>IFERROR(SMALL(E149:E433,ROW()-ROW($E$436)+1),"")</f>
        <v>0</v>
      </c>
      <c r="F505">
        <f>IFERROR(SMALL(F149:F433,ROW()-ROW($F$436)+1),"")</f>
        <v>0</v>
      </c>
      <c r="G505">
        <f>IFERROR(SMALL(G149:G433,ROW()-ROW($G$436)+1),"")</f>
        <v>0</v>
      </c>
      <c r="H505">
        <f>IFERROR(SMALL(H149:H433,ROW()-ROW($H$436)+1),"")</f>
        <v>0</v>
      </c>
      <c r="K505">
        <f>IFERROR(SMALL(K149:K433,ROW()-ROW($K$436)+1),"")</f>
        <v>0</v>
      </c>
      <c r="L505">
        <f>IFERROR(SMALL(L149:L433,ROW()-ROW($L$436)+1),"")</f>
        <v>0</v>
      </c>
      <c r="M505">
        <f>IFERROR(SMALL(M149:M433,ROW()-ROW($M$436)+1),"")</f>
        <v>0</v>
      </c>
      <c r="N505">
        <f>IFERROR(SMALL(N149:N433,ROW()-ROW($N$436)+1),"")</f>
        <v>0</v>
      </c>
    </row>
    <row r="506" spans="5:14">
      <c r="E506">
        <f>IFERROR(SMALL(E149:E433,ROW()-ROW($E$436)+1),"")</f>
        <v>0</v>
      </c>
      <c r="F506">
        <f>IFERROR(SMALL(F149:F433,ROW()-ROW($F$436)+1),"")</f>
        <v>0</v>
      </c>
      <c r="G506">
        <f>IFERROR(SMALL(G149:G433,ROW()-ROW($G$436)+1),"")</f>
        <v>0</v>
      </c>
      <c r="H506">
        <f>IFERROR(SMALL(H149:H433,ROW()-ROW($H$436)+1),"")</f>
        <v>0</v>
      </c>
      <c r="K506">
        <f>IFERROR(SMALL(K149:K433,ROW()-ROW($K$436)+1),"")</f>
        <v>0</v>
      </c>
      <c r="L506">
        <f>IFERROR(SMALL(L149:L433,ROW()-ROW($L$436)+1),"")</f>
        <v>0</v>
      </c>
      <c r="M506">
        <f>IFERROR(SMALL(M149:M433,ROW()-ROW($M$436)+1),"")</f>
        <v>0</v>
      </c>
      <c r="N506">
        <f>IFERROR(SMALL(N149:N433,ROW()-ROW($N$436)+1),"")</f>
        <v>0</v>
      </c>
    </row>
    <row r="507" spans="5:14">
      <c r="E507">
        <f>IFERROR(SMALL(E149:E433,ROW()-ROW($E$436)+1),"")</f>
        <v>0</v>
      </c>
      <c r="F507">
        <f>IFERROR(SMALL(F149:F433,ROW()-ROW($F$436)+1),"")</f>
        <v>0</v>
      </c>
      <c r="G507">
        <f>IFERROR(SMALL(G149:G433,ROW()-ROW($G$436)+1),"")</f>
        <v>0</v>
      </c>
      <c r="H507">
        <f>IFERROR(SMALL(H149:H433,ROW()-ROW($H$436)+1),"")</f>
        <v>0</v>
      </c>
      <c r="K507">
        <f>IFERROR(SMALL(K149:K433,ROW()-ROW($K$436)+1),"")</f>
        <v>0</v>
      </c>
      <c r="L507">
        <f>IFERROR(SMALL(L149:L433,ROW()-ROW($L$436)+1),"")</f>
        <v>0</v>
      </c>
      <c r="M507">
        <f>IFERROR(SMALL(M149:M433,ROW()-ROW($M$436)+1),"")</f>
        <v>0</v>
      </c>
      <c r="N507">
        <f>IFERROR(SMALL(N149:N433,ROW()-ROW($N$436)+1),"")</f>
        <v>0</v>
      </c>
    </row>
    <row r="508" spans="5:14">
      <c r="E508">
        <f>IFERROR(SMALL(E149:E433,ROW()-ROW($E$436)+1),"")</f>
        <v>0</v>
      </c>
      <c r="F508">
        <f>IFERROR(SMALL(F149:F433,ROW()-ROW($F$436)+1),"")</f>
        <v>0</v>
      </c>
      <c r="G508">
        <f>IFERROR(SMALL(G149:G433,ROW()-ROW($G$436)+1),"")</f>
        <v>0</v>
      </c>
      <c r="H508">
        <f>IFERROR(SMALL(H149:H433,ROW()-ROW($H$436)+1),"")</f>
        <v>0</v>
      </c>
      <c r="K508">
        <f>IFERROR(SMALL(K149:K433,ROW()-ROW($K$436)+1),"")</f>
        <v>0</v>
      </c>
      <c r="L508">
        <f>IFERROR(SMALL(L149:L433,ROW()-ROW($L$436)+1),"")</f>
        <v>0</v>
      </c>
      <c r="M508">
        <f>IFERROR(SMALL(M149:M433,ROW()-ROW($M$436)+1),"")</f>
        <v>0</v>
      </c>
      <c r="N508">
        <f>IFERROR(SMALL(N149:N433,ROW()-ROW($N$436)+1),"")</f>
        <v>0</v>
      </c>
    </row>
    <row r="509" spans="5:14">
      <c r="E509">
        <f>IFERROR(SMALL(E149:E433,ROW()-ROW($E$436)+1),"")</f>
        <v>0</v>
      </c>
      <c r="F509">
        <f>IFERROR(SMALL(F149:F433,ROW()-ROW($F$436)+1),"")</f>
        <v>0</v>
      </c>
      <c r="G509">
        <f>IFERROR(SMALL(G149:G433,ROW()-ROW($G$436)+1),"")</f>
        <v>0</v>
      </c>
      <c r="H509">
        <f>IFERROR(SMALL(H149:H433,ROW()-ROW($H$436)+1),"")</f>
        <v>0</v>
      </c>
      <c r="K509">
        <f>IFERROR(SMALL(K149:K433,ROW()-ROW($K$436)+1),"")</f>
        <v>0</v>
      </c>
      <c r="L509">
        <f>IFERROR(SMALL(L149:L433,ROW()-ROW($L$436)+1),"")</f>
        <v>0</v>
      </c>
      <c r="M509">
        <f>IFERROR(SMALL(M149:M433,ROW()-ROW($M$436)+1),"")</f>
        <v>0</v>
      </c>
      <c r="N509">
        <f>IFERROR(SMALL(N149:N433,ROW()-ROW($N$436)+1),"")</f>
        <v>0</v>
      </c>
    </row>
    <row r="510" spans="5:14">
      <c r="E510">
        <f>IFERROR(SMALL(E149:E433,ROW()-ROW($E$436)+1),"")</f>
        <v>0</v>
      </c>
      <c r="F510">
        <f>IFERROR(SMALL(F149:F433,ROW()-ROW($F$436)+1),"")</f>
        <v>0</v>
      </c>
      <c r="G510">
        <f>IFERROR(SMALL(G149:G433,ROW()-ROW($G$436)+1),"")</f>
        <v>0</v>
      </c>
      <c r="H510">
        <f>IFERROR(SMALL(H149:H433,ROW()-ROW($H$436)+1),"")</f>
        <v>0</v>
      </c>
      <c r="K510">
        <f>IFERROR(SMALL(K149:K433,ROW()-ROW($K$436)+1),"")</f>
        <v>0</v>
      </c>
      <c r="L510">
        <f>IFERROR(SMALL(L149:L433,ROW()-ROW($L$436)+1),"")</f>
        <v>0</v>
      </c>
      <c r="M510">
        <f>IFERROR(SMALL(M149:M433,ROW()-ROW($M$436)+1),"")</f>
        <v>0</v>
      </c>
      <c r="N510">
        <f>IFERROR(SMALL(N149:N433,ROW()-ROW($N$436)+1),"")</f>
        <v>0</v>
      </c>
    </row>
    <row r="511" spans="5:14">
      <c r="E511">
        <f>IFERROR(SMALL(E149:E433,ROW()-ROW($E$436)+1),"")</f>
        <v>0</v>
      </c>
      <c r="F511">
        <f>IFERROR(SMALL(F149:F433,ROW()-ROW($F$436)+1),"")</f>
        <v>0</v>
      </c>
      <c r="G511">
        <f>IFERROR(SMALL(G149:G433,ROW()-ROW($G$436)+1),"")</f>
        <v>0</v>
      </c>
      <c r="H511">
        <f>IFERROR(SMALL(H149:H433,ROW()-ROW($H$436)+1),"")</f>
        <v>0</v>
      </c>
      <c r="K511">
        <f>IFERROR(SMALL(K149:K433,ROW()-ROW($K$436)+1),"")</f>
        <v>0</v>
      </c>
      <c r="L511">
        <f>IFERROR(SMALL(L149:L433,ROW()-ROW($L$436)+1),"")</f>
        <v>0</v>
      </c>
      <c r="M511">
        <f>IFERROR(SMALL(M149:M433,ROW()-ROW($M$436)+1),"")</f>
        <v>0</v>
      </c>
      <c r="N511">
        <f>IFERROR(SMALL(N149:N433,ROW()-ROW($N$436)+1),"")</f>
        <v>0</v>
      </c>
    </row>
    <row r="512" spans="5:14">
      <c r="E512">
        <f>IFERROR(SMALL(E149:E433,ROW()-ROW($E$436)+1),"")</f>
        <v>0</v>
      </c>
      <c r="F512">
        <f>IFERROR(SMALL(F149:F433,ROW()-ROW($F$436)+1),"")</f>
        <v>0</v>
      </c>
      <c r="G512">
        <f>IFERROR(SMALL(G149:G433,ROW()-ROW($G$436)+1),"")</f>
        <v>0</v>
      </c>
      <c r="H512">
        <f>IFERROR(SMALL(H149:H433,ROW()-ROW($H$436)+1),"")</f>
        <v>0</v>
      </c>
      <c r="K512">
        <f>IFERROR(SMALL(K149:K433,ROW()-ROW($K$436)+1),"")</f>
        <v>0</v>
      </c>
      <c r="L512">
        <f>IFERROR(SMALL(L149:L433,ROW()-ROW($L$436)+1),"")</f>
        <v>0</v>
      </c>
      <c r="M512">
        <f>IFERROR(SMALL(M149:M433,ROW()-ROW($M$436)+1),"")</f>
        <v>0</v>
      </c>
      <c r="N512">
        <f>IFERROR(SMALL(N149:N433,ROW()-ROW($N$436)+1),"")</f>
        <v>0</v>
      </c>
    </row>
    <row r="513" spans="5:14">
      <c r="E513">
        <f>IFERROR(SMALL(E149:E433,ROW()-ROW($E$436)+1),"")</f>
        <v>0</v>
      </c>
      <c r="F513">
        <f>IFERROR(SMALL(F149:F433,ROW()-ROW($F$436)+1),"")</f>
        <v>0</v>
      </c>
      <c r="G513">
        <f>IFERROR(SMALL(G149:G433,ROW()-ROW($G$436)+1),"")</f>
        <v>0</v>
      </c>
      <c r="H513">
        <f>IFERROR(SMALL(H149:H433,ROW()-ROW($H$436)+1),"")</f>
        <v>0</v>
      </c>
      <c r="K513">
        <f>IFERROR(SMALL(K149:K433,ROW()-ROW($K$436)+1),"")</f>
        <v>0</v>
      </c>
      <c r="L513">
        <f>IFERROR(SMALL(L149:L433,ROW()-ROW($L$436)+1),"")</f>
        <v>0</v>
      </c>
      <c r="M513">
        <f>IFERROR(SMALL(M149:M433,ROW()-ROW($M$436)+1),"")</f>
        <v>0</v>
      </c>
      <c r="N513">
        <f>IFERROR(SMALL(N149:N433,ROW()-ROW($N$436)+1),"")</f>
        <v>0</v>
      </c>
    </row>
    <row r="514" spans="5:14">
      <c r="E514">
        <f>IFERROR(SMALL(E149:E433,ROW()-ROW($E$436)+1),"")</f>
        <v>0</v>
      </c>
      <c r="F514">
        <f>IFERROR(SMALL(F149:F433,ROW()-ROW($F$436)+1),"")</f>
        <v>0</v>
      </c>
      <c r="G514">
        <f>IFERROR(SMALL(G149:G433,ROW()-ROW($G$436)+1),"")</f>
        <v>0</v>
      </c>
      <c r="H514">
        <f>IFERROR(SMALL(H149:H433,ROW()-ROW($H$436)+1),"")</f>
        <v>0</v>
      </c>
      <c r="K514">
        <f>IFERROR(SMALL(K149:K433,ROW()-ROW($K$436)+1),"")</f>
        <v>0</v>
      </c>
      <c r="L514">
        <f>IFERROR(SMALL(L149:L433,ROW()-ROW($L$436)+1),"")</f>
        <v>0</v>
      </c>
      <c r="M514">
        <f>IFERROR(SMALL(M149:M433,ROW()-ROW($M$436)+1),"")</f>
        <v>0</v>
      </c>
      <c r="N514">
        <f>IFERROR(SMALL(N149:N433,ROW()-ROW($N$436)+1),"")</f>
        <v>0</v>
      </c>
    </row>
    <row r="515" spans="5:14">
      <c r="E515">
        <f>IFERROR(SMALL(E149:E433,ROW()-ROW($E$436)+1),"")</f>
        <v>0</v>
      </c>
      <c r="F515">
        <f>IFERROR(SMALL(F149:F433,ROW()-ROW($F$436)+1),"")</f>
        <v>0</v>
      </c>
      <c r="G515">
        <f>IFERROR(SMALL(G149:G433,ROW()-ROW($G$436)+1),"")</f>
        <v>0</v>
      </c>
      <c r="H515">
        <f>IFERROR(SMALL(H149:H433,ROW()-ROW($H$436)+1),"")</f>
        <v>0</v>
      </c>
      <c r="K515">
        <f>IFERROR(SMALL(K149:K433,ROW()-ROW($K$436)+1),"")</f>
        <v>0</v>
      </c>
      <c r="L515">
        <f>IFERROR(SMALL(L149:L433,ROW()-ROW($L$436)+1),"")</f>
        <v>0</v>
      </c>
      <c r="M515">
        <f>IFERROR(SMALL(M149:M433,ROW()-ROW($M$436)+1),"")</f>
        <v>0</v>
      </c>
      <c r="N515">
        <f>IFERROR(SMALL(N149:N433,ROW()-ROW($N$436)+1),"")</f>
        <v>0</v>
      </c>
    </row>
    <row r="516" spans="5:14">
      <c r="E516">
        <f>IFERROR(SMALL(E149:E433,ROW()-ROW($E$436)+1),"")</f>
        <v>0</v>
      </c>
      <c r="F516">
        <f>IFERROR(SMALL(F149:F433,ROW()-ROW($F$436)+1),"")</f>
        <v>0</v>
      </c>
      <c r="G516">
        <f>IFERROR(SMALL(G149:G433,ROW()-ROW($G$436)+1),"")</f>
        <v>0</v>
      </c>
      <c r="H516">
        <f>IFERROR(SMALL(H149:H433,ROW()-ROW($H$436)+1),"")</f>
        <v>0</v>
      </c>
      <c r="K516">
        <f>IFERROR(SMALL(K149:K433,ROW()-ROW($K$436)+1),"")</f>
        <v>0</v>
      </c>
      <c r="L516">
        <f>IFERROR(SMALL(L149:L433,ROW()-ROW($L$436)+1),"")</f>
        <v>0</v>
      </c>
      <c r="M516">
        <f>IFERROR(SMALL(M149:M433,ROW()-ROW($M$436)+1),"")</f>
        <v>0</v>
      </c>
      <c r="N516">
        <f>IFERROR(SMALL(N149:N433,ROW()-ROW($N$436)+1),"")</f>
        <v>0</v>
      </c>
    </row>
    <row r="517" spans="5:14">
      <c r="E517">
        <f>IFERROR(SMALL(E149:E433,ROW()-ROW($E$436)+1),"")</f>
        <v>0</v>
      </c>
      <c r="F517">
        <f>IFERROR(SMALL(F149:F433,ROW()-ROW($F$436)+1),"")</f>
        <v>0</v>
      </c>
      <c r="G517">
        <f>IFERROR(SMALL(G149:G433,ROW()-ROW($G$436)+1),"")</f>
        <v>0</v>
      </c>
      <c r="H517">
        <f>IFERROR(SMALL(H149:H433,ROW()-ROW($H$436)+1),"")</f>
        <v>0</v>
      </c>
      <c r="K517">
        <f>IFERROR(SMALL(K149:K433,ROW()-ROW($K$436)+1),"")</f>
        <v>0</v>
      </c>
      <c r="L517">
        <f>IFERROR(SMALL(L149:L433,ROW()-ROW($L$436)+1),"")</f>
        <v>0</v>
      </c>
      <c r="M517">
        <f>IFERROR(SMALL(M149:M433,ROW()-ROW($M$436)+1),"")</f>
        <v>0</v>
      </c>
      <c r="N517">
        <f>IFERROR(SMALL(N149:N433,ROW()-ROW($N$436)+1),"")</f>
        <v>0</v>
      </c>
    </row>
    <row r="518" spans="5:14">
      <c r="E518">
        <f>IFERROR(SMALL(E149:E433,ROW()-ROW($E$436)+1),"")</f>
        <v>0</v>
      </c>
      <c r="F518">
        <f>IFERROR(SMALL(F149:F433,ROW()-ROW($F$436)+1),"")</f>
        <v>0</v>
      </c>
      <c r="G518">
        <f>IFERROR(SMALL(G149:G433,ROW()-ROW($G$436)+1),"")</f>
        <v>0</v>
      </c>
      <c r="H518">
        <f>IFERROR(SMALL(H149:H433,ROW()-ROW($H$436)+1),"")</f>
        <v>0</v>
      </c>
      <c r="K518">
        <f>IFERROR(SMALL(K149:K433,ROW()-ROW($K$436)+1),"")</f>
        <v>0</v>
      </c>
      <c r="L518">
        <f>IFERROR(SMALL(L149:L433,ROW()-ROW($L$436)+1),"")</f>
        <v>0</v>
      </c>
      <c r="M518">
        <f>IFERROR(SMALL(M149:M433,ROW()-ROW($M$436)+1),"")</f>
        <v>0</v>
      </c>
      <c r="N518">
        <f>IFERROR(SMALL(N149:N433,ROW()-ROW($N$436)+1),"")</f>
        <v>0</v>
      </c>
    </row>
    <row r="519" spans="5:14">
      <c r="E519">
        <f>IFERROR(SMALL(E149:E433,ROW()-ROW($E$436)+1),"")</f>
        <v>0</v>
      </c>
      <c r="F519">
        <f>IFERROR(SMALL(F149:F433,ROW()-ROW($F$436)+1),"")</f>
        <v>0</v>
      </c>
      <c r="G519">
        <f>IFERROR(SMALL(G149:G433,ROW()-ROW($G$436)+1),"")</f>
        <v>0</v>
      </c>
      <c r="H519">
        <f>IFERROR(SMALL(H149:H433,ROW()-ROW($H$436)+1),"")</f>
        <v>0</v>
      </c>
      <c r="K519">
        <f>IFERROR(SMALL(K149:K433,ROW()-ROW($K$436)+1),"")</f>
        <v>0</v>
      </c>
      <c r="L519">
        <f>IFERROR(SMALL(L149:L433,ROW()-ROW($L$436)+1),"")</f>
        <v>0</v>
      </c>
      <c r="M519">
        <f>IFERROR(SMALL(M149:M433,ROW()-ROW($M$436)+1),"")</f>
        <v>0</v>
      </c>
      <c r="N519">
        <f>IFERROR(SMALL(N149:N433,ROW()-ROW($N$436)+1),"")</f>
        <v>0</v>
      </c>
    </row>
    <row r="520" spans="5:14">
      <c r="E520">
        <f>IFERROR(SMALL(E149:E433,ROW()-ROW($E$436)+1),"")</f>
        <v>0</v>
      </c>
      <c r="F520">
        <f>IFERROR(SMALL(F149:F433,ROW()-ROW($F$436)+1),"")</f>
        <v>0</v>
      </c>
      <c r="G520">
        <f>IFERROR(SMALL(G149:G433,ROW()-ROW($G$436)+1),"")</f>
        <v>0</v>
      </c>
      <c r="H520">
        <f>IFERROR(SMALL(H149:H433,ROW()-ROW($H$436)+1),"")</f>
        <v>0</v>
      </c>
      <c r="K520">
        <f>IFERROR(SMALL(K149:K433,ROW()-ROW($K$436)+1),"")</f>
        <v>0</v>
      </c>
      <c r="L520">
        <f>IFERROR(SMALL(L149:L433,ROW()-ROW($L$436)+1),"")</f>
        <v>0</v>
      </c>
      <c r="M520">
        <f>IFERROR(SMALL(M149:M433,ROW()-ROW($M$436)+1),"")</f>
        <v>0</v>
      </c>
      <c r="N520">
        <f>IFERROR(SMALL(N149:N433,ROW()-ROW($N$436)+1),"")</f>
        <v>0</v>
      </c>
    </row>
    <row r="521" spans="5:14">
      <c r="E521">
        <f>IFERROR(SMALL(E149:E433,ROW()-ROW($E$436)+1),"")</f>
        <v>0</v>
      </c>
      <c r="F521">
        <f>IFERROR(SMALL(F149:F433,ROW()-ROW($F$436)+1),"")</f>
        <v>0</v>
      </c>
      <c r="G521">
        <f>IFERROR(SMALL(G149:G433,ROW()-ROW($G$436)+1),"")</f>
        <v>0</v>
      </c>
      <c r="H521">
        <f>IFERROR(SMALL(H149:H433,ROW()-ROW($H$436)+1),"")</f>
        <v>0</v>
      </c>
      <c r="K521">
        <f>IFERROR(SMALL(K149:K433,ROW()-ROW($K$436)+1),"")</f>
        <v>0</v>
      </c>
      <c r="L521">
        <f>IFERROR(SMALL(L149:L433,ROW()-ROW($L$436)+1),"")</f>
        <v>0</v>
      </c>
      <c r="M521">
        <f>IFERROR(SMALL(M149:M433,ROW()-ROW($M$436)+1),"")</f>
        <v>0</v>
      </c>
      <c r="N521">
        <f>IFERROR(SMALL(N149:N433,ROW()-ROW($N$436)+1),"")</f>
        <v>0</v>
      </c>
    </row>
    <row r="522" spans="5:14">
      <c r="E522">
        <f>IFERROR(SMALL(E149:E433,ROW()-ROW($E$436)+1),"")</f>
        <v>0</v>
      </c>
      <c r="F522">
        <f>IFERROR(SMALL(F149:F433,ROW()-ROW($F$436)+1),"")</f>
        <v>0</v>
      </c>
      <c r="G522">
        <f>IFERROR(SMALL(G149:G433,ROW()-ROW($G$436)+1),"")</f>
        <v>0</v>
      </c>
      <c r="H522">
        <f>IFERROR(SMALL(H149:H433,ROW()-ROW($H$436)+1),"")</f>
        <v>0</v>
      </c>
      <c r="K522">
        <f>IFERROR(SMALL(K149:K433,ROW()-ROW($K$436)+1),"")</f>
        <v>0</v>
      </c>
      <c r="L522">
        <f>IFERROR(SMALL(L149:L433,ROW()-ROW($L$436)+1),"")</f>
        <v>0</v>
      </c>
      <c r="M522">
        <f>IFERROR(SMALL(M149:M433,ROW()-ROW($M$436)+1),"")</f>
        <v>0</v>
      </c>
      <c r="N522">
        <f>IFERROR(SMALL(N149:N433,ROW()-ROW($N$436)+1),"")</f>
        <v>0</v>
      </c>
    </row>
    <row r="523" spans="5:14">
      <c r="E523">
        <f>IFERROR(SMALL(E149:E433,ROW()-ROW($E$436)+1),"")</f>
        <v>0</v>
      </c>
      <c r="F523">
        <f>IFERROR(SMALL(F149:F433,ROW()-ROW($F$436)+1),"")</f>
        <v>0</v>
      </c>
      <c r="G523">
        <f>IFERROR(SMALL(G149:G433,ROW()-ROW($G$436)+1),"")</f>
        <v>0</v>
      </c>
      <c r="H523">
        <f>IFERROR(SMALL(H149:H433,ROW()-ROW($H$436)+1),"")</f>
        <v>0</v>
      </c>
      <c r="K523">
        <f>IFERROR(SMALL(K149:K433,ROW()-ROW($K$436)+1),"")</f>
        <v>0</v>
      </c>
      <c r="L523">
        <f>IFERROR(SMALL(L149:L433,ROW()-ROW($L$436)+1),"")</f>
        <v>0</v>
      </c>
      <c r="M523">
        <f>IFERROR(SMALL(M149:M433,ROW()-ROW($M$436)+1),"")</f>
        <v>0</v>
      </c>
      <c r="N523">
        <f>IFERROR(SMALL(N149:N433,ROW()-ROW($N$436)+1),"")</f>
        <v>0</v>
      </c>
    </row>
    <row r="524" spans="5:14">
      <c r="E524">
        <f>IFERROR(SMALL(E149:E433,ROW()-ROW($E$436)+1),"")</f>
        <v>0</v>
      </c>
      <c r="F524">
        <f>IFERROR(SMALL(F149:F433,ROW()-ROW($F$436)+1),"")</f>
        <v>0</v>
      </c>
      <c r="G524">
        <f>IFERROR(SMALL(G149:G433,ROW()-ROW($G$436)+1),"")</f>
        <v>0</v>
      </c>
      <c r="H524">
        <f>IFERROR(SMALL(H149:H433,ROW()-ROW($H$436)+1),"")</f>
        <v>0</v>
      </c>
      <c r="K524">
        <f>IFERROR(SMALL(K149:K433,ROW()-ROW($K$436)+1),"")</f>
        <v>0</v>
      </c>
      <c r="L524">
        <f>IFERROR(SMALL(L149:L433,ROW()-ROW($L$436)+1),"")</f>
        <v>0</v>
      </c>
      <c r="M524">
        <f>IFERROR(SMALL(M149:M433,ROW()-ROW($M$436)+1),"")</f>
        <v>0</v>
      </c>
      <c r="N524">
        <f>IFERROR(SMALL(N149:N433,ROW()-ROW($N$436)+1),"")</f>
        <v>0</v>
      </c>
    </row>
    <row r="525" spans="5:14">
      <c r="E525">
        <f>IFERROR(SMALL(E149:E433,ROW()-ROW($E$436)+1),"")</f>
        <v>0</v>
      </c>
      <c r="F525">
        <f>IFERROR(SMALL(F149:F433,ROW()-ROW($F$436)+1),"")</f>
        <v>0</v>
      </c>
      <c r="G525">
        <f>IFERROR(SMALL(G149:G433,ROW()-ROW($G$436)+1),"")</f>
        <v>0</v>
      </c>
      <c r="H525">
        <f>IFERROR(SMALL(H149:H433,ROW()-ROW($H$436)+1),"")</f>
        <v>0</v>
      </c>
      <c r="K525">
        <f>IFERROR(SMALL(K149:K433,ROW()-ROW($K$436)+1),"")</f>
        <v>0</v>
      </c>
      <c r="L525">
        <f>IFERROR(SMALL(L149:L433,ROW()-ROW($L$436)+1),"")</f>
        <v>0</v>
      </c>
      <c r="M525">
        <f>IFERROR(SMALL(M149:M433,ROW()-ROW($M$436)+1),"")</f>
        <v>0</v>
      </c>
      <c r="N525">
        <f>IFERROR(SMALL(N149:N433,ROW()-ROW($N$436)+1),"")</f>
        <v>0</v>
      </c>
    </row>
    <row r="526" spans="5:14">
      <c r="E526">
        <f>IFERROR(SMALL(E149:E433,ROW()-ROW($E$436)+1),"")</f>
        <v>0</v>
      </c>
      <c r="F526">
        <f>IFERROR(SMALL(F149:F433,ROW()-ROW($F$436)+1),"")</f>
        <v>0</v>
      </c>
      <c r="G526">
        <f>IFERROR(SMALL(G149:G433,ROW()-ROW($G$436)+1),"")</f>
        <v>0</v>
      </c>
      <c r="H526">
        <f>IFERROR(SMALL(H149:H433,ROW()-ROW($H$436)+1),"")</f>
        <v>0</v>
      </c>
      <c r="K526">
        <f>IFERROR(SMALL(K149:K433,ROW()-ROW($K$436)+1),"")</f>
        <v>0</v>
      </c>
      <c r="L526">
        <f>IFERROR(SMALL(L149:L433,ROW()-ROW($L$436)+1),"")</f>
        <v>0</v>
      </c>
      <c r="M526">
        <f>IFERROR(SMALL(M149:M433,ROW()-ROW($M$436)+1),"")</f>
        <v>0</v>
      </c>
      <c r="N526">
        <f>IFERROR(SMALL(N149:N433,ROW()-ROW($N$436)+1),"")</f>
        <v>0</v>
      </c>
    </row>
    <row r="527" spans="5:14">
      <c r="E527">
        <f>IFERROR(SMALL(E149:E433,ROW()-ROW($E$436)+1),"")</f>
        <v>0</v>
      </c>
      <c r="F527">
        <f>IFERROR(SMALL(F149:F433,ROW()-ROW($F$436)+1),"")</f>
        <v>0</v>
      </c>
      <c r="G527">
        <f>IFERROR(SMALL(G149:G433,ROW()-ROW($G$436)+1),"")</f>
        <v>0</v>
      </c>
      <c r="H527">
        <f>IFERROR(SMALL(H149:H433,ROW()-ROW($H$436)+1),"")</f>
        <v>0</v>
      </c>
      <c r="K527">
        <f>IFERROR(SMALL(K149:K433,ROW()-ROW($K$436)+1),"")</f>
        <v>0</v>
      </c>
      <c r="L527">
        <f>IFERROR(SMALL(L149:L433,ROW()-ROW($L$436)+1),"")</f>
        <v>0</v>
      </c>
      <c r="M527">
        <f>IFERROR(SMALL(M149:M433,ROW()-ROW($M$436)+1),"")</f>
        <v>0</v>
      </c>
      <c r="N527">
        <f>IFERROR(SMALL(N149:N433,ROW()-ROW($N$436)+1),"")</f>
        <v>0</v>
      </c>
    </row>
    <row r="528" spans="5:14">
      <c r="E528">
        <f>IFERROR(SMALL(E149:E433,ROW()-ROW($E$436)+1),"")</f>
        <v>0</v>
      </c>
      <c r="F528">
        <f>IFERROR(SMALL(F149:F433,ROW()-ROW($F$436)+1),"")</f>
        <v>0</v>
      </c>
      <c r="G528">
        <f>IFERROR(SMALL(G149:G433,ROW()-ROW($G$436)+1),"")</f>
        <v>0</v>
      </c>
      <c r="H528">
        <f>IFERROR(SMALL(H149:H433,ROW()-ROW($H$436)+1),"")</f>
        <v>0</v>
      </c>
      <c r="K528">
        <f>IFERROR(SMALL(K149:K433,ROW()-ROW($K$436)+1),"")</f>
        <v>0</v>
      </c>
      <c r="L528">
        <f>IFERROR(SMALL(L149:L433,ROW()-ROW($L$436)+1),"")</f>
        <v>0</v>
      </c>
      <c r="M528">
        <f>IFERROR(SMALL(M149:M433,ROW()-ROW($M$436)+1),"")</f>
        <v>0</v>
      </c>
      <c r="N528">
        <f>IFERROR(SMALL(N149:N433,ROW()-ROW($N$436)+1),"")</f>
        <v>0</v>
      </c>
    </row>
    <row r="529" spans="5:14">
      <c r="E529">
        <f>IFERROR(SMALL(E149:E433,ROW()-ROW($E$436)+1),"")</f>
        <v>0</v>
      </c>
      <c r="F529">
        <f>IFERROR(SMALL(F149:F433,ROW()-ROW($F$436)+1),"")</f>
        <v>0</v>
      </c>
      <c r="G529">
        <f>IFERROR(SMALL(G149:G433,ROW()-ROW($G$436)+1),"")</f>
        <v>0</v>
      </c>
      <c r="H529">
        <f>IFERROR(SMALL(H149:H433,ROW()-ROW($H$436)+1),"")</f>
        <v>0</v>
      </c>
      <c r="K529">
        <f>IFERROR(SMALL(K149:K433,ROW()-ROW($K$436)+1),"")</f>
        <v>0</v>
      </c>
      <c r="L529">
        <f>IFERROR(SMALL(L149:L433,ROW()-ROW($L$436)+1),"")</f>
        <v>0</v>
      </c>
      <c r="M529">
        <f>IFERROR(SMALL(M149:M433,ROW()-ROW($M$436)+1),"")</f>
        <v>0</v>
      </c>
      <c r="N529">
        <f>IFERROR(SMALL(N149:N433,ROW()-ROW($N$436)+1),"")</f>
        <v>0</v>
      </c>
    </row>
    <row r="530" spans="5:14">
      <c r="E530">
        <f>IFERROR(SMALL(E149:E433,ROW()-ROW($E$436)+1),"")</f>
        <v>0</v>
      </c>
      <c r="F530">
        <f>IFERROR(SMALL(F149:F433,ROW()-ROW($F$436)+1),"")</f>
        <v>0</v>
      </c>
      <c r="G530">
        <f>IFERROR(SMALL(G149:G433,ROW()-ROW($G$436)+1),"")</f>
        <v>0</v>
      </c>
      <c r="H530">
        <f>IFERROR(SMALL(H149:H433,ROW()-ROW($H$436)+1),"")</f>
        <v>0</v>
      </c>
      <c r="K530">
        <f>IFERROR(SMALL(K149:K433,ROW()-ROW($K$436)+1),"")</f>
        <v>0</v>
      </c>
      <c r="L530">
        <f>IFERROR(SMALL(L149:L433,ROW()-ROW($L$436)+1),"")</f>
        <v>0</v>
      </c>
      <c r="M530">
        <f>IFERROR(SMALL(M149:M433,ROW()-ROW($M$436)+1),"")</f>
        <v>0</v>
      </c>
      <c r="N530">
        <f>IFERROR(SMALL(N149:N433,ROW()-ROW($N$436)+1),"")</f>
        <v>0</v>
      </c>
    </row>
    <row r="531" spans="5:14">
      <c r="E531">
        <f>IFERROR(SMALL(E149:E433,ROW()-ROW($E$436)+1),"")</f>
        <v>0</v>
      </c>
      <c r="F531">
        <f>IFERROR(SMALL(F149:F433,ROW()-ROW($F$436)+1),"")</f>
        <v>0</v>
      </c>
      <c r="G531">
        <f>IFERROR(SMALL(G149:G433,ROW()-ROW($G$436)+1),"")</f>
        <v>0</v>
      </c>
      <c r="H531">
        <f>IFERROR(SMALL(H149:H433,ROW()-ROW($H$436)+1),"")</f>
        <v>0</v>
      </c>
      <c r="K531">
        <f>IFERROR(SMALL(K149:K433,ROW()-ROW($K$436)+1),"")</f>
        <v>0</v>
      </c>
      <c r="L531">
        <f>IFERROR(SMALL(L149:L433,ROW()-ROW($L$436)+1),"")</f>
        <v>0</v>
      </c>
      <c r="M531">
        <f>IFERROR(SMALL(M149:M433,ROW()-ROW($M$436)+1),"")</f>
        <v>0</v>
      </c>
      <c r="N531">
        <f>IFERROR(SMALL(N149:N433,ROW()-ROW($N$436)+1),"")</f>
        <v>0</v>
      </c>
    </row>
    <row r="532" spans="5:14">
      <c r="E532">
        <f>IFERROR(SMALL(E149:E433,ROW()-ROW($E$436)+1),"")</f>
        <v>0</v>
      </c>
      <c r="F532">
        <f>IFERROR(SMALL(F149:F433,ROW()-ROW($F$436)+1),"")</f>
        <v>0</v>
      </c>
      <c r="G532">
        <f>IFERROR(SMALL(G149:G433,ROW()-ROW($G$436)+1),"")</f>
        <v>0</v>
      </c>
      <c r="H532">
        <f>IFERROR(SMALL(H149:H433,ROW()-ROW($H$436)+1),"")</f>
        <v>0</v>
      </c>
      <c r="K532">
        <f>IFERROR(SMALL(K149:K433,ROW()-ROW($K$436)+1),"")</f>
        <v>0</v>
      </c>
      <c r="L532">
        <f>IFERROR(SMALL(L149:L433,ROW()-ROW($L$436)+1),"")</f>
        <v>0</v>
      </c>
      <c r="M532">
        <f>IFERROR(SMALL(M149:M433,ROW()-ROW($M$436)+1),"")</f>
        <v>0</v>
      </c>
      <c r="N532">
        <f>IFERROR(SMALL(N149:N433,ROW()-ROW($N$436)+1),"")</f>
        <v>0</v>
      </c>
    </row>
    <row r="533" spans="5:14">
      <c r="E533">
        <f>IFERROR(SMALL(E149:E433,ROW()-ROW($E$436)+1),"")</f>
        <v>0</v>
      </c>
      <c r="F533">
        <f>IFERROR(SMALL(F149:F433,ROW()-ROW($F$436)+1),"")</f>
        <v>0</v>
      </c>
      <c r="G533">
        <f>IFERROR(SMALL(G149:G433,ROW()-ROW($G$436)+1),"")</f>
        <v>0</v>
      </c>
      <c r="H533">
        <f>IFERROR(SMALL(H149:H433,ROW()-ROW($H$436)+1),"")</f>
        <v>0</v>
      </c>
      <c r="K533">
        <f>IFERROR(SMALL(K149:K433,ROW()-ROW($K$436)+1),"")</f>
        <v>0</v>
      </c>
      <c r="L533">
        <f>IFERROR(SMALL(L149:L433,ROW()-ROW($L$436)+1),"")</f>
        <v>0</v>
      </c>
      <c r="M533">
        <f>IFERROR(SMALL(M149:M433,ROW()-ROW($M$436)+1),"")</f>
        <v>0</v>
      </c>
      <c r="N533">
        <f>IFERROR(SMALL(N149:N433,ROW()-ROW($N$436)+1),"")</f>
        <v>0</v>
      </c>
    </row>
    <row r="534" spans="5:14">
      <c r="E534">
        <f>IFERROR(SMALL(E149:E433,ROW()-ROW($E$436)+1),"")</f>
        <v>0</v>
      </c>
      <c r="F534">
        <f>IFERROR(SMALL(F149:F433,ROW()-ROW($F$436)+1),"")</f>
        <v>0</v>
      </c>
      <c r="G534">
        <f>IFERROR(SMALL(G149:G433,ROW()-ROW($G$436)+1),"")</f>
        <v>0</v>
      </c>
      <c r="H534">
        <f>IFERROR(SMALL(H149:H433,ROW()-ROW($H$436)+1),"")</f>
        <v>0</v>
      </c>
      <c r="K534">
        <f>IFERROR(SMALL(K149:K433,ROW()-ROW($K$436)+1),"")</f>
        <v>0</v>
      </c>
      <c r="L534">
        <f>IFERROR(SMALL(L149:L433,ROW()-ROW($L$436)+1),"")</f>
        <v>0</v>
      </c>
      <c r="M534">
        <f>IFERROR(SMALL(M149:M433,ROW()-ROW($M$436)+1),"")</f>
        <v>0</v>
      </c>
      <c r="N534">
        <f>IFERROR(SMALL(N149:N433,ROW()-ROW($N$436)+1),"")</f>
        <v>0</v>
      </c>
    </row>
    <row r="535" spans="5:14">
      <c r="E535">
        <f>IFERROR(SMALL(E149:E433,ROW()-ROW($E$436)+1),"")</f>
        <v>0</v>
      </c>
      <c r="F535">
        <f>IFERROR(SMALL(F149:F433,ROW()-ROW($F$436)+1),"")</f>
        <v>0</v>
      </c>
      <c r="G535">
        <f>IFERROR(SMALL(G149:G433,ROW()-ROW($G$436)+1),"")</f>
        <v>0</v>
      </c>
      <c r="H535">
        <f>IFERROR(SMALL(H149:H433,ROW()-ROW($H$436)+1),"")</f>
        <v>0</v>
      </c>
      <c r="K535">
        <f>IFERROR(SMALL(K149:K433,ROW()-ROW($K$436)+1),"")</f>
        <v>0</v>
      </c>
      <c r="L535">
        <f>IFERROR(SMALL(L149:L433,ROW()-ROW($L$436)+1),"")</f>
        <v>0</v>
      </c>
      <c r="M535">
        <f>IFERROR(SMALL(M149:M433,ROW()-ROW($M$436)+1),"")</f>
        <v>0</v>
      </c>
      <c r="N535">
        <f>IFERROR(SMALL(N149:N433,ROW()-ROW($N$436)+1),"")</f>
        <v>0</v>
      </c>
    </row>
    <row r="536" spans="5:14">
      <c r="E536">
        <f>IFERROR(SMALL(E149:E433,ROW()-ROW($E$436)+1),"")</f>
        <v>0</v>
      </c>
      <c r="F536">
        <f>IFERROR(SMALL(F149:F433,ROW()-ROW($F$436)+1),"")</f>
        <v>0</v>
      </c>
      <c r="G536">
        <f>IFERROR(SMALL(G149:G433,ROW()-ROW($G$436)+1),"")</f>
        <v>0</v>
      </c>
      <c r="H536">
        <f>IFERROR(SMALL(H149:H433,ROW()-ROW($H$436)+1),"")</f>
        <v>0</v>
      </c>
      <c r="K536">
        <f>IFERROR(SMALL(K149:K433,ROW()-ROW($K$436)+1),"")</f>
        <v>0</v>
      </c>
      <c r="L536">
        <f>IFERROR(SMALL(L149:L433,ROW()-ROW($L$436)+1),"")</f>
        <v>0</v>
      </c>
      <c r="M536">
        <f>IFERROR(SMALL(M149:M433,ROW()-ROW($M$436)+1),"")</f>
        <v>0</v>
      </c>
      <c r="N536">
        <f>IFERROR(SMALL(N149:N433,ROW()-ROW($N$436)+1),"")</f>
        <v>0</v>
      </c>
    </row>
    <row r="537" spans="5:14">
      <c r="E537">
        <f>IFERROR(SMALL(E149:E433,ROW()-ROW($E$436)+1),"")</f>
        <v>0</v>
      </c>
      <c r="F537">
        <f>IFERROR(SMALL(F149:F433,ROW()-ROW($F$436)+1),"")</f>
        <v>0</v>
      </c>
      <c r="G537">
        <f>IFERROR(SMALL(G149:G433,ROW()-ROW($G$436)+1),"")</f>
        <v>0</v>
      </c>
      <c r="H537">
        <f>IFERROR(SMALL(H149:H433,ROW()-ROW($H$436)+1),"")</f>
        <v>0</v>
      </c>
      <c r="K537">
        <f>IFERROR(SMALL(K149:K433,ROW()-ROW($K$436)+1),"")</f>
        <v>0</v>
      </c>
      <c r="L537">
        <f>IFERROR(SMALL(L149:L433,ROW()-ROW($L$436)+1),"")</f>
        <v>0</v>
      </c>
      <c r="M537">
        <f>IFERROR(SMALL(M149:M433,ROW()-ROW($M$436)+1),"")</f>
        <v>0</v>
      </c>
      <c r="N537">
        <f>IFERROR(SMALL(N149:N433,ROW()-ROW($N$436)+1),"")</f>
        <v>0</v>
      </c>
    </row>
    <row r="538" spans="5:14">
      <c r="E538">
        <f>IFERROR(SMALL(E149:E433,ROW()-ROW($E$436)+1),"")</f>
        <v>0</v>
      </c>
      <c r="F538">
        <f>IFERROR(SMALL(F149:F433,ROW()-ROW($F$436)+1),"")</f>
        <v>0</v>
      </c>
      <c r="G538">
        <f>IFERROR(SMALL(G149:G433,ROW()-ROW($G$436)+1),"")</f>
        <v>0</v>
      </c>
      <c r="H538">
        <f>IFERROR(SMALL(H149:H433,ROW()-ROW($H$436)+1),"")</f>
        <v>0</v>
      </c>
      <c r="K538">
        <f>IFERROR(SMALL(K149:K433,ROW()-ROW($K$436)+1),"")</f>
        <v>0</v>
      </c>
      <c r="L538">
        <f>IFERROR(SMALL(L149:L433,ROW()-ROW($L$436)+1),"")</f>
        <v>0</v>
      </c>
      <c r="M538">
        <f>IFERROR(SMALL(M149:M433,ROW()-ROW($M$436)+1),"")</f>
        <v>0</v>
      </c>
      <c r="N538">
        <f>IFERROR(SMALL(N149:N433,ROW()-ROW($N$436)+1),"")</f>
        <v>0</v>
      </c>
    </row>
    <row r="539" spans="5:14">
      <c r="E539">
        <f>IFERROR(SMALL(E149:E433,ROW()-ROW($E$436)+1),"")</f>
        <v>0</v>
      </c>
      <c r="F539">
        <f>IFERROR(SMALL(F149:F433,ROW()-ROW($F$436)+1),"")</f>
        <v>0</v>
      </c>
      <c r="G539">
        <f>IFERROR(SMALL(G149:G433,ROW()-ROW($G$436)+1),"")</f>
        <v>0</v>
      </c>
      <c r="H539">
        <f>IFERROR(SMALL(H149:H433,ROW()-ROW($H$436)+1),"")</f>
        <v>0</v>
      </c>
      <c r="K539">
        <f>IFERROR(SMALL(K149:K433,ROW()-ROW($K$436)+1),"")</f>
        <v>0</v>
      </c>
      <c r="L539">
        <f>IFERROR(SMALL(L149:L433,ROW()-ROW($L$436)+1),"")</f>
        <v>0</v>
      </c>
      <c r="M539">
        <f>IFERROR(SMALL(M149:M433,ROW()-ROW($M$436)+1),"")</f>
        <v>0</v>
      </c>
      <c r="N539">
        <f>IFERROR(SMALL(N149:N433,ROW()-ROW($N$436)+1),"")</f>
        <v>0</v>
      </c>
    </row>
    <row r="540" spans="5:14">
      <c r="E540">
        <f>IFERROR(SMALL(E149:E433,ROW()-ROW($E$436)+1),"")</f>
        <v>0</v>
      </c>
      <c r="F540">
        <f>IFERROR(SMALL(F149:F433,ROW()-ROW($F$436)+1),"")</f>
        <v>0</v>
      </c>
      <c r="G540">
        <f>IFERROR(SMALL(G149:G433,ROW()-ROW($G$436)+1),"")</f>
        <v>0</v>
      </c>
      <c r="H540">
        <f>IFERROR(SMALL(H149:H433,ROW()-ROW($H$436)+1),"")</f>
        <v>0</v>
      </c>
      <c r="K540">
        <f>IFERROR(SMALL(K149:K433,ROW()-ROW($K$436)+1),"")</f>
        <v>0</v>
      </c>
      <c r="L540">
        <f>IFERROR(SMALL(L149:L433,ROW()-ROW($L$436)+1),"")</f>
        <v>0</v>
      </c>
      <c r="M540">
        <f>IFERROR(SMALL(M149:M433,ROW()-ROW($M$436)+1),"")</f>
        <v>0</v>
      </c>
      <c r="N540">
        <f>IFERROR(SMALL(N149:N433,ROW()-ROW($N$436)+1),"")</f>
        <v>0</v>
      </c>
    </row>
    <row r="541" spans="5:14">
      <c r="E541">
        <f>IFERROR(SMALL(E149:E433,ROW()-ROW($E$436)+1),"")</f>
        <v>0</v>
      </c>
      <c r="F541">
        <f>IFERROR(SMALL(F149:F433,ROW()-ROW($F$436)+1),"")</f>
        <v>0</v>
      </c>
      <c r="G541">
        <f>IFERROR(SMALL(G149:G433,ROW()-ROW($G$436)+1),"")</f>
        <v>0</v>
      </c>
      <c r="H541">
        <f>IFERROR(SMALL(H149:H433,ROW()-ROW($H$436)+1),"")</f>
        <v>0</v>
      </c>
      <c r="K541">
        <f>IFERROR(SMALL(K149:K433,ROW()-ROW($K$436)+1),"")</f>
        <v>0</v>
      </c>
      <c r="L541">
        <f>IFERROR(SMALL(L149:L433,ROW()-ROW($L$436)+1),"")</f>
        <v>0</v>
      </c>
      <c r="M541">
        <f>IFERROR(SMALL(M149:M433,ROW()-ROW($M$436)+1),"")</f>
        <v>0</v>
      </c>
      <c r="N541">
        <f>IFERROR(SMALL(N149:N433,ROW()-ROW($N$436)+1),"")</f>
        <v>0</v>
      </c>
    </row>
    <row r="542" spans="5:14">
      <c r="E542">
        <f>IFERROR(SMALL(E149:E433,ROW()-ROW($E$436)+1),"")</f>
        <v>0</v>
      </c>
      <c r="F542">
        <f>IFERROR(SMALL(F149:F433,ROW()-ROW($F$436)+1),"")</f>
        <v>0</v>
      </c>
      <c r="G542">
        <f>IFERROR(SMALL(G149:G433,ROW()-ROW($G$436)+1),"")</f>
        <v>0</v>
      </c>
      <c r="H542">
        <f>IFERROR(SMALL(H149:H433,ROW()-ROW($H$436)+1),"")</f>
        <v>0</v>
      </c>
      <c r="K542">
        <f>IFERROR(SMALL(K149:K433,ROW()-ROW($K$436)+1),"")</f>
        <v>0</v>
      </c>
      <c r="L542">
        <f>IFERROR(SMALL(L149:L433,ROW()-ROW($L$436)+1),"")</f>
        <v>0</v>
      </c>
      <c r="M542">
        <f>IFERROR(SMALL(M149:M433,ROW()-ROW($M$436)+1),"")</f>
        <v>0</v>
      </c>
      <c r="N542">
        <f>IFERROR(SMALL(N149:N433,ROW()-ROW($N$436)+1),"")</f>
        <v>0</v>
      </c>
    </row>
    <row r="543" spans="5:14">
      <c r="E543">
        <f>IFERROR(SMALL(E149:E433,ROW()-ROW($E$436)+1),"")</f>
        <v>0</v>
      </c>
      <c r="F543">
        <f>IFERROR(SMALL(F149:F433,ROW()-ROW($F$436)+1),"")</f>
        <v>0</v>
      </c>
      <c r="G543">
        <f>IFERROR(SMALL(G149:G433,ROW()-ROW($G$436)+1),"")</f>
        <v>0</v>
      </c>
      <c r="H543">
        <f>IFERROR(SMALL(H149:H433,ROW()-ROW($H$436)+1),"")</f>
        <v>0</v>
      </c>
      <c r="K543">
        <f>IFERROR(SMALL(K149:K433,ROW()-ROW($K$436)+1),"")</f>
        <v>0</v>
      </c>
      <c r="L543">
        <f>IFERROR(SMALL(L149:L433,ROW()-ROW($L$436)+1),"")</f>
        <v>0</v>
      </c>
      <c r="M543">
        <f>IFERROR(SMALL(M149:M433,ROW()-ROW($M$436)+1),"")</f>
        <v>0</v>
      </c>
      <c r="N543">
        <f>IFERROR(SMALL(N149:N433,ROW()-ROW($N$436)+1),"")</f>
        <v>0</v>
      </c>
    </row>
    <row r="544" spans="5:14">
      <c r="E544">
        <f>IFERROR(SMALL(E149:E433,ROW()-ROW($E$436)+1),"")</f>
        <v>0</v>
      </c>
      <c r="F544">
        <f>IFERROR(SMALL(F149:F433,ROW()-ROW($F$436)+1),"")</f>
        <v>0</v>
      </c>
      <c r="G544">
        <f>IFERROR(SMALL(G149:G433,ROW()-ROW($G$436)+1),"")</f>
        <v>0</v>
      </c>
      <c r="H544">
        <f>IFERROR(SMALL(H149:H433,ROW()-ROW($H$436)+1),"")</f>
        <v>0</v>
      </c>
      <c r="K544">
        <f>IFERROR(SMALL(K149:K433,ROW()-ROW($K$436)+1),"")</f>
        <v>0</v>
      </c>
      <c r="L544">
        <f>IFERROR(SMALL(L149:L433,ROW()-ROW($L$436)+1),"")</f>
        <v>0</v>
      </c>
      <c r="M544">
        <f>IFERROR(SMALL(M149:M433,ROW()-ROW($M$436)+1),"")</f>
        <v>0</v>
      </c>
      <c r="N544">
        <f>IFERROR(SMALL(N149:N433,ROW()-ROW($N$436)+1),"")</f>
        <v>0</v>
      </c>
    </row>
    <row r="545" spans="5:14">
      <c r="E545">
        <f>IFERROR(SMALL(E149:E433,ROW()-ROW($E$436)+1),"")</f>
        <v>0</v>
      </c>
      <c r="F545">
        <f>IFERROR(SMALL(F149:F433,ROW()-ROW($F$436)+1),"")</f>
        <v>0</v>
      </c>
      <c r="G545">
        <f>IFERROR(SMALL(G149:G433,ROW()-ROW($G$436)+1),"")</f>
        <v>0</v>
      </c>
      <c r="H545">
        <f>IFERROR(SMALL(H149:H433,ROW()-ROW($H$436)+1),"")</f>
        <v>0</v>
      </c>
      <c r="K545">
        <f>IFERROR(SMALL(K149:K433,ROW()-ROW($K$436)+1),"")</f>
        <v>0</v>
      </c>
      <c r="L545">
        <f>IFERROR(SMALL(L149:L433,ROW()-ROW($L$436)+1),"")</f>
        <v>0</v>
      </c>
      <c r="M545">
        <f>IFERROR(SMALL(M149:M433,ROW()-ROW($M$436)+1),"")</f>
        <v>0</v>
      </c>
      <c r="N545">
        <f>IFERROR(SMALL(N149:N433,ROW()-ROW($N$436)+1),"")</f>
        <v>0</v>
      </c>
    </row>
    <row r="546" spans="5:14">
      <c r="E546">
        <f>IFERROR(SMALL(E149:E433,ROW()-ROW($E$436)+1),"")</f>
        <v>0</v>
      </c>
      <c r="F546">
        <f>IFERROR(SMALL(F149:F433,ROW()-ROW($F$436)+1),"")</f>
        <v>0</v>
      </c>
      <c r="G546">
        <f>IFERROR(SMALL(G149:G433,ROW()-ROW($G$436)+1),"")</f>
        <v>0</v>
      </c>
      <c r="H546">
        <f>IFERROR(SMALL(H149:H433,ROW()-ROW($H$436)+1),"")</f>
        <v>0</v>
      </c>
      <c r="K546">
        <f>IFERROR(SMALL(K149:K433,ROW()-ROW($K$436)+1),"")</f>
        <v>0</v>
      </c>
      <c r="L546">
        <f>IFERROR(SMALL(L149:L433,ROW()-ROW($L$436)+1),"")</f>
        <v>0</v>
      </c>
      <c r="M546">
        <f>IFERROR(SMALL(M149:M433,ROW()-ROW($M$436)+1),"")</f>
        <v>0</v>
      </c>
      <c r="N546">
        <f>IFERROR(SMALL(N149:N433,ROW()-ROW($N$436)+1),"")</f>
        <v>0</v>
      </c>
    </row>
    <row r="547" spans="5:14">
      <c r="E547">
        <f>IFERROR(SMALL(E149:E433,ROW()-ROW($E$436)+1),"")</f>
        <v>0</v>
      </c>
      <c r="F547">
        <f>IFERROR(SMALL(F149:F433,ROW()-ROW($F$436)+1),"")</f>
        <v>0</v>
      </c>
      <c r="G547">
        <f>IFERROR(SMALL(G149:G433,ROW()-ROW($G$436)+1),"")</f>
        <v>0</v>
      </c>
      <c r="H547">
        <f>IFERROR(SMALL(H149:H433,ROW()-ROW($H$436)+1),"")</f>
        <v>0</v>
      </c>
      <c r="K547">
        <f>IFERROR(SMALL(K149:K433,ROW()-ROW($K$436)+1),"")</f>
        <v>0</v>
      </c>
      <c r="L547">
        <f>IFERROR(SMALL(L149:L433,ROW()-ROW($L$436)+1),"")</f>
        <v>0</v>
      </c>
      <c r="M547">
        <f>IFERROR(SMALL(M149:M433,ROW()-ROW($M$436)+1),"")</f>
        <v>0</v>
      </c>
      <c r="N547">
        <f>IFERROR(SMALL(N149:N433,ROW()-ROW($N$436)+1),"")</f>
        <v>0</v>
      </c>
    </row>
    <row r="548" spans="5:14">
      <c r="E548">
        <f>IFERROR(SMALL(E149:E433,ROW()-ROW($E$436)+1),"")</f>
        <v>0</v>
      </c>
      <c r="F548">
        <f>IFERROR(SMALL(F149:F433,ROW()-ROW($F$436)+1),"")</f>
        <v>0</v>
      </c>
      <c r="G548">
        <f>IFERROR(SMALL(G149:G433,ROW()-ROW($G$436)+1),"")</f>
        <v>0</v>
      </c>
      <c r="H548">
        <f>IFERROR(SMALL(H149:H433,ROW()-ROW($H$436)+1),"")</f>
        <v>0</v>
      </c>
      <c r="K548">
        <f>IFERROR(SMALL(K149:K433,ROW()-ROW($K$436)+1),"")</f>
        <v>0</v>
      </c>
      <c r="L548">
        <f>IFERROR(SMALL(L149:L433,ROW()-ROW($L$436)+1),"")</f>
        <v>0</v>
      </c>
      <c r="M548">
        <f>IFERROR(SMALL(M149:M433,ROW()-ROW($M$436)+1),"")</f>
        <v>0</v>
      </c>
      <c r="N548">
        <f>IFERROR(SMALL(N149:N433,ROW()-ROW($N$436)+1),"")</f>
        <v>0</v>
      </c>
    </row>
    <row r="549" spans="5:14">
      <c r="E549">
        <f>IFERROR(SMALL(E149:E433,ROW()-ROW($E$436)+1),"")</f>
        <v>0</v>
      </c>
      <c r="F549">
        <f>IFERROR(SMALL(F149:F433,ROW()-ROW($F$436)+1),"")</f>
        <v>0</v>
      </c>
      <c r="G549">
        <f>IFERROR(SMALL(G149:G433,ROW()-ROW($G$436)+1),"")</f>
        <v>0</v>
      </c>
      <c r="H549">
        <f>IFERROR(SMALL(H149:H433,ROW()-ROW($H$436)+1),"")</f>
        <v>0</v>
      </c>
      <c r="K549">
        <f>IFERROR(SMALL(K149:K433,ROW()-ROW($K$436)+1),"")</f>
        <v>0</v>
      </c>
      <c r="L549">
        <f>IFERROR(SMALL(L149:L433,ROW()-ROW($L$436)+1),"")</f>
        <v>0</v>
      </c>
      <c r="M549">
        <f>IFERROR(SMALL(M149:M433,ROW()-ROW($M$436)+1),"")</f>
        <v>0</v>
      </c>
      <c r="N549">
        <f>IFERROR(SMALL(N149:N433,ROW()-ROW($N$436)+1),"")</f>
        <v>0</v>
      </c>
    </row>
    <row r="550" spans="5:14">
      <c r="E550">
        <f>IFERROR(SMALL(E149:E433,ROW()-ROW($E$436)+1),"")</f>
        <v>0</v>
      </c>
      <c r="F550">
        <f>IFERROR(SMALL(F149:F433,ROW()-ROW($F$436)+1),"")</f>
        <v>0</v>
      </c>
      <c r="G550">
        <f>IFERROR(SMALL(G149:G433,ROW()-ROW($G$436)+1),"")</f>
        <v>0</v>
      </c>
      <c r="H550">
        <f>IFERROR(SMALL(H149:H433,ROW()-ROW($H$436)+1),"")</f>
        <v>0</v>
      </c>
      <c r="K550">
        <f>IFERROR(SMALL(K149:K433,ROW()-ROW($K$436)+1),"")</f>
        <v>0</v>
      </c>
      <c r="L550">
        <f>IFERROR(SMALL(L149:L433,ROW()-ROW($L$436)+1),"")</f>
        <v>0</v>
      </c>
      <c r="M550">
        <f>IFERROR(SMALL(M149:M433,ROW()-ROW($M$436)+1),"")</f>
        <v>0</v>
      </c>
      <c r="N550">
        <f>IFERROR(SMALL(N149:N433,ROW()-ROW($N$436)+1),"")</f>
        <v>0</v>
      </c>
    </row>
    <row r="551" spans="5:14">
      <c r="E551">
        <f>IFERROR(SMALL(E149:E433,ROW()-ROW($E$436)+1),"")</f>
        <v>0</v>
      </c>
      <c r="F551">
        <f>IFERROR(SMALL(F149:F433,ROW()-ROW($F$436)+1),"")</f>
        <v>0</v>
      </c>
      <c r="G551">
        <f>IFERROR(SMALL(G149:G433,ROW()-ROW($G$436)+1),"")</f>
        <v>0</v>
      </c>
      <c r="H551">
        <f>IFERROR(SMALL(H149:H433,ROW()-ROW($H$436)+1),"")</f>
        <v>0</v>
      </c>
      <c r="K551">
        <f>IFERROR(SMALL(K149:K433,ROW()-ROW($K$436)+1),"")</f>
        <v>0</v>
      </c>
      <c r="L551">
        <f>IFERROR(SMALL(L149:L433,ROW()-ROW($L$436)+1),"")</f>
        <v>0</v>
      </c>
      <c r="M551">
        <f>IFERROR(SMALL(M149:M433,ROW()-ROW($M$436)+1),"")</f>
        <v>0</v>
      </c>
      <c r="N551">
        <f>IFERROR(SMALL(N149:N433,ROW()-ROW($N$436)+1),"")</f>
        <v>0</v>
      </c>
    </row>
    <row r="552" spans="5:14">
      <c r="E552">
        <f>IFERROR(SMALL(E149:E433,ROW()-ROW($E$436)+1),"")</f>
        <v>0</v>
      </c>
      <c r="F552">
        <f>IFERROR(SMALL(F149:F433,ROW()-ROW($F$436)+1),"")</f>
        <v>0</v>
      </c>
      <c r="G552">
        <f>IFERROR(SMALL(G149:G433,ROW()-ROW($G$436)+1),"")</f>
        <v>0</v>
      </c>
      <c r="H552">
        <f>IFERROR(SMALL(H149:H433,ROW()-ROW($H$436)+1),"")</f>
        <v>0</v>
      </c>
      <c r="K552">
        <f>IFERROR(SMALL(K149:K433,ROW()-ROW($K$436)+1),"")</f>
        <v>0</v>
      </c>
      <c r="L552">
        <f>IFERROR(SMALL(L149:L433,ROW()-ROW($L$436)+1),"")</f>
        <v>0</v>
      </c>
      <c r="M552">
        <f>IFERROR(SMALL(M149:M433,ROW()-ROW($M$436)+1),"")</f>
        <v>0</v>
      </c>
      <c r="N552">
        <f>IFERROR(SMALL(N149:N433,ROW()-ROW($N$436)+1),"")</f>
        <v>0</v>
      </c>
    </row>
    <row r="553" spans="5:14">
      <c r="E553">
        <f>IFERROR(SMALL(E149:E433,ROW()-ROW($E$436)+1),"")</f>
        <v>0</v>
      </c>
      <c r="F553">
        <f>IFERROR(SMALL(F149:F433,ROW()-ROW($F$436)+1),"")</f>
        <v>0</v>
      </c>
      <c r="G553">
        <f>IFERROR(SMALL(G149:G433,ROW()-ROW($G$436)+1),"")</f>
        <v>0</v>
      </c>
      <c r="H553">
        <f>IFERROR(SMALL(H149:H433,ROW()-ROW($H$436)+1),"")</f>
        <v>0</v>
      </c>
      <c r="K553">
        <f>IFERROR(SMALL(K149:K433,ROW()-ROW($K$436)+1),"")</f>
        <v>0</v>
      </c>
      <c r="L553">
        <f>IFERROR(SMALL(L149:L433,ROW()-ROW($L$436)+1),"")</f>
        <v>0</v>
      </c>
      <c r="M553">
        <f>IFERROR(SMALL(M149:M433,ROW()-ROW($M$436)+1),"")</f>
        <v>0</v>
      </c>
      <c r="N553">
        <f>IFERROR(SMALL(N149:N433,ROW()-ROW($N$436)+1),"")</f>
        <v>0</v>
      </c>
    </row>
    <row r="554" spans="5:14">
      <c r="E554">
        <f>IFERROR(SMALL(E149:E433,ROW()-ROW($E$436)+1),"")</f>
        <v>0</v>
      </c>
      <c r="F554">
        <f>IFERROR(SMALL(F149:F433,ROW()-ROW($F$436)+1),"")</f>
        <v>0</v>
      </c>
      <c r="G554">
        <f>IFERROR(SMALL(G149:G433,ROW()-ROW($G$436)+1),"")</f>
        <v>0</v>
      </c>
      <c r="H554">
        <f>IFERROR(SMALL(H149:H433,ROW()-ROW($H$436)+1),"")</f>
        <v>0</v>
      </c>
      <c r="K554">
        <f>IFERROR(SMALL(K149:K433,ROW()-ROW($K$436)+1),"")</f>
        <v>0</v>
      </c>
      <c r="L554">
        <f>IFERROR(SMALL(L149:L433,ROW()-ROW($L$436)+1),"")</f>
        <v>0</v>
      </c>
      <c r="M554">
        <f>IFERROR(SMALL(M149:M433,ROW()-ROW($M$436)+1),"")</f>
        <v>0</v>
      </c>
      <c r="N554">
        <f>IFERROR(SMALL(N149:N433,ROW()-ROW($N$436)+1),"")</f>
        <v>0</v>
      </c>
    </row>
    <row r="555" spans="5:14">
      <c r="E555">
        <f>IFERROR(SMALL(E149:E433,ROW()-ROW($E$436)+1),"")</f>
        <v>0</v>
      </c>
      <c r="F555">
        <f>IFERROR(SMALL(F149:F433,ROW()-ROW($F$436)+1),"")</f>
        <v>0</v>
      </c>
      <c r="G555">
        <f>IFERROR(SMALL(G149:G433,ROW()-ROW($G$436)+1),"")</f>
        <v>0</v>
      </c>
      <c r="H555">
        <f>IFERROR(SMALL(H149:H433,ROW()-ROW($H$436)+1),"")</f>
        <v>0</v>
      </c>
      <c r="K555">
        <f>IFERROR(SMALL(K149:K433,ROW()-ROW($K$436)+1),"")</f>
        <v>0</v>
      </c>
      <c r="L555">
        <f>IFERROR(SMALL(L149:L433,ROW()-ROW($L$436)+1),"")</f>
        <v>0</v>
      </c>
      <c r="M555">
        <f>IFERROR(SMALL(M149:M433,ROW()-ROW($M$436)+1),"")</f>
        <v>0</v>
      </c>
      <c r="N555">
        <f>IFERROR(SMALL(N149:N433,ROW()-ROW($N$436)+1),"")</f>
        <v>0</v>
      </c>
    </row>
    <row r="556" spans="5:14">
      <c r="E556">
        <f>IFERROR(SMALL(E149:E433,ROW()-ROW($E$436)+1),"")</f>
        <v>0</v>
      </c>
      <c r="F556">
        <f>IFERROR(SMALL(F149:F433,ROW()-ROW($F$436)+1),"")</f>
        <v>0</v>
      </c>
      <c r="G556">
        <f>IFERROR(SMALL(G149:G433,ROW()-ROW($G$436)+1),"")</f>
        <v>0</v>
      </c>
      <c r="H556">
        <f>IFERROR(SMALL(H149:H433,ROW()-ROW($H$436)+1),"")</f>
        <v>0</v>
      </c>
      <c r="K556">
        <f>IFERROR(SMALL(K149:K433,ROW()-ROW($K$436)+1),"")</f>
        <v>0</v>
      </c>
      <c r="L556">
        <f>IFERROR(SMALL(L149:L433,ROW()-ROW($L$436)+1),"")</f>
        <v>0</v>
      </c>
      <c r="M556">
        <f>IFERROR(SMALL(M149:M433,ROW()-ROW($M$436)+1),"")</f>
        <v>0</v>
      </c>
      <c r="N556">
        <f>IFERROR(SMALL(N149:N433,ROW()-ROW($N$436)+1),"")</f>
        <v>0</v>
      </c>
    </row>
    <row r="557" spans="5:14">
      <c r="E557">
        <f>IFERROR(SMALL(E149:E433,ROW()-ROW($E$436)+1),"")</f>
        <v>0</v>
      </c>
      <c r="F557">
        <f>IFERROR(SMALL(F149:F433,ROW()-ROW($F$436)+1),"")</f>
        <v>0</v>
      </c>
      <c r="G557">
        <f>IFERROR(SMALL(G149:G433,ROW()-ROW($G$436)+1),"")</f>
        <v>0</v>
      </c>
      <c r="H557">
        <f>IFERROR(SMALL(H149:H433,ROW()-ROW($H$436)+1),"")</f>
        <v>0</v>
      </c>
      <c r="K557">
        <f>IFERROR(SMALL(K149:K433,ROW()-ROW($K$436)+1),"")</f>
        <v>0</v>
      </c>
      <c r="L557">
        <f>IFERROR(SMALL(L149:L433,ROW()-ROW($L$436)+1),"")</f>
        <v>0</v>
      </c>
      <c r="M557">
        <f>IFERROR(SMALL(M149:M433,ROW()-ROW($M$436)+1),"")</f>
        <v>0</v>
      </c>
      <c r="N557">
        <f>IFERROR(SMALL(N149:N433,ROW()-ROW($N$436)+1),"")</f>
        <v>0</v>
      </c>
    </row>
    <row r="558" spans="5:14">
      <c r="E558">
        <f>IFERROR(SMALL(E149:E433,ROW()-ROW($E$436)+1),"")</f>
        <v>0</v>
      </c>
      <c r="F558">
        <f>IFERROR(SMALL(F149:F433,ROW()-ROW($F$436)+1),"")</f>
        <v>0</v>
      </c>
      <c r="G558">
        <f>IFERROR(SMALL(G149:G433,ROW()-ROW($G$436)+1),"")</f>
        <v>0</v>
      </c>
      <c r="H558">
        <f>IFERROR(SMALL(H149:H433,ROW()-ROW($H$436)+1),"")</f>
        <v>0</v>
      </c>
      <c r="K558">
        <f>IFERROR(SMALL(K149:K433,ROW()-ROW($K$436)+1),"")</f>
        <v>0</v>
      </c>
      <c r="L558">
        <f>IFERROR(SMALL(L149:L433,ROW()-ROW($L$436)+1),"")</f>
        <v>0</v>
      </c>
      <c r="M558">
        <f>IFERROR(SMALL(M149:M433,ROW()-ROW($M$436)+1),"")</f>
        <v>0</v>
      </c>
      <c r="N558">
        <f>IFERROR(SMALL(N149:N433,ROW()-ROW($N$436)+1),"")</f>
        <v>0</v>
      </c>
    </row>
    <row r="559" spans="5:14">
      <c r="E559">
        <f>IFERROR(SMALL(E149:E433,ROW()-ROW($E$436)+1),"")</f>
        <v>0</v>
      </c>
      <c r="F559">
        <f>IFERROR(SMALL(F149:F433,ROW()-ROW($F$436)+1),"")</f>
        <v>0</v>
      </c>
      <c r="G559">
        <f>IFERROR(SMALL(G149:G433,ROW()-ROW($G$436)+1),"")</f>
        <v>0</v>
      </c>
      <c r="H559">
        <f>IFERROR(SMALL(H149:H433,ROW()-ROW($H$436)+1),"")</f>
        <v>0</v>
      </c>
      <c r="K559">
        <f>IFERROR(SMALL(K149:K433,ROW()-ROW($K$436)+1),"")</f>
        <v>0</v>
      </c>
      <c r="L559">
        <f>IFERROR(SMALL(L149:L433,ROW()-ROW($L$436)+1),"")</f>
        <v>0</v>
      </c>
      <c r="M559">
        <f>IFERROR(SMALL(M149:M433,ROW()-ROW($M$436)+1),"")</f>
        <v>0</v>
      </c>
      <c r="N559">
        <f>IFERROR(SMALL(N149:N433,ROW()-ROW($N$436)+1),"")</f>
        <v>0</v>
      </c>
    </row>
    <row r="560" spans="5:14">
      <c r="E560">
        <f>IFERROR(SMALL(E149:E433,ROW()-ROW($E$436)+1),"")</f>
        <v>0</v>
      </c>
      <c r="F560">
        <f>IFERROR(SMALL(F149:F433,ROW()-ROW($F$436)+1),"")</f>
        <v>0</v>
      </c>
      <c r="G560">
        <f>IFERROR(SMALL(G149:G433,ROW()-ROW($G$436)+1),"")</f>
        <v>0</v>
      </c>
      <c r="H560">
        <f>IFERROR(SMALL(H149:H433,ROW()-ROW($H$436)+1),"")</f>
        <v>0</v>
      </c>
      <c r="K560">
        <f>IFERROR(SMALL(K149:K433,ROW()-ROW($K$436)+1),"")</f>
        <v>0</v>
      </c>
      <c r="L560">
        <f>IFERROR(SMALL(L149:L433,ROW()-ROW($L$436)+1),"")</f>
        <v>0</v>
      </c>
      <c r="M560">
        <f>IFERROR(SMALL(M149:M433,ROW()-ROW($M$436)+1),"")</f>
        <v>0</v>
      </c>
      <c r="N560">
        <f>IFERROR(SMALL(N149:N433,ROW()-ROW($N$436)+1),"")</f>
        <v>0</v>
      </c>
    </row>
    <row r="561" spans="5:14">
      <c r="E561">
        <f>IFERROR(SMALL(E149:E433,ROW()-ROW($E$436)+1),"")</f>
        <v>0</v>
      </c>
      <c r="F561">
        <f>IFERROR(SMALL(F149:F433,ROW()-ROW($F$436)+1),"")</f>
        <v>0</v>
      </c>
      <c r="G561">
        <f>IFERROR(SMALL(G149:G433,ROW()-ROW($G$436)+1),"")</f>
        <v>0</v>
      </c>
      <c r="H561">
        <f>IFERROR(SMALL(H149:H433,ROW()-ROW($H$436)+1),"")</f>
        <v>0</v>
      </c>
      <c r="K561">
        <f>IFERROR(SMALL(K149:K433,ROW()-ROW($K$436)+1),"")</f>
        <v>0</v>
      </c>
      <c r="L561">
        <f>IFERROR(SMALL(L149:L433,ROW()-ROW($L$436)+1),"")</f>
        <v>0</v>
      </c>
      <c r="M561">
        <f>IFERROR(SMALL(M149:M433,ROW()-ROW($M$436)+1),"")</f>
        <v>0</v>
      </c>
      <c r="N561">
        <f>IFERROR(SMALL(N149:N433,ROW()-ROW($N$436)+1),"")</f>
        <v>0</v>
      </c>
    </row>
    <row r="562" spans="5:14">
      <c r="E562">
        <f>IFERROR(SMALL(E149:E433,ROW()-ROW($E$436)+1),"")</f>
        <v>0</v>
      </c>
      <c r="F562">
        <f>IFERROR(SMALL(F149:F433,ROW()-ROW($F$436)+1),"")</f>
        <v>0</v>
      </c>
      <c r="G562">
        <f>IFERROR(SMALL(G149:G433,ROW()-ROW($G$436)+1),"")</f>
        <v>0</v>
      </c>
      <c r="H562">
        <f>IFERROR(SMALL(H149:H433,ROW()-ROW($H$436)+1),"")</f>
        <v>0</v>
      </c>
      <c r="K562">
        <f>IFERROR(SMALL(K149:K433,ROW()-ROW($K$436)+1),"")</f>
        <v>0</v>
      </c>
      <c r="L562">
        <f>IFERROR(SMALL(L149:L433,ROW()-ROW($L$436)+1),"")</f>
        <v>0</v>
      </c>
      <c r="M562">
        <f>IFERROR(SMALL(M149:M433,ROW()-ROW($M$436)+1),"")</f>
        <v>0</v>
      </c>
      <c r="N562">
        <f>IFERROR(SMALL(N149:N433,ROW()-ROW($N$436)+1),"")</f>
        <v>0</v>
      </c>
    </row>
    <row r="563" spans="5:14">
      <c r="E563">
        <f>IFERROR(SMALL(E149:E433,ROW()-ROW($E$436)+1),"")</f>
        <v>0</v>
      </c>
      <c r="F563">
        <f>IFERROR(SMALL(F149:F433,ROW()-ROW($F$436)+1),"")</f>
        <v>0</v>
      </c>
      <c r="G563">
        <f>IFERROR(SMALL(G149:G433,ROW()-ROW($G$436)+1),"")</f>
        <v>0</v>
      </c>
      <c r="H563">
        <f>IFERROR(SMALL(H149:H433,ROW()-ROW($H$436)+1),"")</f>
        <v>0</v>
      </c>
      <c r="K563">
        <f>IFERROR(SMALL(K149:K433,ROW()-ROW($K$436)+1),"")</f>
        <v>0</v>
      </c>
      <c r="L563">
        <f>IFERROR(SMALL(L149:L433,ROW()-ROW($L$436)+1),"")</f>
        <v>0</v>
      </c>
      <c r="M563">
        <f>IFERROR(SMALL(M149:M433,ROW()-ROW($M$436)+1),"")</f>
        <v>0</v>
      </c>
      <c r="N563">
        <f>IFERROR(SMALL(N149:N433,ROW()-ROW($N$436)+1),"")</f>
        <v>0</v>
      </c>
    </row>
    <row r="564" spans="5:14">
      <c r="E564">
        <f>IFERROR(SMALL(E149:E433,ROW()-ROW($E$436)+1),"")</f>
        <v>0</v>
      </c>
      <c r="F564">
        <f>IFERROR(SMALL(F149:F433,ROW()-ROW($F$436)+1),"")</f>
        <v>0</v>
      </c>
      <c r="G564">
        <f>IFERROR(SMALL(G149:G433,ROW()-ROW($G$436)+1),"")</f>
        <v>0</v>
      </c>
      <c r="H564">
        <f>IFERROR(SMALL(H149:H433,ROW()-ROW($H$436)+1),"")</f>
        <v>0</v>
      </c>
      <c r="K564">
        <f>IFERROR(SMALL(K149:K433,ROW()-ROW($K$436)+1),"")</f>
        <v>0</v>
      </c>
      <c r="L564">
        <f>IFERROR(SMALL(L149:L433,ROW()-ROW($L$436)+1),"")</f>
        <v>0</v>
      </c>
      <c r="M564">
        <f>IFERROR(SMALL(M149:M433,ROW()-ROW($M$436)+1),"")</f>
        <v>0</v>
      </c>
      <c r="N564">
        <f>IFERROR(SMALL(N149:N433,ROW()-ROW($N$436)+1),"")</f>
        <v>0</v>
      </c>
    </row>
    <row r="565" spans="5:14">
      <c r="E565">
        <f>IFERROR(SMALL(E149:E433,ROW()-ROW($E$436)+1),"")</f>
        <v>0</v>
      </c>
      <c r="F565">
        <f>IFERROR(SMALL(F149:F433,ROW()-ROW($F$436)+1),"")</f>
        <v>0</v>
      </c>
      <c r="G565">
        <f>IFERROR(SMALL(G149:G433,ROW()-ROW($G$436)+1),"")</f>
        <v>0</v>
      </c>
      <c r="H565">
        <f>IFERROR(SMALL(H149:H433,ROW()-ROW($H$436)+1),"")</f>
        <v>0</v>
      </c>
      <c r="K565">
        <f>IFERROR(SMALL(K149:K433,ROW()-ROW($K$436)+1),"")</f>
        <v>0</v>
      </c>
      <c r="L565">
        <f>IFERROR(SMALL(L149:L433,ROW()-ROW($L$436)+1),"")</f>
        <v>0</v>
      </c>
      <c r="M565">
        <f>IFERROR(SMALL(M149:M433,ROW()-ROW($M$436)+1),"")</f>
        <v>0</v>
      </c>
      <c r="N565">
        <f>IFERROR(SMALL(N149:N433,ROW()-ROW($N$436)+1),"")</f>
        <v>0</v>
      </c>
    </row>
    <row r="566" spans="5:14">
      <c r="E566">
        <f>IFERROR(SMALL(E149:E433,ROW()-ROW($E$436)+1),"")</f>
        <v>0</v>
      </c>
      <c r="F566">
        <f>IFERROR(SMALL(F149:F433,ROW()-ROW($F$436)+1),"")</f>
        <v>0</v>
      </c>
      <c r="G566">
        <f>IFERROR(SMALL(G149:G433,ROW()-ROW($G$436)+1),"")</f>
        <v>0</v>
      </c>
      <c r="H566">
        <f>IFERROR(SMALL(H149:H433,ROW()-ROW($H$436)+1),"")</f>
        <v>0</v>
      </c>
      <c r="K566">
        <f>IFERROR(SMALL(K149:K433,ROW()-ROW($K$436)+1),"")</f>
        <v>0</v>
      </c>
      <c r="L566">
        <f>IFERROR(SMALL(L149:L433,ROW()-ROW($L$436)+1),"")</f>
        <v>0</v>
      </c>
      <c r="M566">
        <f>IFERROR(SMALL(M149:M433,ROW()-ROW($M$436)+1),"")</f>
        <v>0</v>
      </c>
      <c r="N566">
        <f>IFERROR(SMALL(N149:N433,ROW()-ROW($N$436)+1),"")</f>
        <v>0</v>
      </c>
    </row>
    <row r="567" spans="5:14">
      <c r="E567">
        <f>IFERROR(SMALL(E149:E433,ROW()-ROW($E$436)+1),"")</f>
        <v>0</v>
      </c>
      <c r="F567">
        <f>IFERROR(SMALL(F149:F433,ROW()-ROW($F$436)+1),"")</f>
        <v>0</v>
      </c>
      <c r="G567">
        <f>IFERROR(SMALL(G149:G433,ROW()-ROW($G$436)+1),"")</f>
        <v>0</v>
      </c>
      <c r="H567">
        <f>IFERROR(SMALL(H149:H433,ROW()-ROW($H$436)+1),"")</f>
        <v>0</v>
      </c>
      <c r="K567">
        <f>IFERROR(SMALL(K149:K433,ROW()-ROW($K$436)+1),"")</f>
        <v>0</v>
      </c>
      <c r="L567">
        <f>IFERROR(SMALL(L149:L433,ROW()-ROW($L$436)+1),"")</f>
        <v>0</v>
      </c>
      <c r="M567">
        <f>IFERROR(SMALL(M149:M433,ROW()-ROW($M$436)+1),"")</f>
        <v>0</v>
      </c>
      <c r="N567">
        <f>IFERROR(SMALL(N149:N433,ROW()-ROW($N$436)+1),"")</f>
        <v>0</v>
      </c>
    </row>
    <row r="568" spans="5:14">
      <c r="E568">
        <f>IFERROR(SMALL(E149:E433,ROW()-ROW($E$436)+1),"")</f>
        <v>0</v>
      </c>
      <c r="F568">
        <f>IFERROR(SMALL(F149:F433,ROW()-ROW($F$436)+1),"")</f>
        <v>0</v>
      </c>
      <c r="G568">
        <f>IFERROR(SMALL(G149:G433,ROW()-ROW($G$436)+1),"")</f>
        <v>0</v>
      </c>
      <c r="H568">
        <f>IFERROR(SMALL(H149:H433,ROW()-ROW($H$436)+1),"")</f>
        <v>0</v>
      </c>
      <c r="K568">
        <f>IFERROR(SMALL(K149:K433,ROW()-ROW($K$436)+1),"")</f>
        <v>0</v>
      </c>
      <c r="L568">
        <f>IFERROR(SMALL(L149:L433,ROW()-ROW($L$436)+1),"")</f>
        <v>0</v>
      </c>
      <c r="M568">
        <f>IFERROR(SMALL(M149:M433,ROW()-ROW($M$436)+1),"")</f>
        <v>0</v>
      </c>
      <c r="N568">
        <f>IFERROR(SMALL(N149:N433,ROW()-ROW($N$436)+1),"")</f>
        <v>0</v>
      </c>
    </row>
    <row r="569" spans="5:14">
      <c r="E569">
        <f>IFERROR(SMALL(E149:E433,ROW()-ROW($E$436)+1),"")</f>
        <v>0</v>
      </c>
      <c r="F569">
        <f>IFERROR(SMALL(F149:F433,ROW()-ROW($F$436)+1),"")</f>
        <v>0</v>
      </c>
      <c r="G569">
        <f>IFERROR(SMALL(G149:G433,ROW()-ROW($G$436)+1),"")</f>
        <v>0</v>
      </c>
      <c r="H569">
        <f>IFERROR(SMALL(H149:H433,ROW()-ROW($H$436)+1),"")</f>
        <v>0</v>
      </c>
      <c r="K569">
        <f>IFERROR(SMALL(K149:K433,ROW()-ROW($K$436)+1),"")</f>
        <v>0</v>
      </c>
      <c r="L569">
        <f>IFERROR(SMALL(L149:L433,ROW()-ROW($L$436)+1),"")</f>
        <v>0</v>
      </c>
      <c r="M569">
        <f>IFERROR(SMALL(M149:M433,ROW()-ROW($M$436)+1),"")</f>
        <v>0</v>
      </c>
      <c r="N569">
        <f>IFERROR(SMALL(N149:N433,ROW()-ROW($N$436)+1),"")</f>
        <v>0</v>
      </c>
    </row>
    <row r="570" spans="5:14">
      <c r="E570">
        <f>IFERROR(SMALL(E149:E433,ROW()-ROW($E$436)+1),"")</f>
        <v>0</v>
      </c>
      <c r="F570">
        <f>IFERROR(SMALL(F149:F433,ROW()-ROW($F$436)+1),"")</f>
        <v>0</v>
      </c>
      <c r="G570">
        <f>IFERROR(SMALL(G149:G433,ROW()-ROW($G$436)+1),"")</f>
        <v>0</v>
      </c>
      <c r="H570">
        <f>IFERROR(SMALL(H149:H433,ROW()-ROW($H$436)+1),"")</f>
        <v>0</v>
      </c>
      <c r="K570">
        <f>IFERROR(SMALL(K149:K433,ROW()-ROW($K$436)+1),"")</f>
        <v>0</v>
      </c>
      <c r="L570">
        <f>IFERROR(SMALL(L149:L433,ROW()-ROW($L$436)+1),"")</f>
        <v>0</v>
      </c>
      <c r="M570">
        <f>IFERROR(SMALL(M149:M433,ROW()-ROW($M$436)+1),"")</f>
        <v>0</v>
      </c>
      <c r="N570">
        <f>IFERROR(SMALL(N149:N433,ROW()-ROW($N$436)+1),"")</f>
        <v>0</v>
      </c>
    </row>
    <row r="571" spans="5:14">
      <c r="E571">
        <f>IFERROR(SMALL(E149:E433,ROW()-ROW($E$436)+1),"")</f>
        <v>0</v>
      </c>
      <c r="F571">
        <f>IFERROR(SMALL(F149:F433,ROW()-ROW($F$436)+1),"")</f>
        <v>0</v>
      </c>
      <c r="G571">
        <f>IFERROR(SMALL(G149:G433,ROW()-ROW($G$436)+1),"")</f>
        <v>0</v>
      </c>
      <c r="H571">
        <f>IFERROR(SMALL(H149:H433,ROW()-ROW($H$436)+1),"")</f>
        <v>0</v>
      </c>
      <c r="K571">
        <f>IFERROR(SMALL(K149:K433,ROW()-ROW($K$436)+1),"")</f>
        <v>0</v>
      </c>
      <c r="L571">
        <f>IFERROR(SMALL(L149:L433,ROW()-ROW($L$436)+1),"")</f>
        <v>0</v>
      </c>
      <c r="M571">
        <f>IFERROR(SMALL(M149:M433,ROW()-ROW($M$436)+1),"")</f>
        <v>0</v>
      </c>
      <c r="N571">
        <f>IFERROR(SMALL(N149:N433,ROW()-ROW($N$436)+1),"")</f>
        <v>0</v>
      </c>
    </row>
    <row r="572" spans="5:14">
      <c r="E572">
        <f>IFERROR(SMALL(E149:E433,ROW()-ROW($E$436)+1),"")</f>
        <v>0</v>
      </c>
      <c r="F572">
        <f>IFERROR(SMALL(F149:F433,ROW()-ROW($F$436)+1),"")</f>
        <v>0</v>
      </c>
      <c r="G572">
        <f>IFERROR(SMALL(G149:G433,ROW()-ROW($G$436)+1),"")</f>
        <v>0</v>
      </c>
      <c r="H572">
        <f>IFERROR(SMALL(H149:H433,ROW()-ROW($H$436)+1),"")</f>
        <v>0</v>
      </c>
      <c r="K572">
        <f>IFERROR(SMALL(K149:K433,ROW()-ROW($K$436)+1),"")</f>
        <v>0</v>
      </c>
      <c r="L572">
        <f>IFERROR(SMALL(L149:L433,ROW()-ROW($L$436)+1),"")</f>
        <v>0</v>
      </c>
      <c r="M572">
        <f>IFERROR(SMALL(M149:M433,ROW()-ROW($M$436)+1),"")</f>
        <v>0</v>
      </c>
      <c r="N572">
        <f>IFERROR(SMALL(N149:N433,ROW()-ROW($N$436)+1),"")</f>
        <v>0</v>
      </c>
    </row>
    <row r="573" spans="5:14">
      <c r="E573">
        <f>IFERROR(SMALL(E149:E433,ROW()-ROW($E$436)+1),"")</f>
        <v>0</v>
      </c>
      <c r="F573">
        <f>IFERROR(SMALL(F149:F433,ROW()-ROW($F$436)+1),"")</f>
        <v>0</v>
      </c>
      <c r="G573">
        <f>IFERROR(SMALL(G149:G433,ROW()-ROW($G$436)+1),"")</f>
        <v>0</v>
      </c>
      <c r="H573">
        <f>IFERROR(SMALL(H149:H433,ROW()-ROW($H$436)+1),"")</f>
        <v>0</v>
      </c>
      <c r="K573">
        <f>IFERROR(SMALL(K149:K433,ROW()-ROW($K$436)+1),"")</f>
        <v>0</v>
      </c>
      <c r="L573">
        <f>IFERROR(SMALL(L149:L433,ROW()-ROW($L$436)+1),"")</f>
        <v>0</v>
      </c>
      <c r="M573">
        <f>IFERROR(SMALL(M149:M433,ROW()-ROW($M$436)+1),"")</f>
        <v>0</v>
      </c>
      <c r="N573">
        <f>IFERROR(SMALL(N149:N433,ROW()-ROW($N$436)+1),"")</f>
        <v>0</v>
      </c>
    </row>
    <row r="574" spans="5:14">
      <c r="E574">
        <f>IFERROR(SMALL(E149:E433,ROW()-ROW($E$436)+1),"")</f>
        <v>0</v>
      </c>
      <c r="F574">
        <f>IFERROR(SMALL(F149:F433,ROW()-ROW($F$436)+1),"")</f>
        <v>0</v>
      </c>
      <c r="G574">
        <f>IFERROR(SMALL(G149:G433,ROW()-ROW($G$436)+1),"")</f>
        <v>0</v>
      </c>
      <c r="H574">
        <f>IFERROR(SMALL(H149:H433,ROW()-ROW($H$436)+1),"")</f>
        <v>0</v>
      </c>
      <c r="K574">
        <f>IFERROR(SMALL(K149:K433,ROW()-ROW($K$436)+1),"")</f>
        <v>0</v>
      </c>
      <c r="L574">
        <f>IFERROR(SMALL(L149:L433,ROW()-ROW($L$436)+1),"")</f>
        <v>0</v>
      </c>
      <c r="M574">
        <f>IFERROR(SMALL(M149:M433,ROW()-ROW($M$436)+1),"")</f>
        <v>0</v>
      </c>
      <c r="N574">
        <f>IFERROR(SMALL(N149:N433,ROW()-ROW($N$436)+1),"")</f>
        <v>0</v>
      </c>
    </row>
    <row r="575" spans="5:14">
      <c r="E575">
        <f>IFERROR(SMALL(E149:E433,ROW()-ROW($E$436)+1),"")</f>
        <v>0</v>
      </c>
      <c r="F575">
        <f>IFERROR(SMALL(F149:F433,ROW()-ROW($F$436)+1),"")</f>
        <v>0</v>
      </c>
      <c r="G575">
        <f>IFERROR(SMALL(G149:G433,ROW()-ROW($G$436)+1),"")</f>
        <v>0</v>
      </c>
      <c r="H575">
        <f>IFERROR(SMALL(H149:H433,ROW()-ROW($H$436)+1),"")</f>
        <v>0</v>
      </c>
      <c r="K575">
        <f>IFERROR(SMALL(K149:K433,ROW()-ROW($K$436)+1),"")</f>
        <v>0</v>
      </c>
      <c r="L575">
        <f>IFERROR(SMALL(L149:L433,ROW()-ROW($L$436)+1),"")</f>
        <v>0</v>
      </c>
      <c r="M575">
        <f>IFERROR(SMALL(M149:M433,ROW()-ROW($M$436)+1),"")</f>
        <v>0</v>
      </c>
      <c r="N575">
        <f>IFERROR(SMALL(N149:N433,ROW()-ROW($N$436)+1),"")</f>
        <v>0</v>
      </c>
    </row>
    <row r="576" spans="5:14">
      <c r="E576">
        <f>IFERROR(SMALL(E149:E433,ROW()-ROW($E$436)+1),"")</f>
        <v>0</v>
      </c>
      <c r="F576">
        <f>IFERROR(SMALL(F149:F433,ROW()-ROW($F$436)+1),"")</f>
        <v>0</v>
      </c>
      <c r="G576">
        <f>IFERROR(SMALL(G149:G433,ROW()-ROW($G$436)+1),"")</f>
        <v>0</v>
      </c>
      <c r="H576">
        <f>IFERROR(SMALL(H149:H433,ROW()-ROW($H$436)+1),"")</f>
        <v>0</v>
      </c>
      <c r="K576">
        <f>IFERROR(SMALL(K149:K433,ROW()-ROW($K$436)+1),"")</f>
        <v>0</v>
      </c>
      <c r="L576">
        <f>IFERROR(SMALL(L149:L433,ROW()-ROW($L$436)+1),"")</f>
        <v>0</v>
      </c>
      <c r="M576">
        <f>IFERROR(SMALL(M149:M433,ROW()-ROW($M$436)+1),"")</f>
        <v>0</v>
      </c>
      <c r="N576">
        <f>IFERROR(SMALL(N149:N433,ROW()-ROW($N$436)+1),"")</f>
        <v>0</v>
      </c>
    </row>
    <row r="577" spans="5:14">
      <c r="E577">
        <f>IFERROR(SMALL(E149:E433,ROW()-ROW($E$436)+1),"")</f>
        <v>0</v>
      </c>
      <c r="F577">
        <f>IFERROR(SMALL(F149:F433,ROW()-ROW($F$436)+1),"")</f>
        <v>0</v>
      </c>
      <c r="G577">
        <f>IFERROR(SMALL(G149:G433,ROW()-ROW($G$436)+1),"")</f>
        <v>0</v>
      </c>
      <c r="H577">
        <f>IFERROR(SMALL(H149:H433,ROW()-ROW($H$436)+1),"")</f>
        <v>0</v>
      </c>
      <c r="K577">
        <f>IFERROR(SMALL(K149:K433,ROW()-ROW($K$436)+1),"")</f>
        <v>0</v>
      </c>
      <c r="L577">
        <f>IFERROR(SMALL(L149:L433,ROW()-ROW($L$436)+1),"")</f>
        <v>0</v>
      </c>
      <c r="M577">
        <f>IFERROR(SMALL(M149:M433,ROW()-ROW($M$436)+1),"")</f>
        <v>0</v>
      </c>
      <c r="N577">
        <f>IFERROR(SMALL(N149:N433,ROW()-ROW($N$436)+1),"")</f>
        <v>0</v>
      </c>
    </row>
    <row r="578" spans="5:14">
      <c r="E578">
        <f>IFERROR(SMALL(E149:E433,ROW()-ROW($E$436)+1),"")</f>
        <v>0</v>
      </c>
      <c r="F578">
        <f>IFERROR(SMALL(F149:F433,ROW()-ROW($F$436)+1),"")</f>
        <v>0</v>
      </c>
      <c r="G578">
        <f>IFERROR(SMALL(G149:G433,ROW()-ROW($G$436)+1),"")</f>
        <v>0</v>
      </c>
      <c r="H578">
        <f>IFERROR(SMALL(H149:H433,ROW()-ROW($H$436)+1),"")</f>
        <v>0</v>
      </c>
      <c r="K578">
        <f>IFERROR(SMALL(K149:K433,ROW()-ROW($K$436)+1),"")</f>
        <v>0</v>
      </c>
      <c r="L578">
        <f>IFERROR(SMALL(L149:L433,ROW()-ROW($L$436)+1),"")</f>
        <v>0</v>
      </c>
      <c r="M578">
        <f>IFERROR(SMALL(M149:M433,ROW()-ROW($M$436)+1),"")</f>
        <v>0</v>
      </c>
      <c r="N578">
        <f>IFERROR(SMALL(N149:N433,ROW()-ROW($N$436)+1),"")</f>
        <v>0</v>
      </c>
    </row>
    <row r="579" spans="5:14">
      <c r="E579">
        <f>IFERROR(SMALL(E149:E433,ROW()-ROW($E$436)+1),"")</f>
        <v>0</v>
      </c>
      <c r="F579">
        <f>IFERROR(SMALL(F149:F433,ROW()-ROW($F$436)+1),"")</f>
        <v>0</v>
      </c>
      <c r="G579">
        <f>IFERROR(SMALL(G149:G433,ROW()-ROW($G$436)+1),"")</f>
        <v>0</v>
      </c>
      <c r="H579">
        <f>IFERROR(SMALL(H149:H433,ROW()-ROW($H$436)+1),"")</f>
        <v>0</v>
      </c>
      <c r="K579">
        <f>IFERROR(SMALL(K149:K433,ROW()-ROW($K$436)+1),"")</f>
        <v>0</v>
      </c>
      <c r="L579">
        <f>IFERROR(SMALL(L149:L433,ROW()-ROW($L$436)+1),"")</f>
        <v>0</v>
      </c>
      <c r="M579">
        <f>IFERROR(SMALL(M149:M433,ROW()-ROW($M$436)+1),"")</f>
        <v>0</v>
      </c>
      <c r="N579">
        <f>IFERROR(SMALL(N149:N433,ROW()-ROW($N$436)+1),"")</f>
        <v>0</v>
      </c>
    </row>
    <row r="580" spans="5:14">
      <c r="E580">
        <f>IFERROR(SMALL(E149:E433,ROW()-ROW($E$436)+1),"")</f>
        <v>0</v>
      </c>
      <c r="F580">
        <f>IFERROR(SMALL(F149:F433,ROW()-ROW($F$436)+1),"")</f>
        <v>0</v>
      </c>
      <c r="G580">
        <f>IFERROR(SMALL(G149:G433,ROW()-ROW($G$436)+1),"")</f>
        <v>0</v>
      </c>
      <c r="H580">
        <f>IFERROR(SMALL(H149:H433,ROW()-ROW($H$436)+1),"")</f>
        <v>0</v>
      </c>
      <c r="K580">
        <f>IFERROR(SMALL(K149:K433,ROW()-ROW($K$436)+1),"")</f>
        <v>0</v>
      </c>
      <c r="L580">
        <f>IFERROR(SMALL(L149:L433,ROW()-ROW($L$436)+1),"")</f>
        <v>0</v>
      </c>
      <c r="M580">
        <f>IFERROR(SMALL(M149:M433,ROW()-ROW($M$436)+1),"")</f>
        <v>0</v>
      </c>
      <c r="N580">
        <f>IFERROR(SMALL(N149:N433,ROW()-ROW($N$436)+1),"")</f>
        <v>0</v>
      </c>
    </row>
    <row r="581" spans="5:14">
      <c r="E581">
        <f>IFERROR(SMALL(E149:E433,ROW()-ROW($E$436)+1),"")</f>
        <v>0</v>
      </c>
      <c r="F581">
        <f>IFERROR(SMALL(F149:F433,ROW()-ROW($F$436)+1),"")</f>
        <v>0</v>
      </c>
      <c r="G581">
        <f>IFERROR(SMALL(G149:G433,ROW()-ROW($G$436)+1),"")</f>
        <v>0</v>
      </c>
      <c r="H581">
        <f>IFERROR(SMALL(H149:H433,ROW()-ROW($H$436)+1),"")</f>
        <v>0</v>
      </c>
      <c r="K581">
        <f>IFERROR(SMALL(K149:K433,ROW()-ROW($K$436)+1),"")</f>
        <v>0</v>
      </c>
      <c r="L581">
        <f>IFERROR(SMALL(L149:L433,ROW()-ROW($L$436)+1),"")</f>
        <v>0</v>
      </c>
      <c r="M581">
        <f>IFERROR(SMALL(M149:M433,ROW()-ROW($M$436)+1),"")</f>
        <v>0</v>
      </c>
      <c r="N581">
        <f>IFERROR(SMALL(N149:N433,ROW()-ROW($N$436)+1),"")</f>
        <v>0</v>
      </c>
    </row>
    <row r="582" spans="5:14">
      <c r="E582">
        <f>IFERROR(SMALL(E149:E433,ROW()-ROW($E$436)+1),"")</f>
        <v>0</v>
      </c>
      <c r="F582">
        <f>IFERROR(SMALL(F149:F433,ROW()-ROW($F$436)+1),"")</f>
        <v>0</v>
      </c>
      <c r="G582">
        <f>IFERROR(SMALL(G149:G433,ROW()-ROW($G$436)+1),"")</f>
        <v>0</v>
      </c>
      <c r="H582">
        <f>IFERROR(SMALL(H149:H433,ROW()-ROW($H$436)+1),"")</f>
        <v>0</v>
      </c>
      <c r="K582">
        <f>IFERROR(SMALL(K149:K433,ROW()-ROW($K$436)+1),"")</f>
        <v>0</v>
      </c>
      <c r="L582">
        <f>IFERROR(SMALL(L149:L433,ROW()-ROW($L$436)+1),"")</f>
        <v>0</v>
      </c>
      <c r="M582">
        <f>IFERROR(SMALL(M149:M433,ROW()-ROW($M$436)+1),"")</f>
        <v>0</v>
      </c>
      <c r="N582">
        <f>IFERROR(SMALL(N149:N433,ROW()-ROW($N$436)+1),"")</f>
        <v>0</v>
      </c>
    </row>
    <row r="583" spans="5:14">
      <c r="E583">
        <f>IFERROR(SMALL(E149:E433,ROW()-ROW($E$436)+1),"")</f>
        <v>0</v>
      </c>
      <c r="F583">
        <f>IFERROR(SMALL(F149:F433,ROW()-ROW($F$436)+1),"")</f>
        <v>0</v>
      </c>
      <c r="G583">
        <f>IFERROR(SMALL(G149:G433,ROW()-ROW($G$436)+1),"")</f>
        <v>0</v>
      </c>
      <c r="H583">
        <f>IFERROR(SMALL(H149:H433,ROW()-ROW($H$436)+1),"")</f>
        <v>0</v>
      </c>
      <c r="K583">
        <f>IFERROR(SMALL(K149:K433,ROW()-ROW($K$436)+1),"")</f>
        <v>0</v>
      </c>
      <c r="L583">
        <f>IFERROR(SMALL(L149:L433,ROW()-ROW($L$436)+1),"")</f>
        <v>0</v>
      </c>
      <c r="M583">
        <f>IFERROR(SMALL(M149:M433,ROW()-ROW($M$436)+1),"")</f>
        <v>0</v>
      </c>
      <c r="N583">
        <f>IFERROR(SMALL(N149:N433,ROW()-ROW($N$436)+1),"")</f>
        <v>0</v>
      </c>
    </row>
    <row r="584" spans="5:14">
      <c r="E584">
        <f>IFERROR(SMALL(E149:E433,ROW()-ROW($E$436)+1),"")</f>
        <v>0</v>
      </c>
      <c r="F584">
        <f>IFERROR(SMALL(F149:F433,ROW()-ROW($F$436)+1),"")</f>
        <v>0</v>
      </c>
      <c r="G584">
        <f>IFERROR(SMALL(G149:G433,ROW()-ROW($G$436)+1),"")</f>
        <v>0</v>
      </c>
      <c r="H584">
        <f>IFERROR(SMALL(H149:H433,ROW()-ROW($H$436)+1),"")</f>
        <v>0</v>
      </c>
      <c r="K584">
        <f>IFERROR(SMALL(K149:K433,ROW()-ROW($K$436)+1),"")</f>
        <v>0</v>
      </c>
      <c r="L584">
        <f>IFERROR(SMALL(L149:L433,ROW()-ROW($L$436)+1),"")</f>
        <v>0</v>
      </c>
      <c r="M584">
        <f>IFERROR(SMALL(M149:M433,ROW()-ROW($M$436)+1),"")</f>
        <v>0</v>
      </c>
      <c r="N584">
        <f>IFERROR(SMALL(N149:N433,ROW()-ROW($N$436)+1),"")</f>
        <v>0</v>
      </c>
    </row>
    <row r="585" spans="5:14">
      <c r="E585">
        <f>IFERROR(SMALL(E149:E433,ROW()-ROW($E$436)+1),"")</f>
        <v>0</v>
      </c>
      <c r="F585">
        <f>IFERROR(SMALL(F149:F433,ROW()-ROW($F$436)+1),"")</f>
        <v>0</v>
      </c>
      <c r="G585">
        <f>IFERROR(SMALL(G149:G433,ROW()-ROW($G$436)+1),"")</f>
        <v>0</v>
      </c>
      <c r="H585">
        <f>IFERROR(SMALL(H149:H433,ROW()-ROW($H$436)+1),"")</f>
        <v>0</v>
      </c>
      <c r="K585">
        <f>IFERROR(SMALL(K149:K433,ROW()-ROW($K$436)+1),"")</f>
        <v>0</v>
      </c>
      <c r="L585">
        <f>IFERROR(SMALL(L149:L433,ROW()-ROW($L$436)+1),"")</f>
        <v>0</v>
      </c>
      <c r="M585">
        <f>IFERROR(SMALL(M149:M433,ROW()-ROW($M$436)+1),"")</f>
        <v>0</v>
      </c>
      <c r="N585">
        <f>IFERROR(SMALL(N149:N433,ROW()-ROW($N$436)+1),"")</f>
        <v>0</v>
      </c>
    </row>
    <row r="586" spans="5:14">
      <c r="E586">
        <f>IFERROR(SMALL(E149:E433,ROW()-ROW($E$436)+1),"")</f>
        <v>0</v>
      </c>
      <c r="F586">
        <f>IFERROR(SMALL(F149:F433,ROW()-ROW($F$436)+1),"")</f>
        <v>0</v>
      </c>
      <c r="G586">
        <f>IFERROR(SMALL(G149:G433,ROW()-ROW($G$436)+1),"")</f>
        <v>0</v>
      </c>
      <c r="H586">
        <f>IFERROR(SMALL(H149:H433,ROW()-ROW($H$436)+1),"")</f>
        <v>0</v>
      </c>
      <c r="K586">
        <f>IFERROR(SMALL(K149:K433,ROW()-ROW($K$436)+1),"")</f>
        <v>0</v>
      </c>
      <c r="L586">
        <f>IFERROR(SMALL(L149:L433,ROW()-ROW($L$436)+1),"")</f>
        <v>0</v>
      </c>
      <c r="M586">
        <f>IFERROR(SMALL(M149:M433,ROW()-ROW($M$436)+1),"")</f>
        <v>0</v>
      </c>
      <c r="N586">
        <f>IFERROR(SMALL(N149:N433,ROW()-ROW($N$436)+1),"")</f>
        <v>0</v>
      </c>
    </row>
    <row r="587" spans="5:14">
      <c r="E587">
        <f>IFERROR(SMALL(E149:E433,ROW()-ROW($E$436)+1),"")</f>
        <v>0</v>
      </c>
      <c r="F587">
        <f>IFERROR(SMALL(F149:F433,ROW()-ROW($F$436)+1),"")</f>
        <v>0</v>
      </c>
      <c r="G587">
        <f>IFERROR(SMALL(G149:G433,ROW()-ROW($G$436)+1),"")</f>
        <v>0</v>
      </c>
      <c r="H587">
        <f>IFERROR(SMALL(H149:H433,ROW()-ROW($H$436)+1),"")</f>
        <v>0</v>
      </c>
      <c r="K587">
        <f>IFERROR(SMALL(K149:K433,ROW()-ROW($K$436)+1),"")</f>
        <v>0</v>
      </c>
      <c r="L587">
        <f>IFERROR(SMALL(L149:L433,ROW()-ROW($L$436)+1),"")</f>
        <v>0</v>
      </c>
      <c r="M587">
        <f>IFERROR(SMALL(M149:M433,ROW()-ROW($M$436)+1),"")</f>
        <v>0</v>
      </c>
      <c r="N587">
        <f>IFERROR(SMALL(N149:N433,ROW()-ROW($N$436)+1),"")</f>
        <v>0</v>
      </c>
    </row>
    <row r="588" spans="5:14">
      <c r="E588">
        <f>IFERROR(SMALL(E149:E433,ROW()-ROW($E$436)+1),"")</f>
        <v>0</v>
      </c>
      <c r="F588">
        <f>IFERROR(SMALL(F149:F433,ROW()-ROW($F$436)+1),"")</f>
        <v>0</v>
      </c>
      <c r="G588">
        <f>IFERROR(SMALL(G149:G433,ROW()-ROW($G$436)+1),"")</f>
        <v>0</v>
      </c>
      <c r="H588">
        <f>IFERROR(SMALL(H149:H433,ROW()-ROW($H$436)+1),"")</f>
        <v>0</v>
      </c>
      <c r="K588">
        <f>IFERROR(SMALL(K149:K433,ROW()-ROW($K$436)+1),"")</f>
        <v>0</v>
      </c>
      <c r="L588">
        <f>IFERROR(SMALL(L149:L433,ROW()-ROW($L$436)+1),"")</f>
        <v>0</v>
      </c>
      <c r="M588">
        <f>IFERROR(SMALL(M149:M433,ROW()-ROW($M$436)+1),"")</f>
        <v>0</v>
      </c>
      <c r="N588">
        <f>IFERROR(SMALL(N149:N433,ROW()-ROW($N$436)+1),"")</f>
        <v>0</v>
      </c>
    </row>
    <row r="589" spans="5:14">
      <c r="E589">
        <f>IFERROR(SMALL(E149:E433,ROW()-ROW($E$436)+1),"")</f>
        <v>0</v>
      </c>
      <c r="F589">
        <f>IFERROR(SMALL(F149:F433,ROW()-ROW($F$436)+1),"")</f>
        <v>0</v>
      </c>
      <c r="G589">
        <f>IFERROR(SMALL(G149:G433,ROW()-ROW($G$436)+1),"")</f>
        <v>0</v>
      </c>
      <c r="H589">
        <f>IFERROR(SMALL(H149:H433,ROW()-ROW($H$436)+1),"")</f>
        <v>0</v>
      </c>
      <c r="K589">
        <f>IFERROR(SMALL(K149:K433,ROW()-ROW($K$436)+1),"")</f>
        <v>0</v>
      </c>
      <c r="L589">
        <f>IFERROR(SMALL(L149:L433,ROW()-ROW($L$436)+1),"")</f>
        <v>0</v>
      </c>
      <c r="M589">
        <f>IFERROR(SMALL(M149:M433,ROW()-ROW($M$436)+1),"")</f>
        <v>0</v>
      </c>
      <c r="N589">
        <f>IFERROR(SMALL(N149:N433,ROW()-ROW($N$436)+1),"")</f>
        <v>0</v>
      </c>
    </row>
    <row r="590" spans="5:14">
      <c r="E590">
        <f>IFERROR(SMALL(E149:E433,ROW()-ROW($E$436)+1),"")</f>
        <v>0</v>
      </c>
      <c r="F590">
        <f>IFERROR(SMALL(F149:F433,ROW()-ROW($F$436)+1),"")</f>
        <v>0</v>
      </c>
      <c r="G590">
        <f>IFERROR(SMALL(G149:G433,ROW()-ROW($G$436)+1),"")</f>
        <v>0</v>
      </c>
      <c r="H590">
        <f>IFERROR(SMALL(H149:H433,ROW()-ROW($H$436)+1),"")</f>
        <v>0</v>
      </c>
      <c r="K590">
        <f>IFERROR(SMALL(K149:K433,ROW()-ROW($K$436)+1),"")</f>
        <v>0</v>
      </c>
      <c r="L590">
        <f>IFERROR(SMALL(L149:L433,ROW()-ROW($L$436)+1),"")</f>
        <v>0</v>
      </c>
      <c r="M590">
        <f>IFERROR(SMALL(M149:M433,ROW()-ROW($M$436)+1),"")</f>
        <v>0</v>
      </c>
      <c r="N590">
        <f>IFERROR(SMALL(N149:N433,ROW()-ROW($N$436)+1),"")</f>
        <v>0</v>
      </c>
    </row>
    <row r="591" spans="5:14">
      <c r="E591">
        <f>IFERROR(SMALL(E149:E433,ROW()-ROW($E$436)+1),"")</f>
        <v>0</v>
      </c>
      <c r="F591">
        <f>IFERROR(SMALL(F149:F433,ROW()-ROW($F$436)+1),"")</f>
        <v>0</v>
      </c>
      <c r="G591">
        <f>IFERROR(SMALL(G149:G433,ROW()-ROW($G$436)+1),"")</f>
        <v>0</v>
      </c>
      <c r="H591">
        <f>IFERROR(SMALL(H149:H433,ROW()-ROW($H$436)+1),"")</f>
        <v>0</v>
      </c>
      <c r="K591">
        <f>IFERROR(SMALL(K149:K433,ROW()-ROW($K$436)+1),"")</f>
        <v>0</v>
      </c>
      <c r="L591">
        <f>IFERROR(SMALL(L149:L433,ROW()-ROW($L$436)+1),"")</f>
        <v>0</v>
      </c>
      <c r="M591">
        <f>IFERROR(SMALL(M149:M433,ROW()-ROW($M$436)+1),"")</f>
        <v>0</v>
      </c>
      <c r="N591">
        <f>IFERROR(SMALL(N149:N433,ROW()-ROW($N$436)+1),"")</f>
        <v>0</v>
      </c>
    </row>
    <row r="592" spans="5:14">
      <c r="E592">
        <f>IFERROR(SMALL(E149:E433,ROW()-ROW($E$436)+1),"")</f>
        <v>0</v>
      </c>
      <c r="F592">
        <f>IFERROR(SMALL(F149:F433,ROW()-ROW($F$436)+1),"")</f>
        <v>0</v>
      </c>
      <c r="G592">
        <f>IFERROR(SMALL(G149:G433,ROW()-ROW($G$436)+1),"")</f>
        <v>0</v>
      </c>
      <c r="H592">
        <f>IFERROR(SMALL(H149:H433,ROW()-ROW($H$436)+1),"")</f>
        <v>0</v>
      </c>
      <c r="K592">
        <f>IFERROR(SMALL(K149:K433,ROW()-ROW($K$436)+1),"")</f>
        <v>0</v>
      </c>
      <c r="L592">
        <f>IFERROR(SMALL(L149:L433,ROW()-ROW($L$436)+1),"")</f>
        <v>0</v>
      </c>
      <c r="M592">
        <f>IFERROR(SMALL(M149:M433,ROW()-ROW($M$436)+1),"")</f>
        <v>0</v>
      </c>
      <c r="N592">
        <f>IFERROR(SMALL(N149:N433,ROW()-ROW($N$436)+1),"")</f>
        <v>0</v>
      </c>
    </row>
    <row r="593" spans="5:14">
      <c r="E593">
        <f>IFERROR(SMALL(E149:E433,ROW()-ROW($E$436)+1),"")</f>
        <v>0</v>
      </c>
      <c r="F593">
        <f>IFERROR(SMALL(F149:F433,ROW()-ROW($F$436)+1),"")</f>
        <v>0</v>
      </c>
      <c r="G593">
        <f>IFERROR(SMALL(G149:G433,ROW()-ROW($G$436)+1),"")</f>
        <v>0</v>
      </c>
      <c r="H593">
        <f>IFERROR(SMALL(H149:H433,ROW()-ROW($H$436)+1),"")</f>
        <v>0</v>
      </c>
      <c r="K593">
        <f>IFERROR(SMALL(K149:K433,ROW()-ROW($K$436)+1),"")</f>
        <v>0</v>
      </c>
      <c r="L593">
        <f>IFERROR(SMALL(L149:L433,ROW()-ROW($L$436)+1),"")</f>
        <v>0</v>
      </c>
      <c r="M593">
        <f>IFERROR(SMALL(M149:M433,ROW()-ROW($M$436)+1),"")</f>
        <v>0</v>
      </c>
      <c r="N593">
        <f>IFERROR(SMALL(N149:N433,ROW()-ROW($N$436)+1),"")</f>
        <v>0</v>
      </c>
    </row>
    <row r="594" spans="5:14">
      <c r="E594">
        <f>IFERROR(SMALL(E149:E433,ROW()-ROW($E$436)+1),"")</f>
        <v>0</v>
      </c>
      <c r="F594">
        <f>IFERROR(SMALL(F149:F433,ROW()-ROW($F$436)+1),"")</f>
        <v>0</v>
      </c>
      <c r="G594">
        <f>IFERROR(SMALL(G149:G433,ROW()-ROW($G$436)+1),"")</f>
        <v>0</v>
      </c>
      <c r="H594">
        <f>IFERROR(SMALL(H149:H433,ROW()-ROW($H$436)+1),"")</f>
        <v>0</v>
      </c>
      <c r="K594">
        <f>IFERROR(SMALL(K149:K433,ROW()-ROW($K$436)+1),"")</f>
        <v>0</v>
      </c>
      <c r="L594">
        <f>IFERROR(SMALL(L149:L433,ROW()-ROW($L$436)+1),"")</f>
        <v>0</v>
      </c>
      <c r="M594">
        <f>IFERROR(SMALL(M149:M433,ROW()-ROW($M$436)+1),"")</f>
        <v>0</v>
      </c>
      <c r="N594">
        <f>IFERROR(SMALL(N149:N433,ROW()-ROW($N$436)+1),"")</f>
        <v>0</v>
      </c>
    </row>
    <row r="595" spans="5:14">
      <c r="E595">
        <f>IFERROR(SMALL(E149:E433,ROW()-ROW($E$436)+1),"")</f>
        <v>0</v>
      </c>
      <c r="F595">
        <f>IFERROR(SMALL(F149:F433,ROW()-ROW($F$436)+1),"")</f>
        <v>0</v>
      </c>
      <c r="G595">
        <f>IFERROR(SMALL(G149:G433,ROW()-ROW($G$436)+1),"")</f>
        <v>0</v>
      </c>
      <c r="H595">
        <f>IFERROR(SMALL(H149:H433,ROW()-ROW($H$436)+1),"")</f>
        <v>0</v>
      </c>
      <c r="K595">
        <f>IFERROR(SMALL(K149:K433,ROW()-ROW($K$436)+1),"")</f>
        <v>0</v>
      </c>
      <c r="L595">
        <f>IFERROR(SMALL(L149:L433,ROW()-ROW($L$436)+1),"")</f>
        <v>0</v>
      </c>
      <c r="M595">
        <f>IFERROR(SMALL(M149:M433,ROW()-ROW($M$436)+1),"")</f>
        <v>0</v>
      </c>
      <c r="N595">
        <f>IFERROR(SMALL(N149:N433,ROW()-ROW($N$436)+1),"")</f>
        <v>0</v>
      </c>
    </row>
    <row r="596" spans="5:14">
      <c r="E596">
        <f>IFERROR(SMALL(E149:E433,ROW()-ROW($E$436)+1),"")</f>
        <v>0</v>
      </c>
      <c r="F596">
        <f>IFERROR(SMALL(F149:F433,ROW()-ROW($F$436)+1),"")</f>
        <v>0</v>
      </c>
      <c r="G596">
        <f>IFERROR(SMALL(G149:G433,ROW()-ROW($G$436)+1),"")</f>
        <v>0</v>
      </c>
      <c r="H596">
        <f>IFERROR(SMALL(H149:H433,ROW()-ROW($H$436)+1),"")</f>
        <v>0</v>
      </c>
      <c r="K596">
        <f>IFERROR(SMALL(K149:K433,ROW()-ROW($K$436)+1),"")</f>
        <v>0</v>
      </c>
      <c r="L596">
        <f>IFERROR(SMALL(L149:L433,ROW()-ROW($L$436)+1),"")</f>
        <v>0</v>
      </c>
      <c r="M596">
        <f>IFERROR(SMALL(M149:M433,ROW()-ROW($M$436)+1),"")</f>
        <v>0</v>
      </c>
      <c r="N596">
        <f>IFERROR(SMALL(N149:N433,ROW()-ROW($N$436)+1),"")</f>
        <v>0</v>
      </c>
    </row>
    <row r="597" spans="5:14">
      <c r="E597">
        <f>IFERROR(SMALL(E149:E433,ROW()-ROW($E$436)+1),"")</f>
        <v>0</v>
      </c>
      <c r="F597">
        <f>IFERROR(SMALL(F149:F433,ROW()-ROW($F$436)+1),"")</f>
        <v>0</v>
      </c>
      <c r="G597">
        <f>IFERROR(SMALL(G149:G433,ROW()-ROW($G$436)+1),"")</f>
        <v>0</v>
      </c>
      <c r="H597">
        <f>IFERROR(SMALL(H149:H433,ROW()-ROW($H$436)+1),"")</f>
        <v>0</v>
      </c>
      <c r="K597">
        <f>IFERROR(SMALL(K149:K433,ROW()-ROW($K$436)+1),"")</f>
        <v>0</v>
      </c>
      <c r="L597">
        <f>IFERROR(SMALL(L149:L433,ROW()-ROW($L$436)+1),"")</f>
        <v>0</v>
      </c>
      <c r="M597">
        <f>IFERROR(SMALL(M149:M433,ROW()-ROW($M$436)+1),"")</f>
        <v>0</v>
      </c>
      <c r="N597">
        <f>IFERROR(SMALL(N149:N433,ROW()-ROW($N$436)+1),"")</f>
        <v>0</v>
      </c>
    </row>
    <row r="598" spans="5:14">
      <c r="E598">
        <f>IFERROR(SMALL(E149:E433,ROW()-ROW($E$436)+1),"")</f>
        <v>0</v>
      </c>
      <c r="F598">
        <f>IFERROR(SMALL(F149:F433,ROW()-ROW($F$436)+1),"")</f>
        <v>0</v>
      </c>
      <c r="G598">
        <f>IFERROR(SMALL(G149:G433,ROW()-ROW($G$436)+1),"")</f>
        <v>0</v>
      </c>
      <c r="H598">
        <f>IFERROR(SMALL(H149:H433,ROW()-ROW($H$436)+1),"")</f>
        <v>0</v>
      </c>
      <c r="K598">
        <f>IFERROR(SMALL(K149:K433,ROW()-ROW($K$436)+1),"")</f>
        <v>0</v>
      </c>
      <c r="L598">
        <f>IFERROR(SMALL(L149:L433,ROW()-ROW($L$436)+1),"")</f>
        <v>0</v>
      </c>
      <c r="M598">
        <f>IFERROR(SMALL(M149:M433,ROW()-ROW($M$436)+1),"")</f>
        <v>0</v>
      </c>
      <c r="N598">
        <f>IFERROR(SMALL(N149:N433,ROW()-ROW($N$436)+1),"")</f>
        <v>0</v>
      </c>
    </row>
    <row r="599" spans="5:14">
      <c r="E599">
        <f>IFERROR(SMALL(E149:E433,ROW()-ROW($E$436)+1),"")</f>
        <v>0</v>
      </c>
      <c r="F599">
        <f>IFERROR(SMALL(F149:F433,ROW()-ROW($F$436)+1),"")</f>
        <v>0</v>
      </c>
      <c r="G599">
        <f>IFERROR(SMALL(G149:G433,ROW()-ROW($G$436)+1),"")</f>
        <v>0</v>
      </c>
      <c r="H599">
        <f>IFERROR(SMALL(H149:H433,ROW()-ROW($H$436)+1),"")</f>
        <v>0</v>
      </c>
      <c r="K599">
        <f>IFERROR(SMALL(K149:K433,ROW()-ROW($K$436)+1),"")</f>
        <v>0</v>
      </c>
      <c r="L599">
        <f>IFERROR(SMALL(L149:L433,ROW()-ROW($L$436)+1),"")</f>
        <v>0</v>
      </c>
      <c r="M599">
        <f>IFERROR(SMALL(M149:M433,ROW()-ROW($M$436)+1),"")</f>
        <v>0</v>
      </c>
      <c r="N599">
        <f>IFERROR(SMALL(N149:N433,ROW()-ROW($N$436)+1),"")</f>
        <v>0</v>
      </c>
    </row>
    <row r="600" spans="5:14">
      <c r="E600">
        <f>IFERROR(SMALL(E149:E433,ROW()-ROW($E$436)+1),"")</f>
        <v>0</v>
      </c>
      <c r="F600">
        <f>IFERROR(SMALL(F149:F433,ROW()-ROW($F$436)+1),"")</f>
        <v>0</v>
      </c>
      <c r="G600">
        <f>IFERROR(SMALL(G149:G433,ROW()-ROW($G$436)+1),"")</f>
        <v>0</v>
      </c>
      <c r="H600">
        <f>IFERROR(SMALL(H149:H433,ROW()-ROW($H$436)+1),"")</f>
        <v>0</v>
      </c>
      <c r="K600">
        <f>IFERROR(SMALL(K149:K433,ROW()-ROW($K$436)+1),"")</f>
        <v>0</v>
      </c>
      <c r="L600">
        <f>IFERROR(SMALL(L149:L433,ROW()-ROW($L$436)+1),"")</f>
        <v>0</v>
      </c>
      <c r="M600">
        <f>IFERROR(SMALL(M149:M433,ROW()-ROW($M$436)+1),"")</f>
        <v>0</v>
      </c>
      <c r="N600">
        <f>IFERROR(SMALL(N149:N433,ROW()-ROW($N$436)+1),"")</f>
        <v>0</v>
      </c>
    </row>
    <row r="601" spans="5:14">
      <c r="E601">
        <f>IFERROR(SMALL(E149:E433,ROW()-ROW($E$436)+1),"")</f>
        <v>0</v>
      </c>
      <c r="F601">
        <f>IFERROR(SMALL(F149:F433,ROW()-ROW($F$436)+1),"")</f>
        <v>0</v>
      </c>
      <c r="G601">
        <f>IFERROR(SMALL(G149:G433,ROW()-ROW($G$436)+1),"")</f>
        <v>0</v>
      </c>
      <c r="H601">
        <f>IFERROR(SMALL(H149:H433,ROW()-ROW($H$436)+1),"")</f>
        <v>0</v>
      </c>
      <c r="K601">
        <f>IFERROR(SMALL(K149:K433,ROW()-ROW($K$436)+1),"")</f>
        <v>0</v>
      </c>
      <c r="L601">
        <f>IFERROR(SMALL(L149:L433,ROW()-ROW($L$436)+1),"")</f>
        <v>0</v>
      </c>
      <c r="M601">
        <f>IFERROR(SMALL(M149:M433,ROW()-ROW($M$436)+1),"")</f>
        <v>0</v>
      </c>
      <c r="N601">
        <f>IFERROR(SMALL(N149:N433,ROW()-ROW($N$436)+1),"")</f>
        <v>0</v>
      </c>
    </row>
    <row r="602" spans="5:14">
      <c r="E602">
        <f>IFERROR(SMALL(E149:E433,ROW()-ROW($E$436)+1),"")</f>
        <v>0</v>
      </c>
      <c r="F602">
        <f>IFERROR(SMALL(F149:F433,ROW()-ROW($F$436)+1),"")</f>
        <v>0</v>
      </c>
      <c r="G602">
        <f>IFERROR(SMALL(G149:G433,ROW()-ROW($G$436)+1),"")</f>
        <v>0</v>
      </c>
      <c r="H602">
        <f>IFERROR(SMALL(H149:H433,ROW()-ROW($H$436)+1),"")</f>
        <v>0</v>
      </c>
      <c r="K602">
        <f>IFERROR(SMALL(K149:K433,ROW()-ROW($K$436)+1),"")</f>
        <v>0</v>
      </c>
      <c r="L602">
        <f>IFERROR(SMALL(L149:L433,ROW()-ROW($L$436)+1),"")</f>
        <v>0</v>
      </c>
      <c r="M602">
        <f>IFERROR(SMALL(M149:M433,ROW()-ROW($M$436)+1),"")</f>
        <v>0</v>
      </c>
      <c r="N602">
        <f>IFERROR(SMALL(N149:N433,ROW()-ROW($N$436)+1),"")</f>
        <v>0</v>
      </c>
    </row>
    <row r="603" spans="5:14">
      <c r="E603">
        <f>IFERROR(SMALL(E149:E433,ROW()-ROW($E$436)+1),"")</f>
        <v>0</v>
      </c>
      <c r="F603">
        <f>IFERROR(SMALL(F149:F433,ROW()-ROW($F$436)+1),"")</f>
        <v>0</v>
      </c>
      <c r="G603">
        <f>IFERROR(SMALL(G149:G433,ROW()-ROW($G$436)+1),"")</f>
        <v>0</v>
      </c>
      <c r="H603">
        <f>IFERROR(SMALL(H149:H433,ROW()-ROW($H$436)+1),"")</f>
        <v>0</v>
      </c>
      <c r="K603">
        <f>IFERROR(SMALL(K149:K433,ROW()-ROW($K$436)+1),"")</f>
        <v>0</v>
      </c>
      <c r="L603">
        <f>IFERROR(SMALL(L149:L433,ROW()-ROW($L$436)+1),"")</f>
        <v>0</v>
      </c>
      <c r="M603">
        <f>IFERROR(SMALL(M149:M433,ROW()-ROW($M$436)+1),"")</f>
        <v>0</v>
      </c>
      <c r="N603">
        <f>IFERROR(SMALL(N149:N433,ROW()-ROW($N$436)+1),"")</f>
        <v>0</v>
      </c>
    </row>
    <row r="604" spans="5:14">
      <c r="E604">
        <f>IFERROR(SMALL(E149:E433,ROW()-ROW($E$436)+1),"")</f>
        <v>0</v>
      </c>
      <c r="F604">
        <f>IFERROR(SMALL(F149:F433,ROW()-ROW($F$436)+1),"")</f>
        <v>0</v>
      </c>
      <c r="G604">
        <f>IFERROR(SMALL(G149:G433,ROW()-ROW($G$436)+1),"")</f>
        <v>0</v>
      </c>
      <c r="H604">
        <f>IFERROR(SMALL(H149:H433,ROW()-ROW($H$436)+1),"")</f>
        <v>0</v>
      </c>
      <c r="K604">
        <f>IFERROR(SMALL(K149:K433,ROW()-ROW($K$436)+1),"")</f>
        <v>0</v>
      </c>
      <c r="L604">
        <f>IFERROR(SMALL(L149:L433,ROW()-ROW($L$436)+1),"")</f>
        <v>0</v>
      </c>
      <c r="M604">
        <f>IFERROR(SMALL(M149:M433,ROW()-ROW($M$436)+1),"")</f>
        <v>0</v>
      </c>
      <c r="N604">
        <f>IFERROR(SMALL(N149:N433,ROW()-ROW($N$436)+1),"")</f>
        <v>0</v>
      </c>
    </row>
    <row r="605" spans="5:14">
      <c r="E605">
        <f>IFERROR(SMALL(E149:E433,ROW()-ROW($E$436)+1),"")</f>
        <v>0</v>
      </c>
      <c r="F605">
        <f>IFERROR(SMALL(F149:F433,ROW()-ROW($F$436)+1),"")</f>
        <v>0</v>
      </c>
      <c r="G605">
        <f>IFERROR(SMALL(G149:G433,ROW()-ROW($G$436)+1),"")</f>
        <v>0</v>
      </c>
      <c r="H605">
        <f>IFERROR(SMALL(H149:H433,ROW()-ROW($H$436)+1),"")</f>
        <v>0</v>
      </c>
      <c r="K605">
        <f>IFERROR(SMALL(K149:K433,ROW()-ROW($K$436)+1),"")</f>
        <v>0</v>
      </c>
      <c r="L605">
        <f>IFERROR(SMALL(L149:L433,ROW()-ROW($L$436)+1),"")</f>
        <v>0</v>
      </c>
      <c r="M605">
        <f>IFERROR(SMALL(M149:M433,ROW()-ROW($M$436)+1),"")</f>
        <v>0</v>
      </c>
      <c r="N605">
        <f>IFERROR(SMALL(N149:N433,ROW()-ROW($N$436)+1),"")</f>
        <v>0</v>
      </c>
    </row>
    <row r="606" spans="5:14">
      <c r="E606">
        <f>IFERROR(SMALL(E149:E433,ROW()-ROW($E$436)+1),"")</f>
        <v>0</v>
      </c>
      <c r="F606">
        <f>IFERROR(SMALL(F149:F433,ROW()-ROW($F$436)+1),"")</f>
        <v>0</v>
      </c>
      <c r="G606">
        <f>IFERROR(SMALL(G149:G433,ROW()-ROW($G$436)+1),"")</f>
        <v>0</v>
      </c>
      <c r="H606">
        <f>IFERROR(SMALL(H149:H433,ROW()-ROW($H$436)+1),"")</f>
        <v>0</v>
      </c>
      <c r="K606">
        <f>IFERROR(SMALL(K149:K433,ROW()-ROW($K$436)+1),"")</f>
        <v>0</v>
      </c>
      <c r="L606">
        <f>IFERROR(SMALL(L149:L433,ROW()-ROW($L$436)+1),"")</f>
        <v>0</v>
      </c>
      <c r="M606">
        <f>IFERROR(SMALL(M149:M433,ROW()-ROW($M$436)+1),"")</f>
        <v>0</v>
      </c>
      <c r="N606">
        <f>IFERROR(SMALL(N149:N433,ROW()-ROW($N$436)+1),"")</f>
        <v>0</v>
      </c>
    </row>
    <row r="607" spans="5:14">
      <c r="E607">
        <f>IFERROR(SMALL(E149:E433,ROW()-ROW($E$436)+1),"")</f>
        <v>0</v>
      </c>
      <c r="F607">
        <f>IFERROR(SMALL(F149:F433,ROW()-ROW($F$436)+1),"")</f>
        <v>0</v>
      </c>
      <c r="G607">
        <f>IFERROR(SMALL(G149:G433,ROW()-ROW($G$436)+1),"")</f>
        <v>0</v>
      </c>
      <c r="H607">
        <f>IFERROR(SMALL(H149:H433,ROW()-ROW($H$436)+1),"")</f>
        <v>0</v>
      </c>
      <c r="K607">
        <f>IFERROR(SMALL(K149:K433,ROW()-ROW($K$436)+1),"")</f>
        <v>0</v>
      </c>
      <c r="L607">
        <f>IFERROR(SMALL(L149:L433,ROW()-ROW($L$436)+1),"")</f>
        <v>0</v>
      </c>
      <c r="M607">
        <f>IFERROR(SMALL(M149:M433,ROW()-ROW($M$436)+1),"")</f>
        <v>0</v>
      </c>
      <c r="N607">
        <f>IFERROR(SMALL(N149:N433,ROW()-ROW($N$436)+1),"")</f>
        <v>0</v>
      </c>
    </row>
    <row r="608" spans="5:14">
      <c r="E608">
        <f>IFERROR(SMALL(E149:E433,ROW()-ROW($E$436)+1),"")</f>
        <v>0</v>
      </c>
      <c r="F608">
        <f>IFERROR(SMALL(F149:F433,ROW()-ROW($F$436)+1),"")</f>
        <v>0</v>
      </c>
      <c r="G608">
        <f>IFERROR(SMALL(G149:G433,ROW()-ROW($G$436)+1),"")</f>
        <v>0</v>
      </c>
      <c r="H608">
        <f>IFERROR(SMALL(H149:H433,ROW()-ROW($H$436)+1),"")</f>
        <v>0</v>
      </c>
      <c r="K608">
        <f>IFERROR(SMALL(K149:K433,ROW()-ROW($K$436)+1),"")</f>
        <v>0</v>
      </c>
      <c r="L608">
        <f>IFERROR(SMALL(L149:L433,ROW()-ROW($L$436)+1),"")</f>
        <v>0</v>
      </c>
      <c r="M608">
        <f>IFERROR(SMALL(M149:M433,ROW()-ROW($M$436)+1),"")</f>
        <v>0</v>
      </c>
      <c r="N608">
        <f>IFERROR(SMALL(N149:N433,ROW()-ROW($N$436)+1),"")</f>
        <v>0</v>
      </c>
    </row>
    <row r="609" spans="5:14">
      <c r="E609">
        <f>IFERROR(SMALL(E149:E433,ROW()-ROW($E$436)+1),"")</f>
        <v>0</v>
      </c>
      <c r="F609">
        <f>IFERROR(SMALL(F149:F433,ROW()-ROW($F$436)+1),"")</f>
        <v>0</v>
      </c>
      <c r="G609">
        <f>IFERROR(SMALL(G149:G433,ROW()-ROW($G$436)+1),"")</f>
        <v>0</v>
      </c>
      <c r="H609">
        <f>IFERROR(SMALL(H149:H433,ROW()-ROW($H$436)+1),"")</f>
        <v>0</v>
      </c>
      <c r="K609">
        <f>IFERROR(SMALL(K149:K433,ROW()-ROW($K$436)+1),"")</f>
        <v>0</v>
      </c>
      <c r="L609">
        <f>IFERROR(SMALL(L149:L433,ROW()-ROW($L$436)+1),"")</f>
        <v>0</v>
      </c>
      <c r="M609">
        <f>IFERROR(SMALL(M149:M433,ROW()-ROW($M$436)+1),"")</f>
        <v>0</v>
      </c>
      <c r="N609">
        <f>IFERROR(SMALL(N149:N433,ROW()-ROW($N$436)+1),"")</f>
        <v>0</v>
      </c>
    </row>
    <row r="610" spans="5:14">
      <c r="E610">
        <f>IFERROR(SMALL(E149:E433,ROW()-ROW($E$436)+1),"")</f>
        <v>0</v>
      </c>
      <c r="F610">
        <f>IFERROR(SMALL(F149:F433,ROW()-ROW($F$436)+1),"")</f>
        <v>0</v>
      </c>
      <c r="G610">
        <f>IFERROR(SMALL(G149:G433,ROW()-ROW($G$436)+1),"")</f>
        <v>0</v>
      </c>
      <c r="H610">
        <f>IFERROR(SMALL(H149:H433,ROW()-ROW($H$436)+1),"")</f>
        <v>0</v>
      </c>
      <c r="K610">
        <f>IFERROR(SMALL(K149:K433,ROW()-ROW($K$436)+1),"")</f>
        <v>0</v>
      </c>
      <c r="L610">
        <f>IFERROR(SMALL(L149:L433,ROW()-ROW($L$436)+1),"")</f>
        <v>0</v>
      </c>
      <c r="M610">
        <f>IFERROR(SMALL(M149:M433,ROW()-ROW($M$436)+1),"")</f>
        <v>0</v>
      </c>
      <c r="N610">
        <f>IFERROR(SMALL(N149:N433,ROW()-ROW($N$436)+1),"")</f>
        <v>0</v>
      </c>
    </row>
    <row r="611" spans="5:14">
      <c r="E611">
        <f>IFERROR(SMALL(E149:E433,ROW()-ROW($E$436)+1),"")</f>
        <v>0</v>
      </c>
      <c r="F611">
        <f>IFERROR(SMALL(F149:F433,ROW()-ROW($F$436)+1),"")</f>
        <v>0</v>
      </c>
      <c r="G611">
        <f>IFERROR(SMALL(G149:G433,ROW()-ROW($G$436)+1),"")</f>
        <v>0</v>
      </c>
      <c r="H611">
        <f>IFERROR(SMALL(H149:H433,ROW()-ROW($H$436)+1),"")</f>
        <v>0</v>
      </c>
      <c r="K611">
        <f>IFERROR(SMALL(K149:K433,ROW()-ROW($K$436)+1),"")</f>
        <v>0</v>
      </c>
      <c r="L611">
        <f>IFERROR(SMALL(L149:L433,ROW()-ROW($L$436)+1),"")</f>
        <v>0</v>
      </c>
      <c r="M611">
        <f>IFERROR(SMALL(M149:M433,ROW()-ROW($M$436)+1),"")</f>
        <v>0</v>
      </c>
      <c r="N611">
        <f>IFERROR(SMALL(N149:N433,ROW()-ROW($N$436)+1),"")</f>
        <v>0</v>
      </c>
    </row>
    <row r="612" spans="5:14">
      <c r="E612">
        <f>IFERROR(SMALL(E149:E433,ROW()-ROW($E$436)+1),"")</f>
        <v>0</v>
      </c>
      <c r="F612">
        <f>IFERROR(SMALL(F149:F433,ROW()-ROW($F$436)+1),"")</f>
        <v>0</v>
      </c>
      <c r="G612">
        <f>IFERROR(SMALL(G149:G433,ROW()-ROW($G$436)+1),"")</f>
        <v>0</v>
      </c>
      <c r="H612">
        <f>IFERROR(SMALL(H149:H433,ROW()-ROW($H$436)+1),"")</f>
        <v>0</v>
      </c>
      <c r="K612">
        <f>IFERROR(SMALL(K149:K433,ROW()-ROW($K$436)+1),"")</f>
        <v>0</v>
      </c>
      <c r="L612">
        <f>IFERROR(SMALL(L149:L433,ROW()-ROW($L$436)+1),"")</f>
        <v>0</v>
      </c>
      <c r="M612">
        <f>IFERROR(SMALL(M149:M433,ROW()-ROW($M$436)+1),"")</f>
        <v>0</v>
      </c>
      <c r="N612">
        <f>IFERROR(SMALL(N149:N433,ROW()-ROW($N$436)+1),"")</f>
        <v>0</v>
      </c>
    </row>
    <row r="613" spans="5:14">
      <c r="E613">
        <f>IFERROR(SMALL(E149:E433,ROW()-ROW($E$436)+1),"")</f>
        <v>0</v>
      </c>
      <c r="F613">
        <f>IFERROR(SMALL(F149:F433,ROW()-ROW($F$436)+1),"")</f>
        <v>0</v>
      </c>
      <c r="G613">
        <f>IFERROR(SMALL(G149:G433,ROW()-ROW($G$436)+1),"")</f>
        <v>0</v>
      </c>
      <c r="H613">
        <f>IFERROR(SMALL(H149:H433,ROW()-ROW($H$436)+1),"")</f>
        <v>0</v>
      </c>
      <c r="K613">
        <f>IFERROR(SMALL(K149:K433,ROW()-ROW($K$436)+1),"")</f>
        <v>0</v>
      </c>
      <c r="L613">
        <f>IFERROR(SMALL(L149:L433,ROW()-ROW($L$436)+1),"")</f>
        <v>0</v>
      </c>
      <c r="M613">
        <f>IFERROR(SMALL(M149:M433,ROW()-ROW($M$436)+1),"")</f>
        <v>0</v>
      </c>
      <c r="N613">
        <f>IFERROR(SMALL(N149:N433,ROW()-ROW($N$436)+1),"")</f>
        <v>0</v>
      </c>
    </row>
    <row r="614" spans="5:14">
      <c r="E614">
        <f>IFERROR(SMALL(E149:E433,ROW()-ROW($E$436)+1),"")</f>
        <v>0</v>
      </c>
      <c r="F614">
        <f>IFERROR(SMALL(F149:F433,ROW()-ROW($F$436)+1),"")</f>
        <v>0</v>
      </c>
      <c r="G614">
        <f>IFERROR(SMALL(G149:G433,ROW()-ROW($G$436)+1),"")</f>
        <v>0</v>
      </c>
      <c r="H614">
        <f>IFERROR(SMALL(H149:H433,ROW()-ROW($H$436)+1),"")</f>
        <v>0</v>
      </c>
      <c r="K614">
        <f>IFERROR(SMALL(K149:K433,ROW()-ROW($K$436)+1),"")</f>
        <v>0</v>
      </c>
      <c r="L614">
        <f>IFERROR(SMALL(L149:L433,ROW()-ROW($L$436)+1),"")</f>
        <v>0</v>
      </c>
      <c r="M614">
        <f>IFERROR(SMALL(M149:M433,ROW()-ROW($M$436)+1),"")</f>
        <v>0</v>
      </c>
      <c r="N614">
        <f>IFERROR(SMALL(N149:N433,ROW()-ROW($N$436)+1),"")</f>
        <v>0</v>
      </c>
    </row>
    <row r="615" spans="5:14">
      <c r="E615">
        <f>IFERROR(SMALL(E149:E433,ROW()-ROW($E$436)+1),"")</f>
        <v>0</v>
      </c>
      <c r="F615">
        <f>IFERROR(SMALL(F149:F433,ROW()-ROW($F$436)+1),"")</f>
        <v>0</v>
      </c>
      <c r="G615">
        <f>IFERROR(SMALL(G149:G433,ROW()-ROW($G$436)+1),"")</f>
        <v>0</v>
      </c>
      <c r="H615">
        <f>IFERROR(SMALL(H149:H433,ROW()-ROW($H$436)+1),"")</f>
        <v>0</v>
      </c>
      <c r="K615">
        <f>IFERROR(SMALL(K149:K433,ROW()-ROW($K$436)+1),"")</f>
        <v>0</v>
      </c>
      <c r="L615">
        <f>IFERROR(SMALL(L149:L433,ROW()-ROW($L$436)+1),"")</f>
        <v>0</v>
      </c>
      <c r="M615">
        <f>IFERROR(SMALL(M149:M433,ROW()-ROW($M$436)+1),"")</f>
        <v>0</v>
      </c>
      <c r="N615">
        <f>IFERROR(SMALL(N149:N433,ROW()-ROW($N$436)+1),"")</f>
        <v>0</v>
      </c>
    </row>
    <row r="616" spans="5:14">
      <c r="E616">
        <f>IFERROR(SMALL(E149:E433,ROW()-ROW($E$436)+1),"")</f>
        <v>0</v>
      </c>
      <c r="F616">
        <f>IFERROR(SMALL(F149:F433,ROW()-ROW($F$436)+1),"")</f>
        <v>0</v>
      </c>
      <c r="G616">
        <f>IFERROR(SMALL(G149:G433,ROW()-ROW($G$436)+1),"")</f>
        <v>0</v>
      </c>
      <c r="H616">
        <f>IFERROR(SMALL(H149:H433,ROW()-ROW($H$436)+1),"")</f>
        <v>0</v>
      </c>
      <c r="K616">
        <f>IFERROR(SMALL(K149:K433,ROW()-ROW($K$436)+1),"")</f>
        <v>0</v>
      </c>
      <c r="L616">
        <f>IFERROR(SMALL(L149:L433,ROW()-ROW($L$436)+1),"")</f>
        <v>0</v>
      </c>
      <c r="M616">
        <f>IFERROR(SMALL(M149:M433,ROW()-ROW($M$436)+1),"")</f>
        <v>0</v>
      </c>
      <c r="N616">
        <f>IFERROR(SMALL(N149:N433,ROW()-ROW($N$436)+1),"")</f>
        <v>0</v>
      </c>
    </row>
    <row r="617" spans="5:14">
      <c r="E617">
        <f>IFERROR(SMALL(E149:E433,ROW()-ROW($E$436)+1),"")</f>
        <v>0</v>
      </c>
      <c r="F617">
        <f>IFERROR(SMALL(F149:F433,ROW()-ROW($F$436)+1),"")</f>
        <v>0</v>
      </c>
      <c r="G617">
        <f>IFERROR(SMALL(G149:G433,ROW()-ROW($G$436)+1),"")</f>
        <v>0</v>
      </c>
      <c r="H617">
        <f>IFERROR(SMALL(H149:H433,ROW()-ROW($H$436)+1),"")</f>
        <v>0</v>
      </c>
      <c r="K617">
        <f>IFERROR(SMALL(K149:K433,ROW()-ROW($K$436)+1),"")</f>
        <v>0</v>
      </c>
      <c r="L617">
        <f>IFERROR(SMALL(L149:L433,ROW()-ROW($L$436)+1),"")</f>
        <v>0</v>
      </c>
      <c r="M617">
        <f>IFERROR(SMALL(M149:M433,ROW()-ROW($M$436)+1),"")</f>
        <v>0</v>
      </c>
      <c r="N617">
        <f>IFERROR(SMALL(N149:N433,ROW()-ROW($N$436)+1),"")</f>
        <v>0</v>
      </c>
    </row>
    <row r="618" spans="5:14">
      <c r="E618">
        <f>IFERROR(SMALL(E149:E433,ROW()-ROW($E$436)+1),"")</f>
        <v>0</v>
      </c>
      <c r="F618">
        <f>IFERROR(SMALL(F149:F433,ROW()-ROW($F$436)+1),"")</f>
        <v>0</v>
      </c>
      <c r="G618">
        <f>IFERROR(SMALL(G149:G433,ROW()-ROW($G$436)+1),"")</f>
        <v>0</v>
      </c>
      <c r="H618">
        <f>IFERROR(SMALL(H149:H433,ROW()-ROW($H$436)+1),"")</f>
        <v>0</v>
      </c>
      <c r="K618">
        <f>IFERROR(SMALL(K149:K433,ROW()-ROW($K$436)+1),"")</f>
        <v>0</v>
      </c>
      <c r="L618">
        <f>IFERROR(SMALL(L149:L433,ROW()-ROW($L$436)+1),"")</f>
        <v>0</v>
      </c>
      <c r="M618">
        <f>IFERROR(SMALL(M149:M433,ROW()-ROW($M$436)+1),"")</f>
        <v>0</v>
      </c>
      <c r="N618">
        <f>IFERROR(SMALL(N149:N433,ROW()-ROW($N$436)+1),"")</f>
        <v>0</v>
      </c>
    </row>
    <row r="619" spans="5:14">
      <c r="E619">
        <f>IFERROR(SMALL(E149:E433,ROW()-ROW($E$436)+1),"")</f>
        <v>0</v>
      </c>
      <c r="F619">
        <f>IFERROR(SMALL(F149:F433,ROW()-ROW($F$436)+1),"")</f>
        <v>0</v>
      </c>
      <c r="G619">
        <f>IFERROR(SMALL(G149:G433,ROW()-ROW($G$436)+1),"")</f>
        <v>0</v>
      </c>
      <c r="H619">
        <f>IFERROR(SMALL(H149:H433,ROW()-ROW($H$436)+1),"")</f>
        <v>0</v>
      </c>
      <c r="K619">
        <f>IFERROR(SMALL(K149:K433,ROW()-ROW($K$436)+1),"")</f>
        <v>0</v>
      </c>
      <c r="L619">
        <f>IFERROR(SMALL(L149:L433,ROW()-ROW($L$436)+1),"")</f>
        <v>0</v>
      </c>
      <c r="M619">
        <f>IFERROR(SMALL(M149:M433,ROW()-ROW($M$436)+1),"")</f>
        <v>0</v>
      </c>
      <c r="N619">
        <f>IFERROR(SMALL(N149:N433,ROW()-ROW($N$436)+1),"")</f>
        <v>0</v>
      </c>
    </row>
    <row r="620" spans="5:14">
      <c r="E620">
        <f>IFERROR(SMALL(E149:E433,ROW()-ROW($E$436)+1),"")</f>
        <v>0</v>
      </c>
      <c r="F620">
        <f>IFERROR(SMALL(F149:F433,ROW()-ROW($F$436)+1),"")</f>
        <v>0</v>
      </c>
      <c r="G620">
        <f>IFERROR(SMALL(G149:G433,ROW()-ROW($G$436)+1),"")</f>
        <v>0</v>
      </c>
      <c r="H620">
        <f>IFERROR(SMALL(H149:H433,ROW()-ROW($H$436)+1),"")</f>
        <v>0</v>
      </c>
      <c r="K620">
        <f>IFERROR(SMALL(K149:K433,ROW()-ROW($K$436)+1),"")</f>
        <v>0</v>
      </c>
      <c r="L620">
        <f>IFERROR(SMALL(L149:L433,ROW()-ROW($L$436)+1),"")</f>
        <v>0</v>
      </c>
      <c r="M620">
        <f>IFERROR(SMALL(M149:M433,ROW()-ROW($M$436)+1),"")</f>
        <v>0</v>
      </c>
      <c r="N620">
        <f>IFERROR(SMALL(N149:N433,ROW()-ROW($N$436)+1),"")</f>
        <v>0</v>
      </c>
    </row>
    <row r="621" spans="5:14">
      <c r="E621">
        <f>IFERROR(SMALL(E149:E433,ROW()-ROW($E$436)+1),"")</f>
        <v>0</v>
      </c>
      <c r="F621">
        <f>IFERROR(SMALL(F149:F433,ROW()-ROW($F$436)+1),"")</f>
        <v>0</v>
      </c>
      <c r="G621">
        <f>IFERROR(SMALL(G149:G433,ROW()-ROW($G$436)+1),"")</f>
        <v>0</v>
      </c>
      <c r="H621">
        <f>IFERROR(SMALL(H149:H433,ROW()-ROW($H$436)+1),"")</f>
        <v>0</v>
      </c>
      <c r="K621">
        <f>IFERROR(SMALL(K149:K433,ROW()-ROW($K$436)+1),"")</f>
        <v>0</v>
      </c>
      <c r="L621">
        <f>IFERROR(SMALL(L149:L433,ROW()-ROW($L$436)+1),"")</f>
        <v>0</v>
      </c>
      <c r="M621">
        <f>IFERROR(SMALL(M149:M433,ROW()-ROW($M$436)+1),"")</f>
        <v>0</v>
      </c>
      <c r="N621">
        <f>IFERROR(SMALL(N149:N433,ROW()-ROW($N$436)+1),"")</f>
        <v>0</v>
      </c>
    </row>
    <row r="622" spans="5:14">
      <c r="E622">
        <f>IFERROR(SMALL(E149:E433,ROW()-ROW($E$436)+1),"")</f>
        <v>0</v>
      </c>
      <c r="F622">
        <f>IFERROR(SMALL(F149:F433,ROW()-ROW($F$436)+1),"")</f>
        <v>0</v>
      </c>
      <c r="G622">
        <f>IFERROR(SMALL(G149:G433,ROW()-ROW($G$436)+1),"")</f>
        <v>0</v>
      </c>
      <c r="H622">
        <f>IFERROR(SMALL(H149:H433,ROW()-ROW($H$436)+1),"")</f>
        <v>0</v>
      </c>
      <c r="K622">
        <f>IFERROR(SMALL(K149:K433,ROW()-ROW($K$436)+1),"")</f>
        <v>0</v>
      </c>
      <c r="L622">
        <f>IFERROR(SMALL(L149:L433,ROW()-ROW($L$436)+1),"")</f>
        <v>0</v>
      </c>
      <c r="M622">
        <f>IFERROR(SMALL(M149:M433,ROW()-ROW($M$436)+1),"")</f>
        <v>0</v>
      </c>
      <c r="N622">
        <f>IFERROR(SMALL(N149:N433,ROW()-ROW($N$436)+1),"")</f>
        <v>0</v>
      </c>
    </row>
    <row r="623" spans="5:14">
      <c r="E623">
        <f>IFERROR(SMALL(E149:E433,ROW()-ROW($E$436)+1),"")</f>
        <v>0</v>
      </c>
      <c r="F623">
        <f>IFERROR(SMALL(F149:F433,ROW()-ROW($F$436)+1),"")</f>
        <v>0</v>
      </c>
      <c r="G623">
        <f>IFERROR(SMALL(G149:G433,ROW()-ROW($G$436)+1),"")</f>
        <v>0</v>
      </c>
      <c r="H623">
        <f>IFERROR(SMALL(H149:H433,ROW()-ROW($H$436)+1),"")</f>
        <v>0</v>
      </c>
      <c r="K623">
        <f>IFERROR(SMALL(K149:K433,ROW()-ROW($K$436)+1),"")</f>
        <v>0</v>
      </c>
      <c r="L623">
        <f>IFERROR(SMALL(L149:L433,ROW()-ROW($L$436)+1),"")</f>
        <v>0</v>
      </c>
      <c r="M623">
        <f>IFERROR(SMALL(M149:M433,ROW()-ROW($M$436)+1),"")</f>
        <v>0</v>
      </c>
      <c r="N623">
        <f>IFERROR(SMALL(N149:N433,ROW()-ROW($N$436)+1),"")</f>
        <v>0</v>
      </c>
    </row>
    <row r="624" spans="5:14">
      <c r="E624">
        <f>IFERROR(SMALL(E149:E433,ROW()-ROW($E$436)+1),"")</f>
        <v>0</v>
      </c>
      <c r="F624">
        <f>IFERROR(SMALL(F149:F433,ROW()-ROW($F$436)+1),"")</f>
        <v>0</v>
      </c>
      <c r="G624">
        <f>IFERROR(SMALL(G149:G433,ROW()-ROW($G$436)+1),"")</f>
        <v>0</v>
      </c>
      <c r="H624">
        <f>IFERROR(SMALL(H149:H433,ROW()-ROW($H$436)+1),"")</f>
        <v>0</v>
      </c>
      <c r="K624">
        <f>IFERROR(SMALL(K149:K433,ROW()-ROW($K$436)+1),"")</f>
        <v>0</v>
      </c>
      <c r="L624">
        <f>IFERROR(SMALL(L149:L433,ROW()-ROW($L$436)+1),"")</f>
        <v>0</v>
      </c>
      <c r="M624">
        <f>IFERROR(SMALL(M149:M433,ROW()-ROW($M$436)+1),"")</f>
        <v>0</v>
      </c>
      <c r="N624">
        <f>IFERROR(SMALL(N149:N433,ROW()-ROW($N$436)+1),"")</f>
        <v>0</v>
      </c>
    </row>
    <row r="625" spans="5:14">
      <c r="E625">
        <f>IFERROR(SMALL(E149:E433,ROW()-ROW($E$436)+1),"")</f>
        <v>0</v>
      </c>
      <c r="F625">
        <f>IFERROR(SMALL(F149:F433,ROW()-ROW($F$436)+1),"")</f>
        <v>0</v>
      </c>
      <c r="G625">
        <f>IFERROR(SMALL(G149:G433,ROW()-ROW($G$436)+1),"")</f>
        <v>0</v>
      </c>
      <c r="H625">
        <f>IFERROR(SMALL(H149:H433,ROW()-ROW($H$436)+1),"")</f>
        <v>0</v>
      </c>
      <c r="K625">
        <f>IFERROR(SMALL(K149:K433,ROW()-ROW($K$436)+1),"")</f>
        <v>0</v>
      </c>
      <c r="L625">
        <f>IFERROR(SMALL(L149:L433,ROW()-ROW($L$436)+1),"")</f>
        <v>0</v>
      </c>
      <c r="M625">
        <f>IFERROR(SMALL(M149:M433,ROW()-ROW($M$436)+1),"")</f>
        <v>0</v>
      </c>
      <c r="N625">
        <f>IFERROR(SMALL(N149:N433,ROW()-ROW($N$436)+1),"")</f>
        <v>0</v>
      </c>
    </row>
    <row r="626" spans="5:14">
      <c r="E626">
        <f>IFERROR(SMALL(E149:E433,ROW()-ROW($E$436)+1),"")</f>
        <v>0</v>
      </c>
      <c r="F626">
        <f>IFERROR(SMALL(F149:F433,ROW()-ROW($F$436)+1),"")</f>
        <v>0</v>
      </c>
      <c r="G626">
        <f>IFERROR(SMALL(G149:G433,ROW()-ROW($G$436)+1),"")</f>
        <v>0</v>
      </c>
      <c r="H626">
        <f>IFERROR(SMALL(H149:H433,ROW()-ROW($H$436)+1),"")</f>
        <v>0</v>
      </c>
      <c r="K626">
        <f>IFERROR(SMALL(K149:K433,ROW()-ROW($K$436)+1),"")</f>
        <v>0</v>
      </c>
      <c r="L626">
        <f>IFERROR(SMALL(L149:L433,ROW()-ROW($L$436)+1),"")</f>
        <v>0</v>
      </c>
      <c r="M626">
        <f>IFERROR(SMALL(M149:M433,ROW()-ROW($M$436)+1),"")</f>
        <v>0</v>
      </c>
      <c r="N626">
        <f>IFERROR(SMALL(N149:N433,ROW()-ROW($N$436)+1),"")</f>
        <v>0</v>
      </c>
    </row>
    <row r="627" spans="5:14">
      <c r="E627">
        <f>IFERROR(SMALL(E149:E433,ROW()-ROW($E$436)+1),"")</f>
        <v>0</v>
      </c>
      <c r="F627">
        <f>IFERROR(SMALL(F149:F433,ROW()-ROW($F$436)+1),"")</f>
        <v>0</v>
      </c>
      <c r="G627">
        <f>IFERROR(SMALL(G149:G433,ROW()-ROW($G$436)+1),"")</f>
        <v>0</v>
      </c>
      <c r="H627">
        <f>IFERROR(SMALL(H149:H433,ROW()-ROW($H$436)+1),"")</f>
        <v>0</v>
      </c>
      <c r="K627">
        <f>IFERROR(SMALL(K149:K433,ROW()-ROW($K$436)+1),"")</f>
        <v>0</v>
      </c>
      <c r="L627">
        <f>IFERROR(SMALL(L149:L433,ROW()-ROW($L$436)+1),"")</f>
        <v>0</v>
      </c>
      <c r="M627">
        <f>IFERROR(SMALL(M149:M433,ROW()-ROW($M$436)+1),"")</f>
        <v>0</v>
      </c>
      <c r="N627">
        <f>IFERROR(SMALL(N149:N433,ROW()-ROW($N$436)+1),"")</f>
        <v>0</v>
      </c>
    </row>
    <row r="628" spans="5:14">
      <c r="E628">
        <f>IFERROR(SMALL(E149:E433,ROW()-ROW($E$436)+1),"")</f>
        <v>0</v>
      </c>
      <c r="F628">
        <f>IFERROR(SMALL(F149:F433,ROW()-ROW($F$436)+1),"")</f>
        <v>0</v>
      </c>
      <c r="G628">
        <f>IFERROR(SMALL(G149:G433,ROW()-ROW($G$436)+1),"")</f>
        <v>0</v>
      </c>
      <c r="H628">
        <f>IFERROR(SMALL(H149:H433,ROW()-ROW($H$436)+1),"")</f>
        <v>0</v>
      </c>
      <c r="K628">
        <f>IFERROR(SMALL(K149:K433,ROW()-ROW($K$436)+1),"")</f>
        <v>0</v>
      </c>
      <c r="L628">
        <f>IFERROR(SMALL(L149:L433,ROW()-ROW($L$436)+1),"")</f>
        <v>0</v>
      </c>
      <c r="M628">
        <f>IFERROR(SMALL(M149:M433,ROW()-ROW($M$436)+1),"")</f>
        <v>0</v>
      </c>
      <c r="N628">
        <f>IFERROR(SMALL(N149:N433,ROW()-ROW($N$436)+1),"")</f>
        <v>0</v>
      </c>
    </row>
    <row r="629" spans="5:14">
      <c r="E629">
        <f>IFERROR(SMALL(E149:E433,ROW()-ROW($E$436)+1),"")</f>
        <v>0</v>
      </c>
      <c r="F629">
        <f>IFERROR(SMALL(F149:F433,ROW()-ROW($F$436)+1),"")</f>
        <v>0</v>
      </c>
      <c r="G629">
        <f>IFERROR(SMALL(G149:G433,ROW()-ROW($G$436)+1),"")</f>
        <v>0</v>
      </c>
      <c r="H629">
        <f>IFERROR(SMALL(H149:H433,ROW()-ROW($H$436)+1),"")</f>
        <v>0</v>
      </c>
      <c r="K629">
        <f>IFERROR(SMALL(K149:K433,ROW()-ROW($K$436)+1),"")</f>
        <v>0</v>
      </c>
      <c r="L629">
        <f>IFERROR(SMALL(L149:L433,ROW()-ROW($L$436)+1),"")</f>
        <v>0</v>
      </c>
      <c r="M629">
        <f>IFERROR(SMALL(M149:M433,ROW()-ROW($M$436)+1),"")</f>
        <v>0</v>
      </c>
      <c r="N629">
        <f>IFERROR(SMALL(N149:N433,ROW()-ROW($N$436)+1),"")</f>
        <v>0</v>
      </c>
    </row>
    <row r="630" spans="5:14">
      <c r="E630">
        <f>IFERROR(SMALL(E149:E433,ROW()-ROW($E$436)+1),"")</f>
        <v>0</v>
      </c>
      <c r="F630">
        <f>IFERROR(SMALL(F149:F433,ROW()-ROW($F$436)+1),"")</f>
        <v>0</v>
      </c>
      <c r="G630">
        <f>IFERROR(SMALL(G149:G433,ROW()-ROW($G$436)+1),"")</f>
        <v>0</v>
      </c>
      <c r="H630">
        <f>IFERROR(SMALL(H149:H433,ROW()-ROW($H$436)+1),"")</f>
        <v>0</v>
      </c>
      <c r="K630">
        <f>IFERROR(SMALL(K149:K433,ROW()-ROW($K$436)+1),"")</f>
        <v>0</v>
      </c>
      <c r="L630">
        <f>IFERROR(SMALL(L149:L433,ROW()-ROW($L$436)+1),"")</f>
        <v>0</v>
      </c>
      <c r="M630">
        <f>IFERROR(SMALL(M149:M433,ROW()-ROW($M$436)+1),"")</f>
        <v>0</v>
      </c>
      <c r="N630">
        <f>IFERROR(SMALL(N149:N433,ROW()-ROW($N$436)+1),"")</f>
        <v>0</v>
      </c>
    </row>
    <row r="631" spans="5:14">
      <c r="E631">
        <f>IFERROR(SMALL(E149:E433,ROW()-ROW($E$436)+1),"")</f>
        <v>0</v>
      </c>
      <c r="F631">
        <f>IFERROR(SMALL(F149:F433,ROW()-ROW($F$436)+1),"")</f>
        <v>0</v>
      </c>
      <c r="G631">
        <f>IFERROR(SMALL(G149:G433,ROW()-ROW($G$436)+1),"")</f>
        <v>0</v>
      </c>
      <c r="H631">
        <f>IFERROR(SMALL(H149:H433,ROW()-ROW($H$436)+1),"")</f>
        <v>0</v>
      </c>
      <c r="K631">
        <f>IFERROR(SMALL(K149:K433,ROW()-ROW($K$436)+1),"")</f>
        <v>0</v>
      </c>
      <c r="L631">
        <f>IFERROR(SMALL(L149:L433,ROW()-ROW($L$436)+1),"")</f>
        <v>0</v>
      </c>
      <c r="M631">
        <f>IFERROR(SMALL(M149:M433,ROW()-ROW($M$436)+1),"")</f>
        <v>0</v>
      </c>
      <c r="N631">
        <f>IFERROR(SMALL(N149:N433,ROW()-ROW($N$436)+1),"")</f>
        <v>0</v>
      </c>
    </row>
    <row r="632" spans="5:14">
      <c r="E632">
        <f>IFERROR(SMALL(E149:E433,ROW()-ROW($E$436)+1),"")</f>
        <v>0</v>
      </c>
      <c r="F632">
        <f>IFERROR(SMALL(F149:F433,ROW()-ROW($F$436)+1),"")</f>
        <v>0</v>
      </c>
      <c r="G632">
        <f>IFERROR(SMALL(G149:G433,ROW()-ROW($G$436)+1),"")</f>
        <v>0</v>
      </c>
      <c r="H632">
        <f>IFERROR(SMALL(H149:H433,ROW()-ROW($H$436)+1),"")</f>
        <v>0</v>
      </c>
      <c r="K632">
        <f>IFERROR(SMALL(K149:K433,ROW()-ROW($K$436)+1),"")</f>
        <v>0</v>
      </c>
      <c r="L632">
        <f>IFERROR(SMALL(L149:L433,ROW()-ROW($L$436)+1),"")</f>
        <v>0</v>
      </c>
      <c r="M632">
        <f>IFERROR(SMALL(M149:M433,ROW()-ROW($M$436)+1),"")</f>
        <v>0</v>
      </c>
      <c r="N632">
        <f>IFERROR(SMALL(N149:N433,ROW()-ROW($N$436)+1),"")</f>
        <v>0</v>
      </c>
    </row>
    <row r="633" spans="5:14">
      <c r="E633">
        <f>IFERROR(SMALL(E149:E433,ROW()-ROW($E$436)+1),"")</f>
        <v>0</v>
      </c>
      <c r="F633">
        <f>IFERROR(SMALL(F149:F433,ROW()-ROW($F$436)+1),"")</f>
        <v>0</v>
      </c>
      <c r="G633">
        <f>IFERROR(SMALL(G149:G433,ROW()-ROW($G$436)+1),"")</f>
        <v>0</v>
      </c>
      <c r="H633">
        <f>IFERROR(SMALL(H149:H433,ROW()-ROW($H$436)+1),"")</f>
        <v>0</v>
      </c>
      <c r="K633">
        <f>IFERROR(SMALL(K149:K433,ROW()-ROW($K$436)+1),"")</f>
        <v>0</v>
      </c>
      <c r="L633">
        <f>IFERROR(SMALL(L149:L433,ROW()-ROW($L$436)+1),"")</f>
        <v>0</v>
      </c>
      <c r="M633">
        <f>IFERROR(SMALL(M149:M433,ROW()-ROW($M$436)+1),"")</f>
        <v>0</v>
      </c>
      <c r="N633">
        <f>IFERROR(SMALL(N149:N433,ROW()-ROW($N$436)+1),"")</f>
        <v>0</v>
      </c>
    </row>
    <row r="634" spans="5:14">
      <c r="E634">
        <f>IFERROR(SMALL(E149:E433,ROW()-ROW($E$436)+1),"")</f>
        <v>0</v>
      </c>
      <c r="F634">
        <f>IFERROR(SMALL(F149:F433,ROW()-ROW($F$436)+1),"")</f>
        <v>0</v>
      </c>
      <c r="G634">
        <f>IFERROR(SMALL(G149:G433,ROW()-ROW($G$436)+1),"")</f>
        <v>0</v>
      </c>
      <c r="H634">
        <f>IFERROR(SMALL(H149:H433,ROW()-ROW($H$436)+1),"")</f>
        <v>0</v>
      </c>
      <c r="K634">
        <f>IFERROR(SMALL(K149:K433,ROW()-ROW($K$436)+1),"")</f>
        <v>0</v>
      </c>
      <c r="L634">
        <f>IFERROR(SMALL(L149:L433,ROW()-ROW($L$436)+1),"")</f>
        <v>0</v>
      </c>
      <c r="M634">
        <f>IFERROR(SMALL(M149:M433,ROW()-ROW($M$436)+1),"")</f>
        <v>0</v>
      </c>
      <c r="N634">
        <f>IFERROR(SMALL(N149:N433,ROW()-ROW($N$436)+1),"")</f>
        <v>0</v>
      </c>
    </row>
    <row r="635" spans="5:14">
      <c r="E635">
        <f>IFERROR(SMALL(E149:E433,ROW()-ROW($E$436)+1),"")</f>
        <v>0</v>
      </c>
      <c r="F635">
        <f>IFERROR(SMALL(F149:F433,ROW()-ROW($F$436)+1),"")</f>
        <v>0</v>
      </c>
      <c r="G635">
        <f>IFERROR(SMALL(G149:G433,ROW()-ROW($G$436)+1),"")</f>
        <v>0</v>
      </c>
      <c r="H635">
        <f>IFERROR(SMALL(H149:H433,ROW()-ROW($H$436)+1),"")</f>
        <v>0</v>
      </c>
      <c r="K635">
        <f>IFERROR(SMALL(K149:K433,ROW()-ROW($K$436)+1),"")</f>
        <v>0</v>
      </c>
      <c r="L635">
        <f>IFERROR(SMALL(L149:L433,ROW()-ROW($L$436)+1),"")</f>
        <v>0</v>
      </c>
      <c r="M635">
        <f>IFERROR(SMALL(M149:M433,ROW()-ROW($M$436)+1),"")</f>
        <v>0</v>
      </c>
      <c r="N635">
        <f>IFERROR(SMALL(N149:N433,ROW()-ROW($N$436)+1),"")</f>
        <v>0</v>
      </c>
    </row>
    <row r="636" spans="5:14">
      <c r="E636">
        <f>IFERROR(SMALL(E149:E433,ROW()-ROW($E$436)+1),"")</f>
        <v>0</v>
      </c>
      <c r="F636">
        <f>IFERROR(SMALL(F149:F433,ROW()-ROW($F$436)+1),"")</f>
        <v>0</v>
      </c>
      <c r="G636">
        <f>IFERROR(SMALL(G149:G433,ROW()-ROW($G$436)+1),"")</f>
        <v>0</v>
      </c>
      <c r="H636">
        <f>IFERROR(SMALL(H149:H433,ROW()-ROW($H$436)+1),"")</f>
        <v>0</v>
      </c>
      <c r="K636">
        <f>IFERROR(SMALL(K149:K433,ROW()-ROW($K$436)+1),"")</f>
        <v>0</v>
      </c>
      <c r="L636">
        <f>IFERROR(SMALL(L149:L433,ROW()-ROW($L$436)+1),"")</f>
        <v>0</v>
      </c>
      <c r="M636">
        <f>IFERROR(SMALL(M149:M433,ROW()-ROW($M$436)+1),"")</f>
        <v>0</v>
      </c>
      <c r="N636">
        <f>IFERROR(SMALL(N149:N433,ROW()-ROW($N$436)+1),"")</f>
        <v>0</v>
      </c>
    </row>
    <row r="637" spans="5:14">
      <c r="E637">
        <f>IFERROR(SMALL(E149:E433,ROW()-ROW($E$436)+1),"")</f>
        <v>0</v>
      </c>
      <c r="F637">
        <f>IFERROR(SMALL(F149:F433,ROW()-ROW($F$436)+1),"")</f>
        <v>0</v>
      </c>
      <c r="G637">
        <f>IFERROR(SMALL(G149:G433,ROW()-ROW($G$436)+1),"")</f>
        <v>0</v>
      </c>
      <c r="H637">
        <f>IFERROR(SMALL(H149:H433,ROW()-ROW($H$436)+1),"")</f>
        <v>0</v>
      </c>
      <c r="K637">
        <f>IFERROR(SMALL(K149:K433,ROW()-ROW($K$436)+1),"")</f>
        <v>0</v>
      </c>
      <c r="L637">
        <f>IFERROR(SMALL(L149:L433,ROW()-ROW($L$436)+1),"")</f>
        <v>0</v>
      </c>
      <c r="M637">
        <f>IFERROR(SMALL(M149:M433,ROW()-ROW($M$436)+1),"")</f>
        <v>0</v>
      </c>
      <c r="N637">
        <f>IFERROR(SMALL(N149:N433,ROW()-ROW($N$436)+1),"")</f>
        <v>0</v>
      </c>
    </row>
    <row r="638" spans="5:14">
      <c r="E638">
        <f>IFERROR(SMALL(E149:E433,ROW()-ROW($E$436)+1),"")</f>
        <v>0</v>
      </c>
      <c r="F638">
        <f>IFERROR(SMALL(F149:F433,ROW()-ROW($F$436)+1),"")</f>
        <v>0</v>
      </c>
      <c r="G638">
        <f>IFERROR(SMALL(G149:G433,ROW()-ROW($G$436)+1),"")</f>
        <v>0</v>
      </c>
      <c r="H638">
        <f>IFERROR(SMALL(H149:H433,ROW()-ROW($H$436)+1),"")</f>
        <v>0</v>
      </c>
      <c r="K638">
        <f>IFERROR(SMALL(K149:K433,ROW()-ROW($K$436)+1),"")</f>
        <v>0</v>
      </c>
      <c r="L638">
        <f>IFERROR(SMALL(L149:L433,ROW()-ROW($L$436)+1),"")</f>
        <v>0</v>
      </c>
      <c r="M638">
        <f>IFERROR(SMALL(M149:M433,ROW()-ROW($M$436)+1),"")</f>
        <v>0</v>
      </c>
      <c r="N638">
        <f>IFERROR(SMALL(N149:N433,ROW()-ROW($N$436)+1),"")</f>
        <v>0</v>
      </c>
    </row>
    <row r="639" spans="5:14">
      <c r="E639">
        <f>IFERROR(SMALL(E149:E433,ROW()-ROW($E$436)+1),"")</f>
        <v>0</v>
      </c>
      <c r="F639">
        <f>IFERROR(SMALL(F149:F433,ROW()-ROW($F$436)+1),"")</f>
        <v>0</v>
      </c>
      <c r="G639">
        <f>IFERROR(SMALL(G149:G433,ROW()-ROW($G$436)+1),"")</f>
        <v>0</v>
      </c>
      <c r="H639">
        <f>IFERROR(SMALL(H149:H433,ROW()-ROW($H$436)+1),"")</f>
        <v>0</v>
      </c>
      <c r="K639">
        <f>IFERROR(SMALL(K149:K433,ROW()-ROW($K$436)+1),"")</f>
        <v>0</v>
      </c>
      <c r="L639">
        <f>IFERROR(SMALL(L149:L433,ROW()-ROW($L$436)+1),"")</f>
        <v>0</v>
      </c>
      <c r="M639">
        <f>IFERROR(SMALL(M149:M433,ROW()-ROW($M$436)+1),"")</f>
        <v>0</v>
      </c>
      <c r="N639">
        <f>IFERROR(SMALL(N149:N433,ROW()-ROW($N$436)+1),"")</f>
        <v>0</v>
      </c>
    </row>
    <row r="640" spans="5:14">
      <c r="E640">
        <f>IFERROR(SMALL(E149:E433,ROW()-ROW($E$436)+1),"")</f>
        <v>0</v>
      </c>
      <c r="F640">
        <f>IFERROR(SMALL(F149:F433,ROW()-ROW($F$436)+1),"")</f>
        <v>0</v>
      </c>
      <c r="G640">
        <f>IFERROR(SMALL(G149:G433,ROW()-ROW($G$436)+1),"")</f>
        <v>0</v>
      </c>
      <c r="H640">
        <f>IFERROR(SMALL(H149:H433,ROW()-ROW($H$436)+1),"")</f>
        <v>0</v>
      </c>
      <c r="K640">
        <f>IFERROR(SMALL(K149:K433,ROW()-ROW($K$436)+1),"")</f>
        <v>0</v>
      </c>
      <c r="L640">
        <f>IFERROR(SMALL(L149:L433,ROW()-ROW($L$436)+1),"")</f>
        <v>0</v>
      </c>
      <c r="M640">
        <f>IFERROR(SMALL(M149:M433,ROW()-ROW($M$436)+1),"")</f>
        <v>0</v>
      </c>
      <c r="N640">
        <f>IFERROR(SMALL(N149:N433,ROW()-ROW($N$436)+1),"")</f>
        <v>0</v>
      </c>
    </row>
    <row r="641" spans="5:14">
      <c r="E641">
        <f>IFERROR(SMALL(E149:E433,ROW()-ROW($E$436)+1),"")</f>
        <v>0</v>
      </c>
      <c r="F641">
        <f>IFERROR(SMALL(F149:F433,ROW()-ROW($F$436)+1),"")</f>
        <v>0</v>
      </c>
      <c r="G641">
        <f>IFERROR(SMALL(G149:G433,ROW()-ROW($G$436)+1),"")</f>
        <v>0</v>
      </c>
      <c r="H641">
        <f>IFERROR(SMALL(H149:H433,ROW()-ROW($H$436)+1),"")</f>
        <v>0</v>
      </c>
      <c r="K641">
        <f>IFERROR(SMALL(K149:K433,ROW()-ROW($K$436)+1),"")</f>
        <v>0</v>
      </c>
      <c r="L641">
        <f>IFERROR(SMALL(L149:L433,ROW()-ROW($L$436)+1),"")</f>
        <v>0</v>
      </c>
      <c r="M641">
        <f>IFERROR(SMALL(M149:M433,ROW()-ROW($M$436)+1),"")</f>
        <v>0</v>
      </c>
      <c r="N641">
        <f>IFERROR(SMALL(N149:N433,ROW()-ROW($N$436)+1),"")</f>
        <v>0</v>
      </c>
    </row>
    <row r="642" spans="5:14">
      <c r="E642">
        <f>IFERROR(SMALL(E149:E433,ROW()-ROW($E$436)+1),"")</f>
        <v>0</v>
      </c>
      <c r="F642">
        <f>IFERROR(SMALL(F149:F433,ROW()-ROW($F$436)+1),"")</f>
        <v>0</v>
      </c>
      <c r="G642">
        <f>IFERROR(SMALL(G149:G433,ROW()-ROW($G$436)+1),"")</f>
        <v>0</v>
      </c>
      <c r="H642">
        <f>IFERROR(SMALL(H149:H433,ROW()-ROW($H$436)+1),"")</f>
        <v>0</v>
      </c>
      <c r="K642">
        <f>IFERROR(SMALL(K149:K433,ROW()-ROW($K$436)+1),"")</f>
        <v>0</v>
      </c>
      <c r="L642">
        <f>IFERROR(SMALL(L149:L433,ROW()-ROW($L$436)+1),"")</f>
        <v>0</v>
      </c>
      <c r="M642">
        <f>IFERROR(SMALL(M149:M433,ROW()-ROW($M$436)+1),"")</f>
        <v>0</v>
      </c>
      <c r="N642">
        <f>IFERROR(SMALL(N149:N433,ROW()-ROW($N$436)+1),"")</f>
        <v>0</v>
      </c>
    </row>
    <row r="643" spans="5:14">
      <c r="E643">
        <f>IFERROR(SMALL(E149:E433,ROW()-ROW($E$436)+1),"")</f>
        <v>0</v>
      </c>
      <c r="F643">
        <f>IFERROR(SMALL(F149:F433,ROW()-ROW($F$436)+1),"")</f>
        <v>0</v>
      </c>
      <c r="G643">
        <f>IFERROR(SMALL(G149:G433,ROW()-ROW($G$436)+1),"")</f>
        <v>0</v>
      </c>
      <c r="H643">
        <f>IFERROR(SMALL(H149:H433,ROW()-ROW($H$436)+1),"")</f>
        <v>0</v>
      </c>
      <c r="K643">
        <f>IFERROR(SMALL(K149:K433,ROW()-ROW($K$436)+1),"")</f>
        <v>0</v>
      </c>
      <c r="L643">
        <f>IFERROR(SMALL(L149:L433,ROW()-ROW($L$436)+1),"")</f>
        <v>0</v>
      </c>
      <c r="M643">
        <f>IFERROR(SMALL(M149:M433,ROW()-ROW($M$436)+1),"")</f>
        <v>0</v>
      </c>
      <c r="N643">
        <f>IFERROR(SMALL(N149:N433,ROW()-ROW($N$436)+1),"")</f>
        <v>0</v>
      </c>
    </row>
    <row r="644" spans="5:14">
      <c r="E644">
        <f>IFERROR(SMALL(E149:E433,ROW()-ROW($E$436)+1),"")</f>
        <v>0</v>
      </c>
      <c r="F644">
        <f>IFERROR(SMALL(F149:F433,ROW()-ROW($F$436)+1),"")</f>
        <v>0</v>
      </c>
      <c r="G644">
        <f>IFERROR(SMALL(G149:G433,ROW()-ROW($G$436)+1),"")</f>
        <v>0</v>
      </c>
      <c r="H644">
        <f>IFERROR(SMALL(H149:H433,ROW()-ROW($H$436)+1),"")</f>
        <v>0</v>
      </c>
      <c r="K644">
        <f>IFERROR(SMALL(K149:K433,ROW()-ROW($K$436)+1),"")</f>
        <v>0</v>
      </c>
      <c r="L644">
        <f>IFERROR(SMALL(L149:L433,ROW()-ROW($L$436)+1),"")</f>
        <v>0</v>
      </c>
      <c r="M644">
        <f>IFERROR(SMALL(M149:M433,ROW()-ROW($M$436)+1),"")</f>
        <v>0</v>
      </c>
      <c r="N644">
        <f>IFERROR(SMALL(N149:N433,ROW()-ROW($N$436)+1),"")</f>
        <v>0</v>
      </c>
    </row>
    <row r="645" spans="5:14">
      <c r="E645">
        <f>IFERROR(SMALL(E149:E433,ROW()-ROW($E$436)+1),"")</f>
        <v>0</v>
      </c>
      <c r="F645">
        <f>IFERROR(SMALL(F149:F433,ROW()-ROW($F$436)+1),"")</f>
        <v>0</v>
      </c>
      <c r="G645">
        <f>IFERROR(SMALL(G149:G433,ROW()-ROW($G$436)+1),"")</f>
        <v>0</v>
      </c>
      <c r="H645">
        <f>IFERROR(SMALL(H149:H433,ROW()-ROW($H$436)+1),"")</f>
        <v>0</v>
      </c>
      <c r="K645">
        <f>IFERROR(SMALL(K149:K433,ROW()-ROW($K$436)+1),"")</f>
        <v>0</v>
      </c>
      <c r="L645">
        <f>IFERROR(SMALL(L149:L433,ROW()-ROW($L$436)+1),"")</f>
        <v>0</v>
      </c>
      <c r="M645">
        <f>IFERROR(SMALL(M149:M433,ROW()-ROW($M$436)+1),"")</f>
        <v>0</v>
      </c>
      <c r="N645">
        <f>IFERROR(SMALL(N149:N433,ROW()-ROW($N$436)+1),"")</f>
        <v>0</v>
      </c>
    </row>
    <row r="646" spans="5:14">
      <c r="E646">
        <f>IFERROR(SMALL(E149:E433,ROW()-ROW($E$436)+1),"")</f>
        <v>0</v>
      </c>
      <c r="F646">
        <f>IFERROR(SMALL(F149:F433,ROW()-ROW($F$436)+1),"")</f>
        <v>0</v>
      </c>
      <c r="G646">
        <f>IFERROR(SMALL(G149:G433,ROW()-ROW($G$436)+1),"")</f>
        <v>0</v>
      </c>
      <c r="H646">
        <f>IFERROR(SMALL(H149:H433,ROW()-ROW($H$436)+1),"")</f>
        <v>0</v>
      </c>
      <c r="K646">
        <f>IFERROR(SMALL(K149:K433,ROW()-ROW($K$436)+1),"")</f>
        <v>0</v>
      </c>
      <c r="L646">
        <f>IFERROR(SMALL(L149:L433,ROW()-ROW($L$436)+1),"")</f>
        <v>0</v>
      </c>
      <c r="M646">
        <f>IFERROR(SMALL(M149:M433,ROW()-ROW($M$436)+1),"")</f>
        <v>0</v>
      </c>
      <c r="N646">
        <f>IFERROR(SMALL(N149:N433,ROW()-ROW($N$436)+1),"")</f>
        <v>0</v>
      </c>
    </row>
    <row r="647" spans="5:14">
      <c r="E647">
        <f>IFERROR(SMALL(E149:E433,ROW()-ROW($E$436)+1),"")</f>
        <v>0</v>
      </c>
      <c r="F647">
        <f>IFERROR(SMALL(F149:F433,ROW()-ROW($F$436)+1),"")</f>
        <v>0</v>
      </c>
      <c r="G647">
        <f>IFERROR(SMALL(G149:G433,ROW()-ROW($G$436)+1),"")</f>
        <v>0</v>
      </c>
      <c r="H647">
        <f>IFERROR(SMALL(H149:H433,ROW()-ROW($H$436)+1),"")</f>
        <v>0</v>
      </c>
      <c r="K647">
        <f>IFERROR(SMALL(K149:K433,ROW()-ROW($K$436)+1),"")</f>
        <v>0</v>
      </c>
      <c r="L647">
        <f>IFERROR(SMALL(L149:L433,ROW()-ROW($L$436)+1),"")</f>
        <v>0</v>
      </c>
      <c r="M647">
        <f>IFERROR(SMALL(M149:M433,ROW()-ROW($M$436)+1),"")</f>
        <v>0</v>
      </c>
      <c r="N647">
        <f>IFERROR(SMALL(N149:N433,ROW()-ROW($N$436)+1),"")</f>
        <v>0</v>
      </c>
    </row>
    <row r="648" spans="5:14">
      <c r="E648">
        <f>IFERROR(SMALL(E149:E433,ROW()-ROW($E$436)+1),"")</f>
        <v>0</v>
      </c>
      <c r="F648">
        <f>IFERROR(SMALL(F149:F433,ROW()-ROW($F$436)+1),"")</f>
        <v>0</v>
      </c>
      <c r="G648">
        <f>IFERROR(SMALL(G149:G433,ROW()-ROW($G$436)+1),"")</f>
        <v>0</v>
      </c>
      <c r="H648">
        <f>IFERROR(SMALL(H149:H433,ROW()-ROW($H$436)+1),"")</f>
        <v>0</v>
      </c>
      <c r="K648">
        <f>IFERROR(SMALL(K149:K433,ROW()-ROW($K$436)+1),"")</f>
        <v>0</v>
      </c>
      <c r="L648">
        <f>IFERROR(SMALL(L149:L433,ROW()-ROW($L$436)+1),"")</f>
        <v>0</v>
      </c>
      <c r="M648">
        <f>IFERROR(SMALL(M149:M433,ROW()-ROW($M$436)+1),"")</f>
        <v>0</v>
      </c>
      <c r="N648">
        <f>IFERROR(SMALL(N149:N433,ROW()-ROW($N$436)+1),"")</f>
        <v>0</v>
      </c>
    </row>
    <row r="649" spans="5:14">
      <c r="E649">
        <f>IFERROR(SMALL(E149:E433,ROW()-ROW($E$436)+1),"")</f>
        <v>0</v>
      </c>
      <c r="F649">
        <f>IFERROR(SMALL(F149:F433,ROW()-ROW($F$436)+1),"")</f>
        <v>0</v>
      </c>
      <c r="G649">
        <f>IFERROR(SMALL(G149:G433,ROW()-ROW($G$436)+1),"")</f>
        <v>0</v>
      </c>
      <c r="H649">
        <f>IFERROR(SMALL(H149:H433,ROW()-ROW($H$436)+1),"")</f>
        <v>0</v>
      </c>
      <c r="K649">
        <f>IFERROR(SMALL(K149:K433,ROW()-ROW($K$436)+1),"")</f>
        <v>0</v>
      </c>
      <c r="L649">
        <f>IFERROR(SMALL(L149:L433,ROW()-ROW($L$436)+1),"")</f>
        <v>0</v>
      </c>
      <c r="M649">
        <f>IFERROR(SMALL(M149:M433,ROW()-ROW($M$436)+1),"")</f>
        <v>0</v>
      </c>
      <c r="N649">
        <f>IFERROR(SMALL(N149:N433,ROW()-ROW($N$436)+1),"")</f>
        <v>0</v>
      </c>
    </row>
    <row r="650" spans="5:14">
      <c r="E650">
        <f>IFERROR(SMALL(E149:E433,ROW()-ROW($E$436)+1),"")</f>
        <v>0</v>
      </c>
      <c r="F650">
        <f>IFERROR(SMALL(F149:F433,ROW()-ROW($F$436)+1),"")</f>
        <v>0</v>
      </c>
      <c r="G650">
        <f>IFERROR(SMALL(G149:G433,ROW()-ROW($G$436)+1),"")</f>
        <v>0</v>
      </c>
      <c r="H650">
        <f>IFERROR(SMALL(H149:H433,ROW()-ROW($H$436)+1),"")</f>
        <v>0</v>
      </c>
      <c r="K650">
        <f>IFERROR(SMALL(K149:K433,ROW()-ROW($K$436)+1),"")</f>
        <v>0</v>
      </c>
      <c r="L650">
        <f>IFERROR(SMALL(L149:L433,ROW()-ROW($L$436)+1),"")</f>
        <v>0</v>
      </c>
      <c r="M650">
        <f>IFERROR(SMALL(M149:M433,ROW()-ROW($M$436)+1),"")</f>
        <v>0</v>
      </c>
      <c r="N650">
        <f>IFERROR(SMALL(N149:N433,ROW()-ROW($N$436)+1),"")</f>
        <v>0</v>
      </c>
    </row>
    <row r="651" spans="5:14">
      <c r="E651">
        <f>IFERROR(SMALL(E149:E433,ROW()-ROW($E$436)+1),"")</f>
        <v>0</v>
      </c>
      <c r="F651">
        <f>IFERROR(SMALL(F149:F433,ROW()-ROW($F$436)+1),"")</f>
        <v>0</v>
      </c>
      <c r="G651">
        <f>IFERROR(SMALL(G149:G433,ROW()-ROW($G$436)+1),"")</f>
        <v>0</v>
      </c>
      <c r="H651">
        <f>IFERROR(SMALL(H149:H433,ROW()-ROW($H$436)+1),"")</f>
        <v>0</v>
      </c>
      <c r="K651">
        <f>IFERROR(SMALL(K149:K433,ROW()-ROW($K$436)+1),"")</f>
        <v>0</v>
      </c>
      <c r="L651">
        <f>IFERROR(SMALL(L149:L433,ROW()-ROW($L$436)+1),"")</f>
        <v>0</v>
      </c>
      <c r="M651">
        <f>IFERROR(SMALL(M149:M433,ROW()-ROW($M$436)+1),"")</f>
        <v>0</v>
      </c>
      <c r="N651">
        <f>IFERROR(SMALL(N149:N433,ROW()-ROW($N$436)+1),"")</f>
        <v>0</v>
      </c>
    </row>
    <row r="652" spans="5:14">
      <c r="E652">
        <f>IFERROR(SMALL(E149:E433,ROW()-ROW($E$436)+1),"")</f>
        <v>0</v>
      </c>
      <c r="F652">
        <f>IFERROR(SMALL(F149:F433,ROW()-ROW($F$436)+1),"")</f>
        <v>0</v>
      </c>
      <c r="G652">
        <f>IFERROR(SMALL(G149:G433,ROW()-ROW($G$436)+1),"")</f>
        <v>0</v>
      </c>
      <c r="H652">
        <f>IFERROR(SMALL(H149:H433,ROW()-ROW($H$436)+1),"")</f>
        <v>0</v>
      </c>
      <c r="K652">
        <f>IFERROR(SMALL(K149:K433,ROW()-ROW($K$436)+1),"")</f>
        <v>0</v>
      </c>
      <c r="L652">
        <f>IFERROR(SMALL(L149:L433,ROW()-ROW($L$436)+1),"")</f>
        <v>0</v>
      </c>
      <c r="M652">
        <f>IFERROR(SMALL(M149:M433,ROW()-ROW($M$436)+1),"")</f>
        <v>0</v>
      </c>
      <c r="N652">
        <f>IFERROR(SMALL(N149:N433,ROW()-ROW($N$436)+1),"")</f>
        <v>0</v>
      </c>
    </row>
    <row r="653" spans="5:14">
      <c r="E653">
        <f>IFERROR(SMALL(E149:E433,ROW()-ROW($E$436)+1),"")</f>
        <v>0</v>
      </c>
      <c r="F653">
        <f>IFERROR(SMALL(F149:F433,ROW()-ROW($F$436)+1),"")</f>
        <v>0</v>
      </c>
      <c r="G653">
        <f>IFERROR(SMALL(G149:G433,ROW()-ROW($G$436)+1),"")</f>
        <v>0</v>
      </c>
      <c r="H653">
        <f>IFERROR(SMALL(H149:H433,ROW()-ROW($H$436)+1),"")</f>
        <v>0</v>
      </c>
      <c r="K653">
        <f>IFERROR(SMALL(K149:K433,ROW()-ROW($K$436)+1),"")</f>
        <v>0</v>
      </c>
      <c r="L653">
        <f>IFERROR(SMALL(L149:L433,ROW()-ROW($L$436)+1),"")</f>
        <v>0</v>
      </c>
      <c r="M653">
        <f>IFERROR(SMALL(M149:M433,ROW()-ROW($M$436)+1),"")</f>
        <v>0</v>
      </c>
      <c r="N653">
        <f>IFERROR(SMALL(N149:N433,ROW()-ROW($N$436)+1),"")</f>
        <v>0</v>
      </c>
    </row>
    <row r="654" spans="5:14">
      <c r="E654">
        <f>IFERROR(SMALL(E149:E433,ROW()-ROW($E$436)+1),"")</f>
        <v>0</v>
      </c>
      <c r="F654">
        <f>IFERROR(SMALL(F149:F433,ROW()-ROW($F$436)+1),"")</f>
        <v>0</v>
      </c>
      <c r="G654">
        <f>IFERROR(SMALL(G149:G433,ROW()-ROW($G$436)+1),"")</f>
        <v>0</v>
      </c>
      <c r="H654">
        <f>IFERROR(SMALL(H149:H433,ROW()-ROW($H$436)+1),"")</f>
        <v>0</v>
      </c>
      <c r="K654">
        <f>IFERROR(SMALL(K149:K433,ROW()-ROW($K$436)+1),"")</f>
        <v>0</v>
      </c>
      <c r="L654">
        <f>IFERROR(SMALL(L149:L433,ROW()-ROW($L$436)+1),"")</f>
        <v>0</v>
      </c>
      <c r="M654">
        <f>IFERROR(SMALL(M149:M433,ROW()-ROW($M$436)+1),"")</f>
        <v>0</v>
      </c>
      <c r="N654">
        <f>IFERROR(SMALL(N149:N433,ROW()-ROW($N$436)+1),"")</f>
        <v>0</v>
      </c>
    </row>
    <row r="655" spans="5:14">
      <c r="E655">
        <f>IFERROR(SMALL(E149:E433,ROW()-ROW($E$436)+1),"")</f>
        <v>0</v>
      </c>
      <c r="F655">
        <f>IFERROR(SMALL(F149:F433,ROW()-ROW($F$436)+1),"")</f>
        <v>0</v>
      </c>
      <c r="G655">
        <f>IFERROR(SMALL(G149:G433,ROW()-ROW($G$436)+1),"")</f>
        <v>0</v>
      </c>
      <c r="H655">
        <f>IFERROR(SMALL(H149:H433,ROW()-ROW($H$436)+1),"")</f>
        <v>0</v>
      </c>
      <c r="K655">
        <f>IFERROR(SMALL(K149:K433,ROW()-ROW($K$436)+1),"")</f>
        <v>0</v>
      </c>
      <c r="L655">
        <f>IFERROR(SMALL(L149:L433,ROW()-ROW($L$436)+1),"")</f>
        <v>0</v>
      </c>
      <c r="M655">
        <f>IFERROR(SMALL(M149:M433,ROW()-ROW($M$436)+1),"")</f>
        <v>0</v>
      </c>
      <c r="N655">
        <f>IFERROR(SMALL(N149:N433,ROW()-ROW($N$436)+1),"")</f>
        <v>0</v>
      </c>
    </row>
    <row r="656" spans="5:14">
      <c r="E656">
        <f>IFERROR(SMALL(E149:E433,ROW()-ROW($E$436)+1),"")</f>
        <v>0</v>
      </c>
      <c r="F656">
        <f>IFERROR(SMALL(F149:F433,ROW()-ROW($F$436)+1),"")</f>
        <v>0</v>
      </c>
      <c r="G656">
        <f>IFERROR(SMALL(G149:G433,ROW()-ROW($G$436)+1),"")</f>
        <v>0</v>
      </c>
      <c r="H656">
        <f>IFERROR(SMALL(H149:H433,ROW()-ROW($H$436)+1),"")</f>
        <v>0</v>
      </c>
      <c r="K656">
        <f>IFERROR(SMALL(K149:K433,ROW()-ROW($K$436)+1),"")</f>
        <v>0</v>
      </c>
      <c r="L656">
        <f>IFERROR(SMALL(L149:L433,ROW()-ROW($L$436)+1),"")</f>
        <v>0</v>
      </c>
      <c r="M656">
        <f>IFERROR(SMALL(M149:M433,ROW()-ROW($M$436)+1),"")</f>
        <v>0</v>
      </c>
      <c r="N656">
        <f>IFERROR(SMALL(N149:N433,ROW()-ROW($N$436)+1),"")</f>
        <v>0</v>
      </c>
    </row>
    <row r="657" spans="5:14">
      <c r="E657">
        <f>IFERROR(SMALL(E149:E433,ROW()-ROW($E$436)+1),"")</f>
        <v>0</v>
      </c>
      <c r="F657">
        <f>IFERROR(SMALL(F149:F433,ROW()-ROW($F$436)+1),"")</f>
        <v>0</v>
      </c>
      <c r="G657">
        <f>IFERROR(SMALL(G149:G433,ROW()-ROW($G$436)+1),"")</f>
        <v>0</v>
      </c>
      <c r="H657">
        <f>IFERROR(SMALL(H149:H433,ROW()-ROW($H$436)+1),"")</f>
        <v>0</v>
      </c>
      <c r="K657">
        <f>IFERROR(SMALL(K149:K433,ROW()-ROW($K$436)+1),"")</f>
        <v>0</v>
      </c>
      <c r="L657">
        <f>IFERROR(SMALL(L149:L433,ROW()-ROW($L$436)+1),"")</f>
        <v>0</v>
      </c>
      <c r="M657">
        <f>IFERROR(SMALL(M149:M433,ROW()-ROW($M$436)+1),"")</f>
        <v>0</v>
      </c>
      <c r="N657">
        <f>IFERROR(SMALL(N149:N433,ROW()-ROW($N$436)+1),"")</f>
        <v>0</v>
      </c>
    </row>
    <row r="658" spans="5:14">
      <c r="E658">
        <f>IFERROR(SMALL(E149:E433,ROW()-ROW($E$436)+1),"")</f>
        <v>0</v>
      </c>
      <c r="F658">
        <f>IFERROR(SMALL(F149:F433,ROW()-ROW($F$436)+1),"")</f>
        <v>0</v>
      </c>
      <c r="G658">
        <f>IFERROR(SMALL(G149:G433,ROW()-ROW($G$436)+1),"")</f>
        <v>0</v>
      </c>
      <c r="H658">
        <f>IFERROR(SMALL(H149:H433,ROW()-ROW($H$436)+1),"")</f>
        <v>0</v>
      </c>
      <c r="K658">
        <f>IFERROR(SMALL(K149:K433,ROW()-ROW($K$436)+1),"")</f>
        <v>0</v>
      </c>
      <c r="L658">
        <f>IFERROR(SMALL(L149:L433,ROW()-ROW($L$436)+1),"")</f>
        <v>0</v>
      </c>
      <c r="M658">
        <f>IFERROR(SMALL(M149:M433,ROW()-ROW($M$436)+1),"")</f>
        <v>0</v>
      </c>
      <c r="N658">
        <f>IFERROR(SMALL(N149:N433,ROW()-ROW($N$436)+1),"")</f>
        <v>0</v>
      </c>
    </row>
    <row r="659" spans="5:14">
      <c r="E659">
        <f>IFERROR(SMALL(E149:E433,ROW()-ROW($E$436)+1),"")</f>
        <v>0</v>
      </c>
      <c r="F659">
        <f>IFERROR(SMALL(F149:F433,ROW()-ROW($F$436)+1),"")</f>
        <v>0</v>
      </c>
      <c r="G659">
        <f>IFERROR(SMALL(G149:G433,ROW()-ROW($G$436)+1),"")</f>
        <v>0</v>
      </c>
      <c r="H659">
        <f>IFERROR(SMALL(H149:H433,ROW()-ROW($H$436)+1),"")</f>
        <v>0</v>
      </c>
      <c r="K659">
        <f>IFERROR(SMALL(K149:K433,ROW()-ROW($K$436)+1),"")</f>
        <v>0</v>
      </c>
      <c r="L659">
        <f>IFERROR(SMALL(L149:L433,ROW()-ROW($L$436)+1),"")</f>
        <v>0</v>
      </c>
      <c r="M659">
        <f>IFERROR(SMALL(M149:M433,ROW()-ROW($M$436)+1),"")</f>
        <v>0</v>
      </c>
      <c r="N659">
        <f>IFERROR(SMALL(N149:N433,ROW()-ROW($N$436)+1),"")</f>
        <v>0</v>
      </c>
    </row>
    <row r="660" spans="5:14">
      <c r="E660">
        <f>IFERROR(SMALL(E149:E433,ROW()-ROW($E$436)+1),"")</f>
        <v>0</v>
      </c>
      <c r="F660">
        <f>IFERROR(SMALL(F149:F433,ROW()-ROW($F$436)+1),"")</f>
        <v>0</v>
      </c>
      <c r="G660">
        <f>IFERROR(SMALL(G149:G433,ROW()-ROW($G$436)+1),"")</f>
        <v>0</v>
      </c>
      <c r="H660">
        <f>IFERROR(SMALL(H149:H433,ROW()-ROW($H$436)+1),"")</f>
        <v>0</v>
      </c>
      <c r="K660">
        <f>IFERROR(SMALL(K149:K433,ROW()-ROW($K$436)+1),"")</f>
        <v>0</v>
      </c>
      <c r="L660">
        <f>IFERROR(SMALL(L149:L433,ROW()-ROW($L$436)+1),"")</f>
        <v>0</v>
      </c>
      <c r="M660">
        <f>IFERROR(SMALL(M149:M433,ROW()-ROW($M$436)+1),"")</f>
        <v>0</v>
      </c>
      <c r="N660">
        <f>IFERROR(SMALL(N149:N433,ROW()-ROW($N$436)+1),"")</f>
        <v>0</v>
      </c>
    </row>
    <row r="661" spans="5:14">
      <c r="E661">
        <f>IFERROR(SMALL(E149:E433,ROW()-ROW($E$436)+1),"")</f>
        <v>0</v>
      </c>
      <c r="F661">
        <f>IFERROR(SMALL(F149:F433,ROW()-ROW($F$436)+1),"")</f>
        <v>0</v>
      </c>
      <c r="G661">
        <f>IFERROR(SMALL(G149:G433,ROW()-ROW($G$436)+1),"")</f>
        <v>0</v>
      </c>
      <c r="H661">
        <f>IFERROR(SMALL(H149:H433,ROW()-ROW($H$436)+1),"")</f>
        <v>0</v>
      </c>
      <c r="K661">
        <f>IFERROR(SMALL(K149:K433,ROW()-ROW($K$436)+1),"")</f>
        <v>0</v>
      </c>
      <c r="L661">
        <f>IFERROR(SMALL(L149:L433,ROW()-ROW($L$436)+1),"")</f>
        <v>0</v>
      </c>
      <c r="M661">
        <f>IFERROR(SMALL(M149:M433,ROW()-ROW($M$436)+1),"")</f>
        <v>0</v>
      </c>
      <c r="N661">
        <f>IFERROR(SMALL(N149:N433,ROW()-ROW($N$436)+1),"")</f>
        <v>0</v>
      </c>
    </row>
    <row r="662" spans="5:14">
      <c r="E662">
        <f>IFERROR(SMALL(E149:E433,ROW()-ROW($E$436)+1),"")</f>
        <v>0</v>
      </c>
      <c r="F662">
        <f>IFERROR(SMALL(F149:F433,ROW()-ROW($F$436)+1),"")</f>
        <v>0</v>
      </c>
      <c r="G662">
        <f>IFERROR(SMALL(G149:G433,ROW()-ROW($G$436)+1),"")</f>
        <v>0</v>
      </c>
      <c r="H662">
        <f>IFERROR(SMALL(H149:H433,ROW()-ROW($H$436)+1),"")</f>
        <v>0</v>
      </c>
      <c r="K662">
        <f>IFERROR(SMALL(K149:K433,ROW()-ROW($K$436)+1),"")</f>
        <v>0</v>
      </c>
      <c r="L662">
        <f>IFERROR(SMALL(L149:L433,ROW()-ROW($L$436)+1),"")</f>
        <v>0</v>
      </c>
      <c r="M662">
        <f>IFERROR(SMALL(M149:M433,ROW()-ROW($M$436)+1),"")</f>
        <v>0</v>
      </c>
      <c r="N662">
        <f>IFERROR(SMALL(N149:N433,ROW()-ROW($N$436)+1),"")</f>
        <v>0</v>
      </c>
    </row>
    <row r="663" spans="5:14">
      <c r="E663">
        <f>IFERROR(SMALL(E149:E433,ROW()-ROW($E$436)+1),"")</f>
        <v>0</v>
      </c>
      <c r="F663">
        <f>IFERROR(SMALL(F149:F433,ROW()-ROW($F$436)+1),"")</f>
        <v>0</v>
      </c>
      <c r="G663">
        <f>IFERROR(SMALL(G149:G433,ROW()-ROW($G$436)+1),"")</f>
        <v>0</v>
      </c>
      <c r="H663">
        <f>IFERROR(SMALL(H149:H433,ROW()-ROW($H$436)+1),"")</f>
        <v>0</v>
      </c>
      <c r="K663">
        <f>IFERROR(SMALL(K149:K433,ROW()-ROW($K$436)+1),"")</f>
        <v>0</v>
      </c>
      <c r="L663">
        <f>IFERROR(SMALL(L149:L433,ROW()-ROW($L$436)+1),"")</f>
        <v>0</v>
      </c>
      <c r="M663">
        <f>IFERROR(SMALL(M149:M433,ROW()-ROW($M$436)+1),"")</f>
        <v>0</v>
      </c>
      <c r="N663">
        <f>IFERROR(SMALL(N149:N433,ROW()-ROW($N$436)+1),"")</f>
        <v>0</v>
      </c>
    </row>
    <row r="664" spans="5:14">
      <c r="E664">
        <f>IFERROR(SMALL(E149:E433,ROW()-ROW($E$436)+1),"")</f>
        <v>0</v>
      </c>
      <c r="F664">
        <f>IFERROR(SMALL(F149:F433,ROW()-ROW($F$436)+1),"")</f>
        <v>0</v>
      </c>
      <c r="G664">
        <f>IFERROR(SMALL(G149:G433,ROW()-ROW($G$436)+1),"")</f>
        <v>0</v>
      </c>
      <c r="H664">
        <f>IFERROR(SMALL(H149:H433,ROW()-ROW($H$436)+1),"")</f>
        <v>0</v>
      </c>
      <c r="K664">
        <f>IFERROR(SMALL(K149:K433,ROW()-ROW($K$436)+1),"")</f>
        <v>0</v>
      </c>
      <c r="L664">
        <f>IFERROR(SMALL(L149:L433,ROW()-ROW($L$436)+1),"")</f>
        <v>0</v>
      </c>
      <c r="M664">
        <f>IFERROR(SMALL(M149:M433,ROW()-ROW($M$436)+1),"")</f>
        <v>0</v>
      </c>
      <c r="N664">
        <f>IFERROR(SMALL(N149:N433,ROW()-ROW($N$436)+1),"")</f>
        <v>0</v>
      </c>
    </row>
    <row r="665" spans="5:14">
      <c r="E665">
        <f>IFERROR(SMALL(E149:E433,ROW()-ROW($E$436)+1),"")</f>
        <v>0</v>
      </c>
      <c r="F665">
        <f>IFERROR(SMALL(F149:F433,ROW()-ROW($F$436)+1),"")</f>
        <v>0</v>
      </c>
      <c r="G665">
        <f>IFERROR(SMALL(G149:G433,ROW()-ROW($G$436)+1),"")</f>
        <v>0</v>
      </c>
      <c r="H665">
        <f>IFERROR(SMALL(H149:H433,ROW()-ROW($H$436)+1),"")</f>
        <v>0</v>
      </c>
      <c r="K665">
        <f>IFERROR(SMALL(K149:K433,ROW()-ROW($K$436)+1),"")</f>
        <v>0</v>
      </c>
      <c r="L665">
        <f>IFERROR(SMALL(L149:L433,ROW()-ROW($L$436)+1),"")</f>
        <v>0</v>
      </c>
      <c r="M665">
        <f>IFERROR(SMALL(M149:M433,ROW()-ROW($M$436)+1),"")</f>
        <v>0</v>
      </c>
      <c r="N665">
        <f>IFERROR(SMALL(N149:N433,ROW()-ROW($N$436)+1),"")</f>
        <v>0</v>
      </c>
    </row>
    <row r="666" spans="5:14">
      <c r="E666">
        <f>IFERROR(SMALL(E149:E433,ROW()-ROW($E$436)+1),"")</f>
        <v>0</v>
      </c>
      <c r="F666">
        <f>IFERROR(SMALL(F149:F433,ROW()-ROW($F$436)+1),"")</f>
        <v>0</v>
      </c>
      <c r="G666">
        <f>IFERROR(SMALL(G149:G433,ROW()-ROW($G$436)+1),"")</f>
        <v>0</v>
      </c>
      <c r="H666">
        <f>IFERROR(SMALL(H149:H433,ROW()-ROW($H$436)+1),"")</f>
        <v>0</v>
      </c>
      <c r="K666">
        <f>IFERROR(SMALL(K149:K433,ROW()-ROW($K$436)+1),"")</f>
        <v>0</v>
      </c>
      <c r="L666">
        <f>IFERROR(SMALL(L149:L433,ROW()-ROW($L$436)+1),"")</f>
        <v>0</v>
      </c>
      <c r="M666">
        <f>IFERROR(SMALL(M149:M433,ROW()-ROW($M$436)+1),"")</f>
        <v>0</v>
      </c>
      <c r="N666">
        <f>IFERROR(SMALL(N149:N433,ROW()-ROW($N$436)+1),"")</f>
        <v>0</v>
      </c>
    </row>
    <row r="667" spans="5:14">
      <c r="E667">
        <f>IFERROR(SMALL(E149:E433,ROW()-ROW($E$436)+1),"")</f>
        <v>0</v>
      </c>
      <c r="F667">
        <f>IFERROR(SMALL(F149:F433,ROW()-ROW($F$436)+1),"")</f>
        <v>0</v>
      </c>
      <c r="G667">
        <f>IFERROR(SMALL(G149:G433,ROW()-ROW($G$436)+1),"")</f>
        <v>0</v>
      </c>
      <c r="H667">
        <f>IFERROR(SMALL(H149:H433,ROW()-ROW($H$436)+1),"")</f>
        <v>0</v>
      </c>
      <c r="K667">
        <f>IFERROR(SMALL(K149:K433,ROW()-ROW($K$436)+1),"")</f>
        <v>0</v>
      </c>
      <c r="L667">
        <f>IFERROR(SMALL(L149:L433,ROW()-ROW($L$436)+1),"")</f>
        <v>0</v>
      </c>
      <c r="M667">
        <f>IFERROR(SMALL(M149:M433,ROW()-ROW($M$436)+1),"")</f>
        <v>0</v>
      </c>
      <c r="N667">
        <f>IFERROR(SMALL(N149:N433,ROW()-ROW($N$436)+1),"")</f>
        <v>0</v>
      </c>
    </row>
    <row r="668" spans="5:14">
      <c r="E668">
        <f>IFERROR(SMALL(E149:E433,ROW()-ROW($E$436)+1),"")</f>
        <v>0</v>
      </c>
      <c r="F668">
        <f>IFERROR(SMALL(F149:F433,ROW()-ROW($F$436)+1),"")</f>
        <v>0</v>
      </c>
      <c r="G668">
        <f>IFERROR(SMALL(G149:G433,ROW()-ROW($G$436)+1),"")</f>
        <v>0</v>
      </c>
      <c r="H668">
        <f>IFERROR(SMALL(H149:H433,ROW()-ROW($H$436)+1),"")</f>
        <v>0</v>
      </c>
      <c r="K668">
        <f>IFERROR(SMALL(K149:K433,ROW()-ROW($K$436)+1),"")</f>
        <v>0</v>
      </c>
      <c r="L668">
        <f>IFERROR(SMALL(L149:L433,ROW()-ROW($L$436)+1),"")</f>
        <v>0</v>
      </c>
      <c r="M668">
        <f>IFERROR(SMALL(M149:M433,ROW()-ROW($M$436)+1),"")</f>
        <v>0</v>
      </c>
      <c r="N668">
        <f>IFERROR(SMALL(N149:N433,ROW()-ROW($N$436)+1),"")</f>
        <v>0</v>
      </c>
    </row>
    <row r="669" spans="5:14">
      <c r="E669">
        <f>IFERROR(SMALL(E149:E433,ROW()-ROW($E$436)+1),"")</f>
        <v>0</v>
      </c>
      <c r="F669">
        <f>IFERROR(SMALL(F149:F433,ROW()-ROW($F$436)+1),"")</f>
        <v>0</v>
      </c>
      <c r="G669">
        <f>IFERROR(SMALL(G149:G433,ROW()-ROW($G$436)+1),"")</f>
        <v>0</v>
      </c>
      <c r="H669">
        <f>IFERROR(SMALL(H149:H433,ROW()-ROW($H$436)+1),"")</f>
        <v>0</v>
      </c>
      <c r="K669">
        <f>IFERROR(SMALL(K149:K433,ROW()-ROW($K$436)+1),"")</f>
        <v>0</v>
      </c>
      <c r="L669">
        <f>IFERROR(SMALL(L149:L433,ROW()-ROW($L$436)+1),"")</f>
        <v>0</v>
      </c>
      <c r="M669">
        <f>IFERROR(SMALL(M149:M433,ROW()-ROW($M$436)+1),"")</f>
        <v>0</v>
      </c>
      <c r="N669">
        <f>IFERROR(SMALL(N149:N433,ROW()-ROW($N$436)+1),"")</f>
        <v>0</v>
      </c>
    </row>
    <row r="670" spans="5:14">
      <c r="E670">
        <f>IFERROR(SMALL(E149:E433,ROW()-ROW($E$436)+1),"")</f>
        <v>0</v>
      </c>
      <c r="F670">
        <f>IFERROR(SMALL(F149:F433,ROW()-ROW($F$436)+1),"")</f>
        <v>0</v>
      </c>
      <c r="G670">
        <f>IFERROR(SMALL(G149:G433,ROW()-ROW($G$436)+1),"")</f>
        <v>0</v>
      </c>
      <c r="H670">
        <f>IFERROR(SMALL(H149:H433,ROW()-ROW($H$436)+1),"")</f>
        <v>0</v>
      </c>
      <c r="K670">
        <f>IFERROR(SMALL(K149:K433,ROW()-ROW($K$436)+1),"")</f>
        <v>0</v>
      </c>
      <c r="L670">
        <f>IFERROR(SMALL(L149:L433,ROW()-ROW($L$436)+1),"")</f>
        <v>0</v>
      </c>
      <c r="M670">
        <f>IFERROR(SMALL(M149:M433,ROW()-ROW($M$436)+1),"")</f>
        <v>0</v>
      </c>
      <c r="N670">
        <f>IFERROR(SMALL(N149:N433,ROW()-ROW($N$436)+1),"")</f>
        <v>0</v>
      </c>
    </row>
    <row r="671" spans="5:14">
      <c r="E671">
        <f>IFERROR(SMALL(E149:E433,ROW()-ROW($E$436)+1),"")</f>
        <v>0</v>
      </c>
      <c r="F671">
        <f>IFERROR(SMALL(F149:F433,ROW()-ROW($F$436)+1),"")</f>
        <v>0</v>
      </c>
      <c r="G671">
        <f>IFERROR(SMALL(G149:G433,ROW()-ROW($G$436)+1),"")</f>
        <v>0</v>
      </c>
      <c r="H671">
        <f>IFERROR(SMALL(H149:H433,ROW()-ROW($H$436)+1),"")</f>
        <v>0</v>
      </c>
      <c r="K671">
        <f>IFERROR(SMALL(K149:K433,ROW()-ROW($K$436)+1),"")</f>
        <v>0</v>
      </c>
      <c r="L671">
        <f>IFERROR(SMALL(L149:L433,ROW()-ROW($L$436)+1),"")</f>
        <v>0</v>
      </c>
      <c r="M671">
        <f>IFERROR(SMALL(M149:M433,ROW()-ROW($M$436)+1),"")</f>
        <v>0</v>
      </c>
      <c r="N671">
        <f>IFERROR(SMALL(N149:N433,ROW()-ROW($N$436)+1),"")</f>
        <v>0</v>
      </c>
    </row>
    <row r="672" spans="5:14">
      <c r="E672">
        <f>IFERROR(SMALL(E149:E433,ROW()-ROW($E$436)+1),"")</f>
        <v>0</v>
      </c>
      <c r="F672">
        <f>IFERROR(SMALL(F149:F433,ROW()-ROW($F$436)+1),"")</f>
        <v>0</v>
      </c>
      <c r="G672">
        <f>IFERROR(SMALL(G149:G433,ROW()-ROW($G$436)+1),"")</f>
        <v>0</v>
      </c>
      <c r="H672">
        <f>IFERROR(SMALL(H149:H433,ROW()-ROW($H$436)+1),"")</f>
        <v>0</v>
      </c>
      <c r="K672">
        <f>IFERROR(SMALL(K149:K433,ROW()-ROW($K$436)+1),"")</f>
        <v>0</v>
      </c>
      <c r="L672">
        <f>IFERROR(SMALL(L149:L433,ROW()-ROW($L$436)+1),"")</f>
        <v>0</v>
      </c>
      <c r="M672">
        <f>IFERROR(SMALL(M149:M433,ROW()-ROW($M$436)+1),"")</f>
        <v>0</v>
      </c>
      <c r="N672">
        <f>IFERROR(SMALL(N149:N433,ROW()-ROW($N$436)+1),"")</f>
        <v>0</v>
      </c>
    </row>
    <row r="673" spans="5:14">
      <c r="E673">
        <f>IFERROR(SMALL(E149:E433,ROW()-ROW($E$436)+1),"")</f>
        <v>0</v>
      </c>
      <c r="F673">
        <f>IFERROR(SMALL(F149:F433,ROW()-ROW($F$436)+1),"")</f>
        <v>0</v>
      </c>
      <c r="G673">
        <f>IFERROR(SMALL(G149:G433,ROW()-ROW($G$436)+1),"")</f>
        <v>0</v>
      </c>
      <c r="H673">
        <f>IFERROR(SMALL(H149:H433,ROW()-ROW($H$436)+1),"")</f>
        <v>0</v>
      </c>
      <c r="K673">
        <f>IFERROR(SMALL(K149:K433,ROW()-ROW($K$436)+1),"")</f>
        <v>0</v>
      </c>
      <c r="L673">
        <f>IFERROR(SMALL(L149:L433,ROW()-ROW($L$436)+1),"")</f>
        <v>0</v>
      </c>
      <c r="M673">
        <f>IFERROR(SMALL(M149:M433,ROW()-ROW($M$436)+1),"")</f>
        <v>0</v>
      </c>
      <c r="N673">
        <f>IFERROR(SMALL(N149:N433,ROW()-ROW($N$436)+1),"")</f>
        <v>0</v>
      </c>
    </row>
    <row r="674" spans="5:14">
      <c r="E674">
        <f>IFERROR(SMALL(E149:E433,ROW()-ROW($E$436)+1),"")</f>
        <v>0</v>
      </c>
      <c r="F674">
        <f>IFERROR(SMALL(F149:F433,ROW()-ROW($F$436)+1),"")</f>
        <v>0</v>
      </c>
      <c r="G674">
        <f>IFERROR(SMALL(G149:G433,ROW()-ROW($G$436)+1),"")</f>
        <v>0</v>
      </c>
      <c r="H674">
        <f>IFERROR(SMALL(H149:H433,ROW()-ROW($H$436)+1),"")</f>
        <v>0</v>
      </c>
      <c r="K674">
        <f>IFERROR(SMALL(K149:K433,ROW()-ROW($K$436)+1),"")</f>
        <v>0</v>
      </c>
      <c r="L674">
        <f>IFERROR(SMALL(L149:L433,ROW()-ROW($L$436)+1),"")</f>
        <v>0</v>
      </c>
      <c r="M674">
        <f>IFERROR(SMALL(M149:M433,ROW()-ROW($M$436)+1),"")</f>
        <v>0</v>
      </c>
      <c r="N674">
        <f>IFERROR(SMALL(N149:N433,ROW()-ROW($N$436)+1),"")</f>
        <v>0</v>
      </c>
    </row>
    <row r="675" spans="5:14">
      <c r="E675">
        <f>IFERROR(SMALL(E149:E433,ROW()-ROW($E$436)+1),"")</f>
        <v>0</v>
      </c>
      <c r="F675">
        <f>IFERROR(SMALL(F149:F433,ROW()-ROW($F$436)+1),"")</f>
        <v>0</v>
      </c>
      <c r="G675">
        <f>IFERROR(SMALL(G149:G433,ROW()-ROW($G$436)+1),"")</f>
        <v>0</v>
      </c>
      <c r="H675">
        <f>IFERROR(SMALL(H149:H433,ROW()-ROW($H$436)+1),"")</f>
        <v>0</v>
      </c>
      <c r="K675">
        <f>IFERROR(SMALL(K149:K433,ROW()-ROW($K$436)+1),"")</f>
        <v>0</v>
      </c>
      <c r="L675">
        <f>IFERROR(SMALL(L149:L433,ROW()-ROW($L$436)+1),"")</f>
        <v>0</v>
      </c>
      <c r="M675">
        <f>IFERROR(SMALL(M149:M433,ROW()-ROW($M$436)+1),"")</f>
        <v>0</v>
      </c>
      <c r="N675">
        <f>IFERROR(SMALL(N149:N433,ROW()-ROW($N$436)+1),"")</f>
        <v>0</v>
      </c>
    </row>
    <row r="676" spans="5:14">
      <c r="E676">
        <f>IFERROR(SMALL(E149:E433,ROW()-ROW($E$436)+1),"")</f>
        <v>0</v>
      </c>
      <c r="F676">
        <f>IFERROR(SMALL(F149:F433,ROW()-ROW($F$436)+1),"")</f>
        <v>0</v>
      </c>
      <c r="G676">
        <f>IFERROR(SMALL(G149:G433,ROW()-ROW($G$436)+1),"")</f>
        <v>0</v>
      </c>
      <c r="H676">
        <f>IFERROR(SMALL(H149:H433,ROW()-ROW($H$436)+1),"")</f>
        <v>0</v>
      </c>
      <c r="K676">
        <f>IFERROR(SMALL(K149:K433,ROW()-ROW($K$436)+1),"")</f>
        <v>0</v>
      </c>
      <c r="L676">
        <f>IFERROR(SMALL(L149:L433,ROW()-ROW($L$436)+1),"")</f>
        <v>0</v>
      </c>
      <c r="M676">
        <f>IFERROR(SMALL(M149:M433,ROW()-ROW($M$436)+1),"")</f>
        <v>0</v>
      </c>
      <c r="N676">
        <f>IFERROR(SMALL(N149:N433,ROW()-ROW($N$436)+1),"")</f>
        <v>0</v>
      </c>
    </row>
    <row r="677" spans="5:14">
      <c r="E677">
        <f>IFERROR(SMALL(E149:E433,ROW()-ROW($E$436)+1),"")</f>
        <v>0</v>
      </c>
      <c r="F677">
        <f>IFERROR(SMALL(F149:F433,ROW()-ROW($F$436)+1),"")</f>
        <v>0</v>
      </c>
      <c r="G677">
        <f>IFERROR(SMALL(G149:G433,ROW()-ROW($G$436)+1),"")</f>
        <v>0</v>
      </c>
      <c r="H677">
        <f>IFERROR(SMALL(H149:H433,ROW()-ROW($H$436)+1),"")</f>
        <v>0</v>
      </c>
      <c r="K677">
        <f>IFERROR(SMALL(K149:K433,ROW()-ROW($K$436)+1),"")</f>
        <v>0</v>
      </c>
      <c r="L677">
        <f>IFERROR(SMALL(L149:L433,ROW()-ROW($L$436)+1),"")</f>
        <v>0</v>
      </c>
      <c r="M677">
        <f>IFERROR(SMALL(M149:M433,ROW()-ROW($M$436)+1),"")</f>
        <v>0</v>
      </c>
      <c r="N677">
        <f>IFERROR(SMALL(N149:N433,ROW()-ROW($N$436)+1),"")</f>
        <v>0</v>
      </c>
    </row>
    <row r="678" spans="5:14">
      <c r="E678">
        <f>IFERROR(SMALL(E149:E433,ROW()-ROW($E$436)+1),"")</f>
        <v>0</v>
      </c>
      <c r="F678">
        <f>IFERROR(SMALL(F149:F433,ROW()-ROW($F$436)+1),"")</f>
        <v>0</v>
      </c>
      <c r="G678">
        <f>IFERROR(SMALL(G149:G433,ROW()-ROW($G$436)+1),"")</f>
        <v>0</v>
      </c>
      <c r="H678">
        <f>IFERROR(SMALL(H149:H433,ROW()-ROW($H$436)+1),"")</f>
        <v>0</v>
      </c>
      <c r="K678">
        <f>IFERROR(SMALL(K149:K433,ROW()-ROW($K$436)+1),"")</f>
        <v>0</v>
      </c>
      <c r="L678">
        <f>IFERROR(SMALL(L149:L433,ROW()-ROW($L$436)+1),"")</f>
        <v>0</v>
      </c>
      <c r="M678">
        <f>IFERROR(SMALL(M149:M433,ROW()-ROW($M$436)+1),"")</f>
        <v>0</v>
      </c>
      <c r="N678">
        <f>IFERROR(SMALL(N149:N433,ROW()-ROW($N$436)+1),"")</f>
        <v>0</v>
      </c>
    </row>
    <row r="679" spans="5:14">
      <c r="E679">
        <f>IFERROR(SMALL(E149:E433,ROW()-ROW($E$436)+1),"")</f>
        <v>0</v>
      </c>
      <c r="F679">
        <f>IFERROR(SMALL(F149:F433,ROW()-ROW($F$436)+1),"")</f>
        <v>0</v>
      </c>
      <c r="G679">
        <f>IFERROR(SMALL(G149:G433,ROW()-ROW($G$436)+1),"")</f>
        <v>0</v>
      </c>
      <c r="H679">
        <f>IFERROR(SMALL(H149:H433,ROW()-ROW($H$436)+1),"")</f>
        <v>0</v>
      </c>
      <c r="K679">
        <f>IFERROR(SMALL(K149:K433,ROW()-ROW($K$436)+1),"")</f>
        <v>0</v>
      </c>
      <c r="L679">
        <f>IFERROR(SMALL(L149:L433,ROW()-ROW($L$436)+1),"")</f>
        <v>0</v>
      </c>
      <c r="M679">
        <f>IFERROR(SMALL(M149:M433,ROW()-ROW($M$436)+1),"")</f>
        <v>0</v>
      </c>
      <c r="N679">
        <f>IFERROR(SMALL(N149:N433,ROW()-ROW($N$436)+1),"")</f>
        <v>0</v>
      </c>
    </row>
    <row r="680" spans="5:14">
      <c r="E680">
        <f>IFERROR(SMALL(E149:E433,ROW()-ROW($E$436)+1),"")</f>
        <v>0</v>
      </c>
      <c r="F680">
        <f>IFERROR(SMALL(F149:F433,ROW()-ROW($F$436)+1),"")</f>
        <v>0</v>
      </c>
      <c r="G680">
        <f>IFERROR(SMALL(G149:G433,ROW()-ROW($G$436)+1),"")</f>
        <v>0</v>
      </c>
      <c r="H680">
        <f>IFERROR(SMALL(H149:H433,ROW()-ROW($H$436)+1),"")</f>
        <v>0</v>
      </c>
      <c r="K680">
        <f>IFERROR(SMALL(K149:K433,ROW()-ROW($K$436)+1),"")</f>
        <v>0</v>
      </c>
      <c r="L680">
        <f>IFERROR(SMALL(L149:L433,ROW()-ROW($L$436)+1),"")</f>
        <v>0</v>
      </c>
      <c r="M680">
        <f>IFERROR(SMALL(M149:M433,ROW()-ROW($M$436)+1),"")</f>
        <v>0</v>
      </c>
      <c r="N680">
        <f>IFERROR(SMALL(N149:N433,ROW()-ROW($N$436)+1),"")</f>
        <v>0</v>
      </c>
    </row>
    <row r="681" spans="5:14">
      <c r="E681">
        <f>IFERROR(SMALL(E149:E433,ROW()-ROW($E$436)+1),"")</f>
        <v>0</v>
      </c>
      <c r="F681">
        <f>IFERROR(SMALL(F149:F433,ROW()-ROW($F$436)+1),"")</f>
        <v>0</v>
      </c>
      <c r="G681">
        <f>IFERROR(SMALL(G149:G433,ROW()-ROW($G$436)+1),"")</f>
        <v>0</v>
      </c>
      <c r="H681">
        <f>IFERROR(SMALL(H149:H433,ROW()-ROW($H$436)+1),"")</f>
        <v>0</v>
      </c>
      <c r="K681">
        <f>IFERROR(SMALL(K149:K433,ROW()-ROW($K$436)+1),"")</f>
        <v>0</v>
      </c>
      <c r="L681">
        <f>IFERROR(SMALL(L149:L433,ROW()-ROW($L$436)+1),"")</f>
        <v>0</v>
      </c>
      <c r="M681">
        <f>IFERROR(SMALL(M149:M433,ROW()-ROW($M$436)+1),"")</f>
        <v>0</v>
      </c>
      <c r="N681">
        <f>IFERROR(SMALL(N149:N433,ROW()-ROW($N$436)+1),"")</f>
        <v>0</v>
      </c>
    </row>
    <row r="682" spans="5:14">
      <c r="E682">
        <f>IFERROR(SMALL(E149:E433,ROW()-ROW($E$436)+1),"")</f>
        <v>0</v>
      </c>
      <c r="F682">
        <f>IFERROR(SMALL(F149:F433,ROW()-ROW($F$436)+1),"")</f>
        <v>0</v>
      </c>
      <c r="G682">
        <f>IFERROR(SMALL(G149:G433,ROW()-ROW($G$436)+1),"")</f>
        <v>0</v>
      </c>
      <c r="H682">
        <f>IFERROR(SMALL(H149:H433,ROW()-ROW($H$436)+1),"")</f>
        <v>0</v>
      </c>
      <c r="K682">
        <f>IFERROR(SMALL(K149:K433,ROW()-ROW($K$436)+1),"")</f>
        <v>0</v>
      </c>
      <c r="L682">
        <f>IFERROR(SMALL(L149:L433,ROW()-ROW($L$436)+1),"")</f>
        <v>0</v>
      </c>
      <c r="M682">
        <f>IFERROR(SMALL(M149:M433,ROW()-ROW($M$436)+1),"")</f>
        <v>0</v>
      </c>
      <c r="N682">
        <f>IFERROR(SMALL(N149:N433,ROW()-ROW($N$436)+1),"")</f>
        <v>0</v>
      </c>
    </row>
    <row r="683" spans="5:14">
      <c r="E683">
        <f>IFERROR(SMALL(E149:E433,ROW()-ROW($E$436)+1),"")</f>
        <v>0</v>
      </c>
      <c r="F683">
        <f>IFERROR(SMALL(F149:F433,ROW()-ROW($F$436)+1),"")</f>
        <v>0</v>
      </c>
      <c r="G683">
        <f>IFERROR(SMALL(G149:G433,ROW()-ROW($G$436)+1),"")</f>
        <v>0</v>
      </c>
      <c r="H683">
        <f>IFERROR(SMALL(H149:H433,ROW()-ROW($H$436)+1),"")</f>
        <v>0</v>
      </c>
      <c r="K683">
        <f>IFERROR(SMALL(K149:K433,ROW()-ROW($K$436)+1),"")</f>
        <v>0</v>
      </c>
      <c r="L683">
        <f>IFERROR(SMALL(L149:L433,ROW()-ROW($L$436)+1),"")</f>
        <v>0</v>
      </c>
      <c r="M683">
        <f>IFERROR(SMALL(M149:M433,ROW()-ROW($M$436)+1),"")</f>
        <v>0</v>
      </c>
      <c r="N683">
        <f>IFERROR(SMALL(N149:N433,ROW()-ROW($N$436)+1),"")</f>
        <v>0</v>
      </c>
    </row>
    <row r="684" spans="5:14">
      <c r="E684">
        <f>IFERROR(SMALL(E149:E433,ROW()-ROW($E$436)+1),"")</f>
        <v>0</v>
      </c>
      <c r="F684">
        <f>IFERROR(SMALL(F149:F433,ROW()-ROW($F$436)+1),"")</f>
        <v>0</v>
      </c>
      <c r="G684">
        <f>IFERROR(SMALL(G149:G433,ROW()-ROW($G$436)+1),"")</f>
        <v>0</v>
      </c>
      <c r="H684">
        <f>IFERROR(SMALL(H149:H433,ROW()-ROW($H$436)+1),"")</f>
        <v>0</v>
      </c>
      <c r="K684">
        <f>IFERROR(SMALL(K149:K433,ROW()-ROW($K$436)+1),"")</f>
        <v>0</v>
      </c>
      <c r="L684">
        <f>IFERROR(SMALL(L149:L433,ROW()-ROW($L$436)+1),"")</f>
        <v>0</v>
      </c>
      <c r="M684">
        <f>IFERROR(SMALL(M149:M433,ROW()-ROW($M$436)+1),"")</f>
        <v>0</v>
      </c>
      <c r="N684">
        <f>IFERROR(SMALL(N149:N433,ROW()-ROW($N$436)+1),"")</f>
        <v>0</v>
      </c>
    </row>
    <row r="685" spans="5:14">
      <c r="E685">
        <f>IFERROR(SMALL(E149:E433,ROW()-ROW($E$436)+1),"")</f>
        <v>0</v>
      </c>
      <c r="F685">
        <f>IFERROR(SMALL(F149:F433,ROW()-ROW($F$436)+1),"")</f>
        <v>0</v>
      </c>
      <c r="G685">
        <f>IFERROR(SMALL(G149:G433,ROW()-ROW($G$436)+1),"")</f>
        <v>0</v>
      </c>
      <c r="H685">
        <f>IFERROR(SMALL(H149:H433,ROW()-ROW($H$436)+1),"")</f>
        <v>0</v>
      </c>
      <c r="K685">
        <f>IFERROR(SMALL(K149:K433,ROW()-ROW($K$436)+1),"")</f>
        <v>0</v>
      </c>
      <c r="L685">
        <f>IFERROR(SMALL(L149:L433,ROW()-ROW($L$436)+1),"")</f>
        <v>0</v>
      </c>
      <c r="M685">
        <f>IFERROR(SMALL(M149:M433,ROW()-ROW($M$436)+1),"")</f>
        <v>0</v>
      </c>
      <c r="N685">
        <f>IFERROR(SMALL(N149:N433,ROW()-ROW($N$436)+1),"")</f>
        <v>0</v>
      </c>
    </row>
    <row r="686" spans="5:14">
      <c r="E686">
        <f>IFERROR(SMALL(E149:E433,ROW()-ROW($E$436)+1),"")</f>
        <v>0</v>
      </c>
      <c r="F686">
        <f>IFERROR(SMALL(F149:F433,ROW()-ROW($F$436)+1),"")</f>
        <v>0</v>
      </c>
      <c r="G686">
        <f>IFERROR(SMALL(G149:G433,ROW()-ROW($G$436)+1),"")</f>
        <v>0</v>
      </c>
      <c r="H686">
        <f>IFERROR(SMALL(H149:H433,ROW()-ROW($H$436)+1),"")</f>
        <v>0</v>
      </c>
      <c r="K686">
        <f>IFERROR(SMALL(K149:K433,ROW()-ROW($K$436)+1),"")</f>
        <v>0</v>
      </c>
      <c r="L686">
        <f>IFERROR(SMALL(L149:L433,ROW()-ROW($L$436)+1),"")</f>
        <v>0</v>
      </c>
      <c r="M686">
        <f>IFERROR(SMALL(M149:M433,ROW()-ROW($M$436)+1),"")</f>
        <v>0</v>
      </c>
      <c r="N686">
        <f>IFERROR(SMALL(N149:N433,ROW()-ROW($N$436)+1),"")</f>
        <v>0</v>
      </c>
    </row>
    <row r="687" spans="5:14">
      <c r="E687">
        <f>IFERROR(SMALL(E149:E433,ROW()-ROW($E$436)+1),"")</f>
        <v>0</v>
      </c>
      <c r="F687">
        <f>IFERROR(SMALL(F149:F433,ROW()-ROW($F$436)+1),"")</f>
        <v>0</v>
      </c>
      <c r="G687">
        <f>IFERROR(SMALL(G149:G433,ROW()-ROW($G$436)+1),"")</f>
        <v>0</v>
      </c>
      <c r="H687">
        <f>IFERROR(SMALL(H149:H433,ROW()-ROW($H$436)+1),"")</f>
        <v>0</v>
      </c>
      <c r="K687">
        <f>IFERROR(SMALL(K149:K433,ROW()-ROW($K$436)+1),"")</f>
        <v>0</v>
      </c>
      <c r="L687">
        <f>IFERROR(SMALL(L149:L433,ROW()-ROW($L$436)+1),"")</f>
        <v>0</v>
      </c>
      <c r="M687">
        <f>IFERROR(SMALL(M149:M433,ROW()-ROW($M$436)+1),"")</f>
        <v>0</v>
      </c>
      <c r="N687">
        <f>IFERROR(SMALL(N149:N433,ROW()-ROW($N$436)+1),"")</f>
        <v>0</v>
      </c>
    </row>
    <row r="688" spans="5:14">
      <c r="E688">
        <f>IFERROR(SMALL(E149:E433,ROW()-ROW($E$436)+1),"")</f>
        <v>0</v>
      </c>
      <c r="F688">
        <f>IFERROR(SMALL(F149:F433,ROW()-ROW($F$436)+1),"")</f>
        <v>0</v>
      </c>
      <c r="G688">
        <f>IFERROR(SMALL(G149:G433,ROW()-ROW($G$436)+1),"")</f>
        <v>0</v>
      </c>
      <c r="H688">
        <f>IFERROR(SMALL(H149:H433,ROW()-ROW($H$436)+1),"")</f>
        <v>0</v>
      </c>
      <c r="K688">
        <f>IFERROR(SMALL(K149:K433,ROW()-ROW($K$436)+1),"")</f>
        <v>0</v>
      </c>
      <c r="L688">
        <f>IFERROR(SMALL(L149:L433,ROW()-ROW($L$436)+1),"")</f>
        <v>0</v>
      </c>
      <c r="M688">
        <f>IFERROR(SMALL(M149:M433,ROW()-ROW($M$436)+1),"")</f>
        <v>0</v>
      </c>
      <c r="N688">
        <f>IFERROR(SMALL(N149:N433,ROW()-ROW($N$436)+1),"")</f>
        <v>0</v>
      </c>
    </row>
    <row r="689" spans="5:14">
      <c r="E689">
        <f>IFERROR(SMALL(E149:E433,ROW()-ROW($E$436)+1),"")</f>
        <v>0</v>
      </c>
      <c r="F689">
        <f>IFERROR(SMALL(F149:F433,ROW()-ROW($F$436)+1),"")</f>
        <v>0</v>
      </c>
      <c r="G689">
        <f>IFERROR(SMALL(G149:G433,ROW()-ROW($G$436)+1),"")</f>
        <v>0</v>
      </c>
      <c r="H689">
        <f>IFERROR(SMALL(H149:H433,ROW()-ROW($H$436)+1),"")</f>
        <v>0</v>
      </c>
      <c r="K689">
        <f>IFERROR(SMALL(K149:K433,ROW()-ROW($K$436)+1),"")</f>
        <v>0</v>
      </c>
      <c r="L689">
        <f>IFERROR(SMALL(L149:L433,ROW()-ROW($L$436)+1),"")</f>
        <v>0</v>
      </c>
      <c r="M689">
        <f>IFERROR(SMALL(M149:M433,ROW()-ROW($M$436)+1),"")</f>
        <v>0</v>
      </c>
      <c r="N689">
        <f>IFERROR(SMALL(N149:N433,ROW()-ROW($N$436)+1),"")</f>
        <v>0</v>
      </c>
    </row>
    <row r="690" spans="5:14">
      <c r="E690">
        <f>IFERROR(SMALL(E149:E433,ROW()-ROW($E$436)+1),"")</f>
        <v>0</v>
      </c>
      <c r="F690">
        <f>IFERROR(SMALL(F149:F433,ROW()-ROW($F$436)+1),"")</f>
        <v>0</v>
      </c>
      <c r="G690">
        <f>IFERROR(SMALL(G149:G433,ROW()-ROW($G$436)+1),"")</f>
        <v>0</v>
      </c>
      <c r="H690">
        <f>IFERROR(SMALL(H149:H433,ROW()-ROW($H$436)+1),"")</f>
        <v>0</v>
      </c>
      <c r="K690">
        <f>IFERROR(SMALL(K149:K433,ROW()-ROW($K$436)+1),"")</f>
        <v>0</v>
      </c>
      <c r="L690">
        <f>IFERROR(SMALL(L149:L433,ROW()-ROW($L$436)+1),"")</f>
        <v>0</v>
      </c>
      <c r="M690">
        <f>IFERROR(SMALL(M149:M433,ROW()-ROW($M$436)+1),"")</f>
        <v>0</v>
      </c>
      <c r="N690">
        <f>IFERROR(SMALL(N149:N433,ROW()-ROW($N$436)+1),"")</f>
        <v>0</v>
      </c>
    </row>
    <row r="691" spans="5:14">
      <c r="E691">
        <f>IFERROR(SMALL(E149:E433,ROW()-ROW($E$436)+1),"")</f>
        <v>0</v>
      </c>
      <c r="F691">
        <f>IFERROR(SMALL(F149:F433,ROW()-ROW($F$436)+1),"")</f>
        <v>0</v>
      </c>
      <c r="G691">
        <f>IFERROR(SMALL(G149:G433,ROW()-ROW($G$436)+1),"")</f>
        <v>0</v>
      </c>
      <c r="H691">
        <f>IFERROR(SMALL(H149:H433,ROW()-ROW($H$436)+1),"")</f>
        <v>0</v>
      </c>
      <c r="K691">
        <f>IFERROR(SMALL(K149:K433,ROW()-ROW($K$436)+1),"")</f>
        <v>0</v>
      </c>
      <c r="L691">
        <f>IFERROR(SMALL(L149:L433,ROW()-ROW($L$436)+1),"")</f>
        <v>0</v>
      </c>
      <c r="M691">
        <f>IFERROR(SMALL(M149:M433,ROW()-ROW($M$436)+1),"")</f>
        <v>0</v>
      </c>
      <c r="N691">
        <f>IFERROR(SMALL(N149:N433,ROW()-ROW($N$436)+1),"")</f>
        <v>0</v>
      </c>
    </row>
    <row r="692" spans="5:14">
      <c r="E692">
        <f>IFERROR(SMALL(E149:E433,ROW()-ROW($E$436)+1),"")</f>
        <v>0</v>
      </c>
      <c r="F692">
        <f>IFERROR(SMALL(F149:F433,ROW()-ROW($F$436)+1),"")</f>
        <v>0</v>
      </c>
      <c r="G692">
        <f>IFERROR(SMALL(G149:G433,ROW()-ROW($G$436)+1),"")</f>
        <v>0</v>
      </c>
      <c r="H692">
        <f>IFERROR(SMALL(H149:H433,ROW()-ROW($H$436)+1),"")</f>
        <v>0</v>
      </c>
      <c r="K692">
        <f>IFERROR(SMALL(K149:K433,ROW()-ROW($K$436)+1),"")</f>
        <v>0</v>
      </c>
      <c r="L692">
        <f>IFERROR(SMALL(L149:L433,ROW()-ROW($L$436)+1),"")</f>
        <v>0</v>
      </c>
      <c r="M692">
        <f>IFERROR(SMALL(M149:M433,ROW()-ROW($M$436)+1),"")</f>
        <v>0</v>
      </c>
      <c r="N692">
        <f>IFERROR(SMALL(N149:N433,ROW()-ROW($N$436)+1),"")</f>
        <v>0</v>
      </c>
    </row>
    <row r="693" spans="5:14">
      <c r="E693">
        <f>IFERROR(SMALL(E149:E433,ROW()-ROW($E$436)+1),"")</f>
        <v>0</v>
      </c>
      <c r="F693">
        <f>IFERROR(SMALL(F149:F433,ROW()-ROW($F$436)+1),"")</f>
        <v>0</v>
      </c>
      <c r="G693">
        <f>IFERROR(SMALL(G149:G433,ROW()-ROW($G$436)+1),"")</f>
        <v>0</v>
      </c>
      <c r="H693">
        <f>IFERROR(SMALL(H149:H433,ROW()-ROW($H$436)+1),"")</f>
        <v>0</v>
      </c>
      <c r="K693">
        <f>IFERROR(SMALL(K149:K433,ROW()-ROW($K$436)+1),"")</f>
        <v>0</v>
      </c>
      <c r="L693">
        <f>IFERROR(SMALL(L149:L433,ROW()-ROW($L$436)+1),"")</f>
        <v>0</v>
      </c>
      <c r="M693">
        <f>IFERROR(SMALL(M149:M433,ROW()-ROW($M$436)+1),"")</f>
        <v>0</v>
      </c>
      <c r="N693">
        <f>IFERROR(SMALL(N149:N433,ROW()-ROW($N$436)+1),"")</f>
        <v>0</v>
      </c>
    </row>
    <row r="694" spans="5:14">
      <c r="E694">
        <f>IFERROR(SMALL(E149:E433,ROW()-ROW($E$436)+1),"")</f>
        <v>0</v>
      </c>
      <c r="F694">
        <f>IFERROR(SMALL(F149:F433,ROW()-ROW($F$436)+1),"")</f>
        <v>0</v>
      </c>
      <c r="G694">
        <f>IFERROR(SMALL(G149:G433,ROW()-ROW($G$436)+1),"")</f>
        <v>0</v>
      </c>
      <c r="H694">
        <f>IFERROR(SMALL(H149:H433,ROW()-ROW($H$436)+1),"")</f>
        <v>0</v>
      </c>
      <c r="K694">
        <f>IFERROR(SMALL(K149:K433,ROW()-ROW($K$436)+1),"")</f>
        <v>0</v>
      </c>
      <c r="L694">
        <f>IFERROR(SMALL(L149:L433,ROW()-ROW($L$436)+1),"")</f>
        <v>0</v>
      </c>
      <c r="M694">
        <f>IFERROR(SMALL(M149:M433,ROW()-ROW($M$436)+1),"")</f>
        <v>0</v>
      </c>
      <c r="N694">
        <f>IFERROR(SMALL(N149:N433,ROW()-ROW($N$436)+1),"")</f>
        <v>0</v>
      </c>
    </row>
    <row r="695" spans="5:14">
      <c r="E695">
        <f>IFERROR(SMALL(E149:E433,ROW()-ROW($E$436)+1),"")</f>
        <v>0</v>
      </c>
      <c r="F695">
        <f>IFERROR(SMALL(F149:F433,ROW()-ROW($F$436)+1),"")</f>
        <v>0</v>
      </c>
      <c r="G695">
        <f>IFERROR(SMALL(G149:G433,ROW()-ROW($G$436)+1),"")</f>
        <v>0</v>
      </c>
      <c r="H695">
        <f>IFERROR(SMALL(H149:H433,ROW()-ROW($H$436)+1),"")</f>
        <v>0</v>
      </c>
      <c r="K695">
        <f>IFERROR(SMALL(K149:K433,ROW()-ROW($K$436)+1),"")</f>
        <v>0</v>
      </c>
      <c r="L695">
        <f>IFERROR(SMALL(L149:L433,ROW()-ROW($L$436)+1),"")</f>
        <v>0</v>
      </c>
      <c r="M695">
        <f>IFERROR(SMALL(M149:M433,ROW()-ROW($M$436)+1),"")</f>
        <v>0</v>
      </c>
      <c r="N695">
        <f>IFERROR(SMALL(N149:N433,ROW()-ROW($N$436)+1),"")</f>
        <v>0</v>
      </c>
    </row>
    <row r="696" spans="5:14">
      <c r="E696">
        <f>IFERROR(SMALL(E149:E433,ROW()-ROW($E$436)+1),"")</f>
        <v>0</v>
      </c>
      <c r="F696">
        <f>IFERROR(SMALL(F149:F433,ROW()-ROW($F$436)+1),"")</f>
        <v>0</v>
      </c>
      <c r="G696">
        <f>IFERROR(SMALL(G149:G433,ROW()-ROW($G$436)+1),"")</f>
        <v>0</v>
      </c>
      <c r="H696">
        <f>IFERROR(SMALL(H149:H433,ROW()-ROW($H$436)+1),"")</f>
        <v>0</v>
      </c>
      <c r="K696">
        <f>IFERROR(SMALL(K149:K433,ROW()-ROW($K$436)+1),"")</f>
        <v>0</v>
      </c>
      <c r="L696">
        <f>IFERROR(SMALL(L149:L433,ROW()-ROW($L$436)+1),"")</f>
        <v>0</v>
      </c>
      <c r="M696">
        <f>IFERROR(SMALL(M149:M433,ROW()-ROW($M$436)+1),"")</f>
        <v>0</v>
      </c>
      <c r="N696">
        <f>IFERROR(SMALL(N149:N433,ROW()-ROW($N$436)+1),"")</f>
        <v>0</v>
      </c>
    </row>
    <row r="697" spans="5:14">
      <c r="E697">
        <f>IFERROR(SMALL(E149:E433,ROW()-ROW($E$436)+1),"")</f>
        <v>0</v>
      </c>
      <c r="F697">
        <f>IFERROR(SMALL(F149:F433,ROW()-ROW($F$436)+1),"")</f>
        <v>0</v>
      </c>
      <c r="G697">
        <f>IFERROR(SMALL(G149:G433,ROW()-ROW($G$436)+1),"")</f>
        <v>0</v>
      </c>
      <c r="H697">
        <f>IFERROR(SMALL(H149:H433,ROW()-ROW($H$436)+1),"")</f>
        <v>0</v>
      </c>
      <c r="K697">
        <f>IFERROR(SMALL(K149:K433,ROW()-ROW($K$436)+1),"")</f>
        <v>0</v>
      </c>
      <c r="L697">
        <f>IFERROR(SMALL(L149:L433,ROW()-ROW($L$436)+1),"")</f>
        <v>0</v>
      </c>
      <c r="M697">
        <f>IFERROR(SMALL(M149:M433,ROW()-ROW($M$436)+1),"")</f>
        <v>0</v>
      </c>
      <c r="N697">
        <f>IFERROR(SMALL(N149:N433,ROW()-ROW($N$436)+1),"")</f>
        <v>0</v>
      </c>
    </row>
    <row r="698" spans="5:14">
      <c r="E698">
        <f>IFERROR(SMALL(E149:E433,ROW()-ROW($E$436)+1),"")</f>
        <v>0</v>
      </c>
      <c r="F698">
        <f>IFERROR(SMALL(F149:F433,ROW()-ROW($F$436)+1),"")</f>
        <v>0</v>
      </c>
      <c r="G698">
        <f>IFERROR(SMALL(G149:G433,ROW()-ROW($G$436)+1),"")</f>
        <v>0</v>
      </c>
      <c r="H698">
        <f>IFERROR(SMALL(H149:H433,ROW()-ROW($H$436)+1),"")</f>
        <v>0</v>
      </c>
      <c r="K698">
        <f>IFERROR(SMALL(K149:K433,ROW()-ROW($K$436)+1),"")</f>
        <v>0</v>
      </c>
      <c r="L698">
        <f>IFERROR(SMALL(L149:L433,ROW()-ROW($L$436)+1),"")</f>
        <v>0</v>
      </c>
      <c r="M698">
        <f>IFERROR(SMALL(M149:M433,ROW()-ROW($M$436)+1),"")</f>
        <v>0</v>
      </c>
      <c r="N698">
        <f>IFERROR(SMALL(N149:N433,ROW()-ROW($N$436)+1),"")</f>
        <v>0</v>
      </c>
    </row>
    <row r="699" spans="5:14">
      <c r="E699">
        <f>IFERROR(SMALL(E149:E433,ROW()-ROW($E$436)+1),"")</f>
        <v>0</v>
      </c>
      <c r="F699">
        <f>IFERROR(SMALL(F149:F433,ROW()-ROW($F$436)+1),"")</f>
        <v>0</v>
      </c>
      <c r="G699">
        <f>IFERROR(SMALL(G149:G433,ROW()-ROW($G$436)+1),"")</f>
        <v>0</v>
      </c>
      <c r="H699">
        <f>IFERROR(SMALL(H149:H433,ROW()-ROW($H$436)+1),"")</f>
        <v>0</v>
      </c>
      <c r="K699">
        <f>IFERROR(SMALL(K149:K433,ROW()-ROW($K$436)+1),"")</f>
        <v>0</v>
      </c>
      <c r="L699">
        <f>IFERROR(SMALL(L149:L433,ROW()-ROW($L$436)+1),"")</f>
        <v>0</v>
      </c>
      <c r="M699">
        <f>IFERROR(SMALL(M149:M433,ROW()-ROW($M$436)+1),"")</f>
        <v>0</v>
      </c>
      <c r="N699">
        <f>IFERROR(SMALL(N149:N433,ROW()-ROW($N$436)+1),"")</f>
        <v>0</v>
      </c>
    </row>
    <row r="700" spans="5:14">
      <c r="E700">
        <f>IFERROR(SMALL(E149:E433,ROW()-ROW($E$436)+1),"")</f>
        <v>0</v>
      </c>
      <c r="F700">
        <f>IFERROR(SMALL(F149:F433,ROW()-ROW($F$436)+1),"")</f>
        <v>0</v>
      </c>
      <c r="G700">
        <f>IFERROR(SMALL(G149:G433,ROW()-ROW($G$436)+1),"")</f>
        <v>0</v>
      </c>
      <c r="H700">
        <f>IFERROR(SMALL(H149:H433,ROW()-ROW($H$436)+1),"")</f>
        <v>0</v>
      </c>
      <c r="K700">
        <f>IFERROR(SMALL(K149:K433,ROW()-ROW($K$436)+1),"")</f>
        <v>0</v>
      </c>
      <c r="L700">
        <f>IFERROR(SMALL(L149:L433,ROW()-ROW($L$436)+1),"")</f>
        <v>0</v>
      </c>
      <c r="M700">
        <f>IFERROR(SMALL(M149:M433,ROW()-ROW($M$436)+1),"")</f>
        <v>0</v>
      </c>
      <c r="N700">
        <f>IFERROR(SMALL(N149:N433,ROW()-ROW($N$436)+1),"")</f>
        <v>0</v>
      </c>
    </row>
    <row r="701" spans="5:14">
      <c r="E701">
        <f>IFERROR(SMALL(E149:E433,ROW()-ROW($E$436)+1),"")</f>
        <v>0</v>
      </c>
      <c r="F701">
        <f>IFERROR(SMALL(F149:F433,ROW()-ROW($F$436)+1),"")</f>
        <v>0</v>
      </c>
      <c r="G701">
        <f>IFERROR(SMALL(G149:G433,ROW()-ROW($G$436)+1),"")</f>
        <v>0</v>
      </c>
      <c r="H701">
        <f>IFERROR(SMALL(H149:H433,ROW()-ROW($H$436)+1),"")</f>
        <v>0</v>
      </c>
      <c r="K701">
        <f>IFERROR(SMALL(K149:K433,ROW()-ROW($K$436)+1),"")</f>
        <v>0</v>
      </c>
      <c r="L701">
        <f>IFERROR(SMALL(L149:L433,ROW()-ROW($L$436)+1),"")</f>
        <v>0</v>
      </c>
      <c r="M701">
        <f>IFERROR(SMALL(M149:M433,ROW()-ROW($M$436)+1),"")</f>
        <v>0</v>
      </c>
      <c r="N701">
        <f>IFERROR(SMALL(N149:N433,ROW()-ROW($N$436)+1),"")</f>
        <v>0</v>
      </c>
    </row>
    <row r="702" spans="5:14">
      <c r="E702">
        <f>IFERROR(SMALL(E149:E433,ROW()-ROW($E$436)+1),"")</f>
        <v>0</v>
      </c>
      <c r="F702">
        <f>IFERROR(SMALL(F149:F433,ROW()-ROW($F$436)+1),"")</f>
        <v>0</v>
      </c>
      <c r="G702">
        <f>IFERROR(SMALL(G149:G433,ROW()-ROW($G$436)+1),"")</f>
        <v>0</v>
      </c>
      <c r="H702">
        <f>IFERROR(SMALL(H149:H433,ROW()-ROW($H$436)+1),"")</f>
        <v>0</v>
      </c>
      <c r="K702">
        <f>IFERROR(SMALL(K149:K433,ROW()-ROW($K$436)+1),"")</f>
        <v>0</v>
      </c>
      <c r="L702">
        <f>IFERROR(SMALL(L149:L433,ROW()-ROW($L$436)+1),"")</f>
        <v>0</v>
      </c>
      <c r="M702">
        <f>IFERROR(SMALL(M149:M433,ROW()-ROW($M$436)+1),"")</f>
        <v>0</v>
      </c>
      <c r="N702">
        <f>IFERROR(SMALL(N149:N433,ROW()-ROW($N$436)+1),"")</f>
        <v>0</v>
      </c>
    </row>
    <row r="703" spans="5:14">
      <c r="E703">
        <f>IFERROR(SMALL(E149:E433,ROW()-ROW($E$436)+1),"")</f>
        <v>0</v>
      </c>
      <c r="F703">
        <f>IFERROR(SMALL(F149:F433,ROW()-ROW($F$436)+1),"")</f>
        <v>0</v>
      </c>
      <c r="G703">
        <f>IFERROR(SMALL(G149:G433,ROW()-ROW($G$436)+1),"")</f>
        <v>0</v>
      </c>
      <c r="H703">
        <f>IFERROR(SMALL(H149:H433,ROW()-ROW($H$436)+1),"")</f>
        <v>0</v>
      </c>
      <c r="K703">
        <f>IFERROR(SMALL(K149:K433,ROW()-ROW($K$436)+1),"")</f>
        <v>0</v>
      </c>
      <c r="L703">
        <f>IFERROR(SMALL(L149:L433,ROW()-ROW($L$436)+1),"")</f>
        <v>0</v>
      </c>
      <c r="M703">
        <f>IFERROR(SMALL(M149:M433,ROW()-ROW($M$436)+1),"")</f>
        <v>0</v>
      </c>
      <c r="N703">
        <f>IFERROR(SMALL(N149:N433,ROW()-ROW($N$436)+1),"")</f>
        <v>0</v>
      </c>
    </row>
    <row r="704" spans="5:14">
      <c r="E704">
        <f>IFERROR(SMALL(E149:E433,ROW()-ROW($E$436)+1),"")</f>
        <v>0</v>
      </c>
      <c r="F704">
        <f>IFERROR(SMALL(F149:F433,ROW()-ROW($F$436)+1),"")</f>
        <v>0</v>
      </c>
      <c r="G704">
        <f>IFERROR(SMALL(G149:G433,ROW()-ROW($G$436)+1),"")</f>
        <v>0</v>
      </c>
      <c r="H704">
        <f>IFERROR(SMALL(H149:H433,ROW()-ROW($H$436)+1),"")</f>
        <v>0</v>
      </c>
      <c r="K704">
        <f>IFERROR(SMALL(K149:K433,ROW()-ROW($K$436)+1),"")</f>
        <v>0</v>
      </c>
      <c r="L704">
        <f>IFERROR(SMALL(L149:L433,ROW()-ROW($L$436)+1),"")</f>
        <v>0</v>
      </c>
      <c r="M704">
        <f>IFERROR(SMALL(M149:M433,ROW()-ROW($M$436)+1),"")</f>
        <v>0</v>
      </c>
      <c r="N704">
        <f>IFERROR(SMALL(N149:N433,ROW()-ROW($N$436)+1),"")</f>
        <v>0</v>
      </c>
    </row>
    <row r="705" spans="5:14">
      <c r="E705">
        <f>IFERROR(SMALL(E149:E433,ROW()-ROW($E$436)+1),"")</f>
        <v>0</v>
      </c>
      <c r="F705">
        <f>IFERROR(SMALL(F149:F433,ROW()-ROW($F$436)+1),"")</f>
        <v>0</v>
      </c>
      <c r="G705">
        <f>IFERROR(SMALL(G149:G433,ROW()-ROW($G$436)+1),"")</f>
        <v>0</v>
      </c>
      <c r="H705">
        <f>IFERROR(SMALL(H149:H433,ROW()-ROW($H$436)+1),"")</f>
        <v>0</v>
      </c>
      <c r="K705">
        <f>IFERROR(SMALL(K149:K433,ROW()-ROW($K$436)+1),"")</f>
        <v>0</v>
      </c>
      <c r="L705">
        <f>IFERROR(SMALL(L149:L433,ROW()-ROW($L$436)+1),"")</f>
        <v>0</v>
      </c>
      <c r="M705">
        <f>IFERROR(SMALL(M149:M433,ROW()-ROW($M$436)+1),"")</f>
        <v>0</v>
      </c>
      <c r="N705">
        <f>IFERROR(SMALL(N149:N433,ROW()-ROW($N$436)+1),"")</f>
        <v>0</v>
      </c>
    </row>
    <row r="706" spans="5:14">
      <c r="E706">
        <f>IFERROR(SMALL(E149:E433,ROW()-ROW($E$436)+1),"")</f>
        <v>0</v>
      </c>
      <c r="F706">
        <f>IFERROR(SMALL(F149:F433,ROW()-ROW($F$436)+1),"")</f>
        <v>0</v>
      </c>
      <c r="G706">
        <f>IFERROR(SMALL(G149:G433,ROW()-ROW($G$436)+1),"")</f>
        <v>0</v>
      </c>
      <c r="H706">
        <f>IFERROR(SMALL(H149:H433,ROW()-ROW($H$436)+1),"")</f>
        <v>0</v>
      </c>
      <c r="K706">
        <f>IFERROR(SMALL(K149:K433,ROW()-ROW($K$436)+1),"")</f>
        <v>0</v>
      </c>
      <c r="L706">
        <f>IFERROR(SMALL(L149:L433,ROW()-ROW($L$436)+1),"")</f>
        <v>0</v>
      </c>
      <c r="M706">
        <f>IFERROR(SMALL(M149:M433,ROW()-ROW($M$436)+1),"")</f>
        <v>0</v>
      </c>
      <c r="N706">
        <f>IFERROR(SMALL(N149:N433,ROW()-ROW($N$436)+1),"")</f>
        <v>0</v>
      </c>
    </row>
    <row r="707" spans="5:14">
      <c r="E707">
        <f>IFERROR(SMALL(E149:E433,ROW()-ROW($E$436)+1),"")</f>
        <v>0</v>
      </c>
      <c r="F707">
        <f>IFERROR(SMALL(F149:F433,ROW()-ROW($F$436)+1),"")</f>
        <v>0</v>
      </c>
      <c r="G707">
        <f>IFERROR(SMALL(G149:G433,ROW()-ROW($G$436)+1),"")</f>
        <v>0</v>
      </c>
      <c r="H707">
        <f>IFERROR(SMALL(H149:H433,ROW()-ROW($H$436)+1),"")</f>
        <v>0</v>
      </c>
      <c r="K707">
        <f>IFERROR(SMALL(K149:K433,ROW()-ROW($K$436)+1),"")</f>
        <v>0</v>
      </c>
      <c r="L707">
        <f>IFERROR(SMALL(L149:L433,ROW()-ROW($L$436)+1),"")</f>
        <v>0</v>
      </c>
      <c r="M707">
        <f>IFERROR(SMALL(M149:M433,ROW()-ROW($M$436)+1),"")</f>
        <v>0</v>
      </c>
      <c r="N707">
        <f>IFERROR(SMALL(N149:N433,ROW()-ROW($N$436)+1),"")</f>
        <v>0</v>
      </c>
    </row>
    <row r="708" spans="5:14">
      <c r="E708">
        <f>IFERROR(SMALL(E149:E433,ROW()-ROW($E$436)+1),"")</f>
        <v>0</v>
      </c>
      <c r="F708">
        <f>IFERROR(SMALL(F149:F433,ROW()-ROW($F$436)+1),"")</f>
        <v>0</v>
      </c>
      <c r="G708">
        <f>IFERROR(SMALL(G149:G433,ROW()-ROW($G$436)+1),"")</f>
        <v>0</v>
      </c>
      <c r="H708">
        <f>IFERROR(SMALL(H149:H433,ROW()-ROW($H$436)+1),"")</f>
        <v>0</v>
      </c>
      <c r="K708">
        <f>IFERROR(SMALL(K149:K433,ROW()-ROW($K$436)+1),"")</f>
        <v>0</v>
      </c>
      <c r="L708">
        <f>IFERROR(SMALL(L149:L433,ROW()-ROW($L$436)+1),"")</f>
        <v>0</v>
      </c>
      <c r="M708">
        <f>IFERROR(SMALL(M149:M433,ROW()-ROW($M$436)+1),"")</f>
        <v>0</v>
      </c>
      <c r="N708">
        <f>IFERROR(SMALL(N149:N433,ROW()-ROW($N$436)+1),"")</f>
        <v>0</v>
      </c>
    </row>
    <row r="709" spans="5:14">
      <c r="E709">
        <f>IFERROR(SMALL(E149:E433,ROW()-ROW($E$436)+1),"")</f>
        <v>0</v>
      </c>
      <c r="F709">
        <f>IFERROR(SMALL(F149:F433,ROW()-ROW($F$436)+1),"")</f>
        <v>0</v>
      </c>
      <c r="G709">
        <f>IFERROR(SMALL(G149:G433,ROW()-ROW($G$436)+1),"")</f>
        <v>0</v>
      </c>
      <c r="H709">
        <f>IFERROR(SMALL(H149:H433,ROW()-ROW($H$436)+1),"")</f>
        <v>0</v>
      </c>
      <c r="K709">
        <f>IFERROR(SMALL(K149:K433,ROW()-ROW($K$436)+1),"")</f>
        <v>0</v>
      </c>
      <c r="L709">
        <f>IFERROR(SMALL(L149:L433,ROW()-ROW($L$436)+1),"")</f>
        <v>0</v>
      </c>
      <c r="M709">
        <f>IFERROR(SMALL(M149:M433,ROW()-ROW($M$436)+1),"")</f>
        <v>0</v>
      </c>
      <c r="N709">
        <f>IFERROR(SMALL(N149:N433,ROW()-ROW($N$436)+1),"")</f>
        <v>0</v>
      </c>
    </row>
    <row r="710" spans="5:14">
      <c r="E710">
        <f>IFERROR(SMALL(E149:E433,ROW()-ROW($E$436)+1),"")</f>
        <v>0</v>
      </c>
      <c r="F710">
        <f>IFERROR(SMALL(F149:F433,ROW()-ROW($F$436)+1),"")</f>
        <v>0</v>
      </c>
      <c r="G710">
        <f>IFERROR(SMALL(G149:G433,ROW()-ROW($G$436)+1),"")</f>
        <v>0</v>
      </c>
      <c r="H710">
        <f>IFERROR(SMALL(H149:H433,ROW()-ROW($H$436)+1),"")</f>
        <v>0</v>
      </c>
      <c r="K710">
        <f>IFERROR(SMALL(K149:K433,ROW()-ROW($K$436)+1),"")</f>
        <v>0</v>
      </c>
      <c r="L710">
        <f>IFERROR(SMALL(L149:L433,ROW()-ROW($L$436)+1),"")</f>
        <v>0</v>
      </c>
      <c r="M710">
        <f>IFERROR(SMALL(M149:M433,ROW()-ROW($M$436)+1),"")</f>
        <v>0</v>
      </c>
      <c r="N710">
        <f>IFERROR(SMALL(N149:N433,ROW()-ROW($N$436)+1),"")</f>
        <v>0</v>
      </c>
    </row>
    <row r="711" spans="5:14">
      <c r="E711">
        <f>IFERROR(SMALL(E149:E433,ROW()-ROW($E$436)+1),"")</f>
        <v>0</v>
      </c>
      <c r="F711">
        <f>IFERROR(SMALL(F149:F433,ROW()-ROW($F$436)+1),"")</f>
        <v>0</v>
      </c>
      <c r="G711">
        <f>IFERROR(SMALL(G149:G433,ROW()-ROW($G$436)+1),"")</f>
        <v>0</v>
      </c>
      <c r="H711">
        <f>IFERROR(SMALL(H149:H433,ROW()-ROW($H$436)+1),"")</f>
        <v>0</v>
      </c>
      <c r="K711">
        <f>IFERROR(SMALL(K149:K433,ROW()-ROW($K$436)+1),"")</f>
        <v>0</v>
      </c>
      <c r="L711">
        <f>IFERROR(SMALL(L149:L433,ROW()-ROW($L$436)+1),"")</f>
        <v>0</v>
      </c>
      <c r="M711">
        <f>IFERROR(SMALL(M149:M433,ROW()-ROW($M$436)+1),"")</f>
        <v>0</v>
      </c>
      <c r="N711">
        <f>IFERROR(SMALL(N149:N433,ROW()-ROW($N$436)+1),"")</f>
        <v>0</v>
      </c>
    </row>
    <row r="712" spans="5:14">
      <c r="E712">
        <f>IFERROR(SMALL(E149:E433,ROW()-ROW($E$436)+1),"")</f>
        <v>0</v>
      </c>
      <c r="F712">
        <f>IFERROR(SMALL(F149:F433,ROW()-ROW($F$436)+1),"")</f>
        <v>0</v>
      </c>
      <c r="G712">
        <f>IFERROR(SMALL(G149:G433,ROW()-ROW($G$436)+1),"")</f>
        <v>0</v>
      </c>
      <c r="H712">
        <f>IFERROR(SMALL(H149:H433,ROW()-ROW($H$436)+1),"")</f>
        <v>0</v>
      </c>
      <c r="K712">
        <f>IFERROR(SMALL(K149:K433,ROW()-ROW($K$436)+1),"")</f>
        <v>0</v>
      </c>
      <c r="L712">
        <f>IFERROR(SMALL(L149:L433,ROW()-ROW($L$436)+1),"")</f>
        <v>0</v>
      </c>
      <c r="M712">
        <f>IFERROR(SMALL(M149:M433,ROW()-ROW($M$436)+1),"")</f>
        <v>0</v>
      </c>
      <c r="N712">
        <f>IFERROR(SMALL(N149:N433,ROW()-ROW($N$436)+1),"")</f>
        <v>0</v>
      </c>
    </row>
    <row r="713" spans="5:14">
      <c r="E713">
        <f>IFERROR(SMALL(E149:E433,ROW()-ROW($E$436)+1),"")</f>
        <v>0</v>
      </c>
      <c r="F713">
        <f>IFERROR(SMALL(F149:F433,ROW()-ROW($F$436)+1),"")</f>
        <v>0</v>
      </c>
      <c r="G713">
        <f>IFERROR(SMALL(G149:G433,ROW()-ROW($G$436)+1),"")</f>
        <v>0</v>
      </c>
      <c r="H713">
        <f>IFERROR(SMALL(H149:H433,ROW()-ROW($H$436)+1),"")</f>
        <v>0</v>
      </c>
      <c r="K713">
        <f>IFERROR(SMALL(K149:K433,ROW()-ROW($K$436)+1),"")</f>
        <v>0</v>
      </c>
      <c r="L713">
        <f>IFERROR(SMALL(L149:L433,ROW()-ROW($L$436)+1),"")</f>
        <v>0</v>
      </c>
      <c r="M713">
        <f>IFERROR(SMALL(M149:M433,ROW()-ROW($M$436)+1),"")</f>
        <v>0</v>
      </c>
      <c r="N713">
        <f>IFERROR(SMALL(N149:N433,ROW()-ROW($N$436)+1),"")</f>
        <v>0</v>
      </c>
    </row>
    <row r="714" spans="5:14">
      <c r="E714">
        <f>IFERROR(SMALL(E149:E433,ROW()-ROW($E$436)+1),"")</f>
        <v>0</v>
      </c>
      <c r="F714">
        <f>IFERROR(SMALL(F149:F433,ROW()-ROW($F$436)+1),"")</f>
        <v>0</v>
      </c>
      <c r="G714">
        <f>IFERROR(SMALL(G149:G433,ROW()-ROW($G$436)+1),"")</f>
        <v>0</v>
      </c>
      <c r="H714">
        <f>IFERROR(SMALL(H149:H433,ROW()-ROW($H$436)+1),"")</f>
        <v>0</v>
      </c>
      <c r="K714">
        <f>IFERROR(SMALL(K149:K433,ROW()-ROW($K$436)+1),"")</f>
        <v>0</v>
      </c>
      <c r="L714">
        <f>IFERROR(SMALL(L149:L433,ROW()-ROW($L$436)+1),"")</f>
        <v>0</v>
      </c>
      <c r="M714">
        <f>IFERROR(SMALL(M149:M433,ROW()-ROW($M$436)+1),"")</f>
        <v>0</v>
      </c>
      <c r="N714">
        <f>IFERROR(SMALL(N149:N433,ROW()-ROW($N$436)+1),"")</f>
        <v>0</v>
      </c>
    </row>
    <row r="715" spans="5:14">
      <c r="E715">
        <f>IFERROR(SMALL(E149:E433,ROW()-ROW($E$436)+1),"")</f>
        <v>0</v>
      </c>
      <c r="F715">
        <f>IFERROR(SMALL(F149:F433,ROW()-ROW($F$436)+1),"")</f>
        <v>0</v>
      </c>
      <c r="G715">
        <f>IFERROR(SMALL(G149:G433,ROW()-ROW($G$436)+1),"")</f>
        <v>0</v>
      </c>
      <c r="H715">
        <f>IFERROR(SMALL(H149:H433,ROW()-ROW($H$436)+1),"")</f>
        <v>0</v>
      </c>
      <c r="K715">
        <f>IFERROR(SMALL(K149:K433,ROW()-ROW($K$436)+1),"")</f>
        <v>0</v>
      </c>
      <c r="L715">
        <f>IFERROR(SMALL(L149:L433,ROW()-ROW($L$436)+1),"")</f>
        <v>0</v>
      </c>
      <c r="M715">
        <f>IFERROR(SMALL(M149:M433,ROW()-ROW($M$436)+1),"")</f>
        <v>0</v>
      </c>
      <c r="N715">
        <f>IFERROR(SMALL(N149:N433,ROW()-ROW($N$436)+1),"")</f>
        <v>0</v>
      </c>
    </row>
    <row r="716" spans="5:14">
      <c r="E716">
        <f>IFERROR(SMALL(E149:E433,ROW()-ROW($E$436)+1),"")</f>
        <v>0</v>
      </c>
      <c r="F716">
        <f>IFERROR(SMALL(F149:F433,ROW()-ROW($F$436)+1),"")</f>
        <v>0</v>
      </c>
      <c r="G716">
        <f>IFERROR(SMALL(G149:G433,ROW()-ROW($G$436)+1),"")</f>
        <v>0</v>
      </c>
      <c r="H716">
        <f>IFERROR(SMALL(H149:H433,ROW()-ROW($H$436)+1),"")</f>
        <v>0</v>
      </c>
      <c r="K716">
        <f>IFERROR(SMALL(K149:K433,ROW()-ROW($K$436)+1),"")</f>
        <v>0</v>
      </c>
      <c r="L716">
        <f>IFERROR(SMALL(L149:L433,ROW()-ROW($L$436)+1),"")</f>
        <v>0</v>
      </c>
      <c r="M716">
        <f>IFERROR(SMALL(M149:M433,ROW()-ROW($M$436)+1),"")</f>
        <v>0</v>
      </c>
      <c r="N716">
        <f>IFERROR(SMALL(N149:N433,ROW()-ROW($N$436)+1),"")</f>
        <v>0</v>
      </c>
    </row>
    <row r="717" spans="5:14">
      <c r="E717">
        <f>IFERROR(SMALL(E149:E433,ROW()-ROW($E$436)+1),"")</f>
        <v>0</v>
      </c>
      <c r="F717">
        <f>IFERROR(SMALL(F149:F433,ROW()-ROW($F$436)+1),"")</f>
        <v>0</v>
      </c>
      <c r="G717">
        <f>IFERROR(SMALL(G149:G433,ROW()-ROW($G$436)+1),"")</f>
        <v>0</v>
      </c>
      <c r="H717">
        <f>IFERROR(SMALL(H149:H433,ROW()-ROW($H$436)+1),"")</f>
        <v>0</v>
      </c>
      <c r="K717">
        <f>IFERROR(SMALL(K149:K433,ROW()-ROW($K$436)+1),"")</f>
        <v>0</v>
      </c>
      <c r="L717">
        <f>IFERROR(SMALL(L149:L433,ROW()-ROW($L$436)+1),"")</f>
        <v>0</v>
      </c>
      <c r="M717">
        <f>IFERROR(SMALL(M149:M433,ROW()-ROW($M$436)+1),"")</f>
        <v>0</v>
      </c>
      <c r="N717">
        <f>IFERROR(SMALL(N149:N433,ROW()-ROW($N$436)+1),"")</f>
        <v>0</v>
      </c>
    </row>
    <row r="718" spans="5:14">
      <c r="E718">
        <f>IFERROR(SMALL(E149:E433,ROW()-ROW($E$436)+1),"")</f>
        <v>0</v>
      </c>
      <c r="F718">
        <f>IFERROR(SMALL(F149:F433,ROW()-ROW($F$436)+1),"")</f>
        <v>0</v>
      </c>
      <c r="G718">
        <f>IFERROR(SMALL(G149:G433,ROW()-ROW($G$436)+1),"")</f>
        <v>0</v>
      </c>
      <c r="H718">
        <f>IFERROR(SMALL(H149:H433,ROW()-ROW($H$436)+1),"")</f>
        <v>0</v>
      </c>
      <c r="K718">
        <f>IFERROR(SMALL(K149:K433,ROW()-ROW($K$436)+1),"")</f>
        <v>0</v>
      </c>
      <c r="L718">
        <f>IFERROR(SMALL(L149:L433,ROW()-ROW($L$436)+1),"")</f>
        <v>0</v>
      </c>
      <c r="M718">
        <f>IFERROR(SMALL(M149:M433,ROW()-ROW($M$436)+1),"")</f>
        <v>0</v>
      </c>
      <c r="N718">
        <f>IFERROR(SMALL(N149:N433,ROW()-ROW($N$436)+1),"")</f>
        <v>0</v>
      </c>
    </row>
    <row r="719" spans="5:14">
      <c r="E719">
        <f>IFERROR(SMALL(E149:E433,ROW()-ROW($E$436)+1),"")</f>
        <v>0</v>
      </c>
      <c r="F719">
        <f>IFERROR(SMALL(F149:F433,ROW()-ROW($F$436)+1),"")</f>
        <v>0</v>
      </c>
      <c r="G719">
        <f>IFERROR(SMALL(G149:G433,ROW()-ROW($G$436)+1),"")</f>
        <v>0</v>
      </c>
      <c r="H719">
        <f>IFERROR(SMALL(H149:H433,ROW()-ROW($H$436)+1),"")</f>
        <v>0</v>
      </c>
      <c r="K719">
        <f>IFERROR(SMALL(K149:K433,ROW()-ROW($K$436)+1),"")</f>
        <v>0</v>
      </c>
      <c r="L719">
        <f>IFERROR(SMALL(L149:L433,ROW()-ROW($L$436)+1),"")</f>
        <v>0</v>
      </c>
      <c r="M719">
        <f>IFERROR(SMALL(M149:M433,ROW()-ROW($M$436)+1),"")</f>
        <v>0</v>
      </c>
      <c r="N719">
        <f>IFERROR(SMALL(N149:N433,ROW()-ROW($N$436)+1),"")</f>
        <v>0</v>
      </c>
    </row>
    <row r="721" spans="4:14">
      <c r="D721" t="s">
        <v>169</v>
      </c>
      <c r="E721" t="s">
        <v>166</v>
      </c>
      <c r="F721" t="s">
        <v>171</v>
      </c>
      <c r="G721" t="s">
        <v>166</v>
      </c>
      <c r="H721" t="s">
        <v>172</v>
      </c>
      <c r="J721" t="s">
        <v>169</v>
      </c>
      <c r="K721" t="s">
        <v>166</v>
      </c>
      <c r="L721" t="s">
        <v>171</v>
      </c>
      <c r="M721" t="s">
        <v>166</v>
      </c>
      <c r="N721" t="s">
        <v>172</v>
      </c>
    </row>
    <row r="722" spans="4:14">
      <c r="E722">
        <f>IF(ISNA(F722),NA(),E436)</f>
        <v>0</v>
      </c>
      <c r="F722">
        <f>IF(F436="",NA(),F436)</f>
        <v>0</v>
      </c>
      <c r="G722">
        <f>IF(ISNA(H722),NA(),G436)</f>
        <v>0</v>
      </c>
      <c r="H722">
        <f>IF(H436="",NA(),H436)</f>
        <v>0</v>
      </c>
      <c r="K722">
        <f>IF(ISNA(L722),NA(),K436)</f>
        <v>0</v>
      </c>
      <c r="L722">
        <f>IF(L436="",NA(),L436)</f>
        <v>0</v>
      </c>
      <c r="M722">
        <f>IF(ISNA(N722),NA(),M436)</f>
        <v>0</v>
      </c>
      <c r="N722">
        <f>IF(N436="",NA(),N436)</f>
        <v>0</v>
      </c>
    </row>
    <row r="723" spans="4:14">
      <c r="E723">
        <f>IF(ISNA(F723),NA(),E437)</f>
        <v>0</v>
      </c>
      <c r="F723">
        <f>IF(OR(F437="",AND(F437=F436,F437=F438)),NA(), F437)</f>
        <v>0</v>
      </c>
      <c r="G723">
        <f>IF(ISNA(H723),NA(),G437)</f>
        <v>0</v>
      </c>
      <c r="H723">
        <f>IF(OR(H437="",AND(H437=H436,H437=H438)),NA(), H437)</f>
        <v>0</v>
      </c>
      <c r="K723">
        <f>IF(ISNA(L723),NA(),K437)</f>
        <v>0</v>
      </c>
      <c r="L723">
        <f>IF(OR(L437="",AND(L437=L436,L437=L438)),NA(), L437)</f>
        <v>0</v>
      </c>
      <c r="M723">
        <f>IF(ISNA(N723),NA(),M437)</f>
        <v>0</v>
      </c>
      <c r="N723">
        <f>IF(OR(N437="",AND(N437=N436,N437=N438)),NA(), N437)</f>
        <v>0</v>
      </c>
    </row>
    <row r="724" spans="4:14">
      <c r="E724">
        <f>IF(ISNA(F724),NA(),E438)</f>
        <v>0</v>
      </c>
      <c r="F724">
        <f>IF(OR(F438="",AND(F438=F437,F438=F439)),NA(), F438)</f>
        <v>0</v>
      </c>
      <c r="G724">
        <f>IF(ISNA(H724),NA(),G438)</f>
        <v>0</v>
      </c>
      <c r="H724">
        <f>IF(OR(H438="",AND(H438=H437,H438=H439)),NA(), H438)</f>
        <v>0</v>
      </c>
      <c r="K724">
        <f>IF(ISNA(L724),NA(),K438)</f>
        <v>0</v>
      </c>
      <c r="L724">
        <f>IF(OR(L438="",AND(L438=L437,L438=L439)),NA(), L438)</f>
        <v>0</v>
      </c>
      <c r="M724">
        <f>IF(ISNA(N724),NA(),M438)</f>
        <v>0</v>
      </c>
      <c r="N724">
        <f>IF(OR(N438="",AND(N438=N437,N438=N439)),NA(), N438)</f>
        <v>0</v>
      </c>
    </row>
    <row r="725" spans="4:14">
      <c r="E725">
        <f>IF(ISNA(F725),NA(),E439)</f>
        <v>0</v>
      </c>
      <c r="F725">
        <f>IF(OR(F439="",AND(F439=F438,F439=F440)),NA(), F439)</f>
        <v>0</v>
      </c>
      <c r="G725">
        <f>IF(ISNA(H725),NA(),G439)</f>
        <v>0</v>
      </c>
      <c r="H725">
        <f>IF(OR(H439="",AND(H439=H438,H439=H440)),NA(), H439)</f>
        <v>0</v>
      </c>
      <c r="K725">
        <f>IF(ISNA(L725),NA(),K439)</f>
        <v>0</v>
      </c>
      <c r="L725">
        <f>IF(OR(L439="",AND(L439=L438,L439=L440)),NA(), L439)</f>
        <v>0</v>
      </c>
      <c r="M725">
        <f>IF(ISNA(N725),NA(),M439)</f>
        <v>0</v>
      </c>
      <c r="N725">
        <f>IF(OR(N439="",AND(N439=N438,N439=N440)),NA(), N439)</f>
        <v>0</v>
      </c>
    </row>
    <row r="726" spans="4:14">
      <c r="E726">
        <f>IF(ISNA(F726),NA(),E440)</f>
        <v>0</v>
      </c>
      <c r="F726">
        <f>IF(OR(F440="",AND(F440=F439,F440=F441)),NA(), F440)</f>
        <v>0</v>
      </c>
      <c r="G726">
        <f>IF(ISNA(H726),NA(),G440)</f>
        <v>0</v>
      </c>
      <c r="H726">
        <f>IF(OR(H440="",AND(H440=H439,H440=H441)),NA(), H440)</f>
        <v>0</v>
      </c>
      <c r="K726">
        <f>IF(ISNA(L726),NA(),K440)</f>
        <v>0</v>
      </c>
      <c r="L726">
        <f>IF(OR(L440="",AND(L440=L439,L440=L441)),NA(), L440)</f>
        <v>0</v>
      </c>
      <c r="M726">
        <f>IF(ISNA(N726),NA(),M440)</f>
        <v>0</v>
      </c>
      <c r="N726">
        <f>IF(OR(N440="",AND(N440=N439,N440=N441)),NA(), N440)</f>
        <v>0</v>
      </c>
    </row>
    <row r="727" spans="4:14">
      <c r="E727">
        <f>IF(ISNA(F727),NA(),E441)</f>
        <v>0</v>
      </c>
      <c r="F727">
        <f>IF(OR(F441="",AND(F441=F440,F441=F442)),NA(), F441)</f>
        <v>0</v>
      </c>
      <c r="G727">
        <f>IF(ISNA(H727),NA(),G441)</f>
        <v>0</v>
      </c>
      <c r="H727">
        <f>IF(OR(H441="",AND(H441=H440,H441=H442)),NA(), H441)</f>
        <v>0</v>
      </c>
      <c r="K727">
        <f>IF(ISNA(L727),NA(),K441)</f>
        <v>0</v>
      </c>
      <c r="L727">
        <f>IF(OR(L441="",AND(L441=L440,L441=L442)),NA(), L441)</f>
        <v>0</v>
      </c>
      <c r="M727">
        <f>IF(ISNA(N727),NA(),M441)</f>
        <v>0</v>
      </c>
      <c r="N727">
        <f>IF(OR(N441="",AND(N441=N440,N441=N442)),NA(), N441)</f>
        <v>0</v>
      </c>
    </row>
    <row r="728" spans="4:14">
      <c r="E728">
        <f>IF(ISNA(F728),NA(),E442)</f>
        <v>0</v>
      </c>
      <c r="F728">
        <f>IF(OR(F442="",AND(F442=F441,F442=F443)),NA(), F442)</f>
        <v>0</v>
      </c>
      <c r="G728">
        <f>IF(ISNA(H728),NA(),G442)</f>
        <v>0</v>
      </c>
      <c r="H728">
        <f>IF(OR(H442="",AND(H442=H441,H442=H443)),NA(), H442)</f>
        <v>0</v>
      </c>
      <c r="K728">
        <f>IF(ISNA(L728),NA(),K442)</f>
        <v>0</v>
      </c>
      <c r="L728">
        <f>IF(OR(L442="",AND(L442=L441,L442=L443)),NA(), L442)</f>
        <v>0</v>
      </c>
      <c r="M728">
        <f>IF(ISNA(N728),NA(),M442)</f>
        <v>0</v>
      </c>
      <c r="N728">
        <f>IF(OR(N442="",AND(N442=N441,N442=N443)),NA(), N442)</f>
        <v>0</v>
      </c>
    </row>
    <row r="729" spans="4:14">
      <c r="E729">
        <f>IF(ISNA(F729),NA(),E443)</f>
        <v>0</v>
      </c>
      <c r="F729">
        <f>IF(OR(F443="",AND(F443=F442,F443=F444)),NA(), F443)</f>
        <v>0</v>
      </c>
      <c r="G729">
        <f>IF(ISNA(H729),NA(),G443)</f>
        <v>0</v>
      </c>
      <c r="H729">
        <f>IF(OR(H443="",AND(H443=H442,H443=H444)),NA(), H443)</f>
        <v>0</v>
      </c>
      <c r="K729">
        <f>IF(ISNA(L729),NA(),K443)</f>
        <v>0</v>
      </c>
      <c r="L729">
        <f>IF(OR(L443="",AND(L443=L442,L443=L444)),NA(), L443)</f>
        <v>0</v>
      </c>
      <c r="M729">
        <f>IF(ISNA(N729),NA(),M443)</f>
        <v>0</v>
      </c>
      <c r="N729">
        <f>IF(OR(N443="",AND(N443=N442,N443=N444)),NA(), N443)</f>
        <v>0</v>
      </c>
    </row>
    <row r="730" spans="4:14">
      <c r="E730">
        <f>IF(ISNA(F730),NA(),E444)</f>
        <v>0</v>
      </c>
      <c r="F730">
        <f>IF(OR(F444="",AND(F444=F443,F444=F445)),NA(), F444)</f>
        <v>0</v>
      </c>
      <c r="G730">
        <f>IF(ISNA(H730),NA(),G444)</f>
        <v>0</v>
      </c>
      <c r="H730">
        <f>IF(OR(H444="",AND(H444=H443,H444=H445)),NA(), H444)</f>
        <v>0</v>
      </c>
      <c r="K730">
        <f>IF(ISNA(L730),NA(),K444)</f>
        <v>0</v>
      </c>
      <c r="L730">
        <f>IF(OR(L444="",AND(L444=L443,L444=L445)),NA(), L444)</f>
        <v>0</v>
      </c>
      <c r="M730">
        <f>IF(ISNA(N730),NA(),M444)</f>
        <v>0</v>
      </c>
      <c r="N730">
        <f>IF(OR(N444="",AND(N444=N443,N444=N445)),NA(), N444)</f>
        <v>0</v>
      </c>
    </row>
    <row r="731" spans="4:14">
      <c r="E731">
        <f>IF(ISNA(F731),NA(),E445)</f>
        <v>0</v>
      </c>
      <c r="F731">
        <f>IF(OR(F445="",AND(F445=F444,F445=F446)),NA(), F445)</f>
        <v>0</v>
      </c>
      <c r="G731">
        <f>IF(ISNA(H731),NA(),G445)</f>
        <v>0</v>
      </c>
      <c r="H731">
        <f>IF(OR(H445="",AND(H445=H444,H445=H446)),NA(), H445)</f>
        <v>0</v>
      </c>
      <c r="K731">
        <f>IF(ISNA(L731),NA(),K445)</f>
        <v>0</v>
      </c>
      <c r="L731">
        <f>IF(OR(L445="",AND(L445=L444,L445=L446)),NA(), L445)</f>
        <v>0</v>
      </c>
      <c r="M731">
        <f>IF(ISNA(N731),NA(),M445)</f>
        <v>0</v>
      </c>
      <c r="N731">
        <f>IF(OR(N445="",AND(N445=N444,N445=N446)),NA(), N445)</f>
        <v>0</v>
      </c>
    </row>
    <row r="732" spans="4:14">
      <c r="E732">
        <f>IF(ISNA(F732),NA(),E446)</f>
        <v>0</v>
      </c>
      <c r="F732">
        <f>IF(OR(F446="",AND(F446=F445,F446=F447)),NA(), F446)</f>
        <v>0</v>
      </c>
      <c r="G732">
        <f>IF(ISNA(H732),NA(),G446)</f>
        <v>0</v>
      </c>
      <c r="H732">
        <f>IF(OR(H446="",AND(H446=H445,H446=H447)),NA(), H446)</f>
        <v>0</v>
      </c>
      <c r="K732">
        <f>IF(ISNA(L732),NA(),K446)</f>
        <v>0</v>
      </c>
      <c r="L732">
        <f>IF(OR(L446="",AND(L446=L445,L446=L447)),NA(), L446)</f>
        <v>0</v>
      </c>
      <c r="M732">
        <f>IF(ISNA(N732),NA(),M446)</f>
        <v>0</v>
      </c>
      <c r="N732">
        <f>IF(OR(N446="",AND(N446=N445,N446=N447)),NA(), N446)</f>
        <v>0</v>
      </c>
    </row>
    <row r="733" spans="4:14">
      <c r="E733">
        <f>IF(ISNA(F733),NA(),E447)</f>
        <v>0</v>
      </c>
      <c r="F733">
        <f>IF(OR(F447="",AND(F447=F446,F447=F448)),NA(), F447)</f>
        <v>0</v>
      </c>
      <c r="G733">
        <f>IF(ISNA(H733),NA(),G447)</f>
        <v>0</v>
      </c>
      <c r="H733">
        <f>IF(OR(H447="",AND(H447=H446,H447=H448)),NA(), H447)</f>
        <v>0</v>
      </c>
      <c r="K733">
        <f>IF(ISNA(L733),NA(),K447)</f>
        <v>0</v>
      </c>
      <c r="L733">
        <f>IF(OR(L447="",AND(L447=L446,L447=L448)),NA(), L447)</f>
        <v>0</v>
      </c>
      <c r="M733">
        <f>IF(ISNA(N733),NA(),M447)</f>
        <v>0</v>
      </c>
      <c r="N733">
        <f>IF(OR(N447="",AND(N447=N446,N447=N448)),NA(), N447)</f>
        <v>0</v>
      </c>
    </row>
    <row r="734" spans="4:14">
      <c r="E734">
        <f>IF(ISNA(F734),NA(),E448)</f>
        <v>0</v>
      </c>
      <c r="F734">
        <f>IF(OR(F448="",AND(F448=F447,F448=F449)),NA(), F448)</f>
        <v>0</v>
      </c>
      <c r="G734">
        <f>IF(ISNA(H734),NA(),G448)</f>
        <v>0</v>
      </c>
      <c r="H734">
        <f>IF(OR(H448="",AND(H448=H447,H448=H449)),NA(), H448)</f>
        <v>0</v>
      </c>
      <c r="K734">
        <f>IF(ISNA(L734),NA(),K448)</f>
        <v>0</v>
      </c>
      <c r="L734">
        <f>IF(OR(L448="",AND(L448=L447,L448=L449)),NA(), L448)</f>
        <v>0</v>
      </c>
      <c r="M734">
        <f>IF(ISNA(N734),NA(),M448)</f>
        <v>0</v>
      </c>
      <c r="N734">
        <f>IF(OR(N448="",AND(N448=N447,N448=N449)),NA(), N448)</f>
        <v>0</v>
      </c>
    </row>
    <row r="735" spans="4:14">
      <c r="E735">
        <f>IF(ISNA(F735),NA(),E449)</f>
        <v>0</v>
      </c>
      <c r="F735">
        <f>IF(OR(F449="",AND(F449=F448,F449=F450)),NA(), F449)</f>
        <v>0</v>
      </c>
      <c r="G735">
        <f>IF(ISNA(H735),NA(),G449)</f>
        <v>0</v>
      </c>
      <c r="H735">
        <f>IF(OR(H449="",AND(H449=H448,H449=H450)),NA(), H449)</f>
        <v>0</v>
      </c>
      <c r="K735">
        <f>IF(ISNA(L735),NA(),K449)</f>
        <v>0</v>
      </c>
      <c r="L735">
        <f>IF(OR(L449="",AND(L449=L448,L449=L450)),NA(), L449)</f>
        <v>0</v>
      </c>
      <c r="M735">
        <f>IF(ISNA(N735),NA(),M449)</f>
        <v>0</v>
      </c>
      <c r="N735">
        <f>IF(OR(N449="",AND(N449=N448,N449=N450)),NA(), N449)</f>
        <v>0</v>
      </c>
    </row>
    <row r="736" spans="4:14">
      <c r="E736">
        <f>IF(ISNA(F736),NA(),E450)</f>
        <v>0</v>
      </c>
      <c r="F736">
        <f>IF(OR(F450="",AND(F450=F449,F450=F451)),NA(), F450)</f>
        <v>0</v>
      </c>
      <c r="G736">
        <f>IF(ISNA(H736),NA(),G450)</f>
        <v>0</v>
      </c>
      <c r="H736">
        <f>IF(OR(H450="",AND(H450=H449,H450=H451)),NA(), H450)</f>
        <v>0</v>
      </c>
      <c r="K736">
        <f>IF(ISNA(L736),NA(),K450)</f>
        <v>0</v>
      </c>
      <c r="L736">
        <f>IF(OR(L450="",AND(L450=L449,L450=L451)),NA(), L450)</f>
        <v>0</v>
      </c>
      <c r="M736">
        <f>IF(ISNA(N736),NA(),M450)</f>
        <v>0</v>
      </c>
      <c r="N736">
        <f>IF(OR(N450="",AND(N450=N449,N450=N451)),NA(), N450)</f>
        <v>0</v>
      </c>
    </row>
    <row r="737" spans="5:14">
      <c r="E737">
        <f>IF(ISNA(F737),NA(),E451)</f>
        <v>0</v>
      </c>
      <c r="F737">
        <f>IF(OR(F451="",AND(F451=F450,F451=F452)),NA(), F451)</f>
        <v>0</v>
      </c>
      <c r="G737">
        <f>IF(ISNA(H737),NA(),G451)</f>
        <v>0</v>
      </c>
      <c r="H737">
        <f>IF(OR(H451="",AND(H451=H450,H451=H452)),NA(), H451)</f>
        <v>0</v>
      </c>
      <c r="K737">
        <f>IF(ISNA(L737),NA(),K451)</f>
        <v>0</v>
      </c>
      <c r="L737">
        <f>IF(OR(L451="",AND(L451=L450,L451=L452)),NA(), L451)</f>
        <v>0</v>
      </c>
      <c r="M737">
        <f>IF(ISNA(N737),NA(),M451)</f>
        <v>0</v>
      </c>
      <c r="N737">
        <f>IF(OR(N451="",AND(N451=N450,N451=N452)),NA(), N451)</f>
        <v>0</v>
      </c>
    </row>
    <row r="738" spans="5:14">
      <c r="E738">
        <f>IF(ISNA(F738),NA(),E452)</f>
        <v>0</v>
      </c>
      <c r="F738">
        <f>IF(OR(F452="",AND(F452=F451,F452=F453)),NA(), F452)</f>
        <v>0</v>
      </c>
      <c r="G738">
        <f>IF(ISNA(H738),NA(),G452)</f>
        <v>0</v>
      </c>
      <c r="H738">
        <f>IF(OR(H452="",AND(H452=H451,H452=H453)),NA(), H452)</f>
        <v>0</v>
      </c>
      <c r="K738">
        <f>IF(ISNA(L738),NA(),K452)</f>
        <v>0</v>
      </c>
      <c r="L738">
        <f>IF(OR(L452="",AND(L452=L451,L452=L453)),NA(), L452)</f>
        <v>0</v>
      </c>
      <c r="M738">
        <f>IF(ISNA(N738),NA(),M452)</f>
        <v>0</v>
      </c>
      <c r="N738">
        <f>IF(OR(N452="",AND(N452=N451,N452=N453)),NA(), N452)</f>
        <v>0</v>
      </c>
    </row>
    <row r="739" spans="5:14">
      <c r="E739">
        <f>IF(ISNA(F739),NA(),E453)</f>
        <v>0</v>
      </c>
      <c r="F739">
        <f>IF(OR(F453="",AND(F453=F452,F453=F454)),NA(), F453)</f>
        <v>0</v>
      </c>
      <c r="G739">
        <f>IF(ISNA(H739),NA(),G453)</f>
        <v>0</v>
      </c>
      <c r="H739">
        <f>IF(OR(H453="",AND(H453=H452,H453=H454)),NA(), H453)</f>
        <v>0</v>
      </c>
      <c r="K739">
        <f>IF(ISNA(L739),NA(),K453)</f>
        <v>0</v>
      </c>
      <c r="L739">
        <f>IF(OR(L453="",AND(L453=L452,L453=L454)),NA(), L453)</f>
        <v>0</v>
      </c>
      <c r="M739">
        <f>IF(ISNA(N739),NA(),M453)</f>
        <v>0</v>
      </c>
      <c r="N739">
        <f>IF(OR(N453="",AND(N453=N452,N453=N454)),NA(), N453)</f>
        <v>0</v>
      </c>
    </row>
    <row r="740" spans="5:14">
      <c r="E740">
        <f>IF(ISNA(F740),NA(),E454)</f>
        <v>0</v>
      </c>
      <c r="F740">
        <f>IF(OR(F454="",AND(F454=F453,F454=F455)),NA(), F454)</f>
        <v>0</v>
      </c>
      <c r="G740">
        <f>IF(ISNA(H740),NA(),G454)</f>
        <v>0</v>
      </c>
      <c r="H740">
        <f>IF(OR(H454="",AND(H454=H453,H454=H455)),NA(), H454)</f>
        <v>0</v>
      </c>
      <c r="K740">
        <f>IF(ISNA(L740),NA(),K454)</f>
        <v>0</v>
      </c>
      <c r="L740">
        <f>IF(OR(L454="",AND(L454=L453,L454=L455)),NA(), L454)</f>
        <v>0</v>
      </c>
      <c r="M740">
        <f>IF(ISNA(N740),NA(),M454)</f>
        <v>0</v>
      </c>
      <c r="N740">
        <f>IF(OR(N454="",AND(N454=N453,N454=N455)),NA(), N454)</f>
        <v>0</v>
      </c>
    </row>
    <row r="741" spans="5:14">
      <c r="E741">
        <f>IF(ISNA(F741),NA(),E455)</f>
        <v>0</v>
      </c>
      <c r="F741">
        <f>IF(OR(F455="",AND(F455=F454,F455=F456)),NA(), F455)</f>
        <v>0</v>
      </c>
      <c r="G741">
        <f>IF(ISNA(H741),NA(),G455)</f>
        <v>0</v>
      </c>
      <c r="H741">
        <f>IF(OR(H455="",AND(H455=H454,H455=H456)),NA(), H455)</f>
        <v>0</v>
      </c>
      <c r="K741">
        <f>IF(ISNA(L741),NA(),K455)</f>
        <v>0</v>
      </c>
      <c r="L741">
        <f>IF(OR(L455="",AND(L455=L454,L455=L456)),NA(), L455)</f>
        <v>0</v>
      </c>
      <c r="M741">
        <f>IF(ISNA(N741),NA(),M455)</f>
        <v>0</v>
      </c>
      <c r="N741">
        <f>IF(OR(N455="",AND(N455=N454,N455=N456)),NA(), N455)</f>
        <v>0</v>
      </c>
    </row>
    <row r="742" spans="5:14">
      <c r="E742">
        <f>IF(ISNA(F742),NA(),E456)</f>
        <v>0</v>
      </c>
      <c r="F742">
        <f>IF(OR(F456="",AND(F456=F455,F456=F457)),NA(), F456)</f>
        <v>0</v>
      </c>
      <c r="G742">
        <f>IF(ISNA(H742),NA(),G456)</f>
        <v>0</v>
      </c>
      <c r="H742">
        <f>IF(OR(H456="",AND(H456=H455,H456=H457)),NA(), H456)</f>
        <v>0</v>
      </c>
      <c r="K742">
        <f>IF(ISNA(L742),NA(),K456)</f>
        <v>0</v>
      </c>
      <c r="L742">
        <f>IF(OR(L456="",AND(L456=L455,L456=L457)),NA(), L456)</f>
        <v>0</v>
      </c>
      <c r="M742">
        <f>IF(ISNA(N742),NA(),M456)</f>
        <v>0</v>
      </c>
      <c r="N742">
        <f>IF(OR(N456="",AND(N456=N455,N456=N457)),NA(), N456)</f>
        <v>0</v>
      </c>
    </row>
    <row r="743" spans="5:14">
      <c r="E743">
        <f>IF(ISNA(F743),NA(),E457)</f>
        <v>0</v>
      </c>
      <c r="F743">
        <f>IF(OR(F457="",AND(F457=F456,F457=F458)),NA(), F457)</f>
        <v>0</v>
      </c>
      <c r="G743">
        <f>IF(ISNA(H743),NA(),G457)</f>
        <v>0</v>
      </c>
      <c r="H743">
        <f>IF(OR(H457="",AND(H457=H456,H457=H458)),NA(), H457)</f>
        <v>0</v>
      </c>
      <c r="K743">
        <f>IF(ISNA(L743),NA(),K457)</f>
        <v>0</v>
      </c>
      <c r="L743">
        <f>IF(OR(L457="",AND(L457=L456,L457=L458)),NA(), L457)</f>
        <v>0</v>
      </c>
      <c r="M743">
        <f>IF(ISNA(N743),NA(),M457)</f>
        <v>0</v>
      </c>
      <c r="N743">
        <f>IF(OR(N457="",AND(N457=N456,N457=N458)),NA(), N457)</f>
        <v>0</v>
      </c>
    </row>
    <row r="744" spans="5:14">
      <c r="E744">
        <f>IF(ISNA(F744),NA(),E458)</f>
        <v>0</v>
      </c>
      <c r="F744">
        <f>IF(OR(F458="",AND(F458=F457,F458=F459)),NA(), F458)</f>
        <v>0</v>
      </c>
      <c r="G744">
        <f>IF(ISNA(H744),NA(),G458)</f>
        <v>0</v>
      </c>
      <c r="H744">
        <f>IF(OR(H458="",AND(H458=H457,H458=H459)),NA(), H458)</f>
        <v>0</v>
      </c>
      <c r="K744">
        <f>IF(ISNA(L744),NA(),K458)</f>
        <v>0</v>
      </c>
      <c r="L744">
        <f>IF(OR(L458="",AND(L458=L457,L458=L459)),NA(), L458)</f>
        <v>0</v>
      </c>
      <c r="M744">
        <f>IF(ISNA(N744),NA(),M458)</f>
        <v>0</v>
      </c>
      <c r="N744">
        <f>IF(OR(N458="",AND(N458=N457,N458=N459)),NA(), N458)</f>
        <v>0</v>
      </c>
    </row>
    <row r="745" spans="5:14">
      <c r="E745">
        <f>IF(ISNA(F745),NA(),E459)</f>
        <v>0</v>
      </c>
      <c r="F745">
        <f>IF(OR(F459="",AND(F459=F458,F459=F460)),NA(), F459)</f>
        <v>0</v>
      </c>
      <c r="G745">
        <f>IF(ISNA(H745),NA(),G459)</f>
        <v>0</v>
      </c>
      <c r="H745">
        <f>IF(OR(H459="",AND(H459=H458,H459=H460)),NA(), H459)</f>
        <v>0</v>
      </c>
      <c r="K745">
        <f>IF(ISNA(L745),NA(),K459)</f>
        <v>0</v>
      </c>
      <c r="L745">
        <f>IF(OR(L459="",AND(L459=L458,L459=L460)),NA(), L459)</f>
        <v>0</v>
      </c>
      <c r="M745">
        <f>IF(ISNA(N745),NA(),M459)</f>
        <v>0</v>
      </c>
      <c r="N745">
        <f>IF(OR(N459="",AND(N459=N458,N459=N460)),NA(), N459)</f>
        <v>0</v>
      </c>
    </row>
    <row r="746" spans="5:14">
      <c r="E746">
        <f>IF(ISNA(F746),NA(),E460)</f>
        <v>0</v>
      </c>
      <c r="F746">
        <f>IF(OR(F460="",AND(F460=F459,F460=F461)),NA(), F460)</f>
        <v>0</v>
      </c>
      <c r="G746">
        <f>IF(ISNA(H746),NA(),G460)</f>
        <v>0</v>
      </c>
      <c r="H746">
        <f>IF(OR(H460="",AND(H460=H459,H460=H461)),NA(), H460)</f>
        <v>0</v>
      </c>
      <c r="K746">
        <f>IF(ISNA(L746),NA(),K460)</f>
        <v>0</v>
      </c>
      <c r="L746">
        <f>IF(OR(L460="",AND(L460=L459,L460=L461)),NA(), L460)</f>
        <v>0</v>
      </c>
      <c r="M746">
        <f>IF(ISNA(N746),NA(),M460)</f>
        <v>0</v>
      </c>
      <c r="N746">
        <f>IF(OR(N460="",AND(N460=N459,N460=N461)),NA(), N460)</f>
        <v>0</v>
      </c>
    </row>
    <row r="747" spans="5:14">
      <c r="E747">
        <f>IF(ISNA(F747),NA(),E461)</f>
        <v>0</v>
      </c>
      <c r="F747">
        <f>IF(OR(F461="",AND(F461=F460,F461=F462)),NA(), F461)</f>
        <v>0</v>
      </c>
      <c r="G747">
        <f>IF(ISNA(H747),NA(),G461)</f>
        <v>0</v>
      </c>
      <c r="H747">
        <f>IF(OR(H461="",AND(H461=H460,H461=H462)),NA(), H461)</f>
        <v>0</v>
      </c>
      <c r="K747">
        <f>IF(ISNA(L747),NA(),K461)</f>
        <v>0</v>
      </c>
      <c r="L747">
        <f>IF(OR(L461="",AND(L461=L460,L461=L462)),NA(), L461)</f>
        <v>0</v>
      </c>
      <c r="M747">
        <f>IF(ISNA(N747),NA(),M461)</f>
        <v>0</v>
      </c>
      <c r="N747">
        <f>IF(OR(N461="",AND(N461=N460,N461=N462)),NA(), N461)</f>
        <v>0</v>
      </c>
    </row>
    <row r="748" spans="5:14">
      <c r="E748">
        <f>IF(ISNA(F748),NA(),E462)</f>
        <v>0</v>
      </c>
      <c r="F748">
        <f>IF(OR(F462="",AND(F462=F461,F462=F463)),NA(), F462)</f>
        <v>0</v>
      </c>
      <c r="G748">
        <f>IF(ISNA(H748),NA(),G462)</f>
        <v>0</v>
      </c>
      <c r="H748">
        <f>IF(OR(H462="",AND(H462=H461,H462=H463)),NA(), H462)</f>
        <v>0</v>
      </c>
      <c r="K748">
        <f>IF(ISNA(L748),NA(),K462)</f>
        <v>0</v>
      </c>
      <c r="L748">
        <f>IF(OR(L462="",AND(L462=L461,L462=L463)),NA(), L462)</f>
        <v>0</v>
      </c>
      <c r="M748">
        <f>IF(ISNA(N748),NA(),M462)</f>
        <v>0</v>
      </c>
      <c r="N748">
        <f>IF(OR(N462="",AND(N462=N461,N462=N463)),NA(), N462)</f>
        <v>0</v>
      </c>
    </row>
    <row r="749" spans="5:14">
      <c r="E749">
        <f>IF(ISNA(F749),NA(),E463)</f>
        <v>0</v>
      </c>
      <c r="F749">
        <f>IF(OR(F463="",AND(F463=F462,F463=F464)),NA(), F463)</f>
        <v>0</v>
      </c>
      <c r="G749">
        <f>IF(ISNA(H749),NA(),G463)</f>
        <v>0</v>
      </c>
      <c r="H749">
        <f>IF(OR(H463="",AND(H463=H462,H463=H464)),NA(), H463)</f>
        <v>0</v>
      </c>
      <c r="K749">
        <f>IF(ISNA(L749),NA(),K463)</f>
        <v>0</v>
      </c>
      <c r="L749">
        <f>IF(OR(L463="",AND(L463=L462,L463=L464)),NA(), L463)</f>
        <v>0</v>
      </c>
      <c r="M749">
        <f>IF(ISNA(N749),NA(),M463)</f>
        <v>0</v>
      </c>
      <c r="N749">
        <f>IF(OR(N463="",AND(N463=N462,N463=N464)),NA(), N463)</f>
        <v>0</v>
      </c>
    </row>
    <row r="750" spans="5:14">
      <c r="E750">
        <f>IF(ISNA(F750),NA(),E464)</f>
        <v>0</v>
      </c>
      <c r="F750">
        <f>IF(OR(F464="",AND(F464=F463,F464=F465)),NA(), F464)</f>
        <v>0</v>
      </c>
      <c r="G750">
        <f>IF(ISNA(H750),NA(),G464)</f>
        <v>0</v>
      </c>
      <c r="H750">
        <f>IF(OR(H464="",AND(H464=H463,H464=H465)),NA(), H464)</f>
        <v>0</v>
      </c>
      <c r="K750">
        <f>IF(ISNA(L750),NA(),K464)</f>
        <v>0</v>
      </c>
      <c r="L750">
        <f>IF(OR(L464="",AND(L464=L463,L464=L465)),NA(), L464)</f>
        <v>0</v>
      </c>
      <c r="M750">
        <f>IF(ISNA(N750),NA(),M464)</f>
        <v>0</v>
      </c>
      <c r="N750">
        <f>IF(OR(N464="",AND(N464=N463,N464=N465)),NA(), N464)</f>
        <v>0</v>
      </c>
    </row>
    <row r="751" spans="5:14">
      <c r="E751">
        <f>IF(ISNA(F751),NA(),E465)</f>
        <v>0</v>
      </c>
      <c r="F751">
        <f>IF(OR(F465="",AND(F465=F464,F465=F466)),NA(), F465)</f>
        <v>0</v>
      </c>
      <c r="G751">
        <f>IF(ISNA(H751),NA(),G465)</f>
        <v>0</v>
      </c>
      <c r="H751">
        <f>IF(OR(H465="",AND(H465=H464,H465=H466)),NA(), H465)</f>
        <v>0</v>
      </c>
      <c r="K751">
        <f>IF(ISNA(L751),NA(),K465)</f>
        <v>0</v>
      </c>
      <c r="L751">
        <f>IF(OR(L465="",AND(L465=L464,L465=L466)),NA(), L465)</f>
        <v>0</v>
      </c>
      <c r="M751">
        <f>IF(ISNA(N751),NA(),M465)</f>
        <v>0</v>
      </c>
      <c r="N751">
        <f>IF(OR(N465="",AND(N465=N464,N465=N466)),NA(), N465)</f>
        <v>0</v>
      </c>
    </row>
    <row r="752" spans="5:14">
      <c r="E752">
        <f>IF(ISNA(F752),NA(),E466)</f>
        <v>0</v>
      </c>
      <c r="F752">
        <f>IF(OR(F466="",AND(F466=F465,F466=F467)),NA(), F466)</f>
        <v>0</v>
      </c>
      <c r="G752">
        <f>IF(ISNA(H752),NA(),G466)</f>
        <v>0</v>
      </c>
      <c r="H752">
        <f>IF(OR(H466="",AND(H466=H465,H466=H467)),NA(), H466)</f>
        <v>0</v>
      </c>
      <c r="K752">
        <f>IF(ISNA(L752),NA(),K466)</f>
        <v>0</v>
      </c>
      <c r="L752">
        <f>IF(OR(L466="",AND(L466=L465,L466=L467)),NA(), L466)</f>
        <v>0</v>
      </c>
      <c r="M752">
        <f>IF(ISNA(N752),NA(),M466)</f>
        <v>0</v>
      </c>
      <c r="N752">
        <f>IF(OR(N466="",AND(N466=N465,N466=N467)),NA(), N466)</f>
        <v>0</v>
      </c>
    </row>
    <row r="753" spans="5:14">
      <c r="E753">
        <f>IF(ISNA(F753),NA(),E467)</f>
        <v>0</v>
      </c>
      <c r="F753">
        <f>IF(OR(F467="",AND(F467=F466,F467=F468)),NA(), F467)</f>
        <v>0</v>
      </c>
      <c r="G753">
        <f>IF(ISNA(H753),NA(),G467)</f>
        <v>0</v>
      </c>
      <c r="H753">
        <f>IF(OR(H467="",AND(H467=H466,H467=H468)),NA(), H467)</f>
        <v>0</v>
      </c>
      <c r="K753">
        <f>IF(ISNA(L753),NA(),K467)</f>
        <v>0</v>
      </c>
      <c r="L753">
        <f>IF(OR(L467="",AND(L467=L466,L467=L468)),NA(), L467)</f>
        <v>0</v>
      </c>
      <c r="M753">
        <f>IF(ISNA(N753),NA(),M467)</f>
        <v>0</v>
      </c>
      <c r="N753">
        <f>IF(OR(N467="",AND(N467=N466,N467=N468)),NA(), N467)</f>
        <v>0</v>
      </c>
    </row>
    <row r="754" spans="5:14">
      <c r="E754">
        <f>IF(ISNA(F754),NA(),E468)</f>
        <v>0</v>
      </c>
      <c r="F754">
        <f>IF(OR(F468="",AND(F468=F467,F468=F469)),NA(), F468)</f>
        <v>0</v>
      </c>
      <c r="G754">
        <f>IF(ISNA(H754),NA(),G468)</f>
        <v>0</v>
      </c>
      <c r="H754">
        <f>IF(OR(H468="",AND(H468=H467,H468=H469)),NA(), H468)</f>
        <v>0</v>
      </c>
      <c r="K754">
        <f>IF(ISNA(L754),NA(),K468)</f>
        <v>0</v>
      </c>
      <c r="L754">
        <f>IF(OR(L468="",AND(L468=L467,L468=L469)),NA(), L468)</f>
        <v>0</v>
      </c>
      <c r="M754">
        <f>IF(ISNA(N754),NA(),M468)</f>
        <v>0</v>
      </c>
      <c r="N754">
        <f>IF(OR(N468="",AND(N468=N467,N468=N469)),NA(), N468)</f>
        <v>0</v>
      </c>
    </row>
    <row r="755" spans="5:14">
      <c r="E755">
        <f>IF(ISNA(F755),NA(),E469)</f>
        <v>0</v>
      </c>
      <c r="F755">
        <f>IF(OR(F469="",AND(F469=F468,F469=F470)),NA(), F469)</f>
        <v>0</v>
      </c>
      <c r="G755">
        <f>IF(ISNA(H755),NA(),G469)</f>
        <v>0</v>
      </c>
      <c r="H755">
        <f>IF(OR(H469="",AND(H469=H468,H469=H470)),NA(), H469)</f>
        <v>0</v>
      </c>
      <c r="K755">
        <f>IF(ISNA(L755),NA(),K469)</f>
        <v>0</v>
      </c>
      <c r="L755">
        <f>IF(OR(L469="",AND(L469=L468,L469=L470)),NA(), L469)</f>
        <v>0</v>
      </c>
      <c r="M755">
        <f>IF(ISNA(N755),NA(),M469)</f>
        <v>0</v>
      </c>
      <c r="N755">
        <f>IF(OR(N469="",AND(N469=N468,N469=N470)),NA(), N469)</f>
        <v>0</v>
      </c>
    </row>
    <row r="756" spans="5:14">
      <c r="E756">
        <f>IF(ISNA(F756),NA(),E470)</f>
        <v>0</v>
      </c>
      <c r="F756">
        <f>IF(OR(F470="",AND(F470=F469,F470=F471)),NA(), F470)</f>
        <v>0</v>
      </c>
      <c r="G756">
        <f>IF(ISNA(H756),NA(),G470)</f>
        <v>0</v>
      </c>
      <c r="H756">
        <f>IF(OR(H470="",AND(H470=H469,H470=H471)),NA(), H470)</f>
        <v>0</v>
      </c>
      <c r="K756">
        <f>IF(ISNA(L756),NA(),K470)</f>
        <v>0</v>
      </c>
      <c r="L756">
        <f>IF(OR(L470="",AND(L470=L469,L470=L471)),NA(), L470)</f>
        <v>0</v>
      </c>
      <c r="M756">
        <f>IF(ISNA(N756),NA(),M470)</f>
        <v>0</v>
      </c>
      <c r="N756">
        <f>IF(OR(N470="",AND(N470=N469,N470=N471)),NA(), N470)</f>
        <v>0</v>
      </c>
    </row>
    <row r="757" spans="5:14">
      <c r="E757">
        <f>IF(ISNA(F757),NA(),E471)</f>
        <v>0</v>
      </c>
      <c r="F757">
        <f>IF(OR(F471="",AND(F471=F470,F471=F472)),NA(), F471)</f>
        <v>0</v>
      </c>
      <c r="G757">
        <f>IF(ISNA(H757),NA(),G471)</f>
        <v>0</v>
      </c>
      <c r="H757">
        <f>IF(OR(H471="",AND(H471=H470,H471=H472)),NA(), H471)</f>
        <v>0</v>
      </c>
      <c r="K757">
        <f>IF(ISNA(L757),NA(),K471)</f>
        <v>0</v>
      </c>
      <c r="L757">
        <f>IF(OR(L471="",AND(L471=L470,L471=L472)),NA(), L471)</f>
        <v>0</v>
      </c>
      <c r="M757">
        <f>IF(ISNA(N757),NA(),M471)</f>
        <v>0</v>
      </c>
      <c r="N757">
        <f>IF(OR(N471="",AND(N471=N470,N471=N472)),NA(), N471)</f>
        <v>0</v>
      </c>
    </row>
    <row r="758" spans="5:14">
      <c r="E758">
        <f>IF(ISNA(F758),NA(),E472)</f>
        <v>0</v>
      </c>
      <c r="F758">
        <f>IF(OR(F472="",AND(F472=F471,F472=F473)),NA(), F472)</f>
        <v>0</v>
      </c>
      <c r="G758">
        <f>IF(ISNA(H758),NA(),G472)</f>
        <v>0</v>
      </c>
      <c r="H758">
        <f>IF(OR(H472="",AND(H472=H471,H472=H473)),NA(), H472)</f>
        <v>0</v>
      </c>
      <c r="K758">
        <f>IF(ISNA(L758),NA(),K472)</f>
        <v>0</v>
      </c>
      <c r="L758">
        <f>IF(OR(L472="",AND(L472=L471,L472=L473)),NA(), L472)</f>
        <v>0</v>
      </c>
      <c r="M758">
        <f>IF(ISNA(N758),NA(),M472)</f>
        <v>0</v>
      </c>
      <c r="N758">
        <f>IF(OR(N472="",AND(N472=N471,N472=N473)),NA(), N472)</f>
        <v>0</v>
      </c>
    </row>
    <row r="759" spans="5:14">
      <c r="E759">
        <f>IF(ISNA(F759),NA(),E473)</f>
        <v>0</v>
      </c>
      <c r="F759">
        <f>IF(OR(F473="",AND(F473=F472,F473=F474)),NA(), F473)</f>
        <v>0</v>
      </c>
      <c r="G759">
        <f>IF(ISNA(H759),NA(),G473)</f>
        <v>0</v>
      </c>
      <c r="H759">
        <f>IF(OR(H473="",AND(H473=H472,H473=H474)),NA(), H473)</f>
        <v>0</v>
      </c>
      <c r="K759">
        <f>IF(ISNA(L759),NA(),K473)</f>
        <v>0</v>
      </c>
      <c r="L759">
        <f>IF(OR(L473="",AND(L473=L472,L473=L474)),NA(), L473)</f>
        <v>0</v>
      </c>
      <c r="M759">
        <f>IF(ISNA(N759),NA(),M473)</f>
        <v>0</v>
      </c>
      <c r="N759">
        <f>IF(OR(N473="",AND(N473=N472,N473=N474)),NA(), N473)</f>
        <v>0</v>
      </c>
    </row>
    <row r="760" spans="5:14">
      <c r="E760">
        <f>IF(ISNA(F760),NA(),E474)</f>
        <v>0</v>
      </c>
      <c r="F760">
        <f>IF(OR(F474="",AND(F474=F473,F474=F475)),NA(), F474)</f>
        <v>0</v>
      </c>
      <c r="G760">
        <f>IF(ISNA(H760),NA(),G474)</f>
        <v>0</v>
      </c>
      <c r="H760">
        <f>IF(OR(H474="",AND(H474=H473,H474=H475)),NA(), H474)</f>
        <v>0</v>
      </c>
      <c r="K760">
        <f>IF(ISNA(L760),NA(),K474)</f>
        <v>0</v>
      </c>
      <c r="L760">
        <f>IF(OR(L474="",AND(L474=L473,L474=L475)),NA(), L474)</f>
        <v>0</v>
      </c>
      <c r="M760">
        <f>IF(ISNA(N760),NA(),M474)</f>
        <v>0</v>
      </c>
      <c r="N760">
        <f>IF(OR(N474="",AND(N474=N473,N474=N475)),NA(), N474)</f>
        <v>0</v>
      </c>
    </row>
    <row r="761" spans="5:14">
      <c r="E761">
        <f>IF(ISNA(F761),NA(),E475)</f>
        <v>0</v>
      </c>
      <c r="F761">
        <f>IF(OR(F475="",AND(F475=F474,F475=F476)),NA(), F475)</f>
        <v>0</v>
      </c>
      <c r="G761">
        <f>IF(ISNA(H761),NA(),G475)</f>
        <v>0</v>
      </c>
      <c r="H761">
        <f>IF(OR(H475="",AND(H475=H474,H475=H476)),NA(), H475)</f>
        <v>0</v>
      </c>
      <c r="K761">
        <f>IF(ISNA(L761),NA(),K475)</f>
        <v>0</v>
      </c>
      <c r="L761">
        <f>IF(OR(L475="",AND(L475=L474,L475=L476)),NA(), L475)</f>
        <v>0</v>
      </c>
      <c r="M761">
        <f>IF(ISNA(N761),NA(),M475)</f>
        <v>0</v>
      </c>
      <c r="N761">
        <f>IF(OR(N475="",AND(N475=N474,N475=N476)),NA(), N475)</f>
        <v>0</v>
      </c>
    </row>
    <row r="762" spans="5:14">
      <c r="E762">
        <f>IF(ISNA(F762),NA(),E476)</f>
        <v>0</v>
      </c>
      <c r="F762">
        <f>IF(OR(F476="",AND(F476=F475,F476=F477)),NA(), F476)</f>
        <v>0</v>
      </c>
      <c r="G762">
        <f>IF(ISNA(H762),NA(),G476)</f>
        <v>0</v>
      </c>
      <c r="H762">
        <f>IF(OR(H476="",AND(H476=H475,H476=H477)),NA(), H476)</f>
        <v>0</v>
      </c>
      <c r="K762">
        <f>IF(ISNA(L762),NA(),K476)</f>
        <v>0</v>
      </c>
      <c r="L762">
        <f>IF(OR(L476="",AND(L476=L475,L476=L477)),NA(), L476)</f>
        <v>0</v>
      </c>
      <c r="M762">
        <f>IF(ISNA(N762),NA(),M476)</f>
        <v>0</v>
      </c>
      <c r="N762">
        <f>IF(OR(N476="",AND(N476=N475,N476=N477)),NA(), N476)</f>
        <v>0</v>
      </c>
    </row>
    <row r="763" spans="5:14">
      <c r="E763">
        <f>IF(ISNA(F763),NA(),E477)</f>
        <v>0</v>
      </c>
      <c r="F763">
        <f>IF(OR(F477="",AND(F477=F476,F477=F478)),NA(), F477)</f>
        <v>0</v>
      </c>
      <c r="G763">
        <f>IF(ISNA(H763),NA(),G477)</f>
        <v>0</v>
      </c>
      <c r="H763">
        <f>IF(OR(H477="",AND(H477=H476,H477=H478)),NA(), H477)</f>
        <v>0</v>
      </c>
      <c r="K763">
        <f>IF(ISNA(L763),NA(),K477)</f>
        <v>0</v>
      </c>
      <c r="L763">
        <f>IF(OR(L477="",AND(L477=L476,L477=L478)),NA(), L477)</f>
        <v>0</v>
      </c>
      <c r="M763">
        <f>IF(ISNA(N763),NA(),M477)</f>
        <v>0</v>
      </c>
      <c r="N763">
        <f>IF(OR(N477="",AND(N477=N476,N477=N478)),NA(), N477)</f>
        <v>0</v>
      </c>
    </row>
    <row r="764" spans="5:14">
      <c r="E764">
        <f>IF(ISNA(F764),NA(),E478)</f>
        <v>0</v>
      </c>
      <c r="F764">
        <f>IF(OR(F478="",AND(F478=F477,F478=F479)),NA(), F478)</f>
        <v>0</v>
      </c>
      <c r="G764">
        <f>IF(ISNA(H764),NA(),G478)</f>
        <v>0</v>
      </c>
      <c r="H764">
        <f>IF(OR(H478="",AND(H478=H477,H478=H479)),NA(), H478)</f>
        <v>0</v>
      </c>
      <c r="K764">
        <f>IF(ISNA(L764),NA(),K478)</f>
        <v>0</v>
      </c>
      <c r="L764">
        <f>IF(OR(L478="",AND(L478=L477,L478=L479)),NA(), L478)</f>
        <v>0</v>
      </c>
      <c r="M764">
        <f>IF(ISNA(N764),NA(),M478)</f>
        <v>0</v>
      </c>
      <c r="N764">
        <f>IF(OR(N478="",AND(N478=N477,N478=N479)),NA(), N478)</f>
        <v>0</v>
      </c>
    </row>
    <row r="765" spans="5:14">
      <c r="E765">
        <f>IF(ISNA(F765),NA(),E479)</f>
        <v>0</v>
      </c>
      <c r="F765">
        <f>IF(OR(F479="",AND(F479=F478,F479=F480)),NA(), F479)</f>
        <v>0</v>
      </c>
      <c r="G765">
        <f>IF(ISNA(H765),NA(),G479)</f>
        <v>0</v>
      </c>
      <c r="H765">
        <f>IF(OR(H479="",AND(H479=H478,H479=H480)),NA(), H479)</f>
        <v>0</v>
      </c>
      <c r="K765">
        <f>IF(ISNA(L765),NA(),K479)</f>
        <v>0</v>
      </c>
      <c r="L765">
        <f>IF(OR(L479="",AND(L479=L478,L479=L480)),NA(), L479)</f>
        <v>0</v>
      </c>
      <c r="M765">
        <f>IF(ISNA(N765),NA(),M479)</f>
        <v>0</v>
      </c>
      <c r="N765">
        <f>IF(OR(N479="",AND(N479=N478,N479=N480)),NA(), N479)</f>
        <v>0</v>
      </c>
    </row>
    <row r="766" spans="5:14">
      <c r="E766">
        <f>IF(ISNA(F766),NA(),E480)</f>
        <v>0</v>
      </c>
      <c r="F766">
        <f>IF(OR(F480="",AND(F480=F479,F480=F481)),NA(), F480)</f>
        <v>0</v>
      </c>
      <c r="G766">
        <f>IF(ISNA(H766),NA(),G480)</f>
        <v>0</v>
      </c>
      <c r="H766">
        <f>IF(OR(H480="",AND(H480=H479,H480=H481)),NA(), H480)</f>
        <v>0</v>
      </c>
      <c r="K766">
        <f>IF(ISNA(L766),NA(),K480)</f>
        <v>0</v>
      </c>
      <c r="L766">
        <f>IF(OR(L480="",AND(L480=L479,L480=L481)),NA(), L480)</f>
        <v>0</v>
      </c>
      <c r="M766">
        <f>IF(ISNA(N766),NA(),M480)</f>
        <v>0</v>
      </c>
      <c r="N766">
        <f>IF(OR(N480="",AND(N480=N479,N480=N481)),NA(), N480)</f>
        <v>0</v>
      </c>
    </row>
    <row r="767" spans="5:14">
      <c r="E767">
        <f>IF(ISNA(F767),NA(),E481)</f>
        <v>0</v>
      </c>
      <c r="F767">
        <f>IF(OR(F481="",AND(F481=F480,F481=F482)),NA(), F481)</f>
        <v>0</v>
      </c>
      <c r="G767">
        <f>IF(ISNA(H767),NA(),G481)</f>
        <v>0</v>
      </c>
      <c r="H767">
        <f>IF(OR(H481="",AND(H481=H480,H481=H482)),NA(), H481)</f>
        <v>0</v>
      </c>
      <c r="K767">
        <f>IF(ISNA(L767),NA(),K481)</f>
        <v>0</v>
      </c>
      <c r="L767">
        <f>IF(OR(L481="",AND(L481=L480,L481=L482)),NA(), L481)</f>
        <v>0</v>
      </c>
      <c r="M767">
        <f>IF(ISNA(N767),NA(),M481)</f>
        <v>0</v>
      </c>
      <c r="N767">
        <f>IF(OR(N481="",AND(N481=N480,N481=N482)),NA(), N481)</f>
        <v>0</v>
      </c>
    </row>
    <row r="768" spans="5:14">
      <c r="E768">
        <f>IF(ISNA(F768),NA(),E482)</f>
        <v>0</v>
      </c>
      <c r="F768">
        <f>IF(OR(F482="",AND(F482=F481,F482=F483)),NA(), F482)</f>
        <v>0</v>
      </c>
      <c r="G768">
        <f>IF(ISNA(H768),NA(),G482)</f>
        <v>0</v>
      </c>
      <c r="H768">
        <f>IF(OR(H482="",AND(H482=H481,H482=H483)),NA(), H482)</f>
        <v>0</v>
      </c>
      <c r="K768">
        <f>IF(ISNA(L768),NA(),K482)</f>
        <v>0</v>
      </c>
      <c r="L768">
        <f>IF(OR(L482="",AND(L482=L481,L482=L483)),NA(), L482)</f>
        <v>0</v>
      </c>
      <c r="M768">
        <f>IF(ISNA(N768),NA(),M482)</f>
        <v>0</v>
      </c>
      <c r="N768">
        <f>IF(OR(N482="",AND(N482=N481,N482=N483)),NA(), N482)</f>
        <v>0</v>
      </c>
    </row>
    <row r="769" spans="5:14">
      <c r="E769">
        <f>IF(ISNA(F769),NA(),E483)</f>
        <v>0</v>
      </c>
      <c r="F769">
        <f>IF(OR(F483="",AND(F483=F482,F483=F484)),NA(), F483)</f>
        <v>0</v>
      </c>
      <c r="G769">
        <f>IF(ISNA(H769),NA(),G483)</f>
        <v>0</v>
      </c>
      <c r="H769">
        <f>IF(OR(H483="",AND(H483=H482,H483=H484)),NA(), H483)</f>
        <v>0</v>
      </c>
      <c r="K769">
        <f>IF(ISNA(L769),NA(),K483)</f>
        <v>0</v>
      </c>
      <c r="L769">
        <f>IF(OR(L483="",AND(L483=L482,L483=L484)),NA(), L483)</f>
        <v>0</v>
      </c>
      <c r="M769">
        <f>IF(ISNA(N769),NA(),M483)</f>
        <v>0</v>
      </c>
      <c r="N769">
        <f>IF(OR(N483="",AND(N483=N482,N483=N484)),NA(), N483)</f>
        <v>0</v>
      </c>
    </row>
    <row r="770" spans="5:14">
      <c r="E770">
        <f>IF(ISNA(F770),NA(),E484)</f>
        <v>0</v>
      </c>
      <c r="F770">
        <f>IF(OR(F484="",AND(F484=F483,F484=F485)),NA(), F484)</f>
        <v>0</v>
      </c>
      <c r="G770">
        <f>IF(ISNA(H770),NA(),G484)</f>
        <v>0</v>
      </c>
      <c r="H770">
        <f>IF(OR(H484="",AND(H484=H483,H484=H485)),NA(), H484)</f>
        <v>0</v>
      </c>
      <c r="K770">
        <f>IF(ISNA(L770),NA(),K484)</f>
        <v>0</v>
      </c>
      <c r="L770">
        <f>IF(OR(L484="",AND(L484=L483,L484=L485)),NA(), L484)</f>
        <v>0</v>
      </c>
      <c r="M770">
        <f>IF(ISNA(N770),NA(),M484)</f>
        <v>0</v>
      </c>
      <c r="N770">
        <f>IF(OR(N484="",AND(N484=N483,N484=N485)),NA(), N484)</f>
        <v>0</v>
      </c>
    </row>
    <row r="771" spans="5:14">
      <c r="E771">
        <f>IF(ISNA(F771),NA(),E485)</f>
        <v>0</v>
      </c>
      <c r="F771">
        <f>IF(OR(F485="",AND(F485=F484,F485=F486)),NA(), F485)</f>
        <v>0</v>
      </c>
      <c r="G771">
        <f>IF(ISNA(H771),NA(),G485)</f>
        <v>0</v>
      </c>
      <c r="H771">
        <f>IF(OR(H485="",AND(H485=H484,H485=H486)),NA(), H485)</f>
        <v>0</v>
      </c>
      <c r="K771">
        <f>IF(ISNA(L771),NA(),K485)</f>
        <v>0</v>
      </c>
      <c r="L771">
        <f>IF(OR(L485="",AND(L485=L484,L485=L486)),NA(), L485)</f>
        <v>0</v>
      </c>
      <c r="M771">
        <f>IF(ISNA(N771),NA(),M485)</f>
        <v>0</v>
      </c>
      <c r="N771">
        <f>IF(OR(N485="",AND(N485=N484,N485=N486)),NA(), N485)</f>
        <v>0</v>
      </c>
    </row>
    <row r="772" spans="5:14">
      <c r="E772">
        <f>IF(ISNA(F772),NA(),E486)</f>
        <v>0</v>
      </c>
      <c r="F772">
        <f>IF(OR(F486="",AND(F486=F485,F486=F487)),NA(), F486)</f>
        <v>0</v>
      </c>
      <c r="G772">
        <f>IF(ISNA(H772),NA(),G486)</f>
        <v>0</v>
      </c>
      <c r="H772">
        <f>IF(OR(H486="",AND(H486=H485,H486=H487)),NA(), H486)</f>
        <v>0</v>
      </c>
      <c r="K772">
        <f>IF(ISNA(L772),NA(),K486)</f>
        <v>0</v>
      </c>
      <c r="L772">
        <f>IF(OR(L486="",AND(L486=L485,L486=L487)),NA(), L486)</f>
        <v>0</v>
      </c>
      <c r="M772">
        <f>IF(ISNA(N772),NA(),M486)</f>
        <v>0</v>
      </c>
      <c r="N772">
        <f>IF(OR(N486="",AND(N486=N485,N486=N487)),NA(), N486)</f>
        <v>0</v>
      </c>
    </row>
    <row r="773" spans="5:14">
      <c r="E773">
        <f>IF(ISNA(F773),NA(),E487)</f>
        <v>0</v>
      </c>
      <c r="F773">
        <f>IF(OR(F487="",AND(F487=F486,F487=F488)),NA(), F487)</f>
        <v>0</v>
      </c>
      <c r="G773">
        <f>IF(ISNA(H773),NA(),G487)</f>
        <v>0</v>
      </c>
      <c r="H773">
        <f>IF(OR(H487="",AND(H487=H486,H487=H488)),NA(), H487)</f>
        <v>0</v>
      </c>
      <c r="K773">
        <f>IF(ISNA(L773),NA(),K487)</f>
        <v>0</v>
      </c>
      <c r="L773">
        <f>IF(OR(L487="",AND(L487=L486,L487=L488)),NA(), L487)</f>
        <v>0</v>
      </c>
      <c r="M773">
        <f>IF(ISNA(N773),NA(),M487)</f>
        <v>0</v>
      </c>
      <c r="N773">
        <f>IF(OR(N487="",AND(N487=N486,N487=N488)),NA(), N487)</f>
        <v>0</v>
      </c>
    </row>
    <row r="774" spans="5:14">
      <c r="E774">
        <f>IF(ISNA(F774),NA(),E488)</f>
        <v>0</v>
      </c>
      <c r="F774">
        <f>IF(OR(F488="",AND(F488=F487,F488=F489)),NA(), F488)</f>
        <v>0</v>
      </c>
      <c r="G774">
        <f>IF(ISNA(H774),NA(),G488)</f>
        <v>0</v>
      </c>
      <c r="H774">
        <f>IF(OR(H488="",AND(H488=H487,H488=H489)),NA(), H488)</f>
        <v>0</v>
      </c>
      <c r="K774">
        <f>IF(ISNA(L774),NA(),K488)</f>
        <v>0</v>
      </c>
      <c r="L774">
        <f>IF(OR(L488="",AND(L488=L487,L488=L489)),NA(), L488)</f>
        <v>0</v>
      </c>
      <c r="M774">
        <f>IF(ISNA(N774),NA(),M488)</f>
        <v>0</v>
      </c>
      <c r="N774">
        <f>IF(OR(N488="",AND(N488=N487,N488=N489)),NA(), N488)</f>
        <v>0</v>
      </c>
    </row>
    <row r="775" spans="5:14">
      <c r="E775">
        <f>IF(ISNA(F775),NA(),E489)</f>
        <v>0</v>
      </c>
      <c r="F775">
        <f>IF(OR(F489="",AND(F489=F488,F489=F490)),NA(), F489)</f>
        <v>0</v>
      </c>
      <c r="G775">
        <f>IF(ISNA(H775),NA(),G489)</f>
        <v>0</v>
      </c>
      <c r="H775">
        <f>IF(OR(H489="",AND(H489=H488,H489=H490)),NA(), H489)</f>
        <v>0</v>
      </c>
      <c r="K775">
        <f>IF(ISNA(L775),NA(),K489)</f>
        <v>0</v>
      </c>
      <c r="L775">
        <f>IF(OR(L489="",AND(L489=L488,L489=L490)),NA(), L489)</f>
        <v>0</v>
      </c>
      <c r="M775">
        <f>IF(ISNA(N775),NA(),M489)</f>
        <v>0</v>
      </c>
      <c r="N775">
        <f>IF(OR(N489="",AND(N489=N488,N489=N490)),NA(), N489)</f>
        <v>0</v>
      </c>
    </row>
    <row r="776" spans="5:14">
      <c r="E776">
        <f>IF(ISNA(F776),NA(),E490)</f>
        <v>0</v>
      </c>
      <c r="F776">
        <f>IF(OR(F490="",AND(F490=F489,F490=F491)),NA(), F490)</f>
        <v>0</v>
      </c>
      <c r="G776">
        <f>IF(ISNA(H776),NA(),G490)</f>
        <v>0</v>
      </c>
      <c r="H776">
        <f>IF(OR(H490="",AND(H490=H489,H490=H491)),NA(), H490)</f>
        <v>0</v>
      </c>
      <c r="K776">
        <f>IF(ISNA(L776),NA(),K490)</f>
        <v>0</v>
      </c>
      <c r="L776">
        <f>IF(OR(L490="",AND(L490=L489,L490=L491)),NA(), L490)</f>
        <v>0</v>
      </c>
      <c r="M776">
        <f>IF(ISNA(N776),NA(),M490)</f>
        <v>0</v>
      </c>
      <c r="N776">
        <f>IF(OR(N490="",AND(N490=N489,N490=N491)),NA(), N490)</f>
        <v>0</v>
      </c>
    </row>
    <row r="777" spans="5:14">
      <c r="E777">
        <f>IF(ISNA(F777),NA(),E491)</f>
        <v>0</v>
      </c>
      <c r="F777">
        <f>IF(OR(F491="",AND(F491=F490,F491=F492)),NA(), F491)</f>
        <v>0</v>
      </c>
      <c r="G777">
        <f>IF(ISNA(H777),NA(),G491)</f>
        <v>0</v>
      </c>
      <c r="H777">
        <f>IF(OR(H491="",AND(H491=H490,H491=H492)),NA(), H491)</f>
        <v>0</v>
      </c>
      <c r="K777">
        <f>IF(ISNA(L777),NA(),K491)</f>
        <v>0</v>
      </c>
      <c r="L777">
        <f>IF(OR(L491="",AND(L491=L490,L491=L492)),NA(), L491)</f>
        <v>0</v>
      </c>
      <c r="M777">
        <f>IF(ISNA(N777),NA(),M491)</f>
        <v>0</v>
      </c>
      <c r="N777">
        <f>IF(OR(N491="",AND(N491=N490,N491=N492)),NA(), N491)</f>
        <v>0</v>
      </c>
    </row>
    <row r="778" spans="5:14">
      <c r="E778">
        <f>IF(ISNA(F778),NA(),E492)</f>
        <v>0</v>
      </c>
      <c r="F778">
        <f>IF(OR(F492="",AND(F492=F491,F492=F493)),NA(), F492)</f>
        <v>0</v>
      </c>
      <c r="G778">
        <f>IF(ISNA(H778),NA(),G492)</f>
        <v>0</v>
      </c>
      <c r="H778">
        <f>IF(OR(H492="",AND(H492=H491,H492=H493)),NA(), H492)</f>
        <v>0</v>
      </c>
      <c r="K778">
        <f>IF(ISNA(L778),NA(),K492)</f>
        <v>0</v>
      </c>
      <c r="L778">
        <f>IF(OR(L492="",AND(L492=L491,L492=L493)),NA(), L492)</f>
        <v>0</v>
      </c>
      <c r="M778">
        <f>IF(ISNA(N778),NA(),M492)</f>
        <v>0</v>
      </c>
      <c r="N778">
        <f>IF(OR(N492="",AND(N492=N491,N492=N493)),NA(), N492)</f>
        <v>0</v>
      </c>
    </row>
    <row r="779" spans="5:14">
      <c r="E779">
        <f>IF(ISNA(F779),NA(),E493)</f>
        <v>0</v>
      </c>
      <c r="F779">
        <f>IF(OR(F493="",AND(F493=F492,F493=F494)),NA(), F493)</f>
        <v>0</v>
      </c>
      <c r="G779">
        <f>IF(ISNA(H779),NA(),G493)</f>
        <v>0</v>
      </c>
      <c r="H779">
        <f>IF(OR(H493="",AND(H493=H492,H493=H494)),NA(), H493)</f>
        <v>0</v>
      </c>
      <c r="K779">
        <f>IF(ISNA(L779),NA(),K493)</f>
        <v>0</v>
      </c>
      <c r="L779">
        <f>IF(OR(L493="",AND(L493=L492,L493=L494)),NA(), L493)</f>
        <v>0</v>
      </c>
      <c r="M779">
        <f>IF(ISNA(N779),NA(),M493)</f>
        <v>0</v>
      </c>
      <c r="N779">
        <f>IF(OR(N493="",AND(N493=N492,N493=N494)),NA(), N493)</f>
        <v>0</v>
      </c>
    </row>
    <row r="780" spans="5:14">
      <c r="E780">
        <f>IF(ISNA(F780),NA(),E494)</f>
        <v>0</v>
      </c>
      <c r="F780">
        <f>IF(OR(F494="",AND(F494=F493,F494=F495)),NA(), F494)</f>
        <v>0</v>
      </c>
      <c r="G780">
        <f>IF(ISNA(H780),NA(),G494)</f>
        <v>0</v>
      </c>
      <c r="H780">
        <f>IF(OR(H494="",AND(H494=H493,H494=H495)),NA(), H494)</f>
        <v>0</v>
      </c>
      <c r="K780">
        <f>IF(ISNA(L780),NA(),K494)</f>
        <v>0</v>
      </c>
      <c r="L780">
        <f>IF(OR(L494="",AND(L494=L493,L494=L495)),NA(), L494)</f>
        <v>0</v>
      </c>
      <c r="M780">
        <f>IF(ISNA(N780),NA(),M494)</f>
        <v>0</v>
      </c>
      <c r="N780">
        <f>IF(OR(N494="",AND(N494=N493,N494=N495)),NA(), N494)</f>
        <v>0</v>
      </c>
    </row>
    <row r="781" spans="5:14">
      <c r="E781">
        <f>IF(ISNA(F781),NA(),E495)</f>
        <v>0</v>
      </c>
      <c r="F781">
        <f>IF(OR(F495="",AND(F495=F494,F495=F496)),NA(), F495)</f>
        <v>0</v>
      </c>
      <c r="G781">
        <f>IF(ISNA(H781),NA(),G495)</f>
        <v>0</v>
      </c>
      <c r="H781">
        <f>IF(OR(H495="",AND(H495=H494,H495=H496)),NA(), H495)</f>
        <v>0</v>
      </c>
      <c r="K781">
        <f>IF(ISNA(L781),NA(),K495)</f>
        <v>0</v>
      </c>
      <c r="L781">
        <f>IF(OR(L495="",AND(L495=L494,L495=L496)),NA(), L495)</f>
        <v>0</v>
      </c>
      <c r="M781">
        <f>IF(ISNA(N781),NA(),M495)</f>
        <v>0</v>
      </c>
      <c r="N781">
        <f>IF(OR(N495="",AND(N495=N494,N495=N496)),NA(), N495)</f>
        <v>0</v>
      </c>
    </row>
    <row r="782" spans="5:14">
      <c r="E782">
        <f>IF(ISNA(F782),NA(),E496)</f>
        <v>0</v>
      </c>
      <c r="F782">
        <f>IF(OR(F496="",AND(F496=F495,F496=F497)),NA(), F496)</f>
        <v>0</v>
      </c>
      <c r="G782">
        <f>IF(ISNA(H782),NA(),G496)</f>
        <v>0</v>
      </c>
      <c r="H782">
        <f>IF(OR(H496="",AND(H496=H495,H496=H497)),NA(), H496)</f>
        <v>0</v>
      </c>
      <c r="K782">
        <f>IF(ISNA(L782),NA(),K496)</f>
        <v>0</v>
      </c>
      <c r="L782">
        <f>IF(OR(L496="",AND(L496=L495,L496=L497)),NA(), L496)</f>
        <v>0</v>
      </c>
      <c r="M782">
        <f>IF(ISNA(N782),NA(),M496)</f>
        <v>0</v>
      </c>
      <c r="N782">
        <f>IF(OR(N496="",AND(N496=N495,N496=N497)),NA(), N496)</f>
        <v>0</v>
      </c>
    </row>
    <row r="783" spans="5:14">
      <c r="E783">
        <f>IF(ISNA(F783),NA(),E497)</f>
        <v>0</v>
      </c>
      <c r="F783">
        <f>IF(OR(F497="",AND(F497=F496,F497=F498)),NA(), F497)</f>
        <v>0</v>
      </c>
      <c r="G783">
        <f>IF(ISNA(H783),NA(),G497)</f>
        <v>0</v>
      </c>
      <c r="H783">
        <f>IF(OR(H497="",AND(H497=H496,H497=H498)),NA(), H497)</f>
        <v>0</v>
      </c>
      <c r="K783">
        <f>IF(ISNA(L783),NA(),K497)</f>
        <v>0</v>
      </c>
      <c r="L783">
        <f>IF(OR(L497="",AND(L497=L496,L497=L498)),NA(), L497)</f>
        <v>0</v>
      </c>
      <c r="M783">
        <f>IF(ISNA(N783),NA(),M497)</f>
        <v>0</v>
      </c>
      <c r="N783">
        <f>IF(OR(N497="",AND(N497=N496,N497=N498)),NA(), N497)</f>
        <v>0</v>
      </c>
    </row>
    <row r="784" spans="5:14">
      <c r="E784">
        <f>IF(ISNA(F784),NA(),E498)</f>
        <v>0</v>
      </c>
      <c r="F784">
        <f>IF(OR(F498="",AND(F498=F497,F498=F499)),NA(), F498)</f>
        <v>0</v>
      </c>
      <c r="G784">
        <f>IF(ISNA(H784),NA(),G498)</f>
        <v>0</v>
      </c>
      <c r="H784">
        <f>IF(OR(H498="",AND(H498=H497,H498=H499)),NA(), H498)</f>
        <v>0</v>
      </c>
      <c r="K784">
        <f>IF(ISNA(L784),NA(),K498)</f>
        <v>0</v>
      </c>
      <c r="L784">
        <f>IF(OR(L498="",AND(L498=L497,L498=L499)),NA(), L498)</f>
        <v>0</v>
      </c>
      <c r="M784">
        <f>IF(ISNA(N784),NA(),M498)</f>
        <v>0</v>
      </c>
      <c r="N784">
        <f>IF(OR(N498="",AND(N498=N497,N498=N499)),NA(), N498)</f>
        <v>0</v>
      </c>
    </row>
    <row r="785" spans="5:14">
      <c r="E785">
        <f>IF(ISNA(F785),NA(),E499)</f>
        <v>0</v>
      </c>
      <c r="F785">
        <f>IF(OR(F499="",AND(F499=F498,F499=F500)),NA(), F499)</f>
        <v>0</v>
      </c>
      <c r="G785">
        <f>IF(ISNA(H785),NA(),G499)</f>
        <v>0</v>
      </c>
      <c r="H785">
        <f>IF(OR(H499="",AND(H499=H498,H499=H500)),NA(), H499)</f>
        <v>0</v>
      </c>
      <c r="K785">
        <f>IF(ISNA(L785),NA(),K499)</f>
        <v>0</v>
      </c>
      <c r="L785">
        <f>IF(OR(L499="",AND(L499=L498,L499=L500)),NA(), L499)</f>
        <v>0</v>
      </c>
      <c r="M785">
        <f>IF(ISNA(N785),NA(),M499)</f>
        <v>0</v>
      </c>
      <c r="N785">
        <f>IF(OR(N499="",AND(N499=N498,N499=N500)),NA(), N499)</f>
        <v>0</v>
      </c>
    </row>
    <row r="786" spans="5:14">
      <c r="E786">
        <f>IF(ISNA(F786),NA(),E500)</f>
        <v>0</v>
      </c>
      <c r="F786">
        <f>IF(OR(F500="",AND(F500=F499,F500=F501)),NA(), F500)</f>
        <v>0</v>
      </c>
      <c r="G786">
        <f>IF(ISNA(H786),NA(),G500)</f>
        <v>0</v>
      </c>
      <c r="H786">
        <f>IF(OR(H500="",AND(H500=H499,H500=H501)),NA(), H500)</f>
        <v>0</v>
      </c>
      <c r="K786">
        <f>IF(ISNA(L786),NA(),K500)</f>
        <v>0</v>
      </c>
      <c r="L786">
        <f>IF(OR(L500="",AND(L500=L499,L500=L501)),NA(), L500)</f>
        <v>0</v>
      </c>
      <c r="M786">
        <f>IF(ISNA(N786),NA(),M500)</f>
        <v>0</v>
      </c>
      <c r="N786">
        <f>IF(OR(N500="",AND(N500=N499,N500=N501)),NA(), N500)</f>
        <v>0</v>
      </c>
    </row>
    <row r="787" spans="5:14">
      <c r="E787">
        <f>IF(ISNA(F787),NA(),E501)</f>
        <v>0</v>
      </c>
      <c r="F787">
        <f>IF(OR(F501="",AND(F501=F500,F501=F502)),NA(), F501)</f>
        <v>0</v>
      </c>
      <c r="G787">
        <f>IF(ISNA(H787),NA(),G501)</f>
        <v>0</v>
      </c>
      <c r="H787">
        <f>IF(OR(H501="",AND(H501=H500,H501=H502)),NA(), H501)</f>
        <v>0</v>
      </c>
      <c r="K787">
        <f>IF(ISNA(L787),NA(),K501)</f>
        <v>0</v>
      </c>
      <c r="L787">
        <f>IF(OR(L501="",AND(L501=L500,L501=L502)),NA(), L501)</f>
        <v>0</v>
      </c>
      <c r="M787">
        <f>IF(ISNA(N787),NA(),M501)</f>
        <v>0</v>
      </c>
      <c r="N787">
        <f>IF(OR(N501="",AND(N501=N500,N501=N502)),NA(), N501)</f>
        <v>0</v>
      </c>
    </row>
    <row r="788" spans="5:14">
      <c r="E788">
        <f>IF(ISNA(F788),NA(),E502)</f>
        <v>0</v>
      </c>
      <c r="F788">
        <f>IF(OR(F502="",AND(F502=F501,F502=F503)),NA(), F502)</f>
        <v>0</v>
      </c>
      <c r="G788">
        <f>IF(ISNA(H788),NA(),G502)</f>
        <v>0</v>
      </c>
      <c r="H788">
        <f>IF(OR(H502="",AND(H502=H501,H502=H503)),NA(), H502)</f>
        <v>0</v>
      </c>
      <c r="K788">
        <f>IF(ISNA(L788),NA(),K502)</f>
        <v>0</v>
      </c>
      <c r="L788">
        <f>IF(OR(L502="",AND(L502=L501,L502=L503)),NA(), L502)</f>
        <v>0</v>
      </c>
      <c r="M788">
        <f>IF(ISNA(N788),NA(),M502)</f>
        <v>0</v>
      </c>
      <c r="N788">
        <f>IF(OR(N502="",AND(N502=N501,N502=N503)),NA(), N502)</f>
        <v>0</v>
      </c>
    </row>
    <row r="789" spans="5:14">
      <c r="E789">
        <f>IF(ISNA(F789),NA(),E503)</f>
        <v>0</v>
      </c>
      <c r="F789">
        <f>IF(OR(F503="",AND(F503=F502,F503=F504)),NA(), F503)</f>
        <v>0</v>
      </c>
      <c r="G789">
        <f>IF(ISNA(H789),NA(),G503)</f>
        <v>0</v>
      </c>
      <c r="H789">
        <f>IF(OR(H503="",AND(H503=H502,H503=H504)),NA(), H503)</f>
        <v>0</v>
      </c>
      <c r="K789">
        <f>IF(ISNA(L789),NA(),K503)</f>
        <v>0</v>
      </c>
      <c r="L789">
        <f>IF(OR(L503="",AND(L503=L502,L503=L504)),NA(), L503)</f>
        <v>0</v>
      </c>
      <c r="M789">
        <f>IF(ISNA(N789),NA(),M503)</f>
        <v>0</v>
      </c>
      <c r="N789">
        <f>IF(OR(N503="",AND(N503=N502,N503=N504)),NA(), N503)</f>
        <v>0</v>
      </c>
    </row>
    <row r="790" spans="5:14">
      <c r="E790">
        <f>IF(ISNA(F790),NA(),E504)</f>
        <v>0</v>
      </c>
      <c r="F790">
        <f>IF(OR(F504="",AND(F504=F503,F504=F505)),NA(), F504)</f>
        <v>0</v>
      </c>
      <c r="G790">
        <f>IF(ISNA(H790),NA(),G504)</f>
        <v>0</v>
      </c>
      <c r="H790">
        <f>IF(OR(H504="",AND(H504=H503,H504=H505)),NA(), H504)</f>
        <v>0</v>
      </c>
      <c r="K790">
        <f>IF(ISNA(L790),NA(),K504)</f>
        <v>0</v>
      </c>
      <c r="L790">
        <f>IF(OR(L504="",AND(L504=L503,L504=L505)),NA(), L504)</f>
        <v>0</v>
      </c>
      <c r="M790">
        <f>IF(ISNA(N790),NA(),M504)</f>
        <v>0</v>
      </c>
      <c r="N790">
        <f>IF(OR(N504="",AND(N504=N503,N504=N505)),NA(), N504)</f>
        <v>0</v>
      </c>
    </row>
    <row r="791" spans="5:14">
      <c r="E791">
        <f>IF(ISNA(F791),NA(),E505)</f>
        <v>0</v>
      </c>
      <c r="F791">
        <f>IF(OR(F505="",AND(F505=F504,F505=F506)),NA(), F505)</f>
        <v>0</v>
      </c>
      <c r="G791">
        <f>IF(ISNA(H791),NA(),G505)</f>
        <v>0</v>
      </c>
      <c r="H791">
        <f>IF(OR(H505="",AND(H505=H504,H505=H506)),NA(), H505)</f>
        <v>0</v>
      </c>
      <c r="K791">
        <f>IF(ISNA(L791),NA(),K505)</f>
        <v>0</v>
      </c>
      <c r="L791">
        <f>IF(OR(L505="",AND(L505=L504,L505=L506)),NA(), L505)</f>
        <v>0</v>
      </c>
      <c r="M791">
        <f>IF(ISNA(N791),NA(),M505)</f>
        <v>0</v>
      </c>
      <c r="N791">
        <f>IF(OR(N505="",AND(N505=N504,N505=N506)),NA(), N505)</f>
        <v>0</v>
      </c>
    </row>
    <row r="792" spans="5:14">
      <c r="E792">
        <f>IF(ISNA(F792),NA(),E506)</f>
        <v>0</v>
      </c>
      <c r="F792">
        <f>IF(OR(F506="",AND(F506=F505,F506=F507)),NA(), F506)</f>
        <v>0</v>
      </c>
      <c r="G792">
        <f>IF(ISNA(H792),NA(),G506)</f>
        <v>0</v>
      </c>
      <c r="H792">
        <f>IF(OR(H506="",AND(H506=H505,H506=H507)),NA(), H506)</f>
        <v>0</v>
      </c>
      <c r="K792">
        <f>IF(ISNA(L792),NA(),K506)</f>
        <v>0</v>
      </c>
      <c r="L792">
        <f>IF(OR(L506="",AND(L506=L505,L506=L507)),NA(), L506)</f>
        <v>0</v>
      </c>
      <c r="M792">
        <f>IF(ISNA(N792),NA(),M506)</f>
        <v>0</v>
      </c>
      <c r="N792">
        <f>IF(OR(N506="",AND(N506=N505,N506=N507)),NA(), N506)</f>
        <v>0</v>
      </c>
    </row>
    <row r="793" spans="5:14">
      <c r="E793">
        <f>IF(ISNA(F793),NA(),E507)</f>
        <v>0</v>
      </c>
      <c r="F793">
        <f>IF(OR(F507="",AND(F507=F506,F507=F508)),NA(), F507)</f>
        <v>0</v>
      </c>
      <c r="G793">
        <f>IF(ISNA(H793),NA(),G507)</f>
        <v>0</v>
      </c>
      <c r="H793">
        <f>IF(OR(H507="",AND(H507=H506,H507=H508)),NA(), H507)</f>
        <v>0</v>
      </c>
      <c r="K793">
        <f>IF(ISNA(L793),NA(),K507)</f>
        <v>0</v>
      </c>
      <c r="L793">
        <f>IF(OR(L507="",AND(L507=L506,L507=L508)),NA(), L507)</f>
        <v>0</v>
      </c>
      <c r="M793">
        <f>IF(ISNA(N793),NA(),M507)</f>
        <v>0</v>
      </c>
      <c r="N793">
        <f>IF(OR(N507="",AND(N507=N506,N507=N508)),NA(), N507)</f>
        <v>0</v>
      </c>
    </row>
    <row r="794" spans="5:14">
      <c r="E794">
        <f>IF(ISNA(F794),NA(),E508)</f>
        <v>0</v>
      </c>
      <c r="F794">
        <f>IF(OR(F508="",AND(F508=F507,F508=F509)),NA(), F508)</f>
        <v>0</v>
      </c>
      <c r="G794">
        <f>IF(ISNA(H794),NA(),G508)</f>
        <v>0</v>
      </c>
      <c r="H794">
        <f>IF(OR(H508="",AND(H508=H507,H508=H509)),NA(), H508)</f>
        <v>0</v>
      </c>
      <c r="K794">
        <f>IF(ISNA(L794),NA(),K508)</f>
        <v>0</v>
      </c>
      <c r="L794">
        <f>IF(OR(L508="",AND(L508=L507,L508=L509)),NA(), L508)</f>
        <v>0</v>
      </c>
      <c r="M794">
        <f>IF(ISNA(N794),NA(),M508)</f>
        <v>0</v>
      </c>
      <c r="N794">
        <f>IF(OR(N508="",AND(N508=N507,N508=N509)),NA(), N508)</f>
        <v>0</v>
      </c>
    </row>
    <row r="795" spans="5:14">
      <c r="E795">
        <f>IF(ISNA(F795),NA(),E509)</f>
        <v>0</v>
      </c>
      <c r="F795">
        <f>IF(OR(F509="",AND(F509=F508,F509=F510)),NA(), F509)</f>
        <v>0</v>
      </c>
      <c r="G795">
        <f>IF(ISNA(H795),NA(),G509)</f>
        <v>0</v>
      </c>
      <c r="H795">
        <f>IF(OR(H509="",AND(H509=H508,H509=H510)),NA(), H509)</f>
        <v>0</v>
      </c>
      <c r="K795">
        <f>IF(ISNA(L795),NA(),K509)</f>
        <v>0</v>
      </c>
      <c r="L795">
        <f>IF(OR(L509="",AND(L509=L508,L509=L510)),NA(), L509)</f>
        <v>0</v>
      </c>
      <c r="M795">
        <f>IF(ISNA(N795),NA(),M509)</f>
        <v>0</v>
      </c>
      <c r="N795">
        <f>IF(OR(N509="",AND(N509=N508,N509=N510)),NA(), N509)</f>
        <v>0</v>
      </c>
    </row>
    <row r="796" spans="5:14">
      <c r="E796">
        <f>IF(ISNA(F796),NA(),E510)</f>
        <v>0</v>
      </c>
      <c r="F796">
        <f>IF(OR(F510="",AND(F510=F509,F510=F511)),NA(), F510)</f>
        <v>0</v>
      </c>
      <c r="G796">
        <f>IF(ISNA(H796),NA(),G510)</f>
        <v>0</v>
      </c>
      <c r="H796">
        <f>IF(OR(H510="",AND(H510=H509,H510=H511)),NA(), H510)</f>
        <v>0</v>
      </c>
      <c r="K796">
        <f>IF(ISNA(L796),NA(),K510)</f>
        <v>0</v>
      </c>
      <c r="L796">
        <f>IF(OR(L510="",AND(L510=L509,L510=L511)),NA(), L510)</f>
        <v>0</v>
      </c>
      <c r="M796">
        <f>IF(ISNA(N796),NA(),M510)</f>
        <v>0</v>
      </c>
      <c r="N796">
        <f>IF(OR(N510="",AND(N510=N509,N510=N511)),NA(), N510)</f>
        <v>0</v>
      </c>
    </row>
    <row r="797" spans="5:14">
      <c r="E797">
        <f>IF(ISNA(F797),NA(),E511)</f>
        <v>0</v>
      </c>
      <c r="F797">
        <f>IF(OR(F511="",AND(F511=F510,F511=F512)),NA(), F511)</f>
        <v>0</v>
      </c>
      <c r="G797">
        <f>IF(ISNA(H797),NA(),G511)</f>
        <v>0</v>
      </c>
      <c r="H797">
        <f>IF(OR(H511="",AND(H511=H510,H511=H512)),NA(), H511)</f>
        <v>0</v>
      </c>
      <c r="K797">
        <f>IF(ISNA(L797),NA(),K511)</f>
        <v>0</v>
      </c>
      <c r="L797">
        <f>IF(OR(L511="",AND(L511=L510,L511=L512)),NA(), L511)</f>
        <v>0</v>
      </c>
      <c r="M797">
        <f>IF(ISNA(N797),NA(),M511)</f>
        <v>0</v>
      </c>
      <c r="N797">
        <f>IF(OR(N511="",AND(N511=N510,N511=N512)),NA(), N511)</f>
        <v>0</v>
      </c>
    </row>
    <row r="798" spans="5:14">
      <c r="E798">
        <f>IF(ISNA(F798),NA(),E512)</f>
        <v>0</v>
      </c>
      <c r="F798">
        <f>IF(OR(F512="",AND(F512=F511,F512=F513)),NA(), F512)</f>
        <v>0</v>
      </c>
      <c r="G798">
        <f>IF(ISNA(H798),NA(),G512)</f>
        <v>0</v>
      </c>
      <c r="H798">
        <f>IF(OR(H512="",AND(H512=H511,H512=H513)),NA(), H512)</f>
        <v>0</v>
      </c>
      <c r="K798">
        <f>IF(ISNA(L798),NA(),K512)</f>
        <v>0</v>
      </c>
      <c r="L798">
        <f>IF(OR(L512="",AND(L512=L511,L512=L513)),NA(), L512)</f>
        <v>0</v>
      </c>
      <c r="M798">
        <f>IF(ISNA(N798),NA(),M512)</f>
        <v>0</v>
      </c>
      <c r="N798">
        <f>IF(OR(N512="",AND(N512=N511,N512=N513)),NA(), N512)</f>
        <v>0</v>
      </c>
    </row>
    <row r="799" spans="5:14">
      <c r="E799">
        <f>IF(ISNA(F799),NA(),E513)</f>
        <v>0</v>
      </c>
      <c r="F799">
        <f>IF(OR(F513="",AND(F513=F512,F513=F514)),NA(), F513)</f>
        <v>0</v>
      </c>
      <c r="G799">
        <f>IF(ISNA(H799),NA(),G513)</f>
        <v>0</v>
      </c>
      <c r="H799">
        <f>IF(OR(H513="",AND(H513=H512,H513=H514)),NA(), H513)</f>
        <v>0</v>
      </c>
      <c r="K799">
        <f>IF(ISNA(L799),NA(),K513)</f>
        <v>0</v>
      </c>
      <c r="L799">
        <f>IF(OR(L513="",AND(L513=L512,L513=L514)),NA(), L513)</f>
        <v>0</v>
      </c>
      <c r="M799">
        <f>IF(ISNA(N799),NA(),M513)</f>
        <v>0</v>
      </c>
      <c r="N799">
        <f>IF(OR(N513="",AND(N513=N512,N513=N514)),NA(), N513)</f>
        <v>0</v>
      </c>
    </row>
    <row r="800" spans="5:14">
      <c r="E800">
        <f>IF(ISNA(F800),NA(),E514)</f>
        <v>0</v>
      </c>
      <c r="F800">
        <f>IF(OR(F514="",AND(F514=F513,F514=F515)),NA(), F514)</f>
        <v>0</v>
      </c>
      <c r="G800">
        <f>IF(ISNA(H800),NA(),G514)</f>
        <v>0</v>
      </c>
      <c r="H800">
        <f>IF(OR(H514="",AND(H514=H513,H514=H515)),NA(), H514)</f>
        <v>0</v>
      </c>
      <c r="K800">
        <f>IF(ISNA(L800),NA(),K514)</f>
        <v>0</v>
      </c>
      <c r="L800">
        <f>IF(OR(L514="",AND(L514=L513,L514=L515)),NA(), L514)</f>
        <v>0</v>
      </c>
      <c r="M800">
        <f>IF(ISNA(N800),NA(),M514)</f>
        <v>0</v>
      </c>
      <c r="N800">
        <f>IF(OR(N514="",AND(N514=N513,N514=N515)),NA(), N514)</f>
        <v>0</v>
      </c>
    </row>
    <row r="801" spans="5:14">
      <c r="E801">
        <f>IF(ISNA(F801),NA(),E515)</f>
        <v>0</v>
      </c>
      <c r="F801">
        <f>IF(OR(F515="",AND(F515=F514,F515=F516)),NA(), F515)</f>
        <v>0</v>
      </c>
      <c r="G801">
        <f>IF(ISNA(H801),NA(),G515)</f>
        <v>0</v>
      </c>
      <c r="H801">
        <f>IF(OR(H515="",AND(H515=H514,H515=H516)),NA(), H515)</f>
        <v>0</v>
      </c>
      <c r="K801">
        <f>IF(ISNA(L801),NA(),K515)</f>
        <v>0</v>
      </c>
      <c r="L801">
        <f>IF(OR(L515="",AND(L515=L514,L515=L516)),NA(), L515)</f>
        <v>0</v>
      </c>
      <c r="M801">
        <f>IF(ISNA(N801),NA(),M515)</f>
        <v>0</v>
      </c>
      <c r="N801">
        <f>IF(OR(N515="",AND(N515=N514,N515=N516)),NA(), N515)</f>
        <v>0</v>
      </c>
    </row>
    <row r="802" spans="5:14">
      <c r="E802">
        <f>IF(ISNA(F802),NA(),E516)</f>
        <v>0</v>
      </c>
      <c r="F802">
        <f>IF(OR(F516="",AND(F516=F515,F516=F517)),NA(), F516)</f>
        <v>0</v>
      </c>
      <c r="G802">
        <f>IF(ISNA(H802),NA(),G516)</f>
        <v>0</v>
      </c>
      <c r="H802">
        <f>IF(OR(H516="",AND(H516=H515,H516=H517)),NA(), H516)</f>
        <v>0</v>
      </c>
      <c r="K802">
        <f>IF(ISNA(L802),NA(),K516)</f>
        <v>0</v>
      </c>
      <c r="L802">
        <f>IF(OR(L516="",AND(L516=L515,L516=L517)),NA(), L516)</f>
        <v>0</v>
      </c>
      <c r="M802">
        <f>IF(ISNA(N802),NA(),M516)</f>
        <v>0</v>
      </c>
      <c r="N802">
        <f>IF(OR(N516="",AND(N516=N515,N516=N517)),NA(), N516)</f>
        <v>0</v>
      </c>
    </row>
    <row r="803" spans="5:14">
      <c r="E803">
        <f>IF(ISNA(F803),NA(),E517)</f>
        <v>0</v>
      </c>
      <c r="F803">
        <f>IF(OR(F517="",AND(F517=F516,F517=F518)),NA(), F517)</f>
        <v>0</v>
      </c>
      <c r="G803">
        <f>IF(ISNA(H803),NA(),G517)</f>
        <v>0</v>
      </c>
      <c r="H803">
        <f>IF(OR(H517="",AND(H517=H516,H517=H518)),NA(), H517)</f>
        <v>0</v>
      </c>
      <c r="K803">
        <f>IF(ISNA(L803),NA(),K517)</f>
        <v>0</v>
      </c>
      <c r="L803">
        <f>IF(OR(L517="",AND(L517=L516,L517=L518)),NA(), L517)</f>
        <v>0</v>
      </c>
      <c r="M803">
        <f>IF(ISNA(N803),NA(),M517)</f>
        <v>0</v>
      </c>
      <c r="N803">
        <f>IF(OR(N517="",AND(N517=N516,N517=N518)),NA(), N517)</f>
        <v>0</v>
      </c>
    </row>
    <row r="804" spans="5:14">
      <c r="E804">
        <f>IF(ISNA(F804),NA(),E518)</f>
        <v>0</v>
      </c>
      <c r="F804">
        <f>IF(OR(F518="",AND(F518=F517,F518=F519)),NA(), F518)</f>
        <v>0</v>
      </c>
      <c r="G804">
        <f>IF(ISNA(H804),NA(),G518)</f>
        <v>0</v>
      </c>
      <c r="H804">
        <f>IF(OR(H518="",AND(H518=H517,H518=H519)),NA(), H518)</f>
        <v>0</v>
      </c>
      <c r="K804">
        <f>IF(ISNA(L804),NA(),K518)</f>
        <v>0</v>
      </c>
      <c r="L804">
        <f>IF(OR(L518="",AND(L518=L517,L518=L519)),NA(), L518)</f>
        <v>0</v>
      </c>
      <c r="M804">
        <f>IF(ISNA(N804),NA(),M518)</f>
        <v>0</v>
      </c>
      <c r="N804">
        <f>IF(OR(N518="",AND(N518=N517,N518=N519)),NA(), N518)</f>
        <v>0</v>
      </c>
    </row>
    <row r="805" spans="5:14">
      <c r="E805">
        <f>IF(ISNA(F805),NA(),E519)</f>
        <v>0</v>
      </c>
      <c r="F805">
        <f>IF(OR(F519="",AND(F519=F518,F519=F520)),NA(), F519)</f>
        <v>0</v>
      </c>
      <c r="G805">
        <f>IF(ISNA(H805),NA(),G519)</f>
        <v>0</v>
      </c>
      <c r="H805">
        <f>IF(OR(H519="",AND(H519=H518,H519=H520)),NA(), H519)</f>
        <v>0</v>
      </c>
      <c r="K805">
        <f>IF(ISNA(L805),NA(),K519)</f>
        <v>0</v>
      </c>
      <c r="L805">
        <f>IF(OR(L519="",AND(L519=L518,L519=L520)),NA(), L519)</f>
        <v>0</v>
      </c>
      <c r="M805">
        <f>IF(ISNA(N805),NA(),M519)</f>
        <v>0</v>
      </c>
      <c r="N805">
        <f>IF(OR(N519="",AND(N519=N518,N519=N520)),NA(), N519)</f>
        <v>0</v>
      </c>
    </row>
    <row r="806" spans="5:14">
      <c r="E806">
        <f>IF(ISNA(F806),NA(),E520)</f>
        <v>0</v>
      </c>
      <c r="F806">
        <f>IF(OR(F520="",AND(F520=F519,F520=F521)),NA(), F520)</f>
        <v>0</v>
      </c>
      <c r="G806">
        <f>IF(ISNA(H806),NA(),G520)</f>
        <v>0</v>
      </c>
      <c r="H806">
        <f>IF(OR(H520="",AND(H520=H519,H520=H521)),NA(), H520)</f>
        <v>0</v>
      </c>
      <c r="K806">
        <f>IF(ISNA(L806),NA(),K520)</f>
        <v>0</v>
      </c>
      <c r="L806">
        <f>IF(OR(L520="",AND(L520=L519,L520=L521)),NA(), L520)</f>
        <v>0</v>
      </c>
      <c r="M806">
        <f>IF(ISNA(N806),NA(),M520)</f>
        <v>0</v>
      </c>
      <c r="N806">
        <f>IF(OR(N520="",AND(N520=N519,N520=N521)),NA(), N520)</f>
        <v>0</v>
      </c>
    </row>
    <row r="807" spans="5:14">
      <c r="E807">
        <f>IF(ISNA(F807),NA(),E521)</f>
        <v>0</v>
      </c>
      <c r="F807">
        <f>IF(OR(F521="",AND(F521=F520,F521=F522)),NA(), F521)</f>
        <v>0</v>
      </c>
      <c r="G807">
        <f>IF(ISNA(H807),NA(),G521)</f>
        <v>0</v>
      </c>
      <c r="H807">
        <f>IF(OR(H521="",AND(H521=H520,H521=H522)),NA(), H521)</f>
        <v>0</v>
      </c>
      <c r="K807">
        <f>IF(ISNA(L807),NA(),K521)</f>
        <v>0</v>
      </c>
      <c r="L807">
        <f>IF(OR(L521="",AND(L521=L520,L521=L522)),NA(), L521)</f>
        <v>0</v>
      </c>
      <c r="M807">
        <f>IF(ISNA(N807),NA(),M521)</f>
        <v>0</v>
      </c>
      <c r="N807">
        <f>IF(OR(N521="",AND(N521=N520,N521=N522)),NA(), N521)</f>
        <v>0</v>
      </c>
    </row>
    <row r="808" spans="5:14">
      <c r="E808">
        <f>IF(ISNA(F808),NA(),E522)</f>
        <v>0</v>
      </c>
      <c r="F808">
        <f>IF(OR(F522="",AND(F522=F521,F522=F523)),NA(), F522)</f>
        <v>0</v>
      </c>
      <c r="G808">
        <f>IF(ISNA(H808),NA(),G522)</f>
        <v>0</v>
      </c>
      <c r="H808">
        <f>IF(OR(H522="",AND(H522=H521,H522=H523)),NA(), H522)</f>
        <v>0</v>
      </c>
      <c r="K808">
        <f>IF(ISNA(L808),NA(),K522)</f>
        <v>0</v>
      </c>
      <c r="L808">
        <f>IF(OR(L522="",AND(L522=L521,L522=L523)),NA(), L522)</f>
        <v>0</v>
      </c>
      <c r="M808">
        <f>IF(ISNA(N808),NA(),M522)</f>
        <v>0</v>
      </c>
      <c r="N808">
        <f>IF(OR(N522="",AND(N522=N521,N522=N523)),NA(), N522)</f>
        <v>0</v>
      </c>
    </row>
    <row r="809" spans="5:14">
      <c r="E809">
        <f>IF(ISNA(F809),NA(),E523)</f>
        <v>0</v>
      </c>
      <c r="F809">
        <f>IF(OR(F523="",AND(F523=F522,F523=F524)),NA(), F523)</f>
        <v>0</v>
      </c>
      <c r="G809">
        <f>IF(ISNA(H809),NA(),G523)</f>
        <v>0</v>
      </c>
      <c r="H809">
        <f>IF(OR(H523="",AND(H523=H522,H523=H524)),NA(), H523)</f>
        <v>0</v>
      </c>
      <c r="K809">
        <f>IF(ISNA(L809),NA(),K523)</f>
        <v>0</v>
      </c>
      <c r="L809">
        <f>IF(OR(L523="",AND(L523=L522,L523=L524)),NA(), L523)</f>
        <v>0</v>
      </c>
      <c r="M809">
        <f>IF(ISNA(N809),NA(),M523)</f>
        <v>0</v>
      </c>
      <c r="N809">
        <f>IF(OR(N523="",AND(N523=N522,N523=N524)),NA(), N523)</f>
        <v>0</v>
      </c>
    </row>
    <row r="810" spans="5:14">
      <c r="E810">
        <f>IF(ISNA(F810),NA(),E524)</f>
        <v>0</v>
      </c>
      <c r="F810">
        <f>IF(OR(F524="",AND(F524=F523,F524=F525)),NA(), F524)</f>
        <v>0</v>
      </c>
      <c r="G810">
        <f>IF(ISNA(H810),NA(),G524)</f>
        <v>0</v>
      </c>
      <c r="H810">
        <f>IF(OR(H524="",AND(H524=H523,H524=H525)),NA(), H524)</f>
        <v>0</v>
      </c>
      <c r="K810">
        <f>IF(ISNA(L810),NA(),K524)</f>
        <v>0</v>
      </c>
      <c r="L810">
        <f>IF(OR(L524="",AND(L524=L523,L524=L525)),NA(), L524)</f>
        <v>0</v>
      </c>
      <c r="M810">
        <f>IF(ISNA(N810),NA(),M524)</f>
        <v>0</v>
      </c>
      <c r="N810">
        <f>IF(OR(N524="",AND(N524=N523,N524=N525)),NA(), N524)</f>
        <v>0</v>
      </c>
    </row>
    <row r="811" spans="5:14">
      <c r="E811">
        <f>IF(ISNA(F811),NA(),E525)</f>
        <v>0</v>
      </c>
      <c r="F811">
        <f>IF(OR(F525="",AND(F525=F524,F525=F526)),NA(), F525)</f>
        <v>0</v>
      </c>
      <c r="G811">
        <f>IF(ISNA(H811),NA(),G525)</f>
        <v>0</v>
      </c>
      <c r="H811">
        <f>IF(OR(H525="",AND(H525=H524,H525=H526)),NA(), H525)</f>
        <v>0</v>
      </c>
      <c r="K811">
        <f>IF(ISNA(L811),NA(),K525)</f>
        <v>0</v>
      </c>
      <c r="L811">
        <f>IF(OR(L525="",AND(L525=L524,L525=L526)),NA(), L525)</f>
        <v>0</v>
      </c>
      <c r="M811">
        <f>IF(ISNA(N811),NA(),M525)</f>
        <v>0</v>
      </c>
      <c r="N811">
        <f>IF(OR(N525="",AND(N525=N524,N525=N526)),NA(), N525)</f>
        <v>0</v>
      </c>
    </row>
    <row r="812" spans="5:14">
      <c r="E812">
        <f>IF(ISNA(F812),NA(),E526)</f>
        <v>0</v>
      </c>
      <c r="F812">
        <f>IF(OR(F526="",AND(F526=F525,F526=F527)),NA(), F526)</f>
        <v>0</v>
      </c>
      <c r="G812">
        <f>IF(ISNA(H812),NA(),G526)</f>
        <v>0</v>
      </c>
      <c r="H812">
        <f>IF(OR(H526="",AND(H526=H525,H526=H527)),NA(), H526)</f>
        <v>0</v>
      </c>
      <c r="K812">
        <f>IF(ISNA(L812),NA(),K526)</f>
        <v>0</v>
      </c>
      <c r="L812">
        <f>IF(OR(L526="",AND(L526=L525,L526=L527)),NA(), L526)</f>
        <v>0</v>
      </c>
      <c r="M812">
        <f>IF(ISNA(N812),NA(),M526)</f>
        <v>0</v>
      </c>
      <c r="N812">
        <f>IF(OR(N526="",AND(N526=N525,N526=N527)),NA(), N526)</f>
        <v>0</v>
      </c>
    </row>
    <row r="813" spans="5:14">
      <c r="E813">
        <f>IF(ISNA(F813),NA(),E527)</f>
        <v>0</v>
      </c>
      <c r="F813">
        <f>IF(OR(F527="",AND(F527=F526,F527=F528)),NA(), F527)</f>
        <v>0</v>
      </c>
      <c r="G813">
        <f>IF(ISNA(H813),NA(),G527)</f>
        <v>0</v>
      </c>
      <c r="H813">
        <f>IF(OR(H527="",AND(H527=H526,H527=H528)),NA(), H527)</f>
        <v>0</v>
      </c>
      <c r="K813">
        <f>IF(ISNA(L813),NA(),K527)</f>
        <v>0</v>
      </c>
      <c r="L813">
        <f>IF(OR(L527="",AND(L527=L526,L527=L528)),NA(), L527)</f>
        <v>0</v>
      </c>
      <c r="M813">
        <f>IF(ISNA(N813),NA(),M527)</f>
        <v>0</v>
      </c>
      <c r="N813">
        <f>IF(OR(N527="",AND(N527=N526,N527=N528)),NA(), N527)</f>
        <v>0</v>
      </c>
    </row>
    <row r="814" spans="5:14">
      <c r="E814">
        <f>IF(ISNA(F814),NA(),E528)</f>
        <v>0</v>
      </c>
      <c r="F814">
        <f>IF(OR(F528="",AND(F528=F527,F528=F529)),NA(), F528)</f>
        <v>0</v>
      </c>
      <c r="G814">
        <f>IF(ISNA(H814),NA(),G528)</f>
        <v>0</v>
      </c>
      <c r="H814">
        <f>IF(OR(H528="",AND(H528=H527,H528=H529)),NA(), H528)</f>
        <v>0</v>
      </c>
      <c r="K814">
        <f>IF(ISNA(L814),NA(),K528)</f>
        <v>0</v>
      </c>
      <c r="L814">
        <f>IF(OR(L528="",AND(L528=L527,L528=L529)),NA(), L528)</f>
        <v>0</v>
      </c>
      <c r="M814">
        <f>IF(ISNA(N814),NA(),M528)</f>
        <v>0</v>
      </c>
      <c r="N814">
        <f>IF(OR(N528="",AND(N528=N527,N528=N529)),NA(), N528)</f>
        <v>0</v>
      </c>
    </row>
    <row r="815" spans="5:14">
      <c r="E815">
        <f>IF(ISNA(F815),NA(),E529)</f>
        <v>0</v>
      </c>
      <c r="F815">
        <f>IF(OR(F529="",AND(F529=F528,F529=F530)),NA(), F529)</f>
        <v>0</v>
      </c>
      <c r="G815">
        <f>IF(ISNA(H815),NA(),G529)</f>
        <v>0</v>
      </c>
      <c r="H815">
        <f>IF(OR(H529="",AND(H529=H528,H529=H530)),NA(), H529)</f>
        <v>0</v>
      </c>
      <c r="K815">
        <f>IF(ISNA(L815),NA(),K529)</f>
        <v>0</v>
      </c>
      <c r="L815">
        <f>IF(OR(L529="",AND(L529=L528,L529=L530)),NA(), L529)</f>
        <v>0</v>
      </c>
      <c r="M815">
        <f>IF(ISNA(N815),NA(),M529)</f>
        <v>0</v>
      </c>
      <c r="N815">
        <f>IF(OR(N529="",AND(N529=N528,N529=N530)),NA(), N529)</f>
        <v>0</v>
      </c>
    </row>
    <row r="816" spans="5:14">
      <c r="E816">
        <f>IF(ISNA(F816),NA(),E530)</f>
        <v>0</v>
      </c>
      <c r="F816">
        <f>IF(OR(F530="",AND(F530=F529,F530=F531)),NA(), F530)</f>
        <v>0</v>
      </c>
      <c r="G816">
        <f>IF(ISNA(H816),NA(),G530)</f>
        <v>0</v>
      </c>
      <c r="H816">
        <f>IF(OR(H530="",AND(H530=H529,H530=H531)),NA(), H530)</f>
        <v>0</v>
      </c>
      <c r="K816">
        <f>IF(ISNA(L816),NA(),K530)</f>
        <v>0</v>
      </c>
      <c r="L816">
        <f>IF(OR(L530="",AND(L530=L529,L530=L531)),NA(), L530)</f>
        <v>0</v>
      </c>
      <c r="M816">
        <f>IF(ISNA(N816),NA(),M530)</f>
        <v>0</v>
      </c>
      <c r="N816">
        <f>IF(OR(N530="",AND(N530=N529,N530=N531)),NA(), N530)</f>
        <v>0</v>
      </c>
    </row>
    <row r="817" spans="5:14">
      <c r="E817">
        <f>IF(ISNA(F817),NA(),E531)</f>
        <v>0</v>
      </c>
      <c r="F817">
        <f>IF(OR(F531="",AND(F531=F530,F531=F532)),NA(), F531)</f>
        <v>0</v>
      </c>
      <c r="G817">
        <f>IF(ISNA(H817),NA(),G531)</f>
        <v>0</v>
      </c>
      <c r="H817">
        <f>IF(OR(H531="",AND(H531=H530,H531=H532)),NA(), H531)</f>
        <v>0</v>
      </c>
      <c r="K817">
        <f>IF(ISNA(L817),NA(),K531)</f>
        <v>0</v>
      </c>
      <c r="L817">
        <f>IF(OR(L531="",AND(L531=L530,L531=L532)),NA(), L531)</f>
        <v>0</v>
      </c>
      <c r="M817">
        <f>IF(ISNA(N817),NA(),M531)</f>
        <v>0</v>
      </c>
      <c r="N817">
        <f>IF(OR(N531="",AND(N531=N530,N531=N532)),NA(), N531)</f>
        <v>0</v>
      </c>
    </row>
    <row r="818" spans="5:14">
      <c r="E818">
        <f>IF(ISNA(F818),NA(),E532)</f>
        <v>0</v>
      </c>
      <c r="F818">
        <f>IF(OR(F532="",AND(F532=F531,F532=F533)),NA(), F532)</f>
        <v>0</v>
      </c>
      <c r="G818">
        <f>IF(ISNA(H818),NA(),G532)</f>
        <v>0</v>
      </c>
      <c r="H818">
        <f>IF(OR(H532="",AND(H532=H531,H532=H533)),NA(), H532)</f>
        <v>0</v>
      </c>
      <c r="K818">
        <f>IF(ISNA(L818),NA(),K532)</f>
        <v>0</v>
      </c>
      <c r="L818">
        <f>IF(OR(L532="",AND(L532=L531,L532=L533)),NA(), L532)</f>
        <v>0</v>
      </c>
      <c r="M818">
        <f>IF(ISNA(N818),NA(),M532)</f>
        <v>0</v>
      </c>
      <c r="N818">
        <f>IF(OR(N532="",AND(N532=N531,N532=N533)),NA(), N532)</f>
        <v>0</v>
      </c>
    </row>
    <row r="819" spans="5:14">
      <c r="E819">
        <f>IF(ISNA(F819),NA(),E533)</f>
        <v>0</v>
      </c>
      <c r="F819">
        <f>IF(OR(F533="",AND(F533=F532,F533=F534)),NA(), F533)</f>
        <v>0</v>
      </c>
      <c r="G819">
        <f>IF(ISNA(H819),NA(),G533)</f>
        <v>0</v>
      </c>
      <c r="H819">
        <f>IF(OR(H533="",AND(H533=H532,H533=H534)),NA(), H533)</f>
        <v>0</v>
      </c>
      <c r="K819">
        <f>IF(ISNA(L819),NA(),K533)</f>
        <v>0</v>
      </c>
      <c r="L819">
        <f>IF(OR(L533="",AND(L533=L532,L533=L534)),NA(), L533)</f>
        <v>0</v>
      </c>
      <c r="M819">
        <f>IF(ISNA(N819),NA(),M533)</f>
        <v>0</v>
      </c>
      <c r="N819">
        <f>IF(OR(N533="",AND(N533=N532,N533=N534)),NA(), N533)</f>
        <v>0</v>
      </c>
    </row>
    <row r="820" spans="5:14">
      <c r="E820">
        <f>IF(ISNA(F820),NA(),E534)</f>
        <v>0</v>
      </c>
      <c r="F820">
        <f>IF(OR(F534="",AND(F534=F533,F534=F535)),NA(), F534)</f>
        <v>0</v>
      </c>
      <c r="G820">
        <f>IF(ISNA(H820),NA(),G534)</f>
        <v>0</v>
      </c>
      <c r="H820">
        <f>IF(OR(H534="",AND(H534=H533,H534=H535)),NA(), H534)</f>
        <v>0</v>
      </c>
      <c r="K820">
        <f>IF(ISNA(L820),NA(),K534)</f>
        <v>0</v>
      </c>
      <c r="L820">
        <f>IF(OR(L534="",AND(L534=L533,L534=L535)),NA(), L534)</f>
        <v>0</v>
      </c>
      <c r="M820">
        <f>IF(ISNA(N820),NA(),M534)</f>
        <v>0</v>
      </c>
      <c r="N820">
        <f>IF(OR(N534="",AND(N534=N533,N534=N535)),NA(), N534)</f>
        <v>0</v>
      </c>
    </row>
    <row r="821" spans="5:14">
      <c r="E821">
        <f>IF(ISNA(F821),NA(),E535)</f>
        <v>0</v>
      </c>
      <c r="F821">
        <f>IF(OR(F535="",AND(F535=F534,F535=F536)),NA(), F535)</f>
        <v>0</v>
      </c>
      <c r="G821">
        <f>IF(ISNA(H821),NA(),G535)</f>
        <v>0</v>
      </c>
      <c r="H821">
        <f>IF(OR(H535="",AND(H535=H534,H535=H536)),NA(), H535)</f>
        <v>0</v>
      </c>
      <c r="K821">
        <f>IF(ISNA(L821),NA(),K535)</f>
        <v>0</v>
      </c>
      <c r="L821">
        <f>IF(OR(L535="",AND(L535=L534,L535=L536)),NA(), L535)</f>
        <v>0</v>
      </c>
      <c r="M821">
        <f>IF(ISNA(N821),NA(),M535)</f>
        <v>0</v>
      </c>
      <c r="N821">
        <f>IF(OR(N535="",AND(N535=N534,N535=N536)),NA(), N535)</f>
        <v>0</v>
      </c>
    </row>
    <row r="822" spans="5:14">
      <c r="E822">
        <f>IF(ISNA(F822),NA(),E536)</f>
        <v>0</v>
      </c>
      <c r="F822">
        <f>IF(OR(F536="",AND(F536=F535,F536=F537)),NA(), F536)</f>
        <v>0</v>
      </c>
      <c r="G822">
        <f>IF(ISNA(H822),NA(),G536)</f>
        <v>0</v>
      </c>
      <c r="H822">
        <f>IF(OR(H536="",AND(H536=H535,H536=H537)),NA(), H536)</f>
        <v>0</v>
      </c>
      <c r="K822">
        <f>IF(ISNA(L822),NA(),K536)</f>
        <v>0</v>
      </c>
      <c r="L822">
        <f>IF(OR(L536="",AND(L536=L535,L536=L537)),NA(), L536)</f>
        <v>0</v>
      </c>
      <c r="M822">
        <f>IF(ISNA(N822),NA(),M536)</f>
        <v>0</v>
      </c>
      <c r="N822">
        <f>IF(OR(N536="",AND(N536=N535,N536=N537)),NA(), N536)</f>
        <v>0</v>
      </c>
    </row>
    <row r="823" spans="5:14">
      <c r="E823">
        <f>IF(ISNA(F823),NA(),E537)</f>
        <v>0</v>
      </c>
      <c r="F823">
        <f>IF(OR(F537="",AND(F537=F536,F537=F538)),NA(), F537)</f>
        <v>0</v>
      </c>
      <c r="G823">
        <f>IF(ISNA(H823),NA(),G537)</f>
        <v>0</v>
      </c>
      <c r="H823">
        <f>IF(OR(H537="",AND(H537=H536,H537=H538)),NA(), H537)</f>
        <v>0</v>
      </c>
      <c r="K823">
        <f>IF(ISNA(L823),NA(),K537)</f>
        <v>0</v>
      </c>
      <c r="L823">
        <f>IF(OR(L537="",AND(L537=L536,L537=L538)),NA(), L537)</f>
        <v>0</v>
      </c>
      <c r="M823">
        <f>IF(ISNA(N823),NA(),M537)</f>
        <v>0</v>
      </c>
      <c r="N823">
        <f>IF(OR(N537="",AND(N537=N536,N537=N538)),NA(), N537)</f>
        <v>0</v>
      </c>
    </row>
    <row r="824" spans="5:14">
      <c r="E824">
        <f>IF(ISNA(F824),NA(),E538)</f>
        <v>0</v>
      </c>
      <c r="F824">
        <f>IF(OR(F538="",AND(F538=F537,F538=F539)),NA(), F538)</f>
        <v>0</v>
      </c>
      <c r="G824">
        <f>IF(ISNA(H824),NA(),G538)</f>
        <v>0</v>
      </c>
      <c r="H824">
        <f>IF(OR(H538="",AND(H538=H537,H538=H539)),NA(), H538)</f>
        <v>0</v>
      </c>
      <c r="K824">
        <f>IF(ISNA(L824),NA(),K538)</f>
        <v>0</v>
      </c>
      <c r="L824">
        <f>IF(OR(L538="",AND(L538=L537,L538=L539)),NA(), L538)</f>
        <v>0</v>
      </c>
      <c r="M824">
        <f>IF(ISNA(N824),NA(),M538)</f>
        <v>0</v>
      </c>
      <c r="N824">
        <f>IF(OR(N538="",AND(N538=N537,N538=N539)),NA(), N538)</f>
        <v>0</v>
      </c>
    </row>
    <row r="825" spans="5:14">
      <c r="E825">
        <f>IF(ISNA(F825),NA(),E539)</f>
        <v>0</v>
      </c>
      <c r="F825">
        <f>IF(OR(F539="",AND(F539=F538,F539=F540)),NA(), F539)</f>
        <v>0</v>
      </c>
      <c r="G825">
        <f>IF(ISNA(H825),NA(),G539)</f>
        <v>0</v>
      </c>
      <c r="H825">
        <f>IF(OR(H539="",AND(H539=H538,H539=H540)),NA(), H539)</f>
        <v>0</v>
      </c>
      <c r="K825">
        <f>IF(ISNA(L825),NA(),K539)</f>
        <v>0</v>
      </c>
      <c r="L825">
        <f>IF(OR(L539="",AND(L539=L538,L539=L540)),NA(), L539)</f>
        <v>0</v>
      </c>
      <c r="M825">
        <f>IF(ISNA(N825),NA(),M539)</f>
        <v>0</v>
      </c>
      <c r="N825">
        <f>IF(OR(N539="",AND(N539=N538,N539=N540)),NA(), N539)</f>
        <v>0</v>
      </c>
    </row>
    <row r="826" spans="5:14">
      <c r="E826">
        <f>IF(ISNA(F826),NA(),E540)</f>
        <v>0</v>
      </c>
      <c r="F826">
        <f>IF(OR(F540="",AND(F540=F539,F540=F541)),NA(), F540)</f>
        <v>0</v>
      </c>
      <c r="G826">
        <f>IF(ISNA(H826),NA(),G540)</f>
        <v>0</v>
      </c>
      <c r="H826">
        <f>IF(OR(H540="",AND(H540=H539,H540=H541)),NA(), H540)</f>
        <v>0</v>
      </c>
      <c r="K826">
        <f>IF(ISNA(L826),NA(),K540)</f>
        <v>0</v>
      </c>
      <c r="L826">
        <f>IF(OR(L540="",AND(L540=L539,L540=L541)),NA(), L540)</f>
        <v>0</v>
      </c>
      <c r="M826">
        <f>IF(ISNA(N826),NA(),M540)</f>
        <v>0</v>
      </c>
      <c r="N826">
        <f>IF(OR(N540="",AND(N540=N539,N540=N541)),NA(), N540)</f>
        <v>0</v>
      </c>
    </row>
    <row r="827" spans="5:14">
      <c r="E827">
        <f>IF(ISNA(F827),NA(),E541)</f>
        <v>0</v>
      </c>
      <c r="F827">
        <f>IF(OR(F541="",AND(F541=F540,F541=F542)),NA(), F541)</f>
        <v>0</v>
      </c>
      <c r="G827">
        <f>IF(ISNA(H827),NA(),G541)</f>
        <v>0</v>
      </c>
      <c r="H827">
        <f>IF(OR(H541="",AND(H541=H540,H541=H542)),NA(), H541)</f>
        <v>0</v>
      </c>
      <c r="K827">
        <f>IF(ISNA(L827),NA(),K541)</f>
        <v>0</v>
      </c>
      <c r="L827">
        <f>IF(OR(L541="",AND(L541=L540,L541=L542)),NA(), L541)</f>
        <v>0</v>
      </c>
      <c r="M827">
        <f>IF(ISNA(N827),NA(),M541)</f>
        <v>0</v>
      </c>
      <c r="N827">
        <f>IF(OR(N541="",AND(N541=N540,N541=N542)),NA(), N541)</f>
        <v>0</v>
      </c>
    </row>
    <row r="828" spans="5:14">
      <c r="E828">
        <f>IF(ISNA(F828),NA(),E542)</f>
        <v>0</v>
      </c>
      <c r="F828">
        <f>IF(OR(F542="",AND(F542=F541,F542=F543)),NA(), F542)</f>
        <v>0</v>
      </c>
      <c r="G828">
        <f>IF(ISNA(H828),NA(),G542)</f>
        <v>0</v>
      </c>
      <c r="H828">
        <f>IF(OR(H542="",AND(H542=H541,H542=H543)),NA(), H542)</f>
        <v>0</v>
      </c>
      <c r="K828">
        <f>IF(ISNA(L828),NA(),K542)</f>
        <v>0</v>
      </c>
      <c r="L828">
        <f>IF(OR(L542="",AND(L542=L541,L542=L543)),NA(), L542)</f>
        <v>0</v>
      </c>
      <c r="M828">
        <f>IF(ISNA(N828),NA(),M542)</f>
        <v>0</v>
      </c>
      <c r="N828">
        <f>IF(OR(N542="",AND(N542=N541,N542=N543)),NA(), N542)</f>
        <v>0</v>
      </c>
    </row>
    <row r="829" spans="5:14">
      <c r="E829">
        <f>IF(ISNA(F829),NA(),E543)</f>
        <v>0</v>
      </c>
      <c r="F829">
        <f>IF(OR(F543="",AND(F543=F542,F543=F544)),NA(), F543)</f>
        <v>0</v>
      </c>
      <c r="G829">
        <f>IF(ISNA(H829),NA(),G543)</f>
        <v>0</v>
      </c>
      <c r="H829">
        <f>IF(OR(H543="",AND(H543=H542,H543=H544)),NA(), H543)</f>
        <v>0</v>
      </c>
      <c r="K829">
        <f>IF(ISNA(L829),NA(),K543)</f>
        <v>0</v>
      </c>
      <c r="L829">
        <f>IF(OR(L543="",AND(L543=L542,L543=L544)),NA(), L543)</f>
        <v>0</v>
      </c>
      <c r="M829">
        <f>IF(ISNA(N829),NA(),M543)</f>
        <v>0</v>
      </c>
      <c r="N829">
        <f>IF(OR(N543="",AND(N543=N542,N543=N544)),NA(), N543)</f>
        <v>0</v>
      </c>
    </row>
    <row r="830" spans="5:14">
      <c r="E830">
        <f>IF(ISNA(F830),NA(),E544)</f>
        <v>0</v>
      </c>
      <c r="F830">
        <f>IF(OR(F544="",AND(F544=F543,F544=F545)),NA(), F544)</f>
        <v>0</v>
      </c>
      <c r="G830">
        <f>IF(ISNA(H830),NA(),G544)</f>
        <v>0</v>
      </c>
      <c r="H830">
        <f>IF(OR(H544="",AND(H544=H543,H544=H545)),NA(), H544)</f>
        <v>0</v>
      </c>
      <c r="K830">
        <f>IF(ISNA(L830),NA(),K544)</f>
        <v>0</v>
      </c>
      <c r="L830">
        <f>IF(OR(L544="",AND(L544=L543,L544=L545)),NA(), L544)</f>
        <v>0</v>
      </c>
      <c r="M830">
        <f>IF(ISNA(N830),NA(),M544)</f>
        <v>0</v>
      </c>
      <c r="N830">
        <f>IF(OR(N544="",AND(N544=N543,N544=N545)),NA(), N544)</f>
        <v>0</v>
      </c>
    </row>
    <row r="831" spans="5:14">
      <c r="E831">
        <f>IF(ISNA(F831),NA(),E545)</f>
        <v>0</v>
      </c>
      <c r="F831">
        <f>IF(OR(F545="",AND(F545=F544,F545=F546)),NA(), F545)</f>
        <v>0</v>
      </c>
      <c r="G831">
        <f>IF(ISNA(H831),NA(),G545)</f>
        <v>0</v>
      </c>
      <c r="H831">
        <f>IF(OR(H545="",AND(H545=H544,H545=H546)),NA(), H545)</f>
        <v>0</v>
      </c>
      <c r="K831">
        <f>IF(ISNA(L831),NA(),K545)</f>
        <v>0</v>
      </c>
      <c r="L831">
        <f>IF(OR(L545="",AND(L545=L544,L545=L546)),NA(), L545)</f>
        <v>0</v>
      </c>
      <c r="M831">
        <f>IF(ISNA(N831),NA(),M545)</f>
        <v>0</v>
      </c>
      <c r="N831">
        <f>IF(OR(N545="",AND(N545=N544,N545=N546)),NA(), N545)</f>
        <v>0</v>
      </c>
    </row>
    <row r="832" spans="5:14">
      <c r="E832">
        <f>IF(ISNA(F832),NA(),E546)</f>
        <v>0</v>
      </c>
      <c r="F832">
        <f>IF(OR(F546="",AND(F546=F545,F546=F547)),NA(), F546)</f>
        <v>0</v>
      </c>
      <c r="G832">
        <f>IF(ISNA(H832),NA(),G546)</f>
        <v>0</v>
      </c>
      <c r="H832">
        <f>IF(OR(H546="",AND(H546=H545,H546=H547)),NA(), H546)</f>
        <v>0</v>
      </c>
      <c r="K832">
        <f>IF(ISNA(L832),NA(),K546)</f>
        <v>0</v>
      </c>
      <c r="L832">
        <f>IF(OR(L546="",AND(L546=L545,L546=L547)),NA(), L546)</f>
        <v>0</v>
      </c>
      <c r="M832">
        <f>IF(ISNA(N832),NA(),M546)</f>
        <v>0</v>
      </c>
      <c r="N832">
        <f>IF(OR(N546="",AND(N546=N545,N546=N547)),NA(), N546)</f>
        <v>0</v>
      </c>
    </row>
    <row r="833" spans="5:14">
      <c r="E833">
        <f>IF(ISNA(F833),NA(),E547)</f>
        <v>0</v>
      </c>
      <c r="F833">
        <f>IF(OR(F547="",AND(F547=F546,F547=F548)),NA(), F547)</f>
        <v>0</v>
      </c>
      <c r="G833">
        <f>IF(ISNA(H833),NA(),G547)</f>
        <v>0</v>
      </c>
      <c r="H833">
        <f>IF(OR(H547="",AND(H547=H546,H547=H548)),NA(), H547)</f>
        <v>0</v>
      </c>
      <c r="K833">
        <f>IF(ISNA(L833),NA(),K547)</f>
        <v>0</v>
      </c>
      <c r="L833">
        <f>IF(OR(L547="",AND(L547=L546,L547=L548)),NA(), L547)</f>
        <v>0</v>
      </c>
      <c r="M833">
        <f>IF(ISNA(N833),NA(),M547)</f>
        <v>0</v>
      </c>
      <c r="N833">
        <f>IF(OR(N547="",AND(N547=N546,N547=N548)),NA(), N547)</f>
        <v>0</v>
      </c>
    </row>
    <row r="834" spans="5:14">
      <c r="E834">
        <f>IF(ISNA(F834),NA(),E548)</f>
        <v>0</v>
      </c>
      <c r="F834">
        <f>IF(OR(F548="",AND(F548=F547,F548=F549)),NA(), F548)</f>
        <v>0</v>
      </c>
      <c r="G834">
        <f>IF(ISNA(H834),NA(),G548)</f>
        <v>0</v>
      </c>
      <c r="H834">
        <f>IF(OR(H548="",AND(H548=H547,H548=H549)),NA(), H548)</f>
        <v>0</v>
      </c>
      <c r="K834">
        <f>IF(ISNA(L834),NA(),K548)</f>
        <v>0</v>
      </c>
      <c r="L834">
        <f>IF(OR(L548="",AND(L548=L547,L548=L549)),NA(), L548)</f>
        <v>0</v>
      </c>
      <c r="M834">
        <f>IF(ISNA(N834),NA(),M548)</f>
        <v>0</v>
      </c>
      <c r="N834">
        <f>IF(OR(N548="",AND(N548=N547,N548=N549)),NA(), N548)</f>
        <v>0</v>
      </c>
    </row>
    <row r="835" spans="5:14">
      <c r="E835">
        <f>IF(ISNA(F835),NA(),E549)</f>
        <v>0</v>
      </c>
      <c r="F835">
        <f>IF(OR(F549="",AND(F549=F548,F549=F550)),NA(), F549)</f>
        <v>0</v>
      </c>
      <c r="G835">
        <f>IF(ISNA(H835),NA(),G549)</f>
        <v>0</v>
      </c>
      <c r="H835">
        <f>IF(OR(H549="",AND(H549=H548,H549=H550)),NA(), H549)</f>
        <v>0</v>
      </c>
      <c r="K835">
        <f>IF(ISNA(L835),NA(),K549)</f>
        <v>0</v>
      </c>
      <c r="L835">
        <f>IF(OR(L549="",AND(L549=L548,L549=L550)),NA(), L549)</f>
        <v>0</v>
      </c>
      <c r="M835">
        <f>IF(ISNA(N835),NA(),M549)</f>
        <v>0</v>
      </c>
      <c r="N835">
        <f>IF(OR(N549="",AND(N549=N548,N549=N550)),NA(), N549)</f>
        <v>0</v>
      </c>
    </row>
    <row r="836" spans="5:14">
      <c r="E836">
        <f>IF(ISNA(F836),NA(),E550)</f>
        <v>0</v>
      </c>
      <c r="F836">
        <f>IF(OR(F550="",AND(F550=F549,F550=F551)),NA(), F550)</f>
        <v>0</v>
      </c>
      <c r="G836">
        <f>IF(ISNA(H836),NA(),G550)</f>
        <v>0</v>
      </c>
      <c r="H836">
        <f>IF(OR(H550="",AND(H550=H549,H550=H551)),NA(), H550)</f>
        <v>0</v>
      </c>
      <c r="K836">
        <f>IF(ISNA(L836),NA(),K550)</f>
        <v>0</v>
      </c>
      <c r="L836">
        <f>IF(OR(L550="",AND(L550=L549,L550=L551)),NA(), L550)</f>
        <v>0</v>
      </c>
      <c r="M836">
        <f>IF(ISNA(N836),NA(),M550)</f>
        <v>0</v>
      </c>
      <c r="N836">
        <f>IF(OR(N550="",AND(N550=N549,N550=N551)),NA(), N550)</f>
        <v>0</v>
      </c>
    </row>
    <row r="837" spans="5:14">
      <c r="E837">
        <f>IF(ISNA(F837),NA(),E551)</f>
        <v>0</v>
      </c>
      <c r="F837">
        <f>IF(OR(F551="",AND(F551=F550,F551=F552)),NA(), F551)</f>
        <v>0</v>
      </c>
      <c r="G837">
        <f>IF(ISNA(H837),NA(),G551)</f>
        <v>0</v>
      </c>
      <c r="H837">
        <f>IF(OR(H551="",AND(H551=H550,H551=H552)),NA(), H551)</f>
        <v>0</v>
      </c>
      <c r="K837">
        <f>IF(ISNA(L837),NA(),K551)</f>
        <v>0</v>
      </c>
      <c r="L837">
        <f>IF(OR(L551="",AND(L551=L550,L551=L552)),NA(), L551)</f>
        <v>0</v>
      </c>
      <c r="M837">
        <f>IF(ISNA(N837),NA(),M551)</f>
        <v>0</v>
      </c>
      <c r="N837">
        <f>IF(OR(N551="",AND(N551=N550,N551=N552)),NA(), N551)</f>
        <v>0</v>
      </c>
    </row>
    <row r="838" spans="5:14">
      <c r="E838">
        <f>IF(ISNA(F838),NA(),E552)</f>
        <v>0</v>
      </c>
      <c r="F838">
        <f>IF(OR(F552="",AND(F552=F551,F552=F553)),NA(), F552)</f>
        <v>0</v>
      </c>
      <c r="G838">
        <f>IF(ISNA(H838),NA(),G552)</f>
        <v>0</v>
      </c>
      <c r="H838">
        <f>IF(OR(H552="",AND(H552=H551,H552=H553)),NA(), H552)</f>
        <v>0</v>
      </c>
      <c r="K838">
        <f>IF(ISNA(L838),NA(),K552)</f>
        <v>0</v>
      </c>
      <c r="L838">
        <f>IF(OR(L552="",AND(L552=L551,L552=L553)),NA(), L552)</f>
        <v>0</v>
      </c>
      <c r="M838">
        <f>IF(ISNA(N838),NA(),M552)</f>
        <v>0</v>
      </c>
      <c r="N838">
        <f>IF(OR(N552="",AND(N552=N551,N552=N553)),NA(), N552)</f>
        <v>0</v>
      </c>
    </row>
    <row r="839" spans="5:14">
      <c r="E839">
        <f>IF(ISNA(F839),NA(),E553)</f>
        <v>0</v>
      </c>
      <c r="F839">
        <f>IF(OR(F553="",AND(F553=F552,F553=F554)),NA(), F553)</f>
        <v>0</v>
      </c>
      <c r="G839">
        <f>IF(ISNA(H839),NA(),G553)</f>
        <v>0</v>
      </c>
      <c r="H839">
        <f>IF(OR(H553="",AND(H553=H552,H553=H554)),NA(), H553)</f>
        <v>0</v>
      </c>
      <c r="K839">
        <f>IF(ISNA(L839),NA(),K553)</f>
        <v>0</v>
      </c>
      <c r="L839">
        <f>IF(OR(L553="",AND(L553=L552,L553=L554)),NA(), L553)</f>
        <v>0</v>
      </c>
      <c r="M839">
        <f>IF(ISNA(N839),NA(),M553)</f>
        <v>0</v>
      </c>
      <c r="N839">
        <f>IF(OR(N553="",AND(N553=N552,N553=N554)),NA(), N553)</f>
        <v>0</v>
      </c>
    </row>
    <row r="840" spans="5:14">
      <c r="E840">
        <f>IF(ISNA(F840),NA(),E554)</f>
        <v>0</v>
      </c>
      <c r="F840">
        <f>IF(OR(F554="",AND(F554=F553,F554=F555)),NA(), F554)</f>
        <v>0</v>
      </c>
      <c r="G840">
        <f>IF(ISNA(H840),NA(),G554)</f>
        <v>0</v>
      </c>
      <c r="H840">
        <f>IF(OR(H554="",AND(H554=H553,H554=H555)),NA(), H554)</f>
        <v>0</v>
      </c>
      <c r="K840">
        <f>IF(ISNA(L840),NA(),K554)</f>
        <v>0</v>
      </c>
      <c r="L840">
        <f>IF(OR(L554="",AND(L554=L553,L554=L555)),NA(), L554)</f>
        <v>0</v>
      </c>
      <c r="M840">
        <f>IF(ISNA(N840),NA(),M554)</f>
        <v>0</v>
      </c>
      <c r="N840">
        <f>IF(OR(N554="",AND(N554=N553,N554=N555)),NA(), N554)</f>
        <v>0</v>
      </c>
    </row>
    <row r="841" spans="5:14">
      <c r="E841">
        <f>IF(ISNA(F841),NA(),E555)</f>
        <v>0</v>
      </c>
      <c r="F841">
        <f>IF(OR(F555="",AND(F555=F554,F555=F556)),NA(), F555)</f>
        <v>0</v>
      </c>
      <c r="G841">
        <f>IF(ISNA(H841),NA(),G555)</f>
        <v>0</v>
      </c>
      <c r="H841">
        <f>IF(OR(H555="",AND(H555=H554,H555=H556)),NA(), H555)</f>
        <v>0</v>
      </c>
      <c r="K841">
        <f>IF(ISNA(L841),NA(),K555)</f>
        <v>0</v>
      </c>
      <c r="L841">
        <f>IF(OR(L555="",AND(L555=L554,L555=L556)),NA(), L555)</f>
        <v>0</v>
      </c>
      <c r="M841">
        <f>IF(ISNA(N841),NA(),M555)</f>
        <v>0</v>
      </c>
      <c r="N841">
        <f>IF(OR(N555="",AND(N555=N554,N555=N556)),NA(), N555)</f>
        <v>0</v>
      </c>
    </row>
    <row r="842" spans="5:14">
      <c r="E842">
        <f>IF(ISNA(F842),NA(),E556)</f>
        <v>0</v>
      </c>
      <c r="F842">
        <f>IF(OR(F556="",AND(F556=F555,F556=F557)),NA(), F556)</f>
        <v>0</v>
      </c>
      <c r="G842">
        <f>IF(ISNA(H842),NA(),G556)</f>
        <v>0</v>
      </c>
      <c r="H842">
        <f>IF(OR(H556="",AND(H556=H555,H556=H557)),NA(), H556)</f>
        <v>0</v>
      </c>
      <c r="K842">
        <f>IF(ISNA(L842),NA(),K556)</f>
        <v>0</v>
      </c>
      <c r="L842">
        <f>IF(OR(L556="",AND(L556=L555,L556=L557)),NA(), L556)</f>
        <v>0</v>
      </c>
      <c r="M842">
        <f>IF(ISNA(N842),NA(),M556)</f>
        <v>0</v>
      </c>
      <c r="N842">
        <f>IF(OR(N556="",AND(N556=N555,N556=N557)),NA(), N556)</f>
        <v>0</v>
      </c>
    </row>
    <row r="843" spans="5:14">
      <c r="E843">
        <f>IF(ISNA(F843),NA(),E557)</f>
        <v>0</v>
      </c>
      <c r="F843">
        <f>IF(OR(F557="",AND(F557=F556,F557=F558)),NA(), F557)</f>
        <v>0</v>
      </c>
      <c r="G843">
        <f>IF(ISNA(H843),NA(),G557)</f>
        <v>0</v>
      </c>
      <c r="H843">
        <f>IF(OR(H557="",AND(H557=H556,H557=H558)),NA(), H557)</f>
        <v>0</v>
      </c>
      <c r="K843">
        <f>IF(ISNA(L843),NA(),K557)</f>
        <v>0</v>
      </c>
      <c r="L843">
        <f>IF(OR(L557="",AND(L557=L556,L557=L558)),NA(), L557)</f>
        <v>0</v>
      </c>
      <c r="M843">
        <f>IF(ISNA(N843),NA(),M557)</f>
        <v>0</v>
      </c>
      <c r="N843">
        <f>IF(OR(N557="",AND(N557=N556,N557=N558)),NA(), N557)</f>
        <v>0</v>
      </c>
    </row>
    <row r="844" spans="5:14">
      <c r="E844">
        <f>IF(ISNA(F844),NA(),E558)</f>
        <v>0</v>
      </c>
      <c r="F844">
        <f>IF(OR(F558="",AND(F558=F557,F558=F559)),NA(), F558)</f>
        <v>0</v>
      </c>
      <c r="G844">
        <f>IF(ISNA(H844),NA(),G558)</f>
        <v>0</v>
      </c>
      <c r="H844">
        <f>IF(OR(H558="",AND(H558=H557,H558=H559)),NA(), H558)</f>
        <v>0</v>
      </c>
      <c r="K844">
        <f>IF(ISNA(L844),NA(),K558)</f>
        <v>0</v>
      </c>
      <c r="L844">
        <f>IF(OR(L558="",AND(L558=L557,L558=L559)),NA(), L558)</f>
        <v>0</v>
      </c>
      <c r="M844">
        <f>IF(ISNA(N844),NA(),M558)</f>
        <v>0</v>
      </c>
      <c r="N844">
        <f>IF(OR(N558="",AND(N558=N557,N558=N559)),NA(), N558)</f>
        <v>0</v>
      </c>
    </row>
    <row r="845" spans="5:14">
      <c r="E845">
        <f>IF(ISNA(F845),NA(),E559)</f>
        <v>0</v>
      </c>
      <c r="F845">
        <f>IF(OR(F559="",AND(F559=F558,F559=F560)),NA(), F559)</f>
        <v>0</v>
      </c>
      <c r="G845">
        <f>IF(ISNA(H845),NA(),G559)</f>
        <v>0</v>
      </c>
      <c r="H845">
        <f>IF(OR(H559="",AND(H559=H558,H559=H560)),NA(), H559)</f>
        <v>0</v>
      </c>
      <c r="K845">
        <f>IF(ISNA(L845),NA(),K559)</f>
        <v>0</v>
      </c>
      <c r="L845">
        <f>IF(OR(L559="",AND(L559=L558,L559=L560)),NA(), L559)</f>
        <v>0</v>
      </c>
      <c r="M845">
        <f>IF(ISNA(N845),NA(),M559)</f>
        <v>0</v>
      </c>
      <c r="N845">
        <f>IF(OR(N559="",AND(N559=N558,N559=N560)),NA(), N559)</f>
        <v>0</v>
      </c>
    </row>
    <row r="846" spans="5:14">
      <c r="E846">
        <f>IF(ISNA(F846),NA(),E560)</f>
        <v>0</v>
      </c>
      <c r="F846">
        <f>IF(OR(F560="",AND(F560=F559,F560=F561)),NA(), F560)</f>
        <v>0</v>
      </c>
      <c r="G846">
        <f>IF(ISNA(H846),NA(),G560)</f>
        <v>0</v>
      </c>
      <c r="H846">
        <f>IF(OR(H560="",AND(H560=H559,H560=H561)),NA(), H560)</f>
        <v>0</v>
      </c>
      <c r="K846">
        <f>IF(ISNA(L846),NA(),K560)</f>
        <v>0</v>
      </c>
      <c r="L846">
        <f>IF(OR(L560="",AND(L560=L559,L560=L561)),NA(), L560)</f>
        <v>0</v>
      </c>
      <c r="M846">
        <f>IF(ISNA(N846),NA(),M560)</f>
        <v>0</v>
      </c>
      <c r="N846">
        <f>IF(OR(N560="",AND(N560=N559,N560=N561)),NA(), N560)</f>
        <v>0</v>
      </c>
    </row>
    <row r="847" spans="5:14">
      <c r="E847">
        <f>IF(ISNA(F847),NA(),E561)</f>
        <v>0</v>
      </c>
      <c r="F847">
        <f>IF(OR(F561="",AND(F561=F560,F561=F562)),NA(), F561)</f>
        <v>0</v>
      </c>
      <c r="G847">
        <f>IF(ISNA(H847),NA(),G561)</f>
        <v>0</v>
      </c>
      <c r="H847">
        <f>IF(OR(H561="",AND(H561=H560,H561=H562)),NA(), H561)</f>
        <v>0</v>
      </c>
      <c r="K847">
        <f>IF(ISNA(L847),NA(),K561)</f>
        <v>0</v>
      </c>
      <c r="L847">
        <f>IF(OR(L561="",AND(L561=L560,L561=L562)),NA(), L561)</f>
        <v>0</v>
      </c>
      <c r="M847">
        <f>IF(ISNA(N847),NA(),M561)</f>
        <v>0</v>
      </c>
      <c r="N847">
        <f>IF(OR(N561="",AND(N561=N560,N561=N562)),NA(), N561)</f>
        <v>0</v>
      </c>
    </row>
    <row r="848" spans="5:14">
      <c r="E848">
        <f>IF(ISNA(F848),NA(),E562)</f>
        <v>0</v>
      </c>
      <c r="F848">
        <f>IF(OR(F562="",AND(F562=F561,F562=F563)),NA(), F562)</f>
        <v>0</v>
      </c>
      <c r="G848">
        <f>IF(ISNA(H848),NA(),G562)</f>
        <v>0</v>
      </c>
      <c r="H848">
        <f>IF(OR(H562="",AND(H562=H561,H562=H563)),NA(), H562)</f>
        <v>0</v>
      </c>
      <c r="K848">
        <f>IF(ISNA(L848),NA(),K562)</f>
        <v>0</v>
      </c>
      <c r="L848">
        <f>IF(OR(L562="",AND(L562=L561,L562=L563)),NA(), L562)</f>
        <v>0</v>
      </c>
      <c r="M848">
        <f>IF(ISNA(N848),NA(),M562)</f>
        <v>0</v>
      </c>
      <c r="N848">
        <f>IF(OR(N562="",AND(N562=N561,N562=N563)),NA(), N562)</f>
        <v>0</v>
      </c>
    </row>
    <row r="849" spans="5:14">
      <c r="E849">
        <f>IF(ISNA(F849),NA(),E563)</f>
        <v>0</v>
      </c>
      <c r="F849">
        <f>IF(OR(F563="",AND(F563=F562,F563=F564)),NA(), F563)</f>
        <v>0</v>
      </c>
      <c r="G849">
        <f>IF(ISNA(H849),NA(),G563)</f>
        <v>0</v>
      </c>
      <c r="H849">
        <f>IF(OR(H563="",AND(H563=H562,H563=H564)),NA(), H563)</f>
        <v>0</v>
      </c>
      <c r="K849">
        <f>IF(ISNA(L849),NA(),K563)</f>
        <v>0</v>
      </c>
      <c r="L849">
        <f>IF(OR(L563="",AND(L563=L562,L563=L564)),NA(), L563)</f>
        <v>0</v>
      </c>
      <c r="M849">
        <f>IF(ISNA(N849),NA(),M563)</f>
        <v>0</v>
      </c>
      <c r="N849">
        <f>IF(OR(N563="",AND(N563=N562,N563=N564)),NA(), N563)</f>
        <v>0</v>
      </c>
    </row>
    <row r="850" spans="5:14">
      <c r="E850">
        <f>IF(ISNA(F850),NA(),E564)</f>
        <v>0</v>
      </c>
      <c r="F850">
        <f>IF(OR(F564="",AND(F564=F563,F564=F565)),NA(), F564)</f>
        <v>0</v>
      </c>
      <c r="G850">
        <f>IF(ISNA(H850),NA(),G564)</f>
        <v>0</v>
      </c>
      <c r="H850">
        <f>IF(OR(H564="",AND(H564=H563,H564=H565)),NA(), H564)</f>
        <v>0</v>
      </c>
      <c r="K850">
        <f>IF(ISNA(L850),NA(),K564)</f>
        <v>0</v>
      </c>
      <c r="L850">
        <f>IF(OR(L564="",AND(L564=L563,L564=L565)),NA(), L564)</f>
        <v>0</v>
      </c>
      <c r="M850">
        <f>IF(ISNA(N850),NA(),M564)</f>
        <v>0</v>
      </c>
      <c r="N850">
        <f>IF(OR(N564="",AND(N564=N563,N564=N565)),NA(), N564)</f>
        <v>0</v>
      </c>
    </row>
    <row r="851" spans="5:14">
      <c r="E851">
        <f>IF(ISNA(F851),NA(),E565)</f>
        <v>0</v>
      </c>
      <c r="F851">
        <f>IF(OR(F565="",AND(F565=F564,F565=F566)),NA(), F565)</f>
        <v>0</v>
      </c>
      <c r="G851">
        <f>IF(ISNA(H851),NA(),G565)</f>
        <v>0</v>
      </c>
      <c r="H851">
        <f>IF(OR(H565="",AND(H565=H564,H565=H566)),NA(), H565)</f>
        <v>0</v>
      </c>
      <c r="K851">
        <f>IF(ISNA(L851),NA(),K565)</f>
        <v>0</v>
      </c>
      <c r="L851">
        <f>IF(OR(L565="",AND(L565=L564,L565=L566)),NA(), L565)</f>
        <v>0</v>
      </c>
      <c r="M851">
        <f>IF(ISNA(N851),NA(),M565)</f>
        <v>0</v>
      </c>
      <c r="N851">
        <f>IF(OR(N565="",AND(N565=N564,N565=N566)),NA(), N565)</f>
        <v>0</v>
      </c>
    </row>
    <row r="852" spans="5:14">
      <c r="E852">
        <f>IF(ISNA(F852),NA(),E566)</f>
        <v>0</v>
      </c>
      <c r="F852">
        <f>IF(OR(F566="",AND(F566=F565,F566=F567)),NA(), F566)</f>
        <v>0</v>
      </c>
      <c r="G852">
        <f>IF(ISNA(H852),NA(),G566)</f>
        <v>0</v>
      </c>
      <c r="H852">
        <f>IF(OR(H566="",AND(H566=H565,H566=H567)),NA(), H566)</f>
        <v>0</v>
      </c>
      <c r="K852">
        <f>IF(ISNA(L852),NA(),K566)</f>
        <v>0</v>
      </c>
      <c r="L852">
        <f>IF(OR(L566="",AND(L566=L565,L566=L567)),NA(), L566)</f>
        <v>0</v>
      </c>
      <c r="M852">
        <f>IF(ISNA(N852),NA(),M566)</f>
        <v>0</v>
      </c>
      <c r="N852">
        <f>IF(OR(N566="",AND(N566=N565,N566=N567)),NA(), N566)</f>
        <v>0</v>
      </c>
    </row>
    <row r="853" spans="5:14">
      <c r="E853">
        <f>IF(ISNA(F853),NA(),E567)</f>
        <v>0</v>
      </c>
      <c r="F853">
        <f>IF(OR(F567="",AND(F567=F566,F567=F568)),NA(), F567)</f>
        <v>0</v>
      </c>
      <c r="G853">
        <f>IF(ISNA(H853),NA(),G567)</f>
        <v>0</v>
      </c>
      <c r="H853">
        <f>IF(OR(H567="",AND(H567=H566,H567=H568)),NA(), H567)</f>
        <v>0</v>
      </c>
      <c r="K853">
        <f>IF(ISNA(L853),NA(),K567)</f>
        <v>0</v>
      </c>
      <c r="L853">
        <f>IF(OR(L567="",AND(L567=L566,L567=L568)),NA(), L567)</f>
        <v>0</v>
      </c>
      <c r="M853">
        <f>IF(ISNA(N853),NA(),M567)</f>
        <v>0</v>
      </c>
      <c r="N853">
        <f>IF(OR(N567="",AND(N567=N566,N567=N568)),NA(), N567)</f>
        <v>0</v>
      </c>
    </row>
    <row r="854" spans="5:14">
      <c r="E854">
        <f>IF(ISNA(F854),NA(),E568)</f>
        <v>0</v>
      </c>
      <c r="F854">
        <f>IF(OR(F568="",AND(F568=F567,F568=F569)),NA(), F568)</f>
        <v>0</v>
      </c>
      <c r="G854">
        <f>IF(ISNA(H854),NA(),G568)</f>
        <v>0</v>
      </c>
      <c r="H854">
        <f>IF(OR(H568="",AND(H568=H567,H568=H569)),NA(), H568)</f>
        <v>0</v>
      </c>
      <c r="K854">
        <f>IF(ISNA(L854),NA(),K568)</f>
        <v>0</v>
      </c>
      <c r="L854">
        <f>IF(OR(L568="",AND(L568=L567,L568=L569)),NA(), L568)</f>
        <v>0</v>
      </c>
      <c r="M854">
        <f>IF(ISNA(N854),NA(),M568)</f>
        <v>0</v>
      </c>
      <c r="N854">
        <f>IF(OR(N568="",AND(N568=N567,N568=N569)),NA(), N568)</f>
        <v>0</v>
      </c>
    </row>
    <row r="855" spans="5:14">
      <c r="E855">
        <f>IF(ISNA(F855),NA(),E569)</f>
        <v>0</v>
      </c>
      <c r="F855">
        <f>IF(OR(F569="",AND(F569=F568,F569=F570)),NA(), F569)</f>
        <v>0</v>
      </c>
      <c r="G855">
        <f>IF(ISNA(H855),NA(),G569)</f>
        <v>0</v>
      </c>
      <c r="H855">
        <f>IF(OR(H569="",AND(H569=H568,H569=H570)),NA(), H569)</f>
        <v>0</v>
      </c>
      <c r="K855">
        <f>IF(ISNA(L855),NA(),K569)</f>
        <v>0</v>
      </c>
      <c r="L855">
        <f>IF(OR(L569="",AND(L569=L568,L569=L570)),NA(), L569)</f>
        <v>0</v>
      </c>
      <c r="M855">
        <f>IF(ISNA(N855),NA(),M569)</f>
        <v>0</v>
      </c>
      <c r="N855">
        <f>IF(OR(N569="",AND(N569=N568,N569=N570)),NA(), N569)</f>
        <v>0</v>
      </c>
    </row>
    <row r="856" spans="5:14">
      <c r="E856">
        <f>IF(ISNA(F856),NA(),E570)</f>
        <v>0</v>
      </c>
      <c r="F856">
        <f>IF(OR(F570="",AND(F570=F569,F570=F571)),NA(), F570)</f>
        <v>0</v>
      </c>
      <c r="G856">
        <f>IF(ISNA(H856),NA(),G570)</f>
        <v>0</v>
      </c>
      <c r="H856">
        <f>IF(OR(H570="",AND(H570=H569,H570=H571)),NA(), H570)</f>
        <v>0</v>
      </c>
      <c r="K856">
        <f>IF(ISNA(L856),NA(),K570)</f>
        <v>0</v>
      </c>
      <c r="L856">
        <f>IF(OR(L570="",AND(L570=L569,L570=L571)),NA(), L570)</f>
        <v>0</v>
      </c>
      <c r="M856">
        <f>IF(ISNA(N856),NA(),M570)</f>
        <v>0</v>
      </c>
      <c r="N856">
        <f>IF(OR(N570="",AND(N570=N569,N570=N571)),NA(), N570)</f>
        <v>0</v>
      </c>
    </row>
    <row r="857" spans="5:14">
      <c r="E857">
        <f>IF(ISNA(F857),NA(),E571)</f>
        <v>0</v>
      </c>
      <c r="F857">
        <f>IF(OR(F571="",AND(F571=F570,F571=F572)),NA(), F571)</f>
        <v>0</v>
      </c>
      <c r="G857">
        <f>IF(ISNA(H857),NA(),G571)</f>
        <v>0</v>
      </c>
      <c r="H857">
        <f>IF(OR(H571="",AND(H571=H570,H571=H572)),NA(), H571)</f>
        <v>0</v>
      </c>
      <c r="K857">
        <f>IF(ISNA(L857),NA(),K571)</f>
        <v>0</v>
      </c>
      <c r="L857">
        <f>IF(OR(L571="",AND(L571=L570,L571=L572)),NA(), L571)</f>
        <v>0</v>
      </c>
      <c r="M857">
        <f>IF(ISNA(N857),NA(),M571)</f>
        <v>0</v>
      </c>
      <c r="N857">
        <f>IF(OR(N571="",AND(N571=N570,N571=N572)),NA(), N571)</f>
        <v>0</v>
      </c>
    </row>
    <row r="858" spans="5:14">
      <c r="E858">
        <f>IF(ISNA(F858),NA(),E572)</f>
        <v>0</v>
      </c>
      <c r="F858">
        <f>IF(OR(F572="",AND(F572=F571,F572=F573)),NA(), F572)</f>
        <v>0</v>
      </c>
      <c r="G858">
        <f>IF(ISNA(H858),NA(),G572)</f>
        <v>0</v>
      </c>
      <c r="H858">
        <f>IF(OR(H572="",AND(H572=H571,H572=H573)),NA(), H572)</f>
        <v>0</v>
      </c>
      <c r="K858">
        <f>IF(ISNA(L858),NA(),K572)</f>
        <v>0</v>
      </c>
      <c r="L858">
        <f>IF(OR(L572="",AND(L572=L571,L572=L573)),NA(), L572)</f>
        <v>0</v>
      </c>
      <c r="M858">
        <f>IF(ISNA(N858),NA(),M572)</f>
        <v>0</v>
      </c>
      <c r="N858">
        <f>IF(OR(N572="",AND(N572=N571,N572=N573)),NA(), N572)</f>
        <v>0</v>
      </c>
    </row>
    <row r="859" spans="5:14">
      <c r="E859">
        <f>IF(ISNA(F859),NA(),E573)</f>
        <v>0</v>
      </c>
      <c r="F859">
        <f>IF(OR(F573="",AND(F573=F572,F573=F574)),NA(), F573)</f>
        <v>0</v>
      </c>
      <c r="G859">
        <f>IF(ISNA(H859),NA(),G573)</f>
        <v>0</v>
      </c>
      <c r="H859">
        <f>IF(OR(H573="",AND(H573=H572,H573=H574)),NA(), H573)</f>
        <v>0</v>
      </c>
      <c r="K859">
        <f>IF(ISNA(L859),NA(),K573)</f>
        <v>0</v>
      </c>
      <c r="L859">
        <f>IF(OR(L573="",AND(L573=L572,L573=L574)),NA(), L573)</f>
        <v>0</v>
      </c>
      <c r="M859">
        <f>IF(ISNA(N859),NA(),M573)</f>
        <v>0</v>
      </c>
      <c r="N859">
        <f>IF(OR(N573="",AND(N573=N572,N573=N574)),NA(), N573)</f>
        <v>0</v>
      </c>
    </row>
    <row r="860" spans="5:14">
      <c r="E860">
        <f>IF(ISNA(F860),NA(),E574)</f>
        <v>0</v>
      </c>
      <c r="F860">
        <f>IF(OR(F574="",AND(F574=F573,F574=F575)),NA(), F574)</f>
        <v>0</v>
      </c>
      <c r="G860">
        <f>IF(ISNA(H860),NA(),G574)</f>
        <v>0</v>
      </c>
      <c r="H860">
        <f>IF(OR(H574="",AND(H574=H573,H574=H575)),NA(), H574)</f>
        <v>0</v>
      </c>
      <c r="K860">
        <f>IF(ISNA(L860),NA(),K574)</f>
        <v>0</v>
      </c>
      <c r="L860">
        <f>IF(OR(L574="",AND(L574=L573,L574=L575)),NA(), L574)</f>
        <v>0</v>
      </c>
      <c r="M860">
        <f>IF(ISNA(N860),NA(),M574)</f>
        <v>0</v>
      </c>
      <c r="N860">
        <f>IF(OR(N574="",AND(N574=N573,N574=N575)),NA(), N574)</f>
        <v>0</v>
      </c>
    </row>
    <row r="861" spans="5:14">
      <c r="E861">
        <f>IF(ISNA(F861),NA(),E575)</f>
        <v>0</v>
      </c>
      <c r="F861">
        <f>IF(OR(F575="",AND(F575=F574,F575=F576)),NA(), F575)</f>
        <v>0</v>
      </c>
      <c r="G861">
        <f>IF(ISNA(H861),NA(),G575)</f>
        <v>0</v>
      </c>
      <c r="H861">
        <f>IF(OR(H575="",AND(H575=H574,H575=H576)),NA(), H575)</f>
        <v>0</v>
      </c>
      <c r="K861">
        <f>IF(ISNA(L861),NA(),K575)</f>
        <v>0</v>
      </c>
      <c r="L861">
        <f>IF(OR(L575="",AND(L575=L574,L575=L576)),NA(), L575)</f>
        <v>0</v>
      </c>
      <c r="M861">
        <f>IF(ISNA(N861),NA(),M575)</f>
        <v>0</v>
      </c>
      <c r="N861">
        <f>IF(OR(N575="",AND(N575=N574,N575=N576)),NA(), N575)</f>
        <v>0</v>
      </c>
    </row>
    <row r="862" spans="5:14">
      <c r="E862">
        <f>IF(ISNA(F862),NA(),E576)</f>
        <v>0</v>
      </c>
      <c r="F862">
        <f>IF(OR(F576="",AND(F576=F575,F576=F577)),NA(), F576)</f>
        <v>0</v>
      </c>
      <c r="G862">
        <f>IF(ISNA(H862),NA(),G576)</f>
        <v>0</v>
      </c>
      <c r="H862">
        <f>IF(OR(H576="",AND(H576=H575,H576=H577)),NA(), H576)</f>
        <v>0</v>
      </c>
      <c r="K862">
        <f>IF(ISNA(L862),NA(),K576)</f>
        <v>0</v>
      </c>
      <c r="L862">
        <f>IF(OR(L576="",AND(L576=L575,L576=L577)),NA(), L576)</f>
        <v>0</v>
      </c>
      <c r="M862">
        <f>IF(ISNA(N862),NA(),M576)</f>
        <v>0</v>
      </c>
      <c r="N862">
        <f>IF(OR(N576="",AND(N576=N575,N576=N577)),NA(), N576)</f>
        <v>0</v>
      </c>
    </row>
    <row r="863" spans="5:14">
      <c r="E863">
        <f>IF(ISNA(F863),NA(),E577)</f>
        <v>0</v>
      </c>
      <c r="F863">
        <f>IF(OR(F577="",AND(F577=F576,F577=F578)),NA(), F577)</f>
        <v>0</v>
      </c>
      <c r="G863">
        <f>IF(ISNA(H863),NA(),G577)</f>
        <v>0</v>
      </c>
      <c r="H863">
        <f>IF(OR(H577="",AND(H577=H576,H577=H578)),NA(), H577)</f>
        <v>0</v>
      </c>
      <c r="K863">
        <f>IF(ISNA(L863),NA(),K577)</f>
        <v>0</v>
      </c>
      <c r="L863">
        <f>IF(OR(L577="",AND(L577=L576,L577=L578)),NA(), L577)</f>
        <v>0</v>
      </c>
      <c r="M863">
        <f>IF(ISNA(N863),NA(),M577)</f>
        <v>0</v>
      </c>
      <c r="N863">
        <f>IF(OR(N577="",AND(N577=N576,N577=N578)),NA(), N577)</f>
        <v>0</v>
      </c>
    </row>
    <row r="864" spans="5:14">
      <c r="E864">
        <f>IF(ISNA(F864),NA(),E578)</f>
        <v>0</v>
      </c>
      <c r="F864">
        <f>IF(OR(F578="",AND(F578=F577,F578=F579)),NA(), F578)</f>
        <v>0</v>
      </c>
      <c r="G864">
        <f>IF(ISNA(H864),NA(),G578)</f>
        <v>0</v>
      </c>
      <c r="H864">
        <f>IF(OR(H578="",AND(H578=H577,H578=H579)),NA(), H578)</f>
        <v>0</v>
      </c>
      <c r="K864">
        <f>IF(ISNA(L864),NA(),K578)</f>
        <v>0</v>
      </c>
      <c r="L864">
        <f>IF(OR(L578="",AND(L578=L577,L578=L579)),NA(), L578)</f>
        <v>0</v>
      </c>
      <c r="M864">
        <f>IF(ISNA(N864),NA(),M578)</f>
        <v>0</v>
      </c>
      <c r="N864">
        <f>IF(OR(N578="",AND(N578=N577,N578=N579)),NA(), N578)</f>
        <v>0</v>
      </c>
    </row>
    <row r="865" spans="5:14">
      <c r="E865">
        <f>IF(ISNA(F865),NA(),E579)</f>
        <v>0</v>
      </c>
      <c r="F865">
        <f>IF(OR(F579="",AND(F579=F578,F579=F580)),NA(), F579)</f>
        <v>0</v>
      </c>
      <c r="G865">
        <f>IF(ISNA(H865),NA(),G579)</f>
        <v>0</v>
      </c>
      <c r="H865">
        <f>IF(OR(H579="",AND(H579=H578,H579=H580)),NA(), H579)</f>
        <v>0</v>
      </c>
      <c r="K865">
        <f>IF(ISNA(L865),NA(),K579)</f>
        <v>0</v>
      </c>
      <c r="L865">
        <f>IF(OR(L579="",AND(L579=L578,L579=L580)),NA(), L579)</f>
        <v>0</v>
      </c>
      <c r="M865">
        <f>IF(ISNA(N865),NA(),M579)</f>
        <v>0</v>
      </c>
      <c r="N865">
        <f>IF(OR(N579="",AND(N579=N578,N579=N580)),NA(), N579)</f>
        <v>0</v>
      </c>
    </row>
    <row r="866" spans="5:14">
      <c r="E866">
        <f>IF(ISNA(F866),NA(),E580)</f>
        <v>0</v>
      </c>
      <c r="F866">
        <f>IF(OR(F580="",AND(F580=F579,F580=F581)),NA(), F580)</f>
        <v>0</v>
      </c>
      <c r="G866">
        <f>IF(ISNA(H866),NA(),G580)</f>
        <v>0</v>
      </c>
      <c r="H866">
        <f>IF(OR(H580="",AND(H580=H579,H580=H581)),NA(), H580)</f>
        <v>0</v>
      </c>
      <c r="K866">
        <f>IF(ISNA(L866),NA(),K580)</f>
        <v>0</v>
      </c>
      <c r="L866">
        <f>IF(OR(L580="",AND(L580=L579,L580=L581)),NA(), L580)</f>
        <v>0</v>
      </c>
      <c r="M866">
        <f>IF(ISNA(N866),NA(),M580)</f>
        <v>0</v>
      </c>
      <c r="N866">
        <f>IF(OR(N580="",AND(N580=N579,N580=N581)),NA(), N580)</f>
        <v>0</v>
      </c>
    </row>
    <row r="867" spans="5:14">
      <c r="E867">
        <f>IF(ISNA(F867),NA(),E581)</f>
        <v>0</v>
      </c>
      <c r="F867">
        <f>IF(OR(F581="",AND(F581=F580,F581=F582)),NA(), F581)</f>
        <v>0</v>
      </c>
      <c r="G867">
        <f>IF(ISNA(H867),NA(),G581)</f>
        <v>0</v>
      </c>
      <c r="H867">
        <f>IF(OR(H581="",AND(H581=H580,H581=H582)),NA(), H581)</f>
        <v>0</v>
      </c>
      <c r="K867">
        <f>IF(ISNA(L867),NA(),K581)</f>
        <v>0</v>
      </c>
      <c r="L867">
        <f>IF(OR(L581="",AND(L581=L580,L581=L582)),NA(), L581)</f>
        <v>0</v>
      </c>
      <c r="M867">
        <f>IF(ISNA(N867),NA(),M581)</f>
        <v>0</v>
      </c>
      <c r="N867">
        <f>IF(OR(N581="",AND(N581=N580,N581=N582)),NA(), N581)</f>
        <v>0</v>
      </c>
    </row>
    <row r="868" spans="5:14">
      <c r="E868">
        <f>IF(ISNA(F868),NA(),E582)</f>
        <v>0</v>
      </c>
      <c r="F868">
        <f>IF(OR(F582="",AND(F582=F581,F582=F583)),NA(), F582)</f>
        <v>0</v>
      </c>
      <c r="G868">
        <f>IF(ISNA(H868),NA(),G582)</f>
        <v>0</v>
      </c>
      <c r="H868">
        <f>IF(OR(H582="",AND(H582=H581,H582=H583)),NA(), H582)</f>
        <v>0</v>
      </c>
      <c r="K868">
        <f>IF(ISNA(L868),NA(),K582)</f>
        <v>0</v>
      </c>
      <c r="L868">
        <f>IF(OR(L582="",AND(L582=L581,L582=L583)),NA(), L582)</f>
        <v>0</v>
      </c>
      <c r="M868">
        <f>IF(ISNA(N868),NA(),M582)</f>
        <v>0</v>
      </c>
      <c r="N868">
        <f>IF(OR(N582="",AND(N582=N581,N582=N583)),NA(), N582)</f>
        <v>0</v>
      </c>
    </row>
    <row r="869" spans="5:14">
      <c r="E869">
        <f>IF(ISNA(F869),NA(),E583)</f>
        <v>0</v>
      </c>
      <c r="F869">
        <f>IF(OR(F583="",AND(F583=F582,F583=F584)),NA(), F583)</f>
        <v>0</v>
      </c>
      <c r="G869">
        <f>IF(ISNA(H869),NA(),G583)</f>
        <v>0</v>
      </c>
      <c r="H869">
        <f>IF(OR(H583="",AND(H583=H582,H583=H584)),NA(), H583)</f>
        <v>0</v>
      </c>
      <c r="K869">
        <f>IF(ISNA(L869),NA(),K583)</f>
        <v>0</v>
      </c>
      <c r="L869">
        <f>IF(OR(L583="",AND(L583=L582,L583=L584)),NA(), L583)</f>
        <v>0</v>
      </c>
      <c r="M869">
        <f>IF(ISNA(N869),NA(),M583)</f>
        <v>0</v>
      </c>
      <c r="N869">
        <f>IF(OR(N583="",AND(N583=N582,N583=N584)),NA(), N583)</f>
        <v>0</v>
      </c>
    </row>
    <row r="870" spans="5:14">
      <c r="E870">
        <f>IF(ISNA(F870),NA(),E584)</f>
        <v>0</v>
      </c>
      <c r="F870">
        <f>IF(OR(F584="",AND(F584=F583,F584=F585)),NA(), F584)</f>
        <v>0</v>
      </c>
      <c r="G870">
        <f>IF(ISNA(H870),NA(),G584)</f>
        <v>0</v>
      </c>
      <c r="H870">
        <f>IF(OR(H584="",AND(H584=H583,H584=H585)),NA(), H584)</f>
        <v>0</v>
      </c>
      <c r="K870">
        <f>IF(ISNA(L870),NA(),K584)</f>
        <v>0</v>
      </c>
      <c r="L870">
        <f>IF(OR(L584="",AND(L584=L583,L584=L585)),NA(), L584)</f>
        <v>0</v>
      </c>
      <c r="M870">
        <f>IF(ISNA(N870),NA(),M584)</f>
        <v>0</v>
      </c>
      <c r="N870">
        <f>IF(OR(N584="",AND(N584=N583,N584=N585)),NA(), N584)</f>
        <v>0</v>
      </c>
    </row>
    <row r="871" spans="5:14">
      <c r="E871">
        <f>IF(ISNA(F871),NA(),E585)</f>
        <v>0</v>
      </c>
      <c r="F871">
        <f>IF(OR(F585="",AND(F585=F584,F585=F586)),NA(), F585)</f>
        <v>0</v>
      </c>
      <c r="G871">
        <f>IF(ISNA(H871),NA(),G585)</f>
        <v>0</v>
      </c>
      <c r="H871">
        <f>IF(OR(H585="",AND(H585=H584,H585=H586)),NA(), H585)</f>
        <v>0</v>
      </c>
      <c r="K871">
        <f>IF(ISNA(L871),NA(),K585)</f>
        <v>0</v>
      </c>
      <c r="L871">
        <f>IF(OR(L585="",AND(L585=L584,L585=L586)),NA(), L585)</f>
        <v>0</v>
      </c>
      <c r="M871">
        <f>IF(ISNA(N871),NA(),M585)</f>
        <v>0</v>
      </c>
      <c r="N871">
        <f>IF(OR(N585="",AND(N585=N584,N585=N586)),NA(), N585)</f>
        <v>0</v>
      </c>
    </row>
    <row r="872" spans="5:14">
      <c r="E872">
        <f>IF(ISNA(F872),NA(),E586)</f>
        <v>0</v>
      </c>
      <c r="F872">
        <f>IF(OR(F586="",AND(F586=F585,F586=F587)),NA(), F586)</f>
        <v>0</v>
      </c>
      <c r="G872">
        <f>IF(ISNA(H872),NA(),G586)</f>
        <v>0</v>
      </c>
      <c r="H872">
        <f>IF(OR(H586="",AND(H586=H585,H586=H587)),NA(), H586)</f>
        <v>0</v>
      </c>
      <c r="K872">
        <f>IF(ISNA(L872),NA(),K586)</f>
        <v>0</v>
      </c>
      <c r="L872">
        <f>IF(OR(L586="",AND(L586=L585,L586=L587)),NA(), L586)</f>
        <v>0</v>
      </c>
      <c r="M872">
        <f>IF(ISNA(N872),NA(),M586)</f>
        <v>0</v>
      </c>
      <c r="N872">
        <f>IF(OR(N586="",AND(N586=N585,N586=N587)),NA(), N586)</f>
        <v>0</v>
      </c>
    </row>
    <row r="873" spans="5:14">
      <c r="E873">
        <f>IF(ISNA(F873),NA(),E587)</f>
        <v>0</v>
      </c>
      <c r="F873">
        <f>IF(OR(F587="",AND(F587=F586,F587=F588)),NA(), F587)</f>
        <v>0</v>
      </c>
      <c r="G873">
        <f>IF(ISNA(H873),NA(),G587)</f>
        <v>0</v>
      </c>
      <c r="H873">
        <f>IF(OR(H587="",AND(H587=H586,H587=H588)),NA(), H587)</f>
        <v>0</v>
      </c>
      <c r="K873">
        <f>IF(ISNA(L873),NA(),K587)</f>
        <v>0</v>
      </c>
      <c r="L873">
        <f>IF(OR(L587="",AND(L587=L586,L587=L588)),NA(), L587)</f>
        <v>0</v>
      </c>
      <c r="M873">
        <f>IF(ISNA(N873),NA(),M587)</f>
        <v>0</v>
      </c>
      <c r="N873">
        <f>IF(OR(N587="",AND(N587=N586,N587=N588)),NA(), N587)</f>
        <v>0</v>
      </c>
    </row>
    <row r="874" spans="5:14">
      <c r="E874">
        <f>IF(ISNA(F874),NA(),E588)</f>
        <v>0</v>
      </c>
      <c r="F874">
        <f>IF(OR(F588="",AND(F588=F587,F588=F589)),NA(), F588)</f>
        <v>0</v>
      </c>
      <c r="G874">
        <f>IF(ISNA(H874),NA(),G588)</f>
        <v>0</v>
      </c>
      <c r="H874">
        <f>IF(OR(H588="",AND(H588=H587,H588=H589)),NA(), H588)</f>
        <v>0</v>
      </c>
      <c r="K874">
        <f>IF(ISNA(L874),NA(),K588)</f>
        <v>0</v>
      </c>
      <c r="L874">
        <f>IF(OR(L588="",AND(L588=L587,L588=L589)),NA(), L588)</f>
        <v>0</v>
      </c>
      <c r="M874">
        <f>IF(ISNA(N874),NA(),M588)</f>
        <v>0</v>
      </c>
      <c r="N874">
        <f>IF(OR(N588="",AND(N588=N587,N588=N589)),NA(), N588)</f>
        <v>0</v>
      </c>
    </row>
    <row r="875" spans="5:14">
      <c r="E875">
        <f>IF(ISNA(F875),NA(),E589)</f>
        <v>0</v>
      </c>
      <c r="F875">
        <f>IF(OR(F589="",AND(F589=F588,F589=F590)),NA(), F589)</f>
        <v>0</v>
      </c>
      <c r="G875">
        <f>IF(ISNA(H875),NA(),G589)</f>
        <v>0</v>
      </c>
      <c r="H875">
        <f>IF(OR(H589="",AND(H589=H588,H589=H590)),NA(), H589)</f>
        <v>0</v>
      </c>
      <c r="K875">
        <f>IF(ISNA(L875),NA(),K589)</f>
        <v>0</v>
      </c>
      <c r="L875">
        <f>IF(OR(L589="",AND(L589=L588,L589=L590)),NA(), L589)</f>
        <v>0</v>
      </c>
      <c r="M875">
        <f>IF(ISNA(N875),NA(),M589)</f>
        <v>0</v>
      </c>
      <c r="N875">
        <f>IF(OR(N589="",AND(N589=N588,N589=N590)),NA(), N589)</f>
        <v>0</v>
      </c>
    </row>
    <row r="876" spans="5:14">
      <c r="E876">
        <f>IF(ISNA(F876),NA(),E590)</f>
        <v>0</v>
      </c>
      <c r="F876">
        <f>IF(OR(F590="",AND(F590=F589,F590=F591)),NA(), F590)</f>
        <v>0</v>
      </c>
      <c r="G876">
        <f>IF(ISNA(H876),NA(),G590)</f>
        <v>0</v>
      </c>
      <c r="H876">
        <f>IF(OR(H590="",AND(H590=H589,H590=H591)),NA(), H590)</f>
        <v>0</v>
      </c>
      <c r="K876">
        <f>IF(ISNA(L876),NA(),K590)</f>
        <v>0</v>
      </c>
      <c r="L876">
        <f>IF(OR(L590="",AND(L590=L589,L590=L591)),NA(), L590)</f>
        <v>0</v>
      </c>
      <c r="M876">
        <f>IF(ISNA(N876),NA(),M590)</f>
        <v>0</v>
      </c>
      <c r="N876">
        <f>IF(OR(N590="",AND(N590=N589,N590=N591)),NA(), N590)</f>
        <v>0</v>
      </c>
    </row>
    <row r="877" spans="5:14">
      <c r="E877">
        <f>IF(ISNA(F877),NA(),E591)</f>
        <v>0</v>
      </c>
      <c r="F877">
        <f>IF(OR(F591="",AND(F591=F590,F591=F592)),NA(), F591)</f>
        <v>0</v>
      </c>
      <c r="G877">
        <f>IF(ISNA(H877),NA(),G591)</f>
        <v>0</v>
      </c>
      <c r="H877">
        <f>IF(OR(H591="",AND(H591=H590,H591=H592)),NA(), H591)</f>
        <v>0</v>
      </c>
      <c r="K877">
        <f>IF(ISNA(L877),NA(),K591)</f>
        <v>0</v>
      </c>
      <c r="L877">
        <f>IF(OR(L591="",AND(L591=L590,L591=L592)),NA(), L591)</f>
        <v>0</v>
      </c>
      <c r="M877">
        <f>IF(ISNA(N877),NA(),M591)</f>
        <v>0</v>
      </c>
      <c r="N877">
        <f>IF(OR(N591="",AND(N591=N590,N591=N592)),NA(), N591)</f>
        <v>0</v>
      </c>
    </row>
    <row r="878" spans="5:14">
      <c r="E878">
        <f>IF(ISNA(F878),NA(),E592)</f>
        <v>0</v>
      </c>
      <c r="F878">
        <f>IF(OR(F592="",AND(F592=F591,F592=F593)),NA(), F592)</f>
        <v>0</v>
      </c>
      <c r="G878">
        <f>IF(ISNA(H878),NA(),G592)</f>
        <v>0</v>
      </c>
      <c r="H878">
        <f>IF(OR(H592="",AND(H592=H591,H592=H593)),NA(), H592)</f>
        <v>0</v>
      </c>
      <c r="K878">
        <f>IF(ISNA(L878),NA(),K592)</f>
        <v>0</v>
      </c>
      <c r="L878">
        <f>IF(OR(L592="",AND(L592=L591,L592=L593)),NA(), L592)</f>
        <v>0</v>
      </c>
      <c r="M878">
        <f>IF(ISNA(N878),NA(),M592)</f>
        <v>0</v>
      </c>
      <c r="N878">
        <f>IF(OR(N592="",AND(N592=N591,N592=N593)),NA(), N592)</f>
        <v>0</v>
      </c>
    </row>
    <row r="879" spans="5:14">
      <c r="E879">
        <f>IF(ISNA(F879),NA(),E593)</f>
        <v>0</v>
      </c>
      <c r="F879">
        <f>IF(OR(F593="",AND(F593=F592,F593=F594)),NA(), F593)</f>
        <v>0</v>
      </c>
      <c r="G879">
        <f>IF(ISNA(H879),NA(),G593)</f>
        <v>0</v>
      </c>
      <c r="H879">
        <f>IF(OR(H593="",AND(H593=H592,H593=H594)),NA(), H593)</f>
        <v>0</v>
      </c>
      <c r="K879">
        <f>IF(ISNA(L879),NA(),K593)</f>
        <v>0</v>
      </c>
      <c r="L879">
        <f>IF(OR(L593="",AND(L593=L592,L593=L594)),NA(), L593)</f>
        <v>0</v>
      </c>
      <c r="M879">
        <f>IF(ISNA(N879),NA(),M593)</f>
        <v>0</v>
      </c>
      <c r="N879">
        <f>IF(OR(N593="",AND(N593=N592,N593=N594)),NA(), N593)</f>
        <v>0</v>
      </c>
    </row>
    <row r="880" spans="5:14">
      <c r="E880">
        <f>IF(ISNA(F880),NA(),E594)</f>
        <v>0</v>
      </c>
      <c r="F880">
        <f>IF(OR(F594="",AND(F594=F593,F594=F595)),NA(), F594)</f>
        <v>0</v>
      </c>
      <c r="G880">
        <f>IF(ISNA(H880),NA(),G594)</f>
        <v>0</v>
      </c>
      <c r="H880">
        <f>IF(OR(H594="",AND(H594=H593,H594=H595)),NA(), H594)</f>
        <v>0</v>
      </c>
      <c r="K880">
        <f>IF(ISNA(L880),NA(),K594)</f>
        <v>0</v>
      </c>
      <c r="L880">
        <f>IF(OR(L594="",AND(L594=L593,L594=L595)),NA(), L594)</f>
        <v>0</v>
      </c>
      <c r="M880">
        <f>IF(ISNA(N880),NA(),M594)</f>
        <v>0</v>
      </c>
      <c r="N880">
        <f>IF(OR(N594="",AND(N594=N593,N594=N595)),NA(), N594)</f>
        <v>0</v>
      </c>
    </row>
    <row r="881" spans="5:14">
      <c r="E881">
        <f>IF(ISNA(F881),NA(),E595)</f>
        <v>0</v>
      </c>
      <c r="F881">
        <f>IF(OR(F595="",AND(F595=F594,F595=F596)),NA(), F595)</f>
        <v>0</v>
      </c>
      <c r="G881">
        <f>IF(ISNA(H881),NA(),G595)</f>
        <v>0</v>
      </c>
      <c r="H881">
        <f>IF(OR(H595="",AND(H595=H594,H595=H596)),NA(), H595)</f>
        <v>0</v>
      </c>
      <c r="K881">
        <f>IF(ISNA(L881),NA(),K595)</f>
        <v>0</v>
      </c>
      <c r="L881">
        <f>IF(OR(L595="",AND(L595=L594,L595=L596)),NA(), L595)</f>
        <v>0</v>
      </c>
      <c r="M881">
        <f>IF(ISNA(N881),NA(),M595)</f>
        <v>0</v>
      </c>
      <c r="N881">
        <f>IF(OR(N595="",AND(N595=N594,N595=N596)),NA(), N595)</f>
        <v>0</v>
      </c>
    </row>
    <row r="882" spans="5:14">
      <c r="E882">
        <f>IF(ISNA(F882),NA(),E596)</f>
        <v>0</v>
      </c>
      <c r="F882">
        <f>IF(OR(F596="",AND(F596=F595,F596=F597)),NA(), F596)</f>
        <v>0</v>
      </c>
      <c r="G882">
        <f>IF(ISNA(H882),NA(),G596)</f>
        <v>0</v>
      </c>
      <c r="H882">
        <f>IF(OR(H596="",AND(H596=H595,H596=H597)),NA(), H596)</f>
        <v>0</v>
      </c>
      <c r="K882">
        <f>IF(ISNA(L882),NA(),K596)</f>
        <v>0</v>
      </c>
      <c r="L882">
        <f>IF(OR(L596="",AND(L596=L595,L596=L597)),NA(), L596)</f>
        <v>0</v>
      </c>
      <c r="M882">
        <f>IF(ISNA(N882),NA(),M596)</f>
        <v>0</v>
      </c>
      <c r="N882">
        <f>IF(OR(N596="",AND(N596=N595,N596=N597)),NA(), N596)</f>
        <v>0</v>
      </c>
    </row>
    <row r="883" spans="5:14">
      <c r="E883">
        <f>IF(ISNA(F883),NA(),E597)</f>
        <v>0</v>
      </c>
      <c r="F883">
        <f>IF(OR(F597="",AND(F597=F596,F597=F598)),NA(), F597)</f>
        <v>0</v>
      </c>
      <c r="G883">
        <f>IF(ISNA(H883),NA(),G597)</f>
        <v>0</v>
      </c>
      <c r="H883">
        <f>IF(OR(H597="",AND(H597=H596,H597=H598)),NA(), H597)</f>
        <v>0</v>
      </c>
      <c r="K883">
        <f>IF(ISNA(L883),NA(),K597)</f>
        <v>0</v>
      </c>
      <c r="L883">
        <f>IF(OR(L597="",AND(L597=L596,L597=L598)),NA(), L597)</f>
        <v>0</v>
      </c>
      <c r="M883">
        <f>IF(ISNA(N883),NA(),M597)</f>
        <v>0</v>
      </c>
      <c r="N883">
        <f>IF(OR(N597="",AND(N597=N596,N597=N598)),NA(), N597)</f>
        <v>0</v>
      </c>
    </row>
    <row r="884" spans="5:14">
      <c r="E884">
        <f>IF(ISNA(F884),NA(),E598)</f>
        <v>0</v>
      </c>
      <c r="F884">
        <f>IF(OR(F598="",AND(F598=F597,F598=F599)),NA(), F598)</f>
        <v>0</v>
      </c>
      <c r="G884">
        <f>IF(ISNA(H884),NA(),G598)</f>
        <v>0</v>
      </c>
      <c r="H884">
        <f>IF(OR(H598="",AND(H598=H597,H598=H599)),NA(), H598)</f>
        <v>0</v>
      </c>
      <c r="K884">
        <f>IF(ISNA(L884),NA(),K598)</f>
        <v>0</v>
      </c>
      <c r="L884">
        <f>IF(OR(L598="",AND(L598=L597,L598=L599)),NA(), L598)</f>
        <v>0</v>
      </c>
      <c r="M884">
        <f>IF(ISNA(N884),NA(),M598)</f>
        <v>0</v>
      </c>
      <c r="N884">
        <f>IF(OR(N598="",AND(N598=N597,N598=N599)),NA(), N598)</f>
        <v>0</v>
      </c>
    </row>
    <row r="885" spans="5:14">
      <c r="E885">
        <f>IF(ISNA(F885),NA(),E599)</f>
        <v>0</v>
      </c>
      <c r="F885">
        <f>IF(OR(F599="",AND(F599=F598,F599=F600)),NA(), F599)</f>
        <v>0</v>
      </c>
      <c r="G885">
        <f>IF(ISNA(H885),NA(),G599)</f>
        <v>0</v>
      </c>
      <c r="H885">
        <f>IF(OR(H599="",AND(H599=H598,H599=H600)),NA(), H599)</f>
        <v>0</v>
      </c>
      <c r="K885">
        <f>IF(ISNA(L885),NA(),K599)</f>
        <v>0</v>
      </c>
      <c r="L885">
        <f>IF(OR(L599="",AND(L599=L598,L599=L600)),NA(), L599)</f>
        <v>0</v>
      </c>
      <c r="M885">
        <f>IF(ISNA(N885),NA(),M599)</f>
        <v>0</v>
      </c>
      <c r="N885">
        <f>IF(OR(N599="",AND(N599=N598,N599=N600)),NA(), N599)</f>
        <v>0</v>
      </c>
    </row>
    <row r="886" spans="5:14">
      <c r="E886">
        <f>IF(ISNA(F886),NA(),E600)</f>
        <v>0</v>
      </c>
      <c r="F886">
        <f>IF(OR(F600="",AND(F600=F599,F600=F601)),NA(), F600)</f>
        <v>0</v>
      </c>
      <c r="G886">
        <f>IF(ISNA(H886),NA(),G600)</f>
        <v>0</v>
      </c>
      <c r="H886">
        <f>IF(OR(H600="",AND(H600=H599,H600=H601)),NA(), H600)</f>
        <v>0</v>
      </c>
      <c r="K886">
        <f>IF(ISNA(L886),NA(),K600)</f>
        <v>0</v>
      </c>
      <c r="L886">
        <f>IF(OR(L600="",AND(L600=L599,L600=L601)),NA(), L600)</f>
        <v>0</v>
      </c>
      <c r="M886">
        <f>IF(ISNA(N886),NA(),M600)</f>
        <v>0</v>
      </c>
      <c r="N886">
        <f>IF(OR(N600="",AND(N600=N599,N600=N601)),NA(), N600)</f>
        <v>0</v>
      </c>
    </row>
    <row r="887" spans="5:14">
      <c r="E887">
        <f>IF(ISNA(F887),NA(),E601)</f>
        <v>0</v>
      </c>
      <c r="F887">
        <f>IF(OR(F601="",AND(F601=F600,F601=F602)),NA(), F601)</f>
        <v>0</v>
      </c>
      <c r="G887">
        <f>IF(ISNA(H887),NA(),G601)</f>
        <v>0</v>
      </c>
      <c r="H887">
        <f>IF(OR(H601="",AND(H601=H600,H601=H602)),NA(), H601)</f>
        <v>0</v>
      </c>
      <c r="K887">
        <f>IF(ISNA(L887),NA(),K601)</f>
        <v>0</v>
      </c>
      <c r="L887">
        <f>IF(OR(L601="",AND(L601=L600,L601=L602)),NA(), L601)</f>
        <v>0</v>
      </c>
      <c r="M887">
        <f>IF(ISNA(N887),NA(),M601)</f>
        <v>0</v>
      </c>
      <c r="N887">
        <f>IF(OR(N601="",AND(N601=N600,N601=N602)),NA(), N601)</f>
        <v>0</v>
      </c>
    </row>
    <row r="888" spans="5:14">
      <c r="E888">
        <f>IF(ISNA(F888),NA(),E602)</f>
        <v>0</v>
      </c>
      <c r="F888">
        <f>IF(OR(F602="",AND(F602=F601,F602=F603)),NA(), F602)</f>
        <v>0</v>
      </c>
      <c r="G888">
        <f>IF(ISNA(H888),NA(),G602)</f>
        <v>0</v>
      </c>
      <c r="H888">
        <f>IF(OR(H602="",AND(H602=H601,H602=H603)),NA(), H602)</f>
        <v>0</v>
      </c>
      <c r="K888">
        <f>IF(ISNA(L888),NA(),K602)</f>
        <v>0</v>
      </c>
      <c r="L888">
        <f>IF(OR(L602="",AND(L602=L601,L602=L603)),NA(), L602)</f>
        <v>0</v>
      </c>
      <c r="M888">
        <f>IF(ISNA(N888),NA(),M602)</f>
        <v>0</v>
      </c>
      <c r="N888">
        <f>IF(OR(N602="",AND(N602=N601,N602=N603)),NA(), N602)</f>
        <v>0</v>
      </c>
    </row>
    <row r="889" spans="5:14">
      <c r="E889">
        <f>IF(ISNA(F889),NA(),E603)</f>
        <v>0</v>
      </c>
      <c r="F889">
        <f>IF(OR(F603="",AND(F603=F602,F603=F604)),NA(), F603)</f>
        <v>0</v>
      </c>
      <c r="G889">
        <f>IF(ISNA(H889),NA(),G603)</f>
        <v>0</v>
      </c>
      <c r="H889">
        <f>IF(OR(H603="",AND(H603=H602,H603=H604)),NA(), H603)</f>
        <v>0</v>
      </c>
      <c r="K889">
        <f>IF(ISNA(L889),NA(),K603)</f>
        <v>0</v>
      </c>
      <c r="L889">
        <f>IF(OR(L603="",AND(L603=L602,L603=L604)),NA(), L603)</f>
        <v>0</v>
      </c>
      <c r="M889">
        <f>IF(ISNA(N889),NA(),M603)</f>
        <v>0</v>
      </c>
      <c r="N889">
        <f>IF(OR(N603="",AND(N603=N602,N603=N604)),NA(), N603)</f>
        <v>0</v>
      </c>
    </row>
    <row r="890" spans="5:14">
      <c r="E890">
        <f>IF(ISNA(F890),NA(),E604)</f>
        <v>0</v>
      </c>
      <c r="F890">
        <f>IF(OR(F604="",AND(F604=F603,F604=F605)),NA(), F604)</f>
        <v>0</v>
      </c>
      <c r="G890">
        <f>IF(ISNA(H890),NA(),G604)</f>
        <v>0</v>
      </c>
      <c r="H890">
        <f>IF(OR(H604="",AND(H604=H603,H604=H605)),NA(), H604)</f>
        <v>0</v>
      </c>
      <c r="K890">
        <f>IF(ISNA(L890),NA(),K604)</f>
        <v>0</v>
      </c>
      <c r="L890">
        <f>IF(OR(L604="",AND(L604=L603,L604=L605)),NA(), L604)</f>
        <v>0</v>
      </c>
      <c r="M890">
        <f>IF(ISNA(N890),NA(),M604)</f>
        <v>0</v>
      </c>
      <c r="N890">
        <f>IF(OR(N604="",AND(N604=N603,N604=N605)),NA(), N604)</f>
        <v>0</v>
      </c>
    </row>
    <row r="891" spans="5:14">
      <c r="E891">
        <f>IF(ISNA(F891),NA(),E605)</f>
        <v>0</v>
      </c>
      <c r="F891">
        <f>IF(OR(F605="",AND(F605=F604,F605=F606)),NA(), F605)</f>
        <v>0</v>
      </c>
      <c r="G891">
        <f>IF(ISNA(H891),NA(),G605)</f>
        <v>0</v>
      </c>
      <c r="H891">
        <f>IF(OR(H605="",AND(H605=H604,H605=H606)),NA(), H605)</f>
        <v>0</v>
      </c>
      <c r="K891">
        <f>IF(ISNA(L891),NA(),K605)</f>
        <v>0</v>
      </c>
      <c r="L891">
        <f>IF(OR(L605="",AND(L605=L604,L605=L606)),NA(), L605)</f>
        <v>0</v>
      </c>
      <c r="M891">
        <f>IF(ISNA(N891),NA(),M605)</f>
        <v>0</v>
      </c>
      <c r="N891">
        <f>IF(OR(N605="",AND(N605=N604,N605=N606)),NA(), N605)</f>
        <v>0</v>
      </c>
    </row>
    <row r="892" spans="5:14">
      <c r="E892">
        <f>IF(ISNA(F892),NA(),E606)</f>
        <v>0</v>
      </c>
      <c r="F892">
        <f>IF(OR(F606="",AND(F606=F605,F606=F607)),NA(), F606)</f>
        <v>0</v>
      </c>
      <c r="G892">
        <f>IF(ISNA(H892),NA(),G606)</f>
        <v>0</v>
      </c>
      <c r="H892">
        <f>IF(OR(H606="",AND(H606=H605,H606=H607)),NA(), H606)</f>
        <v>0</v>
      </c>
      <c r="K892">
        <f>IF(ISNA(L892),NA(),K606)</f>
        <v>0</v>
      </c>
      <c r="L892">
        <f>IF(OR(L606="",AND(L606=L605,L606=L607)),NA(), L606)</f>
        <v>0</v>
      </c>
      <c r="M892">
        <f>IF(ISNA(N892),NA(),M606)</f>
        <v>0</v>
      </c>
      <c r="N892">
        <f>IF(OR(N606="",AND(N606=N605,N606=N607)),NA(), N606)</f>
        <v>0</v>
      </c>
    </row>
    <row r="893" spans="5:14">
      <c r="E893">
        <f>IF(ISNA(F893),NA(),E607)</f>
        <v>0</v>
      </c>
      <c r="F893">
        <f>IF(OR(F607="",AND(F607=F606,F607=F608)),NA(), F607)</f>
        <v>0</v>
      </c>
      <c r="G893">
        <f>IF(ISNA(H893),NA(),G607)</f>
        <v>0</v>
      </c>
      <c r="H893">
        <f>IF(OR(H607="",AND(H607=H606,H607=H608)),NA(), H607)</f>
        <v>0</v>
      </c>
      <c r="K893">
        <f>IF(ISNA(L893),NA(),K607)</f>
        <v>0</v>
      </c>
      <c r="L893">
        <f>IF(OR(L607="",AND(L607=L606,L607=L608)),NA(), L607)</f>
        <v>0</v>
      </c>
      <c r="M893">
        <f>IF(ISNA(N893),NA(),M607)</f>
        <v>0</v>
      </c>
      <c r="N893">
        <f>IF(OR(N607="",AND(N607=N606,N607=N608)),NA(), N607)</f>
        <v>0</v>
      </c>
    </row>
    <row r="894" spans="5:14">
      <c r="E894">
        <f>IF(ISNA(F894),NA(),E608)</f>
        <v>0</v>
      </c>
      <c r="F894">
        <f>IF(OR(F608="",AND(F608=F607,F608=F609)),NA(), F608)</f>
        <v>0</v>
      </c>
      <c r="G894">
        <f>IF(ISNA(H894),NA(),G608)</f>
        <v>0</v>
      </c>
      <c r="H894">
        <f>IF(OR(H608="",AND(H608=H607,H608=H609)),NA(), H608)</f>
        <v>0</v>
      </c>
      <c r="K894">
        <f>IF(ISNA(L894),NA(),K608)</f>
        <v>0</v>
      </c>
      <c r="L894">
        <f>IF(OR(L608="",AND(L608=L607,L608=L609)),NA(), L608)</f>
        <v>0</v>
      </c>
      <c r="M894">
        <f>IF(ISNA(N894),NA(),M608)</f>
        <v>0</v>
      </c>
      <c r="N894">
        <f>IF(OR(N608="",AND(N608=N607,N608=N609)),NA(), N608)</f>
        <v>0</v>
      </c>
    </row>
    <row r="895" spans="5:14">
      <c r="E895">
        <f>IF(ISNA(F895),NA(),E609)</f>
        <v>0</v>
      </c>
      <c r="F895">
        <f>IF(OR(F609="",AND(F609=F608,F609=F610)),NA(), F609)</f>
        <v>0</v>
      </c>
      <c r="G895">
        <f>IF(ISNA(H895),NA(),G609)</f>
        <v>0</v>
      </c>
      <c r="H895">
        <f>IF(OR(H609="",AND(H609=H608,H609=H610)),NA(), H609)</f>
        <v>0</v>
      </c>
      <c r="K895">
        <f>IF(ISNA(L895),NA(),K609)</f>
        <v>0</v>
      </c>
      <c r="L895">
        <f>IF(OR(L609="",AND(L609=L608,L609=L610)),NA(), L609)</f>
        <v>0</v>
      </c>
      <c r="M895">
        <f>IF(ISNA(N895),NA(),M609)</f>
        <v>0</v>
      </c>
      <c r="N895">
        <f>IF(OR(N609="",AND(N609=N608,N609=N610)),NA(), N609)</f>
        <v>0</v>
      </c>
    </row>
    <row r="896" spans="5:14">
      <c r="E896">
        <f>IF(ISNA(F896),NA(),E610)</f>
        <v>0</v>
      </c>
      <c r="F896">
        <f>IF(OR(F610="",AND(F610=F609,F610=F611)),NA(), F610)</f>
        <v>0</v>
      </c>
      <c r="G896">
        <f>IF(ISNA(H896),NA(),G610)</f>
        <v>0</v>
      </c>
      <c r="H896">
        <f>IF(OR(H610="",AND(H610=H609,H610=H611)),NA(), H610)</f>
        <v>0</v>
      </c>
      <c r="K896">
        <f>IF(ISNA(L896),NA(),K610)</f>
        <v>0</v>
      </c>
      <c r="L896">
        <f>IF(OR(L610="",AND(L610=L609,L610=L611)),NA(), L610)</f>
        <v>0</v>
      </c>
      <c r="M896">
        <f>IF(ISNA(N896),NA(),M610)</f>
        <v>0</v>
      </c>
      <c r="N896">
        <f>IF(OR(N610="",AND(N610=N609,N610=N611)),NA(), N610)</f>
        <v>0</v>
      </c>
    </row>
    <row r="897" spans="5:14">
      <c r="E897">
        <f>IF(ISNA(F897),NA(),E611)</f>
        <v>0</v>
      </c>
      <c r="F897">
        <f>IF(OR(F611="",AND(F611=F610,F611=F612)),NA(), F611)</f>
        <v>0</v>
      </c>
      <c r="G897">
        <f>IF(ISNA(H897),NA(),G611)</f>
        <v>0</v>
      </c>
      <c r="H897">
        <f>IF(OR(H611="",AND(H611=H610,H611=H612)),NA(), H611)</f>
        <v>0</v>
      </c>
      <c r="K897">
        <f>IF(ISNA(L897),NA(),K611)</f>
        <v>0</v>
      </c>
      <c r="L897">
        <f>IF(OR(L611="",AND(L611=L610,L611=L612)),NA(), L611)</f>
        <v>0</v>
      </c>
      <c r="M897">
        <f>IF(ISNA(N897),NA(),M611)</f>
        <v>0</v>
      </c>
      <c r="N897">
        <f>IF(OR(N611="",AND(N611=N610,N611=N612)),NA(), N611)</f>
        <v>0</v>
      </c>
    </row>
    <row r="898" spans="5:14">
      <c r="E898">
        <f>IF(ISNA(F898),NA(),E612)</f>
        <v>0</v>
      </c>
      <c r="F898">
        <f>IF(OR(F612="",AND(F612=F611,F612=F613)),NA(), F612)</f>
        <v>0</v>
      </c>
      <c r="G898">
        <f>IF(ISNA(H898),NA(),G612)</f>
        <v>0</v>
      </c>
      <c r="H898">
        <f>IF(OR(H612="",AND(H612=H611,H612=H613)),NA(), H612)</f>
        <v>0</v>
      </c>
      <c r="K898">
        <f>IF(ISNA(L898),NA(),K612)</f>
        <v>0</v>
      </c>
      <c r="L898">
        <f>IF(OR(L612="",AND(L612=L611,L612=L613)),NA(), L612)</f>
        <v>0</v>
      </c>
      <c r="M898">
        <f>IF(ISNA(N898),NA(),M612)</f>
        <v>0</v>
      </c>
      <c r="N898">
        <f>IF(OR(N612="",AND(N612=N611,N612=N613)),NA(), N612)</f>
        <v>0</v>
      </c>
    </row>
    <row r="899" spans="5:14">
      <c r="E899">
        <f>IF(ISNA(F899),NA(),E613)</f>
        <v>0</v>
      </c>
      <c r="F899">
        <f>IF(OR(F613="",AND(F613=F612,F613=F614)),NA(), F613)</f>
        <v>0</v>
      </c>
      <c r="G899">
        <f>IF(ISNA(H899),NA(),G613)</f>
        <v>0</v>
      </c>
      <c r="H899">
        <f>IF(OR(H613="",AND(H613=H612,H613=H614)),NA(), H613)</f>
        <v>0</v>
      </c>
      <c r="K899">
        <f>IF(ISNA(L899),NA(),K613)</f>
        <v>0</v>
      </c>
      <c r="L899">
        <f>IF(OR(L613="",AND(L613=L612,L613=L614)),NA(), L613)</f>
        <v>0</v>
      </c>
      <c r="M899">
        <f>IF(ISNA(N899),NA(),M613)</f>
        <v>0</v>
      </c>
      <c r="N899">
        <f>IF(OR(N613="",AND(N613=N612,N613=N614)),NA(), N613)</f>
        <v>0</v>
      </c>
    </row>
    <row r="900" spans="5:14">
      <c r="E900">
        <f>IF(ISNA(F900),NA(),E614)</f>
        <v>0</v>
      </c>
      <c r="F900">
        <f>IF(OR(F614="",AND(F614=F613,F614=F615)),NA(), F614)</f>
        <v>0</v>
      </c>
      <c r="G900">
        <f>IF(ISNA(H900),NA(),G614)</f>
        <v>0</v>
      </c>
      <c r="H900">
        <f>IF(OR(H614="",AND(H614=H613,H614=H615)),NA(), H614)</f>
        <v>0</v>
      </c>
      <c r="K900">
        <f>IF(ISNA(L900),NA(),K614)</f>
        <v>0</v>
      </c>
      <c r="L900">
        <f>IF(OR(L614="",AND(L614=L613,L614=L615)),NA(), L614)</f>
        <v>0</v>
      </c>
      <c r="M900">
        <f>IF(ISNA(N900),NA(),M614)</f>
        <v>0</v>
      </c>
      <c r="N900">
        <f>IF(OR(N614="",AND(N614=N613,N614=N615)),NA(), N614)</f>
        <v>0</v>
      </c>
    </row>
    <row r="901" spans="5:14">
      <c r="E901">
        <f>IF(ISNA(F901),NA(),E615)</f>
        <v>0</v>
      </c>
      <c r="F901">
        <f>IF(OR(F615="",AND(F615=F614,F615=F616)),NA(), F615)</f>
        <v>0</v>
      </c>
      <c r="G901">
        <f>IF(ISNA(H901),NA(),G615)</f>
        <v>0</v>
      </c>
      <c r="H901">
        <f>IF(OR(H615="",AND(H615=H614,H615=H616)),NA(), H615)</f>
        <v>0</v>
      </c>
      <c r="K901">
        <f>IF(ISNA(L901),NA(),K615)</f>
        <v>0</v>
      </c>
      <c r="L901">
        <f>IF(OR(L615="",AND(L615=L614,L615=L616)),NA(), L615)</f>
        <v>0</v>
      </c>
      <c r="M901">
        <f>IF(ISNA(N901),NA(),M615)</f>
        <v>0</v>
      </c>
      <c r="N901">
        <f>IF(OR(N615="",AND(N615=N614,N615=N616)),NA(), N615)</f>
        <v>0</v>
      </c>
    </row>
    <row r="902" spans="5:14">
      <c r="E902">
        <f>IF(ISNA(F902),NA(),E616)</f>
        <v>0</v>
      </c>
      <c r="F902">
        <f>IF(OR(F616="",AND(F616=F615,F616=F617)),NA(), F616)</f>
        <v>0</v>
      </c>
      <c r="G902">
        <f>IF(ISNA(H902),NA(),G616)</f>
        <v>0</v>
      </c>
      <c r="H902">
        <f>IF(OR(H616="",AND(H616=H615,H616=H617)),NA(), H616)</f>
        <v>0</v>
      </c>
      <c r="K902">
        <f>IF(ISNA(L902),NA(),K616)</f>
        <v>0</v>
      </c>
      <c r="L902">
        <f>IF(OR(L616="",AND(L616=L615,L616=L617)),NA(), L616)</f>
        <v>0</v>
      </c>
      <c r="M902">
        <f>IF(ISNA(N902),NA(),M616)</f>
        <v>0</v>
      </c>
      <c r="N902">
        <f>IF(OR(N616="",AND(N616=N615,N616=N617)),NA(), N616)</f>
        <v>0</v>
      </c>
    </row>
    <row r="903" spans="5:14">
      <c r="E903">
        <f>IF(ISNA(F903),NA(),E617)</f>
        <v>0</v>
      </c>
      <c r="F903">
        <f>IF(OR(F617="",AND(F617=F616,F617=F618)),NA(), F617)</f>
        <v>0</v>
      </c>
      <c r="G903">
        <f>IF(ISNA(H903),NA(),G617)</f>
        <v>0</v>
      </c>
      <c r="H903">
        <f>IF(OR(H617="",AND(H617=H616,H617=H618)),NA(), H617)</f>
        <v>0</v>
      </c>
      <c r="K903">
        <f>IF(ISNA(L903),NA(),K617)</f>
        <v>0</v>
      </c>
      <c r="L903">
        <f>IF(OR(L617="",AND(L617=L616,L617=L618)),NA(), L617)</f>
        <v>0</v>
      </c>
      <c r="M903">
        <f>IF(ISNA(N903),NA(),M617)</f>
        <v>0</v>
      </c>
      <c r="N903">
        <f>IF(OR(N617="",AND(N617=N616,N617=N618)),NA(), N617)</f>
        <v>0</v>
      </c>
    </row>
    <row r="904" spans="5:14">
      <c r="E904">
        <f>IF(ISNA(F904),NA(),E618)</f>
        <v>0</v>
      </c>
      <c r="F904">
        <f>IF(OR(F618="",AND(F618=F617,F618=F619)),NA(), F618)</f>
        <v>0</v>
      </c>
      <c r="G904">
        <f>IF(ISNA(H904),NA(),G618)</f>
        <v>0</v>
      </c>
      <c r="H904">
        <f>IF(OR(H618="",AND(H618=H617,H618=H619)),NA(), H618)</f>
        <v>0</v>
      </c>
      <c r="K904">
        <f>IF(ISNA(L904),NA(),K618)</f>
        <v>0</v>
      </c>
      <c r="L904">
        <f>IF(OR(L618="",AND(L618=L617,L618=L619)),NA(), L618)</f>
        <v>0</v>
      </c>
      <c r="M904">
        <f>IF(ISNA(N904),NA(),M618)</f>
        <v>0</v>
      </c>
      <c r="N904">
        <f>IF(OR(N618="",AND(N618=N617,N618=N619)),NA(), N618)</f>
        <v>0</v>
      </c>
    </row>
    <row r="905" spans="5:14">
      <c r="E905">
        <f>IF(ISNA(F905),NA(),E619)</f>
        <v>0</v>
      </c>
      <c r="F905">
        <f>IF(OR(F619="",AND(F619=F618,F619=F620)),NA(), F619)</f>
        <v>0</v>
      </c>
      <c r="G905">
        <f>IF(ISNA(H905),NA(),G619)</f>
        <v>0</v>
      </c>
      <c r="H905">
        <f>IF(OR(H619="",AND(H619=H618,H619=H620)),NA(), H619)</f>
        <v>0</v>
      </c>
      <c r="K905">
        <f>IF(ISNA(L905),NA(),K619)</f>
        <v>0</v>
      </c>
      <c r="L905">
        <f>IF(OR(L619="",AND(L619=L618,L619=L620)),NA(), L619)</f>
        <v>0</v>
      </c>
      <c r="M905">
        <f>IF(ISNA(N905),NA(),M619)</f>
        <v>0</v>
      </c>
      <c r="N905">
        <f>IF(OR(N619="",AND(N619=N618,N619=N620)),NA(), N619)</f>
        <v>0</v>
      </c>
    </row>
    <row r="906" spans="5:14">
      <c r="E906">
        <f>IF(ISNA(F906),NA(),E620)</f>
        <v>0</v>
      </c>
      <c r="F906">
        <f>IF(OR(F620="",AND(F620=F619,F620=F621)),NA(), F620)</f>
        <v>0</v>
      </c>
      <c r="G906">
        <f>IF(ISNA(H906),NA(),G620)</f>
        <v>0</v>
      </c>
      <c r="H906">
        <f>IF(OR(H620="",AND(H620=H619,H620=H621)),NA(), H620)</f>
        <v>0</v>
      </c>
      <c r="K906">
        <f>IF(ISNA(L906),NA(),K620)</f>
        <v>0</v>
      </c>
      <c r="L906">
        <f>IF(OR(L620="",AND(L620=L619,L620=L621)),NA(), L620)</f>
        <v>0</v>
      </c>
      <c r="M906">
        <f>IF(ISNA(N906),NA(),M620)</f>
        <v>0</v>
      </c>
      <c r="N906">
        <f>IF(OR(N620="",AND(N620=N619,N620=N621)),NA(), N620)</f>
        <v>0</v>
      </c>
    </row>
    <row r="907" spans="5:14">
      <c r="E907">
        <f>IF(ISNA(F907),NA(),E621)</f>
        <v>0</v>
      </c>
      <c r="F907">
        <f>IF(OR(F621="",AND(F621=F620,F621=F622)),NA(), F621)</f>
        <v>0</v>
      </c>
      <c r="G907">
        <f>IF(ISNA(H907),NA(),G621)</f>
        <v>0</v>
      </c>
      <c r="H907">
        <f>IF(OR(H621="",AND(H621=H620,H621=H622)),NA(), H621)</f>
        <v>0</v>
      </c>
      <c r="K907">
        <f>IF(ISNA(L907),NA(),K621)</f>
        <v>0</v>
      </c>
      <c r="L907">
        <f>IF(OR(L621="",AND(L621=L620,L621=L622)),NA(), L621)</f>
        <v>0</v>
      </c>
      <c r="M907">
        <f>IF(ISNA(N907),NA(),M621)</f>
        <v>0</v>
      </c>
      <c r="N907">
        <f>IF(OR(N621="",AND(N621=N620,N621=N622)),NA(), N621)</f>
        <v>0</v>
      </c>
    </row>
    <row r="908" spans="5:14">
      <c r="E908">
        <f>IF(ISNA(F908),NA(),E622)</f>
        <v>0</v>
      </c>
      <c r="F908">
        <f>IF(OR(F622="",AND(F622=F621,F622=F623)),NA(), F622)</f>
        <v>0</v>
      </c>
      <c r="G908">
        <f>IF(ISNA(H908),NA(),G622)</f>
        <v>0</v>
      </c>
      <c r="H908">
        <f>IF(OR(H622="",AND(H622=H621,H622=H623)),NA(), H622)</f>
        <v>0</v>
      </c>
      <c r="K908">
        <f>IF(ISNA(L908),NA(),K622)</f>
        <v>0</v>
      </c>
      <c r="L908">
        <f>IF(OR(L622="",AND(L622=L621,L622=L623)),NA(), L622)</f>
        <v>0</v>
      </c>
      <c r="M908">
        <f>IF(ISNA(N908),NA(),M622)</f>
        <v>0</v>
      </c>
      <c r="N908">
        <f>IF(OR(N622="",AND(N622=N621,N622=N623)),NA(), N622)</f>
        <v>0</v>
      </c>
    </row>
    <row r="909" spans="5:14">
      <c r="E909">
        <f>IF(ISNA(F909),NA(),E623)</f>
        <v>0</v>
      </c>
      <c r="F909">
        <f>IF(OR(F623="",AND(F623=F622,F623=F624)),NA(), F623)</f>
        <v>0</v>
      </c>
      <c r="G909">
        <f>IF(ISNA(H909),NA(),G623)</f>
        <v>0</v>
      </c>
      <c r="H909">
        <f>IF(OR(H623="",AND(H623=H622,H623=H624)),NA(), H623)</f>
        <v>0</v>
      </c>
      <c r="K909">
        <f>IF(ISNA(L909),NA(),K623)</f>
        <v>0</v>
      </c>
      <c r="L909">
        <f>IF(OR(L623="",AND(L623=L622,L623=L624)),NA(), L623)</f>
        <v>0</v>
      </c>
      <c r="M909">
        <f>IF(ISNA(N909),NA(),M623)</f>
        <v>0</v>
      </c>
      <c r="N909">
        <f>IF(OR(N623="",AND(N623=N622,N623=N624)),NA(), N623)</f>
        <v>0</v>
      </c>
    </row>
    <row r="910" spans="5:14">
      <c r="E910">
        <f>IF(ISNA(F910),NA(),E624)</f>
        <v>0</v>
      </c>
      <c r="F910">
        <f>IF(OR(F624="",AND(F624=F623,F624=F625)),NA(), F624)</f>
        <v>0</v>
      </c>
      <c r="G910">
        <f>IF(ISNA(H910),NA(),G624)</f>
        <v>0</v>
      </c>
      <c r="H910">
        <f>IF(OR(H624="",AND(H624=H623,H624=H625)),NA(), H624)</f>
        <v>0</v>
      </c>
      <c r="K910">
        <f>IF(ISNA(L910),NA(),K624)</f>
        <v>0</v>
      </c>
      <c r="L910">
        <f>IF(OR(L624="",AND(L624=L623,L624=L625)),NA(), L624)</f>
        <v>0</v>
      </c>
      <c r="M910">
        <f>IF(ISNA(N910),NA(),M624)</f>
        <v>0</v>
      </c>
      <c r="N910">
        <f>IF(OR(N624="",AND(N624=N623,N624=N625)),NA(), N624)</f>
        <v>0</v>
      </c>
    </row>
    <row r="911" spans="5:14">
      <c r="E911">
        <f>IF(ISNA(F911),NA(),E625)</f>
        <v>0</v>
      </c>
      <c r="F911">
        <f>IF(OR(F625="",AND(F625=F624,F625=F626)),NA(), F625)</f>
        <v>0</v>
      </c>
      <c r="G911">
        <f>IF(ISNA(H911),NA(),G625)</f>
        <v>0</v>
      </c>
      <c r="H911">
        <f>IF(OR(H625="",AND(H625=H624,H625=H626)),NA(), H625)</f>
        <v>0</v>
      </c>
      <c r="K911">
        <f>IF(ISNA(L911),NA(),K625)</f>
        <v>0</v>
      </c>
      <c r="L911">
        <f>IF(OR(L625="",AND(L625=L624,L625=L626)),NA(), L625)</f>
        <v>0</v>
      </c>
      <c r="M911">
        <f>IF(ISNA(N911),NA(),M625)</f>
        <v>0</v>
      </c>
      <c r="N911">
        <f>IF(OR(N625="",AND(N625=N624,N625=N626)),NA(), N625)</f>
        <v>0</v>
      </c>
    </row>
    <row r="912" spans="5:14">
      <c r="E912">
        <f>IF(ISNA(F912),NA(),E626)</f>
        <v>0</v>
      </c>
      <c r="F912">
        <f>IF(OR(F626="",AND(F626=F625,F626=F627)),NA(), F626)</f>
        <v>0</v>
      </c>
      <c r="G912">
        <f>IF(ISNA(H912),NA(),G626)</f>
        <v>0</v>
      </c>
      <c r="H912">
        <f>IF(OR(H626="",AND(H626=H625,H626=H627)),NA(), H626)</f>
        <v>0</v>
      </c>
      <c r="K912">
        <f>IF(ISNA(L912),NA(),K626)</f>
        <v>0</v>
      </c>
      <c r="L912">
        <f>IF(OR(L626="",AND(L626=L625,L626=L627)),NA(), L626)</f>
        <v>0</v>
      </c>
      <c r="M912">
        <f>IF(ISNA(N912),NA(),M626)</f>
        <v>0</v>
      </c>
      <c r="N912">
        <f>IF(OR(N626="",AND(N626=N625,N626=N627)),NA(), N626)</f>
        <v>0</v>
      </c>
    </row>
    <row r="913" spans="5:14">
      <c r="E913">
        <f>IF(ISNA(F913),NA(),E627)</f>
        <v>0</v>
      </c>
      <c r="F913">
        <f>IF(OR(F627="",AND(F627=F626,F627=F628)),NA(), F627)</f>
        <v>0</v>
      </c>
      <c r="G913">
        <f>IF(ISNA(H913),NA(),G627)</f>
        <v>0</v>
      </c>
      <c r="H913">
        <f>IF(OR(H627="",AND(H627=H626,H627=H628)),NA(), H627)</f>
        <v>0</v>
      </c>
      <c r="K913">
        <f>IF(ISNA(L913),NA(),K627)</f>
        <v>0</v>
      </c>
      <c r="L913">
        <f>IF(OR(L627="",AND(L627=L626,L627=L628)),NA(), L627)</f>
        <v>0</v>
      </c>
      <c r="M913">
        <f>IF(ISNA(N913),NA(),M627)</f>
        <v>0</v>
      </c>
      <c r="N913">
        <f>IF(OR(N627="",AND(N627=N626,N627=N628)),NA(), N627)</f>
        <v>0</v>
      </c>
    </row>
    <row r="914" spans="5:14">
      <c r="E914">
        <f>IF(ISNA(F914),NA(),E628)</f>
        <v>0</v>
      </c>
      <c r="F914">
        <f>IF(OR(F628="",AND(F628=F627,F628=F629)),NA(), F628)</f>
        <v>0</v>
      </c>
      <c r="G914">
        <f>IF(ISNA(H914),NA(),G628)</f>
        <v>0</v>
      </c>
      <c r="H914">
        <f>IF(OR(H628="",AND(H628=H627,H628=H629)),NA(), H628)</f>
        <v>0</v>
      </c>
      <c r="K914">
        <f>IF(ISNA(L914),NA(),K628)</f>
        <v>0</v>
      </c>
      <c r="L914">
        <f>IF(OR(L628="",AND(L628=L627,L628=L629)),NA(), L628)</f>
        <v>0</v>
      </c>
      <c r="M914">
        <f>IF(ISNA(N914),NA(),M628)</f>
        <v>0</v>
      </c>
      <c r="N914">
        <f>IF(OR(N628="",AND(N628=N627,N628=N629)),NA(), N628)</f>
        <v>0</v>
      </c>
    </row>
    <row r="915" spans="5:14">
      <c r="E915">
        <f>IF(ISNA(F915),NA(),E629)</f>
        <v>0</v>
      </c>
      <c r="F915">
        <f>IF(OR(F629="",AND(F629=F628,F629=F630)),NA(), F629)</f>
        <v>0</v>
      </c>
      <c r="G915">
        <f>IF(ISNA(H915),NA(),G629)</f>
        <v>0</v>
      </c>
      <c r="H915">
        <f>IF(OR(H629="",AND(H629=H628,H629=H630)),NA(), H629)</f>
        <v>0</v>
      </c>
      <c r="K915">
        <f>IF(ISNA(L915),NA(),K629)</f>
        <v>0</v>
      </c>
      <c r="L915">
        <f>IF(OR(L629="",AND(L629=L628,L629=L630)),NA(), L629)</f>
        <v>0</v>
      </c>
      <c r="M915">
        <f>IF(ISNA(N915),NA(),M629)</f>
        <v>0</v>
      </c>
      <c r="N915">
        <f>IF(OR(N629="",AND(N629=N628,N629=N630)),NA(), N629)</f>
        <v>0</v>
      </c>
    </row>
    <row r="916" spans="5:14">
      <c r="E916">
        <f>IF(ISNA(F916),NA(),E630)</f>
        <v>0</v>
      </c>
      <c r="F916">
        <f>IF(OR(F630="",AND(F630=F629,F630=F631)),NA(), F630)</f>
        <v>0</v>
      </c>
      <c r="G916">
        <f>IF(ISNA(H916),NA(),G630)</f>
        <v>0</v>
      </c>
      <c r="H916">
        <f>IF(OR(H630="",AND(H630=H629,H630=H631)),NA(), H630)</f>
        <v>0</v>
      </c>
      <c r="K916">
        <f>IF(ISNA(L916),NA(),K630)</f>
        <v>0</v>
      </c>
      <c r="L916">
        <f>IF(OR(L630="",AND(L630=L629,L630=L631)),NA(), L630)</f>
        <v>0</v>
      </c>
      <c r="M916">
        <f>IF(ISNA(N916),NA(),M630)</f>
        <v>0</v>
      </c>
      <c r="N916">
        <f>IF(OR(N630="",AND(N630=N629,N630=N631)),NA(), N630)</f>
        <v>0</v>
      </c>
    </row>
    <row r="917" spans="5:14">
      <c r="E917">
        <f>IF(ISNA(F917),NA(),E631)</f>
        <v>0</v>
      </c>
      <c r="F917">
        <f>IF(OR(F631="",AND(F631=F630,F631=F632)),NA(), F631)</f>
        <v>0</v>
      </c>
      <c r="G917">
        <f>IF(ISNA(H917),NA(),G631)</f>
        <v>0</v>
      </c>
      <c r="H917">
        <f>IF(OR(H631="",AND(H631=H630,H631=H632)),NA(), H631)</f>
        <v>0</v>
      </c>
      <c r="K917">
        <f>IF(ISNA(L917),NA(),K631)</f>
        <v>0</v>
      </c>
      <c r="L917">
        <f>IF(OR(L631="",AND(L631=L630,L631=L632)),NA(), L631)</f>
        <v>0</v>
      </c>
      <c r="M917">
        <f>IF(ISNA(N917),NA(),M631)</f>
        <v>0</v>
      </c>
      <c r="N917">
        <f>IF(OR(N631="",AND(N631=N630,N631=N632)),NA(), N631)</f>
        <v>0</v>
      </c>
    </row>
    <row r="918" spans="5:14">
      <c r="E918">
        <f>IF(ISNA(F918),NA(),E632)</f>
        <v>0</v>
      </c>
      <c r="F918">
        <f>IF(OR(F632="",AND(F632=F631,F632=F633)),NA(), F632)</f>
        <v>0</v>
      </c>
      <c r="G918">
        <f>IF(ISNA(H918),NA(),G632)</f>
        <v>0</v>
      </c>
      <c r="H918">
        <f>IF(OR(H632="",AND(H632=H631,H632=H633)),NA(), H632)</f>
        <v>0</v>
      </c>
      <c r="K918">
        <f>IF(ISNA(L918),NA(),K632)</f>
        <v>0</v>
      </c>
      <c r="L918">
        <f>IF(OR(L632="",AND(L632=L631,L632=L633)),NA(), L632)</f>
        <v>0</v>
      </c>
      <c r="M918">
        <f>IF(ISNA(N918),NA(),M632)</f>
        <v>0</v>
      </c>
      <c r="N918">
        <f>IF(OR(N632="",AND(N632=N631,N632=N633)),NA(), N632)</f>
        <v>0</v>
      </c>
    </row>
    <row r="919" spans="5:14">
      <c r="E919">
        <f>IF(ISNA(F919),NA(),E633)</f>
        <v>0</v>
      </c>
      <c r="F919">
        <f>IF(OR(F633="",AND(F633=F632,F633=F634)),NA(), F633)</f>
        <v>0</v>
      </c>
      <c r="G919">
        <f>IF(ISNA(H919),NA(),G633)</f>
        <v>0</v>
      </c>
      <c r="H919">
        <f>IF(OR(H633="",AND(H633=H632,H633=H634)),NA(), H633)</f>
        <v>0</v>
      </c>
      <c r="K919">
        <f>IF(ISNA(L919),NA(),K633)</f>
        <v>0</v>
      </c>
      <c r="L919">
        <f>IF(OR(L633="",AND(L633=L632,L633=L634)),NA(), L633)</f>
        <v>0</v>
      </c>
      <c r="M919">
        <f>IF(ISNA(N919),NA(),M633)</f>
        <v>0</v>
      </c>
      <c r="N919">
        <f>IF(OR(N633="",AND(N633=N632,N633=N634)),NA(), N633)</f>
        <v>0</v>
      </c>
    </row>
    <row r="920" spans="5:14">
      <c r="E920">
        <f>IF(ISNA(F920),NA(),E634)</f>
        <v>0</v>
      </c>
      <c r="F920">
        <f>IF(OR(F634="",AND(F634=F633,F634=F635)),NA(), F634)</f>
        <v>0</v>
      </c>
      <c r="G920">
        <f>IF(ISNA(H920),NA(),G634)</f>
        <v>0</v>
      </c>
      <c r="H920">
        <f>IF(OR(H634="",AND(H634=H633,H634=H635)),NA(), H634)</f>
        <v>0</v>
      </c>
      <c r="K920">
        <f>IF(ISNA(L920),NA(),K634)</f>
        <v>0</v>
      </c>
      <c r="L920">
        <f>IF(OR(L634="",AND(L634=L633,L634=L635)),NA(), L634)</f>
        <v>0</v>
      </c>
      <c r="M920">
        <f>IF(ISNA(N920),NA(),M634)</f>
        <v>0</v>
      </c>
      <c r="N920">
        <f>IF(OR(N634="",AND(N634=N633,N634=N635)),NA(), N634)</f>
        <v>0</v>
      </c>
    </row>
    <row r="921" spans="5:14">
      <c r="E921">
        <f>IF(ISNA(F921),NA(),E635)</f>
        <v>0</v>
      </c>
      <c r="F921">
        <f>IF(OR(F635="",AND(F635=F634,F635=F636)),NA(), F635)</f>
        <v>0</v>
      </c>
      <c r="G921">
        <f>IF(ISNA(H921),NA(),G635)</f>
        <v>0</v>
      </c>
      <c r="H921">
        <f>IF(OR(H635="",AND(H635=H634,H635=H636)),NA(), H635)</f>
        <v>0</v>
      </c>
      <c r="K921">
        <f>IF(ISNA(L921),NA(),K635)</f>
        <v>0</v>
      </c>
      <c r="L921">
        <f>IF(OR(L635="",AND(L635=L634,L635=L636)),NA(), L635)</f>
        <v>0</v>
      </c>
      <c r="M921">
        <f>IF(ISNA(N921),NA(),M635)</f>
        <v>0</v>
      </c>
      <c r="N921">
        <f>IF(OR(N635="",AND(N635=N634,N635=N636)),NA(), N635)</f>
        <v>0</v>
      </c>
    </row>
    <row r="922" spans="5:14">
      <c r="E922">
        <f>IF(ISNA(F922),NA(),E636)</f>
        <v>0</v>
      </c>
      <c r="F922">
        <f>IF(OR(F636="",AND(F636=F635,F636=F637)),NA(), F636)</f>
        <v>0</v>
      </c>
      <c r="G922">
        <f>IF(ISNA(H922),NA(),G636)</f>
        <v>0</v>
      </c>
      <c r="H922">
        <f>IF(OR(H636="",AND(H636=H635,H636=H637)),NA(), H636)</f>
        <v>0</v>
      </c>
      <c r="K922">
        <f>IF(ISNA(L922),NA(),K636)</f>
        <v>0</v>
      </c>
      <c r="L922">
        <f>IF(OR(L636="",AND(L636=L635,L636=L637)),NA(), L636)</f>
        <v>0</v>
      </c>
      <c r="M922">
        <f>IF(ISNA(N922),NA(),M636)</f>
        <v>0</v>
      </c>
      <c r="N922">
        <f>IF(OR(N636="",AND(N636=N635,N636=N637)),NA(), N636)</f>
        <v>0</v>
      </c>
    </row>
    <row r="923" spans="5:14">
      <c r="E923">
        <f>IF(ISNA(F923),NA(),E637)</f>
        <v>0</v>
      </c>
      <c r="F923">
        <f>IF(OR(F637="",AND(F637=F636,F637=F638)),NA(), F637)</f>
        <v>0</v>
      </c>
      <c r="G923">
        <f>IF(ISNA(H923),NA(),G637)</f>
        <v>0</v>
      </c>
      <c r="H923">
        <f>IF(OR(H637="",AND(H637=H636,H637=H638)),NA(), H637)</f>
        <v>0</v>
      </c>
      <c r="K923">
        <f>IF(ISNA(L923),NA(),K637)</f>
        <v>0</v>
      </c>
      <c r="L923">
        <f>IF(OR(L637="",AND(L637=L636,L637=L638)),NA(), L637)</f>
        <v>0</v>
      </c>
      <c r="M923">
        <f>IF(ISNA(N923),NA(),M637)</f>
        <v>0</v>
      </c>
      <c r="N923">
        <f>IF(OR(N637="",AND(N637=N636,N637=N638)),NA(), N637)</f>
        <v>0</v>
      </c>
    </row>
    <row r="924" spans="5:14">
      <c r="E924">
        <f>IF(ISNA(F924),NA(),E638)</f>
        <v>0</v>
      </c>
      <c r="F924">
        <f>IF(OR(F638="",AND(F638=F637,F638=F639)),NA(), F638)</f>
        <v>0</v>
      </c>
      <c r="G924">
        <f>IF(ISNA(H924),NA(),G638)</f>
        <v>0</v>
      </c>
      <c r="H924">
        <f>IF(OR(H638="",AND(H638=H637,H638=H639)),NA(), H638)</f>
        <v>0</v>
      </c>
      <c r="K924">
        <f>IF(ISNA(L924),NA(),K638)</f>
        <v>0</v>
      </c>
      <c r="L924">
        <f>IF(OR(L638="",AND(L638=L637,L638=L639)),NA(), L638)</f>
        <v>0</v>
      </c>
      <c r="M924">
        <f>IF(ISNA(N924),NA(),M638)</f>
        <v>0</v>
      </c>
      <c r="N924">
        <f>IF(OR(N638="",AND(N638=N637,N638=N639)),NA(), N638)</f>
        <v>0</v>
      </c>
    </row>
    <row r="925" spans="5:14">
      <c r="E925">
        <f>IF(ISNA(F925),NA(),E639)</f>
        <v>0</v>
      </c>
      <c r="F925">
        <f>IF(OR(F639="",AND(F639=F638,F639=F640)),NA(), F639)</f>
        <v>0</v>
      </c>
      <c r="G925">
        <f>IF(ISNA(H925),NA(),G639)</f>
        <v>0</v>
      </c>
      <c r="H925">
        <f>IF(OR(H639="",AND(H639=H638,H639=H640)),NA(), H639)</f>
        <v>0</v>
      </c>
      <c r="K925">
        <f>IF(ISNA(L925),NA(),K639)</f>
        <v>0</v>
      </c>
      <c r="L925">
        <f>IF(OR(L639="",AND(L639=L638,L639=L640)),NA(), L639)</f>
        <v>0</v>
      </c>
      <c r="M925">
        <f>IF(ISNA(N925),NA(),M639)</f>
        <v>0</v>
      </c>
      <c r="N925">
        <f>IF(OR(N639="",AND(N639=N638,N639=N640)),NA(), N639)</f>
        <v>0</v>
      </c>
    </row>
    <row r="926" spans="5:14">
      <c r="E926">
        <f>IF(ISNA(F926),NA(),E640)</f>
        <v>0</v>
      </c>
      <c r="F926">
        <f>IF(OR(F640="",AND(F640=F639,F640=F641)),NA(), F640)</f>
        <v>0</v>
      </c>
      <c r="G926">
        <f>IF(ISNA(H926),NA(),G640)</f>
        <v>0</v>
      </c>
      <c r="H926">
        <f>IF(OR(H640="",AND(H640=H639,H640=H641)),NA(), H640)</f>
        <v>0</v>
      </c>
      <c r="K926">
        <f>IF(ISNA(L926),NA(),K640)</f>
        <v>0</v>
      </c>
      <c r="L926">
        <f>IF(OR(L640="",AND(L640=L639,L640=L641)),NA(), L640)</f>
        <v>0</v>
      </c>
      <c r="M926">
        <f>IF(ISNA(N926),NA(),M640)</f>
        <v>0</v>
      </c>
      <c r="N926">
        <f>IF(OR(N640="",AND(N640=N639,N640=N641)),NA(), N640)</f>
        <v>0</v>
      </c>
    </row>
    <row r="927" spans="5:14">
      <c r="E927">
        <f>IF(ISNA(F927),NA(),E641)</f>
        <v>0</v>
      </c>
      <c r="F927">
        <f>IF(OR(F641="",AND(F641=F640,F641=F642)),NA(), F641)</f>
        <v>0</v>
      </c>
      <c r="G927">
        <f>IF(ISNA(H927),NA(),G641)</f>
        <v>0</v>
      </c>
      <c r="H927">
        <f>IF(OR(H641="",AND(H641=H640,H641=H642)),NA(), H641)</f>
        <v>0</v>
      </c>
      <c r="K927">
        <f>IF(ISNA(L927),NA(),K641)</f>
        <v>0</v>
      </c>
      <c r="L927">
        <f>IF(OR(L641="",AND(L641=L640,L641=L642)),NA(), L641)</f>
        <v>0</v>
      </c>
      <c r="M927">
        <f>IF(ISNA(N927),NA(),M641)</f>
        <v>0</v>
      </c>
      <c r="N927">
        <f>IF(OR(N641="",AND(N641=N640,N641=N642)),NA(), N641)</f>
        <v>0</v>
      </c>
    </row>
    <row r="928" spans="5:14">
      <c r="E928">
        <f>IF(ISNA(F928),NA(),E642)</f>
        <v>0</v>
      </c>
      <c r="F928">
        <f>IF(OR(F642="",AND(F642=F641,F642=F643)),NA(), F642)</f>
        <v>0</v>
      </c>
      <c r="G928">
        <f>IF(ISNA(H928),NA(),G642)</f>
        <v>0</v>
      </c>
      <c r="H928">
        <f>IF(OR(H642="",AND(H642=H641,H642=H643)),NA(), H642)</f>
        <v>0</v>
      </c>
      <c r="K928">
        <f>IF(ISNA(L928),NA(),K642)</f>
        <v>0</v>
      </c>
      <c r="L928">
        <f>IF(OR(L642="",AND(L642=L641,L642=L643)),NA(), L642)</f>
        <v>0</v>
      </c>
      <c r="M928">
        <f>IF(ISNA(N928),NA(),M642)</f>
        <v>0</v>
      </c>
      <c r="N928">
        <f>IF(OR(N642="",AND(N642=N641,N642=N643)),NA(), N642)</f>
        <v>0</v>
      </c>
    </row>
    <row r="929" spans="5:14">
      <c r="E929">
        <f>IF(ISNA(F929),NA(),E643)</f>
        <v>0</v>
      </c>
      <c r="F929">
        <f>IF(OR(F643="",AND(F643=F642,F643=F644)),NA(), F643)</f>
        <v>0</v>
      </c>
      <c r="G929">
        <f>IF(ISNA(H929),NA(),G643)</f>
        <v>0</v>
      </c>
      <c r="H929">
        <f>IF(OR(H643="",AND(H643=H642,H643=H644)),NA(), H643)</f>
        <v>0</v>
      </c>
      <c r="K929">
        <f>IF(ISNA(L929),NA(),K643)</f>
        <v>0</v>
      </c>
      <c r="L929">
        <f>IF(OR(L643="",AND(L643=L642,L643=L644)),NA(), L643)</f>
        <v>0</v>
      </c>
      <c r="M929">
        <f>IF(ISNA(N929),NA(),M643)</f>
        <v>0</v>
      </c>
      <c r="N929">
        <f>IF(OR(N643="",AND(N643=N642,N643=N644)),NA(), N643)</f>
        <v>0</v>
      </c>
    </row>
    <row r="930" spans="5:14">
      <c r="E930">
        <f>IF(ISNA(F930),NA(),E644)</f>
        <v>0</v>
      </c>
      <c r="F930">
        <f>IF(OR(F644="",AND(F644=F643,F644=F645)),NA(), F644)</f>
        <v>0</v>
      </c>
      <c r="G930">
        <f>IF(ISNA(H930),NA(),G644)</f>
        <v>0</v>
      </c>
      <c r="H930">
        <f>IF(OR(H644="",AND(H644=H643,H644=H645)),NA(), H644)</f>
        <v>0</v>
      </c>
      <c r="K930">
        <f>IF(ISNA(L930),NA(),K644)</f>
        <v>0</v>
      </c>
      <c r="L930">
        <f>IF(OR(L644="",AND(L644=L643,L644=L645)),NA(), L644)</f>
        <v>0</v>
      </c>
      <c r="M930">
        <f>IF(ISNA(N930),NA(),M644)</f>
        <v>0</v>
      </c>
      <c r="N930">
        <f>IF(OR(N644="",AND(N644=N643,N644=N645)),NA(), N644)</f>
        <v>0</v>
      </c>
    </row>
    <row r="931" spans="5:14">
      <c r="E931">
        <f>IF(ISNA(F931),NA(),E645)</f>
        <v>0</v>
      </c>
      <c r="F931">
        <f>IF(OR(F645="",AND(F645=F644,F645=F646)),NA(), F645)</f>
        <v>0</v>
      </c>
      <c r="G931">
        <f>IF(ISNA(H931),NA(),G645)</f>
        <v>0</v>
      </c>
      <c r="H931">
        <f>IF(OR(H645="",AND(H645=H644,H645=H646)),NA(), H645)</f>
        <v>0</v>
      </c>
      <c r="K931">
        <f>IF(ISNA(L931),NA(),K645)</f>
        <v>0</v>
      </c>
      <c r="L931">
        <f>IF(OR(L645="",AND(L645=L644,L645=L646)),NA(), L645)</f>
        <v>0</v>
      </c>
      <c r="M931">
        <f>IF(ISNA(N931),NA(),M645)</f>
        <v>0</v>
      </c>
      <c r="N931">
        <f>IF(OR(N645="",AND(N645=N644,N645=N646)),NA(), N645)</f>
        <v>0</v>
      </c>
    </row>
    <row r="932" spans="5:14">
      <c r="E932">
        <f>IF(ISNA(F932),NA(),E646)</f>
        <v>0</v>
      </c>
      <c r="F932">
        <f>IF(OR(F646="",AND(F646=F645,F646=F647)),NA(), F646)</f>
        <v>0</v>
      </c>
      <c r="G932">
        <f>IF(ISNA(H932),NA(),G646)</f>
        <v>0</v>
      </c>
      <c r="H932">
        <f>IF(OR(H646="",AND(H646=H645,H646=H647)),NA(), H646)</f>
        <v>0</v>
      </c>
      <c r="K932">
        <f>IF(ISNA(L932),NA(),K646)</f>
        <v>0</v>
      </c>
      <c r="L932">
        <f>IF(OR(L646="",AND(L646=L645,L646=L647)),NA(), L646)</f>
        <v>0</v>
      </c>
      <c r="M932">
        <f>IF(ISNA(N932),NA(),M646)</f>
        <v>0</v>
      </c>
      <c r="N932">
        <f>IF(OR(N646="",AND(N646=N645,N646=N647)),NA(), N646)</f>
        <v>0</v>
      </c>
    </row>
    <row r="933" spans="5:14">
      <c r="E933">
        <f>IF(ISNA(F933),NA(),E647)</f>
        <v>0</v>
      </c>
      <c r="F933">
        <f>IF(OR(F647="",AND(F647=F646,F647=F648)),NA(), F647)</f>
        <v>0</v>
      </c>
      <c r="G933">
        <f>IF(ISNA(H933),NA(),G647)</f>
        <v>0</v>
      </c>
      <c r="H933">
        <f>IF(OR(H647="",AND(H647=H646,H647=H648)),NA(), H647)</f>
        <v>0</v>
      </c>
      <c r="K933">
        <f>IF(ISNA(L933),NA(),K647)</f>
        <v>0</v>
      </c>
      <c r="L933">
        <f>IF(OR(L647="",AND(L647=L646,L647=L648)),NA(), L647)</f>
        <v>0</v>
      </c>
      <c r="M933">
        <f>IF(ISNA(N933),NA(),M647)</f>
        <v>0</v>
      </c>
      <c r="N933">
        <f>IF(OR(N647="",AND(N647=N646,N647=N648)),NA(), N647)</f>
        <v>0</v>
      </c>
    </row>
    <row r="934" spans="5:14">
      <c r="E934">
        <f>IF(ISNA(F934),NA(),E648)</f>
        <v>0</v>
      </c>
      <c r="F934">
        <f>IF(OR(F648="",AND(F648=F647,F648=F649)),NA(), F648)</f>
        <v>0</v>
      </c>
      <c r="G934">
        <f>IF(ISNA(H934),NA(),G648)</f>
        <v>0</v>
      </c>
      <c r="H934">
        <f>IF(OR(H648="",AND(H648=H647,H648=H649)),NA(), H648)</f>
        <v>0</v>
      </c>
      <c r="K934">
        <f>IF(ISNA(L934),NA(),K648)</f>
        <v>0</v>
      </c>
      <c r="L934">
        <f>IF(OR(L648="",AND(L648=L647,L648=L649)),NA(), L648)</f>
        <v>0</v>
      </c>
      <c r="M934">
        <f>IF(ISNA(N934),NA(),M648)</f>
        <v>0</v>
      </c>
      <c r="N934">
        <f>IF(OR(N648="",AND(N648=N647,N648=N649)),NA(), N648)</f>
        <v>0</v>
      </c>
    </row>
    <row r="935" spans="5:14">
      <c r="E935">
        <f>IF(ISNA(F935),NA(),E649)</f>
        <v>0</v>
      </c>
      <c r="F935">
        <f>IF(OR(F649="",AND(F649=F648,F649=F650)),NA(), F649)</f>
        <v>0</v>
      </c>
      <c r="G935">
        <f>IF(ISNA(H935),NA(),G649)</f>
        <v>0</v>
      </c>
      <c r="H935">
        <f>IF(OR(H649="",AND(H649=H648,H649=H650)),NA(), H649)</f>
        <v>0</v>
      </c>
      <c r="K935">
        <f>IF(ISNA(L935),NA(),K649)</f>
        <v>0</v>
      </c>
      <c r="L935">
        <f>IF(OR(L649="",AND(L649=L648,L649=L650)),NA(), L649)</f>
        <v>0</v>
      </c>
      <c r="M935">
        <f>IF(ISNA(N935),NA(),M649)</f>
        <v>0</v>
      </c>
      <c r="N935">
        <f>IF(OR(N649="",AND(N649=N648,N649=N650)),NA(), N649)</f>
        <v>0</v>
      </c>
    </row>
    <row r="936" spans="5:14">
      <c r="E936">
        <f>IF(ISNA(F936),NA(),E650)</f>
        <v>0</v>
      </c>
      <c r="F936">
        <f>IF(OR(F650="",AND(F650=F649,F650=F651)),NA(), F650)</f>
        <v>0</v>
      </c>
      <c r="G936">
        <f>IF(ISNA(H936),NA(),G650)</f>
        <v>0</v>
      </c>
      <c r="H936">
        <f>IF(OR(H650="",AND(H650=H649,H650=H651)),NA(), H650)</f>
        <v>0</v>
      </c>
      <c r="K936">
        <f>IF(ISNA(L936),NA(),K650)</f>
        <v>0</v>
      </c>
      <c r="L936">
        <f>IF(OR(L650="",AND(L650=L649,L650=L651)),NA(), L650)</f>
        <v>0</v>
      </c>
      <c r="M936">
        <f>IF(ISNA(N936),NA(),M650)</f>
        <v>0</v>
      </c>
      <c r="N936">
        <f>IF(OR(N650="",AND(N650=N649,N650=N651)),NA(), N650)</f>
        <v>0</v>
      </c>
    </row>
    <row r="937" spans="5:14">
      <c r="E937">
        <f>IF(ISNA(F937),NA(),E651)</f>
        <v>0</v>
      </c>
      <c r="F937">
        <f>IF(OR(F651="",AND(F651=F650,F651=F652)),NA(), F651)</f>
        <v>0</v>
      </c>
      <c r="G937">
        <f>IF(ISNA(H937),NA(),G651)</f>
        <v>0</v>
      </c>
      <c r="H937">
        <f>IF(OR(H651="",AND(H651=H650,H651=H652)),NA(), H651)</f>
        <v>0</v>
      </c>
      <c r="K937">
        <f>IF(ISNA(L937),NA(),K651)</f>
        <v>0</v>
      </c>
      <c r="L937">
        <f>IF(OR(L651="",AND(L651=L650,L651=L652)),NA(), L651)</f>
        <v>0</v>
      </c>
      <c r="M937">
        <f>IF(ISNA(N937),NA(),M651)</f>
        <v>0</v>
      </c>
      <c r="N937">
        <f>IF(OR(N651="",AND(N651=N650,N651=N652)),NA(), N651)</f>
        <v>0</v>
      </c>
    </row>
    <row r="938" spans="5:14">
      <c r="E938">
        <f>IF(ISNA(F938),NA(),E652)</f>
        <v>0</v>
      </c>
      <c r="F938">
        <f>IF(OR(F652="",AND(F652=F651,F652=F653)),NA(), F652)</f>
        <v>0</v>
      </c>
      <c r="G938">
        <f>IF(ISNA(H938),NA(),G652)</f>
        <v>0</v>
      </c>
      <c r="H938">
        <f>IF(OR(H652="",AND(H652=H651,H652=H653)),NA(), H652)</f>
        <v>0</v>
      </c>
      <c r="K938">
        <f>IF(ISNA(L938),NA(),K652)</f>
        <v>0</v>
      </c>
      <c r="L938">
        <f>IF(OR(L652="",AND(L652=L651,L652=L653)),NA(), L652)</f>
        <v>0</v>
      </c>
      <c r="M938">
        <f>IF(ISNA(N938),NA(),M652)</f>
        <v>0</v>
      </c>
      <c r="N938">
        <f>IF(OR(N652="",AND(N652=N651,N652=N653)),NA(), N652)</f>
        <v>0</v>
      </c>
    </row>
    <row r="939" spans="5:14">
      <c r="E939">
        <f>IF(ISNA(F939),NA(),E653)</f>
        <v>0</v>
      </c>
      <c r="F939">
        <f>IF(OR(F653="",AND(F653=F652,F653=F654)),NA(), F653)</f>
        <v>0</v>
      </c>
      <c r="G939">
        <f>IF(ISNA(H939),NA(),G653)</f>
        <v>0</v>
      </c>
      <c r="H939">
        <f>IF(OR(H653="",AND(H653=H652,H653=H654)),NA(), H653)</f>
        <v>0</v>
      </c>
      <c r="K939">
        <f>IF(ISNA(L939),NA(),K653)</f>
        <v>0</v>
      </c>
      <c r="L939">
        <f>IF(OR(L653="",AND(L653=L652,L653=L654)),NA(), L653)</f>
        <v>0</v>
      </c>
      <c r="M939">
        <f>IF(ISNA(N939),NA(),M653)</f>
        <v>0</v>
      </c>
      <c r="N939">
        <f>IF(OR(N653="",AND(N653=N652,N653=N654)),NA(), N653)</f>
        <v>0</v>
      </c>
    </row>
    <row r="940" spans="5:14">
      <c r="E940">
        <f>IF(ISNA(F940),NA(),E654)</f>
        <v>0</v>
      </c>
      <c r="F940">
        <f>IF(OR(F654="",AND(F654=F653,F654=F655)),NA(), F654)</f>
        <v>0</v>
      </c>
      <c r="G940">
        <f>IF(ISNA(H940),NA(),G654)</f>
        <v>0</v>
      </c>
      <c r="H940">
        <f>IF(OR(H654="",AND(H654=H653,H654=H655)),NA(), H654)</f>
        <v>0</v>
      </c>
      <c r="K940">
        <f>IF(ISNA(L940),NA(),K654)</f>
        <v>0</v>
      </c>
      <c r="L940">
        <f>IF(OR(L654="",AND(L654=L653,L654=L655)),NA(), L654)</f>
        <v>0</v>
      </c>
      <c r="M940">
        <f>IF(ISNA(N940),NA(),M654)</f>
        <v>0</v>
      </c>
      <c r="N940">
        <f>IF(OR(N654="",AND(N654=N653,N654=N655)),NA(), N654)</f>
        <v>0</v>
      </c>
    </row>
    <row r="941" spans="5:14">
      <c r="E941">
        <f>IF(ISNA(F941),NA(),E655)</f>
        <v>0</v>
      </c>
      <c r="F941">
        <f>IF(OR(F655="",AND(F655=F654,F655=F656)),NA(), F655)</f>
        <v>0</v>
      </c>
      <c r="G941">
        <f>IF(ISNA(H941),NA(),G655)</f>
        <v>0</v>
      </c>
      <c r="H941">
        <f>IF(OR(H655="",AND(H655=H654,H655=H656)),NA(), H655)</f>
        <v>0</v>
      </c>
      <c r="K941">
        <f>IF(ISNA(L941),NA(),K655)</f>
        <v>0</v>
      </c>
      <c r="L941">
        <f>IF(OR(L655="",AND(L655=L654,L655=L656)),NA(), L655)</f>
        <v>0</v>
      </c>
      <c r="M941">
        <f>IF(ISNA(N941),NA(),M655)</f>
        <v>0</v>
      </c>
      <c r="N941">
        <f>IF(OR(N655="",AND(N655=N654,N655=N656)),NA(), N655)</f>
        <v>0</v>
      </c>
    </row>
    <row r="942" spans="5:14">
      <c r="E942">
        <f>IF(ISNA(F942),NA(),E656)</f>
        <v>0</v>
      </c>
      <c r="F942">
        <f>IF(OR(F656="",AND(F656=F655,F656=F657)),NA(), F656)</f>
        <v>0</v>
      </c>
      <c r="G942">
        <f>IF(ISNA(H942),NA(),G656)</f>
        <v>0</v>
      </c>
      <c r="H942">
        <f>IF(OR(H656="",AND(H656=H655,H656=H657)),NA(), H656)</f>
        <v>0</v>
      </c>
      <c r="K942">
        <f>IF(ISNA(L942),NA(),K656)</f>
        <v>0</v>
      </c>
      <c r="L942">
        <f>IF(OR(L656="",AND(L656=L655,L656=L657)),NA(), L656)</f>
        <v>0</v>
      </c>
      <c r="M942">
        <f>IF(ISNA(N942),NA(),M656)</f>
        <v>0</v>
      </c>
      <c r="N942">
        <f>IF(OR(N656="",AND(N656=N655,N656=N657)),NA(), N656)</f>
        <v>0</v>
      </c>
    </row>
    <row r="943" spans="5:14">
      <c r="E943">
        <f>IF(ISNA(F943),NA(),E657)</f>
        <v>0</v>
      </c>
      <c r="F943">
        <f>IF(OR(F657="",AND(F657=F656,F657=F658)),NA(), F657)</f>
        <v>0</v>
      </c>
      <c r="G943">
        <f>IF(ISNA(H943),NA(),G657)</f>
        <v>0</v>
      </c>
      <c r="H943">
        <f>IF(OR(H657="",AND(H657=H656,H657=H658)),NA(), H657)</f>
        <v>0</v>
      </c>
      <c r="K943">
        <f>IF(ISNA(L943),NA(),K657)</f>
        <v>0</v>
      </c>
      <c r="L943">
        <f>IF(OR(L657="",AND(L657=L656,L657=L658)),NA(), L657)</f>
        <v>0</v>
      </c>
      <c r="M943">
        <f>IF(ISNA(N943),NA(),M657)</f>
        <v>0</v>
      </c>
      <c r="N943">
        <f>IF(OR(N657="",AND(N657=N656,N657=N658)),NA(), N657)</f>
        <v>0</v>
      </c>
    </row>
    <row r="944" spans="5:14">
      <c r="E944">
        <f>IF(ISNA(F944),NA(),E658)</f>
        <v>0</v>
      </c>
      <c r="F944">
        <f>IF(OR(F658="",AND(F658=F657,F658=F659)),NA(), F658)</f>
        <v>0</v>
      </c>
      <c r="G944">
        <f>IF(ISNA(H944),NA(),G658)</f>
        <v>0</v>
      </c>
      <c r="H944">
        <f>IF(OR(H658="",AND(H658=H657,H658=H659)),NA(), H658)</f>
        <v>0</v>
      </c>
      <c r="K944">
        <f>IF(ISNA(L944),NA(),K658)</f>
        <v>0</v>
      </c>
      <c r="L944">
        <f>IF(OR(L658="",AND(L658=L657,L658=L659)),NA(), L658)</f>
        <v>0</v>
      </c>
      <c r="M944">
        <f>IF(ISNA(N944),NA(),M658)</f>
        <v>0</v>
      </c>
      <c r="N944">
        <f>IF(OR(N658="",AND(N658=N657,N658=N659)),NA(), N658)</f>
        <v>0</v>
      </c>
    </row>
    <row r="945" spans="5:14">
      <c r="E945">
        <f>IF(ISNA(F945),NA(),E659)</f>
        <v>0</v>
      </c>
      <c r="F945">
        <f>IF(OR(F659="",AND(F659=F658,F659=F660)),NA(), F659)</f>
        <v>0</v>
      </c>
      <c r="G945">
        <f>IF(ISNA(H945),NA(),G659)</f>
        <v>0</v>
      </c>
      <c r="H945">
        <f>IF(OR(H659="",AND(H659=H658,H659=H660)),NA(), H659)</f>
        <v>0</v>
      </c>
      <c r="K945">
        <f>IF(ISNA(L945),NA(),K659)</f>
        <v>0</v>
      </c>
      <c r="L945">
        <f>IF(OR(L659="",AND(L659=L658,L659=L660)),NA(), L659)</f>
        <v>0</v>
      </c>
      <c r="M945">
        <f>IF(ISNA(N945),NA(),M659)</f>
        <v>0</v>
      </c>
      <c r="N945">
        <f>IF(OR(N659="",AND(N659=N658,N659=N660)),NA(), N659)</f>
        <v>0</v>
      </c>
    </row>
    <row r="946" spans="5:14">
      <c r="E946">
        <f>IF(ISNA(F946),NA(),E660)</f>
        <v>0</v>
      </c>
      <c r="F946">
        <f>IF(OR(F660="",AND(F660=F659,F660=F661)),NA(), F660)</f>
        <v>0</v>
      </c>
      <c r="G946">
        <f>IF(ISNA(H946),NA(),G660)</f>
        <v>0</v>
      </c>
      <c r="H946">
        <f>IF(OR(H660="",AND(H660=H659,H660=H661)),NA(), H660)</f>
        <v>0</v>
      </c>
      <c r="K946">
        <f>IF(ISNA(L946),NA(),K660)</f>
        <v>0</v>
      </c>
      <c r="L946">
        <f>IF(OR(L660="",AND(L660=L659,L660=L661)),NA(), L660)</f>
        <v>0</v>
      </c>
      <c r="M946">
        <f>IF(ISNA(N946),NA(),M660)</f>
        <v>0</v>
      </c>
      <c r="N946">
        <f>IF(OR(N660="",AND(N660=N659,N660=N661)),NA(), N660)</f>
        <v>0</v>
      </c>
    </row>
    <row r="947" spans="5:14">
      <c r="E947">
        <f>IF(ISNA(F947),NA(),E661)</f>
        <v>0</v>
      </c>
      <c r="F947">
        <f>IF(OR(F661="",AND(F661=F660,F661=F662)),NA(), F661)</f>
        <v>0</v>
      </c>
      <c r="G947">
        <f>IF(ISNA(H947),NA(),G661)</f>
        <v>0</v>
      </c>
      <c r="H947">
        <f>IF(OR(H661="",AND(H661=H660,H661=H662)),NA(), H661)</f>
        <v>0</v>
      </c>
      <c r="K947">
        <f>IF(ISNA(L947),NA(),K661)</f>
        <v>0</v>
      </c>
      <c r="L947">
        <f>IF(OR(L661="",AND(L661=L660,L661=L662)),NA(), L661)</f>
        <v>0</v>
      </c>
      <c r="M947">
        <f>IF(ISNA(N947),NA(),M661)</f>
        <v>0</v>
      </c>
      <c r="N947">
        <f>IF(OR(N661="",AND(N661=N660,N661=N662)),NA(), N661)</f>
        <v>0</v>
      </c>
    </row>
    <row r="948" spans="5:14">
      <c r="E948">
        <f>IF(ISNA(F948),NA(),E662)</f>
        <v>0</v>
      </c>
      <c r="F948">
        <f>IF(OR(F662="",AND(F662=F661,F662=F663)),NA(), F662)</f>
        <v>0</v>
      </c>
      <c r="G948">
        <f>IF(ISNA(H948),NA(),G662)</f>
        <v>0</v>
      </c>
      <c r="H948">
        <f>IF(OR(H662="",AND(H662=H661,H662=H663)),NA(), H662)</f>
        <v>0</v>
      </c>
      <c r="K948">
        <f>IF(ISNA(L948),NA(),K662)</f>
        <v>0</v>
      </c>
      <c r="L948">
        <f>IF(OR(L662="",AND(L662=L661,L662=L663)),NA(), L662)</f>
        <v>0</v>
      </c>
      <c r="M948">
        <f>IF(ISNA(N948),NA(),M662)</f>
        <v>0</v>
      </c>
      <c r="N948">
        <f>IF(OR(N662="",AND(N662=N661,N662=N663)),NA(), N662)</f>
        <v>0</v>
      </c>
    </row>
    <row r="949" spans="5:14">
      <c r="E949">
        <f>IF(ISNA(F949),NA(),E663)</f>
        <v>0</v>
      </c>
      <c r="F949">
        <f>IF(OR(F663="",AND(F663=F662,F663=F664)),NA(), F663)</f>
        <v>0</v>
      </c>
      <c r="G949">
        <f>IF(ISNA(H949),NA(),G663)</f>
        <v>0</v>
      </c>
      <c r="H949">
        <f>IF(OR(H663="",AND(H663=H662,H663=H664)),NA(), H663)</f>
        <v>0</v>
      </c>
      <c r="K949">
        <f>IF(ISNA(L949),NA(),K663)</f>
        <v>0</v>
      </c>
      <c r="L949">
        <f>IF(OR(L663="",AND(L663=L662,L663=L664)),NA(), L663)</f>
        <v>0</v>
      </c>
      <c r="M949">
        <f>IF(ISNA(N949),NA(),M663)</f>
        <v>0</v>
      </c>
      <c r="N949">
        <f>IF(OR(N663="",AND(N663=N662,N663=N664)),NA(), N663)</f>
        <v>0</v>
      </c>
    </row>
    <row r="950" spans="5:14">
      <c r="E950">
        <f>IF(ISNA(F950),NA(),E664)</f>
        <v>0</v>
      </c>
      <c r="F950">
        <f>IF(OR(F664="",AND(F664=F663,F664=F665)),NA(), F664)</f>
        <v>0</v>
      </c>
      <c r="G950">
        <f>IF(ISNA(H950),NA(),G664)</f>
        <v>0</v>
      </c>
      <c r="H950">
        <f>IF(OR(H664="",AND(H664=H663,H664=H665)),NA(), H664)</f>
        <v>0</v>
      </c>
      <c r="K950">
        <f>IF(ISNA(L950),NA(),K664)</f>
        <v>0</v>
      </c>
      <c r="L950">
        <f>IF(OR(L664="",AND(L664=L663,L664=L665)),NA(), L664)</f>
        <v>0</v>
      </c>
      <c r="M950">
        <f>IF(ISNA(N950),NA(),M664)</f>
        <v>0</v>
      </c>
      <c r="N950">
        <f>IF(OR(N664="",AND(N664=N663,N664=N665)),NA(), N664)</f>
        <v>0</v>
      </c>
    </row>
    <row r="951" spans="5:14">
      <c r="E951">
        <f>IF(ISNA(F951),NA(),E665)</f>
        <v>0</v>
      </c>
      <c r="F951">
        <f>IF(OR(F665="",AND(F665=F664,F665=F666)),NA(), F665)</f>
        <v>0</v>
      </c>
      <c r="G951">
        <f>IF(ISNA(H951),NA(),G665)</f>
        <v>0</v>
      </c>
      <c r="H951">
        <f>IF(OR(H665="",AND(H665=H664,H665=H666)),NA(), H665)</f>
        <v>0</v>
      </c>
      <c r="K951">
        <f>IF(ISNA(L951),NA(),K665)</f>
        <v>0</v>
      </c>
      <c r="L951">
        <f>IF(OR(L665="",AND(L665=L664,L665=L666)),NA(), L665)</f>
        <v>0</v>
      </c>
      <c r="M951">
        <f>IF(ISNA(N951),NA(),M665)</f>
        <v>0</v>
      </c>
      <c r="N951">
        <f>IF(OR(N665="",AND(N665=N664,N665=N666)),NA(), N665)</f>
        <v>0</v>
      </c>
    </row>
    <row r="952" spans="5:14">
      <c r="E952">
        <f>IF(ISNA(F952),NA(),E666)</f>
        <v>0</v>
      </c>
      <c r="F952">
        <f>IF(OR(F666="",AND(F666=F665,F666=F667)),NA(), F666)</f>
        <v>0</v>
      </c>
      <c r="G952">
        <f>IF(ISNA(H952),NA(),G666)</f>
        <v>0</v>
      </c>
      <c r="H952">
        <f>IF(OR(H666="",AND(H666=H665,H666=H667)),NA(), H666)</f>
        <v>0</v>
      </c>
      <c r="K952">
        <f>IF(ISNA(L952),NA(),K666)</f>
        <v>0</v>
      </c>
      <c r="L952">
        <f>IF(OR(L666="",AND(L666=L665,L666=L667)),NA(), L666)</f>
        <v>0</v>
      </c>
      <c r="M952">
        <f>IF(ISNA(N952),NA(),M666)</f>
        <v>0</v>
      </c>
      <c r="N952">
        <f>IF(OR(N666="",AND(N666=N665,N666=N667)),NA(), N666)</f>
        <v>0</v>
      </c>
    </row>
    <row r="953" spans="5:14">
      <c r="E953">
        <f>IF(ISNA(F953),NA(),E667)</f>
        <v>0</v>
      </c>
      <c r="F953">
        <f>IF(OR(F667="",AND(F667=F666,F667=F668)),NA(), F667)</f>
        <v>0</v>
      </c>
      <c r="G953">
        <f>IF(ISNA(H953),NA(),G667)</f>
        <v>0</v>
      </c>
      <c r="H953">
        <f>IF(OR(H667="",AND(H667=H666,H667=H668)),NA(), H667)</f>
        <v>0</v>
      </c>
      <c r="K953">
        <f>IF(ISNA(L953),NA(),K667)</f>
        <v>0</v>
      </c>
      <c r="L953">
        <f>IF(OR(L667="",AND(L667=L666,L667=L668)),NA(), L667)</f>
        <v>0</v>
      </c>
      <c r="M953">
        <f>IF(ISNA(N953),NA(),M667)</f>
        <v>0</v>
      </c>
      <c r="N953">
        <f>IF(OR(N667="",AND(N667=N666,N667=N668)),NA(), N667)</f>
        <v>0</v>
      </c>
    </row>
    <row r="954" spans="5:14">
      <c r="E954">
        <f>IF(ISNA(F954),NA(),E668)</f>
        <v>0</v>
      </c>
      <c r="F954">
        <f>IF(OR(F668="",AND(F668=F667,F668=F669)),NA(), F668)</f>
        <v>0</v>
      </c>
      <c r="G954">
        <f>IF(ISNA(H954),NA(),G668)</f>
        <v>0</v>
      </c>
      <c r="H954">
        <f>IF(OR(H668="",AND(H668=H667,H668=H669)),NA(), H668)</f>
        <v>0</v>
      </c>
      <c r="K954">
        <f>IF(ISNA(L954),NA(),K668)</f>
        <v>0</v>
      </c>
      <c r="L954">
        <f>IF(OR(L668="",AND(L668=L667,L668=L669)),NA(), L668)</f>
        <v>0</v>
      </c>
      <c r="M954">
        <f>IF(ISNA(N954),NA(),M668)</f>
        <v>0</v>
      </c>
      <c r="N954">
        <f>IF(OR(N668="",AND(N668=N667,N668=N669)),NA(), N668)</f>
        <v>0</v>
      </c>
    </row>
    <row r="955" spans="5:14">
      <c r="E955">
        <f>IF(ISNA(F955),NA(),E669)</f>
        <v>0</v>
      </c>
      <c r="F955">
        <f>IF(OR(F669="",AND(F669=F668,F669=F670)),NA(), F669)</f>
        <v>0</v>
      </c>
      <c r="G955">
        <f>IF(ISNA(H955),NA(),G669)</f>
        <v>0</v>
      </c>
      <c r="H955">
        <f>IF(OR(H669="",AND(H669=H668,H669=H670)),NA(), H669)</f>
        <v>0</v>
      </c>
      <c r="K955">
        <f>IF(ISNA(L955),NA(),K669)</f>
        <v>0</v>
      </c>
      <c r="L955">
        <f>IF(OR(L669="",AND(L669=L668,L669=L670)),NA(), L669)</f>
        <v>0</v>
      </c>
      <c r="M955">
        <f>IF(ISNA(N955),NA(),M669)</f>
        <v>0</v>
      </c>
      <c r="N955">
        <f>IF(OR(N669="",AND(N669=N668,N669=N670)),NA(), N669)</f>
        <v>0</v>
      </c>
    </row>
    <row r="956" spans="5:14">
      <c r="E956">
        <f>IF(ISNA(F956),NA(),E670)</f>
        <v>0</v>
      </c>
      <c r="F956">
        <f>IF(OR(F670="",AND(F670=F669,F670=F671)),NA(), F670)</f>
        <v>0</v>
      </c>
      <c r="G956">
        <f>IF(ISNA(H956),NA(),G670)</f>
        <v>0</v>
      </c>
      <c r="H956">
        <f>IF(OR(H670="",AND(H670=H669,H670=H671)),NA(), H670)</f>
        <v>0</v>
      </c>
      <c r="K956">
        <f>IF(ISNA(L956),NA(),K670)</f>
        <v>0</v>
      </c>
      <c r="L956">
        <f>IF(OR(L670="",AND(L670=L669,L670=L671)),NA(), L670)</f>
        <v>0</v>
      </c>
      <c r="M956">
        <f>IF(ISNA(N956),NA(),M670)</f>
        <v>0</v>
      </c>
      <c r="N956">
        <f>IF(OR(N670="",AND(N670=N669,N670=N671)),NA(), N670)</f>
        <v>0</v>
      </c>
    </row>
    <row r="957" spans="5:14">
      <c r="E957">
        <f>IF(ISNA(F957),NA(),E671)</f>
        <v>0</v>
      </c>
      <c r="F957">
        <f>IF(OR(F671="",AND(F671=F670,F671=F672)),NA(), F671)</f>
        <v>0</v>
      </c>
      <c r="G957">
        <f>IF(ISNA(H957),NA(),G671)</f>
        <v>0</v>
      </c>
      <c r="H957">
        <f>IF(OR(H671="",AND(H671=H670,H671=H672)),NA(), H671)</f>
        <v>0</v>
      </c>
      <c r="K957">
        <f>IF(ISNA(L957),NA(),K671)</f>
        <v>0</v>
      </c>
      <c r="L957">
        <f>IF(OR(L671="",AND(L671=L670,L671=L672)),NA(), L671)</f>
        <v>0</v>
      </c>
      <c r="M957">
        <f>IF(ISNA(N957),NA(),M671)</f>
        <v>0</v>
      </c>
      <c r="N957">
        <f>IF(OR(N671="",AND(N671=N670,N671=N672)),NA(), N671)</f>
        <v>0</v>
      </c>
    </row>
    <row r="958" spans="5:14">
      <c r="E958">
        <f>IF(ISNA(F958),NA(),E672)</f>
        <v>0</v>
      </c>
      <c r="F958">
        <f>IF(OR(F672="",AND(F672=F671,F672=F673)),NA(), F672)</f>
        <v>0</v>
      </c>
      <c r="G958">
        <f>IF(ISNA(H958),NA(),G672)</f>
        <v>0</v>
      </c>
      <c r="H958">
        <f>IF(OR(H672="",AND(H672=H671,H672=H673)),NA(), H672)</f>
        <v>0</v>
      </c>
      <c r="K958">
        <f>IF(ISNA(L958),NA(),K672)</f>
        <v>0</v>
      </c>
      <c r="L958">
        <f>IF(OR(L672="",AND(L672=L671,L672=L673)),NA(), L672)</f>
        <v>0</v>
      </c>
      <c r="M958">
        <f>IF(ISNA(N958),NA(),M672)</f>
        <v>0</v>
      </c>
      <c r="N958">
        <f>IF(OR(N672="",AND(N672=N671,N672=N673)),NA(), N672)</f>
        <v>0</v>
      </c>
    </row>
    <row r="959" spans="5:14">
      <c r="E959">
        <f>IF(ISNA(F959),NA(),E673)</f>
        <v>0</v>
      </c>
      <c r="F959">
        <f>IF(OR(F673="",AND(F673=F672,F673=F674)),NA(), F673)</f>
        <v>0</v>
      </c>
      <c r="G959">
        <f>IF(ISNA(H959),NA(),G673)</f>
        <v>0</v>
      </c>
      <c r="H959">
        <f>IF(OR(H673="",AND(H673=H672,H673=H674)),NA(), H673)</f>
        <v>0</v>
      </c>
      <c r="K959">
        <f>IF(ISNA(L959),NA(),K673)</f>
        <v>0</v>
      </c>
      <c r="L959">
        <f>IF(OR(L673="",AND(L673=L672,L673=L674)),NA(), L673)</f>
        <v>0</v>
      </c>
      <c r="M959">
        <f>IF(ISNA(N959),NA(),M673)</f>
        <v>0</v>
      </c>
      <c r="N959">
        <f>IF(OR(N673="",AND(N673=N672,N673=N674)),NA(), N673)</f>
        <v>0</v>
      </c>
    </row>
    <row r="960" spans="5:14">
      <c r="E960">
        <f>IF(ISNA(F960),NA(),E674)</f>
        <v>0</v>
      </c>
      <c r="F960">
        <f>IF(OR(F674="",AND(F674=F673,F674=F675)),NA(), F674)</f>
        <v>0</v>
      </c>
      <c r="G960">
        <f>IF(ISNA(H960),NA(),G674)</f>
        <v>0</v>
      </c>
      <c r="H960">
        <f>IF(OR(H674="",AND(H674=H673,H674=H675)),NA(), H674)</f>
        <v>0</v>
      </c>
      <c r="K960">
        <f>IF(ISNA(L960),NA(),K674)</f>
        <v>0</v>
      </c>
      <c r="L960">
        <f>IF(OR(L674="",AND(L674=L673,L674=L675)),NA(), L674)</f>
        <v>0</v>
      </c>
      <c r="M960">
        <f>IF(ISNA(N960),NA(),M674)</f>
        <v>0</v>
      </c>
      <c r="N960">
        <f>IF(OR(N674="",AND(N674=N673,N674=N675)),NA(), N674)</f>
        <v>0</v>
      </c>
    </row>
    <row r="961" spans="5:14">
      <c r="E961">
        <f>IF(ISNA(F961),NA(),E675)</f>
        <v>0</v>
      </c>
      <c r="F961">
        <f>IF(OR(F675="",AND(F675=F674,F675=F676)),NA(), F675)</f>
        <v>0</v>
      </c>
      <c r="G961">
        <f>IF(ISNA(H961),NA(),G675)</f>
        <v>0</v>
      </c>
      <c r="H961">
        <f>IF(OR(H675="",AND(H675=H674,H675=H676)),NA(), H675)</f>
        <v>0</v>
      </c>
      <c r="K961">
        <f>IF(ISNA(L961),NA(),K675)</f>
        <v>0</v>
      </c>
      <c r="L961">
        <f>IF(OR(L675="",AND(L675=L674,L675=L676)),NA(), L675)</f>
        <v>0</v>
      </c>
      <c r="M961">
        <f>IF(ISNA(N961),NA(),M675)</f>
        <v>0</v>
      </c>
      <c r="N961">
        <f>IF(OR(N675="",AND(N675=N674,N675=N676)),NA(), N675)</f>
        <v>0</v>
      </c>
    </row>
    <row r="962" spans="5:14">
      <c r="E962">
        <f>IF(ISNA(F962),NA(),E676)</f>
        <v>0</v>
      </c>
      <c r="F962">
        <f>IF(OR(F676="",AND(F676=F675,F676=F677)),NA(), F676)</f>
        <v>0</v>
      </c>
      <c r="G962">
        <f>IF(ISNA(H962),NA(),G676)</f>
        <v>0</v>
      </c>
      <c r="H962">
        <f>IF(OR(H676="",AND(H676=H675,H676=H677)),NA(), H676)</f>
        <v>0</v>
      </c>
      <c r="K962">
        <f>IF(ISNA(L962),NA(),K676)</f>
        <v>0</v>
      </c>
      <c r="L962">
        <f>IF(OR(L676="",AND(L676=L675,L676=L677)),NA(), L676)</f>
        <v>0</v>
      </c>
      <c r="M962">
        <f>IF(ISNA(N962),NA(),M676)</f>
        <v>0</v>
      </c>
      <c r="N962">
        <f>IF(OR(N676="",AND(N676=N675,N676=N677)),NA(), N676)</f>
        <v>0</v>
      </c>
    </row>
    <row r="963" spans="5:14">
      <c r="E963">
        <f>IF(ISNA(F963),NA(),E677)</f>
        <v>0</v>
      </c>
      <c r="F963">
        <f>IF(OR(F677="",AND(F677=F676,F677=F678)),NA(), F677)</f>
        <v>0</v>
      </c>
      <c r="G963">
        <f>IF(ISNA(H963),NA(),G677)</f>
        <v>0</v>
      </c>
      <c r="H963">
        <f>IF(OR(H677="",AND(H677=H676,H677=H678)),NA(), H677)</f>
        <v>0</v>
      </c>
      <c r="K963">
        <f>IF(ISNA(L963),NA(),K677)</f>
        <v>0</v>
      </c>
      <c r="L963">
        <f>IF(OR(L677="",AND(L677=L676,L677=L678)),NA(), L677)</f>
        <v>0</v>
      </c>
      <c r="M963">
        <f>IF(ISNA(N963),NA(),M677)</f>
        <v>0</v>
      </c>
      <c r="N963">
        <f>IF(OR(N677="",AND(N677=N676,N677=N678)),NA(), N677)</f>
        <v>0</v>
      </c>
    </row>
    <row r="964" spans="5:14">
      <c r="E964">
        <f>IF(ISNA(F964),NA(),E678)</f>
        <v>0</v>
      </c>
      <c r="F964">
        <f>IF(OR(F678="",AND(F678=F677,F678=F679)),NA(), F678)</f>
        <v>0</v>
      </c>
      <c r="G964">
        <f>IF(ISNA(H964),NA(),G678)</f>
        <v>0</v>
      </c>
      <c r="H964">
        <f>IF(OR(H678="",AND(H678=H677,H678=H679)),NA(), H678)</f>
        <v>0</v>
      </c>
      <c r="K964">
        <f>IF(ISNA(L964),NA(),K678)</f>
        <v>0</v>
      </c>
      <c r="L964">
        <f>IF(OR(L678="",AND(L678=L677,L678=L679)),NA(), L678)</f>
        <v>0</v>
      </c>
      <c r="M964">
        <f>IF(ISNA(N964),NA(),M678)</f>
        <v>0</v>
      </c>
      <c r="N964">
        <f>IF(OR(N678="",AND(N678=N677,N678=N679)),NA(), N678)</f>
        <v>0</v>
      </c>
    </row>
    <row r="965" spans="5:14">
      <c r="E965">
        <f>IF(ISNA(F965),NA(),E679)</f>
        <v>0</v>
      </c>
      <c r="F965">
        <f>IF(OR(F679="",AND(F679=F678,F679=F680)),NA(), F679)</f>
        <v>0</v>
      </c>
      <c r="G965">
        <f>IF(ISNA(H965),NA(),G679)</f>
        <v>0</v>
      </c>
      <c r="H965">
        <f>IF(OR(H679="",AND(H679=H678,H679=H680)),NA(), H679)</f>
        <v>0</v>
      </c>
      <c r="K965">
        <f>IF(ISNA(L965),NA(),K679)</f>
        <v>0</v>
      </c>
      <c r="L965">
        <f>IF(OR(L679="",AND(L679=L678,L679=L680)),NA(), L679)</f>
        <v>0</v>
      </c>
      <c r="M965">
        <f>IF(ISNA(N965),NA(),M679)</f>
        <v>0</v>
      </c>
      <c r="N965">
        <f>IF(OR(N679="",AND(N679=N678,N679=N680)),NA(), N679)</f>
        <v>0</v>
      </c>
    </row>
    <row r="966" spans="5:14">
      <c r="E966">
        <f>IF(ISNA(F966),NA(),E680)</f>
        <v>0</v>
      </c>
      <c r="F966">
        <f>IF(OR(F680="",AND(F680=F679,F680=F681)),NA(), F680)</f>
        <v>0</v>
      </c>
      <c r="G966">
        <f>IF(ISNA(H966),NA(),G680)</f>
        <v>0</v>
      </c>
      <c r="H966">
        <f>IF(OR(H680="",AND(H680=H679,H680=H681)),NA(), H680)</f>
        <v>0</v>
      </c>
      <c r="K966">
        <f>IF(ISNA(L966),NA(),K680)</f>
        <v>0</v>
      </c>
      <c r="L966">
        <f>IF(OR(L680="",AND(L680=L679,L680=L681)),NA(), L680)</f>
        <v>0</v>
      </c>
      <c r="M966">
        <f>IF(ISNA(N966),NA(),M680)</f>
        <v>0</v>
      </c>
      <c r="N966">
        <f>IF(OR(N680="",AND(N680=N679,N680=N681)),NA(), N680)</f>
        <v>0</v>
      </c>
    </row>
    <row r="967" spans="5:14">
      <c r="E967">
        <f>IF(ISNA(F967),NA(),E681)</f>
        <v>0</v>
      </c>
      <c r="F967">
        <f>IF(OR(F681="",AND(F681=F680,F681=F682)),NA(), F681)</f>
        <v>0</v>
      </c>
      <c r="G967">
        <f>IF(ISNA(H967),NA(),G681)</f>
        <v>0</v>
      </c>
      <c r="H967">
        <f>IF(OR(H681="",AND(H681=H680,H681=H682)),NA(), H681)</f>
        <v>0</v>
      </c>
      <c r="K967">
        <f>IF(ISNA(L967),NA(),K681)</f>
        <v>0</v>
      </c>
      <c r="L967">
        <f>IF(OR(L681="",AND(L681=L680,L681=L682)),NA(), L681)</f>
        <v>0</v>
      </c>
      <c r="M967">
        <f>IF(ISNA(N967),NA(),M681)</f>
        <v>0</v>
      </c>
      <c r="N967">
        <f>IF(OR(N681="",AND(N681=N680,N681=N682)),NA(), N681)</f>
        <v>0</v>
      </c>
    </row>
    <row r="968" spans="5:14">
      <c r="E968">
        <f>IF(ISNA(F968),NA(),E682)</f>
        <v>0</v>
      </c>
      <c r="F968">
        <f>IF(OR(F682="",AND(F682=F681,F682=F683)),NA(), F682)</f>
        <v>0</v>
      </c>
      <c r="G968">
        <f>IF(ISNA(H968),NA(),G682)</f>
        <v>0</v>
      </c>
      <c r="H968">
        <f>IF(OR(H682="",AND(H682=H681,H682=H683)),NA(), H682)</f>
        <v>0</v>
      </c>
      <c r="K968">
        <f>IF(ISNA(L968),NA(),K682)</f>
        <v>0</v>
      </c>
      <c r="L968">
        <f>IF(OR(L682="",AND(L682=L681,L682=L683)),NA(), L682)</f>
        <v>0</v>
      </c>
      <c r="M968">
        <f>IF(ISNA(N968),NA(),M682)</f>
        <v>0</v>
      </c>
      <c r="N968">
        <f>IF(OR(N682="",AND(N682=N681,N682=N683)),NA(), N682)</f>
        <v>0</v>
      </c>
    </row>
    <row r="969" spans="5:14">
      <c r="E969">
        <f>IF(ISNA(F969),NA(),E683)</f>
        <v>0</v>
      </c>
      <c r="F969">
        <f>IF(OR(F683="",AND(F683=F682,F683=F684)),NA(), F683)</f>
        <v>0</v>
      </c>
      <c r="G969">
        <f>IF(ISNA(H969),NA(),G683)</f>
        <v>0</v>
      </c>
      <c r="H969">
        <f>IF(OR(H683="",AND(H683=H682,H683=H684)),NA(), H683)</f>
        <v>0</v>
      </c>
      <c r="K969">
        <f>IF(ISNA(L969),NA(),K683)</f>
        <v>0</v>
      </c>
      <c r="L969">
        <f>IF(OR(L683="",AND(L683=L682,L683=L684)),NA(), L683)</f>
        <v>0</v>
      </c>
      <c r="M969">
        <f>IF(ISNA(N969),NA(),M683)</f>
        <v>0</v>
      </c>
      <c r="N969">
        <f>IF(OR(N683="",AND(N683=N682,N683=N684)),NA(), N683)</f>
        <v>0</v>
      </c>
    </row>
    <row r="970" spans="5:14">
      <c r="E970">
        <f>IF(ISNA(F970),NA(),E684)</f>
        <v>0</v>
      </c>
      <c r="F970">
        <f>IF(OR(F684="",AND(F684=F683,F684=F685)),NA(), F684)</f>
        <v>0</v>
      </c>
      <c r="G970">
        <f>IF(ISNA(H970),NA(),G684)</f>
        <v>0</v>
      </c>
      <c r="H970">
        <f>IF(OR(H684="",AND(H684=H683,H684=H685)),NA(), H684)</f>
        <v>0</v>
      </c>
      <c r="K970">
        <f>IF(ISNA(L970),NA(),K684)</f>
        <v>0</v>
      </c>
      <c r="L970">
        <f>IF(OR(L684="",AND(L684=L683,L684=L685)),NA(), L684)</f>
        <v>0</v>
      </c>
      <c r="M970">
        <f>IF(ISNA(N970),NA(),M684)</f>
        <v>0</v>
      </c>
      <c r="N970">
        <f>IF(OR(N684="",AND(N684=N683,N684=N685)),NA(), N684)</f>
        <v>0</v>
      </c>
    </row>
    <row r="971" spans="5:14">
      <c r="E971">
        <f>IF(ISNA(F971),NA(),E685)</f>
        <v>0</v>
      </c>
      <c r="F971">
        <f>IF(OR(F685="",AND(F685=F684,F685=F686)),NA(), F685)</f>
        <v>0</v>
      </c>
      <c r="G971">
        <f>IF(ISNA(H971),NA(),G685)</f>
        <v>0</v>
      </c>
      <c r="H971">
        <f>IF(OR(H685="",AND(H685=H684,H685=H686)),NA(), H685)</f>
        <v>0</v>
      </c>
      <c r="K971">
        <f>IF(ISNA(L971),NA(),K685)</f>
        <v>0</v>
      </c>
      <c r="L971">
        <f>IF(OR(L685="",AND(L685=L684,L685=L686)),NA(), L685)</f>
        <v>0</v>
      </c>
      <c r="M971">
        <f>IF(ISNA(N971),NA(),M685)</f>
        <v>0</v>
      </c>
      <c r="N971">
        <f>IF(OR(N685="",AND(N685=N684,N685=N686)),NA(), N685)</f>
        <v>0</v>
      </c>
    </row>
    <row r="972" spans="5:14">
      <c r="E972">
        <f>IF(ISNA(F972),NA(),E686)</f>
        <v>0</v>
      </c>
      <c r="F972">
        <f>IF(OR(F686="",AND(F686=F685,F686=F687)),NA(), F686)</f>
        <v>0</v>
      </c>
      <c r="G972">
        <f>IF(ISNA(H972),NA(),G686)</f>
        <v>0</v>
      </c>
      <c r="H972">
        <f>IF(OR(H686="",AND(H686=H685,H686=H687)),NA(), H686)</f>
        <v>0</v>
      </c>
      <c r="K972">
        <f>IF(ISNA(L972),NA(),K686)</f>
        <v>0</v>
      </c>
      <c r="L972">
        <f>IF(OR(L686="",AND(L686=L685,L686=L687)),NA(), L686)</f>
        <v>0</v>
      </c>
      <c r="M972">
        <f>IF(ISNA(N972),NA(),M686)</f>
        <v>0</v>
      </c>
      <c r="N972">
        <f>IF(OR(N686="",AND(N686=N685,N686=N687)),NA(), N686)</f>
        <v>0</v>
      </c>
    </row>
    <row r="973" spans="5:14">
      <c r="E973">
        <f>IF(ISNA(F973),NA(),E687)</f>
        <v>0</v>
      </c>
      <c r="F973">
        <f>IF(OR(F687="",AND(F687=F686,F687=F688)),NA(), F687)</f>
        <v>0</v>
      </c>
      <c r="G973">
        <f>IF(ISNA(H973),NA(),G687)</f>
        <v>0</v>
      </c>
      <c r="H973">
        <f>IF(OR(H687="",AND(H687=H686,H687=H688)),NA(), H687)</f>
        <v>0</v>
      </c>
      <c r="K973">
        <f>IF(ISNA(L973),NA(),K687)</f>
        <v>0</v>
      </c>
      <c r="L973">
        <f>IF(OR(L687="",AND(L687=L686,L687=L688)),NA(), L687)</f>
        <v>0</v>
      </c>
      <c r="M973">
        <f>IF(ISNA(N973),NA(),M687)</f>
        <v>0</v>
      </c>
      <c r="N973">
        <f>IF(OR(N687="",AND(N687=N686,N687=N688)),NA(), N687)</f>
        <v>0</v>
      </c>
    </row>
    <row r="974" spans="5:14">
      <c r="E974">
        <f>IF(ISNA(F974),NA(),E688)</f>
        <v>0</v>
      </c>
      <c r="F974">
        <f>IF(OR(F688="",AND(F688=F687,F688=F689)),NA(), F688)</f>
        <v>0</v>
      </c>
      <c r="G974">
        <f>IF(ISNA(H974),NA(),G688)</f>
        <v>0</v>
      </c>
      <c r="H974">
        <f>IF(OR(H688="",AND(H688=H687,H688=H689)),NA(), H688)</f>
        <v>0</v>
      </c>
      <c r="K974">
        <f>IF(ISNA(L974),NA(),K688)</f>
        <v>0</v>
      </c>
      <c r="L974">
        <f>IF(OR(L688="",AND(L688=L687,L688=L689)),NA(), L688)</f>
        <v>0</v>
      </c>
      <c r="M974">
        <f>IF(ISNA(N974),NA(),M688)</f>
        <v>0</v>
      </c>
      <c r="N974">
        <f>IF(OR(N688="",AND(N688=N687,N688=N689)),NA(), N688)</f>
        <v>0</v>
      </c>
    </row>
    <row r="975" spans="5:14">
      <c r="E975">
        <f>IF(ISNA(F975),NA(),E689)</f>
        <v>0</v>
      </c>
      <c r="F975">
        <f>IF(OR(F689="",AND(F689=F688,F689=F690)),NA(), F689)</f>
        <v>0</v>
      </c>
      <c r="G975">
        <f>IF(ISNA(H975),NA(),G689)</f>
        <v>0</v>
      </c>
      <c r="H975">
        <f>IF(OR(H689="",AND(H689=H688,H689=H690)),NA(), H689)</f>
        <v>0</v>
      </c>
      <c r="K975">
        <f>IF(ISNA(L975),NA(),K689)</f>
        <v>0</v>
      </c>
      <c r="L975">
        <f>IF(OR(L689="",AND(L689=L688,L689=L690)),NA(), L689)</f>
        <v>0</v>
      </c>
      <c r="M975">
        <f>IF(ISNA(N975),NA(),M689)</f>
        <v>0</v>
      </c>
      <c r="N975">
        <f>IF(OR(N689="",AND(N689=N688,N689=N690)),NA(), N689)</f>
        <v>0</v>
      </c>
    </row>
    <row r="976" spans="5:14">
      <c r="E976">
        <f>IF(ISNA(F976),NA(),E690)</f>
        <v>0</v>
      </c>
      <c r="F976">
        <f>IF(OR(F690="",AND(F690=F689,F690=F691)),NA(), F690)</f>
        <v>0</v>
      </c>
      <c r="G976">
        <f>IF(ISNA(H976),NA(),G690)</f>
        <v>0</v>
      </c>
      <c r="H976">
        <f>IF(OR(H690="",AND(H690=H689,H690=H691)),NA(), H690)</f>
        <v>0</v>
      </c>
      <c r="K976">
        <f>IF(ISNA(L976),NA(),K690)</f>
        <v>0</v>
      </c>
      <c r="L976">
        <f>IF(OR(L690="",AND(L690=L689,L690=L691)),NA(), L690)</f>
        <v>0</v>
      </c>
      <c r="M976">
        <f>IF(ISNA(N976),NA(),M690)</f>
        <v>0</v>
      </c>
      <c r="N976">
        <f>IF(OR(N690="",AND(N690=N689,N690=N691)),NA(), N690)</f>
        <v>0</v>
      </c>
    </row>
    <row r="977" spans="5:14">
      <c r="E977">
        <f>IF(ISNA(F977),NA(),E691)</f>
        <v>0</v>
      </c>
      <c r="F977">
        <f>IF(OR(F691="",AND(F691=F690,F691=F692)),NA(), F691)</f>
        <v>0</v>
      </c>
      <c r="G977">
        <f>IF(ISNA(H977),NA(),G691)</f>
        <v>0</v>
      </c>
      <c r="H977">
        <f>IF(OR(H691="",AND(H691=H690,H691=H692)),NA(), H691)</f>
        <v>0</v>
      </c>
      <c r="K977">
        <f>IF(ISNA(L977),NA(),K691)</f>
        <v>0</v>
      </c>
      <c r="L977">
        <f>IF(OR(L691="",AND(L691=L690,L691=L692)),NA(), L691)</f>
        <v>0</v>
      </c>
      <c r="M977">
        <f>IF(ISNA(N977),NA(),M691)</f>
        <v>0</v>
      </c>
      <c r="N977">
        <f>IF(OR(N691="",AND(N691=N690,N691=N692)),NA(), N691)</f>
        <v>0</v>
      </c>
    </row>
    <row r="978" spans="5:14">
      <c r="E978">
        <f>IF(ISNA(F978),NA(),E692)</f>
        <v>0</v>
      </c>
      <c r="F978">
        <f>IF(OR(F692="",AND(F692=F691,F692=F693)),NA(), F692)</f>
        <v>0</v>
      </c>
      <c r="G978">
        <f>IF(ISNA(H978),NA(),G692)</f>
        <v>0</v>
      </c>
      <c r="H978">
        <f>IF(OR(H692="",AND(H692=H691,H692=H693)),NA(), H692)</f>
        <v>0</v>
      </c>
      <c r="K978">
        <f>IF(ISNA(L978),NA(),K692)</f>
        <v>0</v>
      </c>
      <c r="L978">
        <f>IF(OR(L692="",AND(L692=L691,L692=L693)),NA(), L692)</f>
        <v>0</v>
      </c>
      <c r="M978">
        <f>IF(ISNA(N978),NA(),M692)</f>
        <v>0</v>
      </c>
      <c r="N978">
        <f>IF(OR(N692="",AND(N692=N691,N692=N693)),NA(), N692)</f>
        <v>0</v>
      </c>
    </row>
    <row r="979" spans="5:14">
      <c r="E979">
        <f>IF(ISNA(F979),NA(),E693)</f>
        <v>0</v>
      </c>
      <c r="F979">
        <f>IF(OR(F693="",AND(F693=F692,F693=F694)),NA(), F693)</f>
        <v>0</v>
      </c>
      <c r="G979">
        <f>IF(ISNA(H979),NA(),G693)</f>
        <v>0</v>
      </c>
      <c r="H979">
        <f>IF(OR(H693="",AND(H693=H692,H693=H694)),NA(), H693)</f>
        <v>0</v>
      </c>
      <c r="K979">
        <f>IF(ISNA(L979),NA(),K693)</f>
        <v>0</v>
      </c>
      <c r="L979">
        <f>IF(OR(L693="",AND(L693=L692,L693=L694)),NA(), L693)</f>
        <v>0</v>
      </c>
      <c r="M979">
        <f>IF(ISNA(N979),NA(),M693)</f>
        <v>0</v>
      </c>
      <c r="N979">
        <f>IF(OR(N693="",AND(N693=N692,N693=N694)),NA(), N693)</f>
        <v>0</v>
      </c>
    </row>
    <row r="980" spans="5:14">
      <c r="E980">
        <f>IF(ISNA(F980),NA(),E694)</f>
        <v>0</v>
      </c>
      <c r="F980">
        <f>IF(OR(F694="",AND(F694=F693,F694=F695)),NA(), F694)</f>
        <v>0</v>
      </c>
      <c r="G980">
        <f>IF(ISNA(H980),NA(),G694)</f>
        <v>0</v>
      </c>
      <c r="H980">
        <f>IF(OR(H694="",AND(H694=H693,H694=H695)),NA(), H694)</f>
        <v>0</v>
      </c>
      <c r="K980">
        <f>IF(ISNA(L980),NA(),K694)</f>
        <v>0</v>
      </c>
      <c r="L980">
        <f>IF(OR(L694="",AND(L694=L693,L694=L695)),NA(), L694)</f>
        <v>0</v>
      </c>
      <c r="M980">
        <f>IF(ISNA(N980),NA(),M694)</f>
        <v>0</v>
      </c>
      <c r="N980">
        <f>IF(OR(N694="",AND(N694=N693,N694=N695)),NA(), N694)</f>
        <v>0</v>
      </c>
    </row>
    <row r="981" spans="5:14">
      <c r="E981">
        <f>IF(ISNA(F981),NA(),E695)</f>
        <v>0</v>
      </c>
      <c r="F981">
        <f>IF(OR(F695="",AND(F695=F694,F695=F696)),NA(), F695)</f>
        <v>0</v>
      </c>
      <c r="G981">
        <f>IF(ISNA(H981),NA(),G695)</f>
        <v>0</v>
      </c>
      <c r="H981">
        <f>IF(OR(H695="",AND(H695=H694,H695=H696)),NA(), H695)</f>
        <v>0</v>
      </c>
      <c r="K981">
        <f>IF(ISNA(L981),NA(),K695)</f>
        <v>0</v>
      </c>
      <c r="L981">
        <f>IF(OR(L695="",AND(L695=L694,L695=L696)),NA(), L695)</f>
        <v>0</v>
      </c>
      <c r="M981">
        <f>IF(ISNA(N981),NA(),M695)</f>
        <v>0</v>
      </c>
      <c r="N981">
        <f>IF(OR(N695="",AND(N695=N694,N695=N696)),NA(), N695)</f>
        <v>0</v>
      </c>
    </row>
    <row r="982" spans="5:14">
      <c r="E982">
        <f>IF(ISNA(F982),NA(),E696)</f>
        <v>0</v>
      </c>
      <c r="F982">
        <f>IF(OR(F696="",AND(F696=F695,F696=F697)),NA(), F696)</f>
        <v>0</v>
      </c>
      <c r="G982">
        <f>IF(ISNA(H982),NA(),G696)</f>
        <v>0</v>
      </c>
      <c r="H982">
        <f>IF(OR(H696="",AND(H696=H695,H696=H697)),NA(), H696)</f>
        <v>0</v>
      </c>
      <c r="K982">
        <f>IF(ISNA(L982),NA(),K696)</f>
        <v>0</v>
      </c>
      <c r="L982">
        <f>IF(OR(L696="",AND(L696=L695,L696=L697)),NA(), L696)</f>
        <v>0</v>
      </c>
      <c r="M982">
        <f>IF(ISNA(N982),NA(),M696)</f>
        <v>0</v>
      </c>
      <c r="N982">
        <f>IF(OR(N696="",AND(N696=N695,N696=N697)),NA(), N696)</f>
        <v>0</v>
      </c>
    </row>
    <row r="983" spans="5:14">
      <c r="E983">
        <f>IF(ISNA(F983),NA(),E697)</f>
        <v>0</v>
      </c>
      <c r="F983">
        <f>IF(OR(F697="",AND(F697=F696,F697=F698)),NA(), F697)</f>
        <v>0</v>
      </c>
      <c r="G983">
        <f>IF(ISNA(H983),NA(),G697)</f>
        <v>0</v>
      </c>
      <c r="H983">
        <f>IF(OR(H697="",AND(H697=H696,H697=H698)),NA(), H697)</f>
        <v>0</v>
      </c>
      <c r="K983">
        <f>IF(ISNA(L983),NA(),K697)</f>
        <v>0</v>
      </c>
      <c r="L983">
        <f>IF(OR(L697="",AND(L697=L696,L697=L698)),NA(), L697)</f>
        <v>0</v>
      </c>
      <c r="M983">
        <f>IF(ISNA(N983),NA(),M697)</f>
        <v>0</v>
      </c>
      <c r="N983">
        <f>IF(OR(N697="",AND(N697=N696,N697=N698)),NA(), N697)</f>
        <v>0</v>
      </c>
    </row>
    <row r="984" spans="5:14">
      <c r="E984">
        <f>IF(ISNA(F984),NA(),E698)</f>
        <v>0</v>
      </c>
      <c r="F984">
        <f>IF(OR(F698="",AND(F698=F697,F698=F699)),NA(), F698)</f>
        <v>0</v>
      </c>
      <c r="G984">
        <f>IF(ISNA(H984),NA(),G698)</f>
        <v>0</v>
      </c>
      <c r="H984">
        <f>IF(OR(H698="",AND(H698=H697,H698=H699)),NA(), H698)</f>
        <v>0</v>
      </c>
      <c r="K984">
        <f>IF(ISNA(L984),NA(),K698)</f>
        <v>0</v>
      </c>
      <c r="L984">
        <f>IF(OR(L698="",AND(L698=L697,L698=L699)),NA(), L698)</f>
        <v>0</v>
      </c>
      <c r="M984">
        <f>IF(ISNA(N984),NA(),M698)</f>
        <v>0</v>
      </c>
      <c r="N984">
        <f>IF(OR(N698="",AND(N698=N697,N698=N699)),NA(), N698)</f>
        <v>0</v>
      </c>
    </row>
    <row r="985" spans="5:14">
      <c r="E985">
        <f>IF(ISNA(F985),NA(),E699)</f>
        <v>0</v>
      </c>
      <c r="F985">
        <f>IF(OR(F699="",AND(F699=F698,F699=F700)),NA(), F699)</f>
        <v>0</v>
      </c>
      <c r="G985">
        <f>IF(ISNA(H985),NA(),G699)</f>
        <v>0</v>
      </c>
      <c r="H985">
        <f>IF(OR(H699="",AND(H699=H698,H699=H700)),NA(), H699)</f>
        <v>0</v>
      </c>
      <c r="K985">
        <f>IF(ISNA(L985),NA(),K699)</f>
        <v>0</v>
      </c>
      <c r="L985">
        <f>IF(OR(L699="",AND(L699=L698,L699=L700)),NA(), L699)</f>
        <v>0</v>
      </c>
      <c r="M985">
        <f>IF(ISNA(N985),NA(),M699)</f>
        <v>0</v>
      </c>
      <c r="N985">
        <f>IF(OR(N699="",AND(N699=N698,N699=N700)),NA(), N699)</f>
        <v>0</v>
      </c>
    </row>
    <row r="986" spans="5:14">
      <c r="E986">
        <f>IF(ISNA(F986),NA(),E700)</f>
        <v>0</v>
      </c>
      <c r="F986">
        <f>IF(OR(F700="",AND(F700=F699,F700=F701)),NA(), F700)</f>
        <v>0</v>
      </c>
      <c r="G986">
        <f>IF(ISNA(H986),NA(),G700)</f>
        <v>0</v>
      </c>
      <c r="H986">
        <f>IF(OR(H700="",AND(H700=H699,H700=H701)),NA(), H700)</f>
        <v>0</v>
      </c>
      <c r="K986">
        <f>IF(ISNA(L986),NA(),K700)</f>
        <v>0</v>
      </c>
      <c r="L986">
        <f>IF(OR(L700="",AND(L700=L699,L700=L701)),NA(), L700)</f>
        <v>0</v>
      </c>
      <c r="M986">
        <f>IF(ISNA(N986),NA(),M700)</f>
        <v>0</v>
      </c>
      <c r="N986">
        <f>IF(OR(N700="",AND(N700=N699,N700=N701)),NA(), N700)</f>
        <v>0</v>
      </c>
    </row>
    <row r="987" spans="5:14">
      <c r="E987">
        <f>IF(ISNA(F987),NA(),E701)</f>
        <v>0</v>
      </c>
      <c r="F987">
        <f>IF(OR(F701="",AND(F701=F700,F701=F702)),NA(), F701)</f>
        <v>0</v>
      </c>
      <c r="G987">
        <f>IF(ISNA(H987),NA(),G701)</f>
        <v>0</v>
      </c>
      <c r="H987">
        <f>IF(OR(H701="",AND(H701=H700,H701=H702)),NA(), H701)</f>
        <v>0</v>
      </c>
      <c r="K987">
        <f>IF(ISNA(L987),NA(),K701)</f>
        <v>0</v>
      </c>
      <c r="L987">
        <f>IF(OR(L701="",AND(L701=L700,L701=L702)),NA(), L701)</f>
        <v>0</v>
      </c>
      <c r="M987">
        <f>IF(ISNA(N987),NA(),M701)</f>
        <v>0</v>
      </c>
      <c r="N987">
        <f>IF(OR(N701="",AND(N701=N700,N701=N702)),NA(), N701)</f>
        <v>0</v>
      </c>
    </row>
    <row r="988" spans="5:14">
      <c r="E988">
        <f>IF(ISNA(F988),NA(),E702)</f>
        <v>0</v>
      </c>
      <c r="F988">
        <f>IF(OR(F702="",AND(F702=F701,F702=F703)),NA(), F702)</f>
        <v>0</v>
      </c>
      <c r="G988">
        <f>IF(ISNA(H988),NA(),G702)</f>
        <v>0</v>
      </c>
      <c r="H988">
        <f>IF(OR(H702="",AND(H702=H701,H702=H703)),NA(), H702)</f>
        <v>0</v>
      </c>
      <c r="K988">
        <f>IF(ISNA(L988),NA(),K702)</f>
        <v>0</v>
      </c>
      <c r="L988">
        <f>IF(OR(L702="",AND(L702=L701,L702=L703)),NA(), L702)</f>
        <v>0</v>
      </c>
      <c r="M988">
        <f>IF(ISNA(N988),NA(),M702)</f>
        <v>0</v>
      </c>
      <c r="N988">
        <f>IF(OR(N702="",AND(N702=N701,N702=N703)),NA(), N702)</f>
        <v>0</v>
      </c>
    </row>
    <row r="989" spans="5:14">
      <c r="E989">
        <f>IF(ISNA(F989),NA(),E703)</f>
        <v>0</v>
      </c>
      <c r="F989">
        <f>IF(OR(F703="",AND(F703=F702,F703=F704)),NA(), F703)</f>
        <v>0</v>
      </c>
      <c r="G989">
        <f>IF(ISNA(H989),NA(),G703)</f>
        <v>0</v>
      </c>
      <c r="H989">
        <f>IF(OR(H703="",AND(H703=H702,H703=H704)),NA(), H703)</f>
        <v>0</v>
      </c>
      <c r="K989">
        <f>IF(ISNA(L989),NA(),K703)</f>
        <v>0</v>
      </c>
      <c r="L989">
        <f>IF(OR(L703="",AND(L703=L702,L703=L704)),NA(), L703)</f>
        <v>0</v>
      </c>
      <c r="M989">
        <f>IF(ISNA(N989),NA(),M703)</f>
        <v>0</v>
      </c>
      <c r="N989">
        <f>IF(OR(N703="",AND(N703=N702,N703=N704)),NA(), N703)</f>
        <v>0</v>
      </c>
    </row>
    <row r="990" spans="5:14">
      <c r="E990">
        <f>IF(ISNA(F990),NA(),E704)</f>
        <v>0</v>
      </c>
      <c r="F990">
        <f>IF(OR(F704="",AND(F704=F703,F704=F705)),NA(), F704)</f>
        <v>0</v>
      </c>
      <c r="G990">
        <f>IF(ISNA(H990),NA(),G704)</f>
        <v>0</v>
      </c>
      <c r="H990">
        <f>IF(OR(H704="",AND(H704=H703,H704=H705)),NA(), H704)</f>
        <v>0</v>
      </c>
      <c r="K990">
        <f>IF(ISNA(L990),NA(),K704)</f>
        <v>0</v>
      </c>
      <c r="L990">
        <f>IF(OR(L704="",AND(L704=L703,L704=L705)),NA(), L704)</f>
        <v>0</v>
      </c>
      <c r="M990">
        <f>IF(ISNA(N990),NA(),M704)</f>
        <v>0</v>
      </c>
      <c r="N990">
        <f>IF(OR(N704="",AND(N704=N703,N704=N705)),NA(), N704)</f>
        <v>0</v>
      </c>
    </row>
    <row r="991" spans="5:14">
      <c r="E991">
        <f>IF(ISNA(F991),NA(),E705)</f>
        <v>0</v>
      </c>
      <c r="F991">
        <f>IF(OR(F705="",AND(F705=F704,F705=F706)),NA(), F705)</f>
        <v>0</v>
      </c>
      <c r="G991">
        <f>IF(ISNA(H991),NA(),G705)</f>
        <v>0</v>
      </c>
      <c r="H991">
        <f>IF(OR(H705="",AND(H705=H704,H705=H706)),NA(), H705)</f>
        <v>0</v>
      </c>
      <c r="K991">
        <f>IF(ISNA(L991),NA(),K705)</f>
        <v>0</v>
      </c>
      <c r="L991">
        <f>IF(OR(L705="",AND(L705=L704,L705=L706)),NA(), L705)</f>
        <v>0</v>
      </c>
      <c r="M991">
        <f>IF(ISNA(N991),NA(),M705)</f>
        <v>0</v>
      </c>
      <c r="N991">
        <f>IF(OR(N705="",AND(N705=N704,N705=N706)),NA(), N705)</f>
        <v>0</v>
      </c>
    </row>
    <row r="992" spans="5:14">
      <c r="E992">
        <f>IF(ISNA(F992),NA(),E706)</f>
        <v>0</v>
      </c>
      <c r="F992">
        <f>IF(OR(F706="",AND(F706=F705,F706=F707)),NA(), F706)</f>
        <v>0</v>
      </c>
      <c r="G992">
        <f>IF(ISNA(H992),NA(),G706)</f>
        <v>0</v>
      </c>
      <c r="H992">
        <f>IF(OR(H706="",AND(H706=H705,H706=H707)),NA(), H706)</f>
        <v>0</v>
      </c>
      <c r="K992">
        <f>IF(ISNA(L992),NA(),K706)</f>
        <v>0</v>
      </c>
      <c r="L992">
        <f>IF(OR(L706="",AND(L706=L705,L706=L707)),NA(), L706)</f>
        <v>0</v>
      </c>
      <c r="M992">
        <f>IF(ISNA(N992),NA(),M706)</f>
        <v>0</v>
      </c>
      <c r="N992">
        <f>IF(OR(N706="",AND(N706=N705,N706=N707)),NA(), N706)</f>
        <v>0</v>
      </c>
    </row>
    <row r="993" spans="5:14">
      <c r="E993">
        <f>IF(ISNA(F993),NA(),E707)</f>
        <v>0</v>
      </c>
      <c r="F993">
        <f>IF(OR(F707="",AND(F707=F706,F707=F708)),NA(), F707)</f>
        <v>0</v>
      </c>
      <c r="G993">
        <f>IF(ISNA(H993),NA(),G707)</f>
        <v>0</v>
      </c>
      <c r="H993">
        <f>IF(OR(H707="",AND(H707=H706,H707=H708)),NA(), H707)</f>
        <v>0</v>
      </c>
      <c r="K993">
        <f>IF(ISNA(L993),NA(),K707)</f>
        <v>0</v>
      </c>
      <c r="L993">
        <f>IF(OR(L707="",AND(L707=L706,L707=L708)),NA(), L707)</f>
        <v>0</v>
      </c>
      <c r="M993">
        <f>IF(ISNA(N993),NA(),M707)</f>
        <v>0</v>
      </c>
      <c r="N993">
        <f>IF(OR(N707="",AND(N707=N706,N707=N708)),NA(), N707)</f>
        <v>0</v>
      </c>
    </row>
    <row r="994" spans="5:14">
      <c r="E994">
        <f>IF(ISNA(F994),NA(),E708)</f>
        <v>0</v>
      </c>
      <c r="F994">
        <f>IF(OR(F708="",AND(F708=F707,F708=F709)),NA(), F708)</f>
        <v>0</v>
      </c>
      <c r="G994">
        <f>IF(ISNA(H994),NA(),G708)</f>
        <v>0</v>
      </c>
      <c r="H994">
        <f>IF(OR(H708="",AND(H708=H707,H708=H709)),NA(), H708)</f>
        <v>0</v>
      </c>
      <c r="K994">
        <f>IF(ISNA(L994),NA(),K708)</f>
        <v>0</v>
      </c>
      <c r="L994">
        <f>IF(OR(L708="",AND(L708=L707,L708=L709)),NA(), L708)</f>
        <v>0</v>
      </c>
      <c r="M994">
        <f>IF(ISNA(N994),NA(),M708)</f>
        <v>0</v>
      </c>
      <c r="N994">
        <f>IF(OR(N708="",AND(N708=N707,N708=N709)),NA(), N708)</f>
        <v>0</v>
      </c>
    </row>
    <row r="995" spans="5:14">
      <c r="E995">
        <f>IF(ISNA(F995),NA(),E709)</f>
        <v>0</v>
      </c>
      <c r="F995">
        <f>IF(OR(F709="",AND(F709=F708,F709=F710)),NA(), F709)</f>
        <v>0</v>
      </c>
      <c r="G995">
        <f>IF(ISNA(H995),NA(),G709)</f>
        <v>0</v>
      </c>
      <c r="H995">
        <f>IF(OR(H709="",AND(H709=H708,H709=H710)),NA(), H709)</f>
        <v>0</v>
      </c>
      <c r="K995">
        <f>IF(ISNA(L995),NA(),K709)</f>
        <v>0</v>
      </c>
      <c r="L995">
        <f>IF(OR(L709="",AND(L709=L708,L709=L710)),NA(), L709)</f>
        <v>0</v>
      </c>
      <c r="M995">
        <f>IF(ISNA(N995),NA(),M709)</f>
        <v>0</v>
      </c>
      <c r="N995">
        <f>IF(OR(N709="",AND(N709=N708,N709=N710)),NA(), N709)</f>
        <v>0</v>
      </c>
    </row>
    <row r="996" spans="5:14">
      <c r="E996">
        <f>IF(ISNA(F996),NA(),E710)</f>
        <v>0</v>
      </c>
      <c r="F996">
        <f>IF(OR(F710="",AND(F710=F709,F710=F711)),NA(), F710)</f>
        <v>0</v>
      </c>
      <c r="G996">
        <f>IF(ISNA(H996),NA(),G710)</f>
        <v>0</v>
      </c>
      <c r="H996">
        <f>IF(OR(H710="",AND(H710=H709,H710=H711)),NA(), H710)</f>
        <v>0</v>
      </c>
      <c r="K996">
        <f>IF(ISNA(L996),NA(),K710)</f>
        <v>0</v>
      </c>
      <c r="L996">
        <f>IF(OR(L710="",AND(L710=L709,L710=L711)),NA(), L710)</f>
        <v>0</v>
      </c>
      <c r="M996">
        <f>IF(ISNA(N996),NA(),M710)</f>
        <v>0</v>
      </c>
      <c r="N996">
        <f>IF(OR(N710="",AND(N710=N709,N710=N711)),NA(), N710)</f>
        <v>0</v>
      </c>
    </row>
    <row r="997" spans="5:14">
      <c r="E997">
        <f>IF(ISNA(F997),NA(),E711)</f>
        <v>0</v>
      </c>
      <c r="F997">
        <f>IF(OR(F711="",AND(F711=F710,F711=F712)),NA(), F711)</f>
        <v>0</v>
      </c>
      <c r="G997">
        <f>IF(ISNA(H997),NA(),G711)</f>
        <v>0</v>
      </c>
      <c r="H997">
        <f>IF(OR(H711="",AND(H711=H710,H711=H712)),NA(), H711)</f>
        <v>0</v>
      </c>
      <c r="K997">
        <f>IF(ISNA(L997),NA(),K711)</f>
        <v>0</v>
      </c>
      <c r="L997">
        <f>IF(OR(L711="",AND(L711=L710,L711=L712)),NA(), L711)</f>
        <v>0</v>
      </c>
      <c r="M997">
        <f>IF(ISNA(N997),NA(),M711)</f>
        <v>0</v>
      </c>
      <c r="N997">
        <f>IF(OR(N711="",AND(N711=N710,N711=N712)),NA(), N711)</f>
        <v>0</v>
      </c>
    </row>
    <row r="998" spans="5:14">
      <c r="E998">
        <f>IF(ISNA(F998),NA(),E712)</f>
        <v>0</v>
      </c>
      <c r="F998">
        <f>IF(OR(F712="",AND(F712=F711,F712=F713)),NA(), F712)</f>
        <v>0</v>
      </c>
      <c r="G998">
        <f>IF(ISNA(H998),NA(),G712)</f>
        <v>0</v>
      </c>
      <c r="H998">
        <f>IF(OR(H712="",AND(H712=H711,H712=H713)),NA(), H712)</f>
        <v>0</v>
      </c>
      <c r="K998">
        <f>IF(ISNA(L998),NA(),K712)</f>
        <v>0</v>
      </c>
      <c r="L998">
        <f>IF(OR(L712="",AND(L712=L711,L712=L713)),NA(), L712)</f>
        <v>0</v>
      </c>
      <c r="M998">
        <f>IF(ISNA(N998),NA(),M712)</f>
        <v>0</v>
      </c>
      <c r="N998">
        <f>IF(OR(N712="",AND(N712=N711,N712=N713)),NA(), N712)</f>
        <v>0</v>
      </c>
    </row>
    <row r="999" spans="5:14">
      <c r="E999">
        <f>IF(ISNA(F999),NA(),E713)</f>
        <v>0</v>
      </c>
      <c r="F999">
        <f>IF(OR(F713="",AND(F713=F712,F713=F714)),NA(), F713)</f>
        <v>0</v>
      </c>
      <c r="G999">
        <f>IF(ISNA(H999),NA(),G713)</f>
        <v>0</v>
      </c>
      <c r="H999">
        <f>IF(OR(H713="",AND(H713=H712,H713=H714)),NA(), H713)</f>
        <v>0</v>
      </c>
      <c r="K999">
        <f>IF(ISNA(L999),NA(),K713)</f>
        <v>0</v>
      </c>
      <c r="L999">
        <f>IF(OR(L713="",AND(L713=L712,L713=L714)),NA(), L713)</f>
        <v>0</v>
      </c>
      <c r="M999">
        <f>IF(ISNA(N999),NA(),M713)</f>
        <v>0</v>
      </c>
      <c r="N999">
        <f>IF(OR(N713="",AND(N713=N712,N713=N714)),NA(), N713)</f>
        <v>0</v>
      </c>
    </row>
    <row r="1000" spans="5:14">
      <c r="E1000">
        <f>IF(ISNA(F1000),NA(),E714)</f>
        <v>0</v>
      </c>
      <c r="F1000">
        <f>IF(OR(F714="",AND(F714=F713,F714=F715)),NA(), F714)</f>
        <v>0</v>
      </c>
      <c r="G1000">
        <f>IF(ISNA(H1000),NA(),G714)</f>
        <v>0</v>
      </c>
      <c r="H1000">
        <f>IF(OR(H714="",AND(H714=H713,H714=H715)),NA(), H714)</f>
        <v>0</v>
      </c>
      <c r="K1000">
        <f>IF(ISNA(L1000),NA(),K714)</f>
        <v>0</v>
      </c>
      <c r="L1000">
        <f>IF(OR(L714="",AND(L714=L713,L714=L715)),NA(), L714)</f>
        <v>0</v>
      </c>
      <c r="M1000">
        <f>IF(ISNA(N1000),NA(),M714)</f>
        <v>0</v>
      </c>
      <c r="N1000">
        <f>IF(OR(N714="",AND(N714=N713,N714=N715)),NA(), N714)</f>
        <v>0</v>
      </c>
    </row>
    <row r="1001" spans="5:14">
      <c r="E1001">
        <f>IF(ISNA(F1001),NA(),E715)</f>
        <v>0</v>
      </c>
      <c r="F1001">
        <f>IF(OR(F715="",AND(F715=F714,F715=F716)),NA(), F715)</f>
        <v>0</v>
      </c>
      <c r="G1001">
        <f>IF(ISNA(H1001),NA(),G715)</f>
        <v>0</v>
      </c>
      <c r="H1001">
        <f>IF(OR(H715="",AND(H715=H714,H715=H716)),NA(), H715)</f>
        <v>0</v>
      </c>
      <c r="K1001">
        <f>IF(ISNA(L1001),NA(),K715)</f>
        <v>0</v>
      </c>
      <c r="L1001">
        <f>IF(OR(L715="",AND(L715=L714,L715=L716)),NA(), L715)</f>
        <v>0</v>
      </c>
      <c r="M1001">
        <f>IF(ISNA(N1001),NA(),M715)</f>
        <v>0</v>
      </c>
      <c r="N1001">
        <f>IF(OR(N715="",AND(N715=N714,N715=N716)),NA(), N715)</f>
        <v>0</v>
      </c>
    </row>
    <row r="1002" spans="5:14">
      <c r="E1002">
        <f>IF(ISNA(F1002),NA(),E716)</f>
        <v>0</v>
      </c>
      <c r="F1002">
        <f>IF(OR(F716="",AND(F716=F715,F716=F717)),NA(), F716)</f>
        <v>0</v>
      </c>
      <c r="G1002">
        <f>IF(ISNA(H1002),NA(),G716)</f>
        <v>0</v>
      </c>
      <c r="H1002">
        <f>IF(OR(H716="",AND(H716=H715,H716=H717)),NA(), H716)</f>
        <v>0</v>
      </c>
      <c r="K1002">
        <f>IF(ISNA(L1002),NA(),K716)</f>
        <v>0</v>
      </c>
      <c r="L1002">
        <f>IF(OR(L716="",AND(L716=L715,L716=L717)),NA(), L716)</f>
        <v>0</v>
      </c>
      <c r="M1002">
        <f>IF(ISNA(N1002),NA(),M716)</f>
        <v>0</v>
      </c>
      <c r="N1002">
        <f>IF(OR(N716="",AND(N716=N715,N716=N717)),NA(), N716)</f>
        <v>0</v>
      </c>
    </row>
    <row r="1003" spans="5:14">
      <c r="E1003">
        <f>IF(ISNA(F1003),NA(),E717)</f>
        <v>0</v>
      </c>
      <c r="F1003">
        <f>IF(OR(F717="",AND(F717=F716,F717=F718)),NA(), F717)</f>
        <v>0</v>
      </c>
      <c r="G1003">
        <f>IF(ISNA(H1003),NA(),G717)</f>
        <v>0</v>
      </c>
      <c r="H1003">
        <f>IF(OR(H717="",AND(H717=H716,H717=H718)),NA(), H717)</f>
        <v>0</v>
      </c>
      <c r="K1003">
        <f>IF(ISNA(L1003),NA(),K717)</f>
        <v>0</v>
      </c>
      <c r="L1003">
        <f>IF(OR(L717="",AND(L717=L716,L717=L718)),NA(), L717)</f>
        <v>0</v>
      </c>
      <c r="M1003">
        <f>IF(ISNA(N1003),NA(),M717)</f>
        <v>0</v>
      </c>
      <c r="N1003">
        <f>IF(OR(N717="",AND(N717=N716,N717=N718)),NA(), N717)</f>
        <v>0</v>
      </c>
    </row>
    <row r="1004" spans="5:14">
      <c r="E1004">
        <f>IF(ISNA(F1004),NA(),E718)</f>
        <v>0</v>
      </c>
      <c r="F1004">
        <f>IF(OR(F718="",AND(F718=F717,F718=F719)),NA(), F718)</f>
        <v>0</v>
      </c>
      <c r="G1004">
        <f>IF(ISNA(H1004),NA(),G718)</f>
        <v>0</v>
      </c>
      <c r="H1004">
        <f>IF(OR(H718="",AND(H718=H717,H718=H719)),NA(), H718)</f>
        <v>0</v>
      </c>
      <c r="K1004">
        <f>IF(ISNA(L1004),NA(),K718)</f>
        <v>0</v>
      </c>
      <c r="L1004">
        <f>IF(OR(L718="",AND(L718=L717,L718=L719)),NA(), L718)</f>
        <v>0</v>
      </c>
      <c r="M1004">
        <f>IF(ISNA(N1004),NA(),M718)</f>
        <v>0</v>
      </c>
      <c r="N1004">
        <f>IF(OR(N718="",AND(N718=N717,N718=N719)),NA(), N718)</f>
        <v>0</v>
      </c>
    </row>
    <row r="1005" spans="5:14">
      <c r="E1005">
        <f>IF(ISNA(F1005),NA(),E719)</f>
        <v>0</v>
      </c>
      <c r="F1005">
        <f>IF(F719="",NA(),F719)</f>
        <v>0</v>
      </c>
      <c r="G1005">
        <f>IF(ISNA(H1005),NA(),G719)</f>
        <v>0</v>
      </c>
      <c r="H1005">
        <f>IF(H719="",NA(),H719)</f>
        <v>0</v>
      </c>
      <c r="K1005">
        <f>IF(ISNA(L1005),NA(),K719)</f>
        <v>0</v>
      </c>
      <c r="L1005">
        <f>IF(L719="",NA(),L719)</f>
        <v>0</v>
      </c>
      <c r="M1005">
        <f>IF(ISNA(N1005),NA(),M719)</f>
        <v>0</v>
      </c>
      <c r="N1005">
        <f>IF(N719="",NA(),N719)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174</v>
      </c>
      <c r="F2" t="s">
        <v>176</v>
      </c>
    </row>
    <row r="3" spans="2:6">
      <c r="B3" s="2" t="s">
        <v>175</v>
      </c>
      <c r="F3" s="2" t="s">
        <v>150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"error,mem,memout,par2,time,timeout"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2026-09-30T13:12:32Z</dcterms:created>
  <dcterms:modified xsi:type="dcterms:W3CDTF">2026-09-30T13:12:32Z</dcterms:modified>
</cp:coreProperties>
</file>